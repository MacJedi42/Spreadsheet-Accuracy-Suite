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870" yWindow="-75" windowWidth="9360" windowHeight="12150" tabRatio="883" firstSheet="11" activeTab="47"/>
  </bookViews>
  <sheets>
    <sheet name="General Instructions" sheetId="1" r:id="rId1"/>
    <sheet name="Page 1 - FY2013-14" sheetId="2" r:id="rId2"/>
    <sheet name="Salary Schedule" sheetId="44" r:id="rId3"/>
    <sheet name="Linked Program Codes" sheetId="51" r:id="rId4"/>
    <sheet name="Staff Details" sheetId="48" r:id="rId5"/>
    <sheet name="GenFundREV" sheetId="3" r:id="rId6"/>
    <sheet name="GenFundExp" sheetId="4" r:id="rId7"/>
    <sheet name="GenFundExp2" sheetId="5" r:id="rId8"/>
    <sheet name="CharterFundRev" sheetId="43" r:id="rId9"/>
    <sheet name="CharterFundExp" sheetId="42" r:id="rId10"/>
    <sheet name="CharterFundExp2" sheetId="41" r:id="rId11"/>
    <sheet name="InsResv" sheetId="9" r:id="rId12"/>
    <sheet name="CPP Fund" sheetId="34" r:id="rId13"/>
    <sheet name="Fund 20 Grants" sheetId="52" state="hidden" r:id="rId14"/>
    <sheet name="ARRAGrants" sheetId="53" state="hidden" r:id="rId15"/>
    <sheet name="CapRes" sheetId="6" r:id="rId16"/>
    <sheet name="Fund 22 Grants" sheetId="47" r:id="rId17"/>
    <sheet name="GovGrants" sheetId="7" r:id="rId18"/>
    <sheet name="PupActiv" sheetId="8" r:id="rId19"/>
    <sheet name="FullDayKOverride" sheetId="54" r:id="rId20"/>
    <sheet name="Transp" sheetId="10" r:id="rId21"/>
    <sheet name="OthSpecRev" sheetId="11" r:id="rId22"/>
    <sheet name="BondRedm" sheetId="12" r:id="rId23"/>
    <sheet name="NonVoterDebt" sheetId="55" r:id="rId24"/>
    <sheet name="BuildFund" sheetId="13" r:id="rId25"/>
    <sheet name="SpecBuild" sheetId="14" r:id="rId26"/>
    <sheet name="CapResCapPrj" sheetId="37" r:id="rId27"/>
    <sheet name="FoodServ" sheetId="16" r:id="rId28"/>
    <sheet name="OtherEnterprise" sheetId="17" r:id="rId29"/>
    <sheet name="RiskRelated" sheetId="18" r:id="rId30"/>
    <sheet name="OtherInternal" sheetId="19" r:id="rId31"/>
    <sheet name="PupilActAgency" sheetId="20" r:id="rId32"/>
    <sheet name="Trust&amp;Agency" sheetId="21" r:id="rId33"/>
    <sheet name="Foundation Fund" sheetId="39" r:id="rId34"/>
    <sheet name="GASB 34 Perm. Fund" sheetId="36" r:id="rId35"/>
    <sheet name="Arbitrage" sheetId="22" r:id="rId36"/>
    <sheet name="District Debt" sheetId="35" r:id="rId37"/>
    <sheet name="AppropRes" sheetId="23" r:id="rId38"/>
    <sheet name="CDE-18 Error Report" sheetId="24" r:id="rId39"/>
    <sheet name="Tabor Spending Limitations" sheetId="25" r:id="rId40"/>
    <sheet name="Tabor Property Tax Limitation" sheetId="26" r:id="rId41"/>
    <sheet name="Budget Summary Worksheet" sheetId="27" r:id="rId42"/>
    <sheet name="Budget Summaries 1" sheetId="28" r:id="rId43"/>
    <sheet name="Budget Summaries 2" sheetId="29" r:id="rId44"/>
    <sheet name="Budget Summaries 3" sheetId="30" r:id="rId45"/>
    <sheet name="Budget Summaries 4" sheetId="31" r:id="rId46"/>
    <sheet name="Budget Summaries 5" sheetId="32" r:id="rId47"/>
    <sheet name="Uniform Budget Summary" sheetId="40" r:id="rId48"/>
    <sheet name="Sheet1" sheetId="56" r:id="rId49"/>
  </sheets>
  <externalReferences>
    <externalReference r:id="rId50"/>
  </externalReferences>
  <definedNames>
    <definedName name="_xlnm._FilterDatabase" localSheetId="4" hidden="1">'Staff Details'!$A$10:$AB$10</definedName>
    <definedName name="AllowFundHlook">'Linked Program Codes'!$B$6:$W$7</definedName>
    <definedName name="AllowProg">'Linked Program Codes'!$A$8:$W$53</definedName>
    <definedName name="CertBen">'Staff Details'!$AA$11:$AA$201</definedName>
    <definedName name="CertFund">'Staff Details'!$A$11:$A$201</definedName>
    <definedName name="CertGrant">'Staff Details'!$I$11:$I$201</definedName>
    <definedName name="CertObj">'Staff Details'!$G$11:$G$201</definedName>
    <definedName name="CertProg">'Staff Details'!$E$11:$E$201</definedName>
    <definedName name="CertSalary">'Staff Details'!$R$11:$R$201</definedName>
    <definedName name="ERRORRPT">#REF!</definedName>
    <definedName name="Fund22Grants" localSheetId="13">'Fund 20 Grants'!$D$3:$W$3</definedName>
    <definedName name="Fund22Grants">'Fund 22 Grants'!$D$3:$W$3</definedName>
    <definedName name="MINRESERVE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0">#REF!</definedName>
    <definedName name="PAGE21">#REF!</definedName>
    <definedName name="PAGE22">#REF!</definedName>
    <definedName name="PAGE23">#REF!</definedName>
    <definedName name="_xlnm.Print_Area" localSheetId="13">'Fund 20 Grants'!$A$1:$X$118</definedName>
    <definedName name="_xlnm.Print_Area" localSheetId="16">'Fund 22 Grants'!$A$1:$X$118</definedName>
    <definedName name="_xlnm.Print_Area" localSheetId="6">GenFundExp!$A$1:$I$1111</definedName>
    <definedName name="_xlnm.Print_Titles" localSheetId="14">ARRAGrants!$1:$3</definedName>
    <definedName name="_xlnm.Print_Titles" localSheetId="15">CapRes!$1:$3</definedName>
    <definedName name="_xlnm.Print_Titles" localSheetId="26">CapResCapPrj!$1:$3</definedName>
    <definedName name="_xlnm.Print_Titles" localSheetId="12">'CPP Fund'!$1:$3</definedName>
    <definedName name="_xlnm.Print_Titles" localSheetId="19">FullDayKOverride!$1:$3</definedName>
    <definedName name="_xlnm.Print_Titles" localSheetId="6">GenFundExp!$1:$9</definedName>
    <definedName name="_xlnm.Print_Titles" localSheetId="7">GenFundExp2!$1:$8</definedName>
    <definedName name="_xlnm.Print_Titles" localSheetId="5">GenFundREV!$1:$3</definedName>
    <definedName name="_xlnm.Print_Titles" localSheetId="17">GovGrants!$1:$3</definedName>
    <definedName name="_xlnm.Print_Titles" localSheetId="21">OthSpecRev!$1:$3</definedName>
    <definedName name="_xlnm.Print_Titles" localSheetId="20">Transp!$1:$3</definedName>
    <definedName name="printjob1">#REF!,#REF!,#REF!,#REF!,#REF!,#REF!,#REF!,#REF!,#REF!,#REF!,#REF!</definedName>
    <definedName name="printjob2">#REF!,#REF!,#REF!,#REF!,#REF!,#REF!,#REF!,#REF!,#REF!,#REF!,#REF!</definedName>
    <definedName name="printjob3">#REF!,#REF!</definedName>
    <definedName name="printsumm">#REF!,#REF!,#REF!,#REF!,#REF!</definedName>
    <definedName name="printtabor">#REF!,#REF!,#REF!</definedName>
    <definedName name="SPENDLIM">#REF!</definedName>
    <definedName name="SUMM01">#REF!</definedName>
    <definedName name="SUMM02">#REF!</definedName>
    <definedName name="SUMM03">#REF!</definedName>
    <definedName name="SUMM04">#REF!</definedName>
    <definedName name="SUMM05">#REF!</definedName>
    <definedName name="TAXLIM">#REF!</definedName>
  </definedNames>
  <calcPr calcId="145621"/>
</workbook>
</file>

<file path=xl/calcChain.xml><?xml version="1.0" encoding="utf-8"?>
<calcChain xmlns="http://schemas.openxmlformats.org/spreadsheetml/2006/main">
  <c r="BI18" i="40" l="1"/>
  <c r="BI17" i="40"/>
  <c r="BI16" i="40"/>
  <c r="BI15" i="40"/>
  <c r="BI14" i="40"/>
  <c r="BI13" i="40"/>
  <c r="BI12" i="40"/>
  <c r="BI11" i="40"/>
  <c r="BI10" i="40"/>
  <c r="BI9" i="40"/>
  <c r="BI8" i="40"/>
  <c r="BI7" i="40"/>
  <c r="BI21" i="40"/>
  <c r="BI29" i="40"/>
  <c r="BI28" i="40"/>
  <c r="BI27" i="40"/>
  <c r="BI26" i="40"/>
  <c r="BI25" i="40"/>
  <c r="BI24" i="40"/>
  <c r="BI23" i="40"/>
  <c r="BI39" i="40"/>
  <c r="BI38" i="40"/>
  <c r="BI37" i="40"/>
  <c r="BI36" i="40"/>
  <c r="BI35" i="40"/>
  <c r="BI34" i="40"/>
  <c r="BI33" i="40"/>
  <c r="BI48" i="40"/>
  <c r="BI47" i="40"/>
  <c r="BI46" i="40"/>
  <c r="BI45" i="40"/>
  <c r="BI44" i="40"/>
  <c r="BI43" i="40"/>
  <c r="BI42" i="40"/>
  <c r="BI57" i="40"/>
  <c r="BI56" i="40"/>
  <c r="BI55" i="40"/>
  <c r="BI54" i="40"/>
  <c r="BI53" i="40"/>
  <c r="BI52" i="40"/>
  <c r="BI51" i="40"/>
  <c r="BI66" i="40"/>
  <c r="BI65" i="40"/>
  <c r="BI64" i="40"/>
  <c r="BI63" i="40"/>
  <c r="BI62" i="40"/>
  <c r="BI61" i="40"/>
  <c r="BI60" i="40"/>
  <c r="BI75" i="40"/>
  <c r="BI74" i="40"/>
  <c r="BI73" i="40"/>
  <c r="BI72" i="40"/>
  <c r="BI71" i="40"/>
  <c r="BI70" i="40"/>
  <c r="BI69" i="40"/>
  <c r="BI84" i="40"/>
  <c r="BI83" i="40"/>
  <c r="BI82" i="40"/>
  <c r="BI81" i="40"/>
  <c r="BI80" i="40"/>
  <c r="BI79" i="40"/>
  <c r="BI78" i="40"/>
  <c r="BI92" i="40"/>
  <c r="BI91" i="40"/>
  <c r="BI90" i="40"/>
  <c r="BI89" i="40"/>
  <c r="BI88" i="40"/>
  <c r="BI87" i="40"/>
  <c r="BI86" i="40"/>
  <c r="BI101" i="40"/>
  <c r="BI100" i="40"/>
  <c r="BI99" i="40"/>
  <c r="BI98" i="40"/>
  <c r="BI97" i="40"/>
  <c r="BI96" i="40"/>
  <c r="BI95" i="40"/>
  <c r="BI110" i="40"/>
  <c r="BI109" i="40"/>
  <c r="BI108" i="40"/>
  <c r="BI107" i="40"/>
  <c r="BI106" i="40"/>
  <c r="BI105" i="40"/>
  <c r="BI104" i="40"/>
  <c r="BI119" i="40"/>
  <c r="BI118" i="40"/>
  <c r="BI117" i="40"/>
  <c r="BI116" i="40"/>
  <c r="BI115" i="40"/>
  <c r="BI114" i="40"/>
  <c r="BI113" i="40"/>
  <c r="BI128" i="40"/>
  <c r="BI127" i="40"/>
  <c r="BI126" i="40"/>
  <c r="BI125" i="40"/>
  <c r="BI124" i="40"/>
  <c r="BI123" i="40"/>
  <c r="BI122" i="40"/>
  <c r="BI136" i="40"/>
  <c r="BI135" i="40"/>
  <c r="BI134" i="40"/>
  <c r="BI133" i="40"/>
  <c r="BI132" i="40"/>
  <c r="BI131" i="40"/>
  <c r="BI130" i="40"/>
  <c r="BI145" i="40"/>
  <c r="BI144" i="40"/>
  <c r="BI143" i="40"/>
  <c r="BI142" i="40"/>
  <c r="BI141" i="40"/>
  <c r="BI140" i="40"/>
  <c r="BI139" i="40"/>
  <c r="BI154" i="40"/>
  <c r="BI153" i="40"/>
  <c r="BI152" i="40"/>
  <c r="BI151" i="40"/>
  <c r="BI150" i="40"/>
  <c r="BI149" i="40"/>
  <c r="BI148" i="40"/>
  <c r="BI156" i="40"/>
  <c r="BI165" i="40"/>
  <c r="BI164" i="40"/>
  <c r="BI163" i="40"/>
  <c r="BI162" i="40"/>
  <c r="BI161" i="40"/>
  <c r="BI160" i="40"/>
  <c r="BI159" i="40"/>
  <c r="BI174" i="40"/>
  <c r="BI173" i="40"/>
  <c r="BI172" i="40"/>
  <c r="BI171" i="40"/>
  <c r="BI170" i="40"/>
  <c r="BI169" i="40"/>
  <c r="BI168" i="40"/>
  <c r="BI176" i="40"/>
  <c r="BI186" i="40"/>
  <c r="BI185" i="40"/>
  <c r="BI184" i="40"/>
  <c r="BI183" i="40"/>
  <c r="BI182" i="40"/>
  <c r="BI181" i="40"/>
  <c r="BI180" i="40"/>
  <c r="BI179" i="40"/>
  <c r="BI188" i="40"/>
  <c r="BI192" i="40"/>
  <c r="BI190" i="40"/>
  <c r="E33" i="21"/>
  <c r="I105" i="3"/>
  <c r="F8" i="22"/>
  <c r="H30" i="22"/>
  <c r="H33" i="22" s="1"/>
  <c r="F25" i="6"/>
  <c r="D25" i="6"/>
  <c r="D46" i="6"/>
  <c r="D61" i="6"/>
  <c r="H461" i="41"/>
  <c r="F461" i="41"/>
  <c r="E461" i="41"/>
  <c r="D461" i="41"/>
  <c r="H407" i="41"/>
  <c r="F407" i="41"/>
  <c r="E407" i="41"/>
  <c r="D407" i="41"/>
  <c r="H384" i="41"/>
  <c r="F384" i="41"/>
  <c r="E384" i="41"/>
  <c r="D384" i="41"/>
  <c r="F353" i="41"/>
  <c r="E353" i="41"/>
  <c r="D353" i="41"/>
  <c r="H323" i="41"/>
  <c r="F323" i="41"/>
  <c r="E323" i="41"/>
  <c r="D323" i="41"/>
  <c r="H291" i="41"/>
  <c r="F291" i="41"/>
  <c r="E291" i="41"/>
  <c r="D291" i="41"/>
  <c r="D251" i="41"/>
  <c r="H218" i="41"/>
  <c r="F218" i="41"/>
  <c r="E218" i="41"/>
  <c r="D218" i="41"/>
  <c r="D187" i="41"/>
  <c r="D44" i="41"/>
  <c r="D998" i="42"/>
  <c r="H961" i="42"/>
  <c r="E961" i="42"/>
  <c r="F961" i="42"/>
  <c r="D961" i="42"/>
  <c r="F924" i="42"/>
  <c r="E924" i="42"/>
  <c r="D924" i="42"/>
  <c r="D813" i="42"/>
  <c r="E813" i="42"/>
  <c r="H776" i="42"/>
  <c r="F776" i="42"/>
  <c r="D776" i="42"/>
  <c r="E776" i="42"/>
  <c r="H739" i="42"/>
  <c r="F739" i="42"/>
  <c r="D739" i="42"/>
  <c r="E739" i="42"/>
  <c r="E702" i="42"/>
  <c r="F665" i="42"/>
  <c r="E665" i="42"/>
  <c r="D665" i="42"/>
  <c r="F627" i="42"/>
  <c r="E627" i="42"/>
  <c r="D627" i="42"/>
  <c r="H627" i="42"/>
  <c r="H590" i="42"/>
  <c r="F590" i="42"/>
  <c r="E590" i="42"/>
  <c r="D590" i="42"/>
  <c r="E553" i="42"/>
  <c r="D516" i="42"/>
  <c r="D479" i="42"/>
  <c r="E405" i="42"/>
  <c r="H331" i="42"/>
  <c r="F331" i="42"/>
  <c r="E331" i="42"/>
  <c r="D331" i="42"/>
  <c r="H295" i="42"/>
  <c r="F295" i="42"/>
  <c r="E295" i="42"/>
  <c r="D295" i="42"/>
  <c r="F223" i="42"/>
  <c r="E223" i="42"/>
  <c r="D223" i="42"/>
  <c r="D74" i="43"/>
  <c r="H525" i="5"/>
  <c r="F525" i="5"/>
  <c r="E525" i="5"/>
  <c r="D525" i="5"/>
  <c r="E492" i="5"/>
  <c r="D492" i="5"/>
  <c r="D461" i="5"/>
  <c r="E430" i="5"/>
  <c r="F430" i="5"/>
  <c r="D430" i="5"/>
  <c r="H407" i="5"/>
  <c r="F407" i="5"/>
  <c r="E407" i="5"/>
  <c r="D407" i="5"/>
  <c r="F384" i="5"/>
  <c r="E384" i="5"/>
  <c r="D384" i="5"/>
  <c r="H384" i="5"/>
  <c r="D323" i="5"/>
  <c r="E291" i="5"/>
  <c r="H291" i="5"/>
  <c r="F291" i="5"/>
  <c r="D291" i="5"/>
  <c r="D251" i="5"/>
  <c r="F187" i="5"/>
  <c r="E187" i="5"/>
  <c r="D187" i="5"/>
  <c r="H187" i="5"/>
  <c r="D149" i="5"/>
  <c r="E118" i="5"/>
  <c r="D118" i="5"/>
  <c r="D44" i="5"/>
  <c r="D1035" i="4"/>
  <c r="E887" i="4"/>
  <c r="D887" i="4"/>
  <c r="D850" i="4"/>
  <c r="D813" i="4"/>
  <c r="E813" i="4"/>
  <c r="D776" i="4"/>
  <c r="E776" i="4"/>
  <c r="E739" i="4"/>
  <c r="F739" i="4"/>
  <c r="D739" i="4"/>
  <c r="D665" i="4"/>
  <c r="D627" i="4"/>
  <c r="E627" i="4"/>
  <c r="D553" i="4"/>
  <c r="E553" i="4"/>
  <c r="D516" i="4"/>
  <c r="D405" i="4"/>
  <c r="E442" i="4"/>
  <c r="D442" i="4"/>
  <c r="D259" i="4"/>
  <c r="E188" i="4"/>
  <c r="E116" i="4"/>
  <c r="D152" i="4"/>
  <c r="E45" i="3"/>
  <c r="D45" i="3"/>
  <c r="V11" i="48"/>
  <c r="A3" i="40"/>
  <c r="B3" i="40"/>
  <c r="B6" i="40"/>
  <c r="BG7" i="40"/>
  <c r="AD10" i="40"/>
  <c r="BG10" i="40"/>
  <c r="BG18" i="40" s="1"/>
  <c r="BG21" i="40" s="1"/>
  <c r="AA18" i="40"/>
  <c r="AA21" i="40" s="1"/>
  <c r="AA29" i="40" s="1"/>
  <c r="AR18" i="40"/>
  <c r="AY18" i="40"/>
  <c r="BA18" i="40"/>
  <c r="BA21" i="40" s="1"/>
  <c r="BA29" i="40" s="1"/>
  <c r="AR21" i="40"/>
  <c r="AY21" i="40"/>
  <c r="AY29" i="40" s="1"/>
  <c r="BG23" i="40"/>
  <c r="AW25" i="40"/>
  <c r="BG25" i="40"/>
  <c r="BG27" i="40"/>
  <c r="AR29" i="40"/>
  <c r="AW33" i="40"/>
  <c r="BG33" i="40"/>
  <c r="BG39" i="40"/>
  <c r="H39" i="40"/>
  <c r="V39" i="40"/>
  <c r="AA39" i="40"/>
  <c r="AC39" i="40"/>
  <c r="AD39" i="40"/>
  <c r="AF39" i="40"/>
  <c r="AN39" i="40"/>
  <c r="AR39" i="40"/>
  <c r="AY39" i="40"/>
  <c r="BA39" i="40"/>
  <c r="BE45" i="40"/>
  <c r="H48" i="40"/>
  <c r="L48" i="40"/>
  <c r="P48" i="40"/>
  <c r="T48" i="40"/>
  <c r="AA48" i="40"/>
  <c r="AC48" i="40"/>
  <c r="AD48" i="40"/>
  <c r="AF48" i="40"/>
  <c r="AH48" i="40"/>
  <c r="AL48" i="40"/>
  <c r="AN48" i="40"/>
  <c r="AP48" i="40"/>
  <c r="AR48" i="40"/>
  <c r="AU48" i="40"/>
  <c r="AY48" i="40"/>
  <c r="BA48" i="40"/>
  <c r="BG48" i="40"/>
  <c r="H57" i="40"/>
  <c r="J57" i="40"/>
  <c r="L57" i="40"/>
  <c r="N57" i="40"/>
  <c r="P57" i="40"/>
  <c r="R57" i="40"/>
  <c r="T57" i="40"/>
  <c r="V57" i="40"/>
  <c r="X57" i="40"/>
  <c r="AA57" i="40"/>
  <c r="AC57" i="40"/>
  <c r="AD57" i="40"/>
  <c r="AF57" i="40"/>
  <c r="AH57" i="40"/>
  <c r="AJ57" i="40"/>
  <c r="AL57" i="40"/>
  <c r="AN57" i="40"/>
  <c r="AP57" i="40"/>
  <c r="AR57" i="40"/>
  <c r="AU57" i="40"/>
  <c r="AW57" i="40"/>
  <c r="AY57" i="40"/>
  <c r="BA57" i="40"/>
  <c r="BC57" i="40"/>
  <c r="BE57" i="40"/>
  <c r="BG57" i="40"/>
  <c r="H66" i="40"/>
  <c r="J66" i="40"/>
  <c r="L66" i="40"/>
  <c r="N66" i="40"/>
  <c r="P66" i="40"/>
  <c r="R66" i="40"/>
  <c r="T66" i="40"/>
  <c r="V66" i="40"/>
  <c r="X66" i="40"/>
  <c r="AA66" i="40"/>
  <c r="AC66" i="40"/>
  <c r="AD66" i="40"/>
  <c r="AF66" i="40"/>
  <c r="AH66" i="40"/>
  <c r="AJ66" i="40"/>
  <c r="AL66" i="40"/>
  <c r="AN66" i="40"/>
  <c r="AP66" i="40"/>
  <c r="AR66" i="40"/>
  <c r="AU66" i="40"/>
  <c r="AW66" i="40"/>
  <c r="AY66" i="40"/>
  <c r="BA66" i="40"/>
  <c r="BC66" i="40"/>
  <c r="BE66" i="40"/>
  <c r="BG66" i="40"/>
  <c r="H75" i="40"/>
  <c r="J75" i="40"/>
  <c r="L75" i="40"/>
  <c r="N75" i="40"/>
  <c r="P75" i="40"/>
  <c r="R75" i="40"/>
  <c r="T75" i="40"/>
  <c r="V75" i="40"/>
  <c r="X75" i="40"/>
  <c r="AA75" i="40"/>
  <c r="AC75" i="40"/>
  <c r="AD75" i="40"/>
  <c r="AF75" i="40"/>
  <c r="AH75" i="40"/>
  <c r="AJ75" i="40"/>
  <c r="AL75" i="40"/>
  <c r="AN75" i="40"/>
  <c r="AP75" i="40"/>
  <c r="AR75" i="40"/>
  <c r="AU75" i="40"/>
  <c r="AW75" i="40"/>
  <c r="AY75" i="40"/>
  <c r="BA75" i="40"/>
  <c r="BC75" i="40"/>
  <c r="BE75" i="40"/>
  <c r="BG75" i="40"/>
  <c r="H84" i="40"/>
  <c r="J84" i="40"/>
  <c r="L84" i="40"/>
  <c r="N84" i="40"/>
  <c r="P84" i="40"/>
  <c r="R84" i="40"/>
  <c r="T84" i="40"/>
  <c r="V84" i="40"/>
  <c r="X84" i="40"/>
  <c r="AA84" i="40"/>
  <c r="AC84" i="40"/>
  <c r="AD84" i="40"/>
  <c r="AF84" i="40"/>
  <c r="AH84" i="40"/>
  <c r="AJ84" i="40"/>
  <c r="AL84" i="40"/>
  <c r="AN84" i="40"/>
  <c r="AP84" i="40"/>
  <c r="AR84" i="40"/>
  <c r="AU84" i="40"/>
  <c r="AW84" i="40"/>
  <c r="AY84" i="40"/>
  <c r="BA84" i="40"/>
  <c r="BC84" i="40"/>
  <c r="BE84" i="40"/>
  <c r="BG84" i="40"/>
  <c r="J92" i="40"/>
  <c r="L92" i="40"/>
  <c r="N92" i="40"/>
  <c r="P92" i="40"/>
  <c r="R92" i="40"/>
  <c r="T92" i="40"/>
  <c r="V92" i="40"/>
  <c r="X92" i="40"/>
  <c r="AA92" i="40"/>
  <c r="AC92" i="40"/>
  <c r="AD92" i="40"/>
  <c r="AF92" i="40"/>
  <c r="AH92" i="40"/>
  <c r="AJ92" i="40"/>
  <c r="AL92" i="40"/>
  <c r="AN92" i="40"/>
  <c r="AP92" i="40"/>
  <c r="AR92" i="40"/>
  <c r="AU92" i="40"/>
  <c r="AW92" i="40"/>
  <c r="AY92" i="40"/>
  <c r="BA92" i="40"/>
  <c r="BC92" i="40"/>
  <c r="BE92" i="40"/>
  <c r="BG92" i="40"/>
  <c r="J101" i="40"/>
  <c r="L101" i="40"/>
  <c r="N101" i="40"/>
  <c r="P101" i="40"/>
  <c r="R101" i="40"/>
  <c r="T101" i="40"/>
  <c r="V101" i="40"/>
  <c r="X101" i="40"/>
  <c r="AA101" i="40"/>
  <c r="AC101" i="40"/>
  <c r="AD101" i="40"/>
  <c r="AF101" i="40"/>
  <c r="AH101" i="40"/>
  <c r="AJ101" i="40"/>
  <c r="AL101" i="40"/>
  <c r="AN101" i="40"/>
  <c r="AP101" i="40"/>
  <c r="AR101" i="40"/>
  <c r="AU101" i="40"/>
  <c r="AW101" i="40"/>
  <c r="AY101" i="40"/>
  <c r="BA101" i="40"/>
  <c r="BC101" i="40"/>
  <c r="BE101" i="40"/>
  <c r="BG101" i="40"/>
  <c r="J110" i="40"/>
  <c r="L110" i="40"/>
  <c r="N110" i="40"/>
  <c r="P110" i="40"/>
  <c r="R110" i="40"/>
  <c r="T110" i="40"/>
  <c r="V110" i="40"/>
  <c r="X110" i="40"/>
  <c r="AA110" i="40"/>
  <c r="AC110" i="40"/>
  <c r="AD110" i="40"/>
  <c r="AF110" i="40"/>
  <c r="AH110" i="40"/>
  <c r="AJ110" i="40"/>
  <c r="AL110" i="40"/>
  <c r="AN110" i="40"/>
  <c r="AP110" i="40"/>
  <c r="AR110" i="40"/>
  <c r="AU110" i="40"/>
  <c r="AW110" i="40"/>
  <c r="AY110" i="40"/>
  <c r="BA110" i="40"/>
  <c r="BC110" i="40"/>
  <c r="BE110" i="40"/>
  <c r="BG110" i="40"/>
  <c r="H119" i="40"/>
  <c r="J119" i="40"/>
  <c r="L119" i="40"/>
  <c r="N119" i="40"/>
  <c r="P119" i="40"/>
  <c r="R119" i="40"/>
  <c r="T119" i="40"/>
  <c r="V119" i="40"/>
  <c r="X119" i="40"/>
  <c r="AA119" i="40"/>
  <c r="AA156" i="40" s="1"/>
  <c r="AA176" i="40" s="1"/>
  <c r="AA188" i="40" s="1"/>
  <c r="AA192" i="40" s="1"/>
  <c r="AC119" i="40"/>
  <c r="AD119" i="40"/>
  <c r="AF119" i="40"/>
  <c r="AH119" i="40"/>
  <c r="AJ119" i="40"/>
  <c r="AL119" i="40"/>
  <c r="AN119" i="40"/>
  <c r="AP119" i="40"/>
  <c r="AR119" i="40"/>
  <c r="AU119" i="40"/>
  <c r="AU156" i="40" s="1"/>
  <c r="AW119" i="40"/>
  <c r="AY119" i="40"/>
  <c r="BA119" i="40"/>
  <c r="BC119" i="40"/>
  <c r="BE119" i="40"/>
  <c r="BG119" i="40"/>
  <c r="J128" i="40"/>
  <c r="L128" i="40"/>
  <c r="N128" i="40"/>
  <c r="P128" i="40"/>
  <c r="R128" i="40"/>
  <c r="T128" i="40"/>
  <c r="V128" i="40"/>
  <c r="X128" i="40"/>
  <c r="AA128" i="40"/>
  <c r="AC128" i="40"/>
  <c r="AD128" i="40"/>
  <c r="AF128" i="40"/>
  <c r="AH128" i="40"/>
  <c r="AJ128" i="40"/>
  <c r="AL128" i="40"/>
  <c r="AP128" i="40"/>
  <c r="AR128" i="40"/>
  <c r="AU128" i="40"/>
  <c r="AW128" i="40"/>
  <c r="AY128" i="40"/>
  <c r="BA128" i="40"/>
  <c r="BC128" i="40"/>
  <c r="BE128" i="40"/>
  <c r="BG128" i="40"/>
  <c r="H136" i="40"/>
  <c r="J136" i="40"/>
  <c r="L136" i="40"/>
  <c r="N136" i="40"/>
  <c r="P136" i="40"/>
  <c r="R136" i="40"/>
  <c r="T136" i="40"/>
  <c r="V136" i="40"/>
  <c r="X136" i="40"/>
  <c r="AA136" i="40"/>
  <c r="AC136" i="40"/>
  <c r="AD136" i="40"/>
  <c r="AF136" i="40"/>
  <c r="AH136" i="40"/>
  <c r="AJ136" i="40"/>
  <c r="AL136" i="40"/>
  <c r="AN136" i="40"/>
  <c r="AP136" i="40"/>
  <c r="AR136" i="40"/>
  <c r="AU136" i="40"/>
  <c r="AW136" i="40"/>
  <c r="AY136" i="40"/>
  <c r="BA136" i="40"/>
  <c r="BC136" i="40"/>
  <c r="BE136" i="40"/>
  <c r="BG136" i="40"/>
  <c r="H145" i="40"/>
  <c r="J145" i="40"/>
  <c r="L145" i="40"/>
  <c r="L156" i="40" s="1"/>
  <c r="N145" i="40"/>
  <c r="P145" i="40"/>
  <c r="P156" i="40" s="1"/>
  <c r="R145" i="40"/>
  <c r="T145" i="40"/>
  <c r="T156" i="40" s="1"/>
  <c r="V145" i="40"/>
  <c r="X145" i="40"/>
  <c r="AA145" i="40"/>
  <c r="AC145" i="40"/>
  <c r="AC156" i="40" s="1"/>
  <c r="AD145" i="40"/>
  <c r="AF145" i="40"/>
  <c r="AF156" i="40" s="1"/>
  <c r="AH145" i="40"/>
  <c r="AJ145" i="40"/>
  <c r="AL145" i="40"/>
  <c r="AN145" i="40"/>
  <c r="AP145" i="40"/>
  <c r="AR145" i="40"/>
  <c r="AR156" i="40" s="1"/>
  <c r="AR176" i="40" s="1"/>
  <c r="AR188" i="40" s="1"/>
  <c r="AU145" i="40"/>
  <c r="AW145" i="40"/>
  <c r="AY145" i="40"/>
  <c r="BA145" i="40"/>
  <c r="BA156" i="40" s="1"/>
  <c r="BA176" i="40" s="1"/>
  <c r="BC145" i="40"/>
  <c r="BE145" i="40"/>
  <c r="BG145" i="40"/>
  <c r="H154" i="40"/>
  <c r="J154" i="40"/>
  <c r="L154" i="40"/>
  <c r="N154" i="40"/>
  <c r="P154" i="40"/>
  <c r="R154" i="40"/>
  <c r="T154" i="40"/>
  <c r="V154" i="40"/>
  <c r="X154" i="40"/>
  <c r="AA154" i="40"/>
  <c r="AC154" i="40"/>
  <c r="AD154" i="40"/>
  <c r="AF154" i="40"/>
  <c r="AH154" i="40"/>
  <c r="AJ154" i="40"/>
  <c r="AL154" i="40"/>
  <c r="AN154" i="40"/>
  <c r="AP154" i="40"/>
  <c r="AR154" i="40"/>
  <c r="AU154" i="40"/>
  <c r="AW154" i="40"/>
  <c r="AY154" i="40"/>
  <c r="BA154" i="40"/>
  <c r="BC154" i="40"/>
  <c r="BE154" i="40"/>
  <c r="BG154" i="40"/>
  <c r="AH156" i="40"/>
  <c r="BG156" i="40"/>
  <c r="H165" i="40"/>
  <c r="J165" i="40"/>
  <c r="L165" i="40"/>
  <c r="N165" i="40"/>
  <c r="P165" i="40"/>
  <c r="R165" i="40"/>
  <c r="T165" i="40"/>
  <c r="V165" i="40"/>
  <c r="X165" i="40"/>
  <c r="AA165" i="40"/>
  <c r="AC165" i="40"/>
  <c r="AD165" i="40"/>
  <c r="AH165" i="40"/>
  <c r="AJ165" i="40"/>
  <c r="AL165" i="40"/>
  <c r="AN165" i="40"/>
  <c r="AP165" i="40"/>
  <c r="AR165" i="40"/>
  <c r="AU165" i="40"/>
  <c r="AW165" i="40"/>
  <c r="AY165" i="40"/>
  <c r="BA165" i="40"/>
  <c r="BC165" i="40"/>
  <c r="BE165" i="40"/>
  <c r="BG165" i="40"/>
  <c r="L174" i="40"/>
  <c r="P174" i="40"/>
  <c r="R174" i="40"/>
  <c r="T174" i="40"/>
  <c r="V174" i="40"/>
  <c r="AA174" i="40"/>
  <c r="AF174" i="40"/>
  <c r="AH174" i="40"/>
  <c r="AL174" i="40"/>
  <c r="AN174" i="40"/>
  <c r="AP174" i="40"/>
  <c r="AR174" i="40"/>
  <c r="AU174" i="40"/>
  <c r="AW174" i="40"/>
  <c r="AY174" i="40"/>
  <c r="BA174" i="40"/>
  <c r="BC174" i="40"/>
  <c r="BE174" i="40"/>
  <c r="BG174" i="40"/>
  <c r="BG179" i="40"/>
  <c r="AD180" i="40"/>
  <c r="AL181" i="40"/>
  <c r="AW181" i="40"/>
  <c r="AP184" i="40"/>
  <c r="AP185" i="40"/>
  <c r="BE185" i="40"/>
  <c r="AA186" i="40"/>
  <c r="AR186" i="40"/>
  <c r="AY186" i="40"/>
  <c r="BA186" i="40"/>
  <c r="BG186" i="40"/>
  <c r="BA188" i="40"/>
  <c r="BG190" i="40"/>
  <c r="A1" i="32"/>
  <c r="H9" i="32"/>
  <c r="H10" i="32"/>
  <c r="B11" i="32"/>
  <c r="C11" i="32"/>
  <c r="E11" i="32"/>
  <c r="H13" i="32"/>
  <c r="H14" i="32"/>
  <c r="H15" i="32"/>
  <c r="H16" i="32"/>
  <c r="H17" i="32"/>
  <c r="B18" i="32"/>
  <c r="C18" i="32"/>
  <c r="H19" i="32"/>
  <c r="C20" i="32"/>
  <c r="C21" i="32"/>
  <c r="G21" i="32"/>
  <c r="B23" i="32"/>
  <c r="C23" i="32"/>
  <c r="D23" i="32"/>
  <c r="E23" i="32"/>
  <c r="F23" i="32"/>
  <c r="G23" i="32"/>
  <c r="H23" i="32"/>
  <c r="B25" i="32"/>
  <c r="C25" i="32"/>
  <c r="C26" i="32"/>
  <c r="F26" i="32"/>
  <c r="G27" i="32"/>
  <c r="H27" i="32" s="1"/>
  <c r="C16" i="28" s="1"/>
  <c r="A1" i="31"/>
  <c r="C8" i="31"/>
  <c r="F8" i="31"/>
  <c r="C10" i="31"/>
  <c r="F10" i="31"/>
  <c r="F14" i="31" s="1"/>
  <c r="C11" i="31"/>
  <c r="C14" i="31"/>
  <c r="C15" i="31"/>
  <c r="F15" i="31"/>
  <c r="C16" i="31"/>
  <c r="F16" i="31"/>
  <c r="G17" i="31"/>
  <c r="C18" i="31"/>
  <c r="F18" i="31"/>
  <c r="B19" i="31"/>
  <c r="C19" i="31"/>
  <c r="C20" i="31" s="1"/>
  <c r="D19" i="31"/>
  <c r="E19" i="31"/>
  <c r="F19" i="31"/>
  <c r="G19" i="31"/>
  <c r="H19" i="31"/>
  <c r="F20" i="31"/>
  <c r="A1" i="30"/>
  <c r="D11" i="30"/>
  <c r="F11" i="30"/>
  <c r="H11" i="30"/>
  <c r="K11" i="30"/>
  <c r="L11" i="30"/>
  <c r="M11" i="30"/>
  <c r="D18" i="30"/>
  <c r="F18" i="30"/>
  <c r="H18" i="30"/>
  <c r="L18" i="30"/>
  <c r="B23" i="30"/>
  <c r="C23" i="30"/>
  <c r="D23" i="30"/>
  <c r="E23" i="30"/>
  <c r="F23" i="30"/>
  <c r="G23" i="30"/>
  <c r="H23" i="30"/>
  <c r="I23" i="30"/>
  <c r="J23" i="30"/>
  <c r="K23" i="30"/>
  <c r="L23" i="30"/>
  <c r="M23" i="30"/>
  <c r="N23" i="30"/>
  <c r="A1" i="29"/>
  <c r="L19" i="29"/>
  <c r="B22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A1" i="28"/>
  <c r="B1" i="27"/>
  <c r="D1" i="27"/>
  <c r="B22" i="27"/>
  <c r="C22" i="27"/>
  <c r="D22" i="27"/>
  <c r="B31" i="27"/>
  <c r="B1" i="26"/>
  <c r="D1" i="26"/>
  <c r="C12" i="26"/>
  <c r="D12" i="26" s="1"/>
  <c r="C15" i="26"/>
  <c r="D15" i="26" s="1"/>
  <c r="F15" i="26" s="1"/>
  <c r="B18" i="26"/>
  <c r="C18" i="26"/>
  <c r="E18" i="26"/>
  <c r="B1" i="25"/>
  <c r="D1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36" i="25"/>
  <c r="G41" i="25"/>
  <c r="G43" i="25" s="1"/>
  <c r="E47" i="25"/>
  <c r="C14" i="26" s="1"/>
  <c r="D14" i="26" s="1"/>
  <c r="F14" i="26" s="1"/>
  <c r="F50" i="25"/>
  <c r="F51" i="25"/>
  <c r="C18" i="24"/>
  <c r="C57" i="24"/>
  <c r="C68" i="24"/>
  <c r="B1" i="23"/>
  <c r="E1" i="23"/>
  <c r="B1" i="22"/>
  <c r="D1" i="22"/>
  <c r="H21" i="22"/>
  <c r="I22" i="22"/>
  <c r="I47" i="22"/>
  <c r="I50" i="22"/>
  <c r="C1" i="39"/>
  <c r="E1" i="39"/>
  <c r="I6" i="39"/>
  <c r="BE7" i="40" s="1"/>
  <c r="I9" i="39"/>
  <c r="I10" i="39"/>
  <c r="BE25" i="40" s="1"/>
  <c r="I11" i="39"/>
  <c r="D13" i="39"/>
  <c r="E13" i="39"/>
  <c r="F13" i="39"/>
  <c r="G13" i="39"/>
  <c r="G15" i="39" s="1"/>
  <c r="G61" i="39" s="1"/>
  <c r="H13" i="39"/>
  <c r="I13" i="39"/>
  <c r="I15" i="39" s="1"/>
  <c r="I61" i="39" s="1"/>
  <c r="D15" i="39"/>
  <c r="E15" i="39"/>
  <c r="E61" i="39" s="1"/>
  <c r="F15" i="39"/>
  <c r="H15" i="39"/>
  <c r="I18" i="39"/>
  <c r="I23" i="39"/>
  <c r="BE33" i="40" s="1"/>
  <c r="I24" i="39"/>
  <c r="I25" i="39"/>
  <c r="I26" i="39"/>
  <c r="I27" i="39"/>
  <c r="I28" i="39"/>
  <c r="BE36" i="40" s="1"/>
  <c r="I29" i="39"/>
  <c r="I30" i="39"/>
  <c r="I31" i="39"/>
  <c r="BE38" i="40" s="1"/>
  <c r="D33" i="39"/>
  <c r="E33" i="39"/>
  <c r="F33" i="39"/>
  <c r="G33" i="39"/>
  <c r="H33" i="39"/>
  <c r="I36" i="39"/>
  <c r="BE42" i="40" s="1"/>
  <c r="I37" i="39"/>
  <c r="BE43" i="40" s="1"/>
  <c r="I38" i="39"/>
  <c r="I39" i="39"/>
  <c r="I40" i="39"/>
  <c r="I41" i="39"/>
  <c r="I42" i="39"/>
  <c r="BE46" i="40" s="1"/>
  <c r="I43" i="39"/>
  <c r="D44" i="39"/>
  <c r="D47" i="39" s="1"/>
  <c r="E44" i="39"/>
  <c r="E47" i="39"/>
  <c r="E49" i="39" s="1"/>
  <c r="E58" i="39" s="1"/>
  <c r="F44" i="39"/>
  <c r="G44" i="39"/>
  <c r="H44" i="39"/>
  <c r="I44" i="39"/>
  <c r="BE47" i="40" s="1"/>
  <c r="I45" i="39"/>
  <c r="F47" i="39"/>
  <c r="G47" i="39"/>
  <c r="G49" i="39" s="1"/>
  <c r="H47" i="39"/>
  <c r="F49" i="39"/>
  <c r="H49" i="39"/>
  <c r="I52" i="39"/>
  <c r="I53" i="39"/>
  <c r="I54" i="39"/>
  <c r="BE180" i="40" s="1"/>
  <c r="I55" i="39"/>
  <c r="BE179" i="40" s="1"/>
  <c r="D56" i="39"/>
  <c r="E56" i="39"/>
  <c r="F56" i="39"/>
  <c r="G56" i="39"/>
  <c r="H56" i="39"/>
  <c r="G58" i="39"/>
  <c r="D61" i="39"/>
  <c r="F61" i="39"/>
  <c r="H61" i="39"/>
  <c r="G63" i="39"/>
  <c r="C1" i="21"/>
  <c r="E1" i="21"/>
  <c r="I6" i="21"/>
  <c r="AW7" i="40" s="1"/>
  <c r="I9" i="21"/>
  <c r="AW10" i="40" s="1"/>
  <c r="AW18" i="40" s="1"/>
  <c r="I10" i="21"/>
  <c r="I11" i="21"/>
  <c r="AW27" i="40" s="1"/>
  <c r="D13" i="21"/>
  <c r="E13" i="21"/>
  <c r="F13" i="21"/>
  <c r="G13" i="21"/>
  <c r="G15" i="21" s="1"/>
  <c r="H13" i="21"/>
  <c r="I13" i="21"/>
  <c r="I15" i="21" s="1"/>
  <c r="D15" i="21"/>
  <c r="E15" i="21"/>
  <c r="E61" i="21" s="1"/>
  <c r="F15" i="21"/>
  <c r="F61" i="21" s="1"/>
  <c r="H15" i="21"/>
  <c r="H61" i="21" s="1"/>
  <c r="I18" i="21"/>
  <c r="C66" i="24" s="1"/>
  <c r="I23" i="21"/>
  <c r="I24" i="21"/>
  <c r="BC33" i="40" s="1"/>
  <c r="I25" i="21"/>
  <c r="I26" i="21"/>
  <c r="I27" i="21"/>
  <c r="I28" i="21"/>
  <c r="AW36" i="40" s="1"/>
  <c r="I29" i="21"/>
  <c r="I30" i="21"/>
  <c r="I31" i="21"/>
  <c r="AW38" i="40" s="1"/>
  <c r="D33" i="21"/>
  <c r="D49" i="21" s="1"/>
  <c r="D58" i="21" s="1"/>
  <c r="D63" i="21" s="1"/>
  <c r="F33" i="21"/>
  <c r="G33" i="21"/>
  <c r="H33" i="21"/>
  <c r="I33" i="21"/>
  <c r="I36" i="21"/>
  <c r="AW42" i="40" s="1"/>
  <c r="I37" i="21"/>
  <c r="I38" i="21"/>
  <c r="I39" i="21"/>
  <c r="I40" i="21"/>
  <c r="I41" i="21"/>
  <c r="AW45" i="40" s="1"/>
  <c r="I42" i="21"/>
  <c r="I43" i="21"/>
  <c r="D44" i="21"/>
  <c r="E44" i="21"/>
  <c r="E47" i="21" s="1"/>
  <c r="F44" i="21"/>
  <c r="G44" i="21"/>
  <c r="G47" i="21" s="1"/>
  <c r="H44" i="21"/>
  <c r="I44" i="21"/>
  <c r="AW47" i="40" s="1"/>
  <c r="I45" i="21"/>
  <c r="D47" i="21"/>
  <c r="F47" i="21"/>
  <c r="F49" i="21" s="1"/>
  <c r="H47" i="21"/>
  <c r="H49" i="21" s="1"/>
  <c r="H58" i="21" s="1"/>
  <c r="H63" i="21" s="1"/>
  <c r="G49" i="21"/>
  <c r="G58" i="21" s="1"/>
  <c r="G63" i="21" s="1"/>
  <c r="I52" i="21"/>
  <c r="I53" i="21"/>
  <c r="AW185" i="40" s="1"/>
  <c r="AW186" i="40" s="1"/>
  <c r="I54" i="21"/>
  <c r="AW180" i="40" s="1"/>
  <c r="I55" i="21"/>
  <c r="AW179" i="40" s="1"/>
  <c r="D56" i="21"/>
  <c r="E56" i="21"/>
  <c r="F56" i="21"/>
  <c r="G56" i="21"/>
  <c r="H56" i="21"/>
  <c r="I56" i="21"/>
  <c r="F58" i="21"/>
  <c r="F63" i="21" s="1"/>
  <c r="D61" i="21"/>
  <c r="G61" i="21"/>
  <c r="I61" i="21"/>
  <c r="C1" i="20"/>
  <c r="E1" i="20"/>
  <c r="I6" i="20"/>
  <c r="BC7" i="40" s="1"/>
  <c r="I8" i="20"/>
  <c r="I9" i="20"/>
  <c r="I10" i="20"/>
  <c r="I11" i="20"/>
  <c r="I12" i="20"/>
  <c r="BC27" i="40" s="1"/>
  <c r="D14" i="20"/>
  <c r="E14" i="20"/>
  <c r="F14" i="20"/>
  <c r="F16" i="20" s="1"/>
  <c r="F62" i="20" s="1"/>
  <c r="G14" i="20"/>
  <c r="H14" i="20"/>
  <c r="H16" i="20" s="1"/>
  <c r="H62" i="20" s="1"/>
  <c r="D16" i="20"/>
  <c r="E16" i="20"/>
  <c r="E62" i="20"/>
  <c r="G16" i="20"/>
  <c r="I19" i="20"/>
  <c r="I24" i="20"/>
  <c r="I25" i="20"/>
  <c r="BC34" i="40" s="1"/>
  <c r="I26" i="20"/>
  <c r="I27" i="20"/>
  <c r="I28" i="20"/>
  <c r="I29" i="20"/>
  <c r="BC36" i="40" s="1"/>
  <c r="I30" i="20"/>
  <c r="BC37" i="40" s="1"/>
  <c r="I31" i="20"/>
  <c r="I32" i="20"/>
  <c r="BC38" i="40" s="1"/>
  <c r="D34" i="20"/>
  <c r="E34" i="20"/>
  <c r="F34" i="20"/>
  <c r="G34" i="20"/>
  <c r="H34" i="20"/>
  <c r="I34" i="20"/>
  <c r="I37" i="20"/>
  <c r="BC42" i="40" s="1"/>
  <c r="I38" i="20"/>
  <c r="I39" i="20"/>
  <c r="I40" i="20"/>
  <c r="BC44" i="40" s="1"/>
  <c r="I41" i="20"/>
  <c r="I42" i="20"/>
  <c r="BC45" i="40" s="1"/>
  <c r="I43" i="20"/>
  <c r="I44" i="20"/>
  <c r="D45" i="20"/>
  <c r="E45" i="20"/>
  <c r="E48" i="20" s="1"/>
  <c r="F45" i="20"/>
  <c r="G45" i="20"/>
  <c r="G48" i="20" s="1"/>
  <c r="H45" i="20"/>
  <c r="I45" i="20"/>
  <c r="BC47" i="40" s="1"/>
  <c r="I46" i="20"/>
  <c r="D48" i="20"/>
  <c r="D50" i="20" s="1"/>
  <c r="D59" i="20" s="1"/>
  <c r="D64" i="20" s="1"/>
  <c r="F48" i="20"/>
  <c r="F50" i="20" s="1"/>
  <c r="H48" i="20"/>
  <c r="H50" i="20" s="1"/>
  <c r="H59" i="20" s="1"/>
  <c r="H64" i="20" s="1"/>
  <c r="G50" i="20"/>
  <c r="G59" i="20" s="1"/>
  <c r="G64" i="20" s="1"/>
  <c r="I53" i="20"/>
  <c r="BC181" i="40" s="1"/>
  <c r="I54" i="20"/>
  <c r="BC185" i="40" s="1"/>
  <c r="I55" i="20"/>
  <c r="BC180" i="40" s="1"/>
  <c r="I56" i="20"/>
  <c r="BC179" i="40" s="1"/>
  <c r="BC186" i="40" s="1"/>
  <c r="D57" i="20"/>
  <c r="E57" i="20"/>
  <c r="F57" i="20"/>
  <c r="G57" i="20"/>
  <c r="H57" i="20"/>
  <c r="I57" i="20"/>
  <c r="F59" i="20"/>
  <c r="F64" i="20" s="1"/>
  <c r="D62" i="20"/>
  <c r="G62" i="20"/>
  <c r="C1" i="19"/>
  <c r="E1" i="19"/>
  <c r="I6" i="19"/>
  <c r="I8" i="19"/>
  <c r="I9" i="19"/>
  <c r="I10" i="19"/>
  <c r="I11" i="19"/>
  <c r="I12" i="19"/>
  <c r="I13" i="19"/>
  <c r="I14" i="19"/>
  <c r="I15" i="19"/>
  <c r="I16" i="19"/>
  <c r="AP25" i="40" s="1"/>
  <c r="I17" i="19"/>
  <c r="AP27" i="40" s="1"/>
  <c r="D19" i="19"/>
  <c r="E19" i="19"/>
  <c r="F19" i="19"/>
  <c r="G19" i="19"/>
  <c r="G21" i="19" s="1"/>
  <c r="H19" i="19"/>
  <c r="I19" i="19"/>
  <c r="D21" i="19"/>
  <c r="E21" i="19"/>
  <c r="E52" i="19" s="1"/>
  <c r="F21" i="19"/>
  <c r="F52" i="19" s="1"/>
  <c r="H21" i="19"/>
  <c r="H52" i="19" s="1"/>
  <c r="I24" i="19"/>
  <c r="C64" i="24" s="1"/>
  <c r="I28" i="19"/>
  <c r="AP33" i="40" s="1"/>
  <c r="I29" i="19"/>
  <c r="I30" i="19"/>
  <c r="I31" i="19"/>
  <c r="I32" i="19"/>
  <c r="I33" i="19"/>
  <c r="AP36" i="40" s="1"/>
  <c r="I34" i="19"/>
  <c r="I35" i="19"/>
  <c r="D36" i="19"/>
  <c r="E36" i="19"/>
  <c r="E39" i="19" s="1"/>
  <c r="F36" i="19"/>
  <c r="G36" i="19"/>
  <c r="G39" i="19" s="1"/>
  <c r="G49" i="19" s="1"/>
  <c r="G54" i="19" s="1"/>
  <c r="H36" i="19"/>
  <c r="I36" i="19"/>
  <c r="AP38" i="40" s="1"/>
  <c r="I37" i="19"/>
  <c r="D39" i="19"/>
  <c r="D49" i="19" s="1"/>
  <c r="F39" i="19"/>
  <c r="H39" i="19"/>
  <c r="H49" i="19" s="1"/>
  <c r="H54" i="19" s="1"/>
  <c r="I42" i="19"/>
  <c r="AP181" i="40" s="1"/>
  <c r="AP186" i="40" s="1"/>
  <c r="I43" i="19"/>
  <c r="I44" i="19"/>
  <c r="I45" i="19"/>
  <c r="AP180" i="40" s="1"/>
  <c r="I46" i="19"/>
  <c r="AP179" i="40" s="1"/>
  <c r="D47" i="19"/>
  <c r="E47" i="19"/>
  <c r="F47" i="19"/>
  <c r="G47" i="19"/>
  <c r="H47" i="19"/>
  <c r="I47" i="19"/>
  <c r="F49" i="19"/>
  <c r="F54" i="19" s="1"/>
  <c r="D52" i="19"/>
  <c r="G52" i="19"/>
  <c r="C1" i="18"/>
  <c r="E1" i="18"/>
  <c r="I7" i="18"/>
  <c r="I9" i="18"/>
  <c r="I10" i="18"/>
  <c r="I11" i="18"/>
  <c r="I12" i="18"/>
  <c r="I13" i="18"/>
  <c r="AU27" i="40" s="1"/>
  <c r="D15" i="18"/>
  <c r="E15" i="18"/>
  <c r="F15" i="18"/>
  <c r="F17" i="18" s="1"/>
  <c r="G15" i="18"/>
  <c r="H15" i="18"/>
  <c r="H17" i="18" s="1"/>
  <c r="D17" i="18"/>
  <c r="D48" i="18" s="1"/>
  <c r="E17" i="18"/>
  <c r="E48" i="18"/>
  <c r="G17" i="18"/>
  <c r="G48" i="18" s="1"/>
  <c r="I20" i="18"/>
  <c r="I24" i="18"/>
  <c r="I25" i="18"/>
  <c r="AU34" i="40" s="1"/>
  <c r="I26" i="18"/>
  <c r="I27" i="18"/>
  <c r="I28" i="18"/>
  <c r="I29" i="18"/>
  <c r="AU36" i="40" s="1"/>
  <c r="I30" i="18"/>
  <c r="AU37" i="40" s="1"/>
  <c r="I31" i="18"/>
  <c r="D32" i="18"/>
  <c r="D35" i="18" s="1"/>
  <c r="E32" i="18"/>
  <c r="E35" i="18" s="1"/>
  <c r="F32" i="18"/>
  <c r="F35" i="18" s="1"/>
  <c r="F45" i="18" s="1"/>
  <c r="F50" i="18" s="1"/>
  <c r="G32" i="18"/>
  <c r="G35" i="18" s="1"/>
  <c r="H32" i="18"/>
  <c r="H35" i="18" s="1"/>
  <c r="I32" i="18"/>
  <c r="I33" i="18"/>
  <c r="I38" i="18"/>
  <c r="AU181" i="40" s="1"/>
  <c r="I39" i="18"/>
  <c r="I40" i="18"/>
  <c r="AU185" i="40" s="1"/>
  <c r="I41" i="18"/>
  <c r="AU180" i="40" s="1"/>
  <c r="I42" i="18"/>
  <c r="AU179" i="40" s="1"/>
  <c r="D43" i="18"/>
  <c r="E43" i="18"/>
  <c r="E45" i="18"/>
  <c r="F43" i="18"/>
  <c r="G43" i="18"/>
  <c r="G45" i="18" s="1"/>
  <c r="H43" i="18"/>
  <c r="I43" i="18"/>
  <c r="M26" i="30" s="1"/>
  <c r="H45" i="18"/>
  <c r="H50" i="18" s="1"/>
  <c r="F48" i="18"/>
  <c r="H48" i="18"/>
  <c r="G50" i="18"/>
  <c r="C1" i="17"/>
  <c r="E1" i="17"/>
  <c r="I6" i="17"/>
  <c r="AL7" i="40" s="1"/>
  <c r="I9" i="17"/>
  <c r="I10" i="17"/>
  <c r="I17" i="17" s="1"/>
  <c r="I19" i="17" s="1"/>
  <c r="I11" i="17"/>
  <c r="I12" i="17"/>
  <c r="I13" i="17"/>
  <c r="I14" i="17"/>
  <c r="AL25" i="40" s="1"/>
  <c r="I15" i="17"/>
  <c r="AL27" i="40" s="1"/>
  <c r="D17" i="17"/>
  <c r="E17" i="17"/>
  <c r="F17" i="17"/>
  <c r="F19" i="17" s="1"/>
  <c r="F50" i="17" s="1"/>
  <c r="G17" i="17"/>
  <c r="H17" i="17"/>
  <c r="H19" i="17" s="1"/>
  <c r="H50" i="17" s="1"/>
  <c r="D19" i="17"/>
  <c r="D50" i="17" s="1"/>
  <c r="E19" i="17"/>
  <c r="E50" i="17"/>
  <c r="G19" i="17"/>
  <c r="G50" i="17" s="1"/>
  <c r="G52" i="17" s="1"/>
  <c r="I22" i="17"/>
  <c r="I26" i="17"/>
  <c r="AL33" i="40" s="1"/>
  <c r="I27" i="17"/>
  <c r="AL34" i="40" s="1"/>
  <c r="I28" i="17"/>
  <c r="I29" i="17"/>
  <c r="I30" i="17"/>
  <c r="I31" i="17"/>
  <c r="AL36" i="40" s="1"/>
  <c r="I32" i="17"/>
  <c r="AL37" i="40" s="1"/>
  <c r="I33" i="17"/>
  <c r="D34" i="17"/>
  <c r="D37" i="17" s="1"/>
  <c r="D47" i="17" s="1"/>
  <c r="D52" i="17" s="1"/>
  <c r="E34" i="17"/>
  <c r="F34" i="17"/>
  <c r="F37" i="17" s="1"/>
  <c r="F47" i="17" s="1"/>
  <c r="F52" i="17" s="1"/>
  <c r="G34" i="17"/>
  <c r="H34" i="17"/>
  <c r="H37" i="17" s="1"/>
  <c r="H47" i="17" s="1"/>
  <c r="H52" i="17" s="1"/>
  <c r="I34" i="17"/>
  <c r="I35" i="17"/>
  <c r="E37" i="17"/>
  <c r="G37" i="17"/>
  <c r="I37" i="17"/>
  <c r="L21" i="30" s="1"/>
  <c r="I40" i="17"/>
  <c r="I41" i="17"/>
  <c r="AL184" i="40" s="1"/>
  <c r="I42" i="17"/>
  <c r="AL185" i="40" s="1"/>
  <c r="I43" i="17"/>
  <c r="AL180" i="40" s="1"/>
  <c r="I44" i="17"/>
  <c r="AL179" i="40" s="1"/>
  <c r="D45" i="17"/>
  <c r="E45" i="17"/>
  <c r="F45" i="17"/>
  <c r="G45" i="17"/>
  <c r="H45" i="17"/>
  <c r="G47" i="17"/>
  <c r="I56" i="17"/>
  <c r="C1" i="16"/>
  <c r="E1" i="16"/>
  <c r="I6" i="16"/>
  <c r="I9" i="16"/>
  <c r="I10" i="16"/>
  <c r="K13" i="29" s="1"/>
  <c r="I11" i="16"/>
  <c r="I12" i="16"/>
  <c r="I13" i="16"/>
  <c r="I14" i="16"/>
  <c r="I15" i="16"/>
  <c r="I16" i="16"/>
  <c r="I17" i="16"/>
  <c r="I18" i="16"/>
  <c r="I19" i="16"/>
  <c r="I20" i="16"/>
  <c r="K19" i="29" s="1"/>
  <c r="D22" i="16"/>
  <c r="E22" i="16"/>
  <c r="F22" i="16"/>
  <c r="G22" i="16"/>
  <c r="G24" i="16" s="1"/>
  <c r="G60" i="16" s="1"/>
  <c r="H22" i="16"/>
  <c r="I22" i="16"/>
  <c r="D24" i="16"/>
  <c r="E24" i="16"/>
  <c r="E60" i="16" s="1"/>
  <c r="F24" i="16"/>
  <c r="F60" i="16" s="1"/>
  <c r="F62" i="16" s="1"/>
  <c r="H24" i="16"/>
  <c r="H60" i="16" s="1"/>
  <c r="H62" i="16" s="1"/>
  <c r="I27" i="16"/>
  <c r="I33" i="16"/>
  <c r="I35" i="16"/>
  <c r="I36" i="16"/>
  <c r="AN124" i="40" s="1"/>
  <c r="I37" i="16"/>
  <c r="I38" i="16"/>
  <c r="I39" i="16"/>
  <c r="I40" i="16"/>
  <c r="I41" i="16"/>
  <c r="AN126" i="40" s="1"/>
  <c r="I42" i="16"/>
  <c r="I43" i="16"/>
  <c r="D44" i="16"/>
  <c r="E44" i="16"/>
  <c r="E47" i="16" s="1"/>
  <c r="F44" i="16"/>
  <c r="G44" i="16"/>
  <c r="H44" i="16"/>
  <c r="I44" i="16"/>
  <c r="I45" i="16"/>
  <c r="D47" i="16"/>
  <c r="D57" i="16" s="1"/>
  <c r="D62" i="16" s="1"/>
  <c r="F47" i="16"/>
  <c r="H47" i="16"/>
  <c r="I50" i="16"/>
  <c r="AN181" i="40" s="1"/>
  <c r="I51" i="16"/>
  <c r="I52" i="16"/>
  <c r="AN185" i="40" s="1"/>
  <c r="I53" i="16"/>
  <c r="AN180" i="40" s="1"/>
  <c r="I54" i="16"/>
  <c r="AN179" i="40" s="1"/>
  <c r="D55" i="16"/>
  <c r="E55" i="16"/>
  <c r="F55" i="16"/>
  <c r="G55" i="16"/>
  <c r="H55" i="16"/>
  <c r="I55" i="16"/>
  <c r="K26" i="30" s="1"/>
  <c r="F57" i="16"/>
  <c r="H57" i="16"/>
  <c r="D60" i="16"/>
  <c r="I66" i="16"/>
  <c r="C1" i="37"/>
  <c r="E1" i="37"/>
  <c r="I6" i="37"/>
  <c r="AJ7" i="40" s="1"/>
  <c r="I8" i="37"/>
  <c r="I9" i="37"/>
  <c r="I10" i="37"/>
  <c r="I11" i="37"/>
  <c r="I12" i="37"/>
  <c r="I13" i="37"/>
  <c r="AJ12" i="40" s="1"/>
  <c r="I14" i="37"/>
  <c r="I15" i="37"/>
  <c r="I16" i="37"/>
  <c r="I17" i="37"/>
  <c r="I18" i="37"/>
  <c r="AJ16" i="40" s="1"/>
  <c r="I19" i="37"/>
  <c r="AJ25" i="40" s="1"/>
  <c r="I20" i="37"/>
  <c r="AJ27" i="40" s="1"/>
  <c r="I21" i="37"/>
  <c r="I22" i="37"/>
  <c r="I23" i="37"/>
  <c r="D25" i="37"/>
  <c r="E25" i="37"/>
  <c r="F25" i="37"/>
  <c r="G25" i="37"/>
  <c r="H25" i="37"/>
  <c r="D27" i="37"/>
  <c r="E27" i="37"/>
  <c r="F27" i="37"/>
  <c r="G27" i="37"/>
  <c r="H27" i="37"/>
  <c r="I30" i="37"/>
  <c r="C60" i="24" s="1"/>
  <c r="I35" i="37"/>
  <c r="AJ33" i="40" s="1"/>
  <c r="I36" i="37"/>
  <c r="AJ34" i="40" s="1"/>
  <c r="I37" i="37"/>
  <c r="AJ35" i="40" s="1"/>
  <c r="I38" i="37"/>
  <c r="I39" i="37"/>
  <c r="I40" i="37"/>
  <c r="AJ36" i="40" s="1"/>
  <c r="I41" i="37"/>
  <c r="I42" i="37"/>
  <c r="I43" i="37"/>
  <c r="I44" i="37"/>
  <c r="I45" i="37"/>
  <c r="I46" i="37"/>
  <c r="I47" i="37"/>
  <c r="I48" i="37"/>
  <c r="I49" i="37"/>
  <c r="AJ38" i="40" s="1"/>
  <c r="D51" i="37"/>
  <c r="D80" i="37" s="1"/>
  <c r="D90" i="37" s="1"/>
  <c r="D95" i="37" s="1"/>
  <c r="E51" i="37"/>
  <c r="F51" i="37"/>
  <c r="G51" i="37"/>
  <c r="H51" i="37"/>
  <c r="I54" i="37"/>
  <c r="AJ42" i="40" s="1"/>
  <c r="I55" i="37"/>
  <c r="AJ43" i="40" s="1"/>
  <c r="I56" i="37"/>
  <c r="I57" i="37"/>
  <c r="I58" i="37"/>
  <c r="I59" i="37"/>
  <c r="AJ45" i="40" s="1"/>
  <c r="I60" i="37"/>
  <c r="AJ46" i="40" s="1"/>
  <c r="I61" i="37"/>
  <c r="I62" i="37"/>
  <c r="I63" i="37"/>
  <c r="I64" i="37"/>
  <c r="I65" i="37"/>
  <c r="I66" i="37"/>
  <c r="I67" i="37"/>
  <c r="I68" i="37"/>
  <c r="AJ47" i="40" s="1"/>
  <c r="D70" i="37"/>
  <c r="E70" i="37"/>
  <c r="F70" i="37"/>
  <c r="G70" i="37"/>
  <c r="G80" i="37" s="1"/>
  <c r="G90" i="37" s="1"/>
  <c r="G95" i="37" s="1"/>
  <c r="H70" i="37"/>
  <c r="I70" i="37"/>
  <c r="I73" i="37"/>
  <c r="AJ173" i="40" s="1"/>
  <c r="AJ174" i="40" s="1"/>
  <c r="I74" i="37"/>
  <c r="D76" i="37"/>
  <c r="E76" i="37"/>
  <c r="F76" i="37"/>
  <c r="G76" i="37"/>
  <c r="H76" i="37"/>
  <c r="I76" i="37"/>
  <c r="D78" i="37"/>
  <c r="E78" i="37"/>
  <c r="F78" i="37"/>
  <c r="G78" i="37"/>
  <c r="H78" i="37"/>
  <c r="I78" i="37"/>
  <c r="D20" i="32" s="1"/>
  <c r="F80" i="37"/>
  <c r="H80" i="37"/>
  <c r="I83" i="37"/>
  <c r="AJ181" i="40" s="1"/>
  <c r="I84" i="37"/>
  <c r="AJ184" i="40" s="1"/>
  <c r="I85" i="37"/>
  <c r="AJ185" i="40" s="1"/>
  <c r="I86" i="37"/>
  <c r="AJ180" i="40" s="1"/>
  <c r="I87" i="37"/>
  <c r="AJ179" i="40" s="1"/>
  <c r="D88" i="37"/>
  <c r="E88" i="37"/>
  <c r="F88" i="37"/>
  <c r="G88" i="37"/>
  <c r="H88" i="37"/>
  <c r="I88" i="37"/>
  <c r="F90" i="37"/>
  <c r="F95" i="37" s="1"/>
  <c r="H90" i="37"/>
  <c r="H95" i="37" s="1"/>
  <c r="D93" i="37"/>
  <c r="E93" i="37"/>
  <c r="F93" i="37"/>
  <c r="G93" i="37"/>
  <c r="H93" i="37"/>
  <c r="C1" i="14"/>
  <c r="E1" i="14"/>
  <c r="I6" i="14"/>
  <c r="I8" i="14"/>
  <c r="I9" i="14"/>
  <c r="I10" i="14"/>
  <c r="I11" i="14"/>
  <c r="I12" i="14"/>
  <c r="I13" i="14"/>
  <c r="D15" i="14"/>
  <c r="E15" i="14"/>
  <c r="F15" i="14"/>
  <c r="F17" i="14" s="1"/>
  <c r="F43" i="14" s="1"/>
  <c r="G15" i="14"/>
  <c r="H15" i="14"/>
  <c r="H17" i="14" s="1"/>
  <c r="H43" i="14" s="1"/>
  <c r="D17" i="14"/>
  <c r="D43" i="14" s="1"/>
  <c r="D45" i="14" s="1"/>
  <c r="E17" i="14"/>
  <c r="E43" i="14"/>
  <c r="G17" i="14"/>
  <c r="G43" i="14" s="1"/>
  <c r="I21" i="14"/>
  <c r="AH33" i="40" s="1"/>
  <c r="I22" i="14"/>
  <c r="AH35" i="40" s="1"/>
  <c r="I23" i="14"/>
  <c r="AH36" i="40" s="1"/>
  <c r="I24" i="14"/>
  <c r="AH37" i="40" s="1"/>
  <c r="I25" i="14"/>
  <c r="I26" i="14"/>
  <c r="I27" i="14"/>
  <c r="I28" i="14"/>
  <c r="AH38" i="40" s="1"/>
  <c r="D30" i="14"/>
  <c r="E30" i="14"/>
  <c r="F30" i="14"/>
  <c r="G30" i="14"/>
  <c r="H30" i="14"/>
  <c r="I30" i="14"/>
  <c r="E12" i="32" s="1"/>
  <c r="E18" i="32" s="1"/>
  <c r="E22" i="32" s="1"/>
  <c r="E24" i="32" s="1"/>
  <c r="I33" i="14"/>
  <c r="AH181" i="40" s="1"/>
  <c r="I34" i="14"/>
  <c r="I38" i="14" s="1"/>
  <c r="I35" i="14"/>
  <c r="AH185" i="40" s="1"/>
  <c r="I36" i="14"/>
  <c r="AH180" i="40" s="1"/>
  <c r="I37" i="14"/>
  <c r="AH179" i="40" s="1"/>
  <c r="D38" i="14"/>
  <c r="E38" i="14"/>
  <c r="F38" i="14"/>
  <c r="F40" i="14" s="1"/>
  <c r="F45" i="14" s="1"/>
  <c r="G38" i="14"/>
  <c r="H38" i="14"/>
  <c r="H40" i="14" s="1"/>
  <c r="H45" i="14" s="1"/>
  <c r="D40" i="14"/>
  <c r="G40" i="14"/>
  <c r="G45" i="14"/>
  <c r="C1" i="13"/>
  <c r="E1" i="13"/>
  <c r="I6" i="13"/>
  <c r="AF7" i="40" s="1"/>
  <c r="I8" i="13"/>
  <c r="D10" i="31" s="1"/>
  <c r="I9" i="13"/>
  <c r="I10" i="13"/>
  <c r="I11" i="13"/>
  <c r="AF16" i="40" s="1"/>
  <c r="I12" i="13"/>
  <c r="I13" i="13"/>
  <c r="I14" i="13"/>
  <c r="I15" i="13"/>
  <c r="AF25" i="40" s="1"/>
  <c r="I16" i="13"/>
  <c r="D18" i="13"/>
  <c r="E18" i="13"/>
  <c r="F18" i="13"/>
  <c r="G18" i="13"/>
  <c r="G20" i="13" s="1"/>
  <c r="G56" i="13" s="1"/>
  <c r="H18" i="13"/>
  <c r="I18" i="13"/>
  <c r="I20" i="13" s="1"/>
  <c r="D20" i="13"/>
  <c r="E20" i="13"/>
  <c r="E56" i="13" s="1"/>
  <c r="F20" i="13"/>
  <c r="F56" i="13" s="1"/>
  <c r="H20" i="13"/>
  <c r="I23" i="13"/>
  <c r="I40" i="13" s="1"/>
  <c r="I27" i="13"/>
  <c r="AF159" i="40" s="1"/>
  <c r="I28" i="13"/>
  <c r="AF161" i="40" s="1"/>
  <c r="I29" i="13"/>
  <c r="AF162" i="40" s="1"/>
  <c r="I30" i="13"/>
  <c r="I31" i="13"/>
  <c r="I32" i="13"/>
  <c r="I33" i="13"/>
  <c r="I34" i="13"/>
  <c r="I35" i="13"/>
  <c r="I36" i="13"/>
  <c r="I37" i="13"/>
  <c r="I38" i="13"/>
  <c r="I39" i="13"/>
  <c r="D40" i="13"/>
  <c r="D43" i="13" s="1"/>
  <c r="D53" i="13" s="1"/>
  <c r="D58" i="13" s="1"/>
  <c r="E40" i="13"/>
  <c r="F40" i="13"/>
  <c r="F43" i="13" s="1"/>
  <c r="G40" i="13"/>
  <c r="H40" i="13"/>
  <c r="H43" i="13" s="1"/>
  <c r="I41" i="13"/>
  <c r="E43" i="13"/>
  <c r="G43" i="13"/>
  <c r="I43" i="13"/>
  <c r="D12" i="32" s="1"/>
  <c r="D18" i="32" s="1"/>
  <c r="I46" i="13"/>
  <c r="AF181" i="40" s="1"/>
  <c r="I47" i="13"/>
  <c r="I48" i="13"/>
  <c r="AF185" i="40" s="1"/>
  <c r="I49" i="13"/>
  <c r="AF180" i="40" s="1"/>
  <c r="I50" i="13"/>
  <c r="AF179" i="40" s="1"/>
  <c r="D51" i="13"/>
  <c r="E51" i="13"/>
  <c r="F51" i="13"/>
  <c r="G51" i="13"/>
  <c r="H51" i="13"/>
  <c r="G53" i="13"/>
  <c r="D56" i="13"/>
  <c r="H56" i="13"/>
  <c r="G58" i="13"/>
  <c r="C1" i="55"/>
  <c r="E1" i="55"/>
  <c r="I6" i="55"/>
  <c r="AD7" i="40" s="1"/>
  <c r="I8" i="55"/>
  <c r="I9" i="55"/>
  <c r="I10" i="55"/>
  <c r="I11" i="55"/>
  <c r="I12" i="55"/>
  <c r="I13" i="55"/>
  <c r="I14" i="55"/>
  <c r="I15" i="55"/>
  <c r="AD12" i="40" s="1"/>
  <c r="AD18" i="40" s="1"/>
  <c r="I16" i="55"/>
  <c r="I17" i="55"/>
  <c r="I18" i="55"/>
  <c r="I19" i="55"/>
  <c r="AD25" i="40" s="1"/>
  <c r="I20" i="55"/>
  <c r="D22" i="55"/>
  <c r="E22" i="55"/>
  <c r="F22" i="55"/>
  <c r="G22" i="55"/>
  <c r="H22" i="55"/>
  <c r="I22" i="55"/>
  <c r="D24" i="55"/>
  <c r="E24" i="55"/>
  <c r="F24" i="55"/>
  <c r="G24" i="55"/>
  <c r="H24" i="55"/>
  <c r="I24" i="55"/>
  <c r="I27" i="55"/>
  <c r="I32" i="55"/>
  <c r="I33" i="55"/>
  <c r="D34" i="55"/>
  <c r="D37" i="55" s="1"/>
  <c r="D46" i="55" s="1"/>
  <c r="D51" i="55" s="1"/>
  <c r="E34" i="55"/>
  <c r="F34" i="55"/>
  <c r="F37" i="55" s="1"/>
  <c r="F46" i="55" s="1"/>
  <c r="F51" i="55" s="1"/>
  <c r="G34" i="55"/>
  <c r="H34" i="55"/>
  <c r="H37" i="55" s="1"/>
  <c r="H46" i="55" s="1"/>
  <c r="H51" i="55" s="1"/>
  <c r="I34" i="55"/>
  <c r="I35" i="55"/>
  <c r="E37" i="55"/>
  <c r="E46" i="55" s="1"/>
  <c r="E51" i="55" s="1"/>
  <c r="G37" i="55"/>
  <c r="I37" i="55"/>
  <c r="I46" i="55" s="1"/>
  <c r="I51" i="55" s="1"/>
  <c r="I40" i="55"/>
  <c r="AD181" i="40" s="1"/>
  <c r="I41" i="55"/>
  <c r="AD185" i="40" s="1"/>
  <c r="I42" i="55"/>
  <c r="I43" i="55"/>
  <c r="AD179" i="40" s="1"/>
  <c r="AD186" i="40" s="1"/>
  <c r="D44" i="55"/>
  <c r="E44" i="55"/>
  <c r="F44" i="55"/>
  <c r="G44" i="55"/>
  <c r="H44" i="55"/>
  <c r="I44" i="55"/>
  <c r="G46" i="55"/>
  <c r="G51" i="55" s="1"/>
  <c r="D49" i="55"/>
  <c r="E49" i="55"/>
  <c r="F49" i="55"/>
  <c r="G49" i="55"/>
  <c r="H49" i="55"/>
  <c r="I49" i="55"/>
  <c r="C1" i="12"/>
  <c r="E1" i="12"/>
  <c r="I6" i="12"/>
  <c r="AC7" i="40" s="1"/>
  <c r="I8" i="12"/>
  <c r="I9" i="12"/>
  <c r="I10" i="12"/>
  <c r="I11" i="12"/>
  <c r="I12" i="12"/>
  <c r="I13" i="12"/>
  <c r="I14" i="12"/>
  <c r="I15" i="12"/>
  <c r="AC12" i="40" s="1"/>
  <c r="I16" i="12"/>
  <c r="I17" i="12"/>
  <c r="I18" i="12"/>
  <c r="I19" i="12"/>
  <c r="AC25" i="40" s="1"/>
  <c r="I20" i="12"/>
  <c r="D22" i="12"/>
  <c r="E22" i="12"/>
  <c r="F22" i="12"/>
  <c r="G22" i="12"/>
  <c r="H22" i="12"/>
  <c r="I22" i="12"/>
  <c r="D24" i="12"/>
  <c r="E24" i="12"/>
  <c r="F24" i="12"/>
  <c r="G24" i="12"/>
  <c r="H24" i="12"/>
  <c r="I24" i="12"/>
  <c r="B21" i="27" s="1"/>
  <c r="I27" i="12"/>
  <c r="I32" i="12"/>
  <c r="I37" i="12" s="1"/>
  <c r="I46" i="12" s="1"/>
  <c r="I33" i="12"/>
  <c r="D34" i="12"/>
  <c r="D37" i="12" s="1"/>
  <c r="D46" i="12" s="1"/>
  <c r="D51" i="12" s="1"/>
  <c r="E34" i="12"/>
  <c r="F34" i="12"/>
  <c r="F37" i="12" s="1"/>
  <c r="F46" i="12" s="1"/>
  <c r="F51" i="12" s="1"/>
  <c r="G34" i="12"/>
  <c r="H34" i="12"/>
  <c r="H37" i="12" s="1"/>
  <c r="H46" i="12" s="1"/>
  <c r="H51" i="12" s="1"/>
  <c r="I34" i="12"/>
  <c r="I35" i="12"/>
  <c r="B21" i="32" s="1"/>
  <c r="H21" i="32" s="1"/>
  <c r="E37" i="12"/>
  <c r="G37" i="12"/>
  <c r="G46" i="12" s="1"/>
  <c r="G51" i="12" s="1"/>
  <c r="I40" i="12"/>
  <c r="AC181" i="40" s="1"/>
  <c r="I41" i="12"/>
  <c r="AC185" i="40" s="1"/>
  <c r="I42" i="12"/>
  <c r="AC180" i="40" s="1"/>
  <c r="I43" i="12"/>
  <c r="AC179" i="40" s="1"/>
  <c r="D44" i="12"/>
  <c r="E44" i="12"/>
  <c r="F44" i="12"/>
  <c r="G44" i="12"/>
  <c r="H44" i="12"/>
  <c r="I44" i="12"/>
  <c r="B26" i="32" s="1"/>
  <c r="E46" i="12"/>
  <c r="E51" i="12" s="1"/>
  <c r="D49" i="12"/>
  <c r="E49" i="12"/>
  <c r="F49" i="12"/>
  <c r="G49" i="12"/>
  <c r="H49" i="12"/>
  <c r="I49" i="12"/>
  <c r="C1" i="11"/>
  <c r="E1" i="11"/>
  <c r="I7" i="11"/>
  <c r="X7" i="40" s="1"/>
  <c r="I9" i="11"/>
  <c r="I10" i="11"/>
  <c r="I11" i="11"/>
  <c r="X14" i="40" s="1"/>
  <c r="I12" i="11"/>
  <c r="I13" i="11"/>
  <c r="I14" i="11"/>
  <c r="X27" i="40" s="1"/>
  <c r="D16" i="11"/>
  <c r="E16" i="11"/>
  <c r="F16" i="11"/>
  <c r="G16" i="11"/>
  <c r="H16" i="11"/>
  <c r="D18" i="11"/>
  <c r="E18" i="11"/>
  <c r="F18" i="11"/>
  <c r="G18" i="11"/>
  <c r="H18" i="11"/>
  <c r="I21" i="11"/>
  <c r="I26" i="11"/>
  <c r="X33" i="40" s="1"/>
  <c r="I27" i="11"/>
  <c r="I28" i="11"/>
  <c r="I29" i="11"/>
  <c r="I30" i="11"/>
  <c r="I31" i="11"/>
  <c r="X36" i="40" s="1"/>
  <c r="I32" i="11"/>
  <c r="I33" i="11"/>
  <c r="I34" i="11"/>
  <c r="X38" i="40" s="1"/>
  <c r="D36" i="11"/>
  <c r="D59" i="11" s="1"/>
  <c r="D69" i="11" s="1"/>
  <c r="E36" i="11"/>
  <c r="F36" i="11"/>
  <c r="G36" i="11"/>
  <c r="H36" i="11"/>
  <c r="I39" i="11"/>
  <c r="X42" i="40" s="1"/>
  <c r="I40" i="11"/>
  <c r="X43" i="40" s="1"/>
  <c r="I41" i="11"/>
  <c r="I42" i="11"/>
  <c r="I43" i="11"/>
  <c r="I44" i="11"/>
  <c r="X45" i="40" s="1"/>
  <c r="I45" i="11"/>
  <c r="X46" i="40" s="1"/>
  <c r="I46" i="11"/>
  <c r="I47" i="11"/>
  <c r="X47" i="40" s="1"/>
  <c r="D49" i="11"/>
  <c r="E49" i="11"/>
  <c r="F49" i="11"/>
  <c r="G49" i="11"/>
  <c r="H49" i="11"/>
  <c r="I49" i="11"/>
  <c r="J21" i="30" s="1"/>
  <c r="I52" i="11"/>
  <c r="I53" i="11"/>
  <c r="D55" i="11"/>
  <c r="E55" i="11"/>
  <c r="F55" i="11"/>
  <c r="G55" i="11"/>
  <c r="H55" i="11"/>
  <c r="I55" i="11"/>
  <c r="D57" i="11"/>
  <c r="E57" i="11"/>
  <c r="F57" i="11"/>
  <c r="G57" i="11"/>
  <c r="H57" i="11"/>
  <c r="I57" i="11"/>
  <c r="J20" i="30" s="1"/>
  <c r="F59" i="11"/>
  <c r="H59" i="11"/>
  <c r="H69" i="11" s="1"/>
  <c r="H74" i="11" s="1"/>
  <c r="I62" i="11"/>
  <c r="X181" i="40" s="1"/>
  <c r="I63" i="11"/>
  <c r="X184" i="40" s="1"/>
  <c r="I64" i="11"/>
  <c r="X185" i="40" s="1"/>
  <c r="I65" i="11"/>
  <c r="X180" i="40" s="1"/>
  <c r="I66" i="11"/>
  <c r="X179" i="40" s="1"/>
  <c r="D67" i="11"/>
  <c r="E67" i="11"/>
  <c r="F67" i="11"/>
  <c r="G67" i="11"/>
  <c r="H67" i="11"/>
  <c r="I67" i="11"/>
  <c r="F69" i="11"/>
  <c r="D72" i="11"/>
  <c r="D74" i="11" s="1"/>
  <c r="E72" i="11"/>
  <c r="F72" i="11"/>
  <c r="G72" i="11"/>
  <c r="H72" i="11"/>
  <c r="C1" i="10"/>
  <c r="E1" i="10"/>
  <c r="I6" i="10"/>
  <c r="V7" i="40" s="1"/>
  <c r="I8" i="10"/>
  <c r="I9" i="10"/>
  <c r="I10" i="10"/>
  <c r="I11" i="10"/>
  <c r="I12" i="10"/>
  <c r="I13" i="10"/>
  <c r="I14" i="10"/>
  <c r="I15" i="10"/>
  <c r="I16" i="10"/>
  <c r="I17" i="10"/>
  <c r="V25" i="40" s="1"/>
  <c r="I18" i="10"/>
  <c r="D20" i="10"/>
  <c r="E20" i="10"/>
  <c r="F20" i="10"/>
  <c r="G20" i="10"/>
  <c r="G22" i="10" s="1"/>
  <c r="H20" i="10"/>
  <c r="I20" i="10"/>
  <c r="I22" i="10" s="1"/>
  <c r="B19" i="27" s="1"/>
  <c r="D22" i="10"/>
  <c r="E22" i="10"/>
  <c r="E50" i="10" s="1"/>
  <c r="F22" i="10"/>
  <c r="F50" i="10" s="1"/>
  <c r="H22" i="10"/>
  <c r="H50" i="10" s="1"/>
  <c r="I26" i="10"/>
  <c r="I27" i="10"/>
  <c r="V43" i="40" s="1"/>
  <c r="I28" i="10"/>
  <c r="I29" i="10"/>
  <c r="I30" i="10"/>
  <c r="I31" i="10"/>
  <c r="V45" i="40" s="1"/>
  <c r="I32" i="10"/>
  <c r="I33" i="10"/>
  <c r="I34" i="10"/>
  <c r="I35" i="10"/>
  <c r="V47" i="40" s="1"/>
  <c r="D37" i="10"/>
  <c r="D47" i="10" s="1"/>
  <c r="E37" i="10"/>
  <c r="F37" i="10"/>
  <c r="G37" i="10"/>
  <c r="H37" i="10"/>
  <c r="H47" i="10" s="1"/>
  <c r="H52" i="10" s="1"/>
  <c r="I40" i="10"/>
  <c r="V181" i="40" s="1"/>
  <c r="I41" i="10"/>
  <c r="I42" i="10"/>
  <c r="V185" i="40" s="1"/>
  <c r="I43" i="10"/>
  <c r="V180" i="40" s="1"/>
  <c r="I44" i="10"/>
  <c r="V179" i="40" s="1"/>
  <c r="D45" i="10"/>
  <c r="E45" i="10"/>
  <c r="F45" i="10"/>
  <c r="G45" i="10"/>
  <c r="G47" i="10" s="1"/>
  <c r="H45" i="10"/>
  <c r="I45" i="10"/>
  <c r="F47" i="10"/>
  <c r="F52" i="10" s="1"/>
  <c r="D50" i="10"/>
  <c r="G50" i="10"/>
  <c r="I50" i="10"/>
  <c r="C1" i="54"/>
  <c r="E1" i="54"/>
  <c r="I6" i="54"/>
  <c r="T7" i="40" s="1"/>
  <c r="I8" i="54"/>
  <c r="I9" i="54"/>
  <c r="I10" i="54"/>
  <c r="I11" i="54"/>
  <c r="I12" i="54"/>
  <c r="I13" i="54"/>
  <c r="I14" i="54"/>
  <c r="I15" i="54"/>
  <c r="I16" i="54"/>
  <c r="T14" i="40" s="1"/>
  <c r="I17" i="54"/>
  <c r="I18" i="54"/>
  <c r="T27" i="40" s="1"/>
  <c r="D20" i="54"/>
  <c r="E20" i="54"/>
  <c r="F20" i="54"/>
  <c r="F22" i="54" s="1"/>
  <c r="G20" i="54"/>
  <c r="H20" i="54"/>
  <c r="H22" i="54" s="1"/>
  <c r="D22" i="54"/>
  <c r="D51" i="54" s="1"/>
  <c r="E22" i="54"/>
  <c r="E51" i="54"/>
  <c r="G22" i="54"/>
  <c r="G51" i="54" s="1"/>
  <c r="I26" i="54"/>
  <c r="I28" i="54"/>
  <c r="I29" i="54"/>
  <c r="I30" i="54"/>
  <c r="I31" i="54"/>
  <c r="I32" i="54"/>
  <c r="T36" i="40" s="1"/>
  <c r="I33" i="54"/>
  <c r="I34" i="54"/>
  <c r="I35" i="54"/>
  <c r="I36" i="54"/>
  <c r="T38" i="40" s="1"/>
  <c r="D38" i="54"/>
  <c r="E38" i="54"/>
  <c r="F38" i="54"/>
  <c r="H38" i="54"/>
  <c r="I41" i="54"/>
  <c r="T181" i="40" s="1"/>
  <c r="I42" i="54"/>
  <c r="I43" i="54"/>
  <c r="T185" i="40" s="1"/>
  <c r="I44" i="54"/>
  <c r="T180" i="40" s="1"/>
  <c r="I45" i="54"/>
  <c r="T179" i="40" s="1"/>
  <c r="D46" i="54"/>
  <c r="D48" i="54" s="1"/>
  <c r="D53" i="54" s="1"/>
  <c r="E46" i="54"/>
  <c r="F46" i="54"/>
  <c r="F48" i="54" s="1"/>
  <c r="F53" i="54" s="1"/>
  <c r="G46" i="54"/>
  <c r="H46" i="54"/>
  <c r="H48" i="54"/>
  <c r="F51" i="54"/>
  <c r="H51" i="54"/>
  <c r="H53" i="54"/>
  <c r="C1" i="8"/>
  <c r="E1" i="8"/>
  <c r="I6" i="8"/>
  <c r="I8" i="8"/>
  <c r="I9" i="8"/>
  <c r="I10" i="8"/>
  <c r="I11" i="8"/>
  <c r="R12" i="40" s="1"/>
  <c r="I12" i="8"/>
  <c r="I13" i="8"/>
  <c r="R16" i="40" s="1"/>
  <c r="I14" i="8"/>
  <c r="I15" i="8"/>
  <c r="D17" i="8"/>
  <c r="D19" i="8" s="1"/>
  <c r="D70" i="8" s="1"/>
  <c r="E17" i="8"/>
  <c r="F17" i="8"/>
  <c r="F19" i="8" s="1"/>
  <c r="F70" i="8" s="1"/>
  <c r="G17" i="8"/>
  <c r="H17" i="8"/>
  <c r="H19" i="8" s="1"/>
  <c r="H70" i="8" s="1"/>
  <c r="H72" i="8" s="1"/>
  <c r="E19" i="8"/>
  <c r="G19" i="8"/>
  <c r="I22" i="8"/>
  <c r="I52" i="8" s="1"/>
  <c r="R47" i="40" s="1"/>
  <c r="I30" i="8"/>
  <c r="I32" i="8"/>
  <c r="I33" i="8"/>
  <c r="I34" i="8"/>
  <c r="I35" i="8"/>
  <c r="I36" i="8"/>
  <c r="R36" i="40" s="1"/>
  <c r="I37" i="8"/>
  <c r="I38" i="8"/>
  <c r="I39" i="8"/>
  <c r="R38" i="40" s="1"/>
  <c r="D41" i="8"/>
  <c r="E41" i="8"/>
  <c r="F41" i="8"/>
  <c r="F57" i="8" s="1"/>
  <c r="F67" i="8" s="1"/>
  <c r="H41" i="8"/>
  <c r="I44" i="8"/>
  <c r="R42" i="40" s="1"/>
  <c r="I45" i="8"/>
  <c r="R43" i="40" s="1"/>
  <c r="I46" i="8"/>
  <c r="I47" i="8"/>
  <c r="I48" i="8"/>
  <c r="I49" i="8"/>
  <c r="R45" i="40" s="1"/>
  <c r="I50" i="8"/>
  <c r="R46" i="40" s="1"/>
  <c r="I51" i="8"/>
  <c r="D52" i="8"/>
  <c r="D55" i="8" s="1"/>
  <c r="E52" i="8"/>
  <c r="F52" i="8"/>
  <c r="F55" i="8" s="1"/>
  <c r="G52" i="8"/>
  <c r="H52" i="8"/>
  <c r="H55" i="8" s="1"/>
  <c r="H57" i="8" s="1"/>
  <c r="H67" i="8" s="1"/>
  <c r="I53" i="8"/>
  <c r="E55" i="8"/>
  <c r="G55" i="8"/>
  <c r="I55" i="8"/>
  <c r="I12" i="30" s="1"/>
  <c r="I18" i="30" s="1"/>
  <c r="I60" i="8"/>
  <c r="R181" i="40" s="1"/>
  <c r="I61" i="8"/>
  <c r="I62" i="8"/>
  <c r="R185" i="40" s="1"/>
  <c r="I63" i="8"/>
  <c r="R180" i="40" s="1"/>
  <c r="I64" i="8"/>
  <c r="R179" i="40" s="1"/>
  <c r="D65" i="8"/>
  <c r="E65" i="8"/>
  <c r="F65" i="8"/>
  <c r="G65" i="8"/>
  <c r="H65" i="8"/>
  <c r="I65" i="8"/>
  <c r="I26" i="30" s="1"/>
  <c r="E70" i="8"/>
  <c r="G70" i="8"/>
  <c r="J6" i="7"/>
  <c r="E23" i="7"/>
  <c r="F23" i="7"/>
  <c r="G23" i="7"/>
  <c r="I23" i="7"/>
  <c r="E50" i="7"/>
  <c r="F50" i="7"/>
  <c r="G50" i="7"/>
  <c r="I50" i="7"/>
  <c r="E65" i="7"/>
  <c r="F65" i="7"/>
  <c r="G65" i="7"/>
  <c r="I65" i="7"/>
  <c r="E67" i="7"/>
  <c r="F67" i="7"/>
  <c r="G67" i="7"/>
  <c r="I67" i="7"/>
  <c r="J71" i="7"/>
  <c r="J75" i="7"/>
  <c r="J76" i="7"/>
  <c r="J77" i="7"/>
  <c r="J78" i="7"/>
  <c r="J79" i="7"/>
  <c r="J80" i="7"/>
  <c r="J81" i="7"/>
  <c r="J82" i="7"/>
  <c r="J83" i="7"/>
  <c r="J84" i="7"/>
  <c r="E86" i="7"/>
  <c r="F86" i="7"/>
  <c r="G86" i="7"/>
  <c r="H86" i="7"/>
  <c r="I86" i="7"/>
  <c r="J86" i="7"/>
  <c r="H19" i="29" s="1"/>
  <c r="E88" i="7"/>
  <c r="F88" i="7"/>
  <c r="G88" i="7"/>
  <c r="I88" i="7"/>
  <c r="J91" i="7"/>
  <c r="E110" i="7"/>
  <c r="F110" i="7"/>
  <c r="G110" i="7"/>
  <c r="I110" i="7"/>
  <c r="E136" i="7"/>
  <c r="F136" i="7"/>
  <c r="G136" i="7"/>
  <c r="I136" i="7"/>
  <c r="E151" i="7"/>
  <c r="F151" i="7"/>
  <c r="G151" i="7"/>
  <c r="I151" i="7"/>
  <c r="E153" i="7"/>
  <c r="F153" i="7"/>
  <c r="G153" i="7"/>
  <c r="I153" i="7"/>
  <c r="J157" i="7"/>
  <c r="J158" i="7"/>
  <c r="J159" i="7"/>
  <c r="J160" i="7"/>
  <c r="J161" i="7"/>
  <c r="J162" i="7"/>
  <c r="J163" i="7"/>
  <c r="J164" i="7"/>
  <c r="J165" i="7"/>
  <c r="E166" i="7"/>
  <c r="F166" i="7"/>
  <c r="G166" i="7"/>
  <c r="H166" i="7"/>
  <c r="I166" i="7"/>
  <c r="J166" i="7"/>
  <c r="E168" i="7"/>
  <c r="F168" i="7"/>
  <c r="G168" i="7"/>
  <c r="H168" i="7"/>
  <c r="I168" i="7"/>
  <c r="J168" i="7"/>
  <c r="E170" i="7"/>
  <c r="F170" i="7"/>
  <c r="G170" i="7"/>
  <c r="I170" i="7"/>
  <c r="J174" i="7"/>
  <c r="P181" i="40" s="1"/>
  <c r="J175" i="7"/>
  <c r="J176" i="7"/>
  <c r="P185" i="40" s="1"/>
  <c r="J177" i="7"/>
  <c r="P180" i="40" s="1"/>
  <c r="J178" i="7"/>
  <c r="P179" i="40" s="1"/>
  <c r="E179" i="7"/>
  <c r="F179" i="7"/>
  <c r="G179" i="7"/>
  <c r="H179" i="7"/>
  <c r="I179" i="7"/>
  <c r="J179" i="7"/>
  <c r="H26" i="30" s="1"/>
  <c r="E181" i="7"/>
  <c r="F181" i="7"/>
  <c r="G181" i="7"/>
  <c r="I181" i="7"/>
  <c r="E184" i="7"/>
  <c r="F184" i="7"/>
  <c r="G184" i="7"/>
  <c r="I184" i="7"/>
  <c r="E186" i="7"/>
  <c r="F186" i="7"/>
  <c r="G186" i="7"/>
  <c r="I186" i="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D2" i="47"/>
  <c r="A10" i="7" s="1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7" i="47"/>
  <c r="X8" i="47"/>
  <c r="X9" i="47"/>
  <c r="X10" i="47"/>
  <c r="D12" i="47"/>
  <c r="H54" i="7"/>
  <c r="E12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5" i="47"/>
  <c r="X17" i="47"/>
  <c r="X18" i="47"/>
  <c r="X19" i="47"/>
  <c r="X20" i="47"/>
  <c r="X21" i="47"/>
  <c r="X25" i="47"/>
  <c r="X27" i="47"/>
  <c r="X28" i="47"/>
  <c r="X29" i="47"/>
  <c r="X30" i="47"/>
  <c r="X31" i="47"/>
  <c r="X35" i="47"/>
  <c r="X37" i="47"/>
  <c r="X38" i="47"/>
  <c r="X39" i="47"/>
  <c r="X40" i="47"/>
  <c r="X41" i="47"/>
  <c r="X45" i="47"/>
  <c r="X47" i="47"/>
  <c r="X48" i="47"/>
  <c r="X49" i="47"/>
  <c r="X50" i="47"/>
  <c r="X51" i="47"/>
  <c r="X55" i="47"/>
  <c r="X57" i="47"/>
  <c r="X58" i="47"/>
  <c r="X59" i="47"/>
  <c r="X60" i="47"/>
  <c r="X61" i="47"/>
  <c r="X71" i="47"/>
  <c r="X73" i="47"/>
  <c r="X74" i="47"/>
  <c r="X75" i="47"/>
  <c r="X76" i="47"/>
  <c r="X77" i="47"/>
  <c r="X78" i="47"/>
  <c r="X82" i="47"/>
  <c r="X84" i="47"/>
  <c r="X85" i="47"/>
  <c r="X86" i="47"/>
  <c r="X87" i="47"/>
  <c r="X88" i="47"/>
  <c r="X94" i="47"/>
  <c r="X96" i="47"/>
  <c r="X97" i="47"/>
  <c r="X98" i="47"/>
  <c r="X99" i="47"/>
  <c r="X100" i="47"/>
  <c r="X101" i="47"/>
  <c r="X104" i="47"/>
  <c r="X106" i="47"/>
  <c r="X107" i="47"/>
  <c r="X111" i="47"/>
  <c r="X112" i="47"/>
  <c r="E115" i="47"/>
  <c r="F115" i="47"/>
  <c r="G115" i="47"/>
  <c r="H115" i="47"/>
  <c r="I115" i="47"/>
  <c r="J115" i="47"/>
  <c r="K115" i="47"/>
  <c r="L115" i="47"/>
  <c r="M115" i="47"/>
  <c r="N115" i="47"/>
  <c r="O115" i="47"/>
  <c r="P115" i="47"/>
  <c r="Q115" i="47"/>
  <c r="R115" i="47"/>
  <c r="S115" i="47"/>
  <c r="T115" i="47"/>
  <c r="U115" i="47"/>
  <c r="V115" i="47"/>
  <c r="W115" i="47"/>
  <c r="C1" i="6"/>
  <c r="E1" i="6"/>
  <c r="I6" i="6"/>
  <c r="I27" i="6" s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E25" i="6"/>
  <c r="E27" i="6"/>
  <c r="E84" i="6" s="1"/>
  <c r="G25" i="6"/>
  <c r="G27" i="6" s="1"/>
  <c r="G84" i="6" s="1"/>
  <c r="G86" i="6" s="1"/>
  <c r="H25" i="6"/>
  <c r="I25" i="6"/>
  <c r="D27" i="6"/>
  <c r="F27" i="6"/>
  <c r="H27" i="6"/>
  <c r="I30" i="6"/>
  <c r="I35" i="6"/>
  <c r="I36" i="6"/>
  <c r="I46" i="6" s="1"/>
  <c r="I37" i="6"/>
  <c r="I38" i="6"/>
  <c r="I39" i="6"/>
  <c r="I40" i="6"/>
  <c r="I41" i="6"/>
  <c r="I42" i="6"/>
  <c r="I43" i="6"/>
  <c r="I44" i="6"/>
  <c r="N38" i="40" s="1"/>
  <c r="E46" i="6"/>
  <c r="F46" i="6"/>
  <c r="F71" i="6" s="1"/>
  <c r="F81" i="6" s="1"/>
  <c r="F86" i="6" s="1"/>
  <c r="G46" i="6"/>
  <c r="H46" i="6"/>
  <c r="H71" i="6" s="1"/>
  <c r="H81" i="6" s="1"/>
  <c r="H86" i="6" s="1"/>
  <c r="I49" i="6"/>
  <c r="N44" i="40" s="1"/>
  <c r="I50" i="6"/>
  <c r="I51" i="6"/>
  <c r="I52" i="6"/>
  <c r="I53" i="6"/>
  <c r="I54" i="6"/>
  <c r="I55" i="6"/>
  <c r="I56" i="6"/>
  <c r="I57" i="6"/>
  <c r="I58" i="6"/>
  <c r="I59" i="6"/>
  <c r="N47" i="40" s="1"/>
  <c r="E61" i="6"/>
  <c r="F61" i="6"/>
  <c r="G61" i="6"/>
  <c r="H61" i="6"/>
  <c r="I64" i="6"/>
  <c r="N173" i="40" s="1"/>
  <c r="N174" i="40" s="1"/>
  <c r="I65" i="6"/>
  <c r="D67" i="6"/>
  <c r="E67" i="6"/>
  <c r="F67" i="6"/>
  <c r="G67" i="6"/>
  <c r="H67" i="6"/>
  <c r="I67" i="6"/>
  <c r="D69" i="6"/>
  <c r="E69" i="6"/>
  <c r="F69" i="6"/>
  <c r="G69" i="6"/>
  <c r="H69" i="6"/>
  <c r="D71" i="6"/>
  <c r="G71" i="6"/>
  <c r="I74" i="6"/>
  <c r="N181" i="40" s="1"/>
  <c r="I75" i="6"/>
  <c r="I79" i="6" s="1"/>
  <c r="G26" i="30" s="1"/>
  <c r="I76" i="6"/>
  <c r="N185" i="40" s="1"/>
  <c r="I77" i="6"/>
  <c r="N180" i="40" s="1"/>
  <c r="I78" i="6"/>
  <c r="N179" i="40" s="1"/>
  <c r="D79" i="6"/>
  <c r="E79" i="6"/>
  <c r="F79" i="6"/>
  <c r="G79" i="6"/>
  <c r="H79" i="6"/>
  <c r="D81" i="6"/>
  <c r="G81" i="6"/>
  <c r="D84" i="6"/>
  <c r="F84" i="6"/>
  <c r="H84" i="6"/>
  <c r="D86" i="6"/>
  <c r="J6" i="53"/>
  <c r="E23" i="53"/>
  <c r="F23" i="53"/>
  <c r="G23" i="53"/>
  <c r="I23" i="53"/>
  <c r="E50" i="53"/>
  <c r="F50" i="53"/>
  <c r="G50" i="53"/>
  <c r="I50" i="53"/>
  <c r="E65" i="53"/>
  <c r="F65" i="53"/>
  <c r="G65" i="53"/>
  <c r="I65" i="53"/>
  <c r="E67" i="53"/>
  <c r="F67" i="53"/>
  <c r="G67" i="53"/>
  <c r="I67" i="53"/>
  <c r="J71" i="53"/>
  <c r="J75" i="53"/>
  <c r="J76" i="53"/>
  <c r="J77" i="53"/>
  <c r="J78" i="53"/>
  <c r="J79" i="53"/>
  <c r="J80" i="53"/>
  <c r="J81" i="53"/>
  <c r="J82" i="53"/>
  <c r="J83" i="53"/>
  <c r="J84" i="53"/>
  <c r="E86" i="53"/>
  <c r="F86" i="53"/>
  <c r="G86" i="53"/>
  <c r="H86" i="53"/>
  <c r="I86" i="53"/>
  <c r="J86" i="53"/>
  <c r="F19" i="29" s="1"/>
  <c r="E88" i="53"/>
  <c r="F88" i="53"/>
  <c r="G88" i="53"/>
  <c r="I88" i="53"/>
  <c r="J91" i="53"/>
  <c r="E110" i="53"/>
  <c r="F110" i="53"/>
  <c r="G110" i="53"/>
  <c r="I110" i="53"/>
  <c r="E136" i="53"/>
  <c r="F136" i="53"/>
  <c r="G136" i="53"/>
  <c r="I136" i="53"/>
  <c r="E151" i="53"/>
  <c r="F151" i="53"/>
  <c r="G151" i="53"/>
  <c r="I151" i="53"/>
  <c r="E153" i="53"/>
  <c r="F153" i="53"/>
  <c r="G153" i="53"/>
  <c r="I153" i="53"/>
  <c r="J157" i="53"/>
  <c r="J158" i="53"/>
  <c r="J159" i="53"/>
  <c r="J160" i="53"/>
  <c r="J161" i="53"/>
  <c r="J162" i="53"/>
  <c r="J163" i="53"/>
  <c r="J164" i="53"/>
  <c r="J165" i="53"/>
  <c r="E166" i="53"/>
  <c r="F166" i="53"/>
  <c r="G166" i="53"/>
  <c r="H166" i="53"/>
  <c r="I166" i="53"/>
  <c r="J166" i="53"/>
  <c r="E168" i="53"/>
  <c r="F168" i="53"/>
  <c r="G168" i="53"/>
  <c r="H168" i="53"/>
  <c r="I168" i="53"/>
  <c r="J168" i="53"/>
  <c r="E170" i="53"/>
  <c r="F170" i="53"/>
  <c r="G170" i="53"/>
  <c r="I170" i="53"/>
  <c r="J174" i="53"/>
  <c r="L181" i="40" s="1"/>
  <c r="J175" i="53"/>
  <c r="J176" i="53"/>
  <c r="L185" i="40" s="1"/>
  <c r="J177" i="53"/>
  <c r="L180" i="40" s="1"/>
  <c r="J178" i="53"/>
  <c r="L179" i="40" s="1"/>
  <c r="E179" i="53"/>
  <c r="F179" i="53"/>
  <c r="G179" i="53"/>
  <c r="H179" i="53"/>
  <c r="I179" i="53"/>
  <c r="J179" i="53"/>
  <c r="F26" i="30" s="1"/>
  <c r="E181" i="53"/>
  <c r="F181" i="53"/>
  <c r="G181" i="53"/>
  <c r="I181" i="53"/>
  <c r="E184" i="53"/>
  <c r="F184" i="53"/>
  <c r="G184" i="53"/>
  <c r="I184" i="53"/>
  <c r="E186" i="53"/>
  <c r="F186" i="53"/>
  <c r="G186" i="53"/>
  <c r="I186" i="53"/>
  <c r="D1" i="52"/>
  <c r="E1" i="52"/>
  <c r="F1" i="52"/>
  <c r="G1" i="52"/>
  <c r="H1" i="52"/>
  <c r="I1" i="52"/>
  <c r="J1" i="52"/>
  <c r="K1" i="52"/>
  <c r="L1" i="52"/>
  <c r="M1" i="52"/>
  <c r="N1" i="52"/>
  <c r="O1" i="52"/>
  <c r="P1" i="52"/>
  <c r="Q1" i="52"/>
  <c r="R1" i="52"/>
  <c r="S1" i="52"/>
  <c r="T1" i="52"/>
  <c r="U1" i="52"/>
  <c r="V1" i="52"/>
  <c r="W1" i="52"/>
  <c r="D2" i="52"/>
  <c r="A10" i="53" s="1"/>
  <c r="E2" i="52"/>
  <c r="F2" i="52"/>
  <c r="G2" i="52"/>
  <c r="H2" i="52"/>
  <c r="I2" i="52"/>
  <c r="J2" i="52"/>
  <c r="K2" i="52"/>
  <c r="L2" i="52"/>
  <c r="M2" i="52"/>
  <c r="N2" i="52"/>
  <c r="O2" i="52"/>
  <c r="P2" i="52"/>
  <c r="Q2" i="52"/>
  <c r="R2" i="52"/>
  <c r="S2" i="52"/>
  <c r="T2" i="52"/>
  <c r="U2" i="52"/>
  <c r="V2" i="52"/>
  <c r="W2" i="52"/>
  <c r="X7" i="52"/>
  <c r="X8" i="52"/>
  <c r="X9" i="52"/>
  <c r="X10" i="52"/>
  <c r="D12" i="52"/>
  <c r="E12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X12" i="52" s="1"/>
  <c r="R12" i="52"/>
  <c r="S12" i="52"/>
  <c r="T12" i="52"/>
  <c r="U12" i="52"/>
  <c r="V12" i="52"/>
  <c r="W12" i="52"/>
  <c r="X15" i="52"/>
  <c r="X17" i="52"/>
  <c r="X18" i="52"/>
  <c r="X19" i="52"/>
  <c r="X20" i="52"/>
  <c r="X21" i="52"/>
  <c r="X25" i="52"/>
  <c r="X27" i="52"/>
  <c r="X28" i="52"/>
  <c r="X29" i="52"/>
  <c r="X30" i="52"/>
  <c r="X31" i="52"/>
  <c r="X35" i="52"/>
  <c r="X37" i="52"/>
  <c r="X38" i="52"/>
  <c r="X39" i="52"/>
  <c r="X40" i="52"/>
  <c r="X41" i="52"/>
  <c r="X45" i="52"/>
  <c r="X47" i="52"/>
  <c r="X48" i="52"/>
  <c r="X49" i="52"/>
  <c r="X50" i="52"/>
  <c r="X51" i="52"/>
  <c r="X55" i="52"/>
  <c r="X57" i="52"/>
  <c r="X58" i="52"/>
  <c r="X59" i="52"/>
  <c r="X60" i="52"/>
  <c r="X61" i="52"/>
  <c r="X71" i="52"/>
  <c r="X73" i="52"/>
  <c r="X74" i="52"/>
  <c r="X75" i="52"/>
  <c r="X76" i="52"/>
  <c r="X77" i="52"/>
  <c r="X78" i="52"/>
  <c r="X82" i="52"/>
  <c r="X84" i="52"/>
  <c r="X85" i="52"/>
  <c r="X86" i="52"/>
  <c r="X87" i="52"/>
  <c r="X88" i="52"/>
  <c r="X94" i="52"/>
  <c r="X96" i="52"/>
  <c r="X97" i="52"/>
  <c r="X98" i="52"/>
  <c r="X99" i="52"/>
  <c r="X100" i="52"/>
  <c r="X101" i="52"/>
  <c r="X104" i="52"/>
  <c r="X106" i="52"/>
  <c r="X107" i="52"/>
  <c r="X111" i="52"/>
  <c r="X112" i="52"/>
  <c r="D115" i="52"/>
  <c r="E115" i="52"/>
  <c r="F115" i="52"/>
  <c r="G115" i="52"/>
  <c r="H115" i="52"/>
  <c r="I115" i="52"/>
  <c r="J115" i="52"/>
  <c r="K115" i="52"/>
  <c r="L115" i="52"/>
  <c r="M115" i="52"/>
  <c r="N115" i="52"/>
  <c r="O115" i="52"/>
  <c r="P115" i="52"/>
  <c r="Q115" i="52"/>
  <c r="R115" i="52"/>
  <c r="S115" i="52"/>
  <c r="T115" i="52"/>
  <c r="U115" i="52"/>
  <c r="V115" i="52"/>
  <c r="W115" i="52"/>
  <c r="X115" i="52"/>
  <c r="C1" i="34"/>
  <c r="E1" i="34"/>
  <c r="I7" i="34"/>
  <c r="I9" i="34"/>
  <c r="I10" i="34"/>
  <c r="I11" i="34"/>
  <c r="I12" i="34"/>
  <c r="I13" i="34"/>
  <c r="I14" i="34"/>
  <c r="I15" i="34"/>
  <c r="D17" i="34"/>
  <c r="E17" i="34"/>
  <c r="F17" i="34"/>
  <c r="G17" i="34"/>
  <c r="H17" i="34"/>
  <c r="I17" i="34"/>
  <c r="D19" i="34"/>
  <c r="E19" i="34"/>
  <c r="E130" i="34"/>
  <c r="F19" i="34"/>
  <c r="G19" i="34"/>
  <c r="H19" i="34"/>
  <c r="I19" i="34"/>
  <c r="B13" i="27" s="1"/>
  <c r="I22" i="34"/>
  <c r="I29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J36" i="40" s="1"/>
  <c r="I51" i="34"/>
  <c r="I52" i="34"/>
  <c r="I53" i="34"/>
  <c r="I54" i="34"/>
  <c r="I55" i="34"/>
  <c r="I56" i="34"/>
  <c r="I57" i="34"/>
  <c r="I58" i="34"/>
  <c r="I59" i="34"/>
  <c r="D61" i="34"/>
  <c r="E61" i="34"/>
  <c r="F61" i="34"/>
  <c r="H61" i="34"/>
  <c r="I76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J45" i="40" s="1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D111" i="34"/>
  <c r="E111" i="34"/>
  <c r="E116" i="34" s="1"/>
  <c r="F111" i="34"/>
  <c r="H111" i="34"/>
  <c r="I113" i="34"/>
  <c r="D114" i="34"/>
  <c r="E114" i="34"/>
  <c r="F114" i="34"/>
  <c r="G114" i="34"/>
  <c r="H114" i="34"/>
  <c r="I114" i="34"/>
  <c r="D116" i="34"/>
  <c r="F116" i="34"/>
  <c r="H116" i="34"/>
  <c r="I120" i="34"/>
  <c r="J181" i="40" s="1"/>
  <c r="I121" i="34"/>
  <c r="I122" i="34"/>
  <c r="J185" i="40" s="1"/>
  <c r="I123" i="34"/>
  <c r="J180" i="40" s="1"/>
  <c r="I124" i="34"/>
  <c r="J179" i="40" s="1"/>
  <c r="D125" i="34"/>
  <c r="E125" i="34"/>
  <c r="F125" i="34"/>
  <c r="G125" i="34"/>
  <c r="H125" i="34"/>
  <c r="I125" i="34"/>
  <c r="E26" i="30" s="1"/>
  <c r="D127" i="34"/>
  <c r="F127" i="34"/>
  <c r="H127" i="34"/>
  <c r="D130" i="34"/>
  <c r="D132" i="34" s="1"/>
  <c r="F130" i="34"/>
  <c r="G130" i="34"/>
  <c r="H130" i="34"/>
  <c r="I130" i="34"/>
  <c r="F132" i="34"/>
  <c r="H132" i="34"/>
  <c r="C1" i="9"/>
  <c r="E1" i="9"/>
  <c r="I6" i="9"/>
  <c r="I8" i="9"/>
  <c r="I9" i="9"/>
  <c r="I16" i="9" s="1"/>
  <c r="I18" i="9" s="1"/>
  <c r="B12" i="27" s="1"/>
  <c r="I10" i="9"/>
  <c r="I11" i="9"/>
  <c r="I12" i="9"/>
  <c r="I13" i="9"/>
  <c r="I14" i="9"/>
  <c r="D16" i="9"/>
  <c r="E16" i="9"/>
  <c r="F16" i="9"/>
  <c r="F18" i="9" s="1"/>
  <c r="F52" i="9" s="1"/>
  <c r="F54" i="9" s="1"/>
  <c r="G16" i="9"/>
  <c r="H16" i="9"/>
  <c r="H18" i="9" s="1"/>
  <c r="H52" i="9" s="1"/>
  <c r="D18" i="9"/>
  <c r="E18" i="9"/>
  <c r="E52" i="9"/>
  <c r="G18" i="9"/>
  <c r="I21" i="9"/>
  <c r="I25" i="9"/>
  <c r="I26" i="9"/>
  <c r="I27" i="9"/>
  <c r="I28" i="9"/>
  <c r="I29" i="9"/>
  <c r="H97" i="40" s="1"/>
  <c r="H101" i="40" s="1"/>
  <c r="I30" i="9"/>
  <c r="H124" i="40" s="1"/>
  <c r="H128" i="40" s="1"/>
  <c r="I31" i="9"/>
  <c r="I32" i="9"/>
  <c r="I33" i="9"/>
  <c r="I34" i="9"/>
  <c r="I35" i="9"/>
  <c r="D36" i="9"/>
  <c r="E36" i="9"/>
  <c r="E39" i="9" s="1"/>
  <c r="F36" i="9"/>
  <c r="G36" i="9"/>
  <c r="G39" i="9" s="1"/>
  <c r="G49" i="9" s="1"/>
  <c r="H36" i="9"/>
  <c r="I36" i="9"/>
  <c r="H173" i="40" s="1"/>
  <c r="H174" i="40" s="1"/>
  <c r="I37" i="9"/>
  <c r="H91" i="40" s="1"/>
  <c r="D39" i="9"/>
  <c r="D49" i="9" s="1"/>
  <c r="D54" i="9" s="1"/>
  <c r="F39" i="9"/>
  <c r="H39" i="9"/>
  <c r="I42" i="9"/>
  <c r="H181" i="40" s="1"/>
  <c r="I43" i="9"/>
  <c r="I44" i="9"/>
  <c r="H185" i="40" s="1"/>
  <c r="I45" i="9"/>
  <c r="H180" i="40" s="1"/>
  <c r="I46" i="9"/>
  <c r="H179" i="40" s="1"/>
  <c r="D47" i="9"/>
  <c r="E47" i="9"/>
  <c r="F47" i="9"/>
  <c r="G47" i="9"/>
  <c r="H47" i="9"/>
  <c r="I47" i="9"/>
  <c r="D26" i="30" s="1"/>
  <c r="F49" i="9"/>
  <c r="H49" i="9"/>
  <c r="D52" i="9"/>
  <c r="G52" i="9"/>
  <c r="C1" i="41"/>
  <c r="E1" i="41"/>
  <c r="I11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F45" i="40" s="1"/>
  <c r="I33" i="41"/>
  <c r="I34" i="41"/>
  <c r="I35" i="41"/>
  <c r="I36" i="41"/>
  <c r="I37" i="41"/>
  <c r="I38" i="41"/>
  <c r="I39" i="41"/>
  <c r="I40" i="41"/>
  <c r="I41" i="41"/>
  <c r="I42" i="41"/>
  <c r="I43" i="41"/>
  <c r="E44" i="41"/>
  <c r="F44" i="41"/>
  <c r="H44" i="41"/>
  <c r="I48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D81" i="41"/>
  <c r="E81" i="41"/>
  <c r="F81" i="41"/>
  <c r="H81" i="41"/>
  <c r="I85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D118" i="41"/>
  <c r="E118" i="41"/>
  <c r="F118" i="41"/>
  <c r="H118" i="41"/>
  <c r="I122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D149" i="41"/>
  <c r="E149" i="41"/>
  <c r="F149" i="41"/>
  <c r="H149" i="41"/>
  <c r="I153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F72" i="40" s="1"/>
  <c r="I176" i="41"/>
  <c r="I177" i="41"/>
  <c r="I178" i="41"/>
  <c r="I179" i="41"/>
  <c r="I180" i="41"/>
  <c r="I181" i="41"/>
  <c r="I182" i="41"/>
  <c r="I183" i="41"/>
  <c r="I184" i="41"/>
  <c r="I185" i="41"/>
  <c r="I186" i="41"/>
  <c r="E187" i="41"/>
  <c r="F187" i="41"/>
  <c r="H187" i="41"/>
  <c r="I191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22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F89" i="40" s="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E251" i="41"/>
  <c r="F251" i="41"/>
  <c r="H251" i="41"/>
  <c r="I255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F98" i="40" s="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5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F107" i="40" s="1"/>
  <c r="I312" i="41"/>
  <c r="I313" i="41"/>
  <c r="I314" i="41"/>
  <c r="I315" i="41"/>
  <c r="I316" i="41"/>
  <c r="I317" i="41"/>
  <c r="I318" i="41"/>
  <c r="I319" i="41"/>
  <c r="I320" i="41"/>
  <c r="I321" i="41"/>
  <c r="I322" i="41"/>
  <c r="I327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H353" i="41"/>
  <c r="I357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8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11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D430" i="41"/>
  <c r="E430" i="41"/>
  <c r="F430" i="41"/>
  <c r="H430" i="41"/>
  <c r="I434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5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F151" i="40" s="1"/>
  <c r="I481" i="41"/>
  <c r="I482" i="41"/>
  <c r="I483" i="41"/>
  <c r="I484" i="41"/>
  <c r="I485" i="41"/>
  <c r="I486" i="41"/>
  <c r="I487" i="41"/>
  <c r="I488" i="41"/>
  <c r="I489" i="41"/>
  <c r="I490" i="41"/>
  <c r="I491" i="41"/>
  <c r="D492" i="41"/>
  <c r="E492" i="41"/>
  <c r="F492" i="41"/>
  <c r="H492" i="41"/>
  <c r="I496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F162" i="40" s="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D525" i="41"/>
  <c r="E525" i="41"/>
  <c r="F525" i="41"/>
  <c r="H525" i="41"/>
  <c r="D527" i="41"/>
  <c r="H527" i="41"/>
  <c r="I532" i="41"/>
  <c r="I534" i="41"/>
  <c r="C20" i="30" s="1"/>
  <c r="I535" i="41"/>
  <c r="D537" i="41"/>
  <c r="E537" i="41"/>
  <c r="F537" i="41"/>
  <c r="G537" i="41"/>
  <c r="H537" i="41"/>
  <c r="D538" i="41"/>
  <c r="E538" i="41"/>
  <c r="F538" i="41"/>
  <c r="G538" i="41"/>
  <c r="H538" i="41"/>
  <c r="I538" i="41" s="1"/>
  <c r="I543" i="41"/>
  <c r="F181" i="40" s="1"/>
  <c r="I544" i="41"/>
  <c r="I545" i="41"/>
  <c r="F185" i="40" s="1"/>
  <c r="I546" i="41"/>
  <c r="F180" i="40" s="1"/>
  <c r="I547" i="41"/>
  <c r="F179" i="40" s="1"/>
  <c r="D548" i="41"/>
  <c r="E548" i="41"/>
  <c r="F548" i="41"/>
  <c r="G548" i="41"/>
  <c r="H548" i="41"/>
  <c r="I548" i="41" s="1"/>
  <c r="C26" i="30" s="1"/>
  <c r="I554" i="41"/>
  <c r="C1" i="42"/>
  <c r="E1" i="42"/>
  <c r="I12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D44" i="42"/>
  <c r="E44" i="42"/>
  <c r="F44" i="42"/>
  <c r="H44" i="42"/>
  <c r="I48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74" i="42"/>
  <c r="I75" i="42"/>
  <c r="I76" i="42"/>
  <c r="I77" i="42"/>
  <c r="I78" i="42"/>
  <c r="I79" i="42"/>
  <c r="D80" i="42"/>
  <c r="E80" i="42"/>
  <c r="F80" i="42"/>
  <c r="H80" i="42"/>
  <c r="I84" i="42"/>
  <c r="I86" i="42"/>
  <c r="I87" i="42"/>
  <c r="I88" i="42"/>
  <c r="I89" i="42"/>
  <c r="I90" i="42"/>
  <c r="I91" i="42"/>
  <c r="I92" i="42"/>
  <c r="I93" i="42"/>
  <c r="I94" i="42"/>
  <c r="I95" i="42"/>
  <c r="I96" i="42"/>
  <c r="I97" i="42"/>
  <c r="I98" i="42"/>
  <c r="I99" i="42"/>
  <c r="I100" i="42"/>
  <c r="I101" i="42"/>
  <c r="I102" i="42"/>
  <c r="I103" i="42"/>
  <c r="I104" i="42"/>
  <c r="I105" i="42"/>
  <c r="I106" i="42"/>
  <c r="I107" i="42"/>
  <c r="I108" i="42"/>
  <c r="I109" i="42"/>
  <c r="I110" i="42"/>
  <c r="I111" i="42"/>
  <c r="I112" i="42"/>
  <c r="I113" i="42"/>
  <c r="I114" i="42"/>
  <c r="I115" i="42"/>
  <c r="D116" i="42"/>
  <c r="E116" i="42"/>
  <c r="F116" i="42"/>
  <c r="H116" i="42"/>
  <c r="I120" i="42"/>
  <c r="I122" i="42"/>
  <c r="I123" i="42"/>
  <c r="I124" i="42"/>
  <c r="I125" i="42"/>
  <c r="I126" i="42"/>
  <c r="I127" i="42"/>
  <c r="I128" i="42"/>
  <c r="I129" i="42"/>
  <c r="I130" i="42"/>
  <c r="I131" i="42"/>
  <c r="I132" i="42"/>
  <c r="I133" i="42"/>
  <c r="I134" i="42"/>
  <c r="I135" i="42"/>
  <c r="I136" i="42"/>
  <c r="I137" i="42"/>
  <c r="I138" i="42"/>
  <c r="I139" i="42"/>
  <c r="I140" i="42"/>
  <c r="I141" i="42"/>
  <c r="I142" i="42"/>
  <c r="I143" i="42"/>
  <c r="I144" i="42"/>
  <c r="I145" i="42"/>
  <c r="I146" i="42"/>
  <c r="I147" i="42"/>
  <c r="I148" i="42"/>
  <c r="I149" i="42"/>
  <c r="I150" i="42"/>
  <c r="I151" i="42"/>
  <c r="D152" i="42"/>
  <c r="E152" i="42"/>
  <c r="F152" i="42"/>
  <c r="H152" i="42"/>
  <c r="I156" i="42"/>
  <c r="I158" i="42"/>
  <c r="I159" i="42"/>
  <c r="I160" i="42"/>
  <c r="I161" i="42"/>
  <c r="I162" i="42"/>
  <c r="I163" i="42"/>
  <c r="I164" i="42"/>
  <c r="I165" i="42"/>
  <c r="I166" i="42"/>
  <c r="I167" i="42"/>
  <c r="I168" i="42"/>
  <c r="I169" i="42"/>
  <c r="I170" i="42"/>
  <c r="I171" i="42"/>
  <c r="I172" i="42"/>
  <c r="I173" i="42"/>
  <c r="I174" i="42"/>
  <c r="I175" i="42"/>
  <c r="I176" i="42"/>
  <c r="I177" i="42"/>
  <c r="I178" i="42"/>
  <c r="I179" i="42"/>
  <c r="I180" i="42"/>
  <c r="I181" i="42"/>
  <c r="I182" i="42"/>
  <c r="I183" i="42"/>
  <c r="I184" i="42"/>
  <c r="I185" i="42"/>
  <c r="I186" i="42"/>
  <c r="I187" i="42"/>
  <c r="D188" i="42"/>
  <c r="E188" i="42"/>
  <c r="F188" i="42"/>
  <c r="H188" i="42"/>
  <c r="I192" i="42"/>
  <c r="I194" i="42"/>
  <c r="I195" i="42"/>
  <c r="I196" i="42"/>
  <c r="I197" i="42"/>
  <c r="I198" i="42"/>
  <c r="I199" i="42"/>
  <c r="I200" i="42"/>
  <c r="I201" i="42"/>
  <c r="I202" i="42"/>
  <c r="I203" i="42"/>
  <c r="I204" i="42"/>
  <c r="I205" i="42"/>
  <c r="I206" i="42"/>
  <c r="I207" i="42"/>
  <c r="I208" i="42"/>
  <c r="I209" i="42"/>
  <c r="I210" i="42"/>
  <c r="I211" i="42"/>
  <c r="I212" i="42"/>
  <c r="I213" i="42"/>
  <c r="I214" i="42"/>
  <c r="I215" i="42"/>
  <c r="I216" i="42"/>
  <c r="I217" i="42"/>
  <c r="I218" i="42"/>
  <c r="I219" i="42"/>
  <c r="I220" i="42"/>
  <c r="I221" i="42"/>
  <c r="I222" i="42"/>
  <c r="H223" i="42"/>
  <c r="I223" i="42"/>
  <c r="I227" i="42"/>
  <c r="I229" i="42"/>
  <c r="I230" i="42"/>
  <c r="I231" i="42"/>
  <c r="I232" i="42"/>
  <c r="I233" i="42"/>
  <c r="I234" i="42"/>
  <c r="I235" i="42"/>
  <c r="I236" i="42"/>
  <c r="I237" i="42"/>
  <c r="I238" i="42"/>
  <c r="I239" i="42"/>
  <c r="I240" i="42"/>
  <c r="I241" i="42"/>
  <c r="I242" i="42"/>
  <c r="I243" i="42"/>
  <c r="I244" i="42"/>
  <c r="I245" i="42"/>
  <c r="I246" i="42"/>
  <c r="I247" i="42"/>
  <c r="I248" i="42"/>
  <c r="I249" i="42"/>
  <c r="I250" i="42"/>
  <c r="I251" i="42"/>
  <c r="I252" i="42"/>
  <c r="I253" i="42"/>
  <c r="I254" i="42"/>
  <c r="I255" i="42"/>
  <c r="I256" i="42"/>
  <c r="I257" i="42"/>
  <c r="I258" i="42"/>
  <c r="D259" i="42"/>
  <c r="E259" i="42"/>
  <c r="F259" i="42"/>
  <c r="H259" i="42"/>
  <c r="I263" i="42"/>
  <c r="I265" i="42"/>
  <c r="I266" i="42"/>
  <c r="I267" i="42"/>
  <c r="I268" i="42"/>
  <c r="I269" i="42"/>
  <c r="I270" i="42"/>
  <c r="I271" i="42"/>
  <c r="I272" i="42"/>
  <c r="I273" i="42"/>
  <c r="I274" i="42"/>
  <c r="I275" i="42"/>
  <c r="I276" i="42"/>
  <c r="I277" i="42"/>
  <c r="I278" i="42"/>
  <c r="I279" i="42"/>
  <c r="I280" i="42"/>
  <c r="I281" i="42"/>
  <c r="I282" i="42"/>
  <c r="I283" i="42"/>
  <c r="I284" i="42"/>
  <c r="I285" i="42"/>
  <c r="I286" i="42"/>
  <c r="I287" i="42"/>
  <c r="I288" i="42"/>
  <c r="I289" i="42"/>
  <c r="I290" i="42"/>
  <c r="I291" i="42"/>
  <c r="I292" i="42"/>
  <c r="I293" i="42"/>
  <c r="I294" i="42"/>
  <c r="I299" i="42"/>
  <c r="I301" i="42"/>
  <c r="I302" i="42"/>
  <c r="I303" i="42"/>
  <c r="I304" i="42"/>
  <c r="I305" i="42"/>
  <c r="I306" i="42"/>
  <c r="I307" i="42"/>
  <c r="I308" i="42"/>
  <c r="I309" i="42"/>
  <c r="I310" i="42"/>
  <c r="I311" i="42"/>
  <c r="I312" i="42"/>
  <c r="I313" i="42"/>
  <c r="I314" i="42"/>
  <c r="I315" i="42"/>
  <c r="I316" i="42"/>
  <c r="I317" i="42"/>
  <c r="I318" i="42"/>
  <c r="I319" i="42"/>
  <c r="I320" i="42"/>
  <c r="I321" i="42"/>
  <c r="I322" i="42"/>
  <c r="I323" i="42"/>
  <c r="I324" i="42"/>
  <c r="I325" i="42"/>
  <c r="I326" i="42"/>
  <c r="I327" i="42"/>
  <c r="I328" i="42"/>
  <c r="I329" i="42"/>
  <c r="I330" i="42"/>
  <c r="I335" i="42"/>
  <c r="I337" i="42"/>
  <c r="I338" i="42"/>
  <c r="I339" i="42"/>
  <c r="I340" i="42"/>
  <c r="I341" i="42"/>
  <c r="I342" i="42"/>
  <c r="I343" i="42"/>
  <c r="I344" i="42"/>
  <c r="I345" i="42"/>
  <c r="I346" i="42"/>
  <c r="I347" i="42"/>
  <c r="I348" i="42"/>
  <c r="I349" i="42"/>
  <c r="I350" i="42"/>
  <c r="I351" i="42"/>
  <c r="I352" i="42"/>
  <c r="I353" i="42"/>
  <c r="I354" i="42"/>
  <c r="I355" i="42"/>
  <c r="I356" i="42"/>
  <c r="I357" i="42"/>
  <c r="I358" i="42"/>
  <c r="I359" i="42"/>
  <c r="I360" i="42"/>
  <c r="I361" i="42"/>
  <c r="I362" i="42"/>
  <c r="I363" i="42"/>
  <c r="I364" i="42"/>
  <c r="I365" i="42"/>
  <c r="I366" i="42"/>
  <c r="D367" i="42"/>
  <c r="E367" i="42"/>
  <c r="F367" i="42"/>
  <c r="H367" i="42"/>
  <c r="I372" i="42"/>
  <c r="I374" i="42"/>
  <c r="I375" i="42"/>
  <c r="I376" i="42"/>
  <c r="B1082" i="42" s="1"/>
  <c r="I377" i="42"/>
  <c r="I378" i="42"/>
  <c r="I379" i="42"/>
  <c r="I380" i="42"/>
  <c r="B1086" i="42" s="1"/>
  <c r="I381" i="42"/>
  <c r="I382" i="42"/>
  <c r="I383" i="42"/>
  <c r="I384" i="42"/>
  <c r="I385" i="42"/>
  <c r="I386" i="42"/>
  <c r="I387" i="42"/>
  <c r="I388" i="42"/>
  <c r="I389" i="42"/>
  <c r="I390" i="42"/>
  <c r="I391" i="42"/>
  <c r="I392" i="42"/>
  <c r="I393" i="42"/>
  <c r="I394" i="42"/>
  <c r="I395" i="42"/>
  <c r="I396" i="42"/>
  <c r="I397" i="42"/>
  <c r="I398" i="42"/>
  <c r="I399" i="42"/>
  <c r="I400" i="42"/>
  <c r="I401" i="42"/>
  <c r="I402" i="42"/>
  <c r="I403" i="42"/>
  <c r="I404" i="42"/>
  <c r="D405" i="42"/>
  <c r="F405" i="42"/>
  <c r="F1074" i="42" s="1"/>
  <c r="H405" i="42"/>
  <c r="I409" i="42"/>
  <c r="I411" i="42"/>
  <c r="I412" i="42"/>
  <c r="I413" i="42"/>
  <c r="I414" i="42"/>
  <c r="I415" i="42"/>
  <c r="I416" i="42"/>
  <c r="I417" i="42"/>
  <c r="I418" i="42"/>
  <c r="I419" i="42"/>
  <c r="I420" i="42"/>
  <c r="I421" i="42"/>
  <c r="I422" i="42"/>
  <c r="I423" i="42"/>
  <c r="I424" i="42"/>
  <c r="I425" i="42"/>
  <c r="I426" i="42"/>
  <c r="I427" i="42"/>
  <c r="I428" i="42"/>
  <c r="I429" i="42"/>
  <c r="I430" i="42"/>
  <c r="I431" i="42"/>
  <c r="I432" i="42"/>
  <c r="I433" i="42"/>
  <c r="I434" i="42"/>
  <c r="I435" i="42"/>
  <c r="I436" i="42"/>
  <c r="I437" i="42"/>
  <c r="I438" i="42"/>
  <c r="B1108" i="42" s="1"/>
  <c r="I439" i="42"/>
  <c r="I440" i="42"/>
  <c r="I441" i="42"/>
  <c r="D442" i="42"/>
  <c r="E442" i="42"/>
  <c r="F442" i="42"/>
  <c r="H442" i="42"/>
  <c r="I446" i="42"/>
  <c r="I448" i="42"/>
  <c r="I449" i="42"/>
  <c r="I450" i="42"/>
  <c r="I451" i="42"/>
  <c r="I452" i="42"/>
  <c r="I453" i="42"/>
  <c r="I454" i="42"/>
  <c r="I455" i="42"/>
  <c r="I456" i="42"/>
  <c r="I457" i="42"/>
  <c r="I458" i="42"/>
  <c r="I459" i="42"/>
  <c r="I460" i="42"/>
  <c r="I461" i="42"/>
  <c r="I462" i="42"/>
  <c r="I463" i="42"/>
  <c r="I464" i="42"/>
  <c r="I465" i="42"/>
  <c r="I466" i="42"/>
  <c r="I467" i="42"/>
  <c r="I468" i="42"/>
  <c r="I469" i="42"/>
  <c r="I470" i="42"/>
  <c r="I471" i="42"/>
  <c r="I472" i="42"/>
  <c r="I473" i="42"/>
  <c r="I474" i="42"/>
  <c r="I475" i="42"/>
  <c r="I476" i="42"/>
  <c r="I477" i="42"/>
  <c r="I478" i="42"/>
  <c r="E479" i="42"/>
  <c r="F479" i="42"/>
  <c r="H479" i="42"/>
  <c r="I483" i="42"/>
  <c r="I485" i="42"/>
  <c r="I486" i="42"/>
  <c r="I487" i="42"/>
  <c r="I488" i="42"/>
  <c r="I489" i="42"/>
  <c r="I490" i="42"/>
  <c r="I491" i="42"/>
  <c r="I492" i="42"/>
  <c r="I493" i="42"/>
  <c r="I494" i="42"/>
  <c r="I495" i="42"/>
  <c r="B1090" i="42" s="1"/>
  <c r="I496" i="42"/>
  <c r="I497" i="42"/>
  <c r="I498" i="42"/>
  <c r="I499" i="42"/>
  <c r="B1094" i="42" s="1"/>
  <c r="I500" i="42"/>
  <c r="I501" i="42"/>
  <c r="I502" i="42"/>
  <c r="I503" i="42"/>
  <c r="B1098" i="42" s="1"/>
  <c r="I504" i="42"/>
  <c r="I505" i="42"/>
  <c r="I506" i="42"/>
  <c r="I507" i="42"/>
  <c r="B1102" i="42" s="1"/>
  <c r="I508" i="42"/>
  <c r="I509" i="42"/>
  <c r="I510" i="42"/>
  <c r="I511" i="42"/>
  <c r="I512" i="42"/>
  <c r="I513" i="42"/>
  <c r="I514" i="42"/>
  <c r="I515" i="42"/>
  <c r="E516" i="42"/>
  <c r="F516" i="42"/>
  <c r="H516" i="42"/>
  <c r="I520" i="42"/>
  <c r="I522" i="42"/>
  <c r="I523" i="42"/>
  <c r="I524" i="42"/>
  <c r="I525" i="42"/>
  <c r="I526" i="42"/>
  <c r="I527" i="42"/>
  <c r="I528" i="42"/>
  <c r="I529" i="42"/>
  <c r="I530" i="42"/>
  <c r="I531" i="42"/>
  <c r="I532" i="42"/>
  <c r="I533" i="42"/>
  <c r="I534" i="42"/>
  <c r="I535" i="42"/>
  <c r="I536" i="42"/>
  <c r="I537" i="42"/>
  <c r="I538" i="42"/>
  <c r="I539" i="42"/>
  <c r="I540" i="42"/>
  <c r="I541" i="42"/>
  <c r="I542" i="42"/>
  <c r="I543" i="42"/>
  <c r="I544" i="42"/>
  <c r="I545" i="42"/>
  <c r="I546" i="42"/>
  <c r="I547" i="42"/>
  <c r="I548" i="42"/>
  <c r="I549" i="42"/>
  <c r="I550" i="42"/>
  <c r="I551" i="42"/>
  <c r="I552" i="42"/>
  <c r="D553" i="42"/>
  <c r="F553" i="42"/>
  <c r="H553" i="42"/>
  <c r="I557" i="42"/>
  <c r="I559" i="42"/>
  <c r="I560" i="42"/>
  <c r="I561" i="42"/>
  <c r="I562" i="42"/>
  <c r="I563" i="42"/>
  <c r="I564" i="42"/>
  <c r="I565" i="42"/>
  <c r="I566" i="42"/>
  <c r="I567" i="42"/>
  <c r="I568" i="42"/>
  <c r="I569" i="42"/>
  <c r="I570" i="42"/>
  <c r="I571" i="42"/>
  <c r="I572" i="42"/>
  <c r="I573" i="42"/>
  <c r="I574" i="42"/>
  <c r="I575" i="42"/>
  <c r="I576" i="42"/>
  <c r="I577" i="42"/>
  <c r="I578" i="42"/>
  <c r="I579" i="42"/>
  <c r="I580" i="42"/>
  <c r="I581" i="42"/>
  <c r="I582" i="42"/>
  <c r="I583" i="42"/>
  <c r="I584" i="42"/>
  <c r="I585" i="42"/>
  <c r="I586" i="42"/>
  <c r="I587" i="42"/>
  <c r="I588" i="42"/>
  <c r="I589" i="42"/>
  <c r="I594" i="42"/>
  <c r="I596" i="42"/>
  <c r="I597" i="42"/>
  <c r="I598" i="42"/>
  <c r="I599" i="42"/>
  <c r="I600" i="42"/>
  <c r="I601" i="42"/>
  <c r="I602" i="42"/>
  <c r="I603" i="42"/>
  <c r="I604" i="42"/>
  <c r="I605" i="42"/>
  <c r="I606" i="42"/>
  <c r="I607" i="42"/>
  <c r="I608" i="42"/>
  <c r="I609" i="42"/>
  <c r="I610" i="42"/>
  <c r="I611" i="42"/>
  <c r="I612" i="42"/>
  <c r="I613" i="42"/>
  <c r="I614" i="42"/>
  <c r="I615" i="42"/>
  <c r="I616" i="42"/>
  <c r="I617" i="42"/>
  <c r="I618" i="42"/>
  <c r="I619" i="42"/>
  <c r="I620" i="42"/>
  <c r="I621" i="42"/>
  <c r="I622" i="42"/>
  <c r="I623" i="42"/>
  <c r="I624" i="42"/>
  <c r="I625" i="42"/>
  <c r="I626" i="42"/>
  <c r="I631" i="42"/>
  <c r="I633" i="42"/>
  <c r="I634" i="42"/>
  <c r="I635" i="42"/>
  <c r="I636" i="42"/>
  <c r="I637" i="42"/>
  <c r="I638" i="42"/>
  <c r="I639" i="42"/>
  <c r="I640" i="42"/>
  <c r="I641" i="42"/>
  <c r="I642" i="42"/>
  <c r="I643" i="42"/>
  <c r="I644" i="42"/>
  <c r="I645" i="42"/>
  <c r="I646" i="42"/>
  <c r="I647" i="42"/>
  <c r="I648" i="42"/>
  <c r="I649" i="42"/>
  <c r="I650" i="42"/>
  <c r="I651" i="42"/>
  <c r="I652" i="42"/>
  <c r="I653" i="42"/>
  <c r="I654" i="42"/>
  <c r="I655" i="42"/>
  <c r="I656" i="42"/>
  <c r="I657" i="42"/>
  <c r="I658" i="42"/>
  <c r="I659" i="42"/>
  <c r="I660" i="42"/>
  <c r="I661" i="42"/>
  <c r="I662" i="42"/>
  <c r="I663" i="42"/>
  <c r="I664" i="42"/>
  <c r="H665" i="42"/>
  <c r="I669" i="42"/>
  <c r="I671" i="42"/>
  <c r="I672" i="42"/>
  <c r="I673" i="42"/>
  <c r="I674" i="42"/>
  <c r="I675" i="42"/>
  <c r="I676" i="42"/>
  <c r="I677" i="42"/>
  <c r="I678" i="42"/>
  <c r="I679" i="42"/>
  <c r="I680" i="42"/>
  <c r="I681" i="42"/>
  <c r="I682" i="42"/>
  <c r="I683" i="42"/>
  <c r="I684" i="42"/>
  <c r="I685" i="42"/>
  <c r="I686" i="42"/>
  <c r="I687" i="42"/>
  <c r="I688" i="42"/>
  <c r="I689" i="42"/>
  <c r="I690" i="42"/>
  <c r="I691" i="42"/>
  <c r="I692" i="42"/>
  <c r="I693" i="42"/>
  <c r="I694" i="42"/>
  <c r="I695" i="42"/>
  <c r="I696" i="42"/>
  <c r="I697" i="42"/>
  <c r="I698" i="42"/>
  <c r="I699" i="42"/>
  <c r="I700" i="42"/>
  <c r="I701" i="42"/>
  <c r="D702" i="42"/>
  <c r="F702" i="42"/>
  <c r="H702" i="42"/>
  <c r="I706" i="42"/>
  <c r="I708" i="42"/>
  <c r="I709" i="42"/>
  <c r="I710" i="42"/>
  <c r="I711" i="42"/>
  <c r="I712" i="42"/>
  <c r="I713" i="42"/>
  <c r="I714" i="42"/>
  <c r="I715" i="42"/>
  <c r="I716" i="42"/>
  <c r="I717" i="42"/>
  <c r="I718" i="42"/>
  <c r="I719" i="42"/>
  <c r="I720" i="42"/>
  <c r="I721" i="42"/>
  <c r="I722" i="42"/>
  <c r="I723" i="42"/>
  <c r="I724" i="42"/>
  <c r="I725" i="42"/>
  <c r="I726" i="42"/>
  <c r="I727" i="42"/>
  <c r="I728" i="42"/>
  <c r="I729" i="42"/>
  <c r="I730" i="42"/>
  <c r="I731" i="42"/>
  <c r="I732" i="42"/>
  <c r="I733" i="42"/>
  <c r="I734" i="42"/>
  <c r="I735" i="42"/>
  <c r="I736" i="42"/>
  <c r="I737" i="42"/>
  <c r="I738" i="42"/>
  <c r="I743" i="42"/>
  <c r="I745" i="42"/>
  <c r="I746" i="42"/>
  <c r="I747" i="42"/>
  <c r="I748" i="42"/>
  <c r="I749" i="42"/>
  <c r="I750" i="42"/>
  <c r="I751" i="42"/>
  <c r="I752" i="42"/>
  <c r="I753" i="42"/>
  <c r="I754" i="42"/>
  <c r="I755" i="42"/>
  <c r="I756" i="42"/>
  <c r="I757" i="42"/>
  <c r="I758" i="42"/>
  <c r="I759" i="42"/>
  <c r="I760" i="42"/>
  <c r="I761" i="42"/>
  <c r="I762" i="42"/>
  <c r="I763" i="42"/>
  <c r="I764" i="42"/>
  <c r="I765" i="42"/>
  <c r="I766" i="42"/>
  <c r="I767" i="42"/>
  <c r="I768" i="42"/>
  <c r="I769" i="42"/>
  <c r="I770" i="42"/>
  <c r="I771" i="42"/>
  <c r="I772" i="42"/>
  <c r="I773" i="42"/>
  <c r="I774" i="42"/>
  <c r="I775" i="42"/>
  <c r="I780" i="42"/>
  <c r="I782" i="42"/>
  <c r="I783" i="42"/>
  <c r="I784" i="42"/>
  <c r="I785" i="42"/>
  <c r="I786" i="42"/>
  <c r="I787" i="42"/>
  <c r="I788" i="42"/>
  <c r="I789" i="42"/>
  <c r="I790" i="42"/>
  <c r="I791" i="42"/>
  <c r="I792" i="42"/>
  <c r="I793" i="42"/>
  <c r="I794" i="42"/>
  <c r="I795" i="42"/>
  <c r="I796" i="42"/>
  <c r="I797" i="42"/>
  <c r="I798" i="42"/>
  <c r="I799" i="42"/>
  <c r="I800" i="42"/>
  <c r="I801" i="42"/>
  <c r="I802" i="42"/>
  <c r="I803" i="42"/>
  <c r="I804" i="42"/>
  <c r="I805" i="42"/>
  <c r="I806" i="42"/>
  <c r="I807" i="42"/>
  <c r="I808" i="42"/>
  <c r="I809" i="42"/>
  <c r="I810" i="42"/>
  <c r="I811" i="42"/>
  <c r="I812" i="42"/>
  <c r="F813" i="42"/>
  <c r="H813" i="42"/>
  <c r="I817" i="42"/>
  <c r="I819" i="42"/>
  <c r="I820" i="42"/>
  <c r="I821" i="42"/>
  <c r="I822" i="42"/>
  <c r="I823" i="42"/>
  <c r="I824" i="42"/>
  <c r="I825" i="42"/>
  <c r="I826" i="42"/>
  <c r="I827" i="42"/>
  <c r="I828" i="42"/>
  <c r="I829" i="42"/>
  <c r="I830" i="42"/>
  <c r="I831" i="42"/>
  <c r="I832" i="42"/>
  <c r="I833" i="42"/>
  <c r="I834" i="42"/>
  <c r="I835" i="42"/>
  <c r="I836" i="42"/>
  <c r="I837" i="42"/>
  <c r="I838" i="42"/>
  <c r="I839" i="42"/>
  <c r="I840" i="42"/>
  <c r="I841" i="42"/>
  <c r="I842" i="42"/>
  <c r="I843" i="42"/>
  <c r="I844" i="42"/>
  <c r="I845" i="42"/>
  <c r="I846" i="42"/>
  <c r="I847" i="42"/>
  <c r="I848" i="42"/>
  <c r="I849" i="42"/>
  <c r="D850" i="42"/>
  <c r="E850" i="42"/>
  <c r="F850" i="42"/>
  <c r="H850" i="42"/>
  <c r="I854" i="42"/>
  <c r="I856" i="42"/>
  <c r="I857" i="42"/>
  <c r="I858" i="42"/>
  <c r="I859" i="42"/>
  <c r="I860" i="42"/>
  <c r="I861" i="42"/>
  <c r="I862" i="42"/>
  <c r="I863" i="42"/>
  <c r="I864" i="42"/>
  <c r="I865" i="42"/>
  <c r="I866" i="42"/>
  <c r="I867" i="42"/>
  <c r="I868" i="42"/>
  <c r="I869" i="42"/>
  <c r="I870" i="42"/>
  <c r="I871" i="42"/>
  <c r="I872" i="42"/>
  <c r="I873" i="42"/>
  <c r="I874" i="42"/>
  <c r="I875" i="42"/>
  <c r="I876" i="42"/>
  <c r="I877" i="42"/>
  <c r="I878" i="42"/>
  <c r="I879" i="42"/>
  <c r="I880" i="42"/>
  <c r="I881" i="42"/>
  <c r="I882" i="42"/>
  <c r="I883" i="42"/>
  <c r="I884" i="42"/>
  <c r="I885" i="42"/>
  <c r="I886" i="42"/>
  <c r="D887" i="42"/>
  <c r="E887" i="42"/>
  <c r="F887" i="42"/>
  <c r="H887" i="42"/>
  <c r="I891" i="42"/>
  <c r="I893" i="42"/>
  <c r="I894" i="42"/>
  <c r="I895" i="42"/>
  <c r="I896" i="42"/>
  <c r="I897" i="42"/>
  <c r="I898" i="42"/>
  <c r="I899" i="42"/>
  <c r="I900" i="42"/>
  <c r="I901" i="42"/>
  <c r="I902" i="42"/>
  <c r="I903" i="42"/>
  <c r="I904" i="42"/>
  <c r="I905" i="42"/>
  <c r="I906" i="42"/>
  <c r="I907" i="42"/>
  <c r="I908" i="42"/>
  <c r="I909" i="42"/>
  <c r="I910" i="42"/>
  <c r="I911" i="42"/>
  <c r="I912" i="42"/>
  <c r="I913" i="42"/>
  <c r="I914" i="42"/>
  <c r="I915" i="42"/>
  <c r="I916" i="42"/>
  <c r="I917" i="42"/>
  <c r="I918" i="42"/>
  <c r="I919" i="42"/>
  <c r="I920" i="42"/>
  <c r="I921" i="42"/>
  <c r="I922" i="42"/>
  <c r="I923" i="42"/>
  <c r="H924" i="42"/>
  <c r="I928" i="42"/>
  <c r="I930" i="42"/>
  <c r="I931" i="42"/>
  <c r="I932" i="42"/>
  <c r="I933" i="42"/>
  <c r="I934" i="42"/>
  <c r="I935" i="42"/>
  <c r="I936" i="42"/>
  <c r="I937" i="42"/>
  <c r="I938" i="42"/>
  <c r="I939" i="42"/>
  <c r="I940" i="42"/>
  <c r="I941" i="42"/>
  <c r="I942" i="42"/>
  <c r="I943" i="42"/>
  <c r="I944" i="42"/>
  <c r="I945" i="42"/>
  <c r="I946" i="42"/>
  <c r="I947" i="42"/>
  <c r="I948" i="42"/>
  <c r="I949" i="42"/>
  <c r="I950" i="42"/>
  <c r="I951" i="42"/>
  <c r="I952" i="42"/>
  <c r="I953" i="42"/>
  <c r="I954" i="42"/>
  <c r="I955" i="42"/>
  <c r="I956" i="42"/>
  <c r="I957" i="42"/>
  <c r="I958" i="42"/>
  <c r="I959" i="42"/>
  <c r="I960" i="42"/>
  <c r="I965" i="42"/>
  <c r="I967" i="42"/>
  <c r="I968" i="42"/>
  <c r="I969" i="42"/>
  <c r="I970" i="42"/>
  <c r="I971" i="42"/>
  <c r="I972" i="42"/>
  <c r="I973" i="42"/>
  <c r="I974" i="42"/>
  <c r="I975" i="42"/>
  <c r="I976" i="42"/>
  <c r="I977" i="42"/>
  <c r="I978" i="42"/>
  <c r="I979" i="42"/>
  <c r="I980" i="42"/>
  <c r="I981" i="42"/>
  <c r="I982" i="42"/>
  <c r="I983" i="42"/>
  <c r="I984" i="42"/>
  <c r="I985" i="42"/>
  <c r="I986" i="42"/>
  <c r="I987" i="42"/>
  <c r="I988" i="42"/>
  <c r="I989" i="42"/>
  <c r="I990" i="42"/>
  <c r="I991" i="42"/>
  <c r="I992" i="42"/>
  <c r="I993" i="42"/>
  <c r="I994" i="42"/>
  <c r="I995" i="42"/>
  <c r="I996" i="42"/>
  <c r="I997" i="42"/>
  <c r="E998" i="42"/>
  <c r="F998" i="42"/>
  <c r="H998" i="42"/>
  <c r="I1002" i="42"/>
  <c r="I1004" i="42"/>
  <c r="I1005" i="42"/>
  <c r="I1006" i="42"/>
  <c r="I1007" i="42"/>
  <c r="I1008" i="42"/>
  <c r="I1009" i="42"/>
  <c r="I1010" i="42"/>
  <c r="I1011" i="42"/>
  <c r="I1012" i="42"/>
  <c r="I1013" i="42"/>
  <c r="I1014" i="42"/>
  <c r="I1015" i="42"/>
  <c r="I1016" i="42"/>
  <c r="I1017" i="42"/>
  <c r="I1018" i="42"/>
  <c r="I1019" i="42"/>
  <c r="I1020" i="42"/>
  <c r="I1021" i="42"/>
  <c r="I1022" i="42"/>
  <c r="I1023" i="42"/>
  <c r="I1024" i="42"/>
  <c r="I1025" i="42"/>
  <c r="I1026" i="42"/>
  <c r="I1027" i="42"/>
  <c r="I1028" i="42"/>
  <c r="I1029" i="42"/>
  <c r="I1030" i="42"/>
  <c r="I1031" i="42"/>
  <c r="I1032" i="42"/>
  <c r="I1033" i="42"/>
  <c r="I1034" i="42"/>
  <c r="D1035" i="42"/>
  <c r="E1035" i="42"/>
  <c r="F1035" i="42"/>
  <c r="H1035" i="42"/>
  <c r="I1039" i="42"/>
  <c r="I1041" i="42"/>
  <c r="I1042" i="42"/>
  <c r="I1043" i="42"/>
  <c r="I1044" i="42"/>
  <c r="I1045" i="42"/>
  <c r="I1046" i="42"/>
  <c r="I1047" i="42"/>
  <c r="I1048" i="42"/>
  <c r="I1049" i="42"/>
  <c r="I1050" i="42"/>
  <c r="I1051" i="42"/>
  <c r="I1052" i="42"/>
  <c r="I1053" i="42"/>
  <c r="I1054" i="42"/>
  <c r="I1055" i="42"/>
  <c r="I1056" i="42"/>
  <c r="I1057" i="42"/>
  <c r="I1058" i="42"/>
  <c r="I1059" i="42"/>
  <c r="I1060" i="42"/>
  <c r="I1061" i="42"/>
  <c r="I1062" i="42"/>
  <c r="I1063" i="42"/>
  <c r="I1064" i="42"/>
  <c r="I1065" i="42"/>
  <c r="I1066" i="42"/>
  <c r="I1067" i="42"/>
  <c r="I1068" i="42"/>
  <c r="I1069" i="42"/>
  <c r="I1070" i="42"/>
  <c r="I1071" i="42"/>
  <c r="D1072" i="42"/>
  <c r="E1072" i="42"/>
  <c r="F1072" i="42"/>
  <c r="H1072" i="42"/>
  <c r="D1074" i="42"/>
  <c r="D529" i="41" s="1"/>
  <c r="D540" i="41" s="1"/>
  <c r="D550" i="41" s="1"/>
  <c r="D556" i="41" s="1"/>
  <c r="B1084" i="42"/>
  <c r="B1088" i="42"/>
  <c r="B1092" i="42"/>
  <c r="B1096" i="42"/>
  <c r="B1100" i="42"/>
  <c r="B1104" i="42"/>
  <c r="B1105" i="42"/>
  <c r="B1106" i="42"/>
  <c r="B1110" i="42"/>
  <c r="C1" i="43"/>
  <c r="E1" i="43"/>
  <c r="I5" i="43"/>
  <c r="I7" i="43"/>
  <c r="C10" i="29" s="1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D45" i="43"/>
  <c r="E45" i="43"/>
  <c r="F45" i="43"/>
  <c r="G45" i="43"/>
  <c r="H45" i="43"/>
  <c r="I48" i="43"/>
  <c r="I51" i="43"/>
  <c r="C11" i="29" s="1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E74" i="43"/>
  <c r="F74" i="43"/>
  <c r="F98" i="43" s="1"/>
  <c r="F100" i="43" s="1"/>
  <c r="F108" i="43" s="1"/>
  <c r="F558" i="41" s="1"/>
  <c r="G74" i="43"/>
  <c r="H74" i="43"/>
  <c r="H98" i="43" s="1"/>
  <c r="H100" i="43" s="1"/>
  <c r="H108" i="43" s="1"/>
  <c r="H558" i="41" s="1"/>
  <c r="I77" i="43"/>
  <c r="I78" i="43"/>
  <c r="I79" i="43"/>
  <c r="I80" i="43"/>
  <c r="I81" i="43"/>
  <c r="I82" i="43"/>
  <c r="I83" i="43"/>
  <c r="I84" i="43"/>
  <c r="I85" i="43"/>
  <c r="I86" i="43"/>
  <c r="I87" i="43"/>
  <c r="D89" i="43"/>
  <c r="E89" i="43"/>
  <c r="F89" i="43"/>
  <c r="G89" i="43"/>
  <c r="H89" i="43"/>
  <c r="I89" i="43"/>
  <c r="I92" i="43"/>
  <c r="I96" i="43" s="1"/>
  <c r="I93" i="43"/>
  <c r="I94" i="43"/>
  <c r="I95" i="43"/>
  <c r="D96" i="43"/>
  <c r="E96" i="43"/>
  <c r="F96" i="43"/>
  <c r="G96" i="43"/>
  <c r="H96" i="43"/>
  <c r="D98" i="43"/>
  <c r="D100" i="43" s="1"/>
  <c r="D108" i="43" s="1"/>
  <c r="D558" i="41" s="1"/>
  <c r="G98" i="43"/>
  <c r="G100" i="43" s="1"/>
  <c r="G108" i="43" s="1"/>
  <c r="G558" i="41" s="1"/>
  <c r="I558" i="41" s="1"/>
  <c r="I102" i="43"/>
  <c r="I103" i="43"/>
  <c r="C34" i="24"/>
  <c r="I104" i="43"/>
  <c r="D106" i="43"/>
  <c r="E106" i="43"/>
  <c r="F106" i="43"/>
  <c r="G106" i="43"/>
  <c r="H106" i="43"/>
  <c r="I111" i="43"/>
  <c r="I115" i="43"/>
  <c r="I116" i="43"/>
  <c r="I117" i="43"/>
  <c r="C1" i="5"/>
  <c r="E1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D45" i="40" s="1"/>
  <c r="I33" i="5"/>
  <c r="I34" i="5"/>
  <c r="I35" i="5"/>
  <c r="I36" i="5"/>
  <c r="I37" i="5"/>
  <c r="I38" i="5"/>
  <c r="I39" i="5"/>
  <c r="I40" i="5"/>
  <c r="I41" i="5"/>
  <c r="I42" i="5"/>
  <c r="I43" i="5"/>
  <c r="E44" i="5"/>
  <c r="E527" i="5" s="1"/>
  <c r="F44" i="5"/>
  <c r="H44" i="5"/>
  <c r="H527" i="5" s="1"/>
  <c r="I48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D81" i="5"/>
  <c r="E81" i="5"/>
  <c r="F81" i="5"/>
  <c r="H81" i="5"/>
  <c r="I85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F118" i="5"/>
  <c r="H118" i="5"/>
  <c r="I122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E149" i="5"/>
  <c r="F149" i="5"/>
  <c r="H149" i="5"/>
  <c r="I153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91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D218" i="5"/>
  <c r="E218" i="5"/>
  <c r="F218" i="5"/>
  <c r="H218" i="5"/>
  <c r="I222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D89" i="40" s="1"/>
  <c r="I239" i="5"/>
  <c r="I240" i="5"/>
  <c r="I241" i="5"/>
  <c r="I242" i="5"/>
  <c r="I243" i="5"/>
  <c r="I244" i="5"/>
  <c r="I245" i="5"/>
  <c r="I246" i="5"/>
  <c r="I247" i="5"/>
  <c r="I248" i="5"/>
  <c r="I249" i="5"/>
  <c r="I250" i="5"/>
  <c r="E251" i="5"/>
  <c r="F251" i="5"/>
  <c r="H251" i="5"/>
  <c r="I255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D98" i="40" s="1"/>
  <c r="I279" i="5"/>
  <c r="I280" i="5"/>
  <c r="I281" i="5"/>
  <c r="I282" i="5"/>
  <c r="I283" i="5"/>
  <c r="I284" i="5"/>
  <c r="I285" i="5"/>
  <c r="I286" i="5"/>
  <c r="I287" i="5"/>
  <c r="I288" i="5"/>
  <c r="I289" i="5"/>
  <c r="I290" i="5"/>
  <c r="I295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D107" i="40" s="1"/>
  <c r="I312" i="5"/>
  <c r="I313" i="5"/>
  <c r="I314" i="5"/>
  <c r="I315" i="5"/>
  <c r="I316" i="5"/>
  <c r="I317" i="5"/>
  <c r="I318" i="5"/>
  <c r="I319" i="5"/>
  <c r="I320" i="5"/>
  <c r="I321" i="5"/>
  <c r="I322" i="5"/>
  <c r="E323" i="5"/>
  <c r="F323" i="5"/>
  <c r="H323" i="5"/>
  <c r="I327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D116" i="40" s="1"/>
  <c r="I342" i="5"/>
  <c r="I343" i="5"/>
  <c r="I344" i="5"/>
  <c r="I345" i="5"/>
  <c r="I346" i="5"/>
  <c r="I347" i="5"/>
  <c r="I348" i="5"/>
  <c r="I349" i="5"/>
  <c r="I350" i="5"/>
  <c r="I351" i="5"/>
  <c r="I352" i="5"/>
  <c r="D353" i="5"/>
  <c r="E353" i="5"/>
  <c r="F353" i="5"/>
  <c r="H353" i="5"/>
  <c r="I357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8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11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H430" i="5"/>
  <c r="I434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D142" i="40" s="1"/>
  <c r="I449" i="5"/>
  <c r="I450" i="5"/>
  <c r="I451" i="5"/>
  <c r="I452" i="5"/>
  <c r="I453" i="5"/>
  <c r="I454" i="5"/>
  <c r="I455" i="5"/>
  <c r="I456" i="5"/>
  <c r="I457" i="5"/>
  <c r="I458" i="5"/>
  <c r="I459" i="5"/>
  <c r="I460" i="5"/>
  <c r="E461" i="5"/>
  <c r="F461" i="5"/>
  <c r="H461" i="5"/>
  <c r="I465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D151" i="40" s="1"/>
  <c r="I481" i="5"/>
  <c r="I482" i="5"/>
  <c r="I483" i="5"/>
  <c r="I484" i="5"/>
  <c r="I485" i="5"/>
  <c r="I486" i="5"/>
  <c r="I487" i="5"/>
  <c r="I488" i="5"/>
  <c r="I489" i="5"/>
  <c r="I490" i="5"/>
  <c r="I491" i="5"/>
  <c r="F492" i="5"/>
  <c r="H492" i="5"/>
  <c r="I496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D162" i="40" s="1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D527" i="5"/>
  <c r="F527" i="5"/>
  <c r="I532" i="5"/>
  <c r="I534" i="5"/>
  <c r="B20" i="30" s="1"/>
  <c r="I535" i="5"/>
  <c r="D537" i="5"/>
  <c r="E537" i="5"/>
  <c r="F537" i="5"/>
  <c r="G537" i="5"/>
  <c r="H537" i="5"/>
  <c r="D538" i="5"/>
  <c r="E538" i="5"/>
  <c r="F538" i="5"/>
  <c r="G538" i="5"/>
  <c r="H538" i="5"/>
  <c r="I538" i="5" s="1"/>
  <c r="I543" i="5"/>
  <c r="D181" i="40" s="1"/>
  <c r="I544" i="5"/>
  <c r="I545" i="5"/>
  <c r="D182" i="40" s="1"/>
  <c r="I546" i="5"/>
  <c r="D185" i="40" s="1"/>
  <c r="I547" i="5"/>
  <c r="D183" i="40" s="1"/>
  <c r="I548" i="5"/>
  <c r="D180" i="40" s="1"/>
  <c r="I549" i="5"/>
  <c r="D179" i="40"/>
  <c r="D550" i="5"/>
  <c r="E550" i="5"/>
  <c r="F550" i="5"/>
  <c r="G550" i="5"/>
  <c r="H550" i="5"/>
  <c r="I550" i="5"/>
  <c r="B26" i="30" s="1"/>
  <c r="I556" i="5"/>
  <c r="C1" i="4"/>
  <c r="E1" i="4"/>
  <c r="I1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D44" i="4"/>
  <c r="E44" i="4"/>
  <c r="F44" i="4"/>
  <c r="H44" i="4"/>
  <c r="I48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D80" i="4"/>
  <c r="E80" i="4"/>
  <c r="F80" i="4"/>
  <c r="H80" i="4"/>
  <c r="I84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D116" i="4"/>
  <c r="F116" i="4"/>
  <c r="H116" i="4"/>
  <c r="I120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E152" i="4"/>
  <c r="F152" i="4"/>
  <c r="H152" i="4"/>
  <c r="I156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D188" i="4"/>
  <c r="F188" i="4"/>
  <c r="H188" i="4"/>
  <c r="I192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D223" i="4"/>
  <c r="E223" i="4"/>
  <c r="F223" i="4"/>
  <c r="H223" i="4"/>
  <c r="I227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E259" i="4"/>
  <c r="F259" i="4"/>
  <c r="H259" i="4"/>
  <c r="I263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D295" i="4"/>
  <c r="E295" i="4"/>
  <c r="F295" i="4"/>
  <c r="H295" i="4"/>
  <c r="I299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D331" i="4"/>
  <c r="E331" i="4"/>
  <c r="F331" i="4"/>
  <c r="H331" i="4"/>
  <c r="I335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D367" i="4"/>
  <c r="E367" i="4"/>
  <c r="F367" i="4"/>
  <c r="H367" i="4"/>
  <c r="I372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E405" i="4"/>
  <c r="F405" i="4"/>
  <c r="H405" i="4"/>
  <c r="I409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F442" i="4"/>
  <c r="H442" i="4"/>
  <c r="I446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D479" i="4"/>
  <c r="E479" i="4"/>
  <c r="F479" i="4"/>
  <c r="H479" i="4"/>
  <c r="I483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E516" i="4"/>
  <c r="F516" i="4"/>
  <c r="H516" i="4"/>
  <c r="I520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F553" i="4"/>
  <c r="H553" i="4"/>
  <c r="I557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D590" i="4"/>
  <c r="E590" i="4"/>
  <c r="F590" i="4"/>
  <c r="H590" i="4"/>
  <c r="I594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F627" i="4"/>
  <c r="H627" i="4"/>
  <c r="I631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E665" i="4"/>
  <c r="F665" i="4"/>
  <c r="H665" i="4"/>
  <c r="I669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D702" i="4"/>
  <c r="E702" i="4"/>
  <c r="F702" i="4"/>
  <c r="H702" i="4"/>
  <c r="I706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H739" i="4"/>
  <c r="I743" i="4"/>
  <c r="I745" i="4"/>
  <c r="I746" i="4"/>
  <c r="B1081" i="4" s="1"/>
  <c r="I747" i="4"/>
  <c r="I748" i="4"/>
  <c r="B1083" i="4" s="1"/>
  <c r="I749" i="4"/>
  <c r="I750" i="4"/>
  <c r="B1085" i="4" s="1"/>
  <c r="I751" i="4"/>
  <c r="I752" i="4"/>
  <c r="B1087" i="4" s="1"/>
  <c r="I753" i="4"/>
  <c r="I754" i="4"/>
  <c r="B1089" i="4" s="1"/>
  <c r="I755" i="4"/>
  <c r="I756" i="4"/>
  <c r="B1091" i="4" s="1"/>
  <c r="I757" i="4"/>
  <c r="I758" i="4"/>
  <c r="B1093" i="4" s="1"/>
  <c r="I759" i="4"/>
  <c r="I760" i="4"/>
  <c r="B1095" i="4" s="1"/>
  <c r="I761" i="4"/>
  <c r="I762" i="4"/>
  <c r="B1097" i="4" s="1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F776" i="4"/>
  <c r="H776" i="4"/>
  <c r="I780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B1099" i="4" s="1"/>
  <c r="I802" i="4"/>
  <c r="I803" i="4"/>
  <c r="B1101" i="4" s="1"/>
  <c r="I804" i="4"/>
  <c r="I805" i="4"/>
  <c r="B1103" i="4" s="1"/>
  <c r="I806" i="4"/>
  <c r="I807" i="4"/>
  <c r="I808" i="4"/>
  <c r="I809" i="4"/>
  <c r="I810" i="4"/>
  <c r="I811" i="4"/>
  <c r="I812" i="4"/>
  <c r="F813" i="4"/>
  <c r="H813" i="4"/>
  <c r="I817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E850" i="4"/>
  <c r="F850" i="4"/>
  <c r="H850" i="4"/>
  <c r="I854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B1107" i="4" s="1"/>
  <c r="I883" i="4"/>
  <c r="I884" i="4"/>
  <c r="B1109" i="4" s="1"/>
  <c r="I885" i="4"/>
  <c r="I886" i="4"/>
  <c r="B1111" i="4" s="1"/>
  <c r="F887" i="4"/>
  <c r="H887" i="4"/>
  <c r="I891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D924" i="4"/>
  <c r="E924" i="4"/>
  <c r="F924" i="4"/>
  <c r="H924" i="4"/>
  <c r="I928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D961" i="4"/>
  <c r="E961" i="4"/>
  <c r="F961" i="4"/>
  <c r="H961" i="4"/>
  <c r="I965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D998" i="4"/>
  <c r="E998" i="4"/>
  <c r="F998" i="4"/>
  <c r="H998" i="4"/>
  <c r="I1002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E1035" i="4"/>
  <c r="F1035" i="4"/>
  <c r="H1035" i="4"/>
  <c r="I1039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D1072" i="4"/>
  <c r="E1072" i="4"/>
  <c r="F1072" i="4"/>
  <c r="H1072" i="4"/>
  <c r="F1074" i="4"/>
  <c r="F529" i="5" s="1"/>
  <c r="F540" i="5" s="1"/>
  <c r="F552" i="5" s="1"/>
  <c r="F558" i="5" s="1"/>
  <c r="H1074" i="4"/>
  <c r="H529" i="5" s="1"/>
  <c r="B1082" i="4"/>
  <c r="B1084" i="4"/>
  <c r="B1086" i="4"/>
  <c r="B1088" i="4"/>
  <c r="B1090" i="4"/>
  <c r="B1092" i="4"/>
  <c r="B1094" i="4"/>
  <c r="B1096" i="4"/>
  <c r="B1098" i="4"/>
  <c r="B1100" i="4"/>
  <c r="B1102" i="4"/>
  <c r="B1104" i="4"/>
  <c r="B1105" i="4"/>
  <c r="B1106" i="4"/>
  <c r="B1108" i="4"/>
  <c r="B1110" i="4"/>
  <c r="C1" i="3"/>
  <c r="E1" i="3"/>
  <c r="I5" i="3"/>
  <c r="I7" i="3"/>
  <c r="B10" i="29" s="1"/>
  <c r="I8" i="3"/>
  <c r="B12" i="29" s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F45" i="3"/>
  <c r="G45" i="3"/>
  <c r="H45" i="3"/>
  <c r="I48" i="3"/>
  <c r="I51" i="3"/>
  <c r="B11" i="29" s="1"/>
  <c r="I52" i="3"/>
  <c r="I75" i="3" s="1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D75" i="3"/>
  <c r="E75" i="3"/>
  <c r="F75" i="3"/>
  <c r="G75" i="3"/>
  <c r="H75" i="3"/>
  <c r="I78" i="3"/>
  <c r="I91" i="3" s="1"/>
  <c r="I79" i="3"/>
  <c r="I80" i="3"/>
  <c r="I81" i="3"/>
  <c r="I82" i="3"/>
  <c r="I83" i="3"/>
  <c r="I84" i="3"/>
  <c r="I85" i="3"/>
  <c r="I86" i="3"/>
  <c r="I87" i="3"/>
  <c r="I88" i="3"/>
  <c r="I89" i="3"/>
  <c r="D91" i="3"/>
  <c r="E91" i="3"/>
  <c r="F91" i="3"/>
  <c r="G91" i="3"/>
  <c r="H91" i="3"/>
  <c r="I94" i="3"/>
  <c r="I98" i="3" s="1"/>
  <c r="I95" i="3"/>
  <c r="I96" i="3"/>
  <c r="I97" i="3"/>
  <c r="D98" i="3"/>
  <c r="E98" i="3"/>
  <c r="F98" i="3"/>
  <c r="G98" i="3"/>
  <c r="H98" i="3"/>
  <c r="D100" i="3"/>
  <c r="E100" i="3"/>
  <c r="F100" i="3"/>
  <c r="G100" i="3"/>
  <c r="H100" i="3"/>
  <c r="D102" i="3"/>
  <c r="D110" i="3" s="1"/>
  <c r="D560" i="5" s="1"/>
  <c r="E102" i="3"/>
  <c r="F102" i="3"/>
  <c r="G102" i="3"/>
  <c r="H102" i="3"/>
  <c r="H110" i="3" s="1"/>
  <c r="H560" i="5" s="1"/>
  <c r="I104" i="3"/>
  <c r="I108" i="3" s="1"/>
  <c r="I106" i="3"/>
  <c r="C39" i="24" s="1"/>
  <c r="D108" i="3"/>
  <c r="E108" i="3"/>
  <c r="F108" i="3"/>
  <c r="G108" i="3"/>
  <c r="G110" i="3"/>
  <c r="G560" i="5" s="1"/>
  <c r="H108" i="3"/>
  <c r="F110" i="3"/>
  <c r="F560" i="5" s="1"/>
  <c r="I113" i="3"/>
  <c r="I537" i="5" s="1"/>
  <c r="I117" i="3"/>
  <c r="I118" i="3"/>
  <c r="I119" i="3"/>
  <c r="C1" i="48"/>
  <c r="K1" i="48"/>
  <c r="W9" i="48"/>
  <c r="X9" i="48"/>
  <c r="Y9" i="48"/>
  <c r="Z9" i="48"/>
  <c r="V12" i="48"/>
  <c r="V13" i="48"/>
  <c r="V14" i="48"/>
  <c r="V15" i="48"/>
  <c r="V16" i="48"/>
  <c r="V17" i="48"/>
  <c r="V18" i="48"/>
  <c r="V19" i="48"/>
  <c r="V20" i="48"/>
  <c r="V21" i="48"/>
  <c r="V22" i="48"/>
  <c r="V23" i="48"/>
  <c r="V24" i="48"/>
  <c r="V25" i="48"/>
  <c r="V26" i="48"/>
  <c r="V27" i="48"/>
  <c r="V28" i="48"/>
  <c r="V29" i="48"/>
  <c r="V30" i="48"/>
  <c r="V31" i="48"/>
  <c r="N32" i="48"/>
  <c r="R32" i="48" s="1"/>
  <c r="V32" i="48"/>
  <c r="N33" i="48"/>
  <c r="R33" i="48" s="1"/>
  <c r="V33" i="48"/>
  <c r="N34" i="48"/>
  <c r="R34" i="48" s="1"/>
  <c r="V34" i="48"/>
  <c r="N35" i="48"/>
  <c r="R35" i="48" s="1"/>
  <c r="V35" i="48"/>
  <c r="N36" i="48"/>
  <c r="R36" i="48" s="1"/>
  <c r="V36" i="48"/>
  <c r="N37" i="48"/>
  <c r="R37" i="48" s="1"/>
  <c r="V37" i="48"/>
  <c r="N38" i="48"/>
  <c r="R38" i="48" s="1"/>
  <c r="V38" i="48"/>
  <c r="N39" i="48"/>
  <c r="R39" i="48" s="1"/>
  <c r="V39" i="48"/>
  <c r="N40" i="48"/>
  <c r="R40" i="48" s="1"/>
  <c r="V40" i="48"/>
  <c r="N41" i="48"/>
  <c r="R41" i="48" s="1"/>
  <c r="V41" i="48"/>
  <c r="N42" i="48"/>
  <c r="R42" i="48" s="1"/>
  <c r="V42" i="48"/>
  <c r="N43" i="48"/>
  <c r="R43" i="48" s="1"/>
  <c r="V43" i="48"/>
  <c r="N44" i="48"/>
  <c r="R44" i="48" s="1"/>
  <c r="V44" i="48"/>
  <c r="N45" i="48"/>
  <c r="R45" i="48" s="1"/>
  <c r="V45" i="48"/>
  <c r="N46" i="48"/>
  <c r="R46" i="48" s="1"/>
  <c r="V46" i="48"/>
  <c r="N47" i="48"/>
  <c r="R47" i="48" s="1"/>
  <c r="V47" i="48"/>
  <c r="N48" i="48"/>
  <c r="R48" i="48" s="1"/>
  <c r="V48" i="48"/>
  <c r="N49" i="48"/>
  <c r="R49" i="48" s="1"/>
  <c r="V49" i="48"/>
  <c r="N50" i="48"/>
  <c r="R50" i="48" s="1"/>
  <c r="V50" i="48"/>
  <c r="N51" i="48"/>
  <c r="R51" i="48" s="1"/>
  <c r="V51" i="48"/>
  <c r="N52" i="48"/>
  <c r="R52" i="48" s="1"/>
  <c r="V52" i="48"/>
  <c r="N53" i="48"/>
  <c r="R53" i="48" s="1"/>
  <c r="V53" i="48"/>
  <c r="N54" i="48"/>
  <c r="R54" i="48" s="1"/>
  <c r="V54" i="48"/>
  <c r="N55" i="48"/>
  <c r="R55" i="48" s="1"/>
  <c r="V55" i="48"/>
  <c r="N56" i="48"/>
  <c r="R56" i="48" s="1"/>
  <c r="V56" i="48"/>
  <c r="N57" i="48"/>
  <c r="R57" i="48" s="1"/>
  <c r="V57" i="48"/>
  <c r="N58" i="48"/>
  <c r="R58" i="48" s="1"/>
  <c r="V58" i="48"/>
  <c r="N59" i="48"/>
  <c r="R59" i="48" s="1"/>
  <c r="V59" i="48"/>
  <c r="N60" i="48"/>
  <c r="R60" i="48"/>
  <c r="S60" i="48" s="1"/>
  <c r="V60" i="48"/>
  <c r="N61" i="48"/>
  <c r="R61" i="48" s="1"/>
  <c r="V61" i="48"/>
  <c r="N62" i="48"/>
  <c r="R62" i="48" s="1"/>
  <c r="V62" i="48"/>
  <c r="N63" i="48"/>
  <c r="R63" i="48" s="1"/>
  <c r="V63" i="48"/>
  <c r="N64" i="48"/>
  <c r="R64" i="48"/>
  <c r="S64" i="48" s="1"/>
  <c r="V64" i="48"/>
  <c r="N65" i="48"/>
  <c r="R65" i="48" s="1"/>
  <c r="V65" i="48"/>
  <c r="N66" i="48"/>
  <c r="R66" i="48" s="1"/>
  <c r="V66" i="48"/>
  <c r="N67" i="48"/>
  <c r="R67" i="48" s="1"/>
  <c r="V67" i="48"/>
  <c r="N68" i="48"/>
  <c r="R68" i="48"/>
  <c r="S68" i="48" s="1"/>
  <c r="V68" i="48"/>
  <c r="N69" i="48"/>
  <c r="R69" i="48" s="1"/>
  <c r="V69" i="48"/>
  <c r="N70" i="48"/>
  <c r="R70" i="48" s="1"/>
  <c r="V70" i="48"/>
  <c r="N71" i="48"/>
  <c r="R71" i="48" s="1"/>
  <c r="V71" i="48"/>
  <c r="N72" i="48"/>
  <c r="R72" i="48"/>
  <c r="S72" i="48" s="1"/>
  <c r="V72" i="48"/>
  <c r="N73" i="48"/>
  <c r="R73" i="48" s="1"/>
  <c r="V73" i="48"/>
  <c r="N74" i="48"/>
  <c r="R74" i="48" s="1"/>
  <c r="V74" i="48"/>
  <c r="N75" i="48"/>
  <c r="R75" i="48" s="1"/>
  <c r="V75" i="48"/>
  <c r="N76" i="48"/>
  <c r="R76" i="48"/>
  <c r="S76" i="48" s="1"/>
  <c r="V76" i="48"/>
  <c r="N77" i="48"/>
  <c r="R77" i="48" s="1"/>
  <c r="V77" i="48"/>
  <c r="N78" i="48"/>
  <c r="R78" i="48" s="1"/>
  <c r="V78" i="48"/>
  <c r="N79" i="48"/>
  <c r="R79" i="48" s="1"/>
  <c r="V79" i="48"/>
  <c r="N80" i="48"/>
  <c r="R80" i="48" s="1"/>
  <c r="V80" i="48"/>
  <c r="N81" i="48"/>
  <c r="R81" i="48" s="1"/>
  <c r="V81" i="48"/>
  <c r="N82" i="48"/>
  <c r="R82" i="48" s="1"/>
  <c r="V82" i="48"/>
  <c r="N83" i="48"/>
  <c r="R83" i="48" s="1"/>
  <c r="V83" i="48"/>
  <c r="N84" i="48"/>
  <c r="R84" i="48" s="1"/>
  <c r="V84" i="48"/>
  <c r="N85" i="48"/>
  <c r="R85" i="48" s="1"/>
  <c r="V85" i="48"/>
  <c r="N86" i="48"/>
  <c r="R86" i="48" s="1"/>
  <c r="V86" i="48"/>
  <c r="N87" i="48"/>
  <c r="R87" i="48" s="1"/>
  <c r="V87" i="48"/>
  <c r="N88" i="48"/>
  <c r="R88" i="48" s="1"/>
  <c r="V88" i="48"/>
  <c r="N89" i="48"/>
  <c r="R89" i="48" s="1"/>
  <c r="V89" i="48"/>
  <c r="N90" i="48"/>
  <c r="R90" i="48"/>
  <c r="V90" i="48"/>
  <c r="N91" i="48"/>
  <c r="R91" i="48" s="1"/>
  <c r="V91" i="48"/>
  <c r="N92" i="48"/>
  <c r="R92" i="48" s="1"/>
  <c r="V92" i="48"/>
  <c r="N93" i="48"/>
  <c r="R93" i="48" s="1"/>
  <c r="V93" i="48"/>
  <c r="N94" i="48"/>
  <c r="R94" i="48" s="1"/>
  <c r="V94" i="48"/>
  <c r="N95" i="48"/>
  <c r="R95" i="48" s="1"/>
  <c r="V95" i="48"/>
  <c r="N96" i="48"/>
  <c r="R96" i="48" s="1"/>
  <c r="V96" i="48"/>
  <c r="N97" i="48"/>
  <c r="R97" i="48" s="1"/>
  <c r="V97" i="48"/>
  <c r="N98" i="48"/>
  <c r="R98" i="48"/>
  <c r="V98" i="48"/>
  <c r="N99" i="48"/>
  <c r="R99" i="48" s="1"/>
  <c r="V99" i="48"/>
  <c r="N100" i="48"/>
  <c r="R100" i="48" s="1"/>
  <c r="V100" i="48"/>
  <c r="N101" i="48"/>
  <c r="R101" i="48" s="1"/>
  <c r="V101" i="48"/>
  <c r="N102" i="48"/>
  <c r="R102" i="48" s="1"/>
  <c r="V102" i="48"/>
  <c r="N103" i="48"/>
  <c r="R103" i="48" s="1"/>
  <c r="V103" i="48"/>
  <c r="N104" i="48"/>
  <c r="R104" i="48" s="1"/>
  <c r="V104" i="48"/>
  <c r="N105" i="48"/>
  <c r="R105" i="48" s="1"/>
  <c r="V105" i="48"/>
  <c r="N106" i="48"/>
  <c r="R106" i="48" s="1"/>
  <c r="V106" i="48"/>
  <c r="N107" i="48"/>
  <c r="R107" i="48"/>
  <c r="S107" i="48" s="1"/>
  <c r="V107" i="48"/>
  <c r="N108" i="48"/>
  <c r="R108" i="48" s="1"/>
  <c r="V108" i="48"/>
  <c r="N109" i="48"/>
  <c r="R109" i="48" s="1"/>
  <c r="V109" i="48"/>
  <c r="N110" i="48"/>
  <c r="R110" i="48" s="1"/>
  <c r="V110" i="48"/>
  <c r="N111" i="48"/>
  <c r="R111" i="48" s="1"/>
  <c r="V111" i="48"/>
  <c r="N112" i="48"/>
  <c r="R112" i="48" s="1"/>
  <c r="V112" i="48"/>
  <c r="N113" i="48"/>
  <c r="R113" i="48" s="1"/>
  <c r="V113" i="48"/>
  <c r="N114" i="48"/>
  <c r="R114" i="48" s="1"/>
  <c r="V114" i="48"/>
  <c r="N115" i="48"/>
  <c r="R115" i="48" s="1"/>
  <c r="V115" i="48"/>
  <c r="N116" i="48"/>
  <c r="R116" i="48" s="1"/>
  <c r="V116" i="48"/>
  <c r="N117" i="48"/>
  <c r="R117" i="48" s="1"/>
  <c r="V117" i="48"/>
  <c r="N118" i="48"/>
  <c r="R118" i="48"/>
  <c r="S118" i="48" s="1"/>
  <c r="V118" i="48"/>
  <c r="N119" i="48"/>
  <c r="R119" i="48" s="1"/>
  <c r="V119" i="48"/>
  <c r="N120" i="48"/>
  <c r="R120" i="48" s="1"/>
  <c r="V120" i="48"/>
  <c r="N121" i="48"/>
  <c r="R121" i="48" s="1"/>
  <c r="V121" i="48"/>
  <c r="N122" i="48"/>
  <c r="R122" i="48" s="1"/>
  <c r="V122" i="48"/>
  <c r="N123" i="48"/>
  <c r="R123" i="48" s="1"/>
  <c r="V123" i="48"/>
  <c r="N124" i="48"/>
  <c r="R124" i="48" s="1"/>
  <c r="V124" i="48"/>
  <c r="N125" i="48"/>
  <c r="R125" i="48" s="1"/>
  <c r="V125" i="48"/>
  <c r="N126" i="48"/>
  <c r="R126" i="48" s="1"/>
  <c r="V126" i="48"/>
  <c r="N127" i="48"/>
  <c r="R127" i="48"/>
  <c r="S127" i="48" s="1"/>
  <c r="V127" i="48"/>
  <c r="N128" i="48"/>
  <c r="R128" i="48" s="1"/>
  <c r="V128" i="48"/>
  <c r="N129" i="48"/>
  <c r="R129" i="48" s="1"/>
  <c r="V129" i="48"/>
  <c r="N130" i="48"/>
  <c r="R130" i="48" s="1"/>
  <c r="S130" i="48" s="1"/>
  <c r="V130" i="48"/>
  <c r="N131" i="48"/>
  <c r="R131" i="48" s="1"/>
  <c r="V131" i="48"/>
  <c r="N132" i="48"/>
  <c r="R132" i="48" s="1"/>
  <c r="V132" i="48"/>
  <c r="N133" i="48"/>
  <c r="R133" i="48" s="1"/>
  <c r="V133" i="48"/>
  <c r="N134" i="48"/>
  <c r="R134" i="48" s="1"/>
  <c r="V134" i="48"/>
  <c r="N135" i="48"/>
  <c r="R135" i="48" s="1"/>
  <c r="V135" i="48"/>
  <c r="N136" i="48"/>
  <c r="R136" i="48" s="1"/>
  <c r="V136" i="48"/>
  <c r="N137" i="48"/>
  <c r="R137" i="48" s="1"/>
  <c r="V137" i="48"/>
  <c r="N138" i="48"/>
  <c r="R138" i="48" s="1"/>
  <c r="V138" i="48"/>
  <c r="N139" i="48"/>
  <c r="R139" i="48" s="1"/>
  <c r="V139" i="48"/>
  <c r="N140" i="48"/>
  <c r="R140" i="48" s="1"/>
  <c r="V140" i="48"/>
  <c r="N141" i="48"/>
  <c r="R141" i="48" s="1"/>
  <c r="V141" i="48"/>
  <c r="N142" i="48"/>
  <c r="R142" i="48" s="1"/>
  <c r="V142" i="48"/>
  <c r="N143" i="48"/>
  <c r="R143" i="48" s="1"/>
  <c r="V143" i="48"/>
  <c r="N144" i="48"/>
  <c r="R144" i="48" s="1"/>
  <c r="V144" i="48"/>
  <c r="N145" i="48"/>
  <c r="R145" i="48" s="1"/>
  <c r="V145" i="48"/>
  <c r="N146" i="48"/>
  <c r="R146" i="48" s="1"/>
  <c r="V146" i="48"/>
  <c r="N147" i="48"/>
  <c r="R147" i="48" s="1"/>
  <c r="V147" i="48"/>
  <c r="N148" i="48"/>
  <c r="R148" i="48" s="1"/>
  <c r="V148" i="48"/>
  <c r="N149" i="48"/>
  <c r="R149" i="48" s="1"/>
  <c r="V149" i="48"/>
  <c r="N150" i="48"/>
  <c r="R150" i="48" s="1"/>
  <c r="V150" i="48"/>
  <c r="N151" i="48"/>
  <c r="R151" i="48" s="1"/>
  <c r="V151" i="48"/>
  <c r="N152" i="48"/>
  <c r="R152" i="48" s="1"/>
  <c r="V152" i="48"/>
  <c r="N153" i="48"/>
  <c r="R153" i="48" s="1"/>
  <c r="V153" i="48"/>
  <c r="N154" i="48"/>
  <c r="R154" i="48" s="1"/>
  <c r="V154" i="48"/>
  <c r="N155" i="48"/>
  <c r="R155" i="48" s="1"/>
  <c r="V155" i="48"/>
  <c r="N156" i="48"/>
  <c r="R156" i="48" s="1"/>
  <c r="V156" i="48"/>
  <c r="N157" i="48"/>
  <c r="R157" i="48" s="1"/>
  <c r="V157" i="48"/>
  <c r="N158" i="48"/>
  <c r="R158" i="48" s="1"/>
  <c r="V158" i="48"/>
  <c r="N159" i="48"/>
  <c r="R159" i="48"/>
  <c r="V159" i="48"/>
  <c r="N160" i="48"/>
  <c r="R160" i="48" s="1"/>
  <c r="V160" i="48"/>
  <c r="N161" i="48"/>
  <c r="R161" i="48" s="1"/>
  <c r="V161" i="48"/>
  <c r="N162" i="48"/>
  <c r="R162" i="48" s="1"/>
  <c r="V162" i="48"/>
  <c r="N163" i="48"/>
  <c r="R163" i="48" s="1"/>
  <c r="V163" i="48"/>
  <c r="N164" i="48"/>
  <c r="R164" i="48" s="1"/>
  <c r="V164" i="48"/>
  <c r="N165" i="48"/>
  <c r="R165" i="48" s="1"/>
  <c r="V165" i="48"/>
  <c r="N166" i="48"/>
  <c r="R166" i="48" s="1"/>
  <c r="V166" i="48"/>
  <c r="N167" i="48"/>
  <c r="R167" i="48"/>
  <c r="V167" i="48"/>
  <c r="N168" i="48"/>
  <c r="R168" i="48" s="1"/>
  <c r="V168" i="48"/>
  <c r="N169" i="48"/>
  <c r="R169" i="48" s="1"/>
  <c r="V169" i="48"/>
  <c r="N170" i="48"/>
  <c r="R170" i="48" s="1"/>
  <c r="V170" i="48"/>
  <c r="N171" i="48"/>
  <c r="R171" i="48" s="1"/>
  <c r="V171" i="48"/>
  <c r="N172" i="48"/>
  <c r="R172" i="48" s="1"/>
  <c r="V172" i="48"/>
  <c r="N173" i="48"/>
  <c r="R173" i="48" s="1"/>
  <c r="V173" i="48"/>
  <c r="N174" i="48"/>
  <c r="R174" i="48" s="1"/>
  <c r="V174" i="48"/>
  <c r="N175" i="48"/>
  <c r="R175" i="48" s="1"/>
  <c r="V175" i="48"/>
  <c r="N176" i="48"/>
  <c r="R176" i="48" s="1"/>
  <c r="V176" i="48"/>
  <c r="N177" i="48"/>
  <c r="R177" i="48" s="1"/>
  <c r="V177" i="48"/>
  <c r="N178" i="48"/>
  <c r="R178" i="48" s="1"/>
  <c r="V178" i="48"/>
  <c r="N179" i="48"/>
  <c r="R179" i="48" s="1"/>
  <c r="V179" i="48"/>
  <c r="N180" i="48"/>
  <c r="R180" i="48" s="1"/>
  <c r="V180" i="48"/>
  <c r="N181" i="48"/>
  <c r="R181" i="48" s="1"/>
  <c r="V181" i="48"/>
  <c r="N182" i="48"/>
  <c r="R182" i="48" s="1"/>
  <c r="V182" i="48"/>
  <c r="N183" i="48"/>
  <c r="R183" i="48" s="1"/>
  <c r="V183" i="48"/>
  <c r="N184" i="48"/>
  <c r="R184" i="48" s="1"/>
  <c r="V184" i="48"/>
  <c r="N185" i="48"/>
  <c r="R185" i="48" s="1"/>
  <c r="V185" i="48"/>
  <c r="N186" i="48"/>
  <c r="R186" i="48"/>
  <c r="V186" i="48"/>
  <c r="N187" i="48"/>
  <c r="R187" i="48" s="1"/>
  <c r="V187" i="48"/>
  <c r="N188" i="48"/>
  <c r="R188" i="48" s="1"/>
  <c r="V188" i="48"/>
  <c r="N189" i="48"/>
  <c r="R189" i="48" s="1"/>
  <c r="V189" i="48"/>
  <c r="N190" i="48"/>
  <c r="R190" i="48" s="1"/>
  <c r="V190" i="48"/>
  <c r="N191" i="48"/>
  <c r="R191" i="48" s="1"/>
  <c r="V191" i="48"/>
  <c r="N192" i="48"/>
  <c r="R192" i="48" s="1"/>
  <c r="V192" i="48"/>
  <c r="N193" i="48"/>
  <c r="R193" i="48" s="1"/>
  <c r="V193" i="48"/>
  <c r="N194" i="48"/>
  <c r="R194" i="48"/>
  <c r="V194" i="48"/>
  <c r="N195" i="48"/>
  <c r="R195" i="48" s="1"/>
  <c r="V195" i="48"/>
  <c r="N196" i="48"/>
  <c r="R196" i="48" s="1"/>
  <c r="V196" i="48"/>
  <c r="N197" i="48"/>
  <c r="R197" i="48" s="1"/>
  <c r="V197" i="48"/>
  <c r="N198" i="48"/>
  <c r="R198" i="48" s="1"/>
  <c r="V198" i="48"/>
  <c r="N199" i="48"/>
  <c r="R199" i="48" s="1"/>
  <c r="U199" i="48" s="1"/>
  <c r="V199" i="48"/>
  <c r="N200" i="48"/>
  <c r="R200" i="48" s="1"/>
  <c r="V200" i="48"/>
  <c r="N201" i="48"/>
  <c r="R201" i="48" s="1"/>
  <c r="V201" i="48"/>
  <c r="C1" i="51"/>
  <c r="K1" i="51"/>
  <c r="D1" i="44"/>
  <c r="K1" i="44"/>
  <c r="C17" i="44"/>
  <c r="N11" i="48"/>
  <c r="R11" i="48" s="1"/>
  <c r="C18" i="44"/>
  <c r="N12" i="48"/>
  <c r="R12" i="48" s="1"/>
  <c r="C19" i="44"/>
  <c r="E50" i="20"/>
  <c r="E59" i="20"/>
  <c r="E49" i="19"/>
  <c r="E47" i="17"/>
  <c r="E57" i="16"/>
  <c r="E80" i="37"/>
  <c r="E90" i="37"/>
  <c r="E95" i="37" s="1"/>
  <c r="E40" i="14"/>
  <c r="E53" i="13"/>
  <c r="E59" i="11"/>
  <c r="E69" i="11" s="1"/>
  <c r="E74" i="11" s="1"/>
  <c r="E47" i="10"/>
  <c r="E48" i="54"/>
  <c r="E57" i="8"/>
  <c r="E67" i="8"/>
  <c r="E72" i="8" s="1"/>
  <c r="E71" i="6"/>
  <c r="E81" i="6" s="1"/>
  <c r="E86" i="6" s="1"/>
  <c r="E49" i="9"/>
  <c r="E527" i="41"/>
  <c r="E1074" i="42"/>
  <c r="E98" i="43"/>
  <c r="E100" i="43"/>
  <c r="E108" i="43" s="1"/>
  <c r="E558" i="41" s="1"/>
  <c r="E110" i="3"/>
  <c r="E560" i="5" s="1"/>
  <c r="V9" i="48"/>
  <c r="I106" i="43"/>
  <c r="F23" i="40"/>
  <c r="C20" i="29"/>
  <c r="C33" i="27"/>
  <c r="H36" i="22"/>
  <c r="G40" i="23"/>
  <c r="BG29" i="40"/>
  <c r="H37" i="22"/>
  <c r="H38" i="22"/>
  <c r="C29" i="24" s="1"/>
  <c r="B33" i="27"/>
  <c r="E63" i="39"/>
  <c r="E49" i="21"/>
  <c r="E58" i="21" s="1"/>
  <c r="E63" i="21" s="1"/>
  <c r="E64" i="20"/>
  <c r="E54" i="19"/>
  <c r="E50" i="18"/>
  <c r="E52" i="17"/>
  <c r="E62" i="16"/>
  <c r="E45" i="14"/>
  <c r="E58" i="13"/>
  <c r="E52" i="10"/>
  <c r="E53" i="54"/>
  <c r="J54" i="7"/>
  <c r="D115" i="47"/>
  <c r="X115" i="47"/>
  <c r="X12" i="47"/>
  <c r="E127" i="34"/>
  <c r="E132" i="34"/>
  <c r="E54" i="9"/>
  <c r="E529" i="41"/>
  <c r="E540" i="41" s="1"/>
  <c r="E550" i="41" s="1"/>
  <c r="E556" i="41" s="1"/>
  <c r="E1074" i="4"/>
  <c r="E529" i="5" s="1"/>
  <c r="E540" i="5" s="1"/>
  <c r="E552" i="5" s="1"/>
  <c r="E558" i="5" s="1"/>
  <c r="E562" i="5" s="1"/>
  <c r="U127" i="48"/>
  <c r="U107" i="48"/>
  <c r="S167" i="48"/>
  <c r="T167" i="48"/>
  <c r="S159" i="48"/>
  <c r="T159" i="48"/>
  <c r="N13" i="48"/>
  <c r="R13" i="48" s="1"/>
  <c r="C20" i="44"/>
  <c r="T76" i="48"/>
  <c r="T72" i="48"/>
  <c r="T68" i="48"/>
  <c r="T64" i="48"/>
  <c r="T132" i="48"/>
  <c r="T130" i="48"/>
  <c r="U118" i="48"/>
  <c r="U201" i="48"/>
  <c r="U197" i="48"/>
  <c r="U195" i="48"/>
  <c r="S194" i="48"/>
  <c r="U194" i="48"/>
  <c r="T194" i="48"/>
  <c r="U193" i="48"/>
  <c r="U191" i="48"/>
  <c r="U189" i="48"/>
  <c r="U187" i="48"/>
  <c r="S186" i="48"/>
  <c r="U186" i="48"/>
  <c r="T186" i="48"/>
  <c r="U185" i="48"/>
  <c r="U183" i="48"/>
  <c r="D17" i="44"/>
  <c r="E17" i="44" s="1"/>
  <c r="U171" i="48"/>
  <c r="U181" i="48"/>
  <c r="U179" i="48"/>
  <c r="U177" i="48"/>
  <c r="U175" i="48"/>
  <c r="U173" i="48"/>
  <c r="S170" i="48"/>
  <c r="U167" i="48"/>
  <c r="AA167" i="48" s="1"/>
  <c r="AB167" i="48" s="1"/>
  <c r="U159" i="48"/>
  <c r="AA159" i="48" s="1"/>
  <c r="AB159" i="48" s="1"/>
  <c r="U151" i="48"/>
  <c r="U149" i="48"/>
  <c r="U147" i="48"/>
  <c r="U145" i="48"/>
  <c r="U143" i="48"/>
  <c r="U141" i="48"/>
  <c r="U139" i="48"/>
  <c r="U137" i="48"/>
  <c r="U135" i="48"/>
  <c r="U133" i="48"/>
  <c r="U131" i="48"/>
  <c r="U130" i="48"/>
  <c r="AA130" i="48"/>
  <c r="AB130" i="48" s="1"/>
  <c r="T129" i="48"/>
  <c r="T127" i="48"/>
  <c r="AA127" i="48" s="1"/>
  <c r="AB127" i="48" s="1"/>
  <c r="T125" i="48"/>
  <c r="T123" i="48"/>
  <c r="T121" i="48"/>
  <c r="T117" i="48"/>
  <c r="T115" i="48"/>
  <c r="T113" i="48"/>
  <c r="T109" i="48"/>
  <c r="T107" i="48"/>
  <c r="AA107" i="48"/>
  <c r="AB107" i="48" s="1"/>
  <c r="T105" i="48"/>
  <c r="T103" i="48"/>
  <c r="T101" i="48"/>
  <c r="S101" i="48"/>
  <c r="U101" i="48"/>
  <c r="T99" i="48"/>
  <c r="S99" i="48"/>
  <c r="U99" i="48"/>
  <c r="T98" i="48"/>
  <c r="S98" i="48"/>
  <c r="U98" i="48"/>
  <c r="T97" i="48"/>
  <c r="S97" i="48"/>
  <c r="U97" i="48"/>
  <c r="T95" i="48"/>
  <c r="S95" i="48"/>
  <c r="U95" i="48"/>
  <c r="T93" i="48"/>
  <c r="S93" i="48"/>
  <c r="U93" i="48"/>
  <c r="T91" i="48"/>
  <c r="S91" i="48"/>
  <c r="U91" i="48"/>
  <c r="T90" i="48"/>
  <c r="S90" i="48"/>
  <c r="U90" i="48"/>
  <c r="T89" i="48"/>
  <c r="S89" i="48"/>
  <c r="U89" i="48"/>
  <c r="T87" i="48"/>
  <c r="S87" i="48"/>
  <c r="AA87" i="48" s="1"/>
  <c r="AB87" i="48" s="1"/>
  <c r="U87" i="48"/>
  <c r="T85" i="48"/>
  <c r="S85" i="48"/>
  <c r="AA85" i="48" s="1"/>
  <c r="AB85" i="48" s="1"/>
  <c r="U85" i="48"/>
  <c r="T83" i="48"/>
  <c r="S83" i="48"/>
  <c r="U83" i="48"/>
  <c r="T128" i="48"/>
  <c r="T124" i="48"/>
  <c r="T118" i="48"/>
  <c r="AA118" i="48" s="1"/>
  <c r="AB118" i="48" s="1"/>
  <c r="T116" i="48"/>
  <c r="T112" i="48"/>
  <c r="T108" i="48"/>
  <c r="T104" i="48"/>
  <c r="U82" i="48"/>
  <c r="U81" i="48"/>
  <c r="U80" i="48"/>
  <c r="U79" i="48"/>
  <c r="U78" i="48"/>
  <c r="U76" i="48"/>
  <c r="U72" i="48"/>
  <c r="U68" i="48"/>
  <c r="U64" i="48"/>
  <c r="AA64" i="48" s="1"/>
  <c r="AB64" i="48" s="1"/>
  <c r="T60" i="48"/>
  <c r="T56" i="48"/>
  <c r="T54" i="48"/>
  <c r="T61" i="48"/>
  <c r="T55" i="48"/>
  <c r="T52" i="48"/>
  <c r="AA52" i="48" s="1"/>
  <c r="AB52" i="48" s="1"/>
  <c r="S52" i="48"/>
  <c r="U52" i="48"/>
  <c r="T50" i="48"/>
  <c r="S50" i="48"/>
  <c r="U50" i="48"/>
  <c r="T48" i="48"/>
  <c r="S48" i="48"/>
  <c r="U48" i="48"/>
  <c r="U46" i="48"/>
  <c r="U44" i="48"/>
  <c r="U42" i="48"/>
  <c r="U40" i="48"/>
  <c r="U38" i="48"/>
  <c r="U36" i="48"/>
  <c r="U34" i="48"/>
  <c r="U32" i="48"/>
  <c r="D33" i="27"/>
  <c r="I40" i="23"/>
  <c r="AA48" i="48"/>
  <c r="AB48" i="48" s="1"/>
  <c r="AA89" i="48"/>
  <c r="AB89" i="48" s="1"/>
  <c r="AA91" i="48"/>
  <c r="AB91" i="48" s="1"/>
  <c r="AA93" i="48"/>
  <c r="AB93" i="48" s="1"/>
  <c r="AA95" i="48"/>
  <c r="AB95" i="48" s="1"/>
  <c r="AA97" i="48"/>
  <c r="AB97" i="48" s="1"/>
  <c r="AA99" i="48"/>
  <c r="AB99" i="48" s="1"/>
  <c r="AA101" i="48"/>
  <c r="AB101" i="48" s="1"/>
  <c r="N14" i="48"/>
  <c r="R14" i="48" s="1"/>
  <c r="C21" i="44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C33" i="44" s="1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D18" i="44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D37" i="44" s="1"/>
  <c r="D38" i="44" s="1"/>
  <c r="D39" i="44" s="1"/>
  <c r="D40" i="44" s="1"/>
  <c r="D41" i="44" s="1"/>
  <c r="D42" i="44" s="1"/>
  <c r="D43" i="44" s="1"/>
  <c r="D44" i="44" s="1"/>
  <c r="D45" i="44" s="1"/>
  <c r="D46" i="44" s="1"/>
  <c r="D47" i="44" s="1"/>
  <c r="AA186" i="48"/>
  <c r="AB186" i="48" s="1"/>
  <c r="AA194" i="48"/>
  <c r="AB194" i="48" s="1"/>
  <c r="N15" i="48"/>
  <c r="R15" i="48" s="1"/>
  <c r="N21" i="48"/>
  <c r="R21" i="48" s="1"/>
  <c r="N16" i="48"/>
  <c r="R16" i="48" s="1"/>
  <c r="N17" i="48"/>
  <c r="R17" i="48" s="1"/>
  <c r="N22" i="48"/>
  <c r="R22" i="48" s="1"/>
  <c r="N23" i="48"/>
  <c r="R23" i="48" s="1"/>
  <c r="N18" i="48"/>
  <c r="R18" i="48" s="1"/>
  <c r="N19" i="48"/>
  <c r="R19" i="48"/>
  <c r="T19" i="48" s="1"/>
  <c r="N24" i="48"/>
  <c r="R24" i="48" s="1"/>
  <c r="N25" i="48"/>
  <c r="R25" i="48" s="1"/>
  <c r="N20" i="48"/>
  <c r="R20" i="48"/>
  <c r="S20" i="48" s="1"/>
  <c r="N26" i="48"/>
  <c r="R26" i="48" s="1"/>
  <c r="N27" i="48"/>
  <c r="R27" i="48" s="1"/>
  <c r="N28" i="48"/>
  <c r="R28" i="48" s="1"/>
  <c r="S28" i="48" s="1"/>
  <c r="N29" i="48"/>
  <c r="R29" i="48" s="1"/>
  <c r="N30" i="48"/>
  <c r="R30" i="48" s="1"/>
  <c r="N31" i="48"/>
  <c r="R31" i="48" s="1"/>
  <c r="T31" i="48" s="1"/>
  <c r="U31" i="48"/>
  <c r="S190" i="48" l="1"/>
  <c r="T190" i="48"/>
  <c r="U190" i="48"/>
  <c r="T163" i="48"/>
  <c r="S163" i="48"/>
  <c r="U163" i="48"/>
  <c r="S120" i="48"/>
  <c r="U120" i="48"/>
  <c r="T120" i="48"/>
  <c r="S14" i="48"/>
  <c r="F34" i="52" a="1"/>
  <c r="F34" i="52" s="1"/>
  <c r="O44" i="47" a="1"/>
  <c r="O44" i="47" s="1"/>
  <c r="J24" i="47" a="1"/>
  <c r="J24" i="47" s="1"/>
  <c r="S93" i="52" a="1"/>
  <c r="S93" i="52" s="1"/>
  <c r="M34" i="52" a="1"/>
  <c r="M34" i="52" s="1"/>
  <c r="P54" i="47" a="1"/>
  <c r="P54" i="47" s="1"/>
  <c r="G326" i="41" a="1"/>
  <c r="G326" i="41" s="1"/>
  <c r="I326" i="41" s="1"/>
  <c r="F113" i="40" s="1"/>
  <c r="G84" i="5" a="1"/>
  <c r="G84" i="5" s="1"/>
  <c r="I84" i="5" s="1"/>
  <c r="L70" i="52" a="1"/>
  <c r="L70" i="52" s="1"/>
  <c r="S93" i="47" a="1"/>
  <c r="S93" i="47" s="1"/>
  <c r="L70" i="47" a="1"/>
  <c r="L70" i="47" s="1"/>
  <c r="G191" i="42" a="1"/>
  <c r="G191" i="42" s="1"/>
  <c r="I191" i="42" s="1"/>
  <c r="O81" i="52" a="1"/>
  <c r="O81" i="52" s="1"/>
  <c r="R24" i="52" a="1"/>
  <c r="R24" i="52" s="1"/>
  <c r="S44" i="47" a="1"/>
  <c r="S44" i="47" s="1"/>
  <c r="N24" i="47" a="1"/>
  <c r="N24" i="47" s="1"/>
  <c r="U93" i="52" a="1"/>
  <c r="U93" i="52" s="1"/>
  <c r="D14" i="52" a="1"/>
  <c r="D14" i="52" s="1"/>
  <c r="E54" i="47" a="1"/>
  <c r="E54" i="47" s="1"/>
  <c r="G226" i="42" a="1"/>
  <c r="G226" i="42" s="1"/>
  <c r="I226" i="42" s="1"/>
  <c r="L44" i="52" a="1"/>
  <c r="L44" i="52" s="1"/>
  <c r="L44" i="47" a="1"/>
  <c r="L44" i="47" s="1"/>
  <c r="H54" i="52" a="1"/>
  <c r="H54" i="52" s="1"/>
  <c r="O70" i="47" a="1"/>
  <c r="O70" i="47" s="1"/>
  <c r="G294" i="41" a="1"/>
  <c r="G294" i="41" s="1"/>
  <c r="I294" i="41" s="1"/>
  <c r="F104" i="40" s="1"/>
  <c r="D34" i="52" a="1"/>
  <c r="D34" i="52" s="1"/>
  <c r="G29" i="8" a="1"/>
  <c r="G29" i="8" s="1"/>
  <c r="G81" i="47" a="1"/>
  <c r="G81" i="47" s="1"/>
  <c r="E14" i="47" a="1"/>
  <c r="E14" i="47" s="1"/>
  <c r="G387" i="41" a="1"/>
  <c r="G387" i="41" s="1"/>
  <c r="I387" i="41" s="1"/>
  <c r="T81" i="52" a="1"/>
  <c r="T81" i="52" s="1"/>
  <c r="I34" i="47" a="1"/>
  <c r="I34" i="47" s="1"/>
  <c r="G47" i="42" a="1"/>
  <c r="G47" i="42" s="1"/>
  <c r="I47" i="42" s="1"/>
  <c r="K81" i="52" a="1"/>
  <c r="K81" i="52" s="1"/>
  <c r="N24" i="52" a="1"/>
  <c r="N24" i="52" s="1"/>
  <c r="M54" i="47" a="1"/>
  <c r="M54" i="47" s="1"/>
  <c r="F44" i="47" a="1"/>
  <c r="F44" i="47" s="1"/>
  <c r="G445" i="42" a="1"/>
  <c r="G445" i="42" s="1"/>
  <c r="I445" i="42" s="1"/>
  <c r="S70" i="47" a="1"/>
  <c r="S70" i="47" s="1"/>
  <c r="S54" i="52" a="1"/>
  <c r="S54" i="52" s="1"/>
  <c r="R70" i="47" a="1"/>
  <c r="R70" i="47" s="1"/>
  <c r="E81" i="52" a="1"/>
  <c r="E81" i="52" s="1"/>
  <c r="S14" i="52" a="1"/>
  <c r="S14" i="52" s="1"/>
  <c r="P34" i="52" a="1"/>
  <c r="P34" i="52" s="1"/>
  <c r="I24" i="47" a="1"/>
  <c r="I24" i="47" s="1"/>
  <c r="G70" i="52" a="1"/>
  <c r="G70" i="52" s="1"/>
  <c r="G70" i="47" a="1"/>
  <c r="G70" i="47" s="1"/>
  <c r="G47" i="41" a="1"/>
  <c r="G47" i="41" s="1"/>
  <c r="I47" i="41" s="1"/>
  <c r="P14" i="52" a="1"/>
  <c r="P14" i="52" s="1"/>
  <c r="C115" i="24" a="1"/>
  <c r="C115" i="24" s="1"/>
  <c r="S34" i="52" a="1"/>
  <c r="S34" i="52" s="1"/>
  <c r="G155" i="4" a="1"/>
  <c r="G155" i="4" s="1"/>
  <c r="I155" i="4" s="1"/>
  <c r="R70" i="52" a="1"/>
  <c r="R70" i="52" s="1"/>
  <c r="T14" i="52" a="1"/>
  <c r="T14" i="52" s="1"/>
  <c r="C137" i="24" a="1"/>
  <c r="C137" i="24" s="1"/>
  <c r="G630" i="4" a="1"/>
  <c r="G630" i="4" s="1"/>
  <c r="I630" i="4" s="1"/>
  <c r="I70" i="52" a="1"/>
  <c r="I70" i="52" s="1"/>
  <c r="L81" i="47" a="1"/>
  <c r="L81" i="47" s="1"/>
  <c r="I70" i="47" a="1"/>
  <c r="I70" i="47" s="1"/>
  <c r="C148" i="24" a="1"/>
  <c r="C148" i="24" s="1"/>
  <c r="G410" i="41" a="1"/>
  <c r="G410" i="41" s="1"/>
  <c r="I410" i="41" s="1"/>
  <c r="W70" i="52" a="1"/>
  <c r="W70" i="52" s="1"/>
  <c r="F24" i="52" a="1"/>
  <c r="F24" i="52" s="1"/>
  <c r="H34" i="47" a="1"/>
  <c r="H34" i="47" s="1"/>
  <c r="M81" i="52" a="1"/>
  <c r="M81" i="52" s="1"/>
  <c r="V34" i="47" a="1"/>
  <c r="V34" i="47" s="1"/>
  <c r="J44" i="52" a="1"/>
  <c r="J44" i="52" s="1"/>
  <c r="I93" i="47" a="1"/>
  <c r="I93" i="47" s="1"/>
  <c r="V44" i="47" a="1"/>
  <c r="V44" i="47" s="1"/>
  <c r="G816" i="4" a="1"/>
  <c r="G816" i="4" s="1"/>
  <c r="I816" i="4" s="1"/>
  <c r="Q44" i="52" a="1"/>
  <c r="Q44" i="52" s="1"/>
  <c r="T34" i="52" a="1"/>
  <c r="T34" i="52" s="1"/>
  <c r="Q44" i="47" a="1"/>
  <c r="Q44" i="47" s="1"/>
  <c r="L24" i="47" a="1"/>
  <c r="L24" i="47" s="1"/>
  <c r="V54" i="52" a="1"/>
  <c r="V54" i="52" s="1"/>
  <c r="W81" i="47" a="1"/>
  <c r="W81" i="47" s="1"/>
  <c r="F14" i="52" a="1"/>
  <c r="F14" i="52" s="1"/>
  <c r="G155" i="42" a="1"/>
  <c r="G155" i="42" s="1"/>
  <c r="I155" i="42" s="1"/>
  <c r="G294" i="5" a="1"/>
  <c r="G294" i="5" s="1"/>
  <c r="I294" i="5" s="1"/>
  <c r="D104" i="40" s="1"/>
  <c r="V81" i="52" a="1"/>
  <c r="V81" i="52" s="1"/>
  <c r="M93" i="47" a="1"/>
  <c r="M93" i="47" s="1"/>
  <c r="F70" i="47" a="1"/>
  <c r="F70" i="47" s="1"/>
  <c r="G742" i="4" a="1"/>
  <c r="G742" i="4" s="1"/>
  <c r="I742" i="4" s="1"/>
  <c r="Q81" i="52" a="1"/>
  <c r="Q81" i="52" s="1"/>
  <c r="G1038" i="42" a="1"/>
  <c r="G1038" i="42" s="1"/>
  <c r="I1038" i="42" s="1"/>
  <c r="K54" i="52" a="1"/>
  <c r="K54" i="52" s="1"/>
  <c r="M81" i="47" a="1"/>
  <c r="M81" i="47" s="1"/>
  <c r="P93" i="47" a="1"/>
  <c r="P93" i="47" s="1"/>
  <c r="G25" i="54" a="1"/>
  <c r="G25" i="54" s="1"/>
  <c r="G816" i="42" a="1"/>
  <c r="G816" i="42" s="1"/>
  <c r="I816" i="42" s="1"/>
  <c r="D70" i="52" a="1"/>
  <c r="D70" i="52" s="1"/>
  <c r="K93" i="47" a="1"/>
  <c r="K93" i="47" s="1"/>
  <c r="D70" i="47" a="1"/>
  <c r="D70" i="47" s="1"/>
  <c r="G464" i="41" a="1"/>
  <c r="G464" i="41" s="1"/>
  <c r="I464" i="41" s="1"/>
  <c r="F148" i="40" s="1"/>
  <c r="G81" i="52" a="1"/>
  <c r="G81" i="52" s="1"/>
  <c r="J24" i="52" a="1"/>
  <c r="J24" i="52" s="1"/>
  <c r="K44" i="47" a="1"/>
  <c r="K44" i="47" s="1"/>
  <c r="H24" i="47" a="1"/>
  <c r="H24" i="47" s="1"/>
  <c r="Q93" i="52" a="1"/>
  <c r="Q93" i="52" s="1"/>
  <c r="Q81" i="47" a="1"/>
  <c r="Q81" i="47" s="1"/>
  <c r="T93" i="47" a="1"/>
  <c r="T93" i="47" s="1"/>
  <c r="G14" i="47" a="1"/>
  <c r="G14" i="47" s="1"/>
  <c r="G742" i="42" a="1"/>
  <c r="G742" i="42" s="1"/>
  <c r="I742" i="42" s="1"/>
  <c r="G371" i="4" a="1"/>
  <c r="G371" i="4" s="1"/>
  <c r="I371" i="4" s="1"/>
  <c r="K81" i="47" a="1"/>
  <c r="K81" i="47" s="1"/>
  <c r="M14" i="47" a="1"/>
  <c r="M14" i="47" s="1"/>
  <c r="W54" i="52" a="1"/>
  <c r="W54" i="52" s="1"/>
  <c r="H14" i="52" a="1"/>
  <c r="H14" i="52" s="1"/>
  <c r="G32" i="16" a="1"/>
  <c r="G32" i="16" s="1"/>
  <c r="K34" i="52" a="1"/>
  <c r="K34" i="52" s="1"/>
  <c r="G705" i="4" a="1"/>
  <c r="G705" i="4" s="1"/>
  <c r="I705" i="4" s="1"/>
  <c r="J70" i="52" a="1"/>
  <c r="J70" i="52" s="1"/>
  <c r="E34" i="47" a="1"/>
  <c r="E34" i="47" s="1"/>
  <c r="U81" i="52" a="1"/>
  <c r="U81" i="52" s="1"/>
  <c r="K54" i="47" a="1"/>
  <c r="K54" i="47" s="1"/>
  <c r="K70" i="47" a="1"/>
  <c r="K70" i="47" s="1"/>
  <c r="O54" i="52" a="1"/>
  <c r="O54" i="52" s="1"/>
  <c r="G44" i="47" a="1"/>
  <c r="G44" i="47" s="1"/>
  <c r="F24" i="47" a="1"/>
  <c r="F24" i="47" s="1"/>
  <c r="O93" i="52" a="1"/>
  <c r="O93" i="52" s="1"/>
  <c r="U44" i="52" a="1"/>
  <c r="U44" i="52" s="1"/>
  <c r="D81" i="47" a="1"/>
  <c r="D81" i="47" s="1"/>
  <c r="U44" i="47" a="1"/>
  <c r="U44" i="47" s="1"/>
  <c r="P24" i="47" a="1"/>
  <c r="P24" i="47" s="1"/>
  <c r="O34" i="52" a="1"/>
  <c r="O34" i="52" s="1"/>
  <c r="P93" i="52" a="1"/>
  <c r="P93" i="52" s="1"/>
  <c r="R44" i="52" a="1"/>
  <c r="R44" i="52" s="1"/>
  <c r="T44" i="52" a="1"/>
  <c r="T44" i="52" s="1"/>
  <c r="G408" i="4" a="1"/>
  <c r="G408" i="4" s="1"/>
  <c r="I408" i="4" s="1"/>
  <c r="G262" i="4" a="1"/>
  <c r="G262" i="4" s="1"/>
  <c r="I262" i="4" s="1"/>
  <c r="Q34" i="47" a="1"/>
  <c r="Q34" i="47" s="1"/>
  <c r="Q14" i="47" a="1"/>
  <c r="Q14" i="47" s="1"/>
  <c r="I34" i="52" a="1"/>
  <c r="I34" i="52" s="1"/>
  <c r="G83" i="42" a="1"/>
  <c r="G83" i="42" s="1"/>
  <c r="L54" i="52" a="1"/>
  <c r="L54" i="52" s="1"/>
  <c r="F93" i="47" a="1"/>
  <c r="F93" i="47" s="1"/>
  <c r="G964" i="42" a="1"/>
  <c r="G964" i="42" s="1"/>
  <c r="I964" i="42" s="1"/>
  <c r="I14" i="52" a="1"/>
  <c r="I14" i="52" s="1"/>
  <c r="G326" i="5" a="1"/>
  <c r="G326" i="5" s="1"/>
  <c r="H44" i="52" a="1"/>
  <c r="H44" i="52" s="1"/>
  <c r="H44" i="47" a="1"/>
  <c r="H44" i="47" s="1"/>
  <c r="K70" i="52" a="1"/>
  <c r="K70" i="52" s="1"/>
  <c r="G630" i="42" a="1"/>
  <c r="G630" i="42" s="1"/>
  <c r="I630" i="42" s="1"/>
  <c r="P44" i="52" a="1"/>
  <c r="P44" i="52" s="1"/>
  <c r="G519" i="4" a="1"/>
  <c r="G519" i="4" s="1"/>
  <c r="I519" i="4" s="1"/>
  <c r="G93" i="47" a="1"/>
  <c r="G93" i="47" s="1"/>
  <c r="G334" i="4" a="1"/>
  <c r="G334" i="4" s="1"/>
  <c r="I334" i="4" s="1"/>
  <c r="N70" i="52" a="1"/>
  <c r="N70" i="52" s="1"/>
  <c r="N70" i="47" a="1"/>
  <c r="N70" i="47" s="1"/>
  <c r="G54" i="47" a="1"/>
  <c r="G54" i="47" s="1"/>
  <c r="C82" i="24" a="1"/>
  <c r="C82" i="24" s="1"/>
  <c r="C93" i="24" a="1"/>
  <c r="C93" i="24" s="1"/>
  <c r="G152" i="41" a="1"/>
  <c r="G152" i="41" s="1"/>
  <c r="I152" i="41" s="1"/>
  <c r="F69" i="40" s="1"/>
  <c r="O70" i="52" a="1"/>
  <c r="O70" i="52" s="1"/>
  <c r="J34" i="47" a="1"/>
  <c r="J34" i="47" s="1"/>
  <c r="G495" i="41" a="1"/>
  <c r="G495" i="41" s="1"/>
  <c r="I495" i="41" s="1"/>
  <c r="F159" i="40" s="1"/>
  <c r="G445" i="4" a="1"/>
  <c r="G445" i="4" s="1"/>
  <c r="I445" i="4" s="1"/>
  <c r="N34" i="47" a="1"/>
  <c r="N34" i="47" s="1"/>
  <c r="R93" i="52" a="1"/>
  <c r="R93" i="52" s="1"/>
  <c r="I14" i="47" a="1"/>
  <c r="I14" i="47" s="1"/>
  <c r="H54" i="47" a="1"/>
  <c r="H54" i="47" s="1"/>
  <c r="U14" i="48"/>
  <c r="G75" i="34" a="1"/>
  <c r="G75" i="34" s="1"/>
  <c r="I75" i="34" s="1"/>
  <c r="J42" i="40" s="1"/>
  <c r="D81" i="52" a="1"/>
  <c r="D81" i="52" s="1"/>
  <c r="K14" i="52" a="1"/>
  <c r="K14" i="52" s="1"/>
  <c r="D34" i="47" a="1"/>
  <c r="D34" i="47" s="1"/>
  <c r="G356" i="41" a="1"/>
  <c r="G356" i="41" s="1"/>
  <c r="I356" i="41" s="1"/>
  <c r="F122" i="40" s="1"/>
  <c r="S70" i="52" a="1"/>
  <c r="S70" i="52" s="1"/>
  <c r="V81" i="47" a="1"/>
  <c r="V81" i="47" s="1"/>
  <c r="W34" i="47" a="1"/>
  <c r="W34" i="47" s="1"/>
  <c r="D24" i="47" a="1"/>
  <c r="D24" i="47" s="1"/>
  <c r="M93" i="52" a="1"/>
  <c r="M93" i="52" s="1"/>
  <c r="I81" i="47" a="1"/>
  <c r="I81" i="47" s="1"/>
  <c r="L93" i="47" a="1"/>
  <c r="L93" i="47" s="1"/>
  <c r="U24" i="47" a="1"/>
  <c r="U24" i="47" s="1"/>
  <c r="G890" i="42" a="1"/>
  <c r="G890" i="42" s="1"/>
  <c r="I890" i="42" s="1"/>
  <c r="H81" i="52" a="1"/>
  <c r="H81" i="52" s="1"/>
  <c r="O14" i="52" a="1"/>
  <c r="O14" i="52" s="1"/>
  <c r="L34" i="47" a="1"/>
  <c r="L34" i="47" s="1"/>
  <c r="K14" i="47" a="1"/>
  <c r="K14" i="47" s="1"/>
  <c r="M34" i="47" a="1"/>
  <c r="M34" i="47" s="1"/>
  <c r="F54" i="52" a="1"/>
  <c r="F54" i="52" s="1"/>
  <c r="S54" i="47" a="1"/>
  <c r="S54" i="47" s="1"/>
  <c r="G1001" i="4" a="1"/>
  <c r="G1001" i="4" s="1"/>
  <c r="I1001" i="4" s="1"/>
  <c r="N44" i="52" a="1"/>
  <c r="N44" i="52" s="1"/>
  <c r="H14" i="47" a="1"/>
  <c r="H14" i="47" s="1"/>
  <c r="U24" i="52" a="1"/>
  <c r="U24" i="52" s="1"/>
  <c r="S34" i="47" a="1"/>
  <c r="S34" i="47" s="1"/>
  <c r="N54" i="52" a="1"/>
  <c r="N54" i="52" s="1"/>
  <c r="J93" i="47" a="1"/>
  <c r="J93" i="47" s="1"/>
  <c r="L14" i="47" a="1"/>
  <c r="L14" i="47" s="1"/>
  <c r="G47" i="4" a="1"/>
  <c r="G47" i="4" s="1"/>
  <c r="I47" i="4" s="1"/>
  <c r="G34" i="52" a="1"/>
  <c r="G34" i="52" s="1"/>
  <c r="E81" i="47" a="1"/>
  <c r="E81" i="47" s="1"/>
  <c r="H93" i="47" a="1"/>
  <c r="H93" i="47" s="1"/>
  <c r="Q24" i="47" a="1"/>
  <c r="Q24" i="47" s="1"/>
  <c r="G927" i="42" a="1"/>
  <c r="G927" i="42" s="1"/>
  <c r="I927" i="42" s="1"/>
  <c r="T54" i="52" a="1"/>
  <c r="T54" i="52" s="1"/>
  <c r="S81" i="47" a="1"/>
  <c r="S81" i="47" s="1"/>
  <c r="V93" i="47" a="1"/>
  <c r="V93" i="47" s="1"/>
  <c r="G779" i="42" a="1"/>
  <c r="G779" i="42" s="1"/>
  <c r="I779" i="42" s="1"/>
  <c r="E14" i="52" a="1"/>
  <c r="E14" i="52" s="1"/>
  <c r="G83" i="4" a="1"/>
  <c r="G83" i="4" s="1"/>
  <c r="I83" i="4" s="1"/>
  <c r="L81" i="52" a="1"/>
  <c r="L81" i="52" s="1"/>
  <c r="M44" i="52" a="1"/>
  <c r="M44" i="52" s="1"/>
  <c r="M44" i="47" a="1"/>
  <c r="M44" i="47" s="1"/>
  <c r="G10" i="41" a="1"/>
  <c r="G10" i="41" s="1"/>
  <c r="I10" i="41" s="1"/>
  <c r="F42" i="40" s="1"/>
  <c r="J81" i="47" a="1"/>
  <c r="J81" i="47" s="1"/>
  <c r="V24" i="47" a="1"/>
  <c r="V24" i="47" s="1"/>
  <c r="M24" i="52" a="1"/>
  <c r="M24" i="52" s="1"/>
  <c r="W14" i="47" a="1"/>
  <c r="W14" i="47" s="1"/>
  <c r="I54" i="52" a="1"/>
  <c r="I54" i="52" s="1"/>
  <c r="V54" i="47" a="1"/>
  <c r="V54" i="47" s="1"/>
  <c r="G262" i="42" a="1"/>
  <c r="G262" i="42" s="1"/>
  <c r="I262" i="42" s="1"/>
  <c r="M14" i="52" a="1"/>
  <c r="M14" i="52" s="1"/>
  <c r="G221" i="5" a="1"/>
  <c r="G221" i="5" s="1"/>
  <c r="I221" i="5" s="1"/>
  <c r="D86" i="40" s="1"/>
  <c r="G927" i="4" a="1"/>
  <c r="G927" i="4" s="1"/>
  <c r="I927" i="4" s="1"/>
  <c r="N34" i="52" a="1"/>
  <c r="N34" i="52" s="1"/>
  <c r="G519" i="42" a="1"/>
  <c r="G519" i="42" s="1"/>
  <c r="I519" i="42" s="1"/>
  <c r="G387" i="5" a="1"/>
  <c r="G387" i="5" s="1"/>
  <c r="I387" i="5" s="1"/>
  <c r="R81" i="52" a="1"/>
  <c r="R81" i="52" s="1"/>
  <c r="Q34" i="52" a="1"/>
  <c r="Q34" i="52" s="1"/>
  <c r="T54" i="47" a="1"/>
  <c r="T54" i="47" s="1"/>
  <c r="G221" i="41" a="1"/>
  <c r="G221" i="41" s="1"/>
  <c r="I221" i="41" s="1"/>
  <c r="F86" i="40" s="1"/>
  <c r="Q24" i="52" a="1"/>
  <c r="Q24" i="52" s="1"/>
  <c r="K34" i="47" a="1"/>
  <c r="K34" i="47" s="1"/>
  <c r="P24" i="52" a="1"/>
  <c r="P24" i="52" s="1"/>
  <c r="J54" i="47" a="1"/>
  <c r="J54" i="47" s="1"/>
  <c r="G668" i="42" a="1"/>
  <c r="G668" i="42" s="1"/>
  <c r="I668" i="42" s="1"/>
  <c r="H93" i="52" a="1"/>
  <c r="H93" i="52" s="1"/>
  <c r="O24" i="52" a="1"/>
  <c r="O24" i="52" s="1"/>
  <c r="R14" i="52" a="1"/>
  <c r="R14" i="52" s="1"/>
  <c r="G254" i="5" a="1"/>
  <c r="G254" i="5" s="1"/>
  <c r="I254" i="5" s="1"/>
  <c r="D95" i="40" s="1"/>
  <c r="G119" i="4" a="1"/>
  <c r="G119" i="4" s="1"/>
  <c r="I119" i="4" s="1"/>
  <c r="F81" i="52" a="1"/>
  <c r="F81" i="52" s="1"/>
  <c r="Q54" i="47" a="1"/>
  <c r="Q54" i="47" s="1"/>
  <c r="J44" i="47" a="1"/>
  <c r="J44" i="47" s="1"/>
  <c r="G1038" i="4" a="1"/>
  <c r="G1038" i="4" s="1"/>
  <c r="I1038" i="4" s="1"/>
  <c r="U70" i="52" a="1"/>
  <c r="U70" i="52" s="1"/>
  <c r="P81" i="47" a="1"/>
  <c r="P81" i="47" s="1"/>
  <c r="M70" i="47" a="1"/>
  <c r="M70" i="47" s="1"/>
  <c r="F14" i="47" a="1"/>
  <c r="F14" i="47" s="1"/>
  <c r="J93" i="52" a="1"/>
  <c r="J93" i="52" s="1"/>
  <c r="S24" i="52" a="1"/>
  <c r="S24" i="52" s="1"/>
  <c r="V14" i="52" a="1"/>
  <c r="V14" i="52" s="1"/>
  <c r="H24" i="52" a="1"/>
  <c r="H24" i="52" s="1"/>
  <c r="F34" i="47" a="1"/>
  <c r="F34" i="47" s="1"/>
  <c r="R14" i="47" a="1"/>
  <c r="R14" i="47" s="1"/>
  <c r="G298" i="42" a="1"/>
  <c r="G298" i="42" s="1"/>
  <c r="I298" i="42" s="1"/>
  <c r="S81" i="52" a="1"/>
  <c r="S81" i="52" s="1"/>
  <c r="V24" i="52" a="1"/>
  <c r="V24" i="52" s="1"/>
  <c r="G34" i="47" a="1"/>
  <c r="G34" i="47" s="1"/>
  <c r="C126" i="24" a="1"/>
  <c r="C126" i="24" s="1"/>
  <c r="I93" i="52" a="1"/>
  <c r="I93" i="52" s="1"/>
  <c r="U34" i="52" a="1"/>
  <c r="U34" i="52" s="1"/>
  <c r="D93" i="47" a="1"/>
  <c r="D93" i="47" s="1"/>
  <c r="M24" i="47" a="1"/>
  <c r="M24" i="47" s="1"/>
  <c r="G1001" i="42" a="1"/>
  <c r="G1001" i="42" s="1"/>
  <c r="I1001" i="42" s="1"/>
  <c r="T70" i="52" a="1"/>
  <c r="T70" i="52" s="1"/>
  <c r="G14" i="52" a="1"/>
  <c r="G14" i="52" s="1"/>
  <c r="T70" i="47" a="1"/>
  <c r="T70" i="47" s="1"/>
  <c r="G408" i="42" a="1"/>
  <c r="G408" i="42" s="1"/>
  <c r="I408" i="42" s="1"/>
  <c r="W81" i="52" a="1"/>
  <c r="W81" i="52" s="1"/>
  <c r="F44" i="52" a="1"/>
  <c r="F44" i="52" s="1"/>
  <c r="D54" i="52" a="1"/>
  <c r="D54" i="52" s="1"/>
  <c r="P54" i="52" a="1"/>
  <c r="P54" i="52" s="1"/>
  <c r="N93" i="47" a="1"/>
  <c r="N93" i="47" s="1"/>
  <c r="G334" i="42" a="1"/>
  <c r="G334" i="42" s="1"/>
  <c r="I334" i="42" s="1"/>
  <c r="E24" i="52" a="1"/>
  <c r="E24" i="52" s="1"/>
  <c r="O14" i="47" a="1"/>
  <c r="O14" i="47" s="1"/>
  <c r="G28" i="34" a="1"/>
  <c r="G28" i="34" s="1"/>
  <c r="N54" i="47" a="1"/>
  <c r="N54" i="47" s="1"/>
  <c r="G593" i="4" a="1"/>
  <c r="G593" i="4" s="1"/>
  <c r="I593" i="4" s="1"/>
  <c r="R34" i="47" a="1"/>
  <c r="R34" i="47" s="1"/>
  <c r="G119" i="42" a="1"/>
  <c r="G119" i="42" s="1"/>
  <c r="E54" i="52" a="1"/>
  <c r="E54" i="52" s="1"/>
  <c r="R54" i="47" a="1"/>
  <c r="R54" i="47" s="1"/>
  <c r="D14" i="47" a="1"/>
  <c r="D14" i="47" s="1"/>
  <c r="W44" i="47" a="1"/>
  <c r="W44" i="47" s="1"/>
  <c r="P70" i="52" a="1"/>
  <c r="P70" i="52" s="1"/>
  <c r="W93" i="47" a="1"/>
  <c r="W93" i="47" s="1"/>
  <c r="P70" i="47" a="1"/>
  <c r="P70" i="47" s="1"/>
  <c r="G190" i="5" a="1"/>
  <c r="G190" i="5" s="1"/>
  <c r="I190" i="5" s="1"/>
  <c r="D78" i="40" s="1"/>
  <c r="G495" i="5" a="1"/>
  <c r="G495" i="5" s="1"/>
  <c r="I495" i="5" s="1"/>
  <c r="D159" i="40" s="1"/>
  <c r="J81" i="52" a="1"/>
  <c r="J81" i="52" s="1"/>
  <c r="D44" i="52" a="1"/>
  <c r="D44" i="52" s="1"/>
  <c r="D44" i="47" a="1"/>
  <c r="D44" i="47" s="1"/>
  <c r="K44" i="52" a="1"/>
  <c r="K44" i="52" s="1"/>
  <c r="K24" i="47" a="1"/>
  <c r="K24" i="47" s="1"/>
  <c r="T44" i="47" a="1"/>
  <c r="T44" i="47" s="1"/>
  <c r="U93" i="47" a="1"/>
  <c r="U93" i="47" s="1"/>
  <c r="T24" i="52" a="1"/>
  <c r="T24" i="52" s="1"/>
  <c r="W44" i="52" a="1"/>
  <c r="W44" i="52" s="1"/>
  <c r="E93" i="52" a="1"/>
  <c r="E93" i="52" s="1"/>
  <c r="L54" i="47" a="1"/>
  <c r="L54" i="47" s="1"/>
  <c r="G152" i="5" a="1"/>
  <c r="G152" i="5" s="1"/>
  <c r="I152" i="5" s="1"/>
  <c r="D69" i="40" s="1"/>
  <c r="W34" i="52" a="1"/>
  <c r="W34" i="52" s="1"/>
  <c r="O24" i="47" a="1"/>
  <c r="O24" i="47" s="1"/>
  <c r="M54" i="52" a="1"/>
  <c r="M54" i="52" s="1"/>
  <c r="V70" i="47" a="1"/>
  <c r="V70" i="47" s="1"/>
  <c r="G191" i="4" a="1"/>
  <c r="G191" i="4" s="1"/>
  <c r="O54" i="47" a="1"/>
  <c r="O54" i="47" s="1"/>
  <c r="G84" i="41" a="1"/>
  <c r="G84" i="41" s="1"/>
  <c r="N81" i="47" a="1"/>
  <c r="N81" i="47" s="1"/>
  <c r="R34" i="52" a="1"/>
  <c r="R34" i="52" s="1"/>
  <c r="G705" i="42" a="1"/>
  <c r="G705" i="42" s="1"/>
  <c r="I705" i="42" s="1"/>
  <c r="E34" i="52" a="1"/>
  <c r="E34" i="52" s="1"/>
  <c r="G482" i="42" a="1"/>
  <c r="G482" i="42" s="1"/>
  <c r="I482" i="42" s="1"/>
  <c r="I81" i="52" a="1"/>
  <c r="I81" i="52" s="1"/>
  <c r="V93" i="52" a="1"/>
  <c r="V93" i="52" s="1"/>
  <c r="F81" i="47" a="1"/>
  <c r="F81" i="47" s="1"/>
  <c r="R81" i="47" a="1"/>
  <c r="R81" i="47" s="1"/>
  <c r="T14" i="47" a="1"/>
  <c r="T14" i="47" s="1"/>
  <c r="L24" i="52" a="1"/>
  <c r="L24" i="52" s="1"/>
  <c r="V14" i="47" a="1"/>
  <c r="V14" i="47" s="1"/>
  <c r="O44" i="52" a="1"/>
  <c r="O44" i="52" s="1"/>
  <c r="U54" i="52" a="1"/>
  <c r="U54" i="52" s="1"/>
  <c r="G356" i="5" a="1"/>
  <c r="G356" i="5" s="1"/>
  <c r="I356" i="5" s="1"/>
  <c r="D122" i="40" s="1"/>
  <c r="E18" i="44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F17" i="44"/>
  <c r="S198" i="48"/>
  <c r="T198" i="48"/>
  <c r="U198" i="48"/>
  <c r="S172" i="48"/>
  <c r="U172" i="48"/>
  <c r="T172" i="48"/>
  <c r="T155" i="48"/>
  <c r="S155" i="48"/>
  <c r="U155" i="48"/>
  <c r="S111" i="48"/>
  <c r="U111" i="48"/>
  <c r="T111" i="48"/>
  <c r="T94" i="48"/>
  <c r="U94" i="48"/>
  <c r="S94" i="48"/>
  <c r="S74" i="48"/>
  <c r="T74" i="48"/>
  <c r="U74" i="48"/>
  <c r="S66" i="48"/>
  <c r="T66" i="48"/>
  <c r="U66" i="48"/>
  <c r="AA66" i="48" s="1"/>
  <c r="AB66" i="48" s="1"/>
  <c r="S58" i="48"/>
  <c r="U58" i="48"/>
  <c r="T58" i="48"/>
  <c r="T35" i="48"/>
  <c r="S35" i="48"/>
  <c r="U35" i="48"/>
  <c r="AA35" i="48" s="1"/>
  <c r="AB35" i="48" s="1"/>
  <c r="D14" i="40"/>
  <c r="B15" i="29"/>
  <c r="F529" i="41"/>
  <c r="F540" i="41" s="1"/>
  <c r="F550" i="41" s="1"/>
  <c r="F556" i="41" s="1"/>
  <c r="F560" i="41" s="1"/>
  <c r="U102" i="48"/>
  <c r="S102" i="48"/>
  <c r="AA102" i="48" s="1"/>
  <c r="AB102" i="48" s="1"/>
  <c r="T102" i="48"/>
  <c r="T86" i="48"/>
  <c r="U86" i="48"/>
  <c r="S86" i="48"/>
  <c r="S70" i="48"/>
  <c r="T70" i="48"/>
  <c r="U70" i="48"/>
  <c r="S62" i="48"/>
  <c r="U62" i="48"/>
  <c r="T62" i="48"/>
  <c r="AA62" i="48" s="1"/>
  <c r="AB62" i="48" s="1"/>
  <c r="D23" i="40"/>
  <c r="B20" i="29"/>
  <c r="D16" i="40"/>
  <c r="B16" i="29"/>
  <c r="F562" i="5"/>
  <c r="S31" i="48"/>
  <c r="AA31" i="48" s="1"/>
  <c r="AB31" i="48" s="1"/>
  <c r="T20" i="48"/>
  <c r="AA50" i="48"/>
  <c r="AB50" i="48" s="1"/>
  <c r="AA83" i="48"/>
  <c r="AB83" i="48" s="1"/>
  <c r="AA90" i="48"/>
  <c r="AB90" i="48" s="1"/>
  <c r="AA98" i="48"/>
  <c r="AB98" i="48" s="1"/>
  <c r="E560" i="41"/>
  <c r="D27" i="40"/>
  <c r="B19" i="29"/>
  <c r="I45" i="3"/>
  <c r="D1074" i="4"/>
  <c r="D529" i="5" s="1"/>
  <c r="D540" i="5" s="1"/>
  <c r="D552" i="5" s="1"/>
  <c r="D558" i="5" s="1"/>
  <c r="D562" i="5" s="1"/>
  <c r="D190" i="40"/>
  <c r="B27" i="30"/>
  <c r="C76" i="24"/>
  <c r="D144" i="40"/>
  <c r="D141" i="40"/>
  <c r="D125" i="40"/>
  <c r="D115" i="40"/>
  <c r="D106" i="40"/>
  <c r="D100" i="40"/>
  <c r="D91" i="40"/>
  <c r="D88" i="40"/>
  <c r="D83" i="40"/>
  <c r="D82" i="40"/>
  <c r="D81" i="40"/>
  <c r="D80" i="40"/>
  <c r="D74" i="40"/>
  <c r="D73" i="40"/>
  <c r="D72" i="40"/>
  <c r="D65" i="40"/>
  <c r="D64" i="40"/>
  <c r="D63" i="40"/>
  <c r="D62" i="40"/>
  <c r="D56" i="40"/>
  <c r="D55" i="40"/>
  <c r="D54" i="40"/>
  <c r="D53" i="40"/>
  <c r="C19" i="29"/>
  <c r="F27" i="40"/>
  <c r="F16" i="40"/>
  <c r="C16" i="29"/>
  <c r="C12" i="29"/>
  <c r="I45" i="43"/>
  <c r="F7" i="40"/>
  <c r="C7" i="29"/>
  <c r="F184" i="40"/>
  <c r="C25" i="30"/>
  <c r="F164" i="40"/>
  <c r="F163" i="40"/>
  <c r="F161" i="40"/>
  <c r="F153" i="40"/>
  <c r="F152" i="40"/>
  <c r="F150" i="40"/>
  <c r="F144" i="40"/>
  <c r="F527" i="41"/>
  <c r="I49" i="9"/>
  <c r="G54" i="9"/>
  <c r="I52" i="9"/>
  <c r="H54" i="9"/>
  <c r="G8" i="30"/>
  <c r="G11" i="30" s="1"/>
  <c r="C21" i="27"/>
  <c r="G25" i="23"/>
  <c r="I51" i="12"/>
  <c r="C17" i="24" s="1"/>
  <c r="D25" i="40"/>
  <c r="C45" i="24"/>
  <c r="B18" i="29"/>
  <c r="D12" i="40"/>
  <c r="B14" i="29"/>
  <c r="N12" i="29"/>
  <c r="D7" i="40"/>
  <c r="B7" i="29"/>
  <c r="D38" i="40"/>
  <c r="D44" i="22"/>
  <c r="D184" i="40"/>
  <c r="D186" i="40" s="1"/>
  <c r="B25" i="30"/>
  <c r="D164" i="40"/>
  <c r="D163" i="40"/>
  <c r="D161" i="40"/>
  <c r="D153" i="40"/>
  <c r="D152" i="40"/>
  <c r="D150" i="40"/>
  <c r="D143" i="40"/>
  <c r="D135" i="40"/>
  <c r="D134" i="40"/>
  <c r="D133" i="40"/>
  <c r="D132" i="40"/>
  <c r="D127" i="40"/>
  <c r="D126" i="40"/>
  <c r="D124" i="40"/>
  <c r="D118" i="40"/>
  <c r="D117" i="40"/>
  <c r="D109" i="40"/>
  <c r="D108" i="40"/>
  <c r="D99" i="40"/>
  <c r="D97" i="40"/>
  <c r="D90" i="40"/>
  <c r="D71" i="40"/>
  <c r="D47" i="40"/>
  <c r="D46" i="40"/>
  <c r="D44" i="40"/>
  <c r="I537" i="41"/>
  <c r="F25" i="40"/>
  <c r="C18" i="29"/>
  <c r="C46" i="24"/>
  <c r="I74" i="43"/>
  <c r="F12" i="40"/>
  <c r="C14" i="29"/>
  <c r="D560" i="41"/>
  <c r="H1074" i="42"/>
  <c r="H529" i="41" s="1"/>
  <c r="H540" i="41" s="1"/>
  <c r="H550" i="41" s="1"/>
  <c r="H556" i="41" s="1"/>
  <c r="B1111" i="42"/>
  <c r="B1109" i="42"/>
  <c r="F38" i="40" s="1"/>
  <c r="B1107" i="42"/>
  <c r="B1103" i="42"/>
  <c r="B1101" i="42"/>
  <c r="B1099" i="42"/>
  <c r="B1097" i="42"/>
  <c r="B1095" i="42"/>
  <c r="B1093" i="42"/>
  <c r="B1091" i="42"/>
  <c r="B1089" i="42"/>
  <c r="B1087" i="42"/>
  <c r="B1085" i="42"/>
  <c r="B1083" i="42"/>
  <c r="B1081" i="42"/>
  <c r="F190" i="40"/>
  <c r="C27" i="30"/>
  <c r="N20" i="30"/>
  <c r="B15" i="27"/>
  <c r="I84" i="6"/>
  <c r="F72" i="8"/>
  <c r="F141" i="40"/>
  <c r="F135" i="40"/>
  <c r="F134" i="40"/>
  <c r="F133" i="40"/>
  <c r="F132" i="40"/>
  <c r="F127" i="40"/>
  <c r="F126" i="40"/>
  <c r="F124" i="40"/>
  <c r="F115" i="40"/>
  <c r="F109" i="40"/>
  <c r="F108" i="40"/>
  <c r="F99" i="40"/>
  <c r="F97" i="40"/>
  <c r="F90" i="40"/>
  <c r="F74" i="40"/>
  <c r="F73" i="40"/>
  <c r="F47" i="40"/>
  <c r="F46" i="40"/>
  <c r="F44" i="40"/>
  <c r="H106" i="40"/>
  <c r="H110" i="40" s="1"/>
  <c r="H88" i="40"/>
  <c r="H92" i="40" s="1"/>
  <c r="H23" i="40"/>
  <c r="D20" i="29"/>
  <c r="H14" i="40"/>
  <c r="D11" i="29"/>
  <c r="H7" i="40"/>
  <c r="D7" i="29"/>
  <c r="J173" i="40"/>
  <c r="J174" i="40" s="1"/>
  <c r="E21" i="30"/>
  <c r="J46" i="40"/>
  <c r="J44" i="40"/>
  <c r="J38" i="40"/>
  <c r="J37" i="40"/>
  <c r="J35" i="40"/>
  <c r="J23" i="40"/>
  <c r="E20" i="29"/>
  <c r="J16" i="40"/>
  <c r="E16" i="29"/>
  <c r="J12" i="40"/>
  <c r="E14" i="29"/>
  <c r="J7" i="40"/>
  <c r="E7" i="29"/>
  <c r="C149" i="53"/>
  <c r="C148" i="53"/>
  <c r="C147" i="53"/>
  <c r="C146" i="53"/>
  <c r="C145" i="53"/>
  <c r="C144" i="53"/>
  <c r="C143" i="53"/>
  <c r="C142" i="53"/>
  <c r="C141" i="53"/>
  <c r="C140" i="53"/>
  <c r="H134" i="53"/>
  <c r="J134" i="53" s="1"/>
  <c r="A134" i="53"/>
  <c r="C133" i="53"/>
  <c r="H132" i="53"/>
  <c r="J132" i="53" s="1"/>
  <c r="A132" i="53"/>
  <c r="C131" i="53"/>
  <c r="H130" i="53"/>
  <c r="J130" i="53" s="1"/>
  <c r="A130" i="53"/>
  <c r="C129" i="53"/>
  <c r="H128" i="53"/>
  <c r="J128" i="53" s="1"/>
  <c r="A128" i="53"/>
  <c r="C127" i="53"/>
  <c r="H126" i="53"/>
  <c r="J126" i="53" s="1"/>
  <c r="A126" i="53"/>
  <c r="C125" i="53"/>
  <c r="H124" i="53"/>
  <c r="J124" i="53" s="1"/>
  <c r="A124" i="53"/>
  <c r="C123" i="53"/>
  <c r="H122" i="53"/>
  <c r="J122" i="53" s="1"/>
  <c r="A122" i="53"/>
  <c r="C121" i="53"/>
  <c r="H120" i="53"/>
  <c r="J120" i="53" s="1"/>
  <c r="A120" i="53"/>
  <c r="C119" i="53"/>
  <c r="H118" i="53"/>
  <c r="J118" i="53" s="1"/>
  <c r="A118" i="53"/>
  <c r="C117" i="53"/>
  <c r="H116" i="53"/>
  <c r="J116" i="53" s="1"/>
  <c r="A116" i="53"/>
  <c r="C115" i="53"/>
  <c r="H108" i="53"/>
  <c r="J108" i="53" s="1"/>
  <c r="A108" i="53"/>
  <c r="C107" i="53"/>
  <c r="H106" i="53"/>
  <c r="J106" i="53" s="1"/>
  <c r="A106" i="53"/>
  <c r="C105" i="53"/>
  <c r="H104" i="53"/>
  <c r="J104" i="53" s="1"/>
  <c r="A104" i="53"/>
  <c r="C103" i="53"/>
  <c r="H102" i="53"/>
  <c r="J102" i="53" s="1"/>
  <c r="A102" i="53"/>
  <c r="C101" i="53"/>
  <c r="H100" i="53"/>
  <c r="J100" i="53" s="1"/>
  <c r="A100" i="53"/>
  <c r="C99" i="53"/>
  <c r="H98" i="53"/>
  <c r="J98" i="53" s="1"/>
  <c r="A98" i="53"/>
  <c r="C97" i="53"/>
  <c r="L27" i="40"/>
  <c r="H63" i="53"/>
  <c r="J63" i="53" s="1"/>
  <c r="A63" i="53"/>
  <c r="C62" i="53"/>
  <c r="H61" i="53"/>
  <c r="J61" i="53" s="1"/>
  <c r="A61" i="53"/>
  <c r="C60" i="53"/>
  <c r="H59" i="53"/>
  <c r="J59" i="53" s="1"/>
  <c r="A59" i="53"/>
  <c r="C58" i="53"/>
  <c r="H57" i="53"/>
  <c r="J57" i="53" s="1"/>
  <c r="A57" i="53"/>
  <c r="C56" i="53"/>
  <c r="H55" i="53"/>
  <c r="J55" i="53" s="1"/>
  <c r="A55" i="53"/>
  <c r="C54" i="53"/>
  <c r="H48" i="53"/>
  <c r="J48" i="53" s="1"/>
  <c r="A48" i="53"/>
  <c r="C47" i="53"/>
  <c r="H46" i="53"/>
  <c r="J46" i="53" s="1"/>
  <c r="A46" i="53"/>
  <c r="C45" i="53"/>
  <c r="H44" i="53"/>
  <c r="J44" i="53" s="1"/>
  <c r="A44" i="53"/>
  <c r="C43" i="53"/>
  <c r="H42" i="53"/>
  <c r="J42" i="53" s="1"/>
  <c r="A42" i="53"/>
  <c r="C41" i="53"/>
  <c r="H40" i="53"/>
  <c r="J40" i="53" s="1"/>
  <c r="A40" i="53"/>
  <c r="C39" i="53"/>
  <c r="H38" i="53"/>
  <c r="J38" i="53" s="1"/>
  <c r="A38" i="53"/>
  <c r="C37" i="53"/>
  <c r="H36" i="53"/>
  <c r="J36" i="53" s="1"/>
  <c r="A36" i="53"/>
  <c r="C35" i="53"/>
  <c r="H34" i="53"/>
  <c r="J34" i="53" s="1"/>
  <c r="A34" i="53"/>
  <c r="C33" i="53"/>
  <c r="H32" i="53"/>
  <c r="J32" i="53" s="1"/>
  <c r="A32" i="53"/>
  <c r="C31" i="53"/>
  <c r="H30" i="53"/>
  <c r="J30" i="53" s="1"/>
  <c r="A30" i="53"/>
  <c r="C29" i="53"/>
  <c r="H21" i="53"/>
  <c r="J21" i="53" s="1"/>
  <c r="A21" i="53"/>
  <c r="C20" i="53"/>
  <c r="H19" i="53"/>
  <c r="J19" i="53" s="1"/>
  <c r="A19" i="53"/>
  <c r="C18" i="53"/>
  <c r="H17" i="53"/>
  <c r="J17" i="53" s="1"/>
  <c r="A17" i="53"/>
  <c r="C16" i="53"/>
  <c r="H15" i="53"/>
  <c r="J15" i="53" s="1"/>
  <c r="A15" i="53"/>
  <c r="C14" i="53"/>
  <c r="H13" i="53"/>
  <c r="J13" i="53" s="1"/>
  <c r="A13" i="53"/>
  <c r="C12" i="53"/>
  <c r="H11" i="53"/>
  <c r="J11" i="53" s="1"/>
  <c r="A11" i="53"/>
  <c r="C10" i="53"/>
  <c r="L7" i="40"/>
  <c r="F7" i="29"/>
  <c r="I69" i="6"/>
  <c r="G20" i="30" s="1"/>
  <c r="I61" i="6"/>
  <c r="G12" i="30" s="1"/>
  <c r="G18" i="30" s="1"/>
  <c r="N46" i="40"/>
  <c r="N37" i="40"/>
  <c r="N39" i="40" s="1"/>
  <c r="N23" i="40"/>
  <c r="G20" i="29"/>
  <c r="N27" i="40"/>
  <c r="G19" i="29"/>
  <c r="N16" i="40"/>
  <c r="G16" i="29"/>
  <c r="N14" i="40"/>
  <c r="G11" i="29"/>
  <c r="N10" i="40"/>
  <c r="G13" i="29"/>
  <c r="D48" i="22"/>
  <c r="P184" i="40"/>
  <c r="P186" i="40" s="1"/>
  <c r="H25" i="30"/>
  <c r="A149" i="7"/>
  <c r="A148" i="7"/>
  <c r="A147" i="7"/>
  <c r="A146" i="7"/>
  <c r="A145" i="7"/>
  <c r="A144" i="7"/>
  <c r="A143" i="7"/>
  <c r="A142" i="7"/>
  <c r="A141" i="7"/>
  <c r="A140" i="7"/>
  <c r="C134" i="7"/>
  <c r="H133" i="7"/>
  <c r="J133" i="7" s="1"/>
  <c r="A133" i="7"/>
  <c r="C132" i="7"/>
  <c r="H131" i="7"/>
  <c r="J131" i="7" s="1"/>
  <c r="A131" i="7"/>
  <c r="C130" i="7"/>
  <c r="H129" i="7"/>
  <c r="J129" i="7" s="1"/>
  <c r="A129" i="7"/>
  <c r="C128" i="7"/>
  <c r="H127" i="7"/>
  <c r="J127" i="7" s="1"/>
  <c r="A127" i="7"/>
  <c r="C126" i="7"/>
  <c r="H125" i="7"/>
  <c r="J125" i="7" s="1"/>
  <c r="A125" i="7"/>
  <c r="C124" i="7"/>
  <c r="H123" i="7"/>
  <c r="J123" i="7" s="1"/>
  <c r="A123" i="7"/>
  <c r="C122" i="7"/>
  <c r="H121" i="7"/>
  <c r="J121" i="7" s="1"/>
  <c r="A121" i="7"/>
  <c r="C120" i="7"/>
  <c r="H119" i="7"/>
  <c r="J119" i="7" s="1"/>
  <c r="A119" i="7"/>
  <c r="C118" i="7"/>
  <c r="H117" i="7"/>
  <c r="J117" i="7" s="1"/>
  <c r="A117" i="7"/>
  <c r="C116" i="7"/>
  <c r="H115" i="7"/>
  <c r="A115" i="7"/>
  <c r="C108" i="7"/>
  <c r="H107" i="7"/>
  <c r="J107" i="7" s="1"/>
  <c r="A107" i="7"/>
  <c r="C106" i="7"/>
  <c r="H105" i="7"/>
  <c r="J105" i="7" s="1"/>
  <c r="A105" i="7"/>
  <c r="C104" i="7"/>
  <c r="H103" i="7"/>
  <c r="J103" i="7" s="1"/>
  <c r="A103" i="7"/>
  <c r="C102" i="7"/>
  <c r="H101" i="7"/>
  <c r="J101" i="7" s="1"/>
  <c r="A101" i="7"/>
  <c r="C100" i="7"/>
  <c r="H99" i="7"/>
  <c r="J99" i="7" s="1"/>
  <c r="A99" i="7"/>
  <c r="C98" i="7"/>
  <c r="H97" i="7"/>
  <c r="A97" i="7"/>
  <c r="P25" i="40"/>
  <c r="C51" i="24"/>
  <c r="H18" i="29"/>
  <c r="C63" i="7"/>
  <c r="H62" i="7"/>
  <c r="J62" i="7" s="1"/>
  <c r="A62" i="7"/>
  <c r="C61" i="7"/>
  <c r="H60" i="7"/>
  <c r="J60" i="7" s="1"/>
  <c r="A60" i="7"/>
  <c r="C59" i="7"/>
  <c r="H58" i="7"/>
  <c r="J58" i="7" s="1"/>
  <c r="A58" i="7"/>
  <c r="C57" i="7"/>
  <c r="H56" i="7"/>
  <c r="J56" i="7" s="1"/>
  <c r="A56" i="7"/>
  <c r="C55" i="7"/>
  <c r="C54" i="7"/>
  <c r="H48" i="7"/>
  <c r="J48" i="7" s="1"/>
  <c r="A48" i="7"/>
  <c r="C47" i="7"/>
  <c r="H46" i="7"/>
  <c r="J46" i="7" s="1"/>
  <c r="A46" i="7"/>
  <c r="C45" i="7"/>
  <c r="H44" i="7"/>
  <c r="J44" i="7" s="1"/>
  <c r="A44" i="7"/>
  <c r="C43" i="7"/>
  <c r="H42" i="7"/>
  <c r="J42" i="7" s="1"/>
  <c r="A42" i="7"/>
  <c r="C41" i="7"/>
  <c r="H40" i="7"/>
  <c r="J40" i="7" s="1"/>
  <c r="A40" i="7"/>
  <c r="C39" i="7"/>
  <c r="H38" i="7"/>
  <c r="J38" i="7" s="1"/>
  <c r="A38" i="7"/>
  <c r="C37" i="7"/>
  <c r="H36" i="7"/>
  <c r="J36" i="7" s="1"/>
  <c r="A36" i="7"/>
  <c r="C35" i="7"/>
  <c r="H34" i="7"/>
  <c r="J34" i="7" s="1"/>
  <c r="A34" i="7"/>
  <c r="C33" i="7"/>
  <c r="H32" i="7"/>
  <c r="J32" i="7" s="1"/>
  <c r="A32" i="7"/>
  <c r="C31" i="7"/>
  <c r="H30" i="7"/>
  <c r="J30" i="7" s="1"/>
  <c r="A30" i="7"/>
  <c r="C29" i="7"/>
  <c r="H21" i="7"/>
  <c r="J21" i="7" s="1"/>
  <c r="A21" i="7"/>
  <c r="C20" i="7"/>
  <c r="H19" i="7"/>
  <c r="J19" i="7" s="1"/>
  <c r="A19" i="7"/>
  <c r="C18" i="7"/>
  <c r="H17" i="7"/>
  <c r="J17" i="7" s="1"/>
  <c r="A17" i="7"/>
  <c r="C16" i="7"/>
  <c r="H15" i="7"/>
  <c r="J15" i="7" s="1"/>
  <c r="A15" i="7"/>
  <c r="C14" i="7"/>
  <c r="H13" i="7"/>
  <c r="J13" i="7" s="1"/>
  <c r="A13" i="7"/>
  <c r="C12" i="7"/>
  <c r="H11" i="7"/>
  <c r="J11" i="7" s="1"/>
  <c r="A11" i="7"/>
  <c r="C10" i="7"/>
  <c r="P7" i="40"/>
  <c r="H7" i="29"/>
  <c r="T25" i="40"/>
  <c r="C53" i="24"/>
  <c r="I20" i="54"/>
  <c r="I22" i="54" s="1"/>
  <c r="J26" i="30"/>
  <c r="G52" i="10"/>
  <c r="V27" i="40"/>
  <c r="J19" i="29"/>
  <c r="V14" i="40"/>
  <c r="J15" i="29"/>
  <c r="V10" i="40"/>
  <c r="X186" i="40"/>
  <c r="X34" i="40"/>
  <c r="I36" i="11"/>
  <c r="X25" i="40"/>
  <c r="C55" i="24"/>
  <c r="X10" i="40"/>
  <c r="J13" i="29"/>
  <c r="I16" i="11"/>
  <c r="I18" i="11" s="1"/>
  <c r="AD173" i="40"/>
  <c r="AD174" i="40" s="1"/>
  <c r="AD27" i="40"/>
  <c r="AF10" i="40"/>
  <c r="B23" i="27"/>
  <c r="I56" i="13"/>
  <c r="AF27" i="40"/>
  <c r="D16" i="31"/>
  <c r="AF14" i="40"/>
  <c r="D12" i="31"/>
  <c r="H12" i="31" s="1"/>
  <c r="E26" i="32"/>
  <c r="I40" i="14"/>
  <c r="N10" i="29"/>
  <c r="F186" i="40"/>
  <c r="F143" i="40"/>
  <c r="F142" i="40"/>
  <c r="F125" i="40"/>
  <c r="F118" i="40"/>
  <c r="F117" i="40"/>
  <c r="F116" i="40"/>
  <c r="F106" i="40"/>
  <c r="F100" i="40"/>
  <c r="F91" i="40"/>
  <c r="F88" i="40"/>
  <c r="F83" i="40"/>
  <c r="F82" i="40"/>
  <c r="F81" i="40"/>
  <c r="F80" i="40"/>
  <c r="F71" i="40"/>
  <c r="F65" i="40"/>
  <c r="F64" i="40"/>
  <c r="F63" i="40"/>
  <c r="F62" i="40"/>
  <c r="F56" i="40"/>
  <c r="F55" i="40"/>
  <c r="F54" i="40"/>
  <c r="F53" i="40"/>
  <c r="D45" i="22"/>
  <c r="H184" i="40"/>
  <c r="H186" i="40" s="1"/>
  <c r="H188" i="40" s="1"/>
  <c r="H192" i="40" s="1"/>
  <c r="D25" i="30"/>
  <c r="I39" i="9"/>
  <c r="D21" i="30" s="1"/>
  <c r="D22" i="30" s="1"/>
  <c r="D24" i="30" s="1"/>
  <c r="H27" i="40"/>
  <c r="D19" i="29"/>
  <c r="H25" i="40"/>
  <c r="C47" i="24"/>
  <c r="D18" i="29"/>
  <c r="H10" i="40"/>
  <c r="D13" i="29"/>
  <c r="J184" i="40"/>
  <c r="J186" i="40" s="1"/>
  <c r="E25" i="30"/>
  <c r="D46" i="22"/>
  <c r="J47" i="40"/>
  <c r="J27" i="40"/>
  <c r="E19" i="29"/>
  <c r="J25" i="40"/>
  <c r="E18" i="29"/>
  <c r="C48" i="24"/>
  <c r="J14" i="40"/>
  <c r="E15" i="29"/>
  <c r="J10" i="40"/>
  <c r="J18" i="40" s="1"/>
  <c r="E13" i="29"/>
  <c r="E17" i="29" s="1"/>
  <c r="E21" i="29" s="1"/>
  <c r="E23" i="29" s="1"/>
  <c r="L184" i="40"/>
  <c r="L186" i="40" s="1"/>
  <c r="F25" i="30"/>
  <c r="A149" i="53"/>
  <c r="A148" i="53"/>
  <c r="A147" i="53"/>
  <c r="A146" i="53"/>
  <c r="A145" i="53"/>
  <c r="A144" i="53"/>
  <c r="A143" i="53"/>
  <c r="A142" i="53"/>
  <c r="A141" i="53"/>
  <c r="A140" i="53"/>
  <c r="C134" i="53"/>
  <c r="H133" i="53"/>
  <c r="J133" i="53" s="1"/>
  <c r="A133" i="53"/>
  <c r="C132" i="53"/>
  <c r="H131" i="53"/>
  <c r="J131" i="53" s="1"/>
  <c r="A131" i="53"/>
  <c r="C130" i="53"/>
  <c r="H129" i="53"/>
  <c r="J129" i="53" s="1"/>
  <c r="A129" i="53"/>
  <c r="C128" i="53"/>
  <c r="H127" i="53"/>
  <c r="J127" i="53" s="1"/>
  <c r="A127" i="53"/>
  <c r="C126" i="53"/>
  <c r="H125" i="53"/>
  <c r="J125" i="53" s="1"/>
  <c r="A125" i="53"/>
  <c r="C124" i="53"/>
  <c r="H123" i="53"/>
  <c r="J123" i="53" s="1"/>
  <c r="A123" i="53"/>
  <c r="C122" i="53"/>
  <c r="H121" i="53"/>
  <c r="J121" i="53" s="1"/>
  <c r="A121" i="53"/>
  <c r="C120" i="53"/>
  <c r="H119" i="53"/>
  <c r="J119" i="53" s="1"/>
  <c r="A119" i="53"/>
  <c r="C118" i="53"/>
  <c r="H117" i="53"/>
  <c r="J117" i="53" s="1"/>
  <c r="A117" i="53"/>
  <c r="C116" i="53"/>
  <c r="H115" i="53"/>
  <c r="A115" i="53"/>
  <c r="C108" i="53"/>
  <c r="H107" i="53"/>
  <c r="J107" i="53" s="1"/>
  <c r="A107" i="53"/>
  <c r="C106" i="53"/>
  <c r="H105" i="53"/>
  <c r="J105" i="53" s="1"/>
  <c r="A105" i="53"/>
  <c r="C104" i="53"/>
  <c r="H103" i="53"/>
  <c r="J103" i="53" s="1"/>
  <c r="A103" i="53"/>
  <c r="C102" i="53"/>
  <c r="H101" i="53"/>
  <c r="J101" i="53" s="1"/>
  <c r="A101" i="53"/>
  <c r="C100" i="53"/>
  <c r="H99" i="53"/>
  <c r="J99" i="53" s="1"/>
  <c r="A99" i="53"/>
  <c r="C98" i="53"/>
  <c r="H97" i="53"/>
  <c r="A97" i="53"/>
  <c r="C49" i="24"/>
  <c r="F18" i="29"/>
  <c r="L25" i="40"/>
  <c r="C63" i="53"/>
  <c r="H62" i="53"/>
  <c r="J62" i="53" s="1"/>
  <c r="A62" i="53"/>
  <c r="C61" i="53"/>
  <c r="H60" i="53"/>
  <c r="J60" i="53" s="1"/>
  <c r="A60" i="53"/>
  <c r="C59" i="53"/>
  <c r="H58" i="53"/>
  <c r="J58" i="53" s="1"/>
  <c r="A58" i="53"/>
  <c r="C57" i="53"/>
  <c r="H56" i="53"/>
  <c r="J56" i="53" s="1"/>
  <c r="A56" i="53"/>
  <c r="C55" i="53"/>
  <c r="H54" i="53"/>
  <c r="J54" i="53" s="1"/>
  <c r="A54" i="53"/>
  <c r="C48" i="53"/>
  <c r="H47" i="53"/>
  <c r="J47" i="53" s="1"/>
  <c r="A47" i="53"/>
  <c r="C46" i="53"/>
  <c r="H45" i="53"/>
  <c r="J45" i="53" s="1"/>
  <c r="A45" i="53"/>
  <c r="C44" i="53"/>
  <c r="H43" i="53"/>
  <c r="J43" i="53" s="1"/>
  <c r="A43" i="53"/>
  <c r="C42" i="53"/>
  <c r="H41" i="53"/>
  <c r="J41" i="53" s="1"/>
  <c r="A41" i="53"/>
  <c r="C40" i="53"/>
  <c r="H39" i="53"/>
  <c r="J39" i="53" s="1"/>
  <c r="A39" i="53"/>
  <c r="C38" i="53"/>
  <c r="H37" i="53"/>
  <c r="J37" i="53" s="1"/>
  <c r="A37" i="53"/>
  <c r="C36" i="53"/>
  <c r="H35" i="53"/>
  <c r="J35" i="53" s="1"/>
  <c r="A35" i="53"/>
  <c r="C34" i="53"/>
  <c r="H33" i="53"/>
  <c r="J33" i="53" s="1"/>
  <c r="A33" i="53"/>
  <c r="C32" i="53"/>
  <c r="H31" i="53"/>
  <c r="J31" i="53" s="1"/>
  <c r="A31" i="53"/>
  <c r="C30" i="53"/>
  <c r="H29" i="53"/>
  <c r="J29" i="53" s="1"/>
  <c r="A29" i="53"/>
  <c r="C21" i="53"/>
  <c r="H20" i="53"/>
  <c r="J20" i="53" s="1"/>
  <c r="A20" i="53"/>
  <c r="C19" i="53"/>
  <c r="H18" i="53"/>
  <c r="J18" i="53" s="1"/>
  <c r="A18" i="53"/>
  <c r="C17" i="53"/>
  <c r="H16" i="53"/>
  <c r="J16" i="53" s="1"/>
  <c r="A16" i="53"/>
  <c r="C15" i="53"/>
  <c r="H14" i="53"/>
  <c r="J14" i="53" s="1"/>
  <c r="A14" i="53"/>
  <c r="C13" i="53"/>
  <c r="H12" i="53"/>
  <c r="J12" i="53" s="1"/>
  <c r="A12" i="53"/>
  <c r="C11" i="53"/>
  <c r="H10" i="53"/>
  <c r="J10" i="53" s="1"/>
  <c r="N184" i="40"/>
  <c r="N186" i="40" s="1"/>
  <c r="G25" i="30"/>
  <c r="D47" i="22"/>
  <c r="N25" i="40"/>
  <c r="G18" i="29"/>
  <c r="C50" i="24"/>
  <c r="G15" i="29"/>
  <c r="N12" i="40"/>
  <c r="G14" i="29"/>
  <c r="G17" i="29" s="1"/>
  <c r="G21" i="29" s="1"/>
  <c r="G23" i="29" s="1"/>
  <c r="N7" i="40"/>
  <c r="G7" i="29"/>
  <c r="C149" i="7"/>
  <c r="C148" i="7"/>
  <c r="C147" i="7"/>
  <c r="C146" i="7"/>
  <c r="C145" i="7"/>
  <c r="C144" i="7"/>
  <c r="C143" i="7"/>
  <c r="C142" i="7"/>
  <c r="C141" i="7"/>
  <c r="C140" i="7"/>
  <c r="H134" i="7"/>
  <c r="J134" i="7" s="1"/>
  <c r="A134" i="7"/>
  <c r="C133" i="7"/>
  <c r="H132" i="7"/>
  <c r="J132" i="7" s="1"/>
  <c r="A132" i="7"/>
  <c r="C131" i="7"/>
  <c r="H130" i="7"/>
  <c r="J130" i="7" s="1"/>
  <c r="A130" i="7"/>
  <c r="C129" i="7"/>
  <c r="H128" i="7"/>
  <c r="J128" i="7" s="1"/>
  <c r="A128" i="7"/>
  <c r="C127" i="7"/>
  <c r="H126" i="7"/>
  <c r="J126" i="7" s="1"/>
  <c r="A126" i="7"/>
  <c r="C125" i="7"/>
  <c r="H124" i="7"/>
  <c r="J124" i="7" s="1"/>
  <c r="A124" i="7"/>
  <c r="C123" i="7"/>
  <c r="H122" i="7"/>
  <c r="J122" i="7" s="1"/>
  <c r="A122" i="7"/>
  <c r="C121" i="7"/>
  <c r="H120" i="7"/>
  <c r="J120" i="7" s="1"/>
  <c r="A120" i="7"/>
  <c r="C119" i="7"/>
  <c r="H118" i="7"/>
  <c r="J118" i="7" s="1"/>
  <c r="A118" i="7"/>
  <c r="C117" i="7"/>
  <c r="H116" i="7"/>
  <c r="J116" i="7" s="1"/>
  <c r="A116" i="7"/>
  <c r="C115" i="7"/>
  <c r="H108" i="7"/>
  <c r="J108" i="7" s="1"/>
  <c r="A108" i="7"/>
  <c r="C107" i="7"/>
  <c r="H106" i="7"/>
  <c r="J106" i="7" s="1"/>
  <c r="A106" i="7"/>
  <c r="C105" i="7"/>
  <c r="H104" i="7"/>
  <c r="J104" i="7" s="1"/>
  <c r="A104" i="7"/>
  <c r="C103" i="7"/>
  <c r="H102" i="7"/>
  <c r="J102" i="7" s="1"/>
  <c r="A102" i="7"/>
  <c r="C101" i="7"/>
  <c r="H100" i="7"/>
  <c r="J100" i="7" s="1"/>
  <c r="A100" i="7"/>
  <c r="C99" i="7"/>
  <c r="H98" i="7"/>
  <c r="J98" i="7" s="1"/>
  <c r="A98" i="7"/>
  <c r="C97" i="7"/>
  <c r="P27" i="40"/>
  <c r="H63" i="7"/>
  <c r="J63" i="7" s="1"/>
  <c r="A63" i="7"/>
  <c r="C62" i="7"/>
  <c r="H61" i="7"/>
  <c r="J61" i="7" s="1"/>
  <c r="A61" i="7"/>
  <c r="C60" i="7"/>
  <c r="H59" i="7"/>
  <c r="J59" i="7" s="1"/>
  <c r="A59" i="7"/>
  <c r="C58" i="7"/>
  <c r="H57" i="7"/>
  <c r="J57" i="7" s="1"/>
  <c r="A57" i="7"/>
  <c r="C56" i="7"/>
  <c r="H55" i="7"/>
  <c r="A55" i="7"/>
  <c r="A54" i="7"/>
  <c r="C48" i="7"/>
  <c r="H47" i="7"/>
  <c r="J47" i="7" s="1"/>
  <c r="A47" i="7"/>
  <c r="C46" i="7"/>
  <c r="H45" i="7"/>
  <c r="J45" i="7" s="1"/>
  <c r="A45" i="7"/>
  <c r="C44" i="7"/>
  <c r="H43" i="7"/>
  <c r="J43" i="7" s="1"/>
  <c r="A43" i="7"/>
  <c r="C42" i="7"/>
  <c r="H41" i="7"/>
  <c r="J41" i="7" s="1"/>
  <c r="A41" i="7"/>
  <c r="C40" i="7"/>
  <c r="H39" i="7"/>
  <c r="J39" i="7" s="1"/>
  <c r="A39" i="7"/>
  <c r="C38" i="7"/>
  <c r="H37" i="7"/>
  <c r="J37" i="7" s="1"/>
  <c r="A37" i="7"/>
  <c r="C36" i="7"/>
  <c r="H35" i="7"/>
  <c r="J35" i="7" s="1"/>
  <c r="A35" i="7"/>
  <c r="C34" i="7"/>
  <c r="H33" i="7"/>
  <c r="J33" i="7" s="1"/>
  <c r="A33" i="7"/>
  <c r="C32" i="7"/>
  <c r="H31" i="7"/>
  <c r="J31" i="7" s="1"/>
  <c r="A31" i="7"/>
  <c r="C30" i="7"/>
  <c r="H29" i="7"/>
  <c r="A29" i="7"/>
  <c r="C21" i="7"/>
  <c r="H20" i="7"/>
  <c r="J20" i="7" s="1"/>
  <c r="A20" i="7"/>
  <c r="C19" i="7"/>
  <c r="H18" i="7"/>
  <c r="J18" i="7" s="1"/>
  <c r="A18" i="7"/>
  <c r="C17" i="7"/>
  <c r="H16" i="7"/>
  <c r="J16" i="7" s="1"/>
  <c r="A16" i="7"/>
  <c r="C15" i="7"/>
  <c r="H14" i="7"/>
  <c r="J14" i="7" s="1"/>
  <c r="A14" i="7"/>
  <c r="C13" i="7"/>
  <c r="H12" i="7"/>
  <c r="J12" i="7" s="1"/>
  <c r="A12" i="7"/>
  <c r="C11" i="7"/>
  <c r="H10" i="7"/>
  <c r="R44" i="40"/>
  <c r="D57" i="8"/>
  <c r="D67" i="8" s="1"/>
  <c r="D72" i="8" s="1"/>
  <c r="R25" i="40"/>
  <c r="I18" i="29"/>
  <c r="C52" i="24"/>
  <c r="R14" i="40"/>
  <c r="I15" i="29"/>
  <c r="R10" i="40"/>
  <c r="I13" i="29"/>
  <c r="I17" i="8"/>
  <c r="I19" i="8" s="1"/>
  <c r="D50" i="22"/>
  <c r="I46" i="54"/>
  <c r="T184" i="40"/>
  <c r="T186" i="40" s="1"/>
  <c r="J25" i="30"/>
  <c r="D52" i="10"/>
  <c r="V46" i="40"/>
  <c r="V44" i="40"/>
  <c r="V42" i="40"/>
  <c r="I37" i="10"/>
  <c r="I47" i="10" s="1"/>
  <c r="F74" i="11"/>
  <c r="G59" i="11"/>
  <c r="G69" i="11" s="1"/>
  <c r="G74" i="11" s="1"/>
  <c r="X44" i="40"/>
  <c r="X48" i="40" s="1"/>
  <c r="X156" i="40" s="1"/>
  <c r="AC173" i="40"/>
  <c r="AC174" i="40" s="1"/>
  <c r="AC176" i="40" s="1"/>
  <c r="B20" i="32"/>
  <c r="AC27" i="40"/>
  <c r="B16" i="31"/>
  <c r="AC10" i="40"/>
  <c r="AC18" i="40" s="1"/>
  <c r="B10" i="31"/>
  <c r="AF184" i="40"/>
  <c r="D25" i="32"/>
  <c r="I44" i="22"/>
  <c r="I51" i="13"/>
  <c r="D26" i="32" s="1"/>
  <c r="H53" i="13"/>
  <c r="H58" i="13" s="1"/>
  <c r="F53" i="13"/>
  <c r="F58" i="13" s="1"/>
  <c r="AF163" i="40"/>
  <c r="B27" i="27"/>
  <c r="I50" i="17"/>
  <c r="AH25" i="40"/>
  <c r="E15" i="31"/>
  <c r="C59" i="24"/>
  <c r="AH10" i="40"/>
  <c r="AH18" i="40" s="1"/>
  <c r="E10" i="31"/>
  <c r="AJ44" i="40"/>
  <c r="AJ48" i="40"/>
  <c r="AJ156" i="40" s="1"/>
  <c r="AJ23" i="40"/>
  <c r="D17" i="31"/>
  <c r="AJ14" i="40"/>
  <c r="AJ10" i="40"/>
  <c r="AJ18" i="40" s="1"/>
  <c r="AJ21" i="40" s="1"/>
  <c r="AJ29" i="40" s="1"/>
  <c r="AN127" i="40"/>
  <c r="AN125" i="40"/>
  <c r="AN16" i="40"/>
  <c r="AN7" i="40"/>
  <c r="K7" i="29"/>
  <c r="AL35" i="40"/>
  <c r="AL39" i="40" s="1"/>
  <c r="AL176" i="40" s="1"/>
  <c r="AL188" i="40" s="1"/>
  <c r="AU184" i="40"/>
  <c r="M25" i="30"/>
  <c r="D45" i="18"/>
  <c r="D50" i="18" s="1"/>
  <c r="AU35" i="40"/>
  <c r="I35" i="18"/>
  <c r="AU33" i="40"/>
  <c r="AU39" i="40" s="1"/>
  <c r="AU176" i="40" s="1"/>
  <c r="D54" i="19"/>
  <c r="AP34" i="40"/>
  <c r="AP39" i="40" s="1"/>
  <c r="I39" i="19"/>
  <c r="I49" i="19" s="1"/>
  <c r="BC43" i="40"/>
  <c r="I48" i="20"/>
  <c r="BC35" i="40"/>
  <c r="BC39" i="40" s="1"/>
  <c r="AW43" i="40"/>
  <c r="I47" i="21"/>
  <c r="I49" i="21" s="1"/>
  <c r="I58" i="21" s="1"/>
  <c r="I56" i="39"/>
  <c r="G26" i="32" s="1"/>
  <c r="F58" i="39"/>
  <c r="F63" i="39" s="1"/>
  <c r="BE44" i="40"/>
  <c r="BE27" i="40"/>
  <c r="G16" i="31"/>
  <c r="BE10" i="40"/>
  <c r="BE18" i="40" s="1"/>
  <c r="BE21" i="40" s="1"/>
  <c r="G10" i="31"/>
  <c r="G14" i="31" s="1"/>
  <c r="D52" i="22"/>
  <c r="I49" i="22"/>
  <c r="I45" i="22"/>
  <c r="C54" i="24"/>
  <c r="G26" i="25"/>
  <c r="G37" i="25" s="1"/>
  <c r="G42" i="25" s="1"/>
  <c r="E48" i="25" s="1"/>
  <c r="F49" i="25" s="1"/>
  <c r="G52" i="25" s="1"/>
  <c r="G54" i="25" s="1"/>
  <c r="L18" i="29"/>
  <c r="K16" i="29"/>
  <c r="J7" i="29"/>
  <c r="H17" i="31"/>
  <c r="C9" i="28" s="1"/>
  <c r="D13" i="31"/>
  <c r="H13" i="31" s="1"/>
  <c r="E25" i="32"/>
  <c r="C22" i="32"/>
  <c r="C24" i="32" s="1"/>
  <c r="F8" i="32"/>
  <c r="F11" i="32" s="1"/>
  <c r="AH184" i="40"/>
  <c r="AH186" i="40" s="1"/>
  <c r="AH188" i="40" s="1"/>
  <c r="AH192" i="40" s="1"/>
  <c r="AY156" i="40"/>
  <c r="AY176" i="40" s="1"/>
  <c r="AY188" i="40" s="1"/>
  <c r="AY192" i="40" s="1"/>
  <c r="AP156" i="40"/>
  <c r="AD156" i="40"/>
  <c r="AD176" i="40" s="1"/>
  <c r="AD188" i="40" s="1"/>
  <c r="AD192" i="40" s="1"/>
  <c r="AW34" i="40"/>
  <c r="AR192" i="40"/>
  <c r="AN27" i="40"/>
  <c r="R184" i="40"/>
  <c r="R186" i="40" s="1"/>
  <c r="I25" i="30"/>
  <c r="D49" i="22"/>
  <c r="R37" i="40"/>
  <c r="R35" i="40"/>
  <c r="R27" i="40"/>
  <c r="I19" i="29"/>
  <c r="R7" i="40"/>
  <c r="I7" i="29"/>
  <c r="T37" i="40"/>
  <c r="T35" i="40"/>
  <c r="T10" i="40"/>
  <c r="T18" i="40" s="1"/>
  <c r="T21" i="40" s="1"/>
  <c r="T29" i="40" s="1"/>
  <c r="V184" i="40"/>
  <c r="V186" i="40" s="1"/>
  <c r="D51" i="22"/>
  <c r="X173" i="40"/>
  <c r="X174" i="40" s="1"/>
  <c r="X37" i="40"/>
  <c r="X35" i="40"/>
  <c r="X16" i="40"/>
  <c r="J16" i="29"/>
  <c r="AC21" i="40"/>
  <c r="AD21" i="40"/>
  <c r="AD29" i="40" s="1"/>
  <c r="AF164" i="40"/>
  <c r="AH39" i="40"/>
  <c r="AH176" i="40" s="1"/>
  <c r="I15" i="14"/>
  <c r="I17" i="14" s="1"/>
  <c r="AH27" i="40"/>
  <c r="E16" i="31"/>
  <c r="AH7" i="40"/>
  <c r="AH21" i="40" s="1"/>
  <c r="AH29" i="40" s="1"/>
  <c r="E8" i="31"/>
  <c r="I51" i="37"/>
  <c r="AJ37" i="40"/>
  <c r="I25" i="37"/>
  <c r="I27" i="37" s="1"/>
  <c r="AN184" i="40"/>
  <c r="K25" i="30"/>
  <c r="I24" i="16"/>
  <c r="AN25" i="40"/>
  <c r="K18" i="29"/>
  <c r="C61" i="24"/>
  <c r="AN14" i="40"/>
  <c r="K15" i="29"/>
  <c r="AN10" i="40"/>
  <c r="AN18" i="40" s="1"/>
  <c r="I45" i="17"/>
  <c r="AL186" i="40"/>
  <c r="AL38" i="40"/>
  <c r="AL10" i="40"/>
  <c r="AL18" i="40" s="1"/>
  <c r="AL21" i="40" s="1"/>
  <c r="AL29" i="40" s="1"/>
  <c r="L13" i="29"/>
  <c r="L17" i="29" s="1"/>
  <c r="L21" i="29" s="1"/>
  <c r="L23" i="29" s="1"/>
  <c r="AU186" i="40"/>
  <c r="AU25" i="40"/>
  <c r="M18" i="29"/>
  <c r="C63" i="24"/>
  <c r="I15" i="18"/>
  <c r="I17" i="18" s="1"/>
  <c r="AU7" i="40"/>
  <c r="M7" i="29"/>
  <c r="AP7" i="40"/>
  <c r="I21" i="19"/>
  <c r="BC46" i="40"/>
  <c r="BC25" i="40"/>
  <c r="C65" i="24"/>
  <c r="I14" i="20"/>
  <c r="I16" i="20" s="1"/>
  <c r="AW35" i="40"/>
  <c r="H58" i="39"/>
  <c r="H63" i="39" s="1"/>
  <c r="I47" i="39"/>
  <c r="G12" i="32" s="1"/>
  <c r="G18" i="32" s="1"/>
  <c r="BE48" i="40"/>
  <c r="BE156" i="40" s="1"/>
  <c r="D49" i="39"/>
  <c r="D58" i="39" s="1"/>
  <c r="D63" i="39" s="1"/>
  <c r="BE34" i="40"/>
  <c r="I33" i="39"/>
  <c r="I48" i="22"/>
  <c r="I46" i="22"/>
  <c r="C62" i="24"/>
  <c r="C58" i="24"/>
  <c r="C56" i="24"/>
  <c r="B32" i="27"/>
  <c r="J18" i="29"/>
  <c r="I16" i="29"/>
  <c r="M13" i="29"/>
  <c r="M17" i="29" s="1"/>
  <c r="L7" i="29"/>
  <c r="L25" i="30"/>
  <c r="L22" i="30"/>
  <c r="L24" i="30" s="1"/>
  <c r="D15" i="31"/>
  <c r="B15" i="31"/>
  <c r="D11" i="31"/>
  <c r="D14" i="31" s="1"/>
  <c r="D18" i="31" s="1"/>
  <c r="D20" i="31" s="1"/>
  <c r="B11" i="31"/>
  <c r="D8" i="31"/>
  <c r="B8" i="31"/>
  <c r="H25" i="32"/>
  <c r="C13" i="28" s="1"/>
  <c r="BE181" i="40"/>
  <c r="BE186" i="40" s="1"/>
  <c r="BA192" i="40"/>
  <c r="AU38" i="40"/>
  <c r="AU10" i="40"/>
  <c r="AU18" i="40" s="1"/>
  <c r="AP37" i="40"/>
  <c r="AP35" i="40"/>
  <c r="AP10" i="40"/>
  <c r="AP18" i="40" s="1"/>
  <c r="BC10" i="40"/>
  <c r="BC18" i="40" s="1"/>
  <c r="AW46" i="40"/>
  <c r="AW44" i="40"/>
  <c r="AW48" i="40"/>
  <c r="AW156" i="40" s="1"/>
  <c r="AW37" i="40"/>
  <c r="AW21" i="40"/>
  <c r="BE37" i="40"/>
  <c r="BE35" i="40"/>
  <c r="C67" i="24"/>
  <c r="C16" i="26"/>
  <c r="D16" i="26" s="1"/>
  <c r="F16" i="26" s="1"/>
  <c r="M19" i="29"/>
  <c r="G15" i="31"/>
  <c r="G8" i="31"/>
  <c r="AL156" i="40"/>
  <c r="BG176" i="40"/>
  <c r="BG188" i="40" s="1"/>
  <c r="BG192" i="40" s="1"/>
  <c r="U23" i="48"/>
  <c r="S23" i="48"/>
  <c r="T23" i="48"/>
  <c r="S22" i="48"/>
  <c r="T22" i="48"/>
  <c r="S13" i="48"/>
  <c r="U13" i="48"/>
  <c r="P34" i="47" a="1"/>
  <c r="P34" i="47" s="1"/>
  <c r="Q54" i="52" a="1"/>
  <c r="Q54" i="52" s="1"/>
  <c r="W24" i="47" a="1"/>
  <c r="W24" i="47" s="1"/>
  <c r="G44" i="52" a="1"/>
  <c r="G44" i="52" s="1"/>
  <c r="E24" i="47" a="1"/>
  <c r="E24" i="47" s="1"/>
  <c r="H34" i="52" a="1"/>
  <c r="H34" i="52" s="1"/>
  <c r="G93" i="52" a="1"/>
  <c r="G93" i="52" s="1"/>
  <c r="U14" i="47" a="1"/>
  <c r="U14" i="47" s="1"/>
  <c r="P44" i="47" a="1"/>
  <c r="P44" i="47" s="1"/>
  <c r="G10" i="5" a="1"/>
  <c r="G10" i="5" s="1"/>
  <c r="I10" i="5" s="1"/>
  <c r="D42" i="40" s="1"/>
  <c r="G226" i="4" a="1"/>
  <c r="G226" i="4" s="1"/>
  <c r="I226" i="4" s="1"/>
  <c r="U14" i="52" a="1"/>
  <c r="U14" i="52" s="1"/>
  <c r="G556" i="42" a="1"/>
  <c r="G556" i="42" s="1"/>
  <c r="I556" i="42" s="1"/>
  <c r="P81" i="52" a="1"/>
  <c r="P81" i="52" s="1"/>
  <c r="F54" i="47" a="1"/>
  <c r="F54" i="47" s="1"/>
  <c r="G556" i="4" a="1"/>
  <c r="G556" i="4" s="1"/>
  <c r="I556" i="4" s="1"/>
  <c r="W70" i="47" a="1"/>
  <c r="W70" i="47" s="1"/>
  <c r="G433" i="41" a="1"/>
  <c r="G433" i="41" s="1"/>
  <c r="I433" i="41" s="1"/>
  <c r="F139" i="40" s="1"/>
  <c r="L34" i="52" a="1"/>
  <c r="L34" i="52" s="1"/>
  <c r="G24" i="47" a="1"/>
  <c r="G24" i="47" s="1"/>
  <c r="S44" i="52" a="1"/>
  <c r="S44" i="52" s="1"/>
  <c r="I24" i="52" a="1"/>
  <c r="I24" i="52" s="1"/>
  <c r="S14" i="47" a="1"/>
  <c r="S14" i="47" s="1"/>
  <c r="U54" i="47" a="1"/>
  <c r="U54" i="47" s="1"/>
  <c r="N44" i="47" a="1"/>
  <c r="N44" i="47" s="1"/>
  <c r="G964" i="4" a="1"/>
  <c r="G964" i="4" s="1"/>
  <c r="I964" i="4" s="1"/>
  <c r="M70" i="52" a="1"/>
  <c r="M70" i="52" s="1"/>
  <c r="H70" i="52" a="1"/>
  <c r="H70" i="52" s="1"/>
  <c r="O93" i="47" a="1"/>
  <c r="O93" i="47" s="1"/>
  <c r="H70" i="47" a="1"/>
  <c r="H70" i="47" s="1"/>
  <c r="G482" i="4" a="1"/>
  <c r="G482" i="4" s="1"/>
  <c r="I482" i="4" s="1"/>
  <c r="S24" i="47" a="1"/>
  <c r="S24" i="47" s="1"/>
  <c r="G121" i="41" a="1"/>
  <c r="G121" i="41" s="1"/>
  <c r="I121" i="41" s="1"/>
  <c r="F60" i="40" s="1"/>
  <c r="T34" i="47" a="1"/>
  <c r="T34" i="47" s="1"/>
  <c r="G11" i="42" a="1"/>
  <c r="G11" i="42" s="1"/>
  <c r="I11" i="42" s="1"/>
  <c r="G121" i="5" a="1"/>
  <c r="G121" i="5" s="1"/>
  <c r="I121" i="5" s="1"/>
  <c r="D60" i="40" s="1"/>
  <c r="G190" i="41" a="1"/>
  <c r="G190" i="41" s="1"/>
  <c r="I190" i="41" s="1"/>
  <c r="F78" i="40" s="1"/>
  <c r="I54" i="47" a="1"/>
  <c r="I54" i="47" s="1"/>
  <c r="U34" i="47" a="1"/>
  <c r="U34" i="47" s="1"/>
  <c r="G371" i="42" a="1"/>
  <c r="G371" i="42" s="1"/>
  <c r="I371" i="42" s="1"/>
  <c r="E70" i="52" a="1"/>
  <c r="E70" i="52" s="1"/>
  <c r="H81" i="47" a="1"/>
  <c r="H81" i="47" s="1"/>
  <c r="E70" i="47" a="1"/>
  <c r="E70" i="47" s="1"/>
  <c r="T24" i="47" a="1"/>
  <c r="T24" i="47" s="1"/>
  <c r="F93" i="52" a="1"/>
  <c r="F93" i="52" s="1"/>
  <c r="K24" i="52" a="1"/>
  <c r="K24" i="52" s="1"/>
  <c r="N14" i="52" a="1"/>
  <c r="N14" i="52" s="1"/>
  <c r="G254" i="41" a="1"/>
  <c r="G254" i="41" s="1"/>
  <c r="I254" i="41" s="1"/>
  <c r="F95" i="40" s="1"/>
  <c r="G47" i="5" a="1"/>
  <c r="G47" i="5" s="1"/>
  <c r="I47" i="5" s="1"/>
  <c r="D51" i="40" s="1"/>
  <c r="G54" i="52" a="1"/>
  <c r="G54" i="52" s="1"/>
  <c r="L93" i="52" a="1"/>
  <c r="L93" i="52" s="1"/>
  <c r="W24" i="52" a="1"/>
  <c r="W24" i="52" s="1"/>
  <c r="T13" i="48"/>
  <c r="G464" i="5" a="1"/>
  <c r="G464" i="5" s="1"/>
  <c r="I464" i="5" s="1"/>
  <c r="D148" i="40" s="1"/>
  <c r="Q14" i="52" a="1"/>
  <c r="Q14" i="52" s="1"/>
  <c r="G853" i="42" a="1"/>
  <c r="G853" i="42" s="1"/>
  <c r="I853" i="42" s="1"/>
  <c r="J34" i="52" a="1"/>
  <c r="J34" i="52" s="1"/>
  <c r="N93" i="52" a="1"/>
  <c r="N93" i="52" s="1"/>
  <c r="E44" i="47" a="1"/>
  <c r="E44" i="47" s="1"/>
  <c r="E44" i="52" a="1"/>
  <c r="E44" i="52" s="1"/>
  <c r="C104" i="24" a="1"/>
  <c r="C104" i="24" s="1"/>
  <c r="Q93" i="47" a="1"/>
  <c r="Q93" i="47" s="1"/>
  <c r="R24" i="47" a="1"/>
  <c r="R24" i="47" s="1"/>
  <c r="G11" i="4" a="1"/>
  <c r="G11" i="4" s="1"/>
  <c r="I11" i="4" s="1"/>
  <c r="V70" i="52" a="1"/>
  <c r="V70" i="52" s="1"/>
  <c r="D54" i="47" a="1"/>
  <c r="D54" i="47" s="1"/>
  <c r="G410" i="5" a="1"/>
  <c r="G410" i="5" s="1"/>
  <c r="I410" i="5" s="1"/>
  <c r="D130" i="40" s="1"/>
  <c r="W14" i="52" a="1"/>
  <c r="W14" i="52" s="1"/>
  <c r="G853" i="4" a="1"/>
  <c r="G853" i="4" s="1"/>
  <c r="I853" i="4" s="1"/>
  <c r="V44" i="52" a="1"/>
  <c r="V44" i="52" s="1"/>
  <c r="P14" i="47" a="1"/>
  <c r="P14" i="47" s="1"/>
  <c r="I44" i="52" a="1"/>
  <c r="I44" i="52" s="1"/>
  <c r="I44" i="47" a="1"/>
  <c r="I44" i="47" s="1"/>
  <c r="G779" i="4" a="1"/>
  <c r="G779" i="4" s="1"/>
  <c r="I779" i="4" s="1"/>
  <c r="F70" i="52" a="1"/>
  <c r="F70" i="52" s="1"/>
  <c r="L14" i="52" a="1"/>
  <c r="L14" i="52" s="1"/>
  <c r="U81" i="47" a="1"/>
  <c r="U81" i="47" s="1"/>
  <c r="D93" i="52" a="1"/>
  <c r="D93" i="52" s="1"/>
  <c r="G24" i="52" a="1"/>
  <c r="G24" i="52" s="1"/>
  <c r="J14" i="52" a="1"/>
  <c r="J14" i="52" s="1"/>
  <c r="O34" i="47" a="1"/>
  <c r="O34" i="47" s="1"/>
  <c r="C159" i="24" a="1"/>
  <c r="C159" i="24" s="1"/>
  <c r="K93" i="52" a="1"/>
  <c r="K93" i="52" s="1"/>
  <c r="T93" i="52" a="1"/>
  <c r="T93" i="52" s="1"/>
  <c r="V34" i="52" a="1"/>
  <c r="V34" i="52" s="1"/>
  <c r="G298" i="4" a="1"/>
  <c r="G298" i="4" s="1"/>
  <c r="I298" i="4" s="1"/>
  <c r="W93" i="52" a="1"/>
  <c r="W93" i="52" s="1"/>
  <c r="Q70" i="52" a="1"/>
  <c r="Q70" i="52" s="1"/>
  <c r="T81" i="47" a="1"/>
  <c r="T81" i="47" s="1"/>
  <c r="Q70" i="47" a="1"/>
  <c r="Q70" i="47" s="1"/>
  <c r="J14" i="47" a="1"/>
  <c r="J14" i="47" s="1"/>
  <c r="R54" i="52" a="1"/>
  <c r="R54" i="52" s="1"/>
  <c r="O81" i="47" a="1"/>
  <c r="O81" i="47" s="1"/>
  <c r="R93" i="47" a="1"/>
  <c r="R93" i="47" s="1"/>
  <c r="G593" i="42" a="1"/>
  <c r="G593" i="42" s="1"/>
  <c r="I593" i="42" s="1"/>
  <c r="G433" i="5" a="1"/>
  <c r="G433" i="5" s="1"/>
  <c r="I433" i="5" s="1"/>
  <c r="D139" i="40" s="1"/>
  <c r="N81" i="52" a="1"/>
  <c r="N81" i="52" s="1"/>
  <c r="E93" i="47" a="1"/>
  <c r="E93" i="47" s="1"/>
  <c r="X93" i="47" s="1"/>
  <c r="R44" i="47" a="1"/>
  <c r="R44" i="47" s="1"/>
  <c r="X44" i="47" s="1"/>
  <c r="G890" i="4" a="1"/>
  <c r="G890" i="4" s="1"/>
  <c r="I890" i="4" s="1"/>
  <c r="J54" i="52" a="1"/>
  <c r="J54" i="52" s="1"/>
  <c r="D24" i="52" a="1"/>
  <c r="D24" i="52" s="1"/>
  <c r="U70" i="47" a="1"/>
  <c r="U70" i="47" s="1"/>
  <c r="N14" i="47" a="1"/>
  <c r="N14" i="47" s="1"/>
  <c r="J70" i="47" a="1"/>
  <c r="J70" i="47" s="1"/>
  <c r="X70" i="47" s="1"/>
  <c r="G668" i="4" a="1"/>
  <c r="G668" i="4" s="1"/>
  <c r="I668" i="4" s="1"/>
  <c r="S200" i="48"/>
  <c r="T200" i="48"/>
  <c r="U200" i="48"/>
  <c r="U192" i="48"/>
  <c r="S192" i="48"/>
  <c r="AA192" i="48" s="1"/>
  <c r="AB192" i="48" s="1"/>
  <c r="T192" i="48"/>
  <c r="U184" i="48"/>
  <c r="S184" i="48"/>
  <c r="T184" i="48"/>
  <c r="S165" i="48"/>
  <c r="U165" i="48"/>
  <c r="T165" i="48"/>
  <c r="S157" i="48"/>
  <c r="U157" i="48"/>
  <c r="T157" i="48"/>
  <c r="S126" i="48"/>
  <c r="U126" i="48"/>
  <c r="T126" i="48"/>
  <c r="S122" i="48"/>
  <c r="U122" i="48"/>
  <c r="T122" i="48"/>
  <c r="S114" i="48"/>
  <c r="U114" i="48"/>
  <c r="T114" i="48"/>
  <c r="S106" i="48"/>
  <c r="U106" i="48"/>
  <c r="T106" i="48"/>
  <c r="T96" i="48"/>
  <c r="U96" i="48"/>
  <c r="S96" i="48"/>
  <c r="T88" i="48"/>
  <c r="U88" i="48"/>
  <c r="S88" i="48"/>
  <c r="S75" i="48"/>
  <c r="U75" i="48"/>
  <c r="T75" i="48"/>
  <c r="S71" i="48"/>
  <c r="U71" i="48"/>
  <c r="T71" i="48"/>
  <c r="S67" i="48"/>
  <c r="U67" i="48"/>
  <c r="T67" i="48"/>
  <c r="S63" i="48"/>
  <c r="U63" i="48"/>
  <c r="T63" i="48"/>
  <c r="S59" i="48"/>
  <c r="U59" i="48"/>
  <c r="T59" i="48"/>
  <c r="T33" i="48"/>
  <c r="S33" i="48"/>
  <c r="U33" i="48"/>
  <c r="S30" i="48"/>
  <c r="T30" i="48"/>
  <c r="U196" i="48"/>
  <c r="S196" i="48"/>
  <c r="AA196" i="48" s="1"/>
  <c r="AB196" i="48" s="1"/>
  <c r="T196" i="48"/>
  <c r="U188" i="48"/>
  <c r="S188" i="48"/>
  <c r="T188" i="48"/>
  <c r="U169" i="48"/>
  <c r="S169" i="48"/>
  <c r="T169" i="48"/>
  <c r="S161" i="48"/>
  <c r="T161" i="48"/>
  <c r="U161" i="48"/>
  <c r="S153" i="48"/>
  <c r="T153" i="48"/>
  <c r="U153" i="48"/>
  <c r="S119" i="48"/>
  <c r="U119" i="48"/>
  <c r="T119" i="48"/>
  <c r="S110" i="48"/>
  <c r="T110" i="48"/>
  <c r="U110" i="48"/>
  <c r="T100" i="48"/>
  <c r="U100" i="48"/>
  <c r="S100" i="48"/>
  <c r="T92" i="48"/>
  <c r="U92" i="48"/>
  <c r="S92" i="48"/>
  <c r="T84" i="48"/>
  <c r="U84" i="48"/>
  <c r="S84" i="48"/>
  <c r="S77" i="48"/>
  <c r="T77" i="48"/>
  <c r="U77" i="48"/>
  <c r="S73" i="48"/>
  <c r="T73" i="48"/>
  <c r="U73" i="48"/>
  <c r="S69" i="48"/>
  <c r="T69" i="48"/>
  <c r="U69" i="48"/>
  <c r="S65" i="48"/>
  <c r="T65" i="48"/>
  <c r="U65" i="48"/>
  <c r="S57" i="48"/>
  <c r="T57" i="48"/>
  <c r="U57" i="48"/>
  <c r="S53" i="48"/>
  <c r="T53" i="48"/>
  <c r="U53" i="48"/>
  <c r="S51" i="48"/>
  <c r="T51" i="48"/>
  <c r="U51" i="48"/>
  <c r="S49" i="48"/>
  <c r="T49" i="48"/>
  <c r="U49" i="48"/>
  <c r="S47" i="48"/>
  <c r="T47" i="48"/>
  <c r="U47" i="48"/>
  <c r="T45" i="48"/>
  <c r="S45" i="48"/>
  <c r="U45" i="48"/>
  <c r="T43" i="48"/>
  <c r="U43" i="48"/>
  <c r="S43" i="48"/>
  <c r="T41" i="48"/>
  <c r="S41" i="48"/>
  <c r="U41" i="48"/>
  <c r="T39" i="48"/>
  <c r="U39" i="48"/>
  <c r="S39" i="48"/>
  <c r="T37" i="48"/>
  <c r="S37" i="48"/>
  <c r="U37" i="48"/>
  <c r="F130" i="40"/>
  <c r="X81" i="52"/>
  <c r="X14" i="52"/>
  <c r="T28" i="48"/>
  <c r="U19" i="48"/>
  <c r="T14" i="48"/>
  <c r="AA14" i="48" s="1"/>
  <c r="AB14" i="48" s="1"/>
  <c r="AA68" i="48"/>
  <c r="AB68" i="48" s="1"/>
  <c r="AA72" i="48"/>
  <c r="AB72" i="48" s="1"/>
  <c r="AA76" i="48"/>
  <c r="AB76" i="48" s="1"/>
  <c r="AA155" i="48"/>
  <c r="AB155" i="48" s="1"/>
  <c r="AA163" i="48"/>
  <c r="AB163" i="48" s="1"/>
  <c r="H560" i="41"/>
  <c r="N7" i="29"/>
  <c r="B7" i="28" s="1"/>
  <c r="N25" i="30"/>
  <c r="B13" i="28" s="1"/>
  <c r="D13" i="28" s="1"/>
  <c r="G22" i="30"/>
  <c r="G24" i="30" s="1"/>
  <c r="H11" i="31"/>
  <c r="H8" i="31"/>
  <c r="C7" i="28" s="1"/>
  <c r="H26" i="32"/>
  <c r="C14" i="28" s="1"/>
  <c r="AN186" i="40"/>
  <c r="AJ186" i="40"/>
  <c r="AF186" i="40"/>
  <c r="AC186" i="40"/>
  <c r="AC188" i="40" s="1"/>
  <c r="BC48" i="40"/>
  <c r="BC156" i="40" s="1"/>
  <c r="V48" i="40"/>
  <c r="V156" i="40" s="1"/>
  <c r="V176" i="40" s="1"/>
  <c r="R48" i="40"/>
  <c r="R156" i="40" s="1"/>
  <c r="BE29" i="40"/>
  <c r="AC29" i="40"/>
  <c r="H18" i="40"/>
  <c r="H21" i="40" s="1"/>
  <c r="H29" i="40" s="1"/>
  <c r="U60" i="48"/>
  <c r="AA60" i="48" s="1"/>
  <c r="AB60" i="48" s="1"/>
  <c r="I560" i="5"/>
  <c r="D37" i="40"/>
  <c r="D36" i="40"/>
  <c r="H540" i="5"/>
  <c r="H552" i="5" s="1"/>
  <c r="H558" i="5" s="1"/>
  <c r="H562" i="5" s="1"/>
  <c r="F37" i="40"/>
  <c r="F36" i="40"/>
  <c r="J23" i="53"/>
  <c r="F15" i="29" s="1"/>
  <c r="M21" i="29"/>
  <c r="M23" i="29" s="1"/>
  <c r="N19" i="29"/>
  <c r="N11" i="29"/>
  <c r="N27" i="30"/>
  <c r="B16" i="28" s="1"/>
  <c r="D16" i="28" s="1"/>
  <c r="H15" i="31"/>
  <c r="C10" i="28" s="1"/>
  <c r="B14" i="31"/>
  <c r="B18" i="31" s="1"/>
  <c r="B20" i="31" s="1"/>
  <c r="AF165" i="40"/>
  <c r="AF176" i="40" s="1"/>
  <c r="AF188" i="40" s="1"/>
  <c r="H156" i="40"/>
  <c r="H176" i="40" s="1"/>
  <c r="N48" i="40"/>
  <c r="N156" i="40" s="1"/>
  <c r="N176" i="40" s="1"/>
  <c r="BE39" i="40"/>
  <c r="BE176" i="40" s="1"/>
  <c r="AW39" i="40"/>
  <c r="AJ39" i="40"/>
  <c r="AJ176" i="40" s="1"/>
  <c r="X39" i="40"/>
  <c r="AW29" i="40"/>
  <c r="V18" i="40"/>
  <c r="R18" i="40"/>
  <c r="R21" i="40" s="1"/>
  <c r="I84" i="41"/>
  <c r="F51" i="40" s="1"/>
  <c r="I191" i="4"/>
  <c r="B1079" i="4" s="1"/>
  <c r="D33" i="40" s="1"/>
  <c r="X24" i="52"/>
  <c r="X44" i="52"/>
  <c r="I119" i="42"/>
  <c r="X54" i="52"/>
  <c r="I326" i="5"/>
  <c r="D113" i="40" s="1"/>
  <c r="I83" i="42"/>
  <c r="B1079" i="42" s="1"/>
  <c r="F33" i="40" s="1"/>
  <c r="X34" i="52"/>
  <c r="X24" i="47"/>
  <c r="X34" i="47"/>
  <c r="X70" i="52"/>
  <c r="X81" i="47"/>
  <c r="T27" i="48"/>
  <c r="S27" i="48"/>
  <c r="U27" i="48"/>
  <c r="T25" i="48"/>
  <c r="S25" i="48"/>
  <c r="U25" i="48"/>
  <c r="T18" i="48"/>
  <c r="S18" i="48"/>
  <c r="U18" i="48"/>
  <c r="T16" i="48"/>
  <c r="S16" i="48"/>
  <c r="U16" i="48"/>
  <c r="T29" i="48"/>
  <c r="S29" i="48"/>
  <c r="U29" i="48"/>
  <c r="T26" i="48"/>
  <c r="S26" i="48"/>
  <c r="U26" i="48"/>
  <c r="S24" i="48"/>
  <c r="U24" i="48"/>
  <c r="T24" i="48"/>
  <c r="T17" i="48"/>
  <c r="S17" i="48"/>
  <c r="U17" i="48"/>
  <c r="U21" i="48"/>
  <c r="T21" i="48"/>
  <c r="S21" i="48"/>
  <c r="U15" i="48"/>
  <c r="W54" i="47" a="1"/>
  <c r="W54" i="47" s="1"/>
  <c r="T15" i="48"/>
  <c r="S15" i="48"/>
  <c r="R9" i="48"/>
  <c r="S201" i="48"/>
  <c r="T201" i="48"/>
  <c r="S197" i="48"/>
  <c r="T197" i="48"/>
  <c r="S193" i="48"/>
  <c r="T193" i="48"/>
  <c r="S189" i="48"/>
  <c r="T189" i="48"/>
  <c r="S185" i="48"/>
  <c r="T185" i="48"/>
  <c r="S171" i="48"/>
  <c r="T171" i="48"/>
  <c r="U170" i="48"/>
  <c r="T170" i="48"/>
  <c r="S166" i="48"/>
  <c r="U166" i="48"/>
  <c r="T166" i="48"/>
  <c r="S162" i="48"/>
  <c r="U162" i="48"/>
  <c r="T162" i="48"/>
  <c r="S158" i="48"/>
  <c r="U158" i="48"/>
  <c r="T158" i="48"/>
  <c r="S154" i="48"/>
  <c r="U154" i="48"/>
  <c r="T154" i="48"/>
  <c r="S121" i="48"/>
  <c r="U121" i="48"/>
  <c r="U117" i="48"/>
  <c r="S117" i="48"/>
  <c r="U116" i="48"/>
  <c r="S116" i="48"/>
  <c r="S115" i="48"/>
  <c r="U115" i="48"/>
  <c r="S56" i="48"/>
  <c r="U56" i="48"/>
  <c r="S55" i="48"/>
  <c r="U55" i="48"/>
  <c r="S54" i="48"/>
  <c r="U54" i="48"/>
  <c r="S46" i="48"/>
  <c r="T46" i="48"/>
  <c r="S42" i="48"/>
  <c r="T42" i="48"/>
  <c r="S38" i="48"/>
  <c r="T38" i="48"/>
  <c r="S34" i="48"/>
  <c r="T34" i="48"/>
  <c r="U30" i="48"/>
  <c r="U28" i="48"/>
  <c r="AA28" i="48" s="1"/>
  <c r="AB28" i="48" s="1"/>
  <c r="U20" i="48"/>
  <c r="AA20" i="48" s="1"/>
  <c r="AB20" i="48" s="1"/>
  <c r="S19" i="48"/>
  <c r="AA19" i="48" s="1"/>
  <c r="AB19" i="48" s="1"/>
  <c r="U22" i="48"/>
  <c r="AA22" i="48" s="1"/>
  <c r="AB22" i="48" s="1"/>
  <c r="U12" i="48"/>
  <c r="S12" i="48"/>
  <c r="T12" i="48"/>
  <c r="U11" i="48"/>
  <c r="S11" i="48"/>
  <c r="T11" i="48"/>
  <c r="S199" i="48"/>
  <c r="T199" i="48"/>
  <c r="S195" i="48"/>
  <c r="T195" i="48"/>
  <c r="S191" i="48"/>
  <c r="T191" i="48"/>
  <c r="S187" i="48"/>
  <c r="T187" i="48"/>
  <c r="S183" i="48"/>
  <c r="T183" i="48"/>
  <c r="T182" i="48"/>
  <c r="U182" i="48"/>
  <c r="S182" i="48"/>
  <c r="S181" i="48"/>
  <c r="T181" i="48"/>
  <c r="T180" i="48"/>
  <c r="U180" i="48"/>
  <c r="S180" i="48"/>
  <c r="S179" i="48"/>
  <c r="T179" i="48"/>
  <c r="T178" i="48"/>
  <c r="U178" i="48"/>
  <c r="S178" i="48"/>
  <c r="S177" i="48"/>
  <c r="T177" i="48"/>
  <c r="T176" i="48"/>
  <c r="U176" i="48"/>
  <c r="S176" i="48"/>
  <c r="S175" i="48"/>
  <c r="T175" i="48"/>
  <c r="T174" i="48"/>
  <c r="U174" i="48"/>
  <c r="S174" i="48"/>
  <c r="S173" i="48"/>
  <c r="T173" i="48"/>
  <c r="S168" i="48"/>
  <c r="U168" i="48"/>
  <c r="T168" i="48"/>
  <c r="S164" i="48"/>
  <c r="U164" i="48"/>
  <c r="T164" i="48"/>
  <c r="S160" i="48"/>
  <c r="U160" i="48"/>
  <c r="T160" i="48"/>
  <c r="S156" i="48"/>
  <c r="U156" i="48"/>
  <c r="T156" i="48"/>
  <c r="S152" i="48"/>
  <c r="U152" i="48"/>
  <c r="T152" i="48"/>
  <c r="T151" i="48"/>
  <c r="S151" i="48"/>
  <c r="U150" i="48"/>
  <c r="S150" i="48"/>
  <c r="T150" i="48"/>
  <c r="T149" i="48"/>
  <c r="S149" i="48"/>
  <c r="U148" i="48"/>
  <c r="S148" i="48"/>
  <c r="T148" i="48"/>
  <c r="T147" i="48"/>
  <c r="S147" i="48"/>
  <c r="U146" i="48"/>
  <c r="S146" i="48"/>
  <c r="T146" i="48"/>
  <c r="T145" i="48"/>
  <c r="S145" i="48"/>
  <c r="U144" i="48"/>
  <c r="S144" i="48"/>
  <c r="T144" i="48"/>
  <c r="T143" i="48"/>
  <c r="S143" i="48"/>
  <c r="U142" i="48"/>
  <c r="S142" i="48"/>
  <c r="T142" i="48"/>
  <c r="T141" i="48"/>
  <c r="S141" i="48"/>
  <c r="U140" i="48"/>
  <c r="S140" i="48"/>
  <c r="T140" i="48"/>
  <c r="T139" i="48"/>
  <c r="S139" i="48"/>
  <c r="U138" i="48"/>
  <c r="S138" i="48"/>
  <c r="T138" i="48"/>
  <c r="T137" i="48"/>
  <c r="S137" i="48"/>
  <c r="U136" i="48"/>
  <c r="S136" i="48"/>
  <c r="T136" i="48"/>
  <c r="T135" i="48"/>
  <c r="S135" i="48"/>
  <c r="U134" i="48"/>
  <c r="S134" i="48"/>
  <c r="T134" i="48"/>
  <c r="T133" i="48"/>
  <c r="S133" i="48"/>
  <c r="U132" i="48"/>
  <c r="S132" i="48"/>
  <c r="T131" i="48"/>
  <c r="S131" i="48"/>
  <c r="S129" i="48"/>
  <c r="U129" i="48"/>
  <c r="S128" i="48"/>
  <c r="U128" i="48"/>
  <c r="U125" i="48"/>
  <c r="S125" i="48"/>
  <c r="U124" i="48"/>
  <c r="S124" i="48"/>
  <c r="S123" i="48"/>
  <c r="U123" i="48"/>
  <c r="S113" i="48"/>
  <c r="U113" i="48"/>
  <c r="S112" i="48"/>
  <c r="U112" i="48"/>
  <c r="U109" i="48"/>
  <c r="S109" i="48"/>
  <c r="U108" i="48"/>
  <c r="S108" i="48"/>
  <c r="S105" i="48"/>
  <c r="U105" i="48"/>
  <c r="S104" i="48"/>
  <c r="U104" i="48"/>
  <c r="S103" i="48"/>
  <c r="U103" i="48"/>
  <c r="T82" i="48"/>
  <c r="S82" i="48"/>
  <c r="S81" i="48"/>
  <c r="T81" i="48"/>
  <c r="T80" i="48"/>
  <c r="S80" i="48"/>
  <c r="S79" i="48"/>
  <c r="T79" i="48"/>
  <c r="T78" i="48"/>
  <c r="S78" i="48"/>
  <c r="S61" i="48"/>
  <c r="U61" i="48"/>
  <c r="S44" i="48"/>
  <c r="T44" i="48"/>
  <c r="S40" i="48"/>
  <c r="T40" i="48"/>
  <c r="S36" i="48"/>
  <c r="T36" i="48"/>
  <c r="S32" i="48"/>
  <c r="T32" i="48"/>
  <c r="L10" i="40"/>
  <c r="J65" i="53"/>
  <c r="F13" i="29" s="1"/>
  <c r="L16" i="40"/>
  <c r="J50" i="53"/>
  <c r="F16" i="29" s="1"/>
  <c r="J67" i="53"/>
  <c r="J88" i="53" s="1"/>
  <c r="H65" i="53"/>
  <c r="H50" i="53"/>
  <c r="H23" i="53"/>
  <c r="L14" i="40"/>
  <c r="C70" i="24"/>
  <c r="C71" i="24" s="1"/>
  <c r="AC192" i="40"/>
  <c r="B21" i="30"/>
  <c r="D173" i="40"/>
  <c r="F173" i="40"/>
  <c r="F174" i="40" s="1"/>
  <c r="C21" i="30"/>
  <c r="I25" i="23"/>
  <c r="D21" i="27"/>
  <c r="F12" i="26"/>
  <c r="F18" i="26" s="1"/>
  <c r="D18" i="26"/>
  <c r="D35" i="40"/>
  <c r="F35" i="40"/>
  <c r="BC21" i="40"/>
  <c r="BC29" i="40" s="1"/>
  <c r="AU21" i="40"/>
  <c r="AU29" i="40" s="1"/>
  <c r="V21" i="40"/>
  <c r="V29" i="40" s="1"/>
  <c r="C31" i="27" l="1"/>
  <c r="G38" i="23"/>
  <c r="I63" i="21"/>
  <c r="C27" i="24" s="1"/>
  <c r="AL192" i="40"/>
  <c r="X176" i="40"/>
  <c r="X188" i="40" s="1"/>
  <c r="N188" i="40"/>
  <c r="AA78" i="48"/>
  <c r="AB78" i="48" s="1"/>
  <c r="AA80" i="48"/>
  <c r="AB80" i="48" s="1"/>
  <c r="AA82" i="48"/>
  <c r="AB82" i="48" s="1"/>
  <c r="AA108" i="48"/>
  <c r="AB108" i="48" s="1"/>
  <c r="AA109" i="48"/>
  <c r="AB109" i="48" s="1"/>
  <c r="AA124" i="48"/>
  <c r="AB124" i="48" s="1"/>
  <c r="AA125" i="48"/>
  <c r="AB125" i="48" s="1"/>
  <c r="AA131" i="48"/>
  <c r="AB131" i="48" s="1"/>
  <c r="AA132" i="48"/>
  <c r="AB132" i="48" s="1"/>
  <c r="AA133" i="48"/>
  <c r="AB133" i="48" s="1"/>
  <c r="AA137" i="48"/>
  <c r="AB137" i="48" s="1"/>
  <c r="AA141" i="48"/>
  <c r="AB141" i="48" s="1"/>
  <c r="AA145" i="48"/>
  <c r="AB145" i="48" s="1"/>
  <c r="AA149" i="48"/>
  <c r="AB149" i="48" s="1"/>
  <c r="AA174" i="48"/>
  <c r="AB174" i="48" s="1"/>
  <c r="AA178" i="48"/>
  <c r="AB178" i="48" s="1"/>
  <c r="AA182" i="48"/>
  <c r="AB182" i="48" s="1"/>
  <c r="AA30" i="48"/>
  <c r="AB30" i="48" s="1"/>
  <c r="AA170" i="48"/>
  <c r="AB170" i="48" s="1"/>
  <c r="C83" i="24"/>
  <c r="C84" i="24" s="1"/>
  <c r="C85" i="24" s="1"/>
  <c r="AJ188" i="40"/>
  <c r="AJ192" i="40" s="1"/>
  <c r="BE188" i="40"/>
  <c r="BE192" i="40" s="1"/>
  <c r="BC176" i="40"/>
  <c r="BC188" i="40" s="1"/>
  <c r="BC192" i="40" s="1"/>
  <c r="AA37" i="48"/>
  <c r="AB37" i="48" s="1"/>
  <c r="AA39" i="48"/>
  <c r="AB39" i="48" s="1"/>
  <c r="AA41" i="48"/>
  <c r="AB41" i="48" s="1"/>
  <c r="AA43" i="48"/>
  <c r="AB43" i="48" s="1"/>
  <c r="AA45" i="48"/>
  <c r="AB45" i="48" s="1"/>
  <c r="AA92" i="48"/>
  <c r="AB92" i="48" s="1"/>
  <c r="AA153" i="48"/>
  <c r="AB153" i="48" s="1"/>
  <c r="AA188" i="48"/>
  <c r="AB188" i="48" s="1"/>
  <c r="AA33" i="48"/>
  <c r="AB33" i="48" s="1"/>
  <c r="AA59" i="48"/>
  <c r="AB59" i="48" s="1"/>
  <c r="AA96" i="48"/>
  <c r="AB96" i="48" s="1"/>
  <c r="AA114" i="48"/>
  <c r="AB114" i="48" s="1"/>
  <c r="AA126" i="48"/>
  <c r="AB126" i="48" s="1"/>
  <c r="AA157" i="48"/>
  <c r="AB157" i="48" s="1"/>
  <c r="AA184" i="48"/>
  <c r="AB184" i="48" s="1"/>
  <c r="AA200" i="48"/>
  <c r="AB200" i="48" s="1"/>
  <c r="X14" i="47"/>
  <c r="X93" i="52"/>
  <c r="G8" i="32"/>
  <c r="G11" i="32" s="1"/>
  <c r="G22" i="32" s="1"/>
  <c r="G24" i="32" s="1"/>
  <c r="I49" i="39"/>
  <c r="I58" i="39" s="1"/>
  <c r="AP21" i="40"/>
  <c r="AP29" i="40" s="1"/>
  <c r="L26" i="30"/>
  <c r="N26" i="30" s="1"/>
  <c r="B14" i="28" s="1"/>
  <c r="D14" i="28" s="1"/>
  <c r="I47" i="17"/>
  <c r="K17" i="29"/>
  <c r="K21" i="29" s="1"/>
  <c r="K23" i="29" s="1"/>
  <c r="I43" i="14"/>
  <c r="B24" i="27"/>
  <c r="AP176" i="40"/>
  <c r="AP188" i="40" s="1"/>
  <c r="AP192" i="40" s="1"/>
  <c r="G18" i="31"/>
  <c r="G20" i="31" s="1"/>
  <c r="F12" i="32"/>
  <c r="C29" i="27"/>
  <c r="G35" i="23"/>
  <c r="I45" i="18"/>
  <c r="M12" i="30"/>
  <c r="M18" i="30" s="1"/>
  <c r="M22" i="30" s="1"/>
  <c r="M24" i="30" s="1"/>
  <c r="I50" i="20"/>
  <c r="I59" i="20" s="1"/>
  <c r="H16" i="31"/>
  <c r="H20" i="32"/>
  <c r="B22" i="32"/>
  <c r="B24" i="32" s="1"/>
  <c r="B17" i="27"/>
  <c r="I70" i="8"/>
  <c r="J55" i="7"/>
  <c r="H65" i="7"/>
  <c r="J97" i="53"/>
  <c r="J110" i="53" s="1"/>
  <c r="H110" i="53"/>
  <c r="J115" i="53"/>
  <c r="J136" i="53" s="1"/>
  <c r="H136" i="53"/>
  <c r="C24" i="27"/>
  <c r="G28" i="23"/>
  <c r="I45" i="14"/>
  <c r="C20" i="24" s="1"/>
  <c r="I53" i="13"/>
  <c r="B20" i="27"/>
  <c r="I72" i="11"/>
  <c r="X18" i="40"/>
  <c r="X21" i="40" s="1"/>
  <c r="X29" i="40" s="1"/>
  <c r="N18" i="40"/>
  <c r="N21" i="40" s="1"/>
  <c r="N29" i="40" s="1"/>
  <c r="J21" i="40"/>
  <c r="J29" i="40" s="1"/>
  <c r="D17" i="29"/>
  <c r="D21" i="29" s="1"/>
  <c r="D23" i="29" s="1"/>
  <c r="I71" i="6"/>
  <c r="I81" i="6" s="1"/>
  <c r="D10" i="40"/>
  <c r="D18" i="40" s="1"/>
  <c r="D21" i="40" s="1"/>
  <c r="D29" i="40" s="1"/>
  <c r="B13" i="29"/>
  <c r="B17" i="29" s="1"/>
  <c r="B21" i="29" s="1"/>
  <c r="B23" i="29" s="1"/>
  <c r="I100" i="3"/>
  <c r="I102" i="3" s="1"/>
  <c r="I110" i="3" s="1"/>
  <c r="B10" i="27" s="1"/>
  <c r="AA70" i="48"/>
  <c r="AB70" i="48" s="1"/>
  <c r="AA58" i="48"/>
  <c r="AB58" i="48" s="1"/>
  <c r="AA74" i="48"/>
  <c r="AB74" i="48" s="1"/>
  <c r="AA111" i="48"/>
  <c r="AB111" i="48" s="1"/>
  <c r="G17" i="44"/>
  <c r="F18" i="44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F38" i="44" s="1"/>
  <c r="F39" i="44" s="1"/>
  <c r="F40" i="44" s="1"/>
  <c r="F41" i="44" s="1"/>
  <c r="F42" i="44" s="1"/>
  <c r="F43" i="44" s="1"/>
  <c r="F44" i="44" s="1"/>
  <c r="F45" i="44" s="1"/>
  <c r="F46" i="44" s="1"/>
  <c r="F47" i="44" s="1"/>
  <c r="AA190" i="48"/>
  <c r="AB190" i="48" s="1"/>
  <c r="AW176" i="40"/>
  <c r="AW188" i="40" s="1"/>
  <c r="AW192" i="40" s="1"/>
  <c r="V188" i="40"/>
  <c r="V192" i="40" s="1"/>
  <c r="B30" i="27"/>
  <c r="I62" i="20"/>
  <c r="B29" i="27"/>
  <c r="I52" i="19"/>
  <c r="I54" i="19" s="1"/>
  <c r="C25" i="24" s="1"/>
  <c r="B28" i="27"/>
  <c r="I48" i="18"/>
  <c r="AU188" i="40"/>
  <c r="AU192" i="40" s="1"/>
  <c r="B26" i="27"/>
  <c r="I60" i="16"/>
  <c r="B25" i="27"/>
  <c r="I93" i="37"/>
  <c r="D8" i="32"/>
  <c r="I80" i="37"/>
  <c r="I90" i="37" s="1"/>
  <c r="I54" i="22"/>
  <c r="AN21" i="40"/>
  <c r="AN29" i="40" s="1"/>
  <c r="H10" i="31"/>
  <c r="H14" i="31" s="1"/>
  <c r="E14" i="31"/>
  <c r="E18" i="31" s="1"/>
  <c r="E20" i="31" s="1"/>
  <c r="C19" i="27"/>
  <c r="I52" i="10"/>
  <c r="C15" i="24" s="1"/>
  <c r="G23" i="23"/>
  <c r="I17" i="29"/>
  <c r="I21" i="29" s="1"/>
  <c r="I23" i="29" s="1"/>
  <c r="J10" i="7"/>
  <c r="H23" i="7"/>
  <c r="J29" i="7"/>
  <c r="H50" i="7"/>
  <c r="AF18" i="40"/>
  <c r="AF21" i="40" s="1"/>
  <c r="AF29" i="40" s="1"/>
  <c r="AF192" i="40" s="1"/>
  <c r="J17" i="29"/>
  <c r="J21" i="29" s="1"/>
  <c r="J23" i="29" s="1"/>
  <c r="J8" i="30"/>
  <c r="J11" i="30" s="1"/>
  <c r="I59" i="11"/>
  <c r="I69" i="11" s="1"/>
  <c r="I51" i="54"/>
  <c r="B18" i="27"/>
  <c r="J97" i="7"/>
  <c r="J110" i="7" s="1"/>
  <c r="H110" i="7"/>
  <c r="J115" i="7"/>
  <c r="J136" i="7" s="1"/>
  <c r="H136" i="7"/>
  <c r="N14" i="29"/>
  <c r="F14" i="40"/>
  <c r="C15" i="29"/>
  <c r="N18" i="29"/>
  <c r="B10" i="28" s="1"/>
  <c r="D10" i="28" s="1"/>
  <c r="C12" i="27"/>
  <c r="G15" i="23"/>
  <c r="I54" i="9"/>
  <c r="C8" i="24" s="1"/>
  <c r="F10" i="40"/>
  <c r="F18" i="40" s="1"/>
  <c r="F21" i="40" s="1"/>
  <c r="F29" i="40" s="1"/>
  <c r="C13" i="29"/>
  <c r="C17" i="29" s="1"/>
  <c r="C21" i="29" s="1"/>
  <c r="C23" i="29" s="1"/>
  <c r="I98" i="43"/>
  <c r="I100" i="43" s="1"/>
  <c r="I108" i="43" s="1"/>
  <c r="B11" i="27" s="1"/>
  <c r="N20" i="29"/>
  <c r="B9" i="28" s="1"/>
  <c r="D9" i="28" s="1"/>
  <c r="AA86" i="48"/>
  <c r="AB86" i="48" s="1"/>
  <c r="AA94" i="48"/>
  <c r="AB94" i="48" s="1"/>
  <c r="AA172" i="48"/>
  <c r="AB172" i="48" s="1"/>
  <c r="AA198" i="48"/>
  <c r="AB198" i="48" s="1"/>
  <c r="I28" i="34"/>
  <c r="J33" i="40" s="1"/>
  <c r="C105" i="24"/>
  <c r="C106" i="24" s="1"/>
  <c r="C107" i="24" s="1"/>
  <c r="C160" i="24"/>
  <c r="C161" i="24" s="1"/>
  <c r="C162" i="24" s="1"/>
  <c r="I32" i="16"/>
  <c r="AN122" i="40" s="1"/>
  <c r="C149" i="24"/>
  <c r="C150" i="24" s="1"/>
  <c r="C151" i="24" s="1"/>
  <c r="I25" i="54"/>
  <c r="T33" i="40" s="1"/>
  <c r="I29" i="8"/>
  <c r="R33" i="40" s="1"/>
  <c r="C138" i="24"/>
  <c r="C139" i="24" s="1"/>
  <c r="C140" i="24" s="1"/>
  <c r="AA120" i="48"/>
  <c r="AB120" i="48" s="1"/>
  <c r="C116" i="24"/>
  <c r="C117" i="24" s="1"/>
  <c r="C118" i="24" s="1"/>
  <c r="AA57" i="48"/>
  <c r="AB57" i="48" s="1"/>
  <c r="AA69" i="48"/>
  <c r="AB69" i="48" s="1"/>
  <c r="AA77" i="48"/>
  <c r="AB77" i="48" s="1"/>
  <c r="AA67" i="48"/>
  <c r="AB67" i="48" s="1"/>
  <c r="AA75" i="48"/>
  <c r="AB75" i="48" s="1"/>
  <c r="N21" i="30"/>
  <c r="AA135" i="48"/>
  <c r="AB135" i="48" s="1"/>
  <c r="AA139" i="48"/>
  <c r="AB139" i="48" s="1"/>
  <c r="AA143" i="48"/>
  <c r="AB143" i="48" s="1"/>
  <c r="AA147" i="48"/>
  <c r="AB147" i="48" s="1"/>
  <c r="AA151" i="48"/>
  <c r="AB151" i="48" s="1"/>
  <c r="AA176" i="48"/>
  <c r="AB176" i="48" s="1"/>
  <c r="AA180" i="48"/>
  <c r="AB180" i="48" s="1"/>
  <c r="AA116" i="48"/>
  <c r="AB116" i="48" s="1"/>
  <c r="AA117" i="48"/>
  <c r="AB117" i="48" s="1"/>
  <c r="AA15" i="48"/>
  <c r="AB15" i="48" s="1"/>
  <c r="C94" i="24"/>
  <c r="C95" i="24" s="1"/>
  <c r="C96" i="24" s="1"/>
  <c r="D7" i="28"/>
  <c r="AA47" i="48"/>
  <c r="AB47" i="48" s="1"/>
  <c r="AA49" i="48"/>
  <c r="AB49" i="48" s="1"/>
  <c r="AA51" i="48"/>
  <c r="AB51" i="48" s="1"/>
  <c r="AA53" i="48"/>
  <c r="AB53" i="48" s="1"/>
  <c r="AA65" i="48"/>
  <c r="AB65" i="48" s="1"/>
  <c r="AA73" i="48"/>
  <c r="AB73" i="48" s="1"/>
  <c r="AA84" i="48"/>
  <c r="AB84" i="48" s="1"/>
  <c r="AA100" i="48"/>
  <c r="AB100" i="48" s="1"/>
  <c r="AA110" i="48"/>
  <c r="AB110" i="48" s="1"/>
  <c r="AA119" i="48"/>
  <c r="AB119" i="48" s="1"/>
  <c r="AA161" i="48"/>
  <c r="AB161" i="48" s="1"/>
  <c r="AA169" i="48"/>
  <c r="AB169" i="48" s="1"/>
  <c r="AA63" i="48"/>
  <c r="AB63" i="48" s="1"/>
  <c r="AA71" i="48"/>
  <c r="AB71" i="48" s="1"/>
  <c r="AA88" i="48"/>
  <c r="AB88" i="48" s="1"/>
  <c r="AA106" i="48"/>
  <c r="AB106" i="48" s="1"/>
  <c r="AA122" i="48"/>
  <c r="AB122" i="48" s="1"/>
  <c r="AA165" i="48"/>
  <c r="AB165" i="48" s="1"/>
  <c r="AA13" i="48"/>
  <c r="AB13" i="48" s="1"/>
  <c r="AA23" i="48"/>
  <c r="AB23" i="48" s="1"/>
  <c r="AA17" i="48"/>
  <c r="AB17" i="48" s="1"/>
  <c r="AA29" i="48"/>
  <c r="AB29" i="48" s="1"/>
  <c r="AA25" i="48"/>
  <c r="AB25" i="48" s="1"/>
  <c r="AA27" i="48"/>
  <c r="AB27" i="48" s="1"/>
  <c r="B14" i="27"/>
  <c r="J184" i="53"/>
  <c r="F17" i="29"/>
  <c r="AA11" i="48"/>
  <c r="S9" i="48"/>
  <c r="R29" i="40"/>
  <c r="D174" i="40"/>
  <c r="L18" i="40"/>
  <c r="H67" i="53"/>
  <c r="H88" i="53" s="1"/>
  <c r="H184" i="53" s="1"/>
  <c r="AA32" i="48"/>
  <c r="AB32" i="48" s="1"/>
  <c r="AA36" i="48"/>
  <c r="AB36" i="48" s="1"/>
  <c r="AA40" i="48"/>
  <c r="AB40" i="48" s="1"/>
  <c r="AA44" i="48"/>
  <c r="AB44" i="48" s="1"/>
  <c r="AA61" i="48"/>
  <c r="AB61" i="48" s="1"/>
  <c r="AA79" i="48"/>
  <c r="AB79" i="48" s="1"/>
  <c r="AA81" i="48"/>
  <c r="AB81" i="48" s="1"/>
  <c r="AA103" i="48"/>
  <c r="AB103" i="48" s="1"/>
  <c r="AA104" i="48"/>
  <c r="AB104" i="48" s="1"/>
  <c r="AA105" i="48"/>
  <c r="AB105" i="48" s="1"/>
  <c r="AA112" i="48"/>
  <c r="AB112" i="48" s="1"/>
  <c r="AA113" i="48"/>
  <c r="AB113" i="48" s="1"/>
  <c r="AA123" i="48"/>
  <c r="AB123" i="48" s="1"/>
  <c r="AA128" i="48"/>
  <c r="AB128" i="48" s="1"/>
  <c r="AA129" i="48"/>
  <c r="AB129" i="48" s="1"/>
  <c r="AA134" i="48"/>
  <c r="AB134" i="48" s="1"/>
  <c r="AA136" i="48"/>
  <c r="AB136" i="48" s="1"/>
  <c r="AA138" i="48"/>
  <c r="AB138" i="48" s="1"/>
  <c r="AA140" i="48"/>
  <c r="AB140" i="48" s="1"/>
  <c r="AA142" i="48"/>
  <c r="AB142" i="48" s="1"/>
  <c r="AA144" i="48"/>
  <c r="AB144" i="48" s="1"/>
  <c r="AA146" i="48"/>
  <c r="AB146" i="48" s="1"/>
  <c r="AA148" i="48"/>
  <c r="AB148" i="48" s="1"/>
  <c r="AA150" i="48"/>
  <c r="AB150" i="48" s="1"/>
  <c r="AA152" i="48"/>
  <c r="AB152" i="48" s="1"/>
  <c r="AA156" i="48"/>
  <c r="AB156" i="48" s="1"/>
  <c r="AA160" i="48"/>
  <c r="AB160" i="48" s="1"/>
  <c r="AA164" i="48"/>
  <c r="AB164" i="48" s="1"/>
  <c r="AA168" i="48"/>
  <c r="AB168" i="48" s="1"/>
  <c r="AA173" i="48"/>
  <c r="AB173" i="48" s="1"/>
  <c r="AA175" i="48"/>
  <c r="AB175" i="48" s="1"/>
  <c r="AA177" i="48"/>
  <c r="AB177" i="48" s="1"/>
  <c r="AA179" i="48"/>
  <c r="AB179" i="48" s="1"/>
  <c r="AA181" i="48"/>
  <c r="AB181" i="48" s="1"/>
  <c r="AA183" i="48"/>
  <c r="AB183" i="48" s="1"/>
  <c r="AA187" i="48"/>
  <c r="AB187" i="48" s="1"/>
  <c r="AA191" i="48"/>
  <c r="AB191" i="48" s="1"/>
  <c r="AA195" i="48"/>
  <c r="AB195" i="48" s="1"/>
  <c r="AA199" i="48"/>
  <c r="AB199" i="48" s="1"/>
  <c r="T9" i="48"/>
  <c r="U9" i="48"/>
  <c r="AA12" i="48"/>
  <c r="AB12" i="48" s="1"/>
  <c r="AA34" i="48"/>
  <c r="AB34" i="48" s="1"/>
  <c r="AA38" i="48"/>
  <c r="AB38" i="48" s="1"/>
  <c r="AA42" i="48"/>
  <c r="AB42" i="48" s="1"/>
  <c r="AA46" i="48"/>
  <c r="AB46" i="48" s="1"/>
  <c r="AA54" i="48"/>
  <c r="AB54" i="48" s="1"/>
  <c r="AA55" i="48"/>
  <c r="AB55" i="48" s="1"/>
  <c r="AA56" i="48"/>
  <c r="AB56" i="48" s="1"/>
  <c r="AA115" i="48"/>
  <c r="AB115" i="48" s="1"/>
  <c r="AA121" i="48"/>
  <c r="AB121" i="48" s="1"/>
  <c r="AA154" i="48"/>
  <c r="AB154" i="48" s="1"/>
  <c r="AA158" i="48"/>
  <c r="AB158" i="48" s="1"/>
  <c r="AA162" i="48"/>
  <c r="AB162" i="48" s="1"/>
  <c r="AA166" i="48"/>
  <c r="AB166" i="48" s="1"/>
  <c r="AA171" i="48"/>
  <c r="AB171" i="48" s="1"/>
  <c r="AA185" i="48"/>
  <c r="AB185" i="48" s="1"/>
  <c r="AA189" i="48"/>
  <c r="AB189" i="48" s="1"/>
  <c r="AA193" i="48"/>
  <c r="AB193" i="48" s="1"/>
  <c r="AA197" i="48"/>
  <c r="AB197" i="48" s="1"/>
  <c r="AA201" i="48"/>
  <c r="AB201" i="48" s="1"/>
  <c r="AA21" i="48"/>
  <c r="AB21" i="48" s="1"/>
  <c r="AA24" i="48"/>
  <c r="AB24" i="48" s="1"/>
  <c r="AA26" i="48"/>
  <c r="AB26" i="48" s="1"/>
  <c r="AA16" i="48"/>
  <c r="AB16" i="48" s="1"/>
  <c r="AA18" i="48"/>
  <c r="AB18" i="48" s="1"/>
  <c r="X54" i="47"/>
  <c r="C127" i="24" s="1"/>
  <c r="C128" i="24" s="1"/>
  <c r="C129" i="24" s="1"/>
  <c r="H18" i="31" l="1"/>
  <c r="H20" i="31" s="1"/>
  <c r="C8" i="28"/>
  <c r="C11" i="28" s="1"/>
  <c r="D12" i="27"/>
  <c r="I15" i="23"/>
  <c r="G24" i="23"/>
  <c r="C20" i="27"/>
  <c r="I74" i="11"/>
  <c r="C16" i="24" s="1"/>
  <c r="H67" i="7"/>
  <c r="H88" i="7" s="1"/>
  <c r="H184" i="7" s="1"/>
  <c r="C25" i="27"/>
  <c r="G29" i="23"/>
  <c r="I95" i="37"/>
  <c r="C21" i="24" s="1"/>
  <c r="G19" i="23"/>
  <c r="C15" i="27"/>
  <c r="I86" i="6"/>
  <c r="C11" i="24" s="1"/>
  <c r="C32" i="27"/>
  <c r="G39" i="23"/>
  <c r="I63" i="39"/>
  <c r="C28" i="24" s="1"/>
  <c r="N192" i="40"/>
  <c r="D31" i="27"/>
  <c r="I38" i="23"/>
  <c r="J50" i="7"/>
  <c r="H16" i="29" s="1"/>
  <c r="N16" i="29" s="1"/>
  <c r="P16" i="40"/>
  <c r="J23" i="7"/>
  <c r="P14" i="40"/>
  <c r="D19" i="27"/>
  <c r="I23" i="23"/>
  <c r="H8" i="32"/>
  <c r="D11" i="32"/>
  <c r="G18" i="44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G35" i="44" s="1"/>
  <c r="G36" i="44" s="1"/>
  <c r="G37" i="44" s="1"/>
  <c r="G38" i="44" s="1"/>
  <c r="G39" i="44" s="1"/>
  <c r="G40" i="44" s="1"/>
  <c r="G41" i="44" s="1"/>
  <c r="G42" i="44" s="1"/>
  <c r="G43" i="44" s="1"/>
  <c r="G44" i="44" s="1"/>
  <c r="G45" i="44" s="1"/>
  <c r="G46" i="44" s="1"/>
  <c r="G47" i="44" s="1"/>
  <c r="H17" i="44"/>
  <c r="C23" i="27"/>
  <c r="G27" i="23"/>
  <c r="I58" i="13"/>
  <c r="C19" i="24" s="1"/>
  <c r="I28" i="23"/>
  <c r="D24" i="27"/>
  <c r="J65" i="7"/>
  <c r="H13" i="29" s="1"/>
  <c r="P10" i="40"/>
  <c r="C30" i="27"/>
  <c r="I64" i="20"/>
  <c r="C26" i="24" s="1"/>
  <c r="G37" i="23"/>
  <c r="G34" i="23"/>
  <c r="I50" i="18"/>
  <c r="C24" i="24" s="1"/>
  <c r="C28" i="27"/>
  <c r="D29" i="27"/>
  <c r="I35" i="23"/>
  <c r="F18" i="32"/>
  <c r="F22" i="32" s="1"/>
  <c r="F24" i="32" s="1"/>
  <c r="H12" i="32"/>
  <c r="H18" i="32" s="1"/>
  <c r="C27" i="27"/>
  <c r="G32" i="23"/>
  <c r="I52" i="17"/>
  <c r="C23" i="24" s="1"/>
  <c r="X192" i="40"/>
  <c r="L21" i="40"/>
  <c r="G34" i="16" a="1"/>
  <c r="G34" i="16" s="1"/>
  <c r="G46" i="52" a="1"/>
  <c r="G46" i="52" s="1"/>
  <c r="G52" i="52" s="1"/>
  <c r="G30" i="34" a="1"/>
  <c r="G30" i="34" s="1"/>
  <c r="M36" i="47" a="1"/>
  <c r="M36" i="47" s="1"/>
  <c r="M42" i="47" s="1"/>
  <c r="T36" i="47" a="1"/>
  <c r="T36" i="47" s="1"/>
  <c r="T42" i="47" s="1"/>
  <c r="T46" i="52" a="1"/>
  <c r="T46" i="52" s="1"/>
  <c r="T52" i="52" s="1"/>
  <c r="G13" i="4" a="1"/>
  <c r="G13" i="4" s="1"/>
  <c r="I95" i="52" a="1"/>
  <c r="I95" i="52" s="1"/>
  <c r="I102" i="52" s="1"/>
  <c r="G300" i="42" a="1"/>
  <c r="G300" i="42" s="1"/>
  <c r="V36" i="52" a="1"/>
  <c r="V36" i="52" s="1"/>
  <c r="V42" i="52" s="1"/>
  <c r="G818" i="4" a="1"/>
  <c r="G818" i="4" s="1"/>
  <c r="J16" i="52" a="1"/>
  <c r="J16" i="52" s="1"/>
  <c r="J22" i="52" s="1"/>
  <c r="P16" i="47" a="1"/>
  <c r="P16" i="47" s="1"/>
  <c r="P22" i="47" s="1"/>
  <c r="P46" i="47" a="1"/>
  <c r="P46" i="47" s="1"/>
  <c r="P52" i="47" s="1"/>
  <c r="G389" i="5" a="1"/>
  <c r="G389" i="5" s="1"/>
  <c r="R72" i="47" a="1"/>
  <c r="R72" i="47" s="1"/>
  <c r="R79" i="47" s="1"/>
  <c r="E26" i="47" a="1"/>
  <c r="E26" i="47" s="1"/>
  <c r="E32" i="47" s="1"/>
  <c r="D83" i="47" a="1"/>
  <c r="D83" i="47" s="1"/>
  <c r="F26" i="47" a="1"/>
  <c r="F26" i="47" s="1"/>
  <c r="F32" i="47" s="1"/>
  <c r="N36" i="47" a="1"/>
  <c r="N36" i="47" s="1"/>
  <c r="N42" i="47" s="1"/>
  <c r="O46" i="52" a="1"/>
  <c r="O46" i="52" s="1"/>
  <c r="O52" i="52" s="1"/>
  <c r="G83" i="47" a="1"/>
  <c r="G83" i="47" s="1"/>
  <c r="G89" i="47" s="1"/>
  <c r="G192" i="41" a="1"/>
  <c r="G192" i="41" s="1"/>
  <c r="J56" i="52" a="1"/>
  <c r="J56" i="52" s="1"/>
  <c r="J62" i="52" s="1"/>
  <c r="O46" i="47" a="1"/>
  <c r="O46" i="47" s="1"/>
  <c r="O52" i="47" s="1"/>
  <c r="Q95" i="47" a="1"/>
  <c r="Q95" i="47" s="1"/>
  <c r="Q102" i="47" s="1"/>
  <c r="G49" i="41" a="1"/>
  <c r="G49" i="41" s="1"/>
  <c r="U72" i="52" a="1"/>
  <c r="U72" i="52" s="1"/>
  <c r="U79" i="52" s="1"/>
  <c r="E95" i="47" a="1"/>
  <c r="E95" i="47" s="1"/>
  <c r="E102" i="47" s="1"/>
  <c r="R83" i="47" a="1"/>
  <c r="R83" i="47" s="1"/>
  <c r="R89" i="47" s="1"/>
  <c r="G358" i="41" a="1"/>
  <c r="G358" i="41" s="1"/>
  <c r="L83" i="52" a="1"/>
  <c r="L83" i="52" s="1"/>
  <c r="L89" i="52" s="1"/>
  <c r="G1040" i="42" a="1"/>
  <c r="G1040" i="42" s="1"/>
  <c r="I36" i="52" a="1"/>
  <c r="I36" i="52" s="1"/>
  <c r="I42" i="52" s="1"/>
  <c r="C109" i="24" a="1"/>
  <c r="C109" i="24" s="1"/>
  <c r="T36" i="52" a="1"/>
  <c r="T36" i="52" s="1"/>
  <c r="T42" i="52" s="1"/>
  <c r="N26" i="47" a="1"/>
  <c r="N26" i="47" s="1"/>
  <c r="N32" i="47" s="1"/>
  <c r="S46" i="47" a="1"/>
  <c r="S46" i="47" s="1"/>
  <c r="S52" i="47" s="1"/>
  <c r="M95" i="47" a="1"/>
  <c r="M95" i="47" s="1"/>
  <c r="M102" i="47" s="1"/>
  <c r="R46" i="52" a="1"/>
  <c r="R46" i="52" s="1"/>
  <c r="R52" i="52" s="1"/>
  <c r="P36" i="47" a="1"/>
  <c r="P36" i="47" s="1"/>
  <c r="P42" i="47" s="1"/>
  <c r="V46" i="52" a="1"/>
  <c r="V46" i="52" s="1"/>
  <c r="V52" i="52" s="1"/>
  <c r="G1040" i="4" a="1"/>
  <c r="G1040" i="4" s="1"/>
  <c r="V16" i="52" a="1"/>
  <c r="V16" i="52" s="1"/>
  <c r="V22" i="52" s="1"/>
  <c r="M26" i="47" a="1"/>
  <c r="M26" i="47" s="1"/>
  <c r="M32" i="47" s="1"/>
  <c r="I26" i="52" a="1"/>
  <c r="I26" i="52" s="1"/>
  <c r="I32" i="52" s="1"/>
  <c r="J72" i="52" a="1"/>
  <c r="J72" i="52" s="1"/>
  <c r="J79" i="52" s="1"/>
  <c r="L16" i="47" a="1"/>
  <c r="L16" i="47" s="1"/>
  <c r="L22" i="47" s="1"/>
  <c r="R46" i="47" a="1"/>
  <c r="R46" i="47" s="1"/>
  <c r="R52" i="47" s="1"/>
  <c r="U83" i="47" a="1"/>
  <c r="U83" i="47" s="1"/>
  <c r="U89" i="47" s="1"/>
  <c r="S56" i="47" a="1"/>
  <c r="S56" i="47" s="1"/>
  <c r="S62" i="47" s="1"/>
  <c r="V26" i="52" a="1"/>
  <c r="V26" i="52" s="1"/>
  <c r="V32" i="52" s="1"/>
  <c r="Q56" i="47" a="1"/>
  <c r="Q56" i="47" s="1"/>
  <c r="Q62" i="47" s="1"/>
  <c r="D46" i="52" a="1"/>
  <c r="D46" i="52" s="1"/>
  <c r="I16" i="47" a="1"/>
  <c r="I16" i="47" s="1"/>
  <c r="I22" i="47" s="1"/>
  <c r="N56" i="47" a="1"/>
  <c r="N56" i="47" s="1"/>
  <c r="N62" i="47" s="1"/>
  <c r="N83" i="47" a="1"/>
  <c r="N83" i="47" s="1"/>
  <c r="N89" i="47" s="1"/>
  <c r="K46" i="47" a="1"/>
  <c r="K46" i="47" s="1"/>
  <c r="K52" i="47" s="1"/>
  <c r="U95" i="47" a="1"/>
  <c r="U95" i="47" s="1"/>
  <c r="U102" i="47" s="1"/>
  <c r="G855" i="4" a="1"/>
  <c r="G855" i="4" s="1"/>
  <c r="S95" i="52" a="1"/>
  <c r="S95" i="52" s="1"/>
  <c r="S102" i="52" s="1"/>
  <c r="C87" i="24" a="1"/>
  <c r="C87" i="24" s="1"/>
  <c r="Q83" i="47" a="1"/>
  <c r="Q83" i="47" s="1"/>
  <c r="Q89" i="47" s="1"/>
  <c r="Q26" i="47" a="1"/>
  <c r="Q26" i="47" s="1"/>
  <c r="Q32" i="47" s="1"/>
  <c r="L72" i="47" a="1"/>
  <c r="L72" i="47" s="1"/>
  <c r="L79" i="47" s="1"/>
  <c r="G389" i="41" a="1"/>
  <c r="G389" i="41" s="1"/>
  <c r="N83" i="52" a="1"/>
  <c r="N83" i="52" s="1"/>
  <c r="N89" i="52" s="1"/>
  <c r="U56" i="47" a="1"/>
  <c r="U56" i="47" s="1"/>
  <c r="U62" i="47" s="1"/>
  <c r="U36" i="52" a="1"/>
  <c r="U36" i="52" s="1"/>
  <c r="U42" i="52" s="1"/>
  <c r="P46" i="52" a="1"/>
  <c r="P46" i="52" s="1"/>
  <c r="P52" i="52" s="1"/>
  <c r="G412" i="41" a="1"/>
  <c r="G412" i="41" s="1"/>
  <c r="P83" i="52" a="1"/>
  <c r="P83" i="52" s="1"/>
  <c r="P89" i="52" s="1"/>
  <c r="G558" i="42" a="1"/>
  <c r="G558" i="42" s="1"/>
  <c r="G818" i="42" a="1"/>
  <c r="G818" i="42" s="1"/>
  <c r="M72" i="47" a="1"/>
  <c r="M72" i="47" s="1"/>
  <c r="M79" i="47" s="1"/>
  <c r="L95" i="52" a="1"/>
  <c r="L95" i="52" s="1"/>
  <c r="L102" i="52" s="1"/>
  <c r="S16" i="47" a="1"/>
  <c r="S16" i="47" s="1"/>
  <c r="S22" i="47" s="1"/>
  <c r="D16" i="52" a="1"/>
  <c r="D16" i="52" s="1"/>
  <c r="P95" i="52" a="1"/>
  <c r="P95" i="52" s="1"/>
  <c r="P102" i="52" s="1"/>
  <c r="W16" i="47" a="1"/>
  <c r="W16" i="47" s="1"/>
  <c r="W22" i="47" s="1"/>
  <c r="K95" i="47" a="1"/>
  <c r="K95" i="47" s="1"/>
  <c r="K102" i="47" s="1"/>
  <c r="Q83" i="52" a="1"/>
  <c r="Q83" i="52" s="1"/>
  <c r="Q89" i="52" s="1"/>
  <c r="C120" i="24" a="1"/>
  <c r="C120" i="24" s="1"/>
  <c r="G121" i="42" a="1"/>
  <c r="G121" i="42" s="1"/>
  <c r="G77" i="34" a="1"/>
  <c r="G77" i="34" s="1"/>
  <c r="Q16" i="47" a="1"/>
  <c r="Q16" i="47" s="1"/>
  <c r="Q22" i="47" s="1"/>
  <c r="V95" i="47" a="1"/>
  <c r="V95" i="47" s="1"/>
  <c r="V102" i="47" s="1"/>
  <c r="H26" i="52" a="1"/>
  <c r="H26" i="52" s="1"/>
  <c r="H32" i="52" s="1"/>
  <c r="R26" i="47" a="1"/>
  <c r="R26" i="47" s="1"/>
  <c r="R32" i="47" s="1"/>
  <c r="F56" i="47" a="1"/>
  <c r="F56" i="47" s="1"/>
  <c r="F62" i="47" s="1"/>
  <c r="F83" i="47" a="1"/>
  <c r="F83" i="47" s="1"/>
  <c r="F89" i="47" s="1"/>
  <c r="F36" i="47" a="1"/>
  <c r="F36" i="47" s="1"/>
  <c r="F42" i="47" s="1"/>
  <c r="S46" i="52" a="1"/>
  <c r="S46" i="52" s="1"/>
  <c r="S52" i="52" s="1"/>
  <c r="G157" i="4" a="1"/>
  <c r="G157" i="4" s="1"/>
  <c r="K95" i="52" a="1"/>
  <c r="K95" i="52" s="1"/>
  <c r="K102" i="52" s="1"/>
  <c r="G435" i="5" a="1"/>
  <c r="G435" i="5" s="1"/>
  <c r="G497" i="5" a="1"/>
  <c r="G497" i="5" s="1"/>
  <c r="K16" i="52" a="1"/>
  <c r="K16" i="52" s="1"/>
  <c r="K22" i="52" s="1"/>
  <c r="W72" i="47" a="1"/>
  <c r="W72" i="47" s="1"/>
  <c r="W79" i="47" s="1"/>
  <c r="K83" i="52" a="1"/>
  <c r="K83" i="52" s="1"/>
  <c r="K89" i="52" s="1"/>
  <c r="G95" i="47" a="1"/>
  <c r="G95" i="47" s="1"/>
  <c r="G102" i="47" s="1"/>
  <c r="I56" i="47" a="1"/>
  <c r="I56" i="47" s="1"/>
  <c r="I62" i="47" s="1"/>
  <c r="AA9" i="48"/>
  <c r="G46" i="47" a="1"/>
  <c r="G46" i="47" s="1"/>
  <c r="G52" i="47" s="1"/>
  <c r="L26" i="52" a="1"/>
  <c r="L26" i="52" s="1"/>
  <c r="L32" i="52" s="1"/>
  <c r="H95" i="47" a="1"/>
  <c r="H95" i="47" s="1"/>
  <c r="H102" i="47" s="1"/>
  <c r="N26" i="52" a="1"/>
  <c r="N26" i="52" s="1"/>
  <c r="N32" i="52" s="1"/>
  <c r="G328" i="5" a="1"/>
  <c r="G328" i="5" s="1"/>
  <c r="G929" i="42" a="1"/>
  <c r="G929" i="42" s="1"/>
  <c r="S72" i="47" a="1"/>
  <c r="S72" i="47" s="1"/>
  <c r="S79" i="47" s="1"/>
  <c r="L16" i="52" a="1"/>
  <c r="L16" i="52" s="1"/>
  <c r="L22" i="52" s="1"/>
  <c r="W36" i="52" a="1"/>
  <c r="W36" i="52" s="1"/>
  <c r="W42" i="52" s="1"/>
  <c r="U46" i="47" a="1"/>
  <c r="U46" i="47" s="1"/>
  <c r="U52" i="47" s="1"/>
  <c r="I72" i="52" a="1"/>
  <c r="I72" i="52" s="1"/>
  <c r="I79" i="52" s="1"/>
  <c r="G123" i="5" a="1"/>
  <c r="G123" i="5" s="1"/>
  <c r="J72" i="47" a="1"/>
  <c r="J72" i="47" s="1"/>
  <c r="J79" i="47" s="1"/>
  <c r="K83" i="47" a="1"/>
  <c r="K83" i="47" s="1"/>
  <c r="K89" i="47" s="1"/>
  <c r="G154" i="41" a="1"/>
  <c r="G154" i="41" s="1"/>
  <c r="H83" i="52" a="1"/>
  <c r="H83" i="52" s="1"/>
  <c r="H89" i="52" s="1"/>
  <c r="G12" i="5" a="1"/>
  <c r="G12" i="5" s="1"/>
  <c r="C142" i="24" a="1"/>
  <c r="C142" i="24" s="1"/>
  <c r="G49" i="42" a="1"/>
  <c r="G49" i="42" s="1"/>
  <c r="G632" i="4" a="1"/>
  <c r="G632" i="4" s="1"/>
  <c r="G670" i="42" a="1"/>
  <c r="G670" i="42" s="1"/>
  <c r="L36" i="52" a="1"/>
  <c r="L36" i="52" s="1"/>
  <c r="L42" i="52" s="1"/>
  <c r="W56" i="52" a="1"/>
  <c r="W56" i="52" s="1"/>
  <c r="W62" i="52" s="1"/>
  <c r="K16" i="47" a="1"/>
  <c r="K16" i="47" s="1"/>
  <c r="K22" i="47" s="1"/>
  <c r="T56" i="47" a="1"/>
  <c r="T56" i="47" s="1"/>
  <c r="T62" i="47" s="1"/>
  <c r="U36" i="47" a="1"/>
  <c r="U36" i="47" s="1"/>
  <c r="U42" i="47" s="1"/>
  <c r="J83" i="47" a="1"/>
  <c r="J83" i="47" s="1"/>
  <c r="J89" i="47" s="1"/>
  <c r="G86" i="41" a="1"/>
  <c r="G86" i="41" s="1"/>
  <c r="W72" i="52" a="1"/>
  <c r="W72" i="52" s="1"/>
  <c r="W79" i="52" s="1"/>
  <c r="G154" i="5" a="1"/>
  <c r="G154" i="5" s="1"/>
  <c r="G228" i="4" a="1"/>
  <c r="G228" i="4" s="1"/>
  <c r="S16" i="52" a="1"/>
  <c r="S16" i="52" s="1"/>
  <c r="S22" i="52" s="1"/>
  <c r="G26" i="52" a="1"/>
  <c r="G26" i="52" s="1"/>
  <c r="G32" i="52" s="1"/>
  <c r="S83" i="52" a="1"/>
  <c r="S83" i="52" s="1"/>
  <c r="S89" i="52" s="1"/>
  <c r="G558" i="4" a="1"/>
  <c r="G558" i="4" s="1"/>
  <c r="G336" i="42" a="1"/>
  <c r="G336" i="42" s="1"/>
  <c r="J36" i="52" a="1"/>
  <c r="J36" i="52" s="1"/>
  <c r="J42" i="52" s="1"/>
  <c r="W46" i="52" a="1"/>
  <c r="W46" i="52" s="1"/>
  <c r="W52" i="52" s="1"/>
  <c r="G31" i="8" a="1"/>
  <c r="G31" i="8" s="1"/>
  <c r="U83" i="52" a="1"/>
  <c r="U83" i="52" s="1"/>
  <c r="U89" i="52" s="1"/>
  <c r="H26" i="47" a="1"/>
  <c r="H26" i="47" s="1"/>
  <c r="H32" i="47" s="1"/>
  <c r="H56" i="47" a="1"/>
  <c r="H56" i="47" s="1"/>
  <c r="H62" i="47" s="1"/>
  <c r="N72" i="52" a="1"/>
  <c r="N72" i="52" s="1"/>
  <c r="N79" i="52" s="1"/>
  <c r="T16" i="47" a="1"/>
  <c r="T16" i="47" s="1"/>
  <c r="T22" i="47" s="1"/>
  <c r="G892" i="4" a="1"/>
  <c r="G892" i="4" s="1"/>
  <c r="G95" i="52" a="1"/>
  <c r="G95" i="52" s="1"/>
  <c r="G102" i="52" s="1"/>
  <c r="G966" i="42" a="1"/>
  <c r="G966" i="42" s="1"/>
  <c r="E36" i="52" a="1"/>
  <c r="E36" i="52" s="1"/>
  <c r="E42" i="52" s="1"/>
  <c r="S26" i="47" a="1"/>
  <c r="S26" i="47" s="1"/>
  <c r="S32" i="47" s="1"/>
  <c r="D72" i="47" a="1"/>
  <c r="D72" i="47" s="1"/>
  <c r="G484" i="4" a="1"/>
  <c r="G484" i="4" s="1"/>
  <c r="G264" i="42" a="1"/>
  <c r="G264" i="42" s="1"/>
  <c r="H36" i="52" a="1"/>
  <c r="H36" i="52" s="1"/>
  <c r="H42" i="52" s="1"/>
  <c r="T83" i="47" a="1"/>
  <c r="T83" i="47" s="1"/>
  <c r="T89" i="47" s="1"/>
  <c r="S83" i="47" a="1"/>
  <c r="S83" i="47" s="1"/>
  <c r="S89" i="47" s="1"/>
  <c r="G484" i="42" a="1"/>
  <c r="G484" i="42" s="1"/>
  <c r="G781" i="42" a="1"/>
  <c r="G781" i="42" s="1"/>
  <c r="K72" i="47" a="1"/>
  <c r="K72" i="47" s="1"/>
  <c r="K79" i="47" s="1"/>
  <c r="L72" i="52" a="1"/>
  <c r="L72" i="52" s="1"/>
  <c r="L79" i="52" s="1"/>
  <c r="R36" i="47" a="1"/>
  <c r="R36" i="47" s="1"/>
  <c r="R42" i="47" s="1"/>
  <c r="M46" i="52" a="1"/>
  <c r="M46" i="52" s="1"/>
  <c r="M52" i="52" s="1"/>
  <c r="F95" i="52" a="1"/>
  <c r="F95" i="52" s="1"/>
  <c r="F102" i="52" s="1"/>
  <c r="M16" i="47" a="1"/>
  <c r="M16" i="47" s="1"/>
  <c r="M22" i="47" s="1"/>
  <c r="P83" i="47" a="1"/>
  <c r="P83" i="47" s="1"/>
  <c r="P89" i="47" s="1"/>
  <c r="V72" i="47" a="1"/>
  <c r="V72" i="47" s="1"/>
  <c r="V79" i="47" s="1"/>
  <c r="W46" i="47" a="1"/>
  <c r="W46" i="47" s="1"/>
  <c r="W52" i="47" s="1"/>
  <c r="U46" i="52" a="1"/>
  <c r="U46" i="52" s="1"/>
  <c r="U52" i="52" s="1"/>
  <c r="G123" i="41" a="1"/>
  <c r="G123" i="41" s="1"/>
  <c r="F83" i="52" a="1"/>
  <c r="F83" i="52" s="1"/>
  <c r="F89" i="52" s="1"/>
  <c r="R95" i="47" a="1"/>
  <c r="R95" i="47" s="1"/>
  <c r="R102" i="47" s="1"/>
  <c r="S26" i="52" a="1"/>
  <c r="S26" i="52" s="1"/>
  <c r="S32" i="52" s="1"/>
  <c r="M56" i="52" a="1"/>
  <c r="M56" i="52" s="1"/>
  <c r="M62" i="52" s="1"/>
  <c r="G256" i="5" a="1"/>
  <c r="G256" i="5" s="1"/>
  <c r="G466" i="5" a="1"/>
  <c r="G466" i="5" s="1"/>
  <c r="G410" i="4" a="1"/>
  <c r="G410" i="4" s="1"/>
  <c r="F36" i="52" a="1"/>
  <c r="F36" i="52" s="1"/>
  <c r="F42" i="52" s="1"/>
  <c r="O36" i="52" a="1"/>
  <c r="O36" i="52" s="1"/>
  <c r="O42" i="52" s="1"/>
  <c r="G328" i="41" a="1"/>
  <c r="G328" i="41" s="1"/>
  <c r="P56" i="52" a="1"/>
  <c r="P56" i="52" s="1"/>
  <c r="P62" i="52" s="1"/>
  <c r="G966" i="4" a="1"/>
  <c r="G966" i="4" s="1"/>
  <c r="R16" i="52" a="1"/>
  <c r="R16" i="52" s="1"/>
  <c r="R22" i="52" s="1"/>
  <c r="G13" i="42" a="1"/>
  <c r="G13" i="42" s="1"/>
  <c r="G707" i="42" a="1"/>
  <c r="G707" i="42" s="1"/>
  <c r="G72" i="47" a="1"/>
  <c r="G72" i="47" s="1"/>
  <c r="G79" i="47" s="1"/>
  <c r="P72" i="52" a="1"/>
  <c r="P72" i="52" s="1"/>
  <c r="P79" i="52" s="1"/>
  <c r="O36" i="47" a="1"/>
  <c r="O36" i="47" s="1"/>
  <c r="O42" i="47" s="1"/>
  <c r="E16" i="52" a="1"/>
  <c r="E16" i="52" s="1"/>
  <c r="E22" i="52" s="1"/>
  <c r="Q26" i="52" a="1"/>
  <c r="Q26" i="52" s="1"/>
  <c r="Q32" i="52" s="1"/>
  <c r="M83" i="52" a="1"/>
  <c r="M83" i="52" s="1"/>
  <c r="M89" i="52" s="1"/>
  <c r="O26" i="47" a="1"/>
  <c r="O26" i="47" s="1"/>
  <c r="O32" i="47" s="1"/>
  <c r="E72" i="47" a="1"/>
  <c r="E72" i="47" s="1"/>
  <c r="E79" i="47" s="1"/>
  <c r="T26" i="52" a="1"/>
  <c r="T26" i="52" s="1"/>
  <c r="T32" i="52" s="1"/>
  <c r="D56" i="47" a="1"/>
  <c r="D56" i="47" s="1"/>
  <c r="U56" i="52" a="1"/>
  <c r="U56" i="52" s="1"/>
  <c r="U62" i="52" s="1"/>
  <c r="K26" i="47" a="1"/>
  <c r="K26" i="47" s="1"/>
  <c r="K32" i="47" s="1"/>
  <c r="E36" i="47" a="1"/>
  <c r="E36" i="47" s="1"/>
  <c r="E42" i="47" s="1"/>
  <c r="F72" i="47" a="1"/>
  <c r="F72" i="47" s="1"/>
  <c r="F79" i="47" s="1"/>
  <c r="G72" i="52" a="1"/>
  <c r="G72" i="52" s="1"/>
  <c r="G79" i="52" s="1"/>
  <c r="G781" i="4" a="1"/>
  <c r="G781" i="4" s="1"/>
  <c r="Q95" i="52" a="1"/>
  <c r="Q95" i="52" s="1"/>
  <c r="Q102" i="52" s="1"/>
  <c r="K72" i="52" a="1"/>
  <c r="K72" i="52" s="1"/>
  <c r="K79" i="52" s="1"/>
  <c r="G336" i="4" a="1"/>
  <c r="G336" i="4" s="1"/>
  <c r="M95" i="52" a="1"/>
  <c r="M95" i="52" s="1"/>
  <c r="M102" i="52" s="1"/>
  <c r="I26" i="47" a="1"/>
  <c r="I26" i="47" s="1"/>
  <c r="I32" i="47" s="1"/>
  <c r="T72" i="47" a="1"/>
  <c r="T72" i="47" s="1"/>
  <c r="T79" i="47" s="1"/>
  <c r="G707" i="4" a="1"/>
  <c r="G707" i="4" s="1"/>
  <c r="O95" i="52" a="1"/>
  <c r="O95" i="52" s="1"/>
  <c r="O102" i="52" s="1"/>
  <c r="N95" i="47" a="1"/>
  <c r="N95" i="47" s="1"/>
  <c r="N102" i="47" s="1"/>
  <c r="U26" i="52" a="1"/>
  <c r="U26" i="52" s="1"/>
  <c r="U32" i="52" s="1"/>
  <c r="G410" i="42" a="1"/>
  <c r="G410" i="42" s="1"/>
  <c r="H56" i="52" a="1"/>
  <c r="H56" i="52" s="1"/>
  <c r="H62" i="52" s="1"/>
  <c r="G670" i="4" a="1"/>
  <c r="G670" i="4" s="1"/>
  <c r="W95" i="47" a="1"/>
  <c r="W95" i="47" s="1"/>
  <c r="W102" i="47" s="1"/>
  <c r="G632" i="42" a="1"/>
  <c r="G632" i="42" s="1"/>
  <c r="G855" i="42" a="1"/>
  <c r="G855" i="42" s="1"/>
  <c r="O72" i="47" a="1"/>
  <c r="O72" i="47" s="1"/>
  <c r="O79" i="47" s="1"/>
  <c r="H72" i="52" a="1"/>
  <c r="H72" i="52" s="1"/>
  <c r="H79" i="52" s="1"/>
  <c r="V46" i="47" a="1"/>
  <c r="V46" i="47" s="1"/>
  <c r="V52" i="47" s="1"/>
  <c r="I95" i="47" a="1"/>
  <c r="I95" i="47" s="1"/>
  <c r="I102" i="47" s="1"/>
  <c r="G264" i="4" a="1"/>
  <c r="G264" i="4" s="1"/>
  <c r="S95" i="47" a="1"/>
  <c r="S95" i="47" s="1"/>
  <c r="S102" i="47" s="1"/>
  <c r="U26" i="47" a="1"/>
  <c r="U26" i="47" s="1"/>
  <c r="U32" i="47" s="1"/>
  <c r="H72" i="47" a="1"/>
  <c r="H72" i="47" s="1"/>
  <c r="H79" i="47" s="1"/>
  <c r="G358" i="5" a="1"/>
  <c r="G358" i="5" s="1"/>
  <c r="G300" i="4" a="1"/>
  <c r="G300" i="4" s="1"/>
  <c r="U16" i="52" a="1"/>
  <c r="U16" i="52" s="1"/>
  <c r="U22" i="52" s="1"/>
  <c r="F46" i="52" a="1"/>
  <c r="F46" i="52" s="1"/>
  <c r="F52" i="52" s="1"/>
  <c r="J95" i="47" a="1"/>
  <c r="J95" i="47" s="1"/>
  <c r="J102" i="47" s="1"/>
  <c r="W26" i="52" a="1"/>
  <c r="W26" i="52" s="1"/>
  <c r="W32" i="52" s="1"/>
  <c r="I56" i="52" a="1"/>
  <c r="I56" i="52" s="1"/>
  <c r="I62" i="52" s="1"/>
  <c r="V26" i="47" a="1"/>
  <c r="V26" i="47" s="1"/>
  <c r="V32" i="47" s="1"/>
  <c r="D46" i="47" a="1"/>
  <c r="D46" i="47" s="1"/>
  <c r="T72" i="52" a="1"/>
  <c r="T72" i="52" s="1"/>
  <c r="T79" i="52" s="1"/>
  <c r="M56" i="47" a="1"/>
  <c r="M56" i="47" s="1"/>
  <c r="M62" i="47" s="1"/>
  <c r="E46" i="52" a="1"/>
  <c r="E46" i="52" s="1"/>
  <c r="E52" i="52" s="1"/>
  <c r="N95" i="52" a="1"/>
  <c r="N95" i="52" s="1"/>
  <c r="N102" i="52" s="1"/>
  <c r="U16" i="47" a="1"/>
  <c r="U16" i="47" s="1"/>
  <c r="U22" i="47" s="1"/>
  <c r="D26" i="52" a="1"/>
  <c r="D26" i="52" s="1"/>
  <c r="C153" i="24" a="1"/>
  <c r="C153" i="24" s="1"/>
  <c r="W83" i="52" a="1"/>
  <c r="W83" i="52" s="1"/>
  <c r="W89" i="52" s="1"/>
  <c r="H16" i="47" a="1"/>
  <c r="H16" i="47" s="1"/>
  <c r="H22" i="47" s="1"/>
  <c r="T46" i="47" a="1"/>
  <c r="T46" i="47" s="1"/>
  <c r="T52" i="47" s="1"/>
  <c r="L95" i="47" a="1"/>
  <c r="L95" i="47" s="1"/>
  <c r="L102" i="47" s="1"/>
  <c r="J26" i="52" a="1"/>
  <c r="J26" i="52" s="1"/>
  <c r="J32" i="52" s="1"/>
  <c r="G256" i="41" a="1"/>
  <c r="G256" i="41" s="1"/>
  <c r="N56" i="52" a="1"/>
  <c r="N56" i="52" s="1"/>
  <c r="N62" i="52" s="1"/>
  <c r="G86" i="5" a="1"/>
  <c r="G86" i="5" s="1"/>
  <c r="G193" i="4" a="1"/>
  <c r="G193" i="4" s="1"/>
  <c r="Q16" i="52" a="1"/>
  <c r="Q16" i="52" s="1"/>
  <c r="Q22" i="52" s="1"/>
  <c r="N46" i="52" a="1"/>
  <c r="N46" i="52" s="1"/>
  <c r="N52" i="52" s="1"/>
  <c r="F46" i="47" a="1"/>
  <c r="F46" i="47" s="1"/>
  <c r="F52" i="47" s="1"/>
  <c r="G49" i="5" a="1"/>
  <c r="G49" i="5" s="1"/>
  <c r="M36" i="52" a="1"/>
  <c r="M36" i="52" s="1"/>
  <c r="M42" i="52" s="1"/>
  <c r="R72" i="52" a="1"/>
  <c r="R72" i="52" s="1"/>
  <c r="R79" i="52" s="1"/>
  <c r="E46" i="47" a="1"/>
  <c r="E46" i="47" s="1"/>
  <c r="E52" i="47" s="1"/>
  <c r="Q72" i="52" a="1"/>
  <c r="Q72" i="52" s="1"/>
  <c r="Q79" i="52" s="1"/>
  <c r="G447" i="4" a="1"/>
  <c r="G447" i="4" s="1"/>
  <c r="E83" i="47" a="1"/>
  <c r="E83" i="47" s="1"/>
  <c r="E89" i="47" s="1"/>
  <c r="P95" i="47" a="1"/>
  <c r="P95" i="47" s="1"/>
  <c r="P102" i="47" s="1"/>
  <c r="F26" i="52" a="1"/>
  <c r="F26" i="52" s="1"/>
  <c r="F32" i="52" s="1"/>
  <c r="L46" i="47" a="1"/>
  <c r="L46" i="47" s="1"/>
  <c r="L52" i="47" s="1"/>
  <c r="O56" i="47" a="1"/>
  <c r="O56" i="47" s="1"/>
  <c r="O62" i="47" s="1"/>
  <c r="S36" i="52" a="1"/>
  <c r="S36" i="52" s="1"/>
  <c r="S42" i="52" s="1"/>
  <c r="W36" i="47" a="1"/>
  <c r="W36" i="47" s="1"/>
  <c r="W42" i="47" s="1"/>
  <c r="J56" i="47" a="1"/>
  <c r="J56" i="47" s="1"/>
  <c r="J62" i="47" s="1"/>
  <c r="U72" i="47" a="1"/>
  <c r="U72" i="47" s="1"/>
  <c r="U79" i="47" s="1"/>
  <c r="T95" i="52" a="1"/>
  <c r="T95" i="52" s="1"/>
  <c r="T102" i="52" s="1"/>
  <c r="H46" i="47" a="1"/>
  <c r="H46" i="47" s="1"/>
  <c r="H52" i="47" s="1"/>
  <c r="J26" i="47" a="1"/>
  <c r="J26" i="47" s="1"/>
  <c r="J32" i="47" s="1"/>
  <c r="R56" i="47" a="1"/>
  <c r="R56" i="47" s="1"/>
  <c r="R62" i="47" s="1"/>
  <c r="E26" i="52" a="1"/>
  <c r="E26" i="52" s="1"/>
  <c r="E32" i="52" s="1"/>
  <c r="I36" i="47" a="1"/>
  <c r="I36" i="47" s="1"/>
  <c r="I42" i="47" s="1"/>
  <c r="T95" i="47" a="1"/>
  <c r="T95" i="47" s="1"/>
  <c r="T102" i="47" s="1"/>
  <c r="P26" i="47" a="1"/>
  <c r="P26" i="47" s="1"/>
  <c r="P32" i="47" s="1"/>
  <c r="S36" i="47" a="1"/>
  <c r="S36" i="47" s="1"/>
  <c r="S42" i="47" s="1"/>
  <c r="F72" i="52" a="1"/>
  <c r="F72" i="52" s="1"/>
  <c r="F79" i="52" s="1"/>
  <c r="M46" i="47" a="1"/>
  <c r="M46" i="47" s="1"/>
  <c r="M52" i="47" s="1"/>
  <c r="M72" i="52" a="1"/>
  <c r="M72" i="52" s="1"/>
  <c r="M79" i="52" s="1"/>
  <c r="K56" i="52" a="1"/>
  <c r="K56" i="52" s="1"/>
  <c r="K62" i="52" s="1"/>
  <c r="G192" i="5" a="1"/>
  <c r="G192" i="5" s="1"/>
  <c r="E95" i="52" a="1"/>
  <c r="E95" i="52" s="1"/>
  <c r="E102" i="52" s="1"/>
  <c r="I83" i="52" a="1"/>
  <c r="I83" i="52" s="1"/>
  <c r="I89" i="52" s="1"/>
  <c r="G26" i="47" a="1"/>
  <c r="G26" i="47" s="1"/>
  <c r="G32" i="47" s="1"/>
  <c r="G27" i="54" a="1"/>
  <c r="G27" i="54" s="1"/>
  <c r="G1003" i="4" a="1"/>
  <c r="G1003" i="4" s="1"/>
  <c r="W95" i="52" a="1"/>
  <c r="W95" i="52" s="1"/>
  <c r="W102" i="52" s="1"/>
  <c r="G521" i="4" a="1"/>
  <c r="G521" i="4" s="1"/>
  <c r="I83" i="47" a="1"/>
  <c r="I83" i="47" s="1"/>
  <c r="I89" i="47" s="1"/>
  <c r="C98" i="24" a="1"/>
  <c r="C98" i="24" s="1"/>
  <c r="G193" i="42" a="1"/>
  <c r="G193" i="42" s="1"/>
  <c r="N36" i="52" a="1"/>
  <c r="N36" i="52" s="1"/>
  <c r="N42" i="52" s="1"/>
  <c r="G223" i="5" a="1"/>
  <c r="G223" i="5" s="1"/>
  <c r="G892" i="42" a="1"/>
  <c r="G892" i="42" s="1"/>
  <c r="Q72" i="47" a="1"/>
  <c r="Q72" i="47" s="1"/>
  <c r="Q79" i="47" s="1"/>
  <c r="O26" i="52" a="1"/>
  <c r="O26" i="52" s="1"/>
  <c r="O32" i="52" s="1"/>
  <c r="Q56" i="52" a="1"/>
  <c r="Q56" i="52" s="1"/>
  <c r="Q62" i="52" s="1"/>
  <c r="E16" i="47" a="1"/>
  <c r="E16" i="47" s="1"/>
  <c r="E22" i="47" s="1"/>
  <c r="H83" i="47" a="1"/>
  <c r="H83" i="47" s="1"/>
  <c r="H89" i="47" s="1"/>
  <c r="G36" i="52" a="1"/>
  <c r="G36" i="52" s="1"/>
  <c r="G42" i="52" s="1"/>
  <c r="N16" i="52" a="1"/>
  <c r="N16" i="52" s="1"/>
  <c r="N22" i="52" s="1"/>
  <c r="R16" i="47" a="1"/>
  <c r="R16" i="47" s="1"/>
  <c r="R22" i="47" s="1"/>
  <c r="R105" i="47" s="1"/>
  <c r="R108" i="47" s="1"/>
  <c r="R113" i="47" s="1"/>
  <c r="R117" i="47" s="1"/>
  <c r="L56" i="47" a="1"/>
  <c r="L56" i="47" s="1"/>
  <c r="L62" i="47" s="1"/>
  <c r="P26" i="52" a="1"/>
  <c r="P26" i="52" s="1"/>
  <c r="P32" i="52" s="1"/>
  <c r="N16" i="47" a="1"/>
  <c r="N16" i="47" s="1"/>
  <c r="N22" i="47" s="1"/>
  <c r="D36" i="52" a="1"/>
  <c r="D36" i="52" s="1"/>
  <c r="C164" i="24" a="1"/>
  <c r="C164" i="24" s="1"/>
  <c r="G497" i="41" a="1"/>
  <c r="G497" i="41" s="1"/>
  <c r="V83" i="52" a="1"/>
  <c r="V83" i="52" s="1"/>
  <c r="V89" i="52" s="1"/>
  <c r="E56" i="47" a="1"/>
  <c r="E56" i="47" s="1"/>
  <c r="E62" i="47" s="1"/>
  <c r="I46" i="52" a="1"/>
  <c r="I46" i="52" s="1"/>
  <c r="I52" i="52" s="1"/>
  <c r="J95" i="52" a="1"/>
  <c r="J95" i="52" s="1"/>
  <c r="J102" i="52" s="1"/>
  <c r="G56" i="47" a="1"/>
  <c r="G56" i="47" s="1"/>
  <c r="G62" i="47" s="1"/>
  <c r="L46" i="52" a="1"/>
  <c r="L46" i="52" s="1"/>
  <c r="L52" i="52" s="1"/>
  <c r="P56" i="47" a="1"/>
  <c r="P56" i="47" s="1"/>
  <c r="P62" i="47" s="1"/>
  <c r="V72" i="52" a="1"/>
  <c r="V72" i="52" s="1"/>
  <c r="V79" i="52" s="1"/>
  <c r="W26" i="47" a="1"/>
  <c r="W26" i="47" s="1"/>
  <c r="W32" i="47" s="1"/>
  <c r="P72" i="47" a="1"/>
  <c r="P72" i="47" s="1"/>
  <c r="P79" i="47" s="1"/>
  <c r="H95" i="52" a="1"/>
  <c r="H95" i="52" s="1"/>
  <c r="H102" i="52" s="1"/>
  <c r="G929" i="4" a="1"/>
  <c r="G929" i="4" s="1"/>
  <c r="U95" i="52" a="1"/>
  <c r="U95" i="52" s="1"/>
  <c r="U102" i="52" s="1"/>
  <c r="O83" i="47" a="1"/>
  <c r="O83" i="47" s="1"/>
  <c r="O89" i="47" s="1"/>
  <c r="G373" i="42" a="1"/>
  <c r="G373" i="42" s="1"/>
  <c r="F56" i="52" a="1"/>
  <c r="F56" i="52" s="1"/>
  <c r="F62" i="52" s="1"/>
  <c r="O16" i="52" a="1"/>
  <c r="O16" i="52" s="1"/>
  <c r="O22" i="52" s="1"/>
  <c r="T26" i="47" a="1"/>
  <c r="T26" i="47" s="1"/>
  <c r="T32" i="47" s="1"/>
  <c r="G36" i="47" a="1"/>
  <c r="G36" i="47" s="1"/>
  <c r="G42" i="47" s="1"/>
  <c r="K46" i="52" a="1"/>
  <c r="K46" i="52" s="1"/>
  <c r="K52" i="52" s="1"/>
  <c r="D95" i="52" a="1"/>
  <c r="D95" i="52" s="1"/>
  <c r="H16" i="52" a="1"/>
  <c r="H16" i="52" s="1"/>
  <c r="H22" i="52" s="1"/>
  <c r="J46" i="47" a="1"/>
  <c r="J46" i="47" s="1"/>
  <c r="J52" i="47" s="1"/>
  <c r="K26" i="52" a="1"/>
  <c r="K26" i="52" s="1"/>
  <c r="K32" i="52" s="1"/>
  <c r="D36" i="47" a="1"/>
  <c r="D36" i="47" s="1"/>
  <c r="S72" i="52" a="1"/>
  <c r="S72" i="52" s="1"/>
  <c r="S79" i="52" s="1"/>
  <c r="G373" i="4" a="1"/>
  <c r="G373" i="4" s="1"/>
  <c r="O56" i="52" a="1"/>
  <c r="O56" i="52" s="1"/>
  <c r="O62" i="52" s="1"/>
  <c r="G521" i="42" a="1"/>
  <c r="G521" i="42" s="1"/>
  <c r="G223" i="41" a="1"/>
  <c r="G223" i="41" s="1"/>
  <c r="G85" i="4" a="1"/>
  <c r="G85" i="4" s="1"/>
  <c r="I46" i="47" a="1"/>
  <c r="I46" i="47" s="1"/>
  <c r="I52" i="47" s="1"/>
  <c r="G296" i="41" a="1"/>
  <c r="G296" i="41" s="1"/>
  <c r="G447" i="42" a="1"/>
  <c r="G447" i="42" s="1"/>
  <c r="G296" i="5" a="1"/>
  <c r="G296" i="5" s="1"/>
  <c r="D26" i="47" a="1"/>
  <c r="D26" i="47" s="1"/>
  <c r="T83" i="52" a="1"/>
  <c r="T83" i="52" s="1"/>
  <c r="T89" i="52" s="1"/>
  <c r="G744" i="42" a="1"/>
  <c r="G744" i="42" s="1"/>
  <c r="D56" i="52" a="1"/>
  <c r="D56" i="52" s="1"/>
  <c r="G228" i="42" a="1"/>
  <c r="G228" i="42" s="1"/>
  <c r="J36" i="47" a="1"/>
  <c r="J36" i="47" s="1"/>
  <c r="J42" i="47" s="1"/>
  <c r="R95" i="52" a="1"/>
  <c r="R95" i="52" s="1"/>
  <c r="R102" i="52" s="1"/>
  <c r="R26" i="52" a="1"/>
  <c r="R26" i="52" s="1"/>
  <c r="R32" i="52" s="1"/>
  <c r="D95" i="47" a="1"/>
  <c r="D95" i="47" s="1"/>
  <c r="K36" i="52" a="1"/>
  <c r="K36" i="52" s="1"/>
  <c r="K42" i="52" s="1"/>
  <c r="R83" i="52" a="1"/>
  <c r="R83" i="52" s="1"/>
  <c r="R89" i="52" s="1"/>
  <c r="Q36" i="47" a="1"/>
  <c r="Q36" i="47" s="1"/>
  <c r="Q42" i="47" s="1"/>
  <c r="M83" i="47" a="1"/>
  <c r="M83" i="47" s="1"/>
  <c r="M89" i="47" s="1"/>
  <c r="H46" i="52" a="1"/>
  <c r="H46" i="52" s="1"/>
  <c r="H52" i="52" s="1"/>
  <c r="F16" i="52" a="1"/>
  <c r="F16" i="52" s="1"/>
  <c r="F22" i="52" s="1"/>
  <c r="F105" i="52" s="1"/>
  <c r="F108" i="52" s="1"/>
  <c r="F113" i="52" s="1"/>
  <c r="G83" i="52" a="1"/>
  <c r="G83" i="52" s="1"/>
  <c r="G89" i="52" s="1"/>
  <c r="L83" i="47" a="1"/>
  <c r="L83" i="47" s="1"/>
  <c r="L89" i="47" s="1"/>
  <c r="T16" i="52" a="1"/>
  <c r="T16" i="52" s="1"/>
  <c r="T22" i="52" s="1"/>
  <c r="G49" i="4" a="1"/>
  <c r="G49" i="4" s="1"/>
  <c r="F95" i="47" a="1"/>
  <c r="F95" i="47" s="1"/>
  <c r="F102" i="47" s="1"/>
  <c r="E83" i="52" a="1"/>
  <c r="E83" i="52" s="1"/>
  <c r="E89" i="52" s="1"/>
  <c r="K36" i="47" a="1"/>
  <c r="K36" i="47" s="1"/>
  <c r="K42" i="47" s="1"/>
  <c r="H36" i="47" a="1"/>
  <c r="H36" i="47" s="1"/>
  <c r="H42" i="47" s="1"/>
  <c r="S56" i="52" a="1"/>
  <c r="S56" i="52" s="1"/>
  <c r="S62" i="52" s="1"/>
  <c r="G85" i="42" a="1"/>
  <c r="G85" i="42" s="1"/>
  <c r="V16" i="47" a="1"/>
  <c r="V16" i="47" s="1"/>
  <c r="V22" i="47" s="1"/>
  <c r="O83" i="52" a="1"/>
  <c r="O83" i="52" s="1"/>
  <c r="O89" i="52" s="1"/>
  <c r="D72" i="52" a="1"/>
  <c r="D72" i="52" s="1"/>
  <c r="L26" i="47" a="1"/>
  <c r="L26" i="47" s="1"/>
  <c r="L32" i="47" s="1"/>
  <c r="G121" i="4" a="1"/>
  <c r="G121" i="4" s="1"/>
  <c r="G56" i="52" a="1"/>
  <c r="G56" i="52" s="1"/>
  <c r="G62" i="52" s="1"/>
  <c r="V36" i="47" a="1"/>
  <c r="V36" i="47" s="1"/>
  <c r="V42" i="47" s="1"/>
  <c r="G595" i="42" a="1"/>
  <c r="G595" i="42" s="1"/>
  <c r="V56" i="47" a="1"/>
  <c r="V56" i="47" s="1"/>
  <c r="V62" i="47" s="1"/>
  <c r="V83" i="47" a="1"/>
  <c r="V83" i="47" s="1"/>
  <c r="V89" i="47" s="1"/>
  <c r="V95" i="52" a="1"/>
  <c r="V95" i="52" s="1"/>
  <c r="V102" i="52" s="1"/>
  <c r="E56" i="52" a="1"/>
  <c r="E56" i="52" s="1"/>
  <c r="E62" i="52" s="1"/>
  <c r="G12" i="41" a="1"/>
  <c r="G12" i="41" s="1"/>
  <c r="G412" i="5" a="1"/>
  <c r="G412" i="5" s="1"/>
  <c r="W16" i="52" a="1"/>
  <c r="W16" i="52" s="1"/>
  <c r="W22" i="52" s="1"/>
  <c r="W105" i="52" s="1"/>
  <c r="W108" i="52" s="1"/>
  <c r="W113" i="52" s="1"/>
  <c r="W117" i="52" s="1"/>
  <c r="D16" i="47" a="1"/>
  <c r="D16" i="47" s="1"/>
  <c r="V56" i="52" a="1"/>
  <c r="V56" i="52" s="1"/>
  <c r="V62" i="52" s="1"/>
  <c r="L56" i="52" a="1"/>
  <c r="L56" i="52" s="1"/>
  <c r="L62" i="52" s="1"/>
  <c r="O95" i="47" a="1"/>
  <c r="O95" i="47" s="1"/>
  <c r="O102" i="47" s="1"/>
  <c r="O72" i="52" a="1"/>
  <c r="O72" i="52" s="1"/>
  <c r="O79" i="52" s="1"/>
  <c r="J83" i="52" a="1"/>
  <c r="J83" i="52" s="1"/>
  <c r="J89" i="52" s="1"/>
  <c r="T56" i="52" a="1"/>
  <c r="T56" i="52" s="1"/>
  <c r="T62" i="52" s="1"/>
  <c r="N72" i="47" a="1"/>
  <c r="N72" i="47" s="1"/>
  <c r="N79" i="47" s="1"/>
  <c r="G466" i="41" a="1"/>
  <c r="G466" i="41" s="1"/>
  <c r="G157" i="42" a="1"/>
  <c r="G157" i="42" s="1"/>
  <c r="I72" i="47" a="1"/>
  <c r="I72" i="47" s="1"/>
  <c r="I79" i="47" s="1"/>
  <c r="W83" i="47" a="1"/>
  <c r="W83" i="47" s="1"/>
  <c r="W89" i="47" s="1"/>
  <c r="R36" i="52" a="1"/>
  <c r="R36" i="52" s="1"/>
  <c r="R42" i="52" s="1"/>
  <c r="Q46" i="52" a="1"/>
  <c r="Q46" i="52" s="1"/>
  <c r="Q52" i="52" s="1"/>
  <c r="W56" i="47" a="1"/>
  <c r="W56" i="47" s="1"/>
  <c r="W62" i="47" s="1"/>
  <c r="F16" i="47" a="1"/>
  <c r="F16" i="47" s="1"/>
  <c r="F22" i="47" s="1"/>
  <c r="F105" i="47" s="1"/>
  <c r="F108" i="47" s="1"/>
  <c r="F113" i="47" s="1"/>
  <c r="G435" i="41" a="1"/>
  <c r="G435" i="41" s="1"/>
  <c r="I16" i="52" a="1"/>
  <c r="I16" i="52" s="1"/>
  <c r="I22" i="52" s="1"/>
  <c r="I105" i="52" s="1"/>
  <c r="I108" i="52" s="1"/>
  <c r="I113" i="52" s="1"/>
  <c r="M26" i="52" a="1"/>
  <c r="M26" i="52" s="1"/>
  <c r="M32" i="52" s="1"/>
  <c r="G595" i="4" a="1"/>
  <c r="G595" i="4" s="1"/>
  <c r="K56" i="47" a="1"/>
  <c r="K56" i="47" s="1"/>
  <c r="K62" i="47" s="1"/>
  <c r="G744" i="4" a="1"/>
  <c r="G744" i="4" s="1"/>
  <c r="J16" i="47" a="1"/>
  <c r="J16" i="47" s="1"/>
  <c r="J22" i="47" s="1"/>
  <c r="J105" i="47" s="1"/>
  <c r="J108" i="47" s="1"/>
  <c r="J113" i="47" s="1"/>
  <c r="Q46" i="47" a="1"/>
  <c r="Q46" i="47" s="1"/>
  <c r="Q52" i="47" s="1"/>
  <c r="D83" i="52" a="1"/>
  <c r="D83" i="52" s="1"/>
  <c r="G1003" i="42" a="1"/>
  <c r="G1003" i="42" s="1"/>
  <c r="M16" i="52" a="1"/>
  <c r="M16" i="52" s="1"/>
  <c r="M22" i="52" s="1"/>
  <c r="M105" i="52" s="1"/>
  <c r="M108" i="52" s="1"/>
  <c r="M113" i="52" s="1"/>
  <c r="Q36" i="52" a="1"/>
  <c r="Q36" i="52" s="1"/>
  <c r="Q42" i="52" s="1"/>
  <c r="J46" i="52" a="1"/>
  <c r="J46" i="52" s="1"/>
  <c r="J52" i="52" s="1"/>
  <c r="E72" i="52" a="1"/>
  <c r="E72" i="52" s="1"/>
  <c r="E79" i="52" s="1"/>
  <c r="G16" i="47" a="1"/>
  <c r="G16" i="47" s="1"/>
  <c r="G22" i="47" s="1"/>
  <c r="G105" i="47" s="1"/>
  <c r="G108" i="47" s="1"/>
  <c r="G113" i="47" s="1"/>
  <c r="R56" i="52" a="1"/>
  <c r="R56" i="52" s="1"/>
  <c r="R62" i="52" s="1"/>
  <c r="P16" i="52" a="1"/>
  <c r="P16" i="52" s="1"/>
  <c r="P22" i="52" s="1"/>
  <c r="L36" i="47" a="1"/>
  <c r="L36" i="47" s="1"/>
  <c r="L42" i="47" s="1"/>
  <c r="O16" i="47" a="1"/>
  <c r="O16" i="47" s="1"/>
  <c r="O22" i="47" s="1"/>
  <c r="O105" i="47" s="1"/>
  <c r="O108" i="47" s="1"/>
  <c r="O113" i="47" s="1"/>
  <c r="O117" i="47" s="1"/>
  <c r="G16" i="52" a="1"/>
  <c r="G16" i="52" s="1"/>
  <c r="G22" i="52" s="1"/>
  <c r="G105" i="52" s="1"/>
  <c r="G108" i="52" s="1"/>
  <c r="G113" i="52" s="1"/>
  <c r="P36" i="52" a="1"/>
  <c r="P36" i="52" s="1"/>
  <c r="P42" i="52" s="1"/>
  <c r="C131" i="24" a="1"/>
  <c r="C131" i="24" s="1"/>
  <c r="N46" i="47" a="1"/>
  <c r="N46" i="47" s="1"/>
  <c r="N52" i="47" s="1"/>
  <c r="AB11" i="48"/>
  <c r="AB9" i="48" s="1"/>
  <c r="F21" i="29"/>
  <c r="F23" i="29" s="1"/>
  <c r="D27" i="27" l="1"/>
  <c r="I32" i="23"/>
  <c r="D28" i="27"/>
  <c r="I34" i="23"/>
  <c r="P18" i="40"/>
  <c r="H15" i="29"/>
  <c r="N15" i="29" s="1"/>
  <c r="J67" i="7"/>
  <c r="J88" i="7" s="1"/>
  <c r="I39" i="23"/>
  <c r="D32" i="27"/>
  <c r="I19" i="23"/>
  <c r="D15" i="27"/>
  <c r="D25" i="27"/>
  <c r="I29" i="23"/>
  <c r="N105" i="52"/>
  <c r="N108" i="52" s="1"/>
  <c r="N113" i="52" s="1"/>
  <c r="N117" i="52" s="1"/>
  <c r="I37" i="23"/>
  <c r="D30" i="27"/>
  <c r="H17" i="29"/>
  <c r="N13" i="29"/>
  <c r="D23" i="27"/>
  <c r="I27" i="23"/>
  <c r="I17" i="44"/>
  <c r="H18" i="44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H36" i="44" s="1"/>
  <c r="H37" i="44" s="1"/>
  <c r="H38" i="44" s="1"/>
  <c r="H39" i="44" s="1"/>
  <c r="H40" i="44" s="1"/>
  <c r="H41" i="44" s="1"/>
  <c r="H42" i="44" s="1"/>
  <c r="H43" i="44" s="1"/>
  <c r="H44" i="44" s="1"/>
  <c r="H45" i="44" s="1"/>
  <c r="H46" i="44" s="1"/>
  <c r="H47" i="44" s="1"/>
  <c r="D22" i="32"/>
  <c r="H11" i="32"/>
  <c r="I24" i="23"/>
  <c r="D20" i="27"/>
  <c r="I1003" i="42"/>
  <c r="G1035" i="42"/>
  <c r="I1035" i="42" s="1"/>
  <c r="I744" i="4"/>
  <c r="G776" i="4"/>
  <c r="I776" i="4" s="1"/>
  <c r="I595" i="4"/>
  <c r="G627" i="4"/>
  <c r="I627" i="4" s="1"/>
  <c r="I117" i="52"/>
  <c r="H145" i="53"/>
  <c r="J145" i="53" s="1"/>
  <c r="H142" i="7"/>
  <c r="J142" i="7" s="1"/>
  <c r="F117" i="47"/>
  <c r="I157" i="42"/>
  <c r="G188" i="42"/>
  <c r="I188" i="42" s="1"/>
  <c r="I12" i="41"/>
  <c r="F43" i="40" s="1"/>
  <c r="F48" i="40" s="1"/>
  <c r="G44" i="41"/>
  <c r="G152" i="4"/>
  <c r="I152" i="4" s="1"/>
  <c r="I121" i="4"/>
  <c r="D79" i="52"/>
  <c r="X79" i="52" s="1"/>
  <c r="X72" i="52"/>
  <c r="D62" i="52"/>
  <c r="X62" i="52" s="1"/>
  <c r="X56" i="52"/>
  <c r="G323" i="5"/>
  <c r="I323" i="5" s="1"/>
  <c r="I296" i="5"/>
  <c r="D105" i="40" s="1"/>
  <c r="G323" i="41"/>
  <c r="I323" i="41" s="1"/>
  <c r="I296" i="41"/>
  <c r="F105" i="40" s="1"/>
  <c r="F110" i="40" s="1"/>
  <c r="G116" i="4"/>
  <c r="I116" i="4" s="1"/>
  <c r="I85" i="4"/>
  <c r="I521" i="42"/>
  <c r="G553" i="42"/>
  <c r="I553" i="42" s="1"/>
  <c r="G405" i="4"/>
  <c r="I405" i="4" s="1"/>
  <c r="I373" i="4"/>
  <c r="D42" i="47"/>
  <c r="X42" i="47" s="1"/>
  <c r="X36" i="47"/>
  <c r="X95" i="52"/>
  <c r="D102" i="52"/>
  <c r="X102" i="52" s="1"/>
  <c r="I373" i="42"/>
  <c r="G405" i="42"/>
  <c r="I405" i="42" s="1"/>
  <c r="G251" i="5"/>
  <c r="I251" i="5" s="1"/>
  <c r="B14" i="30" s="1"/>
  <c r="I223" i="5"/>
  <c r="D87" i="40" s="1"/>
  <c r="I193" i="42"/>
  <c r="G223" i="42"/>
  <c r="C154" i="24"/>
  <c r="G38" i="54"/>
  <c r="G48" i="54" s="1"/>
  <c r="G53" i="54" s="1"/>
  <c r="I27" i="54"/>
  <c r="G218" i="5"/>
  <c r="I218" i="5" s="1"/>
  <c r="I192" i="5"/>
  <c r="D79" i="40" s="1"/>
  <c r="G81" i="5"/>
  <c r="I81" i="5" s="1"/>
  <c r="I49" i="5"/>
  <c r="I193" i="4"/>
  <c r="G223" i="4"/>
  <c r="I223" i="4" s="1"/>
  <c r="X26" i="52"/>
  <c r="D32" i="52"/>
  <c r="X32" i="52" s="1"/>
  <c r="X46" i="47"/>
  <c r="D52" i="47"/>
  <c r="X52" i="47" s="1"/>
  <c r="I358" i="5"/>
  <c r="D123" i="40" s="1"/>
  <c r="G384" i="5"/>
  <c r="I384" i="5" s="1"/>
  <c r="B16" i="30" s="1"/>
  <c r="I264" i="4"/>
  <c r="G295" i="4"/>
  <c r="I295" i="4" s="1"/>
  <c r="G665" i="42"/>
  <c r="I665" i="42" s="1"/>
  <c r="I632" i="42"/>
  <c r="G702" i="4"/>
  <c r="I702" i="4" s="1"/>
  <c r="I670" i="4"/>
  <c r="I410" i="42"/>
  <c r="G442" i="42"/>
  <c r="I442" i="42" s="1"/>
  <c r="I707" i="4"/>
  <c r="G739" i="4"/>
  <c r="I739" i="4" s="1"/>
  <c r="G367" i="4"/>
  <c r="I367" i="4" s="1"/>
  <c r="I336" i="4"/>
  <c r="I13" i="42"/>
  <c r="C99" i="24"/>
  <c r="G44" i="42"/>
  <c r="I966" i="4"/>
  <c r="G998" i="4"/>
  <c r="I998" i="4" s="1"/>
  <c r="I328" i="41"/>
  <c r="F114" i="40" s="1"/>
  <c r="F119" i="40" s="1"/>
  <c r="G353" i="41"/>
  <c r="I353" i="41" s="1"/>
  <c r="I466" i="5"/>
  <c r="D149" i="40" s="1"/>
  <c r="G492" i="5"/>
  <c r="I492" i="5" s="1"/>
  <c r="I123" i="41"/>
  <c r="F61" i="40" s="1"/>
  <c r="F66" i="40" s="1"/>
  <c r="G149" i="41"/>
  <c r="I149" i="41" s="1"/>
  <c r="C13" i="30" s="1"/>
  <c r="I484" i="42"/>
  <c r="G516" i="42"/>
  <c r="I516" i="42" s="1"/>
  <c r="G295" i="42"/>
  <c r="I295" i="42" s="1"/>
  <c r="I264" i="42"/>
  <c r="X72" i="47"/>
  <c r="D79" i="47"/>
  <c r="X79" i="47" s="1"/>
  <c r="I336" i="42"/>
  <c r="G367" i="42"/>
  <c r="I367" i="42" s="1"/>
  <c r="I154" i="5"/>
  <c r="D70" i="40" s="1"/>
  <c r="G187" i="5"/>
  <c r="I187" i="5" s="1"/>
  <c r="B10" i="30" s="1"/>
  <c r="I86" i="41"/>
  <c r="G118" i="41"/>
  <c r="I118" i="41" s="1"/>
  <c r="I632" i="4"/>
  <c r="G665" i="4"/>
  <c r="I665" i="4" s="1"/>
  <c r="I123" i="5"/>
  <c r="D61" i="40" s="1"/>
  <c r="G149" i="5"/>
  <c r="I149" i="5" s="1"/>
  <c r="B13" i="30" s="1"/>
  <c r="I929" i="42"/>
  <c r="G961" i="42"/>
  <c r="I961" i="42" s="1"/>
  <c r="I497" i="5"/>
  <c r="D160" i="40" s="1"/>
  <c r="G525" i="5"/>
  <c r="I525" i="5" s="1"/>
  <c r="G111" i="34"/>
  <c r="I77" i="34"/>
  <c r="I558" i="42"/>
  <c r="G590" i="42"/>
  <c r="I590" i="42" s="1"/>
  <c r="I412" i="41"/>
  <c r="G430" i="41"/>
  <c r="I430" i="41" s="1"/>
  <c r="I1040" i="4"/>
  <c r="G1072" i="4"/>
  <c r="I1072" i="4" s="1"/>
  <c r="I1040" i="42"/>
  <c r="G1072" i="42"/>
  <c r="I1072" i="42" s="1"/>
  <c r="G384" i="41"/>
  <c r="I384" i="41" s="1"/>
  <c r="C16" i="30" s="1"/>
  <c r="I358" i="41"/>
  <c r="F123" i="40" s="1"/>
  <c r="F128" i="40" s="1"/>
  <c r="G81" i="41"/>
  <c r="I81" i="41" s="1"/>
  <c r="I49" i="41"/>
  <c r="F52" i="40" s="1"/>
  <c r="F57" i="40" s="1"/>
  <c r="I192" i="41"/>
  <c r="F79" i="40" s="1"/>
  <c r="F84" i="40" s="1"/>
  <c r="G218" i="41"/>
  <c r="I218" i="41" s="1"/>
  <c r="G407" i="5"/>
  <c r="I407" i="5" s="1"/>
  <c r="I389" i="5"/>
  <c r="I818" i="4"/>
  <c r="G850" i="4"/>
  <c r="I850" i="4" s="1"/>
  <c r="I300" i="42"/>
  <c r="G331" i="42"/>
  <c r="I331" i="42" s="1"/>
  <c r="I13" i="4"/>
  <c r="C88" i="24"/>
  <c r="G44" i="4"/>
  <c r="C110" i="24"/>
  <c r="C111" i="24" s="1"/>
  <c r="C112" i="24" s="1"/>
  <c r="I30" i="34"/>
  <c r="G61" i="34"/>
  <c r="G116" i="34" s="1"/>
  <c r="G127" i="34" s="1"/>
  <c r="G132" i="34" s="1"/>
  <c r="C165" i="24"/>
  <c r="C166" i="24" s="1"/>
  <c r="C167" i="24" s="1"/>
  <c r="G47" i="16"/>
  <c r="G57" i="16" s="1"/>
  <c r="G62" i="16" s="1"/>
  <c r="I34" i="16"/>
  <c r="L29" i="40"/>
  <c r="V105" i="47"/>
  <c r="V108" i="47" s="1"/>
  <c r="V113" i="47" s="1"/>
  <c r="V117" i="47" s="1"/>
  <c r="T105" i="52"/>
  <c r="T108" i="52" s="1"/>
  <c r="T113" i="52" s="1"/>
  <c r="T117" i="52" s="1"/>
  <c r="O105" i="52"/>
  <c r="O108" i="52" s="1"/>
  <c r="O113" i="52" s="1"/>
  <c r="O117" i="52" s="1"/>
  <c r="N105" i="47"/>
  <c r="N108" i="47" s="1"/>
  <c r="N113" i="47" s="1"/>
  <c r="N117" i="47" s="1"/>
  <c r="U105" i="52"/>
  <c r="U108" i="52" s="1"/>
  <c r="U113" i="52" s="1"/>
  <c r="U117" i="52" s="1"/>
  <c r="T105" i="47"/>
  <c r="T108" i="47" s="1"/>
  <c r="T113" i="47" s="1"/>
  <c r="T117" i="47" s="1"/>
  <c r="S105" i="52"/>
  <c r="S108" i="52" s="1"/>
  <c r="S113" i="52" s="1"/>
  <c r="S117" i="52" s="1"/>
  <c r="K105" i="47"/>
  <c r="K108" i="47" s="1"/>
  <c r="K113" i="47" s="1"/>
  <c r="L105" i="52"/>
  <c r="L108" i="52" s="1"/>
  <c r="L113" i="52" s="1"/>
  <c r="S105" i="47"/>
  <c r="S108" i="47" s="1"/>
  <c r="S113" i="47" s="1"/>
  <c r="S117" i="47" s="1"/>
  <c r="I105" i="47"/>
  <c r="I108" i="47" s="1"/>
  <c r="I113" i="47" s="1"/>
  <c r="P105" i="47"/>
  <c r="P108" i="47" s="1"/>
  <c r="P113" i="47" s="1"/>
  <c r="P117" i="47" s="1"/>
  <c r="H143" i="53"/>
  <c r="J143" i="53" s="1"/>
  <c r="G117" i="52"/>
  <c r="H143" i="7"/>
  <c r="J143" i="7" s="1"/>
  <c r="G117" i="47"/>
  <c r="H149" i="53"/>
  <c r="J149" i="53" s="1"/>
  <c r="M117" i="52"/>
  <c r="D89" i="52"/>
  <c r="X89" i="52" s="1"/>
  <c r="X83" i="52"/>
  <c r="H146" i="7"/>
  <c r="J146" i="7" s="1"/>
  <c r="J117" i="47"/>
  <c r="I435" i="41"/>
  <c r="F140" i="40" s="1"/>
  <c r="F145" i="40" s="1"/>
  <c r="G461" i="41"/>
  <c r="I461" i="41" s="1"/>
  <c r="I466" i="41"/>
  <c r="F149" i="40" s="1"/>
  <c r="F154" i="40" s="1"/>
  <c r="G492" i="41"/>
  <c r="I492" i="41" s="1"/>
  <c r="X16" i="47"/>
  <c r="D22" i="47"/>
  <c r="I412" i="5"/>
  <c r="G430" i="5"/>
  <c r="I430" i="5" s="1"/>
  <c r="G627" i="42"/>
  <c r="I627" i="42" s="1"/>
  <c r="I595" i="42"/>
  <c r="I85" i="42"/>
  <c r="G116" i="42"/>
  <c r="I116" i="42" s="1"/>
  <c r="I49" i="4"/>
  <c r="G80" i="4"/>
  <c r="I80" i="4" s="1"/>
  <c r="H142" i="53"/>
  <c r="J142" i="53" s="1"/>
  <c r="F117" i="52"/>
  <c r="X95" i="47"/>
  <c r="D102" i="47"/>
  <c r="X102" i="47" s="1"/>
  <c r="I228" i="42"/>
  <c r="G259" i="42"/>
  <c r="I259" i="42" s="1"/>
  <c r="G776" i="42"/>
  <c r="I776" i="42" s="1"/>
  <c r="I744" i="42"/>
  <c r="D32" i="47"/>
  <c r="X32" i="47" s="1"/>
  <c r="X26" i="47"/>
  <c r="I447" i="42"/>
  <c r="G479" i="42"/>
  <c r="I479" i="42" s="1"/>
  <c r="I223" i="41"/>
  <c r="F87" i="40" s="1"/>
  <c r="F92" i="40" s="1"/>
  <c r="G251" i="41"/>
  <c r="I251" i="41" s="1"/>
  <c r="C14" i="30" s="1"/>
  <c r="I929" i="4"/>
  <c r="G961" i="4"/>
  <c r="I961" i="4" s="1"/>
  <c r="G525" i="41"/>
  <c r="I525" i="41" s="1"/>
  <c r="I497" i="41"/>
  <c r="F160" i="40" s="1"/>
  <c r="F165" i="40" s="1"/>
  <c r="X36" i="52"/>
  <c r="D42" i="52"/>
  <c r="X42" i="52" s="1"/>
  <c r="G924" i="42"/>
  <c r="I924" i="42" s="1"/>
  <c r="I892" i="42"/>
  <c r="I521" i="4"/>
  <c r="G553" i="4"/>
  <c r="I553" i="4" s="1"/>
  <c r="G1035" i="4"/>
  <c r="I1035" i="4" s="1"/>
  <c r="I1003" i="4"/>
  <c r="I447" i="4"/>
  <c r="G479" i="4"/>
  <c r="I479" i="4" s="1"/>
  <c r="G118" i="5"/>
  <c r="I118" i="5" s="1"/>
  <c r="I86" i="5"/>
  <c r="G291" i="41"/>
  <c r="I291" i="41" s="1"/>
  <c r="C15" i="30" s="1"/>
  <c r="I256" i="41"/>
  <c r="F96" i="40" s="1"/>
  <c r="F101" i="40" s="1"/>
  <c r="G331" i="4"/>
  <c r="I331" i="4" s="1"/>
  <c r="I300" i="4"/>
  <c r="I855" i="42"/>
  <c r="G887" i="42"/>
  <c r="I887" i="42" s="1"/>
  <c r="I781" i="4"/>
  <c r="G813" i="4"/>
  <c r="I813" i="4" s="1"/>
  <c r="D62" i="47"/>
  <c r="X62" i="47" s="1"/>
  <c r="X56" i="47"/>
  <c r="G739" i="42"/>
  <c r="I739" i="42" s="1"/>
  <c r="I707" i="42"/>
  <c r="I410" i="4"/>
  <c r="G442" i="4"/>
  <c r="I442" i="4" s="1"/>
  <c r="G291" i="5"/>
  <c r="I291" i="5" s="1"/>
  <c r="B15" i="30" s="1"/>
  <c r="I256" i="5"/>
  <c r="D96" i="40" s="1"/>
  <c r="G813" i="42"/>
  <c r="I813" i="42" s="1"/>
  <c r="I781" i="42"/>
  <c r="G516" i="4"/>
  <c r="I516" i="4" s="1"/>
  <c r="I484" i="4"/>
  <c r="G998" i="42"/>
  <c r="I966" i="42"/>
  <c r="I998" i="42" s="1"/>
  <c r="I892" i="4"/>
  <c r="G924" i="4"/>
  <c r="I924" i="4" s="1"/>
  <c r="I31" i="8"/>
  <c r="C143" i="24"/>
  <c r="C144" i="24" s="1"/>
  <c r="C145" i="24" s="1"/>
  <c r="G41" i="8"/>
  <c r="G57" i="8" s="1"/>
  <c r="G67" i="8" s="1"/>
  <c r="G72" i="8" s="1"/>
  <c r="G590" i="4"/>
  <c r="I590" i="4" s="1"/>
  <c r="I558" i="4"/>
  <c r="I228" i="4"/>
  <c r="G259" i="4"/>
  <c r="I259" i="4" s="1"/>
  <c r="I670" i="42"/>
  <c r="G702" i="42"/>
  <c r="I702" i="42" s="1"/>
  <c r="I49" i="42"/>
  <c r="G80" i="42"/>
  <c r="I80" i="42" s="1"/>
  <c r="I12" i="5"/>
  <c r="D43" i="40" s="1"/>
  <c r="G44" i="5"/>
  <c r="I154" i="41"/>
  <c r="F70" i="40" s="1"/>
  <c r="F75" i="40" s="1"/>
  <c r="G187" i="41"/>
  <c r="I187" i="41" s="1"/>
  <c r="C10" i="30" s="1"/>
  <c r="I328" i="5"/>
  <c r="D114" i="40" s="1"/>
  <c r="G353" i="5"/>
  <c r="I353" i="5" s="1"/>
  <c r="I435" i="5"/>
  <c r="D140" i="40" s="1"/>
  <c r="G461" i="5"/>
  <c r="I461" i="5" s="1"/>
  <c r="B19" i="30" s="1"/>
  <c r="G188" i="4"/>
  <c r="I188" i="4" s="1"/>
  <c r="I157" i="4"/>
  <c r="I121" i="42"/>
  <c r="G152" i="42"/>
  <c r="I152" i="42" s="1"/>
  <c r="X16" i="52"/>
  <c r="D22" i="52"/>
  <c r="G850" i="42"/>
  <c r="I850" i="42" s="1"/>
  <c r="I818" i="42"/>
  <c r="I389" i="41"/>
  <c r="F131" i="40" s="1"/>
  <c r="F136" i="40" s="1"/>
  <c r="G407" i="41"/>
  <c r="I407" i="41" s="1"/>
  <c r="I855" i="4"/>
  <c r="G887" i="4"/>
  <c r="I887" i="4" s="1"/>
  <c r="X46" i="52"/>
  <c r="D52" i="52"/>
  <c r="X52" i="52" s="1"/>
  <c r="X83" i="47"/>
  <c r="D89" i="47"/>
  <c r="X89" i="47" s="1"/>
  <c r="P105" i="52"/>
  <c r="P108" i="52" s="1"/>
  <c r="P113" i="52" s="1"/>
  <c r="P117" i="52" s="1"/>
  <c r="H105" i="52"/>
  <c r="H108" i="52" s="1"/>
  <c r="H113" i="52" s="1"/>
  <c r="E105" i="47"/>
  <c r="E108" i="47" s="1"/>
  <c r="E113" i="47" s="1"/>
  <c r="C100" i="24"/>
  <c r="C101" i="24" s="1"/>
  <c r="Q105" i="52"/>
  <c r="Q108" i="52" s="1"/>
  <c r="Q113" i="52" s="1"/>
  <c r="Q117" i="52" s="1"/>
  <c r="H105" i="47"/>
  <c r="H108" i="47" s="1"/>
  <c r="H113" i="47" s="1"/>
  <c r="C155" i="24"/>
  <c r="C156" i="24" s="1"/>
  <c r="U105" i="47"/>
  <c r="U108" i="47" s="1"/>
  <c r="U113" i="47" s="1"/>
  <c r="U117" i="47" s="1"/>
  <c r="E105" i="52"/>
  <c r="E108" i="52" s="1"/>
  <c r="E113" i="52" s="1"/>
  <c r="R105" i="52"/>
  <c r="R108" i="52" s="1"/>
  <c r="R113" i="52" s="1"/>
  <c r="R117" i="52" s="1"/>
  <c r="M105" i="47"/>
  <c r="M108" i="47" s="1"/>
  <c r="M113" i="47" s="1"/>
  <c r="K105" i="52"/>
  <c r="K108" i="52" s="1"/>
  <c r="K113" i="52" s="1"/>
  <c r="Q105" i="47"/>
  <c r="Q108" i="47" s="1"/>
  <c r="Q113" i="47" s="1"/>
  <c r="Q117" i="47" s="1"/>
  <c r="W105" i="47"/>
  <c r="W108" i="47" s="1"/>
  <c r="W113" i="47" s="1"/>
  <c r="W117" i="47" s="1"/>
  <c r="C89" i="24"/>
  <c r="C90" i="24" s="1"/>
  <c r="L105" i="47"/>
  <c r="L108" i="47" s="1"/>
  <c r="L113" i="47" s="1"/>
  <c r="V105" i="52"/>
  <c r="V108" i="52" s="1"/>
  <c r="V113" i="52" s="1"/>
  <c r="V117" i="52" s="1"/>
  <c r="J105" i="52"/>
  <c r="J108" i="52" s="1"/>
  <c r="J113" i="52" s="1"/>
  <c r="D24" i="32" l="1"/>
  <c r="H22" i="32"/>
  <c r="I18" i="44"/>
  <c r="I19" i="44" s="1"/>
  <c r="I20" i="44" s="1"/>
  <c r="I21" i="44" s="1"/>
  <c r="I22" i="44" s="1"/>
  <c r="I23" i="44" s="1"/>
  <c r="I24" i="44" s="1"/>
  <c r="I25" i="44" s="1"/>
  <c r="I26" i="44" s="1"/>
  <c r="I27" i="44" s="1"/>
  <c r="I28" i="44" s="1"/>
  <c r="I29" i="44" s="1"/>
  <c r="I30" i="44" s="1"/>
  <c r="I31" i="44" s="1"/>
  <c r="I32" i="44" s="1"/>
  <c r="I33" i="44" s="1"/>
  <c r="I34" i="44" s="1"/>
  <c r="I35" i="44" s="1"/>
  <c r="I36" i="44" s="1"/>
  <c r="I37" i="44" s="1"/>
  <c r="I38" i="44" s="1"/>
  <c r="I39" i="44" s="1"/>
  <c r="I40" i="44" s="1"/>
  <c r="I41" i="44" s="1"/>
  <c r="I42" i="44" s="1"/>
  <c r="I43" i="44" s="1"/>
  <c r="I44" i="44" s="1"/>
  <c r="I45" i="44" s="1"/>
  <c r="I46" i="44" s="1"/>
  <c r="I47" i="44" s="1"/>
  <c r="J17" i="44"/>
  <c r="H21" i="29"/>
  <c r="H23" i="29" s="1"/>
  <c r="N17" i="29"/>
  <c r="B16" i="27"/>
  <c r="B35" i="27" s="1"/>
  <c r="J184" i="7"/>
  <c r="P21" i="40"/>
  <c r="H149" i="7"/>
  <c r="J149" i="7" s="1"/>
  <c r="M117" i="47"/>
  <c r="H141" i="7"/>
  <c r="J141" i="7" s="1"/>
  <c r="E117" i="47"/>
  <c r="D105" i="52"/>
  <c r="X22" i="52"/>
  <c r="G527" i="5"/>
  <c r="I527" i="5" s="1"/>
  <c r="I44" i="5"/>
  <c r="B9" i="30" s="1"/>
  <c r="I41" i="8"/>
  <c r="R34" i="40"/>
  <c r="R39" i="40" s="1"/>
  <c r="R176" i="40" s="1"/>
  <c r="R188" i="40" s="1"/>
  <c r="R192" i="40" s="1"/>
  <c r="H148" i="53"/>
  <c r="J148" i="53" s="1"/>
  <c r="L117" i="52"/>
  <c r="K117" i="47"/>
  <c r="H147" i="7"/>
  <c r="J147" i="7" s="1"/>
  <c r="I47" i="16"/>
  <c r="AN123" i="40"/>
  <c r="AN128" i="40" s="1"/>
  <c r="AN156" i="40" s="1"/>
  <c r="J34" i="40"/>
  <c r="J39" i="40" s="1"/>
  <c r="I61" i="34"/>
  <c r="G1074" i="4"/>
  <c r="I44" i="4"/>
  <c r="D165" i="40"/>
  <c r="D66" i="40"/>
  <c r="D75" i="40"/>
  <c r="D154" i="40"/>
  <c r="D84" i="40"/>
  <c r="T34" i="40"/>
  <c r="T39" i="40" s="1"/>
  <c r="T176" i="40" s="1"/>
  <c r="T188" i="40" s="1"/>
  <c r="T192" i="40" s="1"/>
  <c r="I38" i="54"/>
  <c r="C132" i="24"/>
  <c r="C133" i="24" s="1"/>
  <c r="C134" i="24" s="1"/>
  <c r="F156" i="40"/>
  <c r="B1080" i="4"/>
  <c r="D34" i="40" s="1"/>
  <c r="D52" i="40"/>
  <c r="N14" i="30"/>
  <c r="H141" i="53"/>
  <c r="J141" i="53" s="1"/>
  <c r="E117" i="52"/>
  <c r="J117" i="52"/>
  <c r="H146" i="53"/>
  <c r="J146" i="53" s="1"/>
  <c r="H148" i="7"/>
  <c r="J148" i="7" s="1"/>
  <c r="L117" i="47"/>
  <c r="H147" i="53"/>
  <c r="J147" i="53" s="1"/>
  <c r="K117" i="52"/>
  <c r="H144" i="7"/>
  <c r="J144" i="7" s="1"/>
  <c r="H117" i="47"/>
  <c r="H117" i="52"/>
  <c r="H144" i="53"/>
  <c r="J144" i="53" s="1"/>
  <c r="D145" i="40"/>
  <c r="D119" i="40"/>
  <c r="D48" i="40"/>
  <c r="D101" i="40"/>
  <c r="D105" i="47"/>
  <c r="X22" i="47"/>
  <c r="H145" i="7"/>
  <c r="J145" i="7" s="1"/>
  <c r="I117" i="47"/>
  <c r="I111" i="34"/>
  <c r="E12" i="30" s="1"/>
  <c r="J43" i="40"/>
  <c r="J48" i="40" s="1"/>
  <c r="J156" i="40" s="1"/>
  <c r="J176" i="40" s="1"/>
  <c r="J188" i="40" s="1"/>
  <c r="J192" i="40" s="1"/>
  <c r="N13" i="30"/>
  <c r="G1074" i="42"/>
  <c r="I44" i="42"/>
  <c r="D128" i="40"/>
  <c r="D92" i="40"/>
  <c r="D110" i="40"/>
  <c r="G527" i="41"/>
  <c r="I527" i="41" s="1"/>
  <c r="I44" i="41"/>
  <c r="C9" i="30" s="1"/>
  <c r="C121" i="24"/>
  <c r="C122" i="24" s="1"/>
  <c r="C123" i="24" s="1"/>
  <c r="C19" i="30"/>
  <c r="N19" i="30" s="1"/>
  <c r="D131" i="40"/>
  <c r="C17" i="30"/>
  <c r="N10" i="30"/>
  <c r="C18" i="30"/>
  <c r="B1080" i="42"/>
  <c r="F34" i="40" s="1"/>
  <c r="F39" i="40" s="1"/>
  <c r="B17" i="30"/>
  <c r="N17" i="30" s="1"/>
  <c r="AN176" i="40"/>
  <c r="B8" i="28" l="1"/>
  <c r="N21" i="29"/>
  <c r="N23" i="29" s="1"/>
  <c r="K17" i="44"/>
  <c r="J18" i="44"/>
  <c r="J19" i="44" s="1"/>
  <c r="J20" i="44" s="1"/>
  <c r="J21" i="44" s="1"/>
  <c r="J22" i="44" s="1"/>
  <c r="J23" i="44" s="1"/>
  <c r="J24" i="44" s="1"/>
  <c r="J25" i="44" s="1"/>
  <c r="J26" i="44" s="1"/>
  <c r="J27" i="44" s="1"/>
  <c r="J28" i="44" s="1"/>
  <c r="J29" i="44" s="1"/>
  <c r="J30" i="44" s="1"/>
  <c r="J31" i="44" s="1"/>
  <c r="J32" i="44" s="1"/>
  <c r="J33" i="44" s="1"/>
  <c r="J34" i="44" s="1"/>
  <c r="J35" i="44" s="1"/>
  <c r="J36" i="44" s="1"/>
  <c r="J37" i="44" s="1"/>
  <c r="J38" i="44" s="1"/>
  <c r="J39" i="44" s="1"/>
  <c r="J40" i="44" s="1"/>
  <c r="J41" i="44" s="1"/>
  <c r="J42" i="44" s="1"/>
  <c r="J43" i="44" s="1"/>
  <c r="J44" i="44" s="1"/>
  <c r="J45" i="44" s="1"/>
  <c r="J46" i="44" s="1"/>
  <c r="J47" i="44" s="1"/>
  <c r="H24" i="32"/>
  <c r="C12" i="28"/>
  <c r="C15" i="28" s="1"/>
  <c r="C17" i="28" s="1"/>
  <c r="P29" i="40"/>
  <c r="D39" i="40"/>
  <c r="I1074" i="4"/>
  <c r="B8" i="30" s="1"/>
  <c r="G529" i="5"/>
  <c r="I57" i="16"/>
  <c r="K16" i="30"/>
  <c r="I8" i="30"/>
  <c r="I11" i="30" s="1"/>
  <c r="I22" i="30" s="1"/>
  <c r="I24" i="30" s="1"/>
  <c r="I57" i="8"/>
  <c r="I67" i="8" s="1"/>
  <c r="X105" i="52"/>
  <c r="D108" i="52"/>
  <c r="B18" i="30"/>
  <c r="D136" i="40"/>
  <c r="G529" i="41"/>
  <c r="I1074" i="42"/>
  <c r="C8" i="30" s="1"/>
  <c r="C11" i="30" s="1"/>
  <c r="C22" i="30" s="1"/>
  <c r="C24" i="30" s="1"/>
  <c r="E18" i="30"/>
  <c r="N12" i="30"/>
  <c r="X105" i="47"/>
  <c r="D108" i="47"/>
  <c r="D57" i="40"/>
  <c r="J15" i="30"/>
  <c r="I48" i="54"/>
  <c r="E8" i="30"/>
  <c r="E11" i="30" s="1"/>
  <c r="E22" i="30" s="1"/>
  <c r="E24" i="30" s="1"/>
  <c r="I116" i="34"/>
  <c r="I127" i="34" s="1"/>
  <c r="F176" i="40"/>
  <c r="F188" i="40" s="1"/>
  <c r="F192" i="40" s="1"/>
  <c r="N9" i="30"/>
  <c r="AN188" i="40"/>
  <c r="K18" i="44" l="1"/>
  <c r="K19" i="44" s="1"/>
  <c r="K20" i="44" s="1"/>
  <c r="K21" i="44" s="1"/>
  <c r="K22" i="44" s="1"/>
  <c r="K23" i="44" s="1"/>
  <c r="K24" i="44" s="1"/>
  <c r="K25" i="44" s="1"/>
  <c r="K26" i="44" s="1"/>
  <c r="K27" i="44" s="1"/>
  <c r="K28" i="44" s="1"/>
  <c r="K29" i="44" s="1"/>
  <c r="K30" i="44" s="1"/>
  <c r="K31" i="44" s="1"/>
  <c r="K32" i="44" s="1"/>
  <c r="K33" i="44" s="1"/>
  <c r="K34" i="44" s="1"/>
  <c r="K35" i="44" s="1"/>
  <c r="K36" i="44" s="1"/>
  <c r="K37" i="44" s="1"/>
  <c r="K38" i="44" s="1"/>
  <c r="K39" i="44" s="1"/>
  <c r="K40" i="44" s="1"/>
  <c r="K41" i="44" s="1"/>
  <c r="K42" i="44" s="1"/>
  <c r="K43" i="44" s="1"/>
  <c r="K44" i="44" s="1"/>
  <c r="K45" i="44" s="1"/>
  <c r="K46" i="44" s="1"/>
  <c r="K47" i="44" s="1"/>
  <c r="L17" i="44"/>
  <c r="B11" i="28"/>
  <c r="D11" i="28" s="1"/>
  <c r="D8" i="28"/>
  <c r="J18" i="30"/>
  <c r="J22" i="30" s="1"/>
  <c r="J24" i="30" s="1"/>
  <c r="N15" i="30"/>
  <c r="I529" i="41"/>
  <c r="G540" i="41"/>
  <c r="G31" i="23"/>
  <c r="C26" i="27"/>
  <c r="I62" i="16"/>
  <c r="C22" i="24" s="1"/>
  <c r="N8" i="30"/>
  <c r="N11" i="30" s="1"/>
  <c r="B11" i="30"/>
  <c r="B22" i="30" s="1"/>
  <c r="D156" i="40"/>
  <c r="I132" i="34"/>
  <c r="C9" i="24" s="1"/>
  <c r="C13" i="27"/>
  <c r="G16" i="23"/>
  <c r="C18" i="27"/>
  <c r="I53" i="54"/>
  <c r="C14" i="24" s="1"/>
  <c r="G22" i="23"/>
  <c r="X108" i="47"/>
  <c r="D113" i="47"/>
  <c r="X108" i="52"/>
  <c r="D113" i="52"/>
  <c r="I72" i="8"/>
  <c r="C13" i="24" s="1"/>
  <c r="C17" i="27"/>
  <c r="G21" i="23"/>
  <c r="N16" i="30"/>
  <c r="N18" i="30" s="1"/>
  <c r="K18" i="30"/>
  <c r="K22" i="30" s="1"/>
  <c r="K24" i="30" s="1"/>
  <c r="I529" i="5"/>
  <c r="G540" i="5"/>
  <c r="AN192" i="40"/>
  <c r="L18" i="44" l="1"/>
  <c r="L19" i="44" s="1"/>
  <c r="L20" i="44" s="1"/>
  <c r="L21" i="44" s="1"/>
  <c r="L22" i="44" s="1"/>
  <c r="L23" i="44" s="1"/>
  <c r="L24" i="44" s="1"/>
  <c r="L25" i="44" s="1"/>
  <c r="L26" i="44" s="1"/>
  <c r="L27" i="44" s="1"/>
  <c r="L28" i="44" s="1"/>
  <c r="L29" i="44" s="1"/>
  <c r="L30" i="44" s="1"/>
  <c r="L31" i="44" s="1"/>
  <c r="L32" i="44" s="1"/>
  <c r="L33" i="44" s="1"/>
  <c r="L34" i="44" s="1"/>
  <c r="L35" i="44" s="1"/>
  <c r="L36" i="44" s="1"/>
  <c r="L37" i="44" s="1"/>
  <c r="L38" i="44" s="1"/>
  <c r="L39" i="44" s="1"/>
  <c r="L40" i="44" s="1"/>
  <c r="L41" i="44" s="1"/>
  <c r="L42" i="44" s="1"/>
  <c r="L43" i="44" s="1"/>
  <c r="L44" i="44" s="1"/>
  <c r="L45" i="44" s="1"/>
  <c r="L46" i="44" s="1"/>
  <c r="L47" i="44" s="1"/>
  <c r="M17" i="44"/>
  <c r="I540" i="5"/>
  <c r="C77" i="24" s="1"/>
  <c r="G552" i="5"/>
  <c r="D17" i="27"/>
  <c r="I21" i="23"/>
  <c r="D13" i="27"/>
  <c r="I16" i="23"/>
  <c r="B24" i="30"/>
  <c r="I31" i="23"/>
  <c r="D26" i="27"/>
  <c r="D117" i="52"/>
  <c r="X117" i="52" s="1"/>
  <c r="H140" i="53"/>
  <c r="X113" i="52"/>
  <c r="D117" i="47"/>
  <c r="X117" i="47" s="1"/>
  <c r="X113" i="47"/>
  <c r="H140" i="7"/>
  <c r="D18" i="27"/>
  <c r="I22" i="23"/>
  <c r="D176" i="40"/>
  <c r="G550" i="41"/>
  <c r="I540" i="41"/>
  <c r="M18" i="44" l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N17" i="44"/>
  <c r="N18" i="44" s="1"/>
  <c r="N19" i="44" s="1"/>
  <c r="N20" i="44" s="1"/>
  <c r="N21" i="44" s="1"/>
  <c r="N22" i="44" s="1"/>
  <c r="N23" i="44" s="1"/>
  <c r="N24" i="44" s="1"/>
  <c r="N25" i="44" s="1"/>
  <c r="N26" i="44" s="1"/>
  <c r="N27" i="44" s="1"/>
  <c r="N28" i="44" s="1"/>
  <c r="N29" i="44" s="1"/>
  <c r="N30" i="44" s="1"/>
  <c r="N31" i="44" s="1"/>
  <c r="N32" i="44" s="1"/>
  <c r="N33" i="44" s="1"/>
  <c r="N34" i="44" s="1"/>
  <c r="N35" i="44" s="1"/>
  <c r="N36" i="44" s="1"/>
  <c r="N37" i="44" s="1"/>
  <c r="N38" i="44" s="1"/>
  <c r="N39" i="44" s="1"/>
  <c r="N40" i="44" s="1"/>
  <c r="N41" i="44" s="1"/>
  <c r="N42" i="44" s="1"/>
  <c r="N43" i="44" s="1"/>
  <c r="N44" i="44" s="1"/>
  <c r="N45" i="44" s="1"/>
  <c r="N46" i="44" s="1"/>
  <c r="N47" i="44" s="1"/>
  <c r="I550" i="41"/>
  <c r="G556" i="41"/>
  <c r="D188" i="40"/>
  <c r="J140" i="7"/>
  <c r="J151" i="7" s="1"/>
  <c r="J153" i="7" s="1"/>
  <c r="J170" i="7" s="1"/>
  <c r="H151" i="7"/>
  <c r="H153" i="7" s="1"/>
  <c r="H170" i="7" s="1"/>
  <c r="H181" i="7" s="1"/>
  <c r="H186" i="7" s="1"/>
  <c r="J140" i="53"/>
  <c r="J151" i="53" s="1"/>
  <c r="J153" i="53" s="1"/>
  <c r="J170" i="53" s="1"/>
  <c r="H151" i="53"/>
  <c r="H153" i="53" s="1"/>
  <c r="H170" i="53" s="1"/>
  <c r="H181" i="53" s="1"/>
  <c r="H186" i="53" s="1"/>
  <c r="G558" i="5"/>
  <c r="I552" i="5"/>
  <c r="C10" i="27" l="1"/>
  <c r="G13" i="23"/>
  <c r="D192" i="40"/>
  <c r="C11" i="27"/>
  <c r="G14" i="23"/>
  <c r="I558" i="5"/>
  <c r="C75" i="24" s="1"/>
  <c r="G562" i="5"/>
  <c r="I562" i="5" s="1"/>
  <c r="C6" i="24" s="1"/>
  <c r="F22" i="30"/>
  <c r="L33" i="40"/>
  <c r="L39" i="40" s="1"/>
  <c r="L176" i="40" s="1"/>
  <c r="L188" i="40" s="1"/>
  <c r="L192" i="40" s="1"/>
  <c r="J181" i="53"/>
  <c r="H22" i="30"/>
  <c r="H24" i="30" s="1"/>
  <c r="J181" i="7"/>
  <c r="P33" i="40"/>
  <c r="I556" i="41"/>
  <c r="G560" i="41"/>
  <c r="I560" i="41" s="1"/>
  <c r="C7" i="24" s="1"/>
  <c r="J186" i="7" l="1"/>
  <c r="C12" i="24" s="1"/>
  <c r="C16" i="27"/>
  <c r="G20" i="23"/>
  <c r="G18" i="23"/>
  <c r="C14" i="27"/>
  <c r="J186" i="53"/>
  <c r="C10" i="24" s="1"/>
  <c r="F24" i="30"/>
  <c r="N22" i="30"/>
  <c r="P39" i="40"/>
  <c r="D11" i="27"/>
  <c r="I14" i="23"/>
  <c r="I13" i="23"/>
  <c r="D10" i="27"/>
  <c r="G42" i="23"/>
  <c r="C35" i="27" l="1"/>
  <c r="P176" i="40"/>
  <c r="I20" i="23"/>
  <c r="D16" i="27"/>
  <c r="N24" i="30"/>
  <c r="B12" i="28"/>
  <c r="D14" i="27"/>
  <c r="I18" i="23"/>
  <c r="I42" i="23" s="1"/>
  <c r="D35" i="27" l="1"/>
  <c r="D12" i="28"/>
  <c r="B15" i="28"/>
  <c r="P188" i="40"/>
  <c r="P192" i="40" l="1"/>
  <c r="D15" i="28"/>
  <c r="B17" i="28"/>
  <c r="D17" i="28" s="1"/>
</calcChain>
</file>

<file path=xl/sharedStrings.xml><?xml version="1.0" encoding="utf-8"?>
<sst xmlns="http://schemas.openxmlformats.org/spreadsheetml/2006/main" count="12411" uniqueCount="1710">
  <si>
    <t>Also input these amounts as a positive number here</t>
  </si>
  <si>
    <t>TOTAL ALLOCATIONS (Sum of lines 83-85)</t>
  </si>
  <si>
    <t>22               Governmental Designated-Purpose Grants Fund. . . . . . . . . . . . . . . . . . . . . . . . . . . . . . . . . . . . . . . . .</t>
  </si>
  <si>
    <t>25               Transportation Fund . . . . . . . . . . . . . . . . . . . . . . . . . . . . . . . . . . . . . . . . . . . . . . . . . . . . . . . . . . . . . . . . .</t>
  </si>
  <si>
    <t xml:space="preserve">26-29          Other Special Revenue Funds . . . . . . . . . . . . . . . . . . . . . . . . . . . . . . . . . . . . . . . . . . . . . . . . . . . . . . . . . </t>
  </si>
  <si>
    <t>Cells that are gray are protected cells and can not be modified.</t>
  </si>
  <si>
    <t>You may "Hide" sheets that you are not using - under "Format", "Sheet", "Hide"</t>
  </si>
  <si>
    <t>Be careful that no data is reflected on the hidden sheets.</t>
  </si>
  <si>
    <t>The "Salary Schedule" tab has been added for you to provide your master salary schedule for this workbook.</t>
  </si>
  <si>
    <t>The "Linked Program Codes" lets you know which fund - program combination will be linked to be various fund tab</t>
  </si>
  <si>
    <t>The information on the "Salary Schedule" tab will be available to use on the "Staff Details" tab</t>
  </si>
  <si>
    <t>through the "Staff Details" tab.</t>
  </si>
  <si>
    <t xml:space="preserve">Complete the "Staff Details" tab with staff that meet the valid fund - program combination for linkage to the various </t>
  </si>
  <si>
    <t>TOTAL BEGINNING FUND BALANCE &amp; REVENUES</t>
  </si>
  <si>
    <t xml:space="preserve">      </t>
  </si>
  <si>
    <t>TOTAL ALLOCATIONS TO/FROM OTHER FUNDS</t>
  </si>
  <si>
    <t>5600,5700, 5800</t>
  </si>
  <si>
    <t>TRANSFERS TO/FROM OTHER FUNDS</t>
  </si>
  <si>
    <t>5200 - 5300</t>
  </si>
  <si>
    <t xml:space="preserve">Other Sources </t>
  </si>
  <si>
    <t>5100,5400, 5500,5900, 5990, 5991</t>
  </si>
  <si>
    <t>EXPENDITURES</t>
  </si>
  <si>
    <t>Instruction - Program 0010 to 2099</t>
  </si>
  <si>
    <t xml:space="preserve">  Salaries</t>
  </si>
  <si>
    <t xml:space="preserve">  Employee Benefits</t>
  </si>
  <si>
    <t xml:space="preserve">  Purchased Services</t>
  </si>
  <si>
    <t>Totals</t>
  </si>
  <si>
    <t>4a</t>
  </si>
  <si>
    <t>Transfers Out if reported as an expenditure - Linked from line 4a above</t>
  </si>
  <si>
    <t>Transfers Out if reported as an expenditure - Linked from line 7a above</t>
  </si>
  <si>
    <t>Link of amounts from line 5a above</t>
  </si>
  <si>
    <t>Transfers Out if reported as an expenditure - Linked from line 12a above</t>
  </si>
  <si>
    <t>8a</t>
  </si>
  <si>
    <t>Transfers Out if reported as an expenditure - Linked from line 8a above</t>
  </si>
  <si>
    <t>Transfers Out (as reported on line 5a above)</t>
  </si>
  <si>
    <t>Full Day Kindergarten, Hold Harmless (Grant Code:  0000)</t>
  </si>
  <si>
    <t>Fiscal Emergency Restricted Reserve</t>
  </si>
  <si>
    <t xml:space="preserve">  Fiscal Emergency Restricted Reserve - Program 9330</t>
  </si>
  <si>
    <t>**The Allocation from the General Fund on line 6 must equal the amount on line 85 or line 85a of General Fund Revenues</t>
  </si>
  <si>
    <t>*  Transfers Out are limited to the closing of this fund only.</t>
  </si>
  <si>
    <t>Transfer To________________Fund(s) (input as a positive number on this line) *</t>
  </si>
  <si>
    <t>74a</t>
  </si>
  <si>
    <t>TOTAL EXPENDITURES AND OTHER USES (Sum of lines 39, 73, 74 &amp; 74a)</t>
  </si>
  <si>
    <t>Grant Transfer Activity IN (source code 53xx) - subject to limitations</t>
  </si>
  <si>
    <t>Sum of all Fund 24 program linked Salaries lines</t>
  </si>
  <si>
    <t>Sum of all Fund 24 program linked Benefits lines</t>
  </si>
  <si>
    <t>Programs 0010-4000</t>
  </si>
  <si>
    <r>
      <t xml:space="preserve">Input lines 83 and 85 as a positive number </t>
    </r>
    <r>
      <rPr>
        <b/>
        <sz val="8"/>
        <rFont val="Helv"/>
      </rPr>
      <t>(See NOTE-2 below)</t>
    </r>
  </si>
  <si>
    <t>Allocation to Charter School (fund 11) from General Fund (fund 10) (as a negative amount)</t>
  </si>
  <si>
    <t>Enter tllocation amount on Arbitrage page and Charter School Revenue, Line 84</t>
  </si>
  <si>
    <t>**Note:  The ALLOCATION FROM GENERAL FUND ON LINE 5 MUST BE INCLUDED IN THE AMOUNT ON LINE 83 or LINE 83a OF GENERAL FUND REVENUE</t>
  </si>
  <si>
    <t>9a</t>
  </si>
  <si>
    <t>Transfers Out if reported as an expenditure - Linked from line 9a above</t>
  </si>
  <si>
    <t>Grant Transfer Activity OUT (source code 53xx) - subject to limitations</t>
  </si>
  <si>
    <t>AVAILABLE  BEGINNING FUND BALANCE &amp; REVENUES (Plus or Minus (if Revenue) Allocations and Transfers)</t>
  </si>
  <si>
    <t xml:space="preserve">TABOR Emergency Reserves . . . . . . . . . . . . . . . . . . . . . . . . . . . . . . . . . . . . . . . . . . . . . . . . . . . . . . . . . . . . . . . </t>
  </si>
  <si>
    <t>41               Building Fund . . . . . . . . . . . . . . . . . . . . . . . . . . . . . . . . . . . . . . . . . . . . . . . . . . . . . . . . . . . . . . . . . . . . . . . . . . . .</t>
  </si>
  <si>
    <t>42               Special Building and Technology Fund . . . . . . . . . . . . . . . .. . . . . . . . . . . . . . . . . . . . . . . . . . . . . . . . . . . . . . . . .</t>
  </si>
  <si>
    <t xml:space="preserve">43               Capital Reserve Capital Projects Fund . . . . . . . . . . . . . . . . . . . . . . . . . . . . . . . . . . . . . . . . . . . . . . . . . . . . . . . . . . . . . . . . . . . </t>
  </si>
  <si>
    <t>Summary Information:</t>
  </si>
  <si>
    <t>Enterprise Funds:</t>
  </si>
  <si>
    <t>51              Food Service Fund . . . . . . . . . . . . . . . . . . . . . . . . . . . . . . . . . . . . . . . . . . . . . . . . . . . . . . . . . . . . . . . . . . . . . . . . .</t>
  </si>
  <si>
    <t>Budget Summary Worksheet (District Use Only) . . . . . . . . . . . . . . . . . . . . . . . . . . . . . . . . . . . . . . . . . . . . . . . . .</t>
  </si>
  <si>
    <t>NAME AND TITLE OF PERSON(S) TO CONTACT IN THE EVENT THERE ARE QUESTIONS REGARDING THIS REPORT:</t>
  </si>
  <si>
    <t>NAME</t>
  </si>
  <si>
    <t>TITLE</t>
  </si>
  <si>
    <t>PHONE</t>
  </si>
  <si>
    <t>TOTAL GENERAL HIGH SCHOOL EDUCATION</t>
  </si>
  <si>
    <t>0040 - General Pre-School Education</t>
  </si>
  <si>
    <t>0010 - General Elementary Education</t>
  </si>
  <si>
    <t>0030 - General High School Education</t>
  </si>
  <si>
    <t>0020 - General Middle/Jr. High School Education</t>
  </si>
  <si>
    <t>TOTAL GENERAL MIDDLE/JR.HIGH SCHOOL EDUCATION</t>
  </si>
  <si>
    <t>Community Service</t>
  </si>
  <si>
    <t>1300</t>
  </si>
  <si>
    <t>1973</t>
  </si>
  <si>
    <t>Employee Benefits - staff benefits tab</t>
  </si>
  <si>
    <t>Employee Benefit Premium</t>
  </si>
  <si>
    <t>1974</t>
  </si>
  <si>
    <t>Risk Management</t>
  </si>
  <si>
    <t>TOTAL EXPENSES AND OTHER USES</t>
  </si>
  <si>
    <t>0700-0739</t>
  </si>
  <si>
    <t>Property/Equipment</t>
  </si>
  <si>
    <t>1400</t>
  </si>
  <si>
    <t>Transportation Fees</t>
  </si>
  <si>
    <t>1975</t>
  </si>
  <si>
    <t>Print Shop Services</t>
  </si>
  <si>
    <t>1976</t>
  </si>
  <si>
    <t>1977</t>
  </si>
  <si>
    <t>1978</t>
  </si>
  <si>
    <t>1979</t>
  </si>
  <si>
    <t>Technology Services</t>
  </si>
  <si>
    <t>Warehouse Services</t>
  </si>
  <si>
    <t>Maintenance Services</t>
  </si>
  <si>
    <t>REVENUE FROM INTERMEDIATE (COUNTY) SOURCES</t>
  </si>
  <si>
    <t>2000</t>
  </si>
  <si>
    <t>REVENUE FROM STATE SOURCES</t>
  </si>
  <si>
    <t>3110</t>
  </si>
  <si>
    <t>3120</t>
  </si>
  <si>
    <t>3130</t>
  </si>
  <si>
    <t>3140</t>
  </si>
  <si>
    <t>3150</t>
  </si>
  <si>
    <t>3160</t>
  </si>
  <si>
    <t>3300</t>
  </si>
  <si>
    <t>REVENUE FROM FEDERAL SOURCES</t>
  </si>
  <si>
    <t>52XX</t>
  </si>
  <si>
    <t>School District</t>
  </si>
  <si>
    <t>Fund 18:  INSURANCE RESERVE FUND</t>
  </si>
  <si>
    <t>18               Insurance Reserve Special Revenue Fund. . . . . . . . . . . . . . . . . . . . . . . . . . . . . . . . . . . . . . . . . . . . . . . . . . . . . . .</t>
  </si>
  <si>
    <t>Fund 10:  GENERAL FUND EXPENDITURES</t>
  </si>
  <si>
    <t>Program</t>
  </si>
  <si>
    <t>OTHER</t>
  </si>
  <si>
    <t>TOTAL</t>
  </si>
  <si>
    <t>1700</t>
  </si>
  <si>
    <t>3210-3280</t>
  </si>
  <si>
    <t>Certificates of Participation</t>
  </si>
  <si>
    <t>Return of State Categoricals ("categorical buyout") - (enter amount as negative)</t>
  </si>
  <si>
    <t>INSTRUCTION PROGRAM CODES</t>
  </si>
  <si>
    <t>Purchased Professional &amp; Technical Services</t>
  </si>
  <si>
    <t>Purchased Property Services</t>
  </si>
  <si>
    <t>0430</t>
  </si>
  <si>
    <t>Repairs &amp; Maintenance Services</t>
  </si>
  <si>
    <t>0442</t>
  </si>
  <si>
    <t>Rental of Equipment</t>
  </si>
  <si>
    <t>Other Purchased Services</t>
  </si>
  <si>
    <t>0511</t>
  </si>
  <si>
    <t>0512</t>
  </si>
  <si>
    <t>0513</t>
  </si>
  <si>
    <t>0514</t>
  </si>
  <si>
    <t>0515</t>
  </si>
  <si>
    <t>0516</t>
  </si>
  <si>
    <t>0517</t>
  </si>
  <si>
    <t>0519</t>
  </si>
  <si>
    <t>Student Transportation Purchased Within the BOCES or AU</t>
  </si>
  <si>
    <t>Contracted Field Trips</t>
  </si>
  <si>
    <t>Student Transportation Purchased from Parents</t>
  </si>
  <si>
    <t>Student Transportation Purchased from Contractors</t>
  </si>
  <si>
    <t>Student Transportation Purchased from School District Outside the State</t>
  </si>
  <si>
    <t>TOTAL ENGLISH LANGUAGE ARTS</t>
  </si>
  <si>
    <t>0600 - Foreign Languages</t>
  </si>
  <si>
    <t>TOTAL FOREIGN LANGUAGES</t>
  </si>
  <si>
    <t>0700 - Health Occupations Education</t>
  </si>
  <si>
    <t>TOTAL HEALTH OCCUPATIONS EDUCATION</t>
  </si>
  <si>
    <t>0800 - Physical Curriculum</t>
  </si>
  <si>
    <t>TOTAL PHYSICAL CURRICULUM</t>
  </si>
  <si>
    <t>0900 - Family &amp; Consumer Education</t>
  </si>
  <si>
    <t>TOTAL FAMILY &amp; CONSUMER EDUCATION</t>
  </si>
  <si>
    <t>5. Allocation from General Fund</t>
  </si>
  <si>
    <t>7. TOTAL REVENUE (Sum of lines 1-5)</t>
  </si>
  <si>
    <t>8. TOTAL REVENUE INCLUDING BEGINNING FUND BALANCE (Sum of Line 6 and BFB)</t>
  </si>
  <si>
    <t>9. Expenditures/Expenses</t>
  </si>
  <si>
    <t xml:space="preserve">      ---LINE 14 MUST EQUAL LINE 8---</t>
  </si>
  <si>
    <t>LINE 8</t>
  </si>
  <si>
    <t>Services Purchased from Other Colorado Districts or BOCES or AU</t>
  </si>
  <si>
    <t>Services Purchased from School Districts Outside the State</t>
  </si>
  <si>
    <t>Purchased Services from Districts by Charter Schools</t>
  </si>
  <si>
    <t>Supplies</t>
  </si>
  <si>
    <t>Books and Periodicals</t>
  </si>
  <si>
    <t>0721</t>
  </si>
  <si>
    <t>0722</t>
  </si>
  <si>
    <t>Property</t>
  </si>
  <si>
    <t>Land and Improvements</t>
  </si>
  <si>
    <t>Buildings</t>
  </si>
  <si>
    <t>See Note Below Regarding Source Codes for Federal Funds</t>
  </si>
  <si>
    <t>FEDERAL FUND REVENUE SOURCE CODES</t>
  </si>
  <si>
    <t>Equipment</t>
  </si>
  <si>
    <t>See Fund 70</t>
  </si>
  <si>
    <t>PROGRAMS 2100-3400</t>
  </si>
  <si>
    <t>See Fund 64</t>
  </si>
  <si>
    <t>70                      Fiduciary: Trust and Other Agency Funds: 70, 72, 73, 75-78</t>
  </si>
  <si>
    <t>See Fund 31</t>
  </si>
  <si>
    <t>Vehicles</t>
  </si>
  <si>
    <t>Non-Capital Equipment</t>
  </si>
  <si>
    <t>Depreciation</t>
  </si>
  <si>
    <t>0810</t>
  </si>
  <si>
    <t>0850</t>
  </si>
  <si>
    <t>0851</t>
  </si>
  <si>
    <t>0868</t>
  </si>
  <si>
    <t>Other Objects</t>
  </si>
  <si>
    <t>Dues and Fees</t>
  </si>
  <si>
    <t>Internal Charge/Reimbursement Accounts</t>
  </si>
  <si>
    <t>Transportation/Field Trips</t>
  </si>
  <si>
    <t>Overhead Costs</t>
  </si>
  <si>
    <t>Indirect Costs</t>
  </si>
  <si>
    <t>TOTAL GENERAL ELEMENTARY EDUCATION</t>
  </si>
  <si>
    <t>Tuition Paid to Other Colorado Districts, BOCES or AU</t>
  </si>
  <si>
    <t>Services Purchased from Other Colorado Districts, BOCES or AU</t>
  </si>
  <si>
    <t>Student Transportation Purchased from Other Colorado Districts, BOCES or AU</t>
  </si>
  <si>
    <t>Student Transportation In-service</t>
  </si>
  <si>
    <t>Allocation to CPP Fund (fund 19)</t>
  </si>
  <si>
    <t>Tuition to Agencies with Colorado Dept. of Ed. - Approved Rates</t>
  </si>
  <si>
    <t>State Share (Equalization) Withholding for Out-of-District Placed Pupils</t>
  </si>
  <si>
    <t>Figures (Totals) which will appear on Budget Form to Submit to CDE</t>
  </si>
  <si>
    <t>Record Inceases to revenue are positive amounts and Decreases as negatives</t>
  </si>
  <si>
    <t>Fund 21:  CAPITAL RESERVE SPECIAL REVENUE FUND</t>
  </si>
  <si>
    <t>Codes:</t>
  </si>
  <si>
    <t>REVENUE AND OTHER SOURCES</t>
  </si>
  <si>
    <t>5600</t>
  </si>
  <si>
    <t>Object</t>
  </si>
  <si>
    <t>EXPENDITURES AND OTHER USES</t>
  </si>
  <si>
    <t>0710</t>
  </si>
  <si>
    <t>0720</t>
  </si>
  <si>
    <t>0732</t>
  </si>
  <si>
    <t>Grant/Project Code</t>
  </si>
  <si>
    <t>STATE FUNDS NOT IN OTHER FUNDS</t>
  </si>
  <si>
    <t>1140-1190</t>
  </si>
  <si>
    <t>Property Taxes</t>
  </si>
  <si>
    <t>Other Taxes</t>
  </si>
  <si>
    <t>Other Local Sources</t>
  </si>
  <si>
    <t>Charter School Capital Construction</t>
  </si>
  <si>
    <t>3XXX</t>
  </si>
  <si>
    <t>Other State Sources</t>
  </si>
  <si>
    <t>Other Revenue</t>
  </si>
  <si>
    <t>TOTAL REVENUE (Sum of lines 1-6)</t>
  </si>
  <si>
    <t>TOTAL REVENUE INCLUDING BEGINNING FUND BALANCE (Sum of line 7 and BFB)</t>
  </si>
  <si>
    <t>Other Internal Services</t>
  </si>
  <si>
    <t>Other Revenue (includes increases in assets)</t>
  </si>
  <si>
    <t>SUPPORT PROGRAMS - 2100 THROUGH 3400</t>
  </si>
  <si>
    <t>Other Revenue From Local and Intermediate Sources</t>
  </si>
  <si>
    <t>TOTAL REVENUE (Sum of lines 1-3)</t>
  </si>
  <si>
    <t>TOTAL GENERAL PRE-SCHOOL EDUCATION</t>
  </si>
  <si>
    <t>0050 - General Post-Secondary Education</t>
  </si>
  <si>
    <t>TOTAL GENERAL POST-SECONDARY EDUCATION</t>
  </si>
  <si>
    <t>0060 - Integrated Education</t>
  </si>
  <si>
    <t>TOTAL INTEGRATED EDUCATION</t>
  </si>
  <si>
    <t>0080 - General Instructional Media</t>
  </si>
  <si>
    <t>TOTAL GIFTED &amp; TALENTED EDUCATION</t>
  </si>
  <si>
    <t>TOTAL GENERAL INSTRUCTIONAL MEDIA</t>
  </si>
  <si>
    <t>Salaries - from staff details tab</t>
  </si>
  <si>
    <t>Employee Benefits - staff tab</t>
  </si>
  <si>
    <t>Salaries - additional items (not from the Staff Details Tab)</t>
  </si>
  <si>
    <t>Employees Benefits - addl items (not from the Staff Details Tab)</t>
  </si>
  <si>
    <t>Salaries and Benefits for Services Provided By District Personnel (not from Staff Details Tab)</t>
  </si>
  <si>
    <t>1900 - Cocurricular Activities - Nonathletic</t>
  </si>
  <si>
    <t>Employee Benefits - from staff details tab</t>
  </si>
  <si>
    <t>0090 - Other General Education</t>
  </si>
  <si>
    <t>TOTAL OTHER GENERAL EDUCATION</t>
  </si>
  <si>
    <t>TOTAL AGRICULTURE EDUCATION</t>
  </si>
  <si>
    <t>0100 - Agriculture</t>
  </si>
  <si>
    <t>HIGH SCHOOL SUBJECT LEVEL</t>
  </si>
  <si>
    <t>0200 - Art</t>
  </si>
  <si>
    <t>TOTAL ART EDUCATION</t>
  </si>
  <si>
    <t>0300 - Business</t>
  </si>
  <si>
    <t>TOTAL BUSINESS EDUCATION</t>
  </si>
  <si>
    <t>0400 - Distributive/Marketing Education</t>
  </si>
  <si>
    <t>TOTAL DISTRIBUTIVE/MARKETING EDUCATION</t>
  </si>
  <si>
    <t>0500 - English Language Arts</t>
  </si>
  <si>
    <t>0300-0599</t>
  </si>
  <si>
    <t>0710-0719</t>
  </si>
  <si>
    <t>0720-0729</t>
  </si>
  <si>
    <t>0730-0739</t>
  </si>
  <si>
    <t>0740-0799</t>
  </si>
  <si>
    <t>37.</t>
  </si>
  <si>
    <t>38.</t>
  </si>
  <si>
    <t>TOTAL INSTRUCTIONAL AND SUPPORT SERVICES EXPENDITURES</t>
  </si>
  <si>
    <t>1190</t>
  </si>
  <si>
    <t>Current Property Taxes</t>
  </si>
  <si>
    <t>Specific Ownership Taxes</t>
  </si>
  <si>
    <t>Sales and Use Taxes</t>
  </si>
  <si>
    <t>District Multiple-Coverage &amp;/or Other Insurance - Program Code 2850 (or 2800)</t>
  </si>
  <si>
    <t>0051 - Programs for Adult/Continuing</t>
  </si>
  <si>
    <t>TOTAL PROGRAMS FOR ADULT/CONTINUING</t>
  </si>
  <si>
    <t>2220 - Educational Library Services</t>
  </si>
  <si>
    <t>TOTAL EDUCATIONAL LIBRARY SERVICES</t>
  </si>
  <si>
    <t>Allocation to CPKP Fund (fund 19)</t>
  </si>
  <si>
    <t>3220 - Enterprise Non-Instructional Programs</t>
  </si>
  <si>
    <t>3210 - Enterprise Instructional Programs</t>
  </si>
  <si>
    <t>Line</t>
  </si>
  <si>
    <t>Current Year Allocation</t>
  </si>
  <si>
    <t>2a</t>
  </si>
  <si>
    <t>2b</t>
  </si>
  <si>
    <t>Prior Year Carryover</t>
  </si>
  <si>
    <t>3a</t>
  </si>
  <si>
    <t>Purchased Professional &amp; Technical Services (0300)</t>
  </si>
  <si>
    <t>Other Purchased Services (0500)</t>
  </si>
  <si>
    <t>Supplies (0600)</t>
  </si>
  <si>
    <t>Other (0800)</t>
  </si>
  <si>
    <t>Purchased Property Services (0400)</t>
  </si>
  <si>
    <t>32a</t>
  </si>
  <si>
    <t>Property (0730) (Capitalized)</t>
  </si>
  <si>
    <t>32b</t>
  </si>
  <si>
    <t>Property (0735) (Non-capitalized)</t>
  </si>
  <si>
    <t>Schoolwide Programs</t>
  </si>
  <si>
    <t>35a</t>
  </si>
  <si>
    <t>35b</t>
  </si>
  <si>
    <t>Property (0735) (non-capitalized) (not including line 32b)</t>
  </si>
  <si>
    <t>35c</t>
  </si>
  <si>
    <t>Input the Grant Code on row 3 and the description on row 4</t>
  </si>
  <si>
    <t>Less line 32a Property (0730) (Capitalized)</t>
  </si>
  <si>
    <t>35d</t>
  </si>
  <si>
    <t>Subtotal Direct Costs (lines 35a + line 35b + line 35c)</t>
  </si>
  <si>
    <t>37a</t>
  </si>
  <si>
    <t>38a</t>
  </si>
  <si>
    <t>Property-(0730) (Capitalized) (not including line 32a)</t>
  </si>
  <si>
    <r>
      <t xml:space="preserve">Total Funds Available </t>
    </r>
    <r>
      <rPr>
        <b/>
        <sz val="6"/>
        <rFont val="Arial"/>
        <family val="2"/>
      </rPr>
      <t>(lines 1, 2 ,3)</t>
    </r>
  </si>
  <si>
    <r>
      <t xml:space="preserve">Subtotal Support Program </t>
    </r>
    <r>
      <rPr>
        <b/>
        <sz val="6"/>
        <rFont val="Arial"/>
        <family val="2"/>
      </rPr>
      <t>(lines 12 through 18)</t>
    </r>
  </si>
  <si>
    <r>
      <t xml:space="preserve">Subtotal Improvement of Instructional Services </t>
    </r>
    <r>
      <rPr>
        <b/>
        <sz val="6"/>
        <rFont val="Arial"/>
        <family val="2"/>
      </rPr>
      <t>(lines 20 through 25)</t>
    </r>
  </si>
  <si>
    <r>
      <t xml:space="preserve">Subtotal Administration </t>
    </r>
    <r>
      <rPr>
        <b/>
        <sz val="6"/>
        <rFont val="Arial"/>
        <family val="2"/>
      </rPr>
      <t>(lines 27 through 32)</t>
    </r>
  </si>
  <si>
    <r>
      <t xml:space="preserve">Subtotal Program Costs </t>
    </r>
    <r>
      <rPr>
        <b/>
        <sz val="6"/>
        <rFont val="Arial"/>
        <family val="2"/>
      </rPr>
      <t>(lines 11, 19, 26, 33, 34)</t>
    </r>
  </si>
  <si>
    <r>
      <t xml:space="preserve">Total Budget </t>
    </r>
    <r>
      <rPr>
        <b/>
        <sz val="6"/>
        <rFont val="Arial"/>
        <family val="2"/>
      </rPr>
      <t>(lines 32, 35, 37 or 37a, 38)</t>
    </r>
  </si>
  <si>
    <r>
      <t xml:space="preserve">Total Funds Available </t>
    </r>
    <r>
      <rPr>
        <sz val="8"/>
        <rFont val="Arial"/>
        <family val="2"/>
      </rPr>
      <t>(repeated from above)</t>
    </r>
  </si>
  <si>
    <r>
      <t>Difference</t>
    </r>
    <r>
      <rPr>
        <sz val="8"/>
        <rFont val="Arial"/>
        <family val="2"/>
      </rPr>
      <t xml:space="preserve"> - Line 4 less line 39</t>
    </r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</si>
  <si>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</si>
  <si>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</si>
  <si>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</si>
  <si>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</si>
  <si>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</si>
  <si>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</si>
  <si>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</si>
  <si>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</si>
  <si>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</si>
  <si>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</si>
  <si>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</si>
  <si>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f13</t>
  </si>
  <si>
    <t>f14</t>
  </si>
  <si>
    <t>f15</t>
  </si>
  <si>
    <t>f16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</si>
  <si>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</si>
  <si>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</si>
  <si>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</si>
  <si>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</si>
  <si>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</si>
  <si>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</si>
  <si>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</si>
  <si>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</si>
  <si>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</si>
  <si>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</si>
  <si>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</si>
  <si>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</si>
  <si>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</si>
  <si>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TOTAL ENTERPRISE INSTRUCTIONAL PROGRAMS</t>
  </si>
  <si>
    <t>TOTAL ENTERPRISE NON-INSTRUCTIONAL PROGRAMS</t>
  </si>
  <si>
    <t>0595</t>
  </si>
  <si>
    <t>* Transfers out of Bond Redemption Fund are not allowed unless all obligations of bonded indebtedness have been satisfied.  State Statute 22-54-108(3)(d)(II)(B) allows for Bond Redemption S.O. Tax to be budgeted for spending in another fund. S.O. Tax receipts must be recorded as a deposit to the receiving fund.</t>
  </si>
  <si>
    <t>1000 - Industrial Arts/Technology Education</t>
  </si>
  <si>
    <t>1a</t>
  </si>
  <si>
    <t>1a. Insurance Reserve Special Revenue Fund</t>
  </si>
  <si>
    <t>1b. Pre-School Fund</t>
  </si>
  <si>
    <t>1b</t>
  </si>
  <si>
    <t>2. ARRA (Federal Stimulus Funding) Grants Fund</t>
  </si>
  <si>
    <t>3. Capital Reserve Special Revenue Fund</t>
  </si>
  <si>
    <t>4. Governmental Designated-Purpose Grants Fund</t>
  </si>
  <si>
    <t>5. Pupil Activity Special Revenue Fund</t>
  </si>
  <si>
    <t>7. Transportation Fund</t>
  </si>
  <si>
    <t>20
 ARRA (Federal Stimulus Funding) Grants Fund</t>
  </si>
  <si>
    <t>24
Full-Day Kindergarten Mill Levy Override</t>
  </si>
  <si>
    <t>Fund 24 : Full-Day Kindergarten Mill Levy Override Fund</t>
  </si>
  <si>
    <t>24               Full-Day Kindergarten Mill Levy Override Fund.           . . . . . . . . . . . . . . . . . . . . . . . . . . . . . . . . . . . . . .</t>
  </si>
  <si>
    <t>6.  Full-Day Kindergarten Mill Levy Override Fund</t>
  </si>
  <si>
    <t>8. Other Special Revenue Funds</t>
  </si>
  <si>
    <t>9. Bond Redemption Fund</t>
  </si>
  <si>
    <t>10. Building Fund</t>
  </si>
  <si>
    <t>11. Special Building and Technology Fund</t>
  </si>
  <si>
    <t>12. Capital Reserve Capital Projects Fund</t>
  </si>
  <si>
    <t>13. Food Service Fund</t>
  </si>
  <si>
    <t>14. Other Enterprise Funds</t>
  </si>
  <si>
    <t>15. Risk-Related Activity Fund</t>
  </si>
  <si>
    <t>16. Other Internal Service Funds</t>
  </si>
  <si>
    <t>17. Pupil Activity Agency Fund</t>
  </si>
  <si>
    <t>18. Trust and Other Agency Funds</t>
  </si>
  <si>
    <t>19. Foundation Fund</t>
  </si>
  <si>
    <t>20. Component Units</t>
  </si>
  <si>
    <t>6. Full-Day Kindergarten Mill Levy Override Fund</t>
  </si>
  <si>
    <t>11. Special Building &amp; Technology Fund</t>
  </si>
  <si>
    <t>17. Pupil Activity Agency Funds</t>
  </si>
  <si>
    <t>18. Trust &amp; Agency Funds</t>
  </si>
  <si>
    <t>20. TOTAL (Sum of lines 1-19)</t>
  </si>
  <si>
    <t>19. Foundations &amp; Component Units</t>
  </si>
  <si>
    <t>Provide if required</t>
  </si>
  <si>
    <t xml:space="preserve">Component
Units </t>
  </si>
  <si>
    <t>FULL DAY KINDERGARTEN MILL LEVY OVERRIDE FUND</t>
  </si>
  <si>
    <t>COMPONENT UNITS (Arbitrage Page)</t>
  </si>
  <si>
    <t>*State Statute prohibits the transfer of funds out of the Full Day Kindergarten Mill Levy Override Fund</t>
  </si>
  <si>
    <t>TOTAL INDUSTRIAL ARTS/TECHNOLOGY EDUCATION</t>
  </si>
  <si>
    <t>1100 - Mathematics</t>
  </si>
  <si>
    <t>TOTAL MATHEMATICS</t>
  </si>
  <si>
    <t>1200 - Music</t>
  </si>
  <si>
    <t>TOTAL MUSIC</t>
  </si>
  <si>
    <t>TOTAL NATURAL SCIENCE</t>
  </si>
  <si>
    <t>1300 - Natural Science</t>
  </si>
  <si>
    <t>1400 - Office Occupations</t>
  </si>
  <si>
    <t>TOTAL OFFICE OCCUPATIONS</t>
  </si>
  <si>
    <t>1500 - Social Science</t>
  </si>
  <si>
    <t>TOTAL SOCIAL SCIENCES</t>
  </si>
  <si>
    <t>1600 - Technical Education/Computer Technology</t>
  </si>
  <si>
    <t>TOTAL TECHNICAL EDUCATION/COMPUTER TECHNOLOGY</t>
  </si>
  <si>
    <t>TOTAL SPECIAL EDUCATION</t>
  </si>
  <si>
    <t>1800 - Cocurricular Activities - Athletic/Sport</t>
  </si>
  <si>
    <t>TOTAL COCURRICULAR ACTIVITIES - ATHLETIC/SPORT</t>
  </si>
  <si>
    <t>4000</t>
  </si>
  <si>
    <t>TOTAL EXPENDITURES</t>
  </si>
  <si>
    <t>OTHER USES</t>
  </si>
  <si>
    <t>RESERVES</t>
  </si>
  <si>
    <t>Difference must = 0</t>
  </si>
  <si>
    <t>TOTAL REVENUE FROM FEDERAL SOURCES (Sum of lines 64-74)</t>
  </si>
  <si>
    <t>TOTAL REVENUE FROM OTHER SOURCES (Sum of lines 76-80)</t>
  </si>
  <si>
    <t>TOTAL GENERAL FUND REVENUE FOR ALL SOURCES (Sum of lines 39,40,63,75,80)</t>
  </si>
  <si>
    <t>TOTAL GENERAL FUND REVENUE INCLUDING BEGINNING FUND BALANCE (Sum of line 81 plus BFB)</t>
  </si>
  <si>
    <t>82</t>
  </si>
  <si>
    <t>83</t>
  </si>
  <si>
    <t>84</t>
  </si>
  <si>
    <t>85</t>
  </si>
  <si>
    <t>86</t>
  </si>
  <si>
    <t>87</t>
  </si>
  <si>
    <t>TOTAL ALLOCATIONS (Sum of lines83-85)</t>
  </si>
  <si>
    <t>NET REVENUE (Line 82 minus line 86)</t>
  </si>
  <si>
    <t>TOTAL REVENUE (sum of lines 1 - 7)</t>
  </si>
  <si>
    <t>Expenditure Detail Totals for Budget Form to Submit to CDE:</t>
  </si>
  <si>
    <t>Education for Adults - Program 3400</t>
  </si>
  <si>
    <t>Equipment (including unlicensed vehicles)</t>
  </si>
  <si>
    <t>Licensed Vehicles (e.g., buses and vans)</t>
  </si>
  <si>
    <t>SUPPORT PROGRAMS - 2100 THROUGH 4000</t>
  </si>
  <si>
    <t>Purchased Property Services (Includes amounts paid for minor renovating and remodeling facilities)</t>
  </si>
  <si>
    <t>Interest</t>
  </si>
  <si>
    <t>Redemption of Principal</t>
  </si>
  <si>
    <t>OTHER USES - DEBT SERVICE PROGRAM 5100</t>
  </si>
  <si>
    <t>TOTAL GRANTS NOT IN OTHER FUNDS</t>
  </si>
  <si>
    <t>Note:  If applicable, INDIRECT COSTS are included in the anticipated expenditures for each grant/project.</t>
  </si>
  <si>
    <t>Fund 23:  PUPIL ACTIVITY SPECIAL REVENUE FUND</t>
  </si>
  <si>
    <t>(1)</t>
  </si>
  <si>
    <t>(2)</t>
  </si>
  <si>
    <t>GENERAL FUND</t>
  </si>
  <si>
    <t>Fund 25:  TRANSPORTATION FUND</t>
  </si>
  <si>
    <t>0100-0199</t>
  </si>
  <si>
    <t>0200-0299</t>
  </si>
  <si>
    <t>0300-0399</t>
  </si>
  <si>
    <t>0400-0499</t>
  </si>
  <si>
    <t>0500-0599</t>
  </si>
  <si>
    <t>0600-0699</t>
  </si>
  <si>
    <t>0800-0899</t>
  </si>
  <si>
    <t>Funds 26-29:  OTHER SPECIAL REVENUE FUNDS</t>
  </si>
  <si>
    <t>Fund 31:  BOND REDEMPTION FUND</t>
  </si>
  <si>
    <t xml:space="preserve"> </t>
  </si>
  <si>
    <t>0910</t>
  </si>
  <si>
    <t>0830</t>
  </si>
  <si>
    <t>Note:  If district is holding a bond election during year, district may budget as if election will pass OR may choose to file a supplemental appropriation after bond election passes.</t>
  </si>
  <si>
    <t>Fund 41:  BUILDING FUND</t>
  </si>
  <si>
    <t>Code:</t>
  </si>
  <si>
    <t>1000-2999 (not 1500)</t>
  </si>
  <si>
    <t>3000-3999</t>
  </si>
  <si>
    <t>4000-4999</t>
  </si>
  <si>
    <t>0100-0299</t>
  </si>
  <si>
    <t>Transportation Fees From Individuals</t>
  </si>
  <si>
    <t>Earnings on Investments</t>
  </si>
  <si>
    <t>Community Service Activities</t>
  </si>
  <si>
    <t>Charter School Revenue</t>
  </si>
  <si>
    <t>Instructional Materials Fees</t>
  </si>
  <si>
    <t>Services Provided within BOCES: local</t>
  </si>
  <si>
    <t>Serivces Provided other Colorado BOCES of Districts: local</t>
  </si>
  <si>
    <t>Services Provided other Units: local</t>
  </si>
  <si>
    <t>Parking Fees</t>
  </si>
  <si>
    <t>TOTAL REVENUE FROM INTERMEDIATE (COUNTY) SOURCES</t>
  </si>
  <si>
    <t>State Equalization</t>
  </si>
  <si>
    <t>Capital Construction</t>
  </si>
  <si>
    <t>Charter School Capital Constrcution</t>
  </si>
  <si>
    <t>Vocational Education</t>
  </si>
  <si>
    <t>Exceptional Children's Education Act (ECEA)</t>
  </si>
  <si>
    <t>English Language Proficiency Act (ELPA)</t>
  </si>
  <si>
    <t xml:space="preserve"> Gifted and Talented (ECEA)</t>
  </si>
  <si>
    <t xml:space="preserve"> Transportation</t>
  </si>
  <si>
    <t>Teacher Pay Incentive</t>
  </si>
  <si>
    <t>Service Provided within the BOCES: State Level</t>
  </si>
  <si>
    <t xml:space="preserve"> Services Provided Other Colorado Districts or BOCES: State Level</t>
  </si>
  <si>
    <t>Purchased Services from Districts by Charter Schools (5% Administrative)</t>
  </si>
  <si>
    <t>Lease Holding Improvements</t>
  </si>
  <si>
    <t>New Construction</t>
  </si>
  <si>
    <t>0723</t>
  </si>
  <si>
    <t>23</t>
  </si>
  <si>
    <t>Major Renovations</t>
  </si>
  <si>
    <t>24</t>
  </si>
  <si>
    <t>25</t>
  </si>
  <si>
    <t>26</t>
  </si>
  <si>
    <t>27</t>
  </si>
  <si>
    <t>a2</t>
  </si>
  <si>
    <t>a3</t>
  </si>
  <si>
    <t>Full Day Kindergarten Mill Levy Override Fund</t>
  </si>
  <si>
    <t>q</t>
  </si>
  <si>
    <t>Fioundation Funds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</si>
  <si>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</si>
  <si>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</si>
  <si>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</si>
  <si>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</si>
  <si>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</si>
  <si>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</si>
  <si>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</si>
  <si>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</si>
  <si>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</si>
  <si>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</si>
  <si>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</si>
  <si>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</si>
  <si>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</si>
  <si>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</si>
  <si>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</si>
  <si>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</si>
  <si>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</si>
  <si>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</si>
  <si>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</si>
  <si>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</si>
  <si>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</si>
  <si>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</si>
  <si>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</si>
  <si>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TOTAL EXPENDITURES AND OTHER USES (Sum of lines 28,40,43)</t>
  </si>
  <si>
    <t>Total Instructional Program Expenditures (Sum of lines 18-27)</t>
  </si>
  <si>
    <t>Total Support Program Expenditures (Sum of lines 29-39)</t>
  </si>
  <si>
    <t>TOTAL CAPITAL RESERVE FUND EXPENDITURES AND APPROPRIATED RESERVES (Sum of lines 44 &amp; 50)</t>
  </si>
  <si>
    <t>1910</t>
  </si>
  <si>
    <t>1920</t>
  </si>
  <si>
    <t>1930</t>
  </si>
  <si>
    <t>Rentals/Leases</t>
  </si>
  <si>
    <t>Contributions and Donations for Private Sources</t>
  </si>
  <si>
    <t>Salaries - additional items</t>
  </si>
  <si>
    <t>Employee Benefits - addl items</t>
  </si>
  <si>
    <t>Sale of Fixed Assets</t>
  </si>
  <si>
    <t>1954</t>
  </si>
  <si>
    <t>Services Provided Charter Schools: local</t>
  </si>
  <si>
    <t>3954</t>
  </si>
  <si>
    <t>TOTAL REVENUE FROM LOCAL SOURCES (Sum of lines 1-38)</t>
  </si>
  <si>
    <t>TOTAL NET REVENUE FROM STATE SOURCES (Sum of lines 41-62)</t>
  </si>
  <si>
    <t>4954</t>
  </si>
  <si>
    <t>Services Provided Charter Schools: State Level</t>
  </si>
  <si>
    <t>Services Provided Charter Schools: Federal Level</t>
  </si>
  <si>
    <t>Transportation Fees from Other Colorado Districts or BOCES (or AU)</t>
  </si>
  <si>
    <t>1430</t>
  </si>
  <si>
    <t>Transportation Fees from School Districts Outside the State</t>
  </si>
  <si>
    <t>1440</t>
  </si>
  <si>
    <t>Transportation Fees from Other Sources</t>
  </si>
  <si>
    <t>1490</t>
  </si>
  <si>
    <t>Other Transportation Fees</t>
  </si>
  <si>
    <t>Transportation Fees from WITHIN the BOCES (or AU)</t>
  </si>
  <si>
    <t>1600</t>
  </si>
  <si>
    <t>Food Services</t>
  </si>
  <si>
    <t>Pupil Activities</t>
  </si>
  <si>
    <t>1740</t>
  </si>
  <si>
    <t>Fees</t>
  </si>
  <si>
    <t>3116</t>
  </si>
  <si>
    <t>School Construction and Renovation Project</t>
  </si>
  <si>
    <t>5500</t>
  </si>
  <si>
    <t>5400</t>
  </si>
  <si>
    <t>Capital Leases</t>
  </si>
  <si>
    <t>0632</t>
  </si>
  <si>
    <t>note: fund 63 may be used as an other risk-related activity fund. It will roll into fund 64 if used.</t>
  </si>
  <si>
    <t>Funds 61-62 and 65-69:  OTHER INTERNAL SERVICE FUNDS</t>
  </si>
  <si>
    <t>Fund 42:  SPECIAL BUILDING AND TECHNOLOGY FUND</t>
  </si>
  <si>
    <t>Fund 43:  CAPITAL RESERVE CAPITAL PROJECTS FUND</t>
  </si>
  <si>
    <t xml:space="preserve">     Total Education for Adults Services</t>
  </si>
  <si>
    <t>Fund 11: CHARTER FUND REVENUE</t>
  </si>
  <si>
    <t>Fund 11:  CHARTER FUND EXPENDITURES</t>
  </si>
  <si>
    <t>Fund 11: CHARTER FUND EXPENDITURES</t>
  </si>
  <si>
    <t>0750-0799</t>
  </si>
  <si>
    <t>TOTAL EXPENDITURES AND OTHER USES(Sum of lines 11 - 24)</t>
  </si>
  <si>
    <t>TOTAL APPROPRIATED RESERVES (Sum of 26 - 30)</t>
  </si>
  <si>
    <t>TOTAL BUILDING FUND EXPENDITURES AND APPROPRIATED RESERVES (Sum of lines 25 &amp; 31)</t>
  </si>
  <si>
    <t>Total Instructional Program Expenditures (Sum of lines 18-32)</t>
  </si>
  <si>
    <t>Total Support Program Expenditures (Sum of lines 34-48)</t>
  </si>
  <si>
    <t>FEDERAL FUNDS NOT IN OTHER FUNDS</t>
  </si>
  <si>
    <t>Total Other Uses Expenditures (Sum of lines 50-51)</t>
  </si>
  <si>
    <t>TOTAL EXPENDITURES AND OTHER USES (Sum of lines 33,49,52)</t>
  </si>
  <si>
    <t>TOTAL CAPITAL RESERVE CAPITAL PROJECTS FUND EXPENDITURES AND APPROPRIATED RESERVES (Sum of lines 53 &amp; 59)</t>
  </si>
  <si>
    <t>Delinquent Taxes and Penalties and Interest on Taxes</t>
  </si>
  <si>
    <t>Other Taxes from Local Sources</t>
  </si>
  <si>
    <t>Tuition from Individuals</t>
  </si>
  <si>
    <t>Summer School/Interterm/Intercession Fees</t>
  </si>
  <si>
    <t xml:space="preserve">Allocation from General Fund.  </t>
  </si>
  <si>
    <t>GENERAL INSTRUCTIONS</t>
  </si>
  <si>
    <r>
      <t>COUNTY: ALAMOSA</t>
    </r>
    <r>
      <rPr>
        <b/>
        <sz val="10"/>
        <rFont val="Arial"/>
      </rPr>
      <t/>
    </r>
  </si>
  <si>
    <r>
      <t>DISTRICT NAME:</t>
    </r>
    <r>
      <rPr>
        <sz val="12"/>
        <rFont val="Arial"/>
        <family val="2"/>
      </rPr>
      <t xml:space="preserve"> </t>
    </r>
    <r>
      <rPr>
        <i/>
        <sz val="12"/>
        <rFont val="Arial"/>
        <family val="2"/>
      </rPr>
      <t>ALAMOSA RE-11J</t>
    </r>
  </si>
  <si>
    <r>
      <t>ESTIMATED FUNDED PUPIL COUNT: 3000</t>
    </r>
    <r>
      <rPr>
        <b/>
        <sz val="10"/>
        <rFont val="Arial"/>
      </rPr>
      <t/>
    </r>
  </si>
  <si>
    <t>Complete the CDE-18 pages for funds that only pertain to your district</t>
  </si>
  <si>
    <r>
      <t xml:space="preserve">In cell </t>
    </r>
    <r>
      <rPr>
        <b/>
        <sz val="12"/>
        <rFont val="Arial"/>
        <family val="2"/>
      </rPr>
      <t>B5, F5, C7</t>
    </r>
    <r>
      <rPr>
        <sz val="12"/>
        <rFont val="Arial"/>
        <family val="2"/>
      </rPr>
      <t>and</t>
    </r>
    <r>
      <rPr>
        <b/>
        <sz val="12"/>
        <rFont val="Arial"/>
        <family val="2"/>
      </rPr>
      <t xml:space="preserve"> F7</t>
    </r>
    <r>
      <rPr>
        <sz val="12"/>
        <rFont val="Arial"/>
        <family val="2"/>
      </rPr>
      <t xml:space="preserve"> on page 1, enter the header information exactly as it is to appears below.</t>
    </r>
  </si>
  <si>
    <t>FOUR DIGIT DISTRICT/BOCES CODE: 0100</t>
  </si>
  <si>
    <t>Financial Policies and Procedures Handbook</t>
  </si>
  <si>
    <t>After completing the CDE-18 -review the error report.  Make appropriate corrections to fund pages to correct errors.</t>
  </si>
  <si>
    <t>Services Provided Other Units: State Level</t>
  </si>
  <si>
    <t>Impact Aid</t>
  </si>
  <si>
    <t>Handicapped Education</t>
  </si>
  <si>
    <t>All Other Federal Revenue Codes</t>
  </si>
  <si>
    <t>Other Sources</t>
  </si>
  <si>
    <t>1900</t>
  </si>
  <si>
    <t>Other Revenue from Local Sources</t>
  </si>
  <si>
    <t>3114</t>
  </si>
  <si>
    <t>3115</t>
  </si>
  <si>
    <t>Increasing Enrollment Aid</t>
  </si>
  <si>
    <t>Tracking On-Line Programs</t>
  </si>
  <si>
    <t>3190</t>
  </si>
  <si>
    <t>Homestead Act Reimbursement</t>
  </si>
  <si>
    <t>3900</t>
  </si>
  <si>
    <t>Other State Revenue From CDE Sources</t>
  </si>
  <si>
    <t>3950</t>
  </si>
  <si>
    <t xml:space="preserve">Employee Benefits - staff details tab  </t>
  </si>
  <si>
    <t>State Revenue from Agencies Other Than CDE</t>
  </si>
  <si>
    <t>4951</t>
  </si>
  <si>
    <t>Services Provided within BOCES: Federal Level</t>
  </si>
  <si>
    <t>4952</t>
  </si>
  <si>
    <t>Services Provided other Colorado Districts  or BOCES: Federal Level</t>
  </si>
  <si>
    <t>4959</t>
  </si>
  <si>
    <t>Services Provided Other Units: Federal Level</t>
  </si>
  <si>
    <t>5900</t>
  </si>
  <si>
    <t>3170</t>
  </si>
  <si>
    <t>Small Attendance Center Aid</t>
  </si>
  <si>
    <t>1321</t>
  </si>
  <si>
    <t>1322</t>
  </si>
  <si>
    <t>1323</t>
  </si>
  <si>
    <t>1324</t>
  </si>
  <si>
    <t>1330</t>
  </si>
  <si>
    <t>Tuition from WITHIN the BOCES (or Administrative Unit(AU))</t>
  </si>
  <si>
    <t>Tuition from Excess Costs</t>
  </si>
  <si>
    <t>Tuition from CDE for Out-of District Placed Pupils</t>
  </si>
  <si>
    <t>Tuition from School Districts Outside the State</t>
  </si>
  <si>
    <t>Tuition from Other Sources</t>
  </si>
  <si>
    <t>1410</t>
  </si>
  <si>
    <t>1411</t>
  </si>
  <si>
    <t>Transportation Fees From Individuals for Activities</t>
  </si>
  <si>
    <t>1421</t>
  </si>
  <si>
    <t>Tuition from Other Colorado Districts or BOCES (or AU)</t>
  </si>
  <si>
    <t>1422</t>
  </si>
  <si>
    <t xml:space="preserve">     TABOR Worksheets (2 pages)</t>
  </si>
  <si>
    <t>Total Instructional Program Expenditures (Sum of lines 9-38)</t>
  </si>
  <si>
    <t xml:space="preserve">     Consolidated Budget Summary (6 pages)</t>
  </si>
  <si>
    <t>E-MAIL</t>
  </si>
  <si>
    <t xml:space="preserve">     </t>
  </si>
  <si>
    <r>
      <t xml:space="preserve">Please enter information in the cells with </t>
    </r>
    <r>
      <rPr>
        <sz val="12"/>
        <color indexed="12"/>
        <rFont val="Arial"/>
        <family val="2"/>
      </rPr>
      <t xml:space="preserve">Blue Text.  </t>
    </r>
    <r>
      <rPr>
        <sz val="12"/>
        <rFont val="Arial"/>
        <family val="2"/>
      </rPr>
      <t>Do not use decimals when entering data in the CDE-18 report.</t>
    </r>
  </si>
  <si>
    <t>2400 - School Administration</t>
  </si>
  <si>
    <t>TOTAL SCHOOL ADMINISTRATION SUPPORT</t>
  </si>
  <si>
    <t>2500 - Business Services</t>
  </si>
  <si>
    <t>TOTAL BUSINESS SERVICES SUPPORT</t>
  </si>
  <si>
    <t>Fund 51:  FOOD SERVICE FUND</t>
  </si>
  <si>
    <t>BEGINNING RETAINED EARNINGS</t>
  </si>
  <si>
    <t>EXPENSES AND OTHER USES</t>
  </si>
  <si>
    <t>0633</t>
  </si>
  <si>
    <t>0600-0699 not 0630-0639</t>
  </si>
  <si>
    <t>0735</t>
  </si>
  <si>
    <t>0740</t>
  </si>
  <si>
    <t>0869</t>
  </si>
  <si>
    <t>9200</t>
  </si>
  <si>
    <t>0730</t>
  </si>
  <si>
    <t>Funds 52-59: OTHER ENTERPRISE FUNDS</t>
  </si>
  <si>
    <t>*Round to Nearest Dollar*</t>
  </si>
  <si>
    <t>Fund 64:  RISK-RELATED ACTIVITY FUND</t>
  </si>
  <si>
    <t>TRANSFERS</t>
  </si>
  <si>
    <t>FUND</t>
  </si>
  <si>
    <t>SUPPORT SERVICES PROGRAM CODES</t>
  </si>
  <si>
    <t>2100 - Students</t>
  </si>
  <si>
    <t>2200 - Instructional Staff</t>
  </si>
  <si>
    <t>TOTAL STUDENT SUPPORT</t>
  </si>
  <si>
    <t>TOTAL INSTRUCTIONAL STAFF SUPPORT</t>
  </si>
  <si>
    <t>2300 - General Administration</t>
  </si>
  <si>
    <t>TOTAL GENERAL ADMINISTRATION SUPPORT</t>
  </si>
  <si>
    <r>
      <t xml:space="preserve">0070 - Gifted and Talented Education </t>
    </r>
    <r>
      <rPr>
        <b/>
        <sz val="8"/>
        <color indexed="10"/>
        <rFont val="Helv"/>
      </rPr>
      <t>(All Gifted and Talented Education accounts should be coded with Grant Code 3150)</t>
    </r>
  </si>
  <si>
    <t>Unemployment Compensation Insurance - Program Code 2850 (or 2800)</t>
  </si>
  <si>
    <t>Workers' Compensation Insurance - Program Code 2850 (or 2800)</t>
  </si>
  <si>
    <t>District Student Insurance - Program Code 2850 (or 2800)</t>
  </si>
  <si>
    <t>Please Note:  Object codes 0520 through 0529 are non-bolded codes that roll to the bolded "0500 - Other Purchased Services" in the Automated Data Exchange.</t>
  </si>
  <si>
    <t>Federal Sources - School Breakfast Program (CFDA # 10.553)</t>
  </si>
  <si>
    <t>For your Accountability Report: Report Card Data.</t>
  </si>
  <si>
    <t>Please Refer the the Appropriate Appendix ("R") in the Chart of Accounts for further information regarding how you must use this fund.</t>
  </si>
  <si>
    <t>Please Refer to the Chart of Accounts for further information regarding how you must use this fund.</t>
  </si>
  <si>
    <t>2600 - Operations and Maintenance</t>
  </si>
  <si>
    <t>TOTAL OPERATIONS AND MAINTENANCE</t>
  </si>
  <si>
    <t>2700 - Student Transportation</t>
  </si>
  <si>
    <t>TOTAL STUDENT TRANSPORTATION</t>
  </si>
  <si>
    <t>2800 - Central Support</t>
  </si>
  <si>
    <t>TOTAL CENTRAL SUPPORT</t>
  </si>
  <si>
    <t>2900 - Other Support</t>
  </si>
  <si>
    <t>TOTAL OTHER SUPPORT</t>
  </si>
  <si>
    <t>3100 - Food Service Operations</t>
  </si>
  <si>
    <t>0630</t>
  </si>
  <si>
    <t>TOTAL FOOD SERVICE OPERATIONS</t>
  </si>
  <si>
    <t>3300 - Community Services</t>
  </si>
  <si>
    <t>TOTAL COMMUNITY SERVICES</t>
  </si>
  <si>
    <t>3400 - Education for Adults</t>
  </si>
  <si>
    <t>TOTAL EDUCATION FOR ADULTS</t>
  </si>
  <si>
    <t>4000 - FACILITIES ACQUISITION AND CONSTRUCTION SERVICES</t>
  </si>
  <si>
    <t>TOTAL FACILITIES ACQUISITION AND CONSTRUCTION SERVICES</t>
  </si>
  <si>
    <t>1610-1614</t>
  </si>
  <si>
    <t>Reimbursable food Service Revenue</t>
  </si>
  <si>
    <t>0520</t>
  </si>
  <si>
    <t>0521</t>
  </si>
  <si>
    <t>0523</t>
  </si>
  <si>
    <t>0524</t>
  </si>
  <si>
    <t>Federal Revenue from CDE</t>
  </si>
  <si>
    <t>Federal Revenue from other State Source</t>
  </si>
  <si>
    <t>Federal Revenue directly from Federal Government</t>
  </si>
  <si>
    <t>4010</t>
  </si>
  <si>
    <t>4020</t>
  </si>
  <si>
    <t>5819</t>
  </si>
  <si>
    <t>PRIOR YEAR</t>
  </si>
  <si>
    <t>CURRENT YEAR</t>
  </si>
  <si>
    <r>
      <t xml:space="preserve">CURRENT FISCAL YEAR </t>
    </r>
    <r>
      <rPr>
        <b/>
        <sz val="8"/>
        <rFont val="Helv"/>
      </rPr>
      <t>PROJECTED TABOR PROPERTY TAX LIMITATION</t>
    </r>
  </si>
  <si>
    <r>
      <t xml:space="preserve">CURRENT FISCAL YEAR </t>
    </r>
    <r>
      <rPr>
        <b/>
        <sz val="8"/>
        <rFont val="Helv"/>
      </rPr>
      <t>PROJECTED TABOR SPENDING LIMITATION</t>
    </r>
  </si>
  <si>
    <t>1. Enter Current FY Fund Data as Listed below.</t>
  </si>
  <si>
    <t>TOTAL CURRENT FY TABOR EXPENDITURES</t>
  </si>
  <si>
    <t>TOTAL CURRENT FY TABOR DEDUCTIONS</t>
  </si>
  <si>
    <t>7. MAXIMUM ALLOWED TABOR SPENDING FOR CURRENT FY (line 3 plus line 6)</t>
  </si>
  <si>
    <t>0525</t>
  </si>
  <si>
    <t>0526</t>
  </si>
  <si>
    <t>0527</t>
  </si>
  <si>
    <t>0528</t>
  </si>
  <si>
    <t>0522</t>
  </si>
  <si>
    <t>Insurance Premiums</t>
  </si>
  <si>
    <t>Property Insurance - Program Code 2620 (or 2600)</t>
  </si>
  <si>
    <t>Fidelity Insurance - Program Code 2850 (or 2800)</t>
  </si>
  <si>
    <t>1340</t>
  </si>
  <si>
    <t>All Other Local Revenue Codes</t>
  </si>
  <si>
    <t>1.  General Fund</t>
  </si>
  <si>
    <t xml:space="preserve">25        Transportation </t>
  </si>
  <si>
    <t>30                        Debt Service Fund</t>
  </si>
  <si>
    <t>31                        Bond Redemption</t>
  </si>
  <si>
    <t>41                    Building Fund</t>
  </si>
  <si>
    <t>42                    Special Building &amp; Technology</t>
  </si>
  <si>
    <t>43                       Capital Reserve Capital Projects</t>
  </si>
  <si>
    <t>50                   Enterprise Funds</t>
  </si>
  <si>
    <t>51                         Food Service</t>
  </si>
  <si>
    <t xml:space="preserve">60                   Internal Service </t>
  </si>
  <si>
    <t>Federal Sources - School Lunch Program (CFDA # 10.555, 10.556, 10.559, 10.564)</t>
  </si>
  <si>
    <t>Commodity Fees</t>
  </si>
  <si>
    <t>0630-0639 not 0632-0633</t>
  </si>
  <si>
    <t>Commodities</t>
  </si>
  <si>
    <t>Other Supplies</t>
  </si>
  <si>
    <t>0800-0899 not 0869</t>
  </si>
  <si>
    <t>Tuition Charges</t>
  </si>
  <si>
    <t>Food Service</t>
  </si>
  <si>
    <t>Pupil Activity</t>
  </si>
  <si>
    <t>1800</t>
  </si>
  <si>
    <t>TOTAL GENERAL FUND EXPENDITURES AND APPROPRIATED RESERVES</t>
  </si>
  <si>
    <t>TOTAL APPROPRIATED RESERVES</t>
  </si>
  <si>
    <t xml:space="preserve">      ---MUST EQUAL AMOUNT ON APPROPRIATION RESOLUTION PAGE---</t>
  </si>
  <si>
    <t>TOTAL NET REVENUE</t>
  </si>
  <si>
    <t>DIFFERENCE MUST EQUAL 0</t>
  </si>
  <si>
    <t>5100 - Debt Service</t>
  </si>
  <si>
    <t>TOTAL EXPENDITURES AND OTHER USES</t>
  </si>
  <si>
    <t>TOTAL GENERAL FUND EXPENDITURES AND RESERVES</t>
  </si>
  <si>
    <t>Vehicles (for use with Program Code 0850 - Drivers Education only)</t>
  </si>
  <si>
    <t>Sum of all Fund 20 program linked Salaries lines  - Verify that grant codes are included on this tab.</t>
  </si>
  <si>
    <t>Sum of all Fund 20 program linked Benefits lines - Verify that grant codes are included on this tab.</t>
  </si>
  <si>
    <t>Sum of all Fund 22 program linked Salaries lines - Verify that grant codes are included on this tab.</t>
  </si>
  <si>
    <t>Sum of all Fund 22 program linked Benefits lines - Verify that grant codes are included on this tab.</t>
  </si>
  <si>
    <t>5000 - Other Uses</t>
  </si>
  <si>
    <t>APPROPRIATED RESERVES</t>
  </si>
  <si>
    <t>NON-APPROPRIATED RESERVES</t>
  </si>
  <si>
    <t>Object Codes</t>
  </si>
  <si>
    <t>TOTALS</t>
  </si>
  <si>
    <t>Funds 74:  PUPIL ACTIVITY AGENCY FUND</t>
  </si>
  <si>
    <t>BEGINNING ASSETS</t>
  </si>
  <si>
    <t>ARBITRAGE REBATE AMOUNT</t>
  </si>
  <si>
    <t>1. General Fund</t>
  </si>
  <si>
    <t>2. Building Fund</t>
  </si>
  <si>
    <t>3. Bond Fund</t>
  </si>
  <si>
    <t>5. TOTAL FOR ALL FUNDS (Sum of lines 1-4)</t>
  </si>
  <si>
    <t>COMPONENT UNIT REVENUE AND EXPENDITURES/EXPENSES</t>
  </si>
  <si>
    <t>1. Charges for Services</t>
  </si>
  <si>
    <t>2. Property Taxes</t>
  </si>
  <si>
    <t>Not Required</t>
  </si>
  <si>
    <t>3. Earning on Investments</t>
  </si>
  <si>
    <t>4. Other Revenue</t>
  </si>
  <si>
    <t>EXPENDITURES/EXPENSES AND OTHER USES</t>
  </si>
  <si>
    <t>10. TOTAL EXPENDITURES/EXPENSES (Sum of lines 8-9)</t>
  </si>
  <si>
    <t>1951</t>
  </si>
  <si>
    <t>1952</t>
  </si>
  <si>
    <t>1959</t>
  </si>
  <si>
    <t>3112</t>
  </si>
  <si>
    <t>3113</t>
  </si>
  <si>
    <t>3180</t>
  </si>
  <si>
    <t>3951</t>
  </si>
  <si>
    <t>3952</t>
  </si>
  <si>
    <t>3959</t>
  </si>
  <si>
    <t>56XX</t>
  </si>
  <si>
    <t>5810</t>
  </si>
  <si>
    <t xml:space="preserve">This is not a TRUE fund that requires budgetary control.  </t>
  </si>
  <si>
    <t xml:space="preserve">It is a "fund" that CDE has established for you to tell us what your district debt information is. </t>
  </si>
  <si>
    <t xml:space="preserve">     Total Operations and Maintenance</t>
  </si>
  <si>
    <t>Student Transportation - Program 2700</t>
  </si>
  <si>
    <t xml:space="preserve">     Total Student Transportation</t>
  </si>
  <si>
    <t>Central Support - Program 2800</t>
  </si>
  <si>
    <t>0300,0400 ,0500</t>
  </si>
  <si>
    <t xml:space="preserve">     Total Central Support</t>
  </si>
  <si>
    <t>Other Support - Program 2900</t>
  </si>
  <si>
    <t xml:space="preserve">     Total Other Support</t>
  </si>
  <si>
    <t>Food Service Operations - Program 3100</t>
  </si>
  <si>
    <t>Enterprise Operatings - Program 3200</t>
  </si>
  <si>
    <t xml:space="preserve">     Total Enterprise Operations</t>
  </si>
  <si>
    <t>Pre-School Fund</t>
  </si>
  <si>
    <t>p</t>
  </si>
  <si>
    <t>1a.</t>
  </si>
  <si>
    <t>Pre</t>
  </si>
  <si>
    <t>School</t>
  </si>
  <si>
    <t>11. Appropriated Reserves</t>
  </si>
  <si>
    <t>12. TOTAL EXPENDITURES/EXPENSES AND APPROPRIATED RESERVES (Sum of lines 10-11)</t>
  </si>
  <si>
    <t xml:space="preserve">      ---LINE 12 MUST EQUAL AMOUNT ON APPROPRIATION RESOLUTION PAGE---</t>
  </si>
  <si>
    <t>13. Total Non-Appropriated Reserves</t>
  </si>
  <si>
    <t>14. TOTAL EXPENDITURES/EXPENSES AND RESERVES (Sum of lines 12-13)</t>
  </si>
  <si>
    <t>TABOR  EMERGENCY RESERVES</t>
  </si>
  <si>
    <t>1. General Fund (includes Charter School Fund)</t>
  </si>
  <si>
    <r>
      <t xml:space="preserve">OTHER SOURCES - </t>
    </r>
    <r>
      <rPr>
        <i/>
        <sz val="8"/>
        <color indexed="10"/>
        <rFont val="Helv"/>
      </rPr>
      <t>LIST ALL GRANTS BY GRANT/PROJECT CODE, TITLE AND FUND</t>
    </r>
  </si>
  <si>
    <t>OTHER SOURCES</t>
  </si>
  <si>
    <t>TOTAL GOVERNMENTAL DESIGNATED PURPOSE GRANTS FUND EXPENDITURES AND APPROPRIATED RESERVES</t>
  </si>
  <si>
    <t>CAPITAL RESERVE FUND</t>
  </si>
  <si>
    <t>80.</t>
  </si>
  <si>
    <t>PROGRAMS 0010-2099</t>
  </si>
  <si>
    <t>PROGRAMS 0010-9900</t>
  </si>
  <si>
    <t>3000</t>
  </si>
  <si>
    <t>State Matching Child Nutrition: Grant 3161</t>
  </si>
  <si>
    <t>School Breakfast Program: Grant 3162</t>
  </si>
  <si>
    <t>Start Smart Nutrition: Grant 3164</t>
  </si>
  <si>
    <t>10</t>
  </si>
  <si>
    <t>11</t>
  </si>
  <si>
    <t>81.</t>
  </si>
  <si>
    <t>SCHOOL DISTRICT</t>
  </si>
  <si>
    <t>DISTRICT CODE</t>
  </si>
  <si>
    <t>10                   General Fund</t>
  </si>
  <si>
    <t>11                      Charter School Fund</t>
  </si>
  <si>
    <t>18               Insurance Reserve / Risk-Management</t>
  </si>
  <si>
    <t xml:space="preserve">19              Preschool and Kindergarten </t>
  </si>
  <si>
    <t>21                       Capital Reserve</t>
  </si>
  <si>
    <t>22                 Governmental Designated Grants Fund</t>
  </si>
  <si>
    <t xml:space="preserve">23                       Pupil Activity </t>
  </si>
  <si>
    <t>time it adopts the budget.  The appropriation resolution shall specify the amount of money</t>
  </si>
  <si>
    <t>If you treat Transfers Out as an expenditure - report such amounts here:</t>
  </si>
  <si>
    <t>If you treat Allocations Out as an expenditure - report such amounts here:</t>
  </si>
  <si>
    <t>76a.</t>
  </si>
  <si>
    <t>83a.</t>
  </si>
  <si>
    <t>84a.</t>
  </si>
  <si>
    <t>85a.</t>
  </si>
  <si>
    <t>Transfers and Allocations Out (as reported at the bottom of the GenFundREV page)</t>
  </si>
  <si>
    <t>Link of amounts from the GenFundREV page</t>
  </si>
  <si>
    <t>NOTE-1:</t>
  </si>
  <si>
    <t>NOTE-2:</t>
  </si>
  <si>
    <t>The above four lines will be linked for inclusion in the "TOTAL OTHER USES" line on the GenFund Exp2 page.</t>
  </si>
  <si>
    <t>Transfer To________________Fund(s) (input as a positive number on this line)</t>
  </si>
  <si>
    <t>*</t>
  </si>
  <si>
    <t>Unless Transfers Out are recognized as an expenditure per above treatment.</t>
  </si>
  <si>
    <r>
      <t xml:space="preserve">Input the next three lines as a positive number </t>
    </r>
    <r>
      <rPr>
        <b/>
        <sz val="8"/>
        <rFont val="Helv"/>
      </rPr>
      <t>(See NOTE-2 below)</t>
    </r>
  </si>
  <si>
    <r>
      <t xml:space="preserve">REVENUE FROM OTHER SOURCES </t>
    </r>
    <r>
      <rPr>
        <b/>
        <i/>
        <sz val="8"/>
        <rFont val="Helv"/>
      </rPr>
      <t>(See NOTE-1 below)</t>
    </r>
  </si>
  <si>
    <t>fund tabs in this workbook.</t>
  </si>
  <si>
    <r>
      <t xml:space="preserve">If a cell is </t>
    </r>
    <r>
      <rPr>
        <sz val="12"/>
        <color indexed="14"/>
        <rFont val="Arial"/>
        <family val="2"/>
      </rPr>
      <t>"Pink"</t>
    </r>
    <r>
      <rPr>
        <sz val="12"/>
        <rFont val="Arial"/>
        <family val="2"/>
      </rPr>
      <t xml:space="preserve"> is input is not valid and must be fixed.  </t>
    </r>
  </si>
  <si>
    <t>The "Salary" column of the "Staff Details" tab may be modified if needed, by overwriting the cell input.</t>
  </si>
  <si>
    <r>
      <t xml:space="preserve">Columns highlighted in </t>
    </r>
    <r>
      <rPr>
        <sz val="12"/>
        <color indexed="45"/>
        <rFont val="Arial"/>
        <family val="2"/>
      </rPr>
      <t xml:space="preserve">"Rose" </t>
    </r>
    <r>
      <rPr>
        <sz val="12"/>
        <rFont val="Arial"/>
        <family val="2"/>
      </rPr>
      <t>are linked to the various fund tabs in this workbook.</t>
    </r>
  </si>
  <si>
    <t>Tuition Paid Within the BOCES or AU</t>
  </si>
  <si>
    <t>Tuition Paid to Other Colorado Districts or BOCES or AU</t>
  </si>
  <si>
    <t>Tuition to School Districts Outside The State</t>
  </si>
  <si>
    <t>Tuition To Private Sources</t>
  </si>
  <si>
    <t>Tuition - Other</t>
  </si>
  <si>
    <t>TOTAL GRANT EXPENDITURES NOT IN OTHER FUNDS</t>
  </si>
  <si>
    <t>Travel, Registration, and Entrance</t>
  </si>
  <si>
    <t>0591</t>
  </si>
  <si>
    <t>0592</t>
  </si>
  <si>
    <t>0593</t>
  </si>
  <si>
    <t>0594</t>
  </si>
  <si>
    <t>0640</t>
  </si>
  <si>
    <t>Services Purchased Within the BOCES or AU</t>
  </si>
  <si>
    <t>Component Unit Revenues and Expenditures/Expenses . . . . . . . . . . . . . . . . . . . . . . . . . . . . . . . . . . .</t>
  </si>
  <si>
    <t>Capital Projects Funds:</t>
  </si>
  <si>
    <t>**The ALLOCATION FROM GENERAL FUND ON LINE 15 MUST BE INCLUDED IN THE AMOUNT ON LINE 83 or LINE 83a GENERAL FUND REVENUES</t>
  </si>
  <si>
    <t>Link of amounts from line 12a above</t>
  </si>
  <si>
    <t>Transfers Out (as reported on line 12a above)</t>
  </si>
  <si>
    <t>Transfer From(+)/To(-)________________Fund(s) (Net to zero across all funds) NOTE-1</t>
  </si>
  <si>
    <t>7a</t>
  </si>
  <si>
    <t>The above four lines will be linked for inclusion in the "TOTAL OTHER USES" line on the CharterFund Exp2 page.</t>
  </si>
  <si>
    <t>Transfers and Allocations Out (as reported at the bottom of the CharterFundREV page)</t>
  </si>
  <si>
    <t>Link of amounts from the CharterFundREV page</t>
  </si>
  <si>
    <t xml:space="preserve">     Total Other Uses</t>
  </si>
  <si>
    <t>Transfer From(+)/To(-)________________Fund(s) (Net to zero across all funds)* NOTE-1</t>
  </si>
  <si>
    <t>**The ALLOCATION FROM GENERAL FUND ON LINE 7 MUST BE INCLUDED IN THE AMOUNT ON LINE 83 or LINE 83a OF GENERAL FUND REVENUE.</t>
  </si>
  <si>
    <t>Transfers Out if reported as an expenditure - Linked from line 5a above</t>
  </si>
  <si>
    <t>Other Uses - Program 5000s - including Transfers Out and/or Allocations Out as an expenditure</t>
  </si>
  <si>
    <t>appropriated to each fund; except that the operating reserve authorized by section</t>
  </si>
  <si>
    <t>that the amounts shown in the following schedule be appropriated to each fund</t>
  </si>
  <si>
    <t>63                           Risk-Related Activity</t>
  </si>
  <si>
    <t>64                            Risk Related Activity</t>
  </si>
  <si>
    <t>72                      Private-Purpose Trust</t>
  </si>
  <si>
    <t xml:space="preserve">73                           Agency </t>
  </si>
  <si>
    <t>74                         Pupil Activity Agency</t>
  </si>
  <si>
    <t xml:space="preserve">85           Foundations </t>
  </si>
  <si>
    <t>Budgeted Pupil Count</t>
  </si>
  <si>
    <t>BEGINNING FUND BALANCE                               (Includes ALL Reserves)</t>
  </si>
  <si>
    <t>Object/ Source</t>
  </si>
  <si>
    <t>REVENUES</t>
  </si>
  <si>
    <t>1000 - 1999</t>
  </si>
  <si>
    <t>2000 - 2999</t>
  </si>
  <si>
    <t>3000 - 3999</t>
  </si>
  <si>
    <t>4000 - 4999</t>
  </si>
  <si>
    <t>TOTAL REVENUES</t>
  </si>
  <si>
    <t>**Note:  The ALLOCATION FROM GENERAL FUND ON LINE 15 MUST BE INCLUDED IN THE AMOUNT ON LINE 83 or LINE 83a OF GENERAL FUND REVENUE.</t>
  </si>
  <si>
    <t>11a</t>
  </si>
  <si>
    <t>Transfers Out if reported as an expenditure - Linked from line 11a above</t>
  </si>
  <si>
    <t>Transfers Out if reported as an expenditure - Linked from line 6a above</t>
  </si>
  <si>
    <t>ED</t>
  </si>
  <si>
    <t>Fund 24:</t>
  </si>
  <si>
    <t>3111</t>
  </si>
  <si>
    <t>41a</t>
  </si>
  <si>
    <t>65a.</t>
  </si>
  <si>
    <t>65b.</t>
  </si>
  <si>
    <t>Federal Revenue - ARRA - Education Stabilization Funding (Grant Code:  4394)</t>
  </si>
  <si>
    <t>District Emergency Reserve</t>
  </si>
  <si>
    <t>Allocation From General Fund**  (Optional starting in FY09-10)</t>
  </si>
  <si>
    <t xml:space="preserve">  District Emergency Reserve - Program 9315</t>
  </si>
  <si>
    <t>Transfers Out if reported as an expenditure - Linked from line 2a above</t>
  </si>
  <si>
    <t>6. Transfer From(+)/To(-)________________Fund(s) (Net to zero across all funds) NOTE-1</t>
  </si>
  <si>
    <t>0300,0400, 0500</t>
  </si>
  <si>
    <t xml:space="preserve">  Supplies and Materials</t>
  </si>
  <si>
    <t xml:space="preserve">  Property</t>
  </si>
  <si>
    <t xml:space="preserve">  Other</t>
  </si>
  <si>
    <t>0800, 0900</t>
  </si>
  <si>
    <t xml:space="preserve">     Total Instruction</t>
  </si>
  <si>
    <t>Supporting Services</t>
  </si>
  <si>
    <t>Students - Program 2100</t>
  </si>
  <si>
    <t xml:space="preserve">     Total Students</t>
  </si>
  <si>
    <t>Instructional Staff - Program 2200</t>
  </si>
  <si>
    <t xml:space="preserve">     Total Instructional Staff</t>
  </si>
  <si>
    <t>General Administration - Program 2300</t>
  </si>
  <si>
    <t xml:space="preserve">     Total School Administration</t>
  </si>
  <si>
    <t>School Administration - Program 2400</t>
  </si>
  <si>
    <t xml:space="preserve">  Property </t>
  </si>
  <si>
    <t>Business Services - Program 2500</t>
  </si>
  <si>
    <t xml:space="preserve">      Total Business Services</t>
  </si>
  <si>
    <t>Operations and Maintenance - Program 2600</t>
  </si>
  <si>
    <t>OTHER ENTERPRISE FUND</t>
  </si>
  <si>
    <t>RISK-RELATED ACTIVITY FUND</t>
  </si>
  <si>
    <t>OTHER INTERNAL SERVICE FUNDS</t>
  </si>
  <si>
    <t>PUPIL ACTIVITY AGENCY FUNDS</t>
  </si>
  <si>
    <t>Funds 72-73 and 75-78:  TRUST AND OTHER AGENCY FUNDS</t>
  </si>
  <si>
    <t>TRUST AND OTHER AGENCY FUNDS</t>
  </si>
  <si>
    <t>COMPONENT UNIT FUNDS</t>
  </si>
  <si>
    <t>If there is a balance other than zero in this section then the fund is out of balance.</t>
  </si>
  <si>
    <t>Community Services - Program 3300</t>
  </si>
  <si>
    <t xml:space="preserve">     Total Community Services</t>
  </si>
  <si>
    <t xml:space="preserve">     Total Supporting Services</t>
  </si>
  <si>
    <t>Property - Program 4000</t>
  </si>
  <si>
    <t xml:space="preserve">     Total Property</t>
  </si>
  <si>
    <t xml:space="preserve">     TOTAL EXPENDITURES</t>
  </si>
  <si>
    <t xml:space="preserve">   Other Reserved Fund Balance  - Program 9900</t>
  </si>
  <si>
    <t>0840</t>
  </si>
  <si>
    <t xml:space="preserve">   Reserved Fund Balance - Program 9100</t>
  </si>
  <si>
    <t xml:space="preserve">      TOTAL RESERVES</t>
  </si>
  <si>
    <t xml:space="preserve">     TOTAL EXPENDITURES &amp; RESERVES</t>
  </si>
  <si>
    <t>NON-APPROPRIATED RESERVE - Program 9200</t>
  </si>
  <si>
    <t>TOTAL AVAILABLE BEGINNING FUND BALANCE &amp; REVENUES LESS TOTAL EXPENDITURES &amp; RESERVES LESS NON-APPROPRIATED RESERVES                                       (Should Equal Zero (0)</t>
  </si>
  <si>
    <t>Employee Benefits - staff details tab</t>
  </si>
  <si>
    <t>Note:  Amounts listed for each fund must not exceed reserves on corresponding fund page.</t>
  </si>
  <si>
    <t>The board of education of each school district shall adopt an appropriation resolution at the</t>
  </si>
  <si>
    <t>Be it resolved by the Board of Education of School District/BOCES</t>
  </si>
  <si>
    <t>FOUR DIGIT DISTRICT/BOCES CODE</t>
  </si>
  <si>
    <t>Miscellaneous Worksheets: (USE WHEN RELEVANT)</t>
  </si>
  <si>
    <t>Appropriation Resolution. . . . . . . . . . . . . . . . . . . . . . . . . . . . . . . . . . . . . . . . . . . . . . . . . . . . . . . . . . . . . . . . . . . .</t>
  </si>
  <si>
    <t>22-44-106(2) shall not be subject to appropriation for the fiscal year covered by the budget,</t>
  </si>
  <si>
    <t>and except that the appropriation resolution may, by reference, incorporate the budget as</t>
  </si>
  <si>
    <t>adopted by a board of education for the current fiscal year.</t>
  </si>
  <si>
    <t>EXPENDITURES +</t>
  </si>
  <si>
    <t>APPROPRIATION</t>
  </si>
  <si>
    <t>APPROPRIATED</t>
  </si>
  <si>
    <t>AMOUNT</t>
  </si>
  <si>
    <t>The amounts appropriated to a fund shall not exceed the amount thereof as specified in the</t>
  </si>
  <si>
    <t>The next column shows a sample appropriation resolution which may be adopted at the time</t>
  </si>
  <si>
    <t>the board of education adopts the budget.  See other appropriation resolutions in the</t>
  </si>
  <si>
    <t>(Signature, President of the Board) in accordance with 22-44-110(4).</t>
  </si>
  <si>
    <t>(Date of the adoption of the budget)</t>
  </si>
  <si>
    <t>Trust/Agency Funds:</t>
  </si>
  <si>
    <t>Fund 85:  FOUNDATION FUND</t>
  </si>
  <si>
    <t>Other Revenue and Other Sources</t>
  </si>
  <si>
    <t xml:space="preserve">85              Foundation Fund . . . . . . . . . . . . . . . . . . . . . . . . . . . . . . . . . . . . . . . . . . . . . . . . . . . . . . . . . . . . . . . . . . </t>
  </si>
  <si>
    <t>FOUNDATION FUNDS</t>
  </si>
  <si>
    <t>TOTAL APPROPRIATION</t>
  </si>
  <si>
    <t>ERROR REPORT</t>
  </si>
  <si>
    <t>CAPITAL RESERVE SPECIAL REVENUE FUND</t>
  </si>
  <si>
    <t xml:space="preserve">PUPIL ACTIVITY FUND </t>
  </si>
  <si>
    <t>TRANSPORTATION FUND</t>
  </si>
  <si>
    <t xml:space="preserve">OTHER SPECIAL REVENUE FUNDS </t>
  </si>
  <si>
    <t>BOND REDEMPTION FUND</t>
  </si>
  <si>
    <t>BUILDING FUND</t>
  </si>
  <si>
    <t xml:space="preserve">SPECIAL BUILDING AND TECHNOLOGY FUND </t>
  </si>
  <si>
    <t>20</t>
  </si>
  <si>
    <t>Fund 20: ARRA (Federal Stimulus Funding) Grants Fund     FY 2009-2010</t>
  </si>
  <si>
    <t>Fund 20:  GOVERNMENTAL DESIGNATED-PURPOSE GRANTS FUND</t>
  </si>
  <si>
    <t>You may "Hide" rows or columns that you are not using - under "Format", "Row" or "Column", "Hide"</t>
  </si>
  <si>
    <t xml:space="preserve">20               ARRA (Federal Stimulus Funding) Grants Fund   . . . . . . . . . . . . . . . . . . . . . . . . . . . . . . . . . . . . . . . . . . . .  </t>
  </si>
  <si>
    <t>21               Capital Reserve Special Revenue Fund . . . . . . . . . . . . . . . . . . . . . . . . . . . . . . . . . . . . . . . . . . . . . . . .</t>
  </si>
  <si>
    <t>CAPITAL RESERVE CAPITAL PROJECTS FUND</t>
  </si>
  <si>
    <t xml:space="preserve">FOOD SERVICE FUND </t>
  </si>
  <si>
    <t xml:space="preserve">4. Other Fund(s) ___________________________ </t>
  </si>
  <si>
    <t>Internal Service Funds</t>
  </si>
  <si>
    <t>o</t>
  </si>
  <si>
    <t>Component Unit Funds</t>
  </si>
  <si>
    <t>2. Deduct the Following Expenditures Included in Totals above :</t>
  </si>
  <si>
    <t>Refunds to Taxpayers</t>
  </si>
  <si>
    <t xml:space="preserve">a </t>
  </si>
  <si>
    <t>Expenditures from Gifts/Foundations (Excluding Agency Funds)</t>
  </si>
  <si>
    <t xml:space="preserve">b </t>
  </si>
  <si>
    <t>Expenditures from Federal Funds</t>
  </si>
  <si>
    <t xml:space="preserve">c </t>
  </si>
  <si>
    <t>Collections for Another Government</t>
  </si>
  <si>
    <t xml:space="preserve">d </t>
  </si>
  <si>
    <t>Pension Contributions by Employees</t>
  </si>
  <si>
    <t xml:space="preserve">e </t>
  </si>
  <si>
    <t>Pension Fund Earnings</t>
  </si>
  <si>
    <t xml:space="preserve">f </t>
  </si>
  <si>
    <t>GOVERNMENTAL DESIGNATED-PURPOSE GRANTS FUND</t>
  </si>
  <si>
    <t>Bond Redemption Fund</t>
  </si>
  <si>
    <t>CHANGES IN BALANCE</t>
  </si>
  <si>
    <t>TABOR EXPENDITURES</t>
  </si>
  <si>
    <t>a</t>
  </si>
  <si>
    <t>General Fund</t>
  </si>
  <si>
    <t>b</t>
  </si>
  <si>
    <t>Capital Reserve Special Revenue Fund</t>
  </si>
  <si>
    <t>c</t>
  </si>
  <si>
    <t>Governmental Designated-Purpose Grants Fund</t>
  </si>
  <si>
    <t>d</t>
  </si>
  <si>
    <t>51</t>
  </si>
  <si>
    <t>3100</t>
  </si>
  <si>
    <t>Pupil Activity Special Revenue Fund</t>
  </si>
  <si>
    <t>e</t>
  </si>
  <si>
    <t>Insurance Reserve Special Revenue Fund</t>
  </si>
  <si>
    <t>f</t>
  </si>
  <si>
    <t>Transportation Fund</t>
  </si>
  <si>
    <t>g</t>
  </si>
  <si>
    <t>Other Special Revenue Funds</t>
  </si>
  <si>
    <t>h</t>
  </si>
  <si>
    <t>i</t>
  </si>
  <si>
    <t>Building Fund (include Capital Reserve Capital Projects Fund)</t>
  </si>
  <si>
    <t>j</t>
  </si>
  <si>
    <t>Special Building &amp; Technology Fund</t>
  </si>
  <si>
    <t>k</t>
  </si>
  <si>
    <t>Food Service Fund</t>
  </si>
  <si>
    <t>l</t>
  </si>
  <si>
    <t>Other Enterprise Funds</t>
  </si>
  <si>
    <t>m</t>
  </si>
  <si>
    <t>Risk-Related Activity Fund</t>
  </si>
  <si>
    <t>n</t>
  </si>
  <si>
    <t>Bolded</t>
  </si>
  <si>
    <t>2300</t>
  </si>
  <si>
    <t>2500</t>
  </si>
  <si>
    <t>1000</t>
  </si>
  <si>
    <t>0050</t>
  </si>
  <si>
    <t>22</t>
  </si>
  <si>
    <r>
      <t>I.</t>
    </r>
    <r>
      <rPr>
        <sz val="10"/>
        <rFont val="Helv"/>
      </rPr>
      <t xml:space="preserve"> Revenues plus Beginning Fund Balance </t>
    </r>
    <r>
      <rPr>
        <b/>
        <sz val="10"/>
        <rFont val="Helv"/>
      </rPr>
      <t>MINUS</t>
    </r>
    <r>
      <rPr>
        <sz val="10"/>
        <rFont val="Helv"/>
      </rPr>
      <t xml:space="preserve"> Expenditures plus Reserves must = zero.</t>
    </r>
  </si>
  <si>
    <t>Transfer From(+)/To(-)________________Fund(s) (Net to zero across all funds)*</t>
  </si>
  <si>
    <t>GRANT/PROJECT TITLE</t>
  </si>
  <si>
    <t>TOTAL INSURANCE RESERVE SPECIAL REVENUE FUND EXPENDITURES AND APPROPRIATED RESERVES Sum of lines 21 &amp; 27)</t>
  </si>
  <si>
    <t>TOTAL EXPENDITURES AND OTHER USES (Sum of lines 13-22)</t>
  </si>
  <si>
    <t>TOTAL EXPENDITURES &amp; OTHER USES (Sum of lines 9-20)</t>
  </si>
  <si>
    <t>TOTAL TRANSPORTATION FUND EXPENDITURES AND APPROPRIATED RESERVES (Sum of lines 23 &amp; 29)</t>
  </si>
  <si>
    <t>Error Report . . . . . . . . . . . . . . . . . . . . . . . . . . . . . . . . . . . . . . . . . . . . . . . . . . . . .</t>
  </si>
  <si>
    <t xml:space="preserve">52-59         Other Enterprise Funds . . . . . . . . . . . . . . . . . . . . . . . . . . . . . . . . . . . . . . . . . . . . . . . . . . . . . . . . . . . . . . . . . . . . . . . </t>
  </si>
  <si>
    <t>61-62 &amp; 65-69         Other Internal Service Funds . . . . . . . . . . . . . . . . . . . . . . . . . . . . . . . . . . . . . . . . . . . . . . . . . . . . . . . . . . . . . . . . . . . . . .</t>
  </si>
  <si>
    <t>64               Risk-Related Activity Fund . . . . . . . . . . . . . . . . . . . . . . . . . . . . . . . . . . . . . . . . . . . . . . . . . . . . . . . . . . . . . . . . . . . . . . . .</t>
  </si>
  <si>
    <t xml:space="preserve">GASB 34 . . . . . . . . . . . . . . . . . . . . . . . . . . . . . . . . . . . . . . . . . . . . . . . . . . . . . . . . . . . . . . . . . . . . . . . . . . . </t>
  </si>
  <si>
    <t xml:space="preserve">District Debt . . . . . . . . . . . . . . . . . . . . . . . . . . . . . . . . . . . . . . . . . . . . . . . . . . . . . . . . . . . . . . . . . . . . . . </t>
  </si>
  <si>
    <t xml:space="preserve">Tabor Compliance Worksheet. . . . . . . . . . . . . . . . . . . . . . . . . . . . . . . . . . . . . . . . . . . . . . . . . . . . . . . . . . . . . . . </t>
  </si>
  <si>
    <t>Fund 22:  GOVERNMENTAL DESIGNATED-PURPOSE GRANTS FUND</t>
  </si>
  <si>
    <t>*  Additional funds may be transferred from General fund to cover program expenditures in excess of Pre-School Allocation.</t>
  </si>
  <si>
    <t>Total Support Program Expenditures (Sum of lines 40-72)</t>
  </si>
  <si>
    <t>TOTAL APPROPRIATED RESERVES (Sum of lines 76-80)</t>
  </si>
  <si>
    <t>TOTAL CPP FUND EXPENDITURES AND APPROPRIATED RESERVES(Sum of lines 75 &amp; 81)</t>
  </si>
  <si>
    <t xml:space="preserve">Other Revenue  </t>
  </si>
  <si>
    <t>TOTAL REVENUE (Sum of lines 1-8)</t>
  </si>
  <si>
    <t>Expenditures from the Proceeds of Damage Awards</t>
  </si>
  <si>
    <t>Expenditures from the Proceeds of the Sale of School Property</t>
  </si>
  <si>
    <t>4. ADJUSTMENTS TO SPENDING FOR DETERMINING ALLOWABLE GROWTH</t>
  </si>
  <si>
    <t>Debt Service Increase/(Decrease) since FY 1992-93</t>
  </si>
  <si>
    <t>Need beginning fund balance amount on line 5 of "GenFundRev"</t>
  </si>
  <si>
    <t>TOTAL ADJUSTMENTS TO SPENDING</t>
  </si>
  <si>
    <t>5. NET SPENDING ON WHICH GROWTH IS ALLOWED (line 3 minus line 4)</t>
  </si>
  <si>
    <t>6. ALLOWABLE GROWTH</t>
  </si>
  <si>
    <t>Percent Change in Student Enrollment</t>
  </si>
  <si>
    <t>Total Percent Change (line a plus line b)</t>
  </si>
  <si>
    <t>Net Spending on which Growth is Allowed (line 5)</t>
  </si>
  <si>
    <t>Total Inflation and Enrollment Growth (line 6c times line 6d)</t>
  </si>
  <si>
    <t>Debt Service Increase/(Decrease) since FY 1992-93 (line 4a)</t>
  </si>
  <si>
    <t>Voter-Approved Revenue Changes (line 4b)</t>
  </si>
  <si>
    <t>TOTAL ALLOWABLE GROWTH (line 6e plus line 6f plus line 6g)</t>
  </si>
  <si>
    <t>1</t>
  </si>
  <si>
    <t>2</t>
  </si>
  <si>
    <t>3</t>
  </si>
  <si>
    <t>Program Codes that are Linked to the Fund Tabs through Staff Details Page</t>
  </si>
  <si>
    <t>Fund:</t>
  </si>
  <si>
    <t>Program:</t>
  </si>
  <si>
    <t>0030</t>
  </si>
  <si>
    <t>0051</t>
  </si>
  <si>
    <t>0070</t>
  </si>
  <si>
    <t>0080</t>
  </si>
  <si>
    <t>0090</t>
  </si>
  <si>
    <t>0900</t>
  </si>
  <si>
    <t>2100</t>
  </si>
  <si>
    <t>2200</t>
  </si>
  <si>
    <t>2800</t>
  </si>
  <si>
    <t>2900</t>
  </si>
  <si>
    <t>3210</t>
  </si>
  <si>
    <t>3220</t>
  </si>
  <si>
    <t>3400</t>
  </si>
  <si>
    <t>18</t>
  </si>
  <si>
    <t>21</t>
  </si>
  <si>
    <t>26-29</t>
  </si>
  <si>
    <t>52-59</t>
  </si>
  <si>
    <t>64</t>
  </si>
  <si>
    <t>61-62/65-69</t>
  </si>
  <si>
    <t>74</t>
  </si>
  <si>
    <t>72-73/75-78</t>
  </si>
  <si>
    <t>0060 - General Integrated Education  Program</t>
  </si>
  <si>
    <t>1700 - Special Education  Program</t>
  </si>
  <si>
    <t>2210</t>
  </si>
  <si>
    <t>Amount per month towards insurances</t>
  </si>
  <si>
    <t>4</t>
  </si>
  <si>
    <t>5</t>
  </si>
  <si>
    <t>PERCENT</t>
  </si>
  <si>
    <t>ALLOWABLE</t>
  </si>
  <si>
    <t>VOTER</t>
  </si>
  <si>
    <t>MAXIMUM</t>
  </si>
  <si>
    <t>PROPERTY TAX</t>
  </si>
  <si>
    <t>INCREASE</t>
  </si>
  <si>
    <t>APPROVED</t>
  </si>
  <si>
    <t>GROWTH</t>
  </si>
  <si>
    <t>ALLOWED</t>
  </si>
  <si>
    <t>N/A</t>
  </si>
  <si>
    <t>Special Building Fund</t>
  </si>
  <si>
    <t>Other _____________*</t>
  </si>
  <si>
    <t>BUDGET SUMMARY WORKSHEET</t>
  </si>
  <si>
    <t xml:space="preserve">  FUND</t>
  </si>
  <si>
    <t xml:space="preserve">  BUDGETED REVENUE</t>
  </si>
  <si>
    <t xml:space="preserve">  BUDGETED EXPENDITURES</t>
  </si>
  <si>
    <t xml:space="preserve">  APPROPRIATED AMOUNT</t>
  </si>
  <si>
    <t xml:space="preserve">  (Includes Beginning Fund Revenue)</t>
  </si>
  <si>
    <t xml:space="preserve"> (Incl. Enterprise Funds Capital Outlay)</t>
  </si>
  <si>
    <t>PUPIL ACTIVITY SPECIAL REVENUE FUND</t>
  </si>
  <si>
    <t>OTHER SPECIAL REVENUE FUNDS (COMBINED)</t>
  </si>
  <si>
    <t>SPECIAL BUILDING AND TECHNOLOGY FUND</t>
  </si>
  <si>
    <t>FOOD SERVICE FUND</t>
  </si>
  <si>
    <t>OTHER ENTERPRISE FUNDS (COMBINED)</t>
  </si>
  <si>
    <t xml:space="preserve">INSURANCE RESERVE FUND </t>
  </si>
  <si>
    <t>INSURANCE RESERVE FUND</t>
  </si>
  <si>
    <t>1b.</t>
  </si>
  <si>
    <t>TOTAL APPROPRIATED RESERVES (Sum of lines 24-28)</t>
  </si>
  <si>
    <t>Total Instructional Program Expenditures (Sum of lines 8-16)</t>
  </si>
  <si>
    <t>Total Support Program Expenditures (Sum of lines 18-26)</t>
  </si>
  <si>
    <t>TOTAL EXPENDITURES AND OTHER USES(Sum of lines 17, 27 &amp; 30)</t>
  </si>
  <si>
    <t>TOTAL OTHER SPECIAL REVENUE FUND EXPENDITURES AND APPROPRIATED RESERVES (Sum of lines 31 &amp; 37)</t>
  </si>
  <si>
    <t>TOTAL BOND REDEMPTION FUND EXPENDITURES AND APPROPRIATED RESERVES (Sum of lines 18 &amp; 24)</t>
  </si>
  <si>
    <t>TOTAL SPECIAL BUILDING AND TECHNOLOGY FUND EXPENDITURES AND APPROPRIATED RESERVES (Sum of lines 16 &amp; 22)</t>
  </si>
  <si>
    <t>TOTAL REVENUE (Sum of lines 1-16)</t>
  </si>
  <si>
    <t>Transfer From________________Fund(s) (Net to zero across all funds)*</t>
  </si>
  <si>
    <t>*State Statute prohibits the transfer of funds out of the Transportation Fund.</t>
  </si>
  <si>
    <t>*State Statute prohibits the transfer of funds out of the Special Building and Technology Fund.</t>
  </si>
  <si>
    <t>Non-Appropriated Operating Reserves must not exceed 15% of Total General Fund Expenditures and Reserves</t>
  </si>
  <si>
    <t>15% of Total General Fund Expenditures and Reserves</t>
  </si>
  <si>
    <t>General Fund Non-Appropriated Operating Reserves</t>
  </si>
  <si>
    <t>Capital Outlay</t>
  </si>
  <si>
    <t xml:space="preserve">     County/Intermediate Sources</t>
  </si>
  <si>
    <t>Other Appropriated Reserves</t>
  </si>
  <si>
    <t>1900-2099 - Cocurricular Activities - Non-Athletic</t>
  </si>
  <si>
    <t>Local Sources</t>
  </si>
  <si>
    <t>2000-2999</t>
  </si>
  <si>
    <t>1000-1999</t>
  </si>
  <si>
    <t>Intermediate Sources</t>
  </si>
  <si>
    <t>State Sources</t>
  </si>
  <si>
    <t>Federal Sources</t>
  </si>
  <si>
    <t>Allocation from the General Fund**</t>
  </si>
  <si>
    <r>
      <t xml:space="preserve">INSTRUCTIONAL PROGRAM - </t>
    </r>
    <r>
      <rPr>
        <sz val="8"/>
        <color indexed="10"/>
        <rFont val="Helv"/>
      </rPr>
      <t>(PROGRAM CODE 0040 IS RECOMMENDED FOR USE IN FUND 19)</t>
    </r>
  </si>
  <si>
    <t>SUPPORT PROGRAMS - 2100 THROUGH 3300</t>
  </si>
  <si>
    <t>OTHER USES - PROGRAM 5000</t>
  </si>
  <si>
    <t>Allocation From General Fund**</t>
  </si>
  <si>
    <t>19XX</t>
  </si>
  <si>
    <t>TOTAL REVENUE (Sum of lines 1-7)</t>
  </si>
  <si>
    <t>1.</t>
  </si>
  <si>
    <t>2.</t>
  </si>
  <si>
    <t>3.</t>
  </si>
  <si>
    <t>Total Instructional Program Expenditures (Sum of lines 10-18)</t>
  </si>
  <si>
    <t>Total Support Program Expenditures (Sum of lines 20-28)</t>
  </si>
  <si>
    <t>TOTAL EXPENDITURES AND OTHER USES(Sum of lines 19 &amp; 29)</t>
  </si>
  <si>
    <t>TOTAL APPROPRIATED RESERVES (Sum of lines 31-35)</t>
  </si>
  <si>
    <t>TOTAL PUPIL ACTIVITY AGENCY FUND EXPENDITURES AND APPROPRIATED RESERVES (Sum of lines 30 &amp; 36)</t>
  </si>
  <si>
    <t>TOTAL REVENUE INCLUDING BEGINNING FUND BALANCE (sum of line 8 &amp; BFB)</t>
  </si>
  <si>
    <t>TOTAL REVENUE INCLUDING BEGINNING FUND BALANCE (Sum of line 9 and BFB)</t>
  </si>
  <si>
    <t>TOTAL EXPENSES AND OTHER USES (Sum of lines 13-25)</t>
  </si>
  <si>
    <t>TOTAL REVENUE (Sum of lines 1-10)</t>
  </si>
  <si>
    <t>Other Revenue and Other Sources (includes increases in assets for agency funds)</t>
  </si>
  <si>
    <t>TOTAL REVENUE INCLUDING BEGINNING FUND BALANCE Sum of line 8 and BRE)</t>
  </si>
  <si>
    <t>TOTAL EXPENSES AND OTHER USES(Sum of lines 9-17)</t>
  </si>
  <si>
    <t>TOTAL OTHER ENTERPRISE FUND EXPENSES AND APPROPRIATED RESERVES (Sum of lines 18 &amp; 24)</t>
  </si>
  <si>
    <t>TOTAL EXPENSES AND OTHER USES (Sum of lines 8-16)</t>
  </si>
  <si>
    <t>TOTAL RISK RELATED ACTIVITY FUND EXPENDITURES AND APPROPRIATED RESERVES (Sum of lines 17 &amp; 23)</t>
  </si>
  <si>
    <t>TOTAL REVENUE INCLUDING BEGINNING FUND BALANCE Sum of line 11 and BFB)</t>
  </si>
  <si>
    <t>TOTAL REVENUE INCLUDING BEGINNING FUND BALANCE Sum of line 7 and BFB)</t>
  </si>
  <si>
    <t>TOTAL OTHER INTERNAL SERVICE FUND EXPENDITURES AND APPROPRIATED RESERVES (Sum of line 21 &amp; 27)</t>
  </si>
  <si>
    <t>Premium/Discount</t>
  </si>
  <si>
    <t>Accrued Interest</t>
  </si>
  <si>
    <t>TOTAL REVENUE (Sum of lines 1 - 13)</t>
  </si>
  <si>
    <t>TOTAL REVENUE INCLUDING BEGINNING FUND BALANCE (Sum of line 14 and BFB)</t>
  </si>
  <si>
    <t>Principal</t>
  </si>
  <si>
    <r>
      <t xml:space="preserve">FEDERAL FUNDS NOT IN OTHER FUNDS - </t>
    </r>
    <r>
      <rPr>
        <i/>
        <sz val="8"/>
        <color indexed="10"/>
        <rFont val="Helv"/>
      </rPr>
      <t>LIST ALL FEDERAL GRANTS BY GRANT/PROJECT CODE AND TITLE</t>
    </r>
  </si>
  <si>
    <t>TOTAL STATE GRANT REVENUE NOT INCLUDED IN OTHER FUNDS (Sum of lines 1-6)</t>
  </si>
  <si>
    <t>TOTAL FEDERAL GRANT REVENUE NOT INCLUDED IN OTHER FUNDS (Sum of lines 8-17)</t>
  </si>
  <si>
    <t>FEDERAL GRANT/PROJECT TITLE</t>
  </si>
  <si>
    <t>STATE GRANT/PROJECT TITLE</t>
  </si>
  <si>
    <t>INSTRUCTIONAL PROGRAMS - 0010 THROUGH 2099</t>
  </si>
  <si>
    <t>TOTAL REVENUE (Sum of lines 1-5)</t>
  </si>
  <si>
    <t>TOTAL REVENUE INCLUDING BEGINNING ASSETS (Sum of line 6 and BFB)</t>
  </si>
  <si>
    <t>Total Instructional Program Expenditures (Sum of lines 7-15)</t>
  </si>
  <si>
    <t>Total Support Program Expenditures (Sum of lines 17-25)</t>
  </si>
  <si>
    <t>TOTAL EXPENDITURES AND OTHER USES(Sum of lines 16 &amp; 26)</t>
  </si>
  <si>
    <t>TOTAL REVENUE INCLUDING BEGINNING FUND BALANCE (Sum of line 4 and BFB)</t>
  </si>
  <si>
    <t>Total Instructional Program Expenditures (Sum of lines 5-13)</t>
  </si>
  <si>
    <t>Total Support Program Expenditures (Sum of lines 15-23)</t>
  </si>
  <si>
    <t>TOTAL EXPENDITURES AND OTHER USES(Sum of lines 14 &amp; 24)</t>
  </si>
  <si>
    <t>RISK-RELATED ACTIVITY  FUND</t>
  </si>
  <si>
    <t>OTHER INTERNAL SERVICE FUNDS (COMBINED)</t>
  </si>
  <si>
    <t>PUPIL ACTIVITY AGENCY FUND</t>
  </si>
  <si>
    <t>TRUST AND OTHER AGENCY FUNDS (COMBINED)</t>
  </si>
  <si>
    <t>COMPONENT UNITS (COMBINED)</t>
  </si>
  <si>
    <t>Consolidated Budget Summary</t>
  </si>
  <si>
    <t>Net</t>
  </si>
  <si>
    <t>District</t>
  </si>
  <si>
    <t>Description</t>
  </si>
  <si>
    <t>Operating</t>
  </si>
  <si>
    <t>Allocation to Charter School (fund 11)</t>
  </si>
  <si>
    <t>Total</t>
  </si>
  <si>
    <t>(Other Funds)</t>
  </si>
  <si>
    <t>INCOME AND OTHER SOURCES</t>
  </si>
  <si>
    <t>TOTAL INCOME (Sum of lines 1-11)</t>
  </si>
  <si>
    <t>TOTAL INCOME INCLUDING BEGINNING RETAINED EARNINGS (Sum of line 12 and BRE)</t>
  </si>
  <si>
    <t>Allocations</t>
  </si>
  <si>
    <t>Beginning Fund Balance</t>
  </si>
  <si>
    <t>Revenues</t>
  </si>
  <si>
    <t>Transfers Between Funds</t>
  </si>
  <si>
    <t xml:space="preserve">     Total Funds Available</t>
  </si>
  <si>
    <t>Expenditures</t>
  </si>
  <si>
    <t>TABOR Amendment Reserves</t>
  </si>
  <si>
    <r>
      <t xml:space="preserve">TRANSFERS FROM(POSITIVE)/TO(NEGATIVE) OTHER FUNDS - </t>
    </r>
    <r>
      <rPr>
        <i/>
        <sz val="8"/>
        <color indexed="10"/>
        <rFont val="Helv"/>
      </rPr>
      <t>LIST ALL GRANTS BY GRANT/PROJECT CODE, TITLE AND FUND</t>
    </r>
  </si>
  <si>
    <t>TOTAL LOCAL AND INTERMEDIATE GRANT EXPENDITURES NOT INCLUDED IN OTHER FUNDS</t>
  </si>
  <si>
    <t>Allocation to Capital Reserve or Insurance Reserve (Funds 21, 18, 43)</t>
  </si>
  <si>
    <t>*Transfers should only be made to/from funds 21 - Capital Reserve Fund or 43 - Capital Reserve Capital Projects Fund</t>
  </si>
  <si>
    <t>*Transfers should only be made to/from funds 18 - Insurance Reserve Fund or 43 - Capital Reserve Capital Projects Fund</t>
  </si>
  <si>
    <t>4.</t>
  </si>
  <si>
    <t>5.</t>
  </si>
  <si>
    <t>6.</t>
  </si>
  <si>
    <t>7.</t>
  </si>
  <si>
    <t>8.</t>
  </si>
  <si>
    <t>TOTAL REVENUE INCLUDING BEGINNING FUND BALANCE (Sum of line 8 and BFB)</t>
  </si>
  <si>
    <t>1420-1430</t>
  </si>
  <si>
    <t>Delinquent Taxes and Penalties</t>
  </si>
  <si>
    <t>Transportation Fees From Other School Districts or BOCES</t>
  </si>
  <si>
    <t>Transportation Fees form Other Sources</t>
  </si>
  <si>
    <t>State Transportation Revenues</t>
  </si>
  <si>
    <t>Other Revenues</t>
  </si>
  <si>
    <t>9.</t>
  </si>
  <si>
    <t>12.</t>
  </si>
  <si>
    <t>13.</t>
  </si>
  <si>
    <t>TOTAL REVENUE (Sum of lines 1-11)</t>
  </si>
  <si>
    <t>10.</t>
  </si>
  <si>
    <t>11.</t>
  </si>
  <si>
    <t>Purchased Professional and Technical Services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</si>
  <si>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</si>
  <si>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</si>
  <si>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</si>
  <si>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</si>
  <si>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</si>
  <si>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</si>
  <si>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</si>
  <si>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</si>
  <si>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</si>
  <si>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Revenue From Local and Intermediate Sources</t>
  </si>
  <si>
    <t>Revenue From State Sources</t>
  </si>
  <si>
    <t>Revenue From Federal Sources</t>
  </si>
  <si>
    <t>0800-0999</t>
  </si>
  <si>
    <t>23.</t>
  </si>
  <si>
    <t>24.</t>
  </si>
  <si>
    <t>25.</t>
  </si>
  <si>
    <t>26.</t>
  </si>
  <si>
    <t>Total Other Uses Expenditures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</si>
  <si>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</si>
  <si>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</si>
  <si>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</si>
  <si>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</si>
  <si>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</si>
  <si>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</si>
  <si>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</si>
  <si>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</si>
  <si>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</si>
  <si>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</si>
  <si>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TOTAL OTHER USES</t>
  </si>
  <si>
    <t>39.</t>
  </si>
  <si>
    <t>40.</t>
  </si>
  <si>
    <t>41.</t>
  </si>
  <si>
    <t>42.</t>
  </si>
  <si>
    <t>43.</t>
  </si>
  <si>
    <t>44.</t>
  </si>
  <si>
    <t>45.</t>
  </si>
  <si>
    <t>Foundation/</t>
  </si>
  <si>
    <t>Component</t>
  </si>
  <si>
    <t>Units</t>
  </si>
  <si>
    <t>(26-29)                              Other Special Revenue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</si>
  <si>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</si>
  <si>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</si>
  <si>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</si>
  <si>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</si>
  <si>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</si>
  <si>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</si>
  <si>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</si>
  <si>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</si>
  <si>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</si>
  <si>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</si>
  <si>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</si>
  <si>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</si>
  <si>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</si>
  <si>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</si>
  <si>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</si>
  <si>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</si>
  <si>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</si>
  <si>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</si>
  <si>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</si>
  <si>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</si>
  <si>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</si>
  <si>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</si>
  <si>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</si>
  <si>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</si>
  <si>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</si>
  <si>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</si>
  <si>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</si>
  <si>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</si>
  <si>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</si>
  <si>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</si>
  <si>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</si>
  <si>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</si>
  <si>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</si>
  <si>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</si>
  <si>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Earnings of Investments</t>
  </si>
  <si>
    <t>5110</t>
  </si>
  <si>
    <t>19</t>
  </si>
  <si>
    <t>5120</t>
  </si>
  <si>
    <t>5130</t>
  </si>
  <si>
    <t>Revenue from Intermediate Sources</t>
  </si>
  <si>
    <t>Bond Principal</t>
  </si>
  <si>
    <t>*Transfers should only be made to/from funds 21 - Capital Reserve Fund or 18 - Insurance Reserve Fund</t>
  </si>
  <si>
    <t>*Transfers should not be made to/from funds 21 - Capital Reserve Fund, 18 - Insurance Reserve Fund, or 43 - Capital Reserve Capital Projects Fund.</t>
  </si>
  <si>
    <t>LOCAL AND INTERMEDIATE GRANT/PROJECT TITLE</t>
  </si>
  <si>
    <t>Insurance Premiums (typically Program 2600)</t>
  </si>
  <si>
    <t>Liability Insurance (typically Program 2600)</t>
  </si>
  <si>
    <t>Vehicle Insurance - Program Code 2720 (or 2700)</t>
  </si>
  <si>
    <t>Vehicle Insurance - Program Code 3130 (or 3100)</t>
  </si>
  <si>
    <t>Vehicle Insurance - Program Code 2650 (or 2600)</t>
  </si>
  <si>
    <t>12b</t>
  </si>
  <si>
    <t>12c</t>
  </si>
  <si>
    <t>12a</t>
  </si>
  <si>
    <t>Other Expenditures (Program 2600)</t>
  </si>
  <si>
    <t>PROGRAM 2100-3300</t>
  </si>
  <si>
    <t>PROGRAMS 2100-4000</t>
  </si>
  <si>
    <t>TOTAL Local, State, Federal Expenditures</t>
  </si>
  <si>
    <t>Programs 2100-3400</t>
  </si>
  <si>
    <t>Programs 2100-4000</t>
  </si>
  <si>
    <t>Adjustments to Categorical Revenue due to CDE audit findings - positive or negative</t>
  </si>
  <si>
    <r>
      <t xml:space="preserve">LOCAL AND INTERMEDIATE GRANTS NOT IN OTHER FUNDS - </t>
    </r>
    <r>
      <rPr>
        <i/>
        <sz val="8"/>
        <color indexed="10"/>
        <rFont val="Helv"/>
      </rPr>
      <t>LIST ALL LOCAL AND INTERMEDIATE GRANTS BY GRANT/PROJECT CODE AND TITLE</t>
    </r>
  </si>
  <si>
    <t>Fund 19: Colorado Pre-School Fund</t>
  </si>
  <si>
    <t>19               Colorado Preschool Fund. . . . . . . . . . . . . . . . . . . . . . . . . . . . . . . . . . . . . . . . . . . . . . . . . . . . . . . . . . . . . . . . .</t>
  </si>
  <si>
    <t>Note:         Fund 63 may be used as another risk-related activity fund.  It will roll to Fund 64</t>
  </si>
  <si>
    <t>TOTAL LOCAL AND INTERMEDIATE GRANT REVENUE NOT INCLUDED IN OTHER FUNDS</t>
  </si>
  <si>
    <t>GRANT/PROJECT TITLE AND FUND TRANSFERRED FROM/TO</t>
  </si>
  <si>
    <t>TOTAL STATE, FEDERAL AND LOCAL DESIGNATED PURPOSE GRANT REVENUE AND OTHER SOURCES INCLUDING BFB</t>
  </si>
  <si>
    <t>Non-appropriated Reserves</t>
  </si>
  <si>
    <t xml:space="preserve">     Total Appropriations and Non-appropriated Reserves</t>
  </si>
  <si>
    <t>Summary Page 2</t>
  </si>
  <si>
    <t>School District Operating Funds - Budgeted Revenues</t>
  </si>
  <si>
    <t>Capital</t>
  </si>
  <si>
    <t>Designated</t>
  </si>
  <si>
    <t>Pupil</t>
  </si>
  <si>
    <t>Insurance</t>
  </si>
  <si>
    <t>Special</t>
  </si>
  <si>
    <t>Food</t>
  </si>
  <si>
    <t>Other</t>
  </si>
  <si>
    <t>Internal</t>
  </si>
  <si>
    <t>General</t>
  </si>
  <si>
    <t>Reserve</t>
  </si>
  <si>
    <t>Salary Schedule</t>
  </si>
  <si>
    <t>S D</t>
  </si>
  <si>
    <t>BASE</t>
  </si>
  <si>
    <t>T O</t>
  </si>
  <si>
    <t>DOWN</t>
  </si>
  <si>
    <t>E W</t>
  </si>
  <si>
    <t>ACROSS</t>
  </si>
  <si>
    <t>P N</t>
  </si>
  <si>
    <t>MA-DOWN</t>
  </si>
  <si>
    <t>BA</t>
  </si>
  <si>
    <t>BA+12</t>
  </si>
  <si>
    <t>BA+24</t>
  </si>
  <si>
    <t>BA+36</t>
  </si>
  <si>
    <t>BA+45</t>
  </si>
  <si>
    <t>MA</t>
  </si>
  <si>
    <t>MA+12</t>
  </si>
  <si>
    <t>MA+24</t>
  </si>
  <si>
    <t>MA+36</t>
  </si>
  <si>
    <t>MA+45</t>
  </si>
  <si>
    <t>SPECED</t>
  </si>
  <si>
    <t>Salary Schedule for Certified Staff</t>
  </si>
  <si>
    <t>Others</t>
  </si>
  <si>
    <t>State Account Number</t>
  </si>
  <si>
    <t xml:space="preserve">Total </t>
  </si>
  <si>
    <t xml:space="preserve">Salary </t>
  </si>
  <si>
    <t>Job</t>
  </si>
  <si>
    <t>Grant</t>
  </si>
  <si>
    <t>Add'l</t>
  </si>
  <si>
    <t>Contract</t>
  </si>
  <si>
    <t>FTE %</t>
  </si>
  <si>
    <t>PY</t>
  </si>
  <si>
    <t>Benefit</t>
  </si>
  <si>
    <t>Position</t>
  </si>
  <si>
    <t>Location</t>
  </si>
  <si>
    <t>SRE</t>
  </si>
  <si>
    <t>Class</t>
  </si>
  <si>
    <t>Code</t>
  </si>
  <si>
    <t>Employee Name</t>
  </si>
  <si>
    <t>Education</t>
  </si>
  <si>
    <t>Years in District</t>
  </si>
  <si>
    <t>Amount</t>
  </si>
  <si>
    <t>PERA</t>
  </si>
  <si>
    <t>Medicare</t>
  </si>
  <si>
    <t>Health</t>
  </si>
  <si>
    <t>Dental</t>
  </si>
  <si>
    <t>Life</t>
  </si>
  <si>
    <t>St. Disab.</t>
  </si>
  <si>
    <t>Start Date</t>
  </si>
  <si>
    <t>1.00 = 100%</t>
  </si>
  <si>
    <t>Salary</t>
  </si>
  <si>
    <t>Costs</t>
  </si>
  <si>
    <t>2400</t>
  </si>
  <si>
    <t>0060</t>
  </si>
  <si>
    <t>2220</t>
  </si>
  <si>
    <t>2600</t>
  </si>
  <si>
    <t>2700</t>
  </si>
  <si>
    <t>1100</t>
  </si>
  <si>
    <t>0010</t>
  </si>
  <si>
    <t>0040</t>
  </si>
  <si>
    <t>1200</t>
  </si>
  <si>
    <t>Step -</t>
  </si>
  <si>
    <t>Level</t>
  </si>
  <si>
    <t>Directions:</t>
  </si>
  <si>
    <r>
      <t xml:space="preserve">Insert the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amount in cell C11</t>
    </r>
  </si>
  <si>
    <r>
      <t>Insert the Step Increase amount (</t>
    </r>
    <r>
      <rPr>
        <b/>
        <sz val="10"/>
        <rFont val="Arial"/>
        <family val="2"/>
      </rPr>
      <t>DOWN</t>
    </r>
    <r>
      <rPr>
        <sz val="10"/>
        <rFont val="Arial"/>
        <family val="2"/>
      </rPr>
      <t>) in cell C12</t>
    </r>
  </si>
  <si>
    <t>0010 - Elementary Instructional Program</t>
  </si>
  <si>
    <t>0020 - Middle School  Instructional Program</t>
  </si>
  <si>
    <t>1600 - Technical Education/Computer Technology  Program</t>
  </si>
  <si>
    <t>2210 - Improvement of Instructional Services</t>
  </si>
  <si>
    <t xml:space="preserve">2400 - School Administration </t>
  </si>
  <si>
    <t>5a</t>
  </si>
  <si>
    <t>6a</t>
  </si>
  <si>
    <t>13a</t>
  </si>
  <si>
    <t>20a</t>
  </si>
  <si>
    <t>21a</t>
  </si>
  <si>
    <t>27a</t>
  </si>
  <si>
    <t>28a</t>
  </si>
  <si>
    <t xml:space="preserve">2300 - General Administration </t>
  </si>
  <si>
    <r>
      <t>Insert the Education Level increase amount (</t>
    </r>
    <r>
      <rPr>
        <b/>
        <sz val="10"/>
        <rFont val="Arial"/>
        <family val="2"/>
      </rPr>
      <t>ACROSS</t>
    </r>
    <r>
      <rPr>
        <sz val="10"/>
        <rFont val="Arial"/>
        <family val="2"/>
      </rPr>
      <t>) in cell C13</t>
    </r>
  </si>
  <si>
    <r>
      <t>Insert the Step increase amount for Education Level at MA or higher (</t>
    </r>
    <r>
      <rPr>
        <b/>
        <sz val="10"/>
        <rFont val="Arial"/>
        <family val="2"/>
      </rPr>
      <t>MA-DOWN</t>
    </r>
    <r>
      <rPr>
        <sz val="10"/>
        <rFont val="Arial"/>
        <family val="2"/>
      </rPr>
      <t>) in cell C14</t>
    </r>
  </si>
  <si>
    <t>Prior Year Actual - Audited FY07-08</t>
  </si>
  <si>
    <t>Current Fiscal Year - Budgeted FY08-09</t>
  </si>
  <si>
    <t>Current Fiscal Year - Projected FY08-09</t>
  </si>
  <si>
    <t>Original Ensuing Fiscal Year - Budget FY09-10</t>
  </si>
  <si>
    <t>Adjustments Ensuing Fiscal Year - Budget FY09-10</t>
  </si>
  <si>
    <t>Revised Ensuing Fiscal Year - Budget FY09-10</t>
  </si>
  <si>
    <t>PROGRAMS 0010-4000</t>
  </si>
  <si>
    <t>Fund 10:</t>
  </si>
  <si>
    <t>Staff Details page calculation - Salaries</t>
  </si>
  <si>
    <t>Sum of all Fund 10 program linked Salaries lines</t>
  </si>
  <si>
    <t>Staff Details page calculation - Benefits</t>
  </si>
  <si>
    <t>Sum of all Fund 10 program linked Benefits lines</t>
  </si>
  <si>
    <t>Difference - Look for rose colored cells on the "Staff Details" tab to be addressed</t>
  </si>
  <si>
    <t>Fund 11:</t>
  </si>
  <si>
    <t>Fund 19:</t>
  </si>
  <si>
    <t>Sum of all Fund 11 program linked Salaries lines</t>
  </si>
  <si>
    <t>Sum of all Fund 11 program linked Benefits lines</t>
  </si>
  <si>
    <t>Sum of all Fund 19 program linked Salaries lines</t>
  </si>
  <si>
    <t>Sum of all Fund 19 program linked Benefits lines</t>
  </si>
  <si>
    <t>Fund 20:</t>
  </si>
  <si>
    <t>Fund 22:</t>
  </si>
  <si>
    <t>Fund 23:</t>
  </si>
  <si>
    <t>Sum of all Fund 23 program linked Salaries lines</t>
  </si>
  <si>
    <t>Sum of all Fund 23 program linked Benefits lines</t>
  </si>
  <si>
    <t>Fund 51:</t>
  </si>
  <si>
    <t>Sum of all Fund 51 program linked Salaries lines</t>
  </si>
  <si>
    <t>Sum of all Fund 51 program linked Benefits lines</t>
  </si>
  <si>
    <r>
      <t>____</t>
    </r>
    <r>
      <rPr>
        <sz val="8"/>
        <color indexed="12"/>
        <rFont val="Helv"/>
      </rPr>
      <t>___ in ___</t>
    </r>
    <r>
      <rPr>
        <sz val="8"/>
        <color indexed="12"/>
        <rFont val="Helv"/>
      </rPr>
      <t>___________ County</t>
    </r>
  </si>
  <si>
    <t>Grants</t>
  </si>
  <si>
    <t>Activity</t>
  </si>
  <si>
    <t>Revenue</t>
  </si>
  <si>
    <t>Service</t>
  </si>
  <si>
    <t>Enterprise</t>
  </si>
  <si>
    <t>Fund</t>
  </si>
  <si>
    <t>Funds</t>
  </si>
  <si>
    <t>Revenue:</t>
  </si>
  <si>
    <t xml:space="preserve">     State Formula</t>
  </si>
  <si>
    <t xml:space="preserve">          Local Property Tax</t>
  </si>
  <si>
    <t>Note:  Do not change the size or location of this schedule, will impact linkage.</t>
  </si>
  <si>
    <t>Fund 79, the GASB 34 Permanent Fund is NOT a fund that requires/follows CDE-18 budgetary guidelines.</t>
  </si>
  <si>
    <t>Fund 90, the District Debt Fund, is NOT a fund that requires/follows CDE-18 budgetary guidelines.</t>
  </si>
  <si>
    <t>PRE-SCHOOL FUND</t>
  </si>
  <si>
    <t>Additional worksheets to assist you in the budget process</t>
  </si>
  <si>
    <t>COLORADO SCHOOL DISTRICT/BOCES</t>
  </si>
  <si>
    <t xml:space="preserve">FOR  SCHOOL DISTRICT (NAME)    </t>
  </si>
  <si>
    <t xml:space="preserve">HEADQUARTERED IN (COUNTY)  </t>
  </si>
  <si>
    <t xml:space="preserve">OR BOCES  </t>
  </si>
  <si>
    <t>CONTENTS</t>
  </si>
  <si>
    <t>Fund Type &amp;</t>
  </si>
  <si>
    <t>Fund Number</t>
  </si>
  <si>
    <t>TOTAL FEDERAL GRANT EXPENDITURES NOT INCLUDED IN OTHER FUNDS (Sum of lines 8-17)</t>
  </si>
  <si>
    <t>TOTAL STATE GRANT EXPENDITURES NOT INCLUDED IN OTHER FUNDS (Sum of lines 1-6)</t>
  </si>
  <si>
    <t>TOTAL STATE, FEDERAL AND LOCAL DESIGNATED PURPOSE GRANT EXPENDITURES AND OTHER USES</t>
  </si>
  <si>
    <t>TOTAL INSTRUCTIONAL EXPENDITURES</t>
  </si>
  <si>
    <t>TOTAL SUPPORT SERVICES EXPENDITURES</t>
  </si>
  <si>
    <r>
      <t xml:space="preserve">OTHER USES - </t>
    </r>
    <r>
      <rPr>
        <i/>
        <sz val="8"/>
        <color indexed="10"/>
        <rFont val="Helv"/>
      </rPr>
      <t>LIST ALL GRANTS BY GRANT/PROJECT CODE, TITLE AND FUND</t>
    </r>
  </si>
  <si>
    <t>(Must not exceed 15% of Total Expenditures and Reserves)</t>
  </si>
  <si>
    <t>Non-appropriated Operating Reserves</t>
  </si>
  <si>
    <t>TOTAL EXPENDITURES AND OTHER USES (Sum of lines 16 - 18)</t>
  </si>
  <si>
    <t>TOTAL REVENUE INCLUDING BEGINNING FUND BALANCE (Sum of line 10 and BFB)</t>
  </si>
  <si>
    <t>TOTAL REVENUE (Sum of lines 1 - 9)</t>
  </si>
  <si>
    <t>Purchased Services (Work Done By Outside Contractors)</t>
  </si>
  <si>
    <t>Other Property</t>
  </si>
  <si>
    <t>Other Objects and Uses</t>
  </si>
  <si>
    <t>Debt Issuance Costs</t>
  </si>
  <si>
    <t>TOTAL REVENUE INCLUDING BEGINNING FUND BALANCE (Sum of line 12 and BFB)</t>
  </si>
  <si>
    <r>
      <t xml:space="preserve">1700 - Special Education </t>
    </r>
    <r>
      <rPr>
        <b/>
        <sz val="8"/>
        <color indexed="10"/>
        <rFont val="Helv"/>
      </rPr>
      <t>(All Special Education related accounts should be coded with Grant Code 3130)</t>
    </r>
  </si>
  <si>
    <t>5711</t>
  </si>
  <si>
    <t>TOTAL EXPENDITURES AND OTHER SOURCES (Sum of lines 8 - 15)</t>
  </si>
  <si>
    <t>Operating Reserve</t>
  </si>
  <si>
    <t>TABOR Emergency Reserve</t>
  </si>
  <si>
    <t>Reserve for Multi-Year Obligations</t>
  </si>
  <si>
    <t>Reserve for Encumbrances</t>
  </si>
  <si>
    <t>Other Reserves</t>
  </si>
  <si>
    <t>0100-0899</t>
  </si>
  <si>
    <t>9100</t>
  </si>
  <si>
    <t>9310</t>
  </si>
  <si>
    <t>9320</t>
  </si>
  <si>
    <t>9400</t>
  </si>
  <si>
    <t>9900</t>
  </si>
  <si>
    <t>1000-2999</t>
  </si>
  <si>
    <t xml:space="preserve">     Total Appropriations</t>
  </si>
  <si>
    <t>Debt Service Fund:</t>
  </si>
  <si>
    <t>Arbitrage Rebate Amount . . . . . . . . . . . . . . . . . . . . . . . . . . . . . . . . . . . . . . . . . . . . . . . . . . . . . . . . . . . . . . . . . . . . . .</t>
  </si>
  <si>
    <t>31               Bond Redemption Fund . . . . . . . . . . . . . . . . . . . . . . . . . . . . . . . . . . . . . . . . . . . . . . . . . . . . . . . . . . . . . . . . . . . . .</t>
  </si>
  <si>
    <t xml:space="preserve">          State Equalization</t>
  </si>
  <si>
    <t xml:space="preserve">          Specific Ownership Tax</t>
  </si>
  <si>
    <t xml:space="preserve">     Local Sources</t>
  </si>
  <si>
    <t xml:space="preserve">     State Sources</t>
  </si>
  <si>
    <t xml:space="preserve">     Federal Sources</t>
  </si>
  <si>
    <t>Total Revenue</t>
  </si>
  <si>
    <t>Revenue from Other Sources</t>
  </si>
  <si>
    <t>Allocation From General Fund</t>
  </si>
  <si>
    <t>Total Net Revenue</t>
  </si>
  <si>
    <t>Estimated Funded Pupil Count</t>
  </si>
  <si>
    <t>Budgeted Net Revenue Per Funded Pupil</t>
  </si>
  <si>
    <t>School District Operating Funds - Budgeted Expenditures</t>
  </si>
  <si>
    <t xml:space="preserve">Insurance </t>
  </si>
  <si>
    <t>Direct Instruction</t>
  </si>
  <si>
    <t>Instructional Support Services</t>
  </si>
  <si>
    <t>School Management</t>
  </si>
  <si>
    <t xml:space="preserve">     Subtotal</t>
  </si>
  <si>
    <t>District Wide Support Services</t>
  </si>
  <si>
    <t xml:space="preserve">     District Management</t>
  </si>
  <si>
    <t xml:space="preserve">     Plant Operations &amp; Maintenance</t>
  </si>
  <si>
    <t xml:space="preserve">     Pupil Transportation</t>
  </si>
  <si>
    <t xml:space="preserve">     Food Services</t>
  </si>
  <si>
    <t xml:space="preserve">     Other Support Services</t>
  </si>
  <si>
    <t>District Wide Support Services Subtotal</t>
  </si>
  <si>
    <t>Community Services</t>
  </si>
  <si>
    <t>Debt Services</t>
  </si>
  <si>
    <t>Other Operating Expenditures</t>
  </si>
  <si>
    <t>Total Budgeted Expenditures</t>
  </si>
  <si>
    <t>Budgeted Expenditures Per Funded Pupil</t>
  </si>
  <si>
    <t>Construction, Debt Payment &amp; Trust Funds - Budgeted Revenues</t>
  </si>
  <si>
    <t>Bond</t>
  </si>
  <si>
    <t>Trust/</t>
  </si>
  <si>
    <t>Redemption</t>
  </si>
  <si>
    <t>Projects</t>
  </si>
  <si>
    <t>Building &amp;</t>
  </si>
  <si>
    <t>Agency</t>
  </si>
  <si>
    <t>Building</t>
  </si>
  <si>
    <t>Technology</t>
  </si>
  <si>
    <t>(OTHER FUNDS)</t>
  </si>
  <si>
    <t>Construction, Debt Payment &amp; Trust Funds - Budgeted Expenditures</t>
  </si>
  <si>
    <t>Other Expenditures</t>
  </si>
  <si>
    <t>0020</t>
  </si>
  <si>
    <t>Applicable Indirect Cost Rate (%)</t>
  </si>
  <si>
    <t>OPTIONAL REPORT OF ADOPTED BUDGET - FORM CDE-18</t>
  </si>
  <si>
    <t>APPROPRIATION RESOLUTION</t>
  </si>
  <si>
    <t>0100</t>
  </si>
  <si>
    <t>0200</t>
  </si>
  <si>
    <t>0300</t>
  </si>
  <si>
    <t>0400</t>
  </si>
  <si>
    <t>0500</t>
  </si>
  <si>
    <t>0600</t>
  </si>
  <si>
    <t>0700</t>
  </si>
  <si>
    <t>0800</t>
  </si>
  <si>
    <t>FAX</t>
  </si>
  <si>
    <t>District Code</t>
  </si>
  <si>
    <t>Fund 10:  GENERAL FUND REVENUE</t>
  </si>
  <si>
    <t>* Round to Nearest Dollar *</t>
  </si>
  <si>
    <t>BEGINNING FUND BALANCE</t>
  </si>
  <si>
    <t xml:space="preserve">Budget Adoption and Appropriations Resolution </t>
  </si>
  <si>
    <t xml:space="preserve">BFB  </t>
  </si>
  <si>
    <t>Source</t>
  </si>
  <si>
    <t>Codes</t>
  </si>
  <si>
    <t>REVENUE FROM LOCAL SOURCES</t>
  </si>
  <si>
    <t>1110</t>
  </si>
  <si>
    <t>1120</t>
  </si>
  <si>
    <t>1130</t>
  </si>
  <si>
    <t>1140</t>
  </si>
  <si>
    <t>1310</t>
  </si>
  <si>
    <t>1311</t>
  </si>
  <si>
    <t>1410-1411</t>
  </si>
  <si>
    <t>1500</t>
  </si>
  <si>
    <t>1940</t>
  </si>
  <si>
    <t>1960</t>
  </si>
  <si>
    <t>Transfers In/Out</t>
  </si>
  <si>
    <t>Other Sources (please specify) _________________________________________</t>
  </si>
  <si>
    <t xml:space="preserve">If these sums do not net to zero then the transfers do not balance.  </t>
  </si>
  <si>
    <t>10               General Fund Revenue . . . . . . . . . . . . . . . . . . . . . . . . . . . . . . . . . . . . . . . . . . . . . . . . . . . . . . . . . . . . . . . . . . . . . . . .</t>
  </si>
  <si>
    <t>Internal Service Funds:</t>
  </si>
  <si>
    <t>10               General Fund Expenditures . . . . . . . . . . . . . . . . . . . . . . . . . . . . . . . . . . . . . . . . . . . . . . . . . . . . . . . . . . . . . . . . . .</t>
  </si>
  <si>
    <t>Special Revenue Funds:</t>
  </si>
  <si>
    <t>adopted budget.  22-44-107(2).</t>
  </si>
  <si>
    <t xml:space="preserve">23               Pupil Activity Special Revenue Fund  . . . . . . . . . . . . . . . . . . . . . . . . . . . . . . . . . . . . . . . . . . . . . . . . . . . . . . . . . . . . </t>
  </si>
  <si>
    <t xml:space="preserve">74              Pupil Activity Agency Fund . . . . . . . . . . . . . . . . . . . . . . . . . . . . . . . . . . . . . . . . . . . . . . . . . . . . . </t>
  </si>
  <si>
    <t>71-73 &amp; 75-79         Trust and Other Agency Funds . . . . . . . . . . . . . . . . . . . . . . . . . . . . . . . . . . . . . . . . . . . . . . . . . . . . . . . . . . . . .</t>
  </si>
  <si>
    <t>TOTAL REVENUE INCLUDING BEGINNING FUND BALANCE (Sum of line 17 and BFB)</t>
  </si>
  <si>
    <t>Other Purchased Student Transportation</t>
  </si>
  <si>
    <t>0561</t>
  </si>
  <si>
    <t>0562</t>
  </si>
  <si>
    <t>0563</t>
  </si>
  <si>
    <t>0564</t>
  </si>
  <si>
    <t>0565</t>
  </si>
  <si>
    <t>0566</t>
  </si>
  <si>
    <t>0569</t>
  </si>
  <si>
    <t>0580</t>
  </si>
  <si>
    <t>Subtotal 0010 - Elementary Instructional</t>
  </si>
  <si>
    <t>Subtotal 0020 - Middle School Instructional</t>
  </si>
  <si>
    <t>Subtotal 0060 - General Integrated Education</t>
  </si>
  <si>
    <t>Subtotal 1600 - Technical Education</t>
  </si>
  <si>
    <t>Subtotal 1700 - Special Education</t>
  </si>
  <si>
    <t>Indirect Cost Rate Calculation (0869)</t>
  </si>
  <si>
    <t>ARRA</t>
  </si>
  <si>
    <t>Charter</t>
  </si>
  <si>
    <t>CHARTER SCHOOL FUND</t>
  </si>
  <si>
    <t>a1</t>
  </si>
  <si>
    <t>Charter School Fund</t>
  </si>
  <si>
    <t>ARRA (Federal Stimulus Funding)  GRANTS FUND</t>
  </si>
  <si>
    <t>ARRA (Federal Stimulus Funding) Grants Fund</t>
  </si>
  <si>
    <t>ARRA (FEDERAL STIMULUS FUNDING) GRANTS FUND</t>
  </si>
  <si>
    <t>ARRA (Federal Stimulus Funding) GRANTS FUND</t>
  </si>
  <si>
    <t>1a. Charter School Fund</t>
  </si>
  <si>
    <t>1b. Insurance Reserve Fund</t>
  </si>
  <si>
    <t>1c. Pre-School Fund</t>
  </si>
  <si>
    <t>1c.</t>
  </si>
  <si>
    <t>FOUNDATION FUND</t>
  </si>
  <si>
    <t>11               Charter Fund Revenue . . . . . . . . . . . . . . . . . . . . . . . . . . . . . . . . . . . . . . . . . . . . . . . . . . . . . . . . . . . . . .</t>
  </si>
  <si>
    <t xml:space="preserve">11               Charter Fund Expenditures . . . . . . . . . . . . . . . . . . . . . . . . . . . . . . . . . . . . . . . . . . . . . . . . . . . . . . . . </t>
  </si>
  <si>
    <t>After the data is provided on the "Staff Details" tab, the Fund 22 Grants must be</t>
  </si>
  <si>
    <t>identified and added to row 3 of  the "Fund 22 Grants" tab.</t>
  </si>
  <si>
    <t>Also , add the grant description to row 4 of  the "Fund 22 Grants" tab.</t>
  </si>
  <si>
    <r>
      <rPr>
        <sz val="8"/>
        <rFont val="Helv"/>
      </rPr>
      <t>6. Commodities</t>
    </r>
    <r>
      <rPr>
        <strike/>
        <sz val="8"/>
        <rFont val="Helv"/>
      </rPr>
      <t xml:space="preserve"> (CFDA # 10.550)</t>
    </r>
    <r>
      <rPr>
        <sz val="8"/>
        <rFont val="Helv"/>
      </rPr>
      <t xml:space="preserve">  No longer reported as CFDA # 10.550</t>
    </r>
  </si>
  <si>
    <t>Note if the budget is the adopted or the revised</t>
  </si>
  <si>
    <r>
      <t xml:space="preserve">as specified in the </t>
    </r>
    <r>
      <rPr>
        <sz val="8"/>
        <color indexed="12"/>
        <rFont val="Helv"/>
      </rPr>
      <t>"____________ Budget"</t>
    </r>
    <r>
      <rPr>
        <sz val="8"/>
        <rFont val="Helv"/>
      </rPr>
      <t xml:space="preserve"> for the ensuing fiscal year beginning</t>
    </r>
  </si>
  <si>
    <t>3. TOTAL TABOR SPENDING FOR CURRENT FY (Line 1 minus Line 2)</t>
  </si>
  <si>
    <t>Percent Change in Denver-Boulder Consumer Price Index for prior CY</t>
  </si>
  <si>
    <t>FY2010-2011 Revised Budget</t>
  </si>
  <si>
    <t>To Determine your TABOR 3% Reserve Amount use 3% of Line 5</t>
  </si>
  <si>
    <t>3% of Current Year Spending = TABOR Minimum</t>
  </si>
  <si>
    <t>Summary Budget Form page is generated based on the data provided within this workbook.</t>
  </si>
  <si>
    <t>PROPOSED SALARY AND BENEFITS FY2011-2012</t>
  </si>
  <si>
    <t>II a. Are the Charter School Allocation out equal to the Allocations in?</t>
  </si>
  <si>
    <t>II b.  Are the Pre-School Allocations out equal to the Allocations in?</t>
  </si>
  <si>
    <t>III. Do the transfers in/out net to zero across all funds?</t>
  </si>
  <si>
    <t>IV. General Fund Non appropriated reserves limitation</t>
  </si>
  <si>
    <t>V.  Linkage of Salaries and Benefits lines with Staff Details page</t>
  </si>
  <si>
    <t>should be treated as a transfer</t>
  </si>
  <si>
    <t>39                        Non-Voter Approved Debt</t>
  </si>
  <si>
    <t>Non-Voter</t>
  </si>
  <si>
    <t>Approved Debt</t>
  </si>
  <si>
    <t>NON-VOTER APPROVED DEBT FUND</t>
  </si>
  <si>
    <t>i2</t>
  </si>
  <si>
    <t>Non-Voter Approved Debt Fund</t>
  </si>
  <si>
    <t>9a. Bond Redemption Fund</t>
  </si>
  <si>
    <t>9b. Non-Voter Approved Debt Fund</t>
  </si>
  <si>
    <t>932X</t>
  </si>
  <si>
    <t>Other Restricted Reserves</t>
  </si>
  <si>
    <t xml:space="preserve">   Other Restricted Reserves: 932X</t>
  </si>
  <si>
    <t xml:space="preserve">   Reserve for TABOR 3% - Program 9321</t>
  </si>
  <si>
    <t xml:space="preserve">   Res. for TABOR - Multi-Year Obligations Program 9322</t>
  </si>
  <si>
    <t>9322</t>
  </si>
  <si>
    <t>9321</t>
  </si>
  <si>
    <t>39               Non-Voter Approved Debt Service Fund . . . . . . . . . . . . . . . . . . . . . . . . . . . . . . . . . . . . . . . . . . . . . . . . . . . . . . . . . . . . . . . . . . . . .</t>
  </si>
  <si>
    <t>TOTAL APPROPRIATED RESERVES (Sum of 32 - 36)</t>
  </si>
  <si>
    <t>TOTAL FOOD SERVICE FUND EXPENSES AND APPROPRIATED RESERVES Summ of lines 27 &amp; 33)</t>
  </si>
  <si>
    <t>TOTAL FOUNDATION FUND EXPENDITURES AND APPROPRIATED RESERVES (Sum of lines 25 &amp; 30)</t>
  </si>
  <si>
    <t>TOTAL APPROPRIATED RESERVES (Sum of 22 - 26)</t>
  </si>
  <si>
    <t>TOTAL APPROPRIATED RESERVES (Sum of lines 45-49)</t>
  </si>
  <si>
    <t>TOTAL APPROPRIATED RESERVES (Sum of 19 - 22)</t>
  </si>
  <si>
    <t>TOTAL BOND REDEMPTION FUND EXPENDITURES AND APPROPRIATED RESERVES (Sum of lines 18 &amp; 23)</t>
  </si>
  <si>
    <t>Fund 39:  NON-VOTER APPROVED DEBT FUND</t>
  </si>
  <si>
    <t>Note:  Non-voter approved debt (Fund 39) must not be commingled with Voter approved debt (Fund 31)</t>
  </si>
  <si>
    <t>TOTAL APPROPRIATED RESERVES (Sum of 17 - 21)</t>
  </si>
  <si>
    <t>TOTAL APPROPRIATED RESERVES (Sum of lines 28-32)</t>
  </si>
  <si>
    <t>TOTAL PUPIL ACTIVITY AGENCY FUND EXPENDITURES AND APPROPRIATED RESERVES (Sum of lines 27 &amp; 32)</t>
  </si>
  <si>
    <t>TOTAL TRUST &amp; OTHER AGENCY FUND EXPENDITURES AND APPROPRIATED RESERVES (Sum of lines 25 &amp; 30)</t>
  </si>
  <si>
    <t>Adjustments Ensuing Fiscal Year - Budget FY13-14</t>
  </si>
  <si>
    <t>Revised Ensuing Fiscal Year - Budget FY13-14</t>
  </si>
  <si>
    <t>Original Ensuing Fiscal Year - Budget FY13-14</t>
  </si>
  <si>
    <t>Current Fiscal Year - Projected FY12-13</t>
  </si>
  <si>
    <t>Current Fiscal Year - Budgeted FY12-13</t>
  </si>
  <si>
    <t>Prior Year Actual - Audited FY11-12</t>
  </si>
  <si>
    <t>Fund 22: Governmental Grants Fund     FY 2013-2014</t>
  </si>
  <si>
    <t>FY2013-2014 Revised Budget</t>
  </si>
  <si>
    <t>FY2013-2014</t>
  </si>
  <si>
    <t>FY 2013-2014</t>
  </si>
  <si>
    <t>FISCAL YEAR 2013-2014</t>
  </si>
  <si>
    <t>FY2013-14 SUMMARY BUDGET</t>
  </si>
  <si>
    <t>ESTIMATED FUNDED PUPIL COUNT FOR USE IN BUDGET YEAR 2013-2014</t>
  </si>
  <si>
    <t>July 1, 2013 and ending June 30,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</si>
</sst>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164" formatCode="#,##0.0_);\(#,##0.0\)"/>
    <numFmt numFmtId="165" formatCode="0_)"/>
    <numFmt numFmtId="166" formatCode="0.0%"/>
    <numFmt numFmtId="167" formatCode="mm/dd/yy;@"/>
    <numFmt numFmtId="168" formatCode="#,##0.000_);[Red]\(#,##0.000\)"/>
    <numFmt numFmtId="169" formatCode="#,##0.0000_);[Red]\(#,##0.0000\)"/>
    <numFmt numFmtId="170" formatCode="0.000"/>
  </numFmts>
  <fonts count="79" x14ac:knownFonts="1">
    <font>
      <sz val="8"/>
      <name val="Helv"/>
    </font>
    <font>
      <b/>
      <sz val="10"/>
      <name val="Arial"/>
    </font>
    <font>
      <sz val="10"/>
      <name val="Arial"/>
      <family val="2"/>
    </font>
    <font>
      <sz val="8"/>
      <color indexed="12"/>
      <name val="Helv"/>
    </font>
    <font>
      <sz val="12"/>
      <name val="Helv"/>
    </font>
    <font>
      <b/>
      <i/>
      <sz val="12"/>
      <name val="Helv"/>
    </font>
    <font>
      <b/>
      <sz val="10"/>
      <name val="Helv"/>
    </font>
    <font>
      <b/>
      <sz val="12"/>
      <name val="Helv"/>
    </font>
    <font>
      <b/>
      <sz val="8"/>
      <name val="Helv"/>
    </font>
    <font>
      <b/>
      <i/>
      <sz val="8"/>
      <name val="Helv"/>
    </font>
    <font>
      <b/>
      <u/>
      <sz val="8"/>
      <name val="Helv"/>
    </font>
    <font>
      <sz val="10"/>
      <name val="Helv"/>
    </font>
    <font>
      <i/>
      <sz val="8"/>
      <name val="Helv"/>
    </font>
    <font>
      <b/>
      <sz val="14"/>
      <name val="Helv"/>
    </font>
    <font>
      <sz val="8"/>
      <name val="Times"/>
    </font>
    <font>
      <sz val="8"/>
      <name val="Helv"/>
    </font>
    <font>
      <sz val="8"/>
      <color indexed="39"/>
      <name val="Helv"/>
    </font>
    <font>
      <sz val="8"/>
      <color indexed="8"/>
      <name val="Helv"/>
    </font>
    <font>
      <i/>
      <sz val="10"/>
      <name val="Helv"/>
    </font>
    <font>
      <u/>
      <sz val="8"/>
      <color indexed="12"/>
      <name val="Helv"/>
    </font>
    <font>
      <b/>
      <sz val="8"/>
      <color indexed="10"/>
      <name val="Helv"/>
    </font>
    <font>
      <sz val="8"/>
      <color indexed="10"/>
      <name val="Helv"/>
    </font>
    <font>
      <sz val="8"/>
      <color indexed="14"/>
      <name val="Helv"/>
    </font>
    <font>
      <i/>
      <sz val="8"/>
      <color indexed="10"/>
      <name val="Helv"/>
    </font>
    <font>
      <b/>
      <i/>
      <u/>
      <sz val="8"/>
      <name val="Helv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8"/>
      <color indexed="12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8"/>
      <color indexed="9"/>
      <name val="Arial"/>
      <family val="2"/>
    </font>
    <font>
      <sz val="8"/>
      <color indexed="9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45"/>
      <name val="Arial"/>
      <family val="2"/>
    </font>
    <font>
      <sz val="8"/>
      <color indexed="57"/>
      <name val="Helv"/>
    </font>
    <font>
      <b/>
      <sz val="8"/>
      <color indexed="12"/>
      <name val="Arial"/>
      <family val="2"/>
    </font>
    <font>
      <strike/>
      <sz val="8"/>
      <name val="Helv"/>
    </font>
    <font>
      <sz val="8"/>
      <color indexed="56"/>
      <name val="Arial"/>
      <family val="2"/>
    </font>
    <font>
      <sz val="14"/>
      <color indexed="8"/>
      <name val="Arial"/>
      <family val="2"/>
    </font>
    <font>
      <strike/>
      <sz val="8"/>
      <color indexed="12"/>
      <name val="Helv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Gray">
        <fgColor indexed="8"/>
      </patternFill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12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46">
    <xf numFmtId="37" fontId="0" fillId="0" borderId="0"/>
    <xf numFmtId="0" fontId="52" fillId="2" borderId="0" applyNumberFormat="0" applyBorder="0" applyAlignment="0" applyProtection="0"/>
    <xf numFmtId="0" fontId="52" fillId="3" borderId="0" applyNumberFormat="0" applyBorder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5" borderId="0" applyNumberFormat="0" applyBorder="0" applyAlignment="0" applyProtection="0"/>
    <xf numFmtId="0" fontId="52" fillId="8" borderId="0" applyNumberFormat="0" applyBorder="0" applyAlignment="0" applyProtection="0"/>
    <xf numFmtId="0" fontId="52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9" borderId="0" applyNumberFormat="0" applyBorder="0" applyAlignment="0" applyProtection="0"/>
    <xf numFmtId="0" fontId="54" fillId="3" borderId="0" applyNumberFormat="0" applyBorder="0" applyAlignment="0" applyProtection="0"/>
    <xf numFmtId="0" fontId="55" fillId="20" borderId="1" applyNumberFormat="0" applyAlignment="0" applyProtection="0"/>
    <xf numFmtId="0" fontId="56" fillId="21" borderId="2" applyNumberFormat="0" applyAlignment="0" applyProtection="0"/>
    <xf numFmtId="0" fontId="57" fillId="0" borderId="0" applyNumberFormat="0" applyFill="0" applyBorder="0" applyAlignment="0" applyProtection="0"/>
    <xf numFmtId="0" fontId="58" fillId="4" borderId="0" applyNumberFormat="0" applyBorder="0" applyAlignment="0" applyProtection="0"/>
    <xf numFmtId="0" fontId="59" fillId="0" borderId="3" applyNumberFormat="0" applyFill="0" applyAlignment="0" applyProtection="0"/>
    <xf numFmtId="0" fontId="60" fillId="0" borderId="4" applyNumberFormat="0" applyFill="0" applyAlignment="0" applyProtection="0"/>
    <xf numFmtId="0" fontId="61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62" fillId="7" borderId="1" applyNumberFormat="0" applyAlignment="0" applyProtection="0"/>
    <xf numFmtId="0" fontId="63" fillId="0" borderId="6" applyNumberFormat="0" applyFill="0" applyAlignment="0" applyProtection="0"/>
    <xf numFmtId="0" fontId="64" fillId="22" borderId="0" applyNumberFormat="0" applyBorder="0" applyAlignment="0" applyProtection="0"/>
    <xf numFmtId="0" fontId="2" fillId="0" borderId="0"/>
    <xf numFmtId="0" fontId="52" fillId="0" borderId="0"/>
    <xf numFmtId="0" fontId="52" fillId="23" borderId="7" applyNumberFormat="0" applyFont="0" applyAlignment="0" applyProtection="0"/>
    <xf numFmtId="0" fontId="65" fillId="20" borderId="8" applyNumberFormat="0" applyAlignment="0" applyProtection="0"/>
    <xf numFmtId="9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9" applyNumberFormat="0" applyFill="0" applyAlignment="0" applyProtection="0"/>
    <xf numFmtId="0" fontId="68" fillId="0" borderId="0" applyNumberFormat="0" applyFill="0" applyBorder="0" applyAlignment="0" applyProtection="0"/>
  </cellStyleXfs>
  <cellXfs count="744">
    <xf numFmtId="37" fontId="0" fillId="0" borderId="0" xfId="0"/>
    <xf numFmtId="37" fontId="0" fillId="0" borderId="0" xfId="0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0" fillId="0" borderId="0" xfId="0" applyAlignment="1" applyProtection="1">
      <alignment horizontal="center"/>
    </xf>
    <xf numFmtId="37" fontId="0" fillId="0" borderId="0" xfId="0" applyNumberFormat="1" applyProtection="1"/>
    <xf numFmtId="37" fontId="0" fillId="0" borderId="0" xfId="0" applyProtection="1"/>
    <xf numFmtId="37" fontId="0" fillId="0" borderId="0" xfId="0" applyAlignment="1" applyProtection="1">
      <alignment horizontal="right"/>
    </xf>
    <xf numFmtId="37" fontId="3" fillId="0" borderId="0" xfId="0" applyNumberFormat="1" applyFont="1" applyProtection="1">
      <protection locked="0"/>
    </xf>
    <xf numFmtId="37" fontId="0" fillId="0" borderId="0" xfId="0" applyNumberFormat="1" applyAlignment="1" applyProtection="1">
      <alignment horizontal="right"/>
    </xf>
    <xf numFmtId="37" fontId="0" fillId="0" borderId="0" xfId="0" applyAlignment="1">
      <alignment horizontal="left"/>
    </xf>
    <xf numFmtId="37" fontId="0" fillId="0" borderId="10" xfId="0" applyBorder="1" applyAlignment="1" applyProtection="1">
      <alignment horizontal="center"/>
    </xf>
    <xf numFmtId="37" fontId="0" fillId="0" borderId="0" xfId="0" applyAlignment="1">
      <alignment horizontal="right"/>
    </xf>
    <xf numFmtId="37" fontId="0" fillId="0" borderId="0" xfId="0" applyNumberFormat="1" applyBorder="1" applyProtection="1"/>
    <xf numFmtId="37" fontId="3" fillId="0" borderId="0" xfId="0" applyNumberFormat="1" applyFont="1" applyBorder="1" applyProtection="1">
      <protection locked="0"/>
    </xf>
    <xf numFmtId="37" fontId="9" fillId="0" borderId="0" xfId="0" applyFont="1" applyAlignment="1" applyProtection="1">
      <alignment horizontal="left"/>
    </xf>
    <xf numFmtId="37" fontId="7" fillId="0" borderId="0" xfId="0" applyFont="1" applyAlignment="1"/>
    <xf numFmtId="37" fontId="0" fillId="0" borderId="0" xfId="0" applyAlignment="1"/>
    <xf numFmtId="37" fontId="8" fillId="0" borderId="0" xfId="0" applyFont="1"/>
    <xf numFmtId="37" fontId="9" fillId="0" borderId="0" xfId="0" applyFont="1"/>
    <xf numFmtId="37" fontId="0" fillId="0" borderId="11" xfId="0" applyBorder="1"/>
    <xf numFmtId="37" fontId="12" fillId="0" borderId="0" xfId="0" applyFont="1"/>
    <xf numFmtId="37" fontId="0" fillId="0" borderId="12" xfId="0" applyBorder="1"/>
    <xf numFmtId="37" fontId="0" fillId="0" borderId="13" xfId="0" applyBorder="1"/>
    <xf numFmtId="37" fontId="0" fillId="0" borderId="14" xfId="0" applyBorder="1"/>
    <xf numFmtId="37" fontId="4" fillId="0" borderId="15" xfId="0" applyFont="1" applyBorder="1"/>
    <xf numFmtId="37" fontId="4" fillId="0" borderId="16" xfId="0" applyFont="1" applyBorder="1"/>
    <xf numFmtId="37" fontId="14" fillId="0" borderId="15" xfId="0" applyFont="1" applyBorder="1"/>
    <xf numFmtId="37" fontId="14" fillId="0" borderId="12" xfId="0" applyFont="1" applyBorder="1"/>
    <xf numFmtId="37" fontId="14" fillId="0" borderId="16" xfId="0" applyFont="1" applyBorder="1"/>
    <xf numFmtId="37" fontId="14" fillId="0" borderId="17" xfId="0" applyFont="1" applyBorder="1"/>
    <xf numFmtId="37" fontId="8" fillId="0" borderId="18" xfId="0" applyFont="1" applyBorder="1"/>
    <xf numFmtId="37" fontId="8" fillId="0" borderId="19" xfId="0" applyFont="1" applyBorder="1"/>
    <xf numFmtId="37" fontId="8" fillId="0" borderId="20" xfId="0" applyFont="1" applyBorder="1"/>
    <xf numFmtId="37" fontId="8" fillId="0" borderId="21" xfId="0" applyFont="1" applyBorder="1"/>
    <xf numFmtId="37" fontId="8" fillId="0" borderId="0" xfId="0" applyFont="1" applyAlignment="1" applyProtection="1">
      <alignment horizontal="left"/>
    </xf>
    <xf numFmtId="37" fontId="10" fillId="0" borderId="0" xfId="0" applyFont="1" applyAlignment="1" applyProtection="1">
      <alignment horizontal="left"/>
    </xf>
    <xf numFmtId="37" fontId="11" fillId="0" borderId="0" xfId="0" applyFont="1" applyAlignment="1" applyProtection="1">
      <alignment horizontal="left"/>
    </xf>
    <xf numFmtId="37" fontId="9" fillId="0" borderId="0" xfId="0" applyFont="1" applyAlignment="1" applyProtection="1">
      <alignment horizontal="right"/>
    </xf>
    <xf numFmtId="37" fontId="3" fillId="0" borderId="22" xfId="0" applyNumberFormat="1" applyFont="1" applyBorder="1" applyProtection="1">
      <protection locked="0"/>
    </xf>
    <xf numFmtId="37" fontId="12" fillId="0" borderId="0" xfId="0" applyFont="1" applyAlignment="1" applyProtection="1">
      <alignment horizontal="left"/>
    </xf>
    <xf numFmtId="37" fontId="3" fillId="0" borderId="23" xfId="0" applyNumberFormat="1" applyFont="1" applyBorder="1" applyProtection="1">
      <protection locked="0"/>
    </xf>
    <xf numFmtId="37" fontId="0" fillId="0" borderId="24" xfId="0" applyNumberFormat="1" applyBorder="1" applyProtection="1"/>
    <xf numFmtId="37" fontId="3" fillId="0" borderId="24" xfId="0" applyNumberFormat="1" applyFont="1" applyBorder="1" applyProtection="1">
      <protection locked="0"/>
    </xf>
    <xf numFmtId="37" fontId="0" fillId="0" borderId="22" xfId="0" applyNumberFormat="1" applyBorder="1" applyProtection="1"/>
    <xf numFmtId="37" fontId="0" fillId="0" borderId="24" xfId="0" applyBorder="1" applyProtection="1"/>
    <xf numFmtId="37" fontId="0" fillId="0" borderId="25" xfId="0" applyNumberFormat="1" applyBorder="1" applyProtection="1"/>
    <xf numFmtId="37" fontId="0" fillId="0" borderId="23" xfId="0" applyNumberFormat="1" applyBorder="1" applyProtection="1"/>
    <xf numFmtId="37" fontId="8" fillId="0" borderId="0" xfId="0" applyFont="1" applyAlignment="1" applyProtection="1">
      <alignment horizontal="center"/>
    </xf>
    <xf numFmtId="37" fontId="8" fillId="0" borderId="0" xfId="0" applyFont="1" applyAlignment="1" applyProtection="1">
      <alignment horizontal="right"/>
    </xf>
    <xf numFmtId="37" fontId="0" fillId="0" borderId="26" xfId="0" applyBorder="1" applyAlignment="1" applyProtection="1">
      <alignment horizontal="left"/>
    </xf>
    <xf numFmtId="37" fontId="0" fillId="0" borderId="23" xfId="0" applyBorder="1" applyAlignment="1" applyProtection="1">
      <alignment horizontal="left"/>
    </xf>
    <xf numFmtId="37" fontId="13" fillId="0" borderId="0" xfId="0" applyFont="1" applyAlignment="1" applyProtection="1"/>
    <xf numFmtId="37" fontId="4" fillId="0" borderId="15" xfId="0" applyFont="1" applyBorder="1" applyAlignment="1" applyProtection="1">
      <alignment horizontal="center"/>
    </xf>
    <xf numFmtId="37" fontId="4" fillId="0" borderId="18" xfId="0" applyFont="1" applyBorder="1" applyAlignment="1" applyProtection="1">
      <alignment horizontal="center"/>
    </xf>
    <xf numFmtId="37" fontId="4" fillId="0" borderId="16" xfId="0" applyFont="1" applyBorder="1" applyAlignment="1" applyProtection="1">
      <alignment horizontal="center"/>
    </xf>
    <xf numFmtId="37" fontId="4" fillId="0" borderId="18" xfId="0" applyFont="1" applyBorder="1" applyAlignment="1" applyProtection="1">
      <alignment horizontal="left"/>
    </xf>
    <xf numFmtId="37" fontId="4" fillId="0" borderId="18" xfId="0" applyNumberFormat="1" applyFont="1" applyBorder="1" applyProtection="1"/>
    <xf numFmtId="37" fontId="4" fillId="0" borderId="27" xfId="0" applyFont="1" applyBorder="1" applyAlignment="1" applyProtection="1">
      <alignment horizontal="left"/>
    </xf>
    <xf numFmtId="37" fontId="4" fillId="0" borderId="27" xfId="0" applyNumberFormat="1" applyFont="1" applyBorder="1" applyProtection="1"/>
    <xf numFmtId="37" fontId="4" fillId="0" borderId="20" xfId="0" applyFont="1" applyBorder="1" applyAlignment="1" applyProtection="1">
      <alignment horizontal="left"/>
    </xf>
    <xf numFmtId="37" fontId="4" fillId="0" borderId="20" xfId="0" applyNumberFormat="1" applyFont="1" applyBorder="1" applyProtection="1"/>
    <xf numFmtId="37" fontId="4" fillId="0" borderId="28" xfId="0" applyNumberFormat="1" applyFont="1" applyBorder="1" applyProtection="1"/>
    <xf numFmtId="37" fontId="7" fillId="0" borderId="0" xfId="0" applyFont="1" applyAlignment="1" applyProtection="1"/>
    <xf numFmtId="37" fontId="14" fillId="0" borderId="15" xfId="0" applyFont="1" applyBorder="1" applyAlignment="1" applyProtection="1">
      <alignment horizontal="center"/>
    </xf>
    <xf numFmtId="37" fontId="14" fillId="0" borderId="18" xfId="0" applyFont="1" applyBorder="1" applyAlignment="1" applyProtection="1">
      <alignment horizontal="center"/>
    </xf>
    <xf numFmtId="37" fontId="14" fillId="0" borderId="16" xfId="0" applyFont="1" applyBorder="1" applyAlignment="1" applyProtection="1">
      <alignment horizontal="center"/>
    </xf>
    <xf numFmtId="37" fontId="14" fillId="0" borderId="16" xfId="0" applyFont="1" applyBorder="1" applyAlignment="1" applyProtection="1">
      <alignment horizontal="left"/>
    </xf>
    <xf numFmtId="37" fontId="14" fillId="0" borderId="16" xfId="0" applyNumberFormat="1" applyFont="1" applyBorder="1" applyProtection="1"/>
    <xf numFmtId="37" fontId="14" fillId="0" borderId="18" xfId="0" applyFont="1" applyBorder="1" applyAlignment="1" applyProtection="1">
      <alignment horizontal="left"/>
    </xf>
    <xf numFmtId="37" fontId="14" fillId="24" borderId="15" xfId="0" applyNumberFormat="1" applyFont="1" applyFill="1" applyBorder="1" applyProtection="1"/>
    <xf numFmtId="37" fontId="14" fillId="0" borderId="20" xfId="0" applyFont="1" applyBorder="1" applyAlignment="1" applyProtection="1">
      <alignment horizontal="left"/>
    </xf>
    <xf numFmtId="37" fontId="14" fillId="24" borderId="20" xfId="0" applyNumberFormat="1" applyFont="1" applyFill="1" applyBorder="1" applyProtection="1"/>
    <xf numFmtId="37" fontId="14" fillId="0" borderId="18" xfId="0" applyNumberFormat="1" applyFont="1" applyBorder="1" applyProtection="1"/>
    <xf numFmtId="37" fontId="14" fillId="24" borderId="18" xfId="0" applyNumberFormat="1" applyFont="1" applyFill="1" applyBorder="1" applyProtection="1"/>
    <xf numFmtId="37" fontId="14" fillId="24" borderId="16" xfId="0" applyNumberFormat="1" applyFont="1" applyFill="1" applyBorder="1" applyProtection="1"/>
    <xf numFmtId="37" fontId="14" fillId="24" borderId="29" xfId="0" applyNumberFormat="1" applyFont="1" applyFill="1" applyBorder="1" applyProtection="1"/>
    <xf numFmtId="164" fontId="14" fillId="0" borderId="18" xfId="0" applyNumberFormat="1" applyFont="1" applyBorder="1" applyProtection="1"/>
    <xf numFmtId="37" fontId="14" fillId="0" borderId="20" xfId="0" applyNumberFormat="1" applyFont="1" applyBorder="1" applyProtection="1"/>
    <xf numFmtId="37" fontId="14" fillId="0" borderId="17" xfId="0" applyFont="1" applyBorder="1" applyAlignment="1" applyProtection="1">
      <alignment horizontal="center"/>
    </xf>
    <xf numFmtId="37" fontId="14" fillId="0" borderId="30" xfId="0" applyFont="1" applyBorder="1" applyAlignment="1" applyProtection="1">
      <alignment horizontal="center"/>
    </xf>
    <xf numFmtId="37" fontId="0" fillId="0" borderId="23" xfId="0" applyNumberFormat="1" applyBorder="1" applyAlignment="1" applyProtection="1">
      <alignment horizontal="right"/>
    </xf>
    <xf numFmtId="37" fontId="14" fillId="0" borderId="31" xfId="0" applyFont="1" applyBorder="1" applyAlignment="1" applyProtection="1">
      <alignment horizontal="left"/>
    </xf>
    <xf numFmtId="37" fontId="0" fillId="0" borderId="23" xfId="0" applyBorder="1" applyProtection="1"/>
    <xf numFmtId="37" fontId="14" fillId="0" borderId="27" xfId="0" applyFont="1" applyBorder="1" applyAlignment="1" applyProtection="1">
      <alignment horizontal="left"/>
    </xf>
    <xf numFmtId="37" fontId="14" fillId="0" borderId="27" xfId="0" applyNumberFormat="1" applyFont="1" applyBorder="1" applyProtection="1"/>
    <xf numFmtId="37" fontId="14" fillId="0" borderId="32" xfId="0" applyFont="1" applyBorder="1" applyAlignment="1" applyProtection="1">
      <alignment horizontal="left"/>
    </xf>
    <xf numFmtId="37" fontId="14" fillId="0" borderId="32" xfId="0" applyNumberFormat="1" applyFont="1" applyBorder="1" applyProtection="1"/>
    <xf numFmtId="37" fontId="14" fillId="0" borderId="33" xfId="0" applyNumberFormat="1" applyFont="1" applyBorder="1" applyProtection="1"/>
    <xf numFmtId="37" fontId="14" fillId="0" borderId="31" xfId="0" applyNumberFormat="1" applyFont="1" applyBorder="1" applyProtection="1"/>
    <xf numFmtId="37" fontId="14" fillId="0" borderId="12" xfId="0" applyFont="1" applyBorder="1" applyAlignment="1" applyProtection="1">
      <alignment horizontal="center"/>
    </xf>
    <xf numFmtId="165" fontId="0" fillId="0" borderId="24" xfId="0" applyNumberFormat="1" applyBorder="1" applyProtection="1"/>
    <xf numFmtId="166" fontId="0" fillId="0" borderId="23" xfId="0" applyNumberFormat="1" applyBorder="1" applyProtection="1"/>
    <xf numFmtId="166" fontId="3" fillId="0" borderId="23" xfId="0" applyNumberFormat="1" applyFont="1" applyBorder="1" applyProtection="1">
      <protection locked="0"/>
    </xf>
    <xf numFmtId="166" fontId="0" fillId="0" borderId="24" xfId="0" applyNumberFormat="1" applyBorder="1" applyProtection="1"/>
    <xf numFmtId="37" fontId="8" fillId="0" borderId="15" xfId="0" applyFont="1" applyBorder="1" applyAlignment="1" applyProtection="1">
      <alignment horizontal="center"/>
    </xf>
    <xf numFmtId="37" fontId="8" fillId="0" borderId="18" xfId="0" applyFont="1" applyBorder="1" applyAlignment="1" applyProtection="1">
      <alignment horizontal="center"/>
    </xf>
    <xf numFmtId="37" fontId="3" fillId="0" borderId="34" xfId="0" applyNumberFormat="1" applyFont="1" applyBorder="1" applyProtection="1">
      <protection locked="0"/>
    </xf>
    <xf numFmtId="166" fontId="0" fillId="0" borderId="34" xfId="0" applyNumberFormat="1" applyBorder="1" applyProtection="1"/>
    <xf numFmtId="37" fontId="0" fillId="0" borderId="34" xfId="0" applyNumberFormat="1" applyBorder="1" applyProtection="1"/>
    <xf numFmtId="166" fontId="0" fillId="0" borderId="23" xfId="0" applyNumberFormat="1" applyBorder="1" applyAlignment="1" applyProtection="1">
      <alignment horizontal="right"/>
    </xf>
    <xf numFmtId="37" fontId="3" fillId="0" borderId="25" xfId="0" applyNumberFormat="1" applyFont="1" applyBorder="1" applyProtection="1">
      <protection locked="0"/>
    </xf>
    <xf numFmtId="166" fontId="0" fillId="0" borderId="25" xfId="0" applyNumberFormat="1" applyBorder="1" applyProtection="1"/>
    <xf numFmtId="37" fontId="0" fillId="0" borderId="26" xfId="0" applyBorder="1" applyAlignment="1" applyProtection="1">
      <alignment horizontal="center"/>
    </xf>
    <xf numFmtId="37" fontId="0" fillId="0" borderId="13" xfId="0" applyBorder="1" applyAlignment="1" applyProtection="1">
      <alignment horizontal="center"/>
    </xf>
    <xf numFmtId="37" fontId="6" fillId="0" borderId="0" xfId="0" quotePrefix="1" applyFont="1" applyAlignment="1" applyProtection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37" fontId="0" fillId="0" borderId="0" xfId="0" quotePrefix="1" applyAlignment="1" applyProtection="1">
      <alignment horizontal="left"/>
    </xf>
    <xf numFmtId="37" fontId="0" fillId="0" borderId="35" xfId="0" applyBorder="1"/>
    <xf numFmtId="37" fontId="0" fillId="0" borderId="0" xfId="0" quotePrefix="1" applyAlignment="1">
      <alignment horizontal="left"/>
    </xf>
    <xf numFmtId="37" fontId="0" fillId="0" borderId="36" xfId="0" applyNumberFormat="1" applyBorder="1" applyProtection="1"/>
    <xf numFmtId="37" fontId="8" fillId="0" borderId="0" xfId="0" quotePrefix="1" applyFont="1" applyAlignment="1" applyProtection="1">
      <alignment horizontal="left"/>
    </xf>
    <xf numFmtId="37" fontId="9" fillId="0" borderId="0" xfId="0" quotePrefix="1" applyFont="1" applyAlignment="1" applyProtection="1">
      <alignment horizontal="left"/>
    </xf>
    <xf numFmtId="37" fontId="0" fillId="0" borderId="23" xfId="0" quotePrefix="1" applyBorder="1" applyAlignment="1" applyProtection="1">
      <alignment horizontal="left"/>
    </xf>
    <xf numFmtId="37" fontId="15" fillId="0" borderId="0" xfId="0" applyFont="1" applyAlignment="1" applyProtection="1">
      <alignment horizontal="left"/>
    </xf>
    <xf numFmtId="37" fontId="6" fillId="0" borderId="0" xfId="0" quotePrefix="1" applyFont="1" applyAlignment="1">
      <alignment horizontal="left"/>
    </xf>
    <xf numFmtId="37" fontId="6" fillId="0" borderId="0" xfId="0" applyFont="1" applyAlignment="1">
      <alignment horizontal="left"/>
    </xf>
    <xf numFmtId="37" fontId="14" fillId="0" borderId="18" xfId="0" quotePrefix="1" applyFont="1" applyBorder="1" applyAlignment="1" applyProtection="1">
      <alignment horizontal="center"/>
    </xf>
    <xf numFmtId="37" fontId="15" fillId="0" borderId="0" xfId="0" applyFont="1" applyAlignment="1">
      <alignment horizontal="right"/>
    </xf>
    <xf numFmtId="37" fontId="16" fillId="0" borderId="23" xfId="0" applyNumberFormat="1" applyFont="1" applyBorder="1" applyProtection="1"/>
    <xf numFmtId="37" fontId="16" fillId="0" borderId="23" xfId="0" applyFont="1" applyBorder="1" applyProtection="1"/>
    <xf numFmtId="37" fontId="8" fillId="0" borderId="35" xfId="0" applyFont="1" applyBorder="1"/>
    <xf numFmtId="37" fontId="0" fillId="0" borderId="0" xfId="0" applyBorder="1"/>
    <xf numFmtId="37" fontId="0" fillId="0" borderId="37" xfId="0" applyNumberFormat="1" applyBorder="1" applyProtection="1"/>
    <xf numFmtId="37" fontId="18" fillId="0" borderId="0" xfId="0" quotePrefix="1" applyFont="1" applyAlignment="1" applyProtection="1">
      <alignment horizontal="left"/>
    </xf>
    <xf numFmtId="37" fontId="11" fillId="0" borderId="0" xfId="0" applyFont="1" applyProtection="1"/>
    <xf numFmtId="37" fontId="14" fillId="0" borderId="15" xfId="0" applyFont="1" applyBorder="1" applyAlignment="1">
      <alignment horizontal="center"/>
    </xf>
    <xf numFmtId="37" fontId="17" fillId="0" borderId="0" xfId="0" applyNumberFormat="1" applyFont="1" applyProtection="1"/>
    <xf numFmtId="37" fontId="0" fillId="0" borderId="35" xfId="0" applyBorder="1" applyProtection="1"/>
    <xf numFmtId="164" fontId="14" fillId="0" borderId="20" xfId="0" applyNumberFormat="1" applyFont="1" applyBorder="1" applyProtection="1"/>
    <xf numFmtId="37" fontId="8" fillId="0" borderId="0" xfId="0" applyFont="1" applyBorder="1"/>
    <xf numFmtId="37" fontId="8" fillId="0" borderId="19" xfId="0" applyFont="1" applyBorder="1" applyAlignment="1" applyProtection="1">
      <alignment horizontal="center"/>
    </xf>
    <xf numFmtId="37" fontId="17" fillId="0" borderId="23" xfId="0" applyNumberFormat="1" applyFont="1" applyBorder="1" applyProtection="1"/>
    <xf numFmtId="49" fontId="9" fillId="0" borderId="0" xfId="0" applyNumberFormat="1" applyFont="1" applyAlignment="1" applyProtection="1">
      <alignment horizontal="left"/>
    </xf>
    <xf numFmtId="49" fontId="0" fillId="0" borderId="0" xfId="0" applyNumberFormat="1"/>
    <xf numFmtId="49" fontId="8" fillId="0" borderId="0" xfId="0" applyNumberFormat="1" applyFont="1" applyAlignment="1" applyProtection="1">
      <alignment horizontal="left"/>
    </xf>
    <xf numFmtId="49" fontId="0" fillId="0" borderId="0" xfId="0" applyNumberFormat="1" applyAlignment="1" applyProtection="1">
      <alignment horizontal="left"/>
    </xf>
    <xf numFmtId="37" fontId="15" fillId="0" borderId="0" xfId="0" applyFont="1" applyAlignment="1" applyProtection="1">
      <alignment horizontal="left"/>
      <protection locked="0"/>
    </xf>
    <xf numFmtId="49" fontId="10" fillId="0" borderId="0" xfId="0" applyNumberFormat="1" applyFont="1" applyAlignment="1" applyProtection="1">
      <alignment horizontal="left"/>
    </xf>
    <xf numFmtId="49" fontId="0" fillId="0" borderId="0" xfId="0" quotePrefix="1" applyNumberFormat="1" applyAlignment="1">
      <alignment horizontal="left"/>
    </xf>
    <xf numFmtId="37" fontId="20" fillId="0" borderId="35" xfId="0" applyFont="1" applyBorder="1" applyAlignment="1">
      <alignment horizontal="center"/>
    </xf>
    <xf numFmtId="37" fontId="21" fillId="0" borderId="35" xfId="0" applyFont="1" applyBorder="1"/>
    <xf numFmtId="37" fontId="3" fillId="0" borderId="38" xfId="0" applyNumberFormat="1" applyFont="1" applyBorder="1" applyProtection="1">
      <protection locked="0"/>
    </xf>
    <xf numFmtId="37" fontId="3" fillId="0" borderId="39" xfId="0" applyNumberFormat="1" applyFont="1" applyBorder="1" applyProtection="1">
      <protection locked="0"/>
    </xf>
    <xf numFmtId="37" fontId="15" fillId="0" borderId="0" xfId="0" applyNumberFormat="1" applyFont="1" applyBorder="1" applyAlignment="1" applyProtection="1">
      <alignment horizontal="center"/>
      <protection locked="0"/>
    </xf>
    <xf numFmtId="37" fontId="15" fillId="0" borderId="0" xfId="0" quotePrefix="1" applyNumberFormat="1" applyFont="1" applyBorder="1" applyAlignment="1" applyProtection="1">
      <alignment horizontal="center"/>
      <protection locked="0"/>
    </xf>
    <xf numFmtId="37" fontId="3" fillId="0" borderId="35" xfId="0" applyNumberFormat="1" applyFont="1" applyBorder="1" applyProtection="1">
      <protection locked="0"/>
    </xf>
    <xf numFmtId="37" fontId="8" fillId="0" borderId="0" xfId="0" applyFont="1" applyAlignment="1"/>
    <xf numFmtId="1" fontId="8" fillId="0" borderId="0" xfId="0" applyNumberFormat="1" applyFont="1" applyAlignment="1">
      <alignment horizontal="left"/>
    </xf>
    <xf numFmtId="37" fontId="3" fillId="0" borderId="15" xfId="0" applyNumberFormat="1" applyFont="1" applyBorder="1" applyProtection="1">
      <protection locked="0"/>
    </xf>
    <xf numFmtId="37" fontId="15" fillId="0" borderId="24" xfId="0" applyNumberFormat="1" applyFont="1" applyBorder="1" applyProtection="1">
      <protection locked="0"/>
    </xf>
    <xf numFmtId="37" fontId="15" fillId="0" borderId="0" xfId="0" quotePrefix="1" applyFont="1" applyAlignment="1" applyProtection="1">
      <alignment horizontal="left"/>
    </xf>
    <xf numFmtId="37" fontId="10" fillId="0" borderId="0" xfId="0" applyFont="1" applyAlignment="1" applyProtection="1">
      <alignment horizontal="left" wrapText="1"/>
    </xf>
    <xf numFmtId="1" fontId="15" fillId="0" borderId="0" xfId="0" quotePrefix="1" applyNumberFormat="1" applyFont="1" applyAlignment="1">
      <alignment horizontal="left"/>
    </xf>
    <xf numFmtId="37" fontId="10" fillId="0" borderId="0" xfId="0" applyFont="1"/>
    <xf numFmtId="37" fontId="15" fillId="0" borderId="40" xfId="0" applyNumberFormat="1" applyFont="1" applyBorder="1" applyProtection="1">
      <protection locked="0"/>
    </xf>
    <xf numFmtId="37" fontId="3" fillId="0" borderId="40" xfId="0" applyNumberFormat="1" applyFont="1" applyBorder="1" applyProtection="1">
      <protection locked="0"/>
    </xf>
    <xf numFmtId="37" fontId="15" fillId="0" borderId="0" xfId="0" applyFont="1"/>
    <xf numFmtId="37" fontId="15" fillId="0" borderId="0" xfId="0" applyNumberFormat="1" applyFont="1" applyProtection="1"/>
    <xf numFmtId="37" fontId="15" fillId="0" borderId="0" xfId="0" quotePrefix="1" applyFont="1"/>
    <xf numFmtId="37" fontId="3" fillId="0" borderId="41" xfId="0" applyNumberFormat="1" applyFont="1" applyBorder="1" applyProtection="1">
      <protection locked="0"/>
    </xf>
    <xf numFmtId="49" fontId="15" fillId="0" borderId="0" xfId="0" applyNumberFormat="1" applyFont="1" applyAlignment="1" applyProtection="1">
      <alignment horizontal="left"/>
    </xf>
    <xf numFmtId="37" fontId="15" fillId="0" borderId="0" xfId="0" applyFont="1" applyAlignment="1">
      <alignment horizontal="left"/>
    </xf>
    <xf numFmtId="1" fontId="15" fillId="0" borderId="0" xfId="0" applyNumberFormat="1" applyFont="1" applyAlignment="1">
      <alignment horizontal="left"/>
    </xf>
    <xf numFmtId="37" fontId="15" fillId="0" borderId="0" xfId="0" quotePrefix="1" applyFont="1" applyAlignment="1">
      <alignment horizontal="right"/>
    </xf>
    <xf numFmtId="37" fontId="15" fillId="0" borderId="0" xfId="0" applyFont="1" applyAlignment="1">
      <alignment horizontal="center" wrapText="1"/>
    </xf>
    <xf numFmtId="37" fontId="15" fillId="0" borderId="0" xfId="0" applyFont="1" applyProtection="1"/>
    <xf numFmtId="49" fontId="15" fillId="0" borderId="0" xfId="0" quotePrefix="1" applyNumberFormat="1" applyFont="1" applyAlignment="1" applyProtection="1">
      <alignment horizontal="left"/>
    </xf>
    <xf numFmtId="37" fontId="15" fillId="0" borderId="24" xfId="0" applyNumberFormat="1" applyFont="1" applyBorder="1" applyProtection="1"/>
    <xf numFmtId="37" fontId="15" fillId="0" borderId="0" xfId="0" applyNumberFormat="1" applyFont="1" applyBorder="1" applyProtection="1"/>
    <xf numFmtId="37" fontId="15" fillId="0" borderId="22" xfId="0" applyNumberFormat="1" applyFont="1" applyBorder="1" applyProtection="1"/>
    <xf numFmtId="37" fontId="15" fillId="0" borderId="0" xfId="0" applyFont="1" applyFill="1" applyBorder="1" applyAlignment="1" applyProtection="1">
      <alignment horizontal="left"/>
    </xf>
    <xf numFmtId="37" fontId="15" fillId="0" borderId="40" xfId="0" applyNumberFormat="1" applyFont="1" applyBorder="1" applyProtection="1"/>
    <xf numFmtId="37" fontId="15" fillId="0" borderId="0" xfId="0" quotePrefix="1" applyFont="1" applyProtection="1"/>
    <xf numFmtId="37" fontId="15" fillId="0" borderId="0" xfId="0" applyFont="1" applyAlignment="1">
      <alignment vertical="top" wrapText="1"/>
    </xf>
    <xf numFmtId="37" fontId="15" fillId="0" borderId="0" xfId="0" applyFont="1" applyAlignment="1">
      <alignment wrapText="1"/>
    </xf>
    <xf numFmtId="37" fontId="15" fillId="0" borderId="0" xfId="0" applyNumberFormat="1" applyFont="1" applyAlignment="1" applyProtection="1">
      <alignment horizontal="left"/>
    </xf>
    <xf numFmtId="37" fontId="15" fillId="0" borderId="0" xfId="0" applyFont="1" applyBorder="1"/>
    <xf numFmtId="37" fontId="15" fillId="0" borderId="0" xfId="0" applyFont="1" applyBorder="1" applyProtection="1"/>
    <xf numFmtId="37" fontId="15" fillId="0" borderId="40" xfId="0" applyFont="1" applyBorder="1"/>
    <xf numFmtId="37" fontId="15" fillId="0" borderId="0" xfId="0" applyFont="1" applyAlignment="1">
      <alignment horizontal="center"/>
    </xf>
    <xf numFmtId="37" fontId="15" fillId="0" borderId="0" xfId="0" applyFont="1" applyAlignment="1"/>
    <xf numFmtId="49" fontId="15" fillId="0" borderId="0" xfId="0" applyNumberFormat="1" applyFont="1"/>
    <xf numFmtId="49" fontId="15" fillId="0" borderId="0" xfId="0" quotePrefix="1" applyNumberFormat="1" applyFont="1"/>
    <xf numFmtId="37" fontId="10" fillId="0" borderId="0" xfId="0" applyFont="1" applyAlignment="1"/>
    <xf numFmtId="49" fontId="0" fillId="0" borderId="0" xfId="0" quotePrefix="1" applyNumberFormat="1" applyAlignment="1" applyProtection="1">
      <alignment horizontal="left"/>
    </xf>
    <xf numFmtId="49" fontId="0" fillId="0" borderId="0" xfId="0" quotePrefix="1" applyNumberFormat="1"/>
    <xf numFmtId="37" fontId="0" fillId="0" borderId="0" xfId="0" quotePrefix="1"/>
    <xf numFmtId="37" fontId="0" fillId="0" borderId="0" xfId="0" applyBorder="1" applyAlignment="1" applyProtection="1">
      <alignment horizontal="center"/>
    </xf>
    <xf numFmtId="37" fontId="0" fillId="0" borderId="0" xfId="0" applyBorder="1" applyAlignment="1">
      <alignment horizontal="center"/>
    </xf>
    <xf numFmtId="37" fontId="3" fillId="0" borderId="0" xfId="0" applyFont="1" applyBorder="1" applyAlignment="1" applyProtection="1">
      <alignment horizontal="left"/>
      <protection locked="0"/>
    </xf>
    <xf numFmtId="37" fontId="15" fillId="0" borderId="42" xfId="0" applyNumberFormat="1" applyFont="1" applyBorder="1" applyProtection="1"/>
    <xf numFmtId="37" fontId="0" fillId="0" borderId="40" xfId="0" applyBorder="1"/>
    <xf numFmtId="37" fontId="15" fillId="0" borderId="0" xfId="0" applyFont="1" applyBorder="1" applyAlignment="1" applyProtection="1">
      <alignment horizontal="left"/>
    </xf>
    <xf numFmtId="37" fontId="8" fillId="0" borderId="43" xfId="0" applyFont="1" applyBorder="1" applyAlignment="1" applyProtection="1">
      <alignment horizontal="left"/>
    </xf>
    <xf numFmtId="37" fontId="8" fillId="0" borderId="0" xfId="0" applyFont="1" applyBorder="1" applyAlignment="1" applyProtection="1">
      <alignment horizontal="left" wrapText="1"/>
    </xf>
    <xf numFmtId="37" fontId="15" fillId="0" borderId="0" xfId="0" applyFont="1" applyAlignment="1" applyProtection="1">
      <alignment horizontal="left" wrapText="1"/>
    </xf>
    <xf numFmtId="37" fontId="15" fillId="0" borderId="0" xfId="0" applyNumberFormat="1" applyFont="1" applyBorder="1" applyProtection="1">
      <protection locked="0"/>
    </xf>
    <xf numFmtId="37" fontId="3" fillId="0" borderId="44" xfId="0" applyNumberFormat="1" applyFont="1" applyBorder="1" applyProtection="1">
      <protection locked="0"/>
    </xf>
    <xf numFmtId="37" fontId="22" fillId="0" borderId="0" xfId="0" applyNumberFormat="1" applyFont="1" applyProtection="1"/>
    <xf numFmtId="37" fontId="21" fillId="0" borderId="0" xfId="0" applyFont="1"/>
    <xf numFmtId="37" fontId="12" fillId="0" borderId="0" xfId="0" applyFont="1" applyBorder="1" applyAlignment="1" applyProtection="1">
      <alignment horizontal="left"/>
    </xf>
    <xf numFmtId="37" fontId="8" fillId="0" borderId="0" xfId="0" applyFont="1" applyBorder="1" applyAlignment="1" applyProtection="1">
      <alignment horizontal="left"/>
    </xf>
    <xf numFmtId="37" fontId="8" fillId="0" borderId="0" xfId="0" quotePrefix="1" applyFont="1"/>
    <xf numFmtId="37" fontId="15" fillId="0" borderId="0" xfId="0" quotePrefix="1" applyFont="1" applyAlignment="1" applyProtection="1">
      <alignment vertical="top"/>
    </xf>
    <xf numFmtId="37" fontId="12" fillId="0" borderId="0" xfId="0" applyFont="1" applyAlignment="1" applyProtection="1">
      <alignment horizontal="right"/>
    </xf>
    <xf numFmtId="37" fontId="6" fillId="0" borderId="0" xfId="0" applyFont="1" applyAlignment="1" applyProtection="1">
      <alignment horizontal="left"/>
    </xf>
    <xf numFmtId="37" fontId="3" fillId="0" borderId="0" xfId="0" applyFont="1"/>
    <xf numFmtId="37" fontId="24" fillId="0" borderId="0" xfId="0" applyFont="1" applyAlignment="1" applyProtection="1">
      <alignment horizontal="center"/>
    </xf>
    <xf numFmtId="37" fontId="9" fillId="0" borderId="0" xfId="0" applyFont="1" applyAlignment="1" applyProtection="1">
      <alignment horizontal="center"/>
    </xf>
    <xf numFmtId="37" fontId="0" fillId="0" borderId="0" xfId="0" quotePrefix="1" applyProtection="1"/>
    <xf numFmtId="37" fontId="15" fillId="0" borderId="45" xfId="0" applyNumberFormat="1" applyFont="1" applyBorder="1" applyProtection="1"/>
    <xf numFmtId="37" fontId="0" fillId="0" borderId="0" xfId="0" quotePrefix="1" applyAlignment="1" applyProtection="1"/>
    <xf numFmtId="37" fontId="0" fillId="0" borderId="0" xfId="0" applyAlignment="1" applyProtection="1"/>
    <xf numFmtId="37" fontId="14" fillId="0" borderId="29" xfId="0" applyNumberFormat="1" applyFont="1" applyFill="1" applyBorder="1" applyProtection="1"/>
    <xf numFmtId="37" fontId="14" fillId="0" borderId="23" xfId="0" applyFont="1" applyBorder="1" applyAlignment="1" applyProtection="1">
      <alignment horizontal="left"/>
    </xf>
    <xf numFmtId="37" fontId="14" fillId="0" borderId="23" xfId="0" applyNumberFormat="1" applyFont="1" applyBorder="1" applyProtection="1"/>
    <xf numFmtId="37" fontId="14" fillId="0" borderId="18" xfId="0" applyFont="1" applyFill="1" applyBorder="1" applyAlignment="1" applyProtection="1">
      <alignment horizontal="left"/>
    </xf>
    <xf numFmtId="37" fontId="14" fillId="0" borderId="30" xfId="0" applyNumberFormat="1" applyFont="1" applyFill="1" applyBorder="1" applyProtection="1"/>
    <xf numFmtId="37" fontId="14" fillId="0" borderId="15" xfId="0" applyFont="1" applyBorder="1" applyAlignment="1" applyProtection="1">
      <alignment horizontal="left"/>
    </xf>
    <xf numFmtId="37" fontId="14" fillId="0" borderId="17" xfId="0" applyNumberFormat="1" applyFont="1" applyFill="1" applyBorder="1" applyProtection="1"/>
    <xf numFmtId="37" fontId="14" fillId="0" borderId="32" xfId="0" applyNumberFormat="1" applyFont="1" applyBorder="1" applyAlignment="1" applyProtection="1">
      <alignment horizontal="center"/>
    </xf>
    <xf numFmtId="37" fontId="14" fillId="0" borderId="23" xfId="0" applyNumberFormat="1" applyFont="1" applyFill="1" applyBorder="1" applyProtection="1"/>
    <xf numFmtId="37" fontId="14" fillId="0" borderId="31" xfId="0" applyNumberFormat="1" applyFont="1" applyFill="1" applyBorder="1" applyProtection="1"/>
    <xf numFmtId="37" fontId="14" fillId="0" borderId="46" xfId="0" applyNumberFormat="1" applyFont="1" applyFill="1" applyBorder="1" applyProtection="1"/>
    <xf numFmtId="37" fontId="0" fillId="0" borderId="0" xfId="0" applyFill="1" applyBorder="1" applyProtection="1"/>
    <xf numFmtId="37" fontId="29" fillId="0" borderId="0" xfId="0" applyFont="1" applyProtection="1">
      <protection locked="0"/>
    </xf>
    <xf numFmtId="37" fontId="34" fillId="0" borderId="0" xfId="0" applyFont="1" applyProtection="1">
      <protection locked="0"/>
    </xf>
    <xf numFmtId="37" fontId="34" fillId="0" borderId="0" xfId="0" applyFont="1" applyBorder="1" applyProtection="1">
      <protection locked="0"/>
    </xf>
    <xf numFmtId="37" fontId="29" fillId="0" borderId="47" xfId="0" applyFont="1" applyBorder="1" applyProtection="1">
      <protection locked="0"/>
    </xf>
    <xf numFmtId="37" fontId="29" fillId="0" borderId="47" xfId="0" applyFont="1" applyBorder="1" applyAlignment="1" applyProtection="1">
      <alignment horizontal="right"/>
      <protection locked="0"/>
    </xf>
    <xf numFmtId="37" fontId="29" fillId="0" borderId="48" xfId="0" applyFont="1" applyBorder="1" applyProtection="1">
      <protection locked="0"/>
    </xf>
    <xf numFmtId="1" fontId="29" fillId="0" borderId="47" xfId="0" applyNumberFormat="1" applyFont="1" applyBorder="1" applyProtection="1">
      <protection locked="0"/>
    </xf>
    <xf numFmtId="37" fontId="29" fillId="0" borderId="23" xfId="0" applyFont="1" applyBorder="1" applyProtection="1">
      <protection locked="0"/>
    </xf>
    <xf numFmtId="37" fontId="21" fillId="0" borderId="0" xfId="0" applyFont="1" applyAlignment="1" applyProtection="1">
      <alignment horizontal="left"/>
    </xf>
    <xf numFmtId="37" fontId="40" fillId="0" borderId="0" xfId="0" applyFont="1"/>
    <xf numFmtId="37" fontId="35" fillId="0" borderId="49" xfId="0" applyFont="1" applyBorder="1" applyAlignment="1">
      <alignment wrapText="1"/>
    </xf>
    <xf numFmtId="37" fontId="35" fillId="0" borderId="50" xfId="0" applyFont="1" applyBorder="1" applyAlignment="1">
      <alignment horizontal="right" wrapText="1"/>
    </xf>
    <xf numFmtId="37" fontId="35" fillId="25" borderId="51" xfId="0" applyFont="1" applyFill="1" applyBorder="1" applyAlignment="1">
      <alignment horizontal="center" wrapText="1"/>
    </xf>
    <xf numFmtId="37" fontId="35" fillId="0" borderId="52" xfId="0" applyFont="1" applyBorder="1" applyAlignment="1">
      <alignment horizontal="center" wrapText="1"/>
    </xf>
    <xf numFmtId="37" fontId="35" fillId="0" borderId="53" xfId="0" applyFont="1" applyBorder="1" applyAlignment="1">
      <alignment horizontal="center" wrapText="1"/>
    </xf>
    <xf numFmtId="37" fontId="35" fillId="25" borderId="43" xfId="0" applyFont="1" applyFill="1" applyBorder="1" applyAlignment="1">
      <alignment horizontal="center" wrapText="1"/>
    </xf>
    <xf numFmtId="37" fontId="35" fillId="25" borderId="54" xfId="0" applyFont="1" applyFill="1" applyBorder="1" applyAlignment="1">
      <alignment horizontal="center" wrapText="1"/>
    </xf>
    <xf numFmtId="37" fontId="35" fillId="25" borderId="55" xfId="0" applyFont="1" applyFill="1" applyBorder="1" applyAlignment="1">
      <alignment horizontal="center" wrapText="1"/>
    </xf>
    <xf numFmtId="37" fontId="35" fillId="0" borderId="0" xfId="0" applyFont="1" applyAlignment="1">
      <alignment wrapText="1"/>
    </xf>
    <xf numFmtId="37" fontId="35" fillId="0" borderId="0" xfId="0" applyFont="1" applyBorder="1" applyAlignment="1">
      <alignment wrapText="1"/>
    </xf>
    <xf numFmtId="37" fontId="35" fillId="0" borderId="56" xfId="0" applyFont="1" applyBorder="1" applyAlignment="1">
      <alignment wrapText="1"/>
    </xf>
    <xf numFmtId="37" fontId="35" fillId="25" borderId="0" xfId="0" applyFont="1" applyFill="1" applyBorder="1" applyAlignment="1">
      <alignment horizontal="center" wrapText="1"/>
    </xf>
    <xf numFmtId="37" fontId="35" fillId="0" borderId="56" xfId="0" applyFont="1" applyBorder="1" applyAlignment="1">
      <alignment horizontal="center" wrapText="1"/>
    </xf>
    <xf numFmtId="37" fontId="35" fillId="25" borderId="57" xfId="0" applyFont="1" applyFill="1" applyBorder="1" applyAlignment="1">
      <alignment horizontal="center" wrapText="1"/>
    </xf>
    <xf numFmtId="37" fontId="15" fillId="0" borderId="0" xfId="0" applyNumberFormat="1" applyFont="1" applyAlignment="1" applyProtection="1">
      <alignment horizontal="center" wrapText="1"/>
    </xf>
    <xf numFmtId="37" fontId="35" fillId="25" borderId="49" xfId="0" applyFont="1" applyFill="1" applyBorder="1" applyAlignment="1">
      <alignment horizontal="center" wrapText="1"/>
    </xf>
    <xf numFmtId="37" fontId="35" fillId="25" borderId="58" xfId="0" applyFont="1" applyFill="1" applyBorder="1" applyAlignment="1">
      <alignment wrapText="1"/>
    </xf>
    <xf numFmtId="37" fontId="35" fillId="25" borderId="59" xfId="0" applyFont="1" applyFill="1" applyBorder="1" applyAlignment="1">
      <alignment horizontal="right" wrapText="1"/>
    </xf>
    <xf numFmtId="37" fontId="35" fillId="25" borderId="0" xfId="0" applyFont="1" applyFill="1" applyAlignment="1">
      <alignment wrapText="1"/>
    </xf>
    <xf numFmtId="37" fontId="35" fillId="25" borderId="0" xfId="0" applyFont="1" applyFill="1" applyBorder="1" applyAlignment="1">
      <alignment wrapText="1"/>
    </xf>
    <xf numFmtId="37" fontId="35" fillId="25" borderId="0" xfId="0" applyFont="1" applyFill="1" applyBorder="1" applyAlignment="1">
      <alignment horizontal="right" wrapText="1"/>
    </xf>
    <xf numFmtId="37" fontId="35" fillId="0" borderId="0" xfId="0" applyFont="1" applyFill="1" applyBorder="1" applyAlignment="1">
      <alignment wrapText="1"/>
    </xf>
    <xf numFmtId="37" fontId="35" fillId="0" borderId="60" xfId="0" applyFont="1" applyFill="1" applyBorder="1" applyAlignment="1">
      <alignment horizontal="right" wrapText="1"/>
    </xf>
    <xf numFmtId="37" fontId="35" fillId="0" borderId="0" xfId="0" applyFont="1" applyFill="1" applyBorder="1" applyAlignment="1">
      <alignment horizontal="center" wrapText="1"/>
    </xf>
    <xf numFmtId="37" fontId="35" fillId="0" borderId="0" xfId="0" applyFont="1" applyFill="1" applyAlignment="1">
      <alignment wrapText="1"/>
    </xf>
    <xf numFmtId="37" fontId="35" fillId="0" borderId="60" xfId="0" applyFont="1" applyBorder="1" applyAlignment="1">
      <alignment horizontal="right" wrapText="1"/>
    </xf>
    <xf numFmtId="40" fontId="41" fillId="25" borderId="58" xfId="0" applyNumberFormat="1" applyFont="1" applyFill="1" applyBorder="1"/>
    <xf numFmtId="40" fontId="41" fillId="0" borderId="0" xfId="0" applyNumberFormat="1" applyFont="1" applyBorder="1"/>
    <xf numFmtId="40" fontId="41" fillId="25" borderId="0" xfId="0" applyNumberFormat="1" applyFont="1" applyFill="1" applyBorder="1"/>
    <xf numFmtId="40" fontId="41" fillId="25" borderId="51" xfId="0" applyNumberFormat="1" applyFont="1" applyFill="1" applyBorder="1"/>
    <xf numFmtId="37" fontId="36" fillId="0" borderId="0" xfId="0" applyFont="1" applyBorder="1" applyAlignment="1">
      <alignment wrapText="1"/>
    </xf>
    <xf numFmtId="40" fontId="41" fillId="25" borderId="0" xfId="0" applyNumberFormat="1" applyFont="1" applyFill="1"/>
    <xf numFmtId="37" fontId="41" fillId="0" borderId="0" xfId="0" applyFont="1"/>
    <xf numFmtId="37" fontId="41" fillId="0" borderId="0" xfId="0" applyFont="1" applyBorder="1"/>
    <xf numFmtId="37" fontId="35" fillId="26" borderId="61" xfId="0" applyFont="1" applyFill="1" applyBorder="1" applyAlignment="1">
      <alignment wrapText="1"/>
    </xf>
    <xf numFmtId="37" fontId="35" fillId="26" borderId="62" xfId="0" applyFont="1" applyFill="1" applyBorder="1" applyAlignment="1">
      <alignment horizontal="right" wrapText="1"/>
    </xf>
    <xf numFmtId="40" fontId="41" fillId="25" borderId="61" xfId="0" applyNumberFormat="1" applyFont="1" applyFill="1" applyBorder="1"/>
    <xf numFmtId="40" fontId="41" fillId="26" borderId="62" xfId="0" applyNumberFormat="1" applyFont="1" applyFill="1" applyBorder="1"/>
    <xf numFmtId="40" fontId="41" fillId="25" borderId="62" xfId="0" applyNumberFormat="1" applyFont="1" applyFill="1" applyBorder="1"/>
    <xf numFmtId="37" fontId="41" fillId="0" borderId="62" xfId="0" applyFont="1" applyBorder="1"/>
    <xf numFmtId="40" fontId="41" fillId="25" borderId="43" xfId="0" applyNumberFormat="1" applyFont="1" applyFill="1" applyBorder="1"/>
    <xf numFmtId="40" fontId="41" fillId="25" borderId="63" xfId="0" applyNumberFormat="1" applyFont="1" applyFill="1" applyBorder="1"/>
    <xf numFmtId="37" fontId="35" fillId="26" borderId="64" xfId="0" applyFont="1" applyFill="1" applyBorder="1" applyAlignment="1">
      <alignment horizontal="right" wrapText="1"/>
    </xf>
    <xf numFmtId="3" fontId="35" fillId="0" borderId="60" xfId="0" applyNumberFormat="1" applyFont="1" applyBorder="1" applyAlignment="1">
      <alignment horizontal="right" wrapText="1"/>
    </xf>
    <xf numFmtId="40" fontId="41" fillId="0" borderId="0" xfId="0" applyNumberFormat="1" applyFont="1" applyFill="1" applyBorder="1"/>
    <xf numFmtId="37" fontId="41" fillId="0" borderId="0" xfId="0" applyFont="1" applyFill="1" applyBorder="1"/>
    <xf numFmtId="49" fontId="35" fillId="0" borderId="60" xfId="0" applyNumberFormat="1" applyFont="1" applyBorder="1" applyAlignment="1">
      <alignment horizontal="right" wrapText="1"/>
    </xf>
    <xf numFmtId="40" fontId="41" fillId="25" borderId="65" xfId="0" applyNumberFormat="1" applyFont="1" applyFill="1" applyBorder="1"/>
    <xf numFmtId="37" fontId="41" fillId="0" borderId="0" xfId="0" applyFont="1" applyFill="1"/>
    <xf numFmtId="37" fontId="41" fillId="0" borderId="62" xfId="0" applyFont="1" applyFill="1" applyBorder="1"/>
    <xf numFmtId="40" fontId="40" fillId="0" borderId="0" xfId="0" applyNumberFormat="1" applyFont="1" applyFill="1" applyBorder="1"/>
    <xf numFmtId="37" fontId="40" fillId="0" borderId="0" xfId="0" applyFont="1" applyFill="1" applyBorder="1"/>
    <xf numFmtId="37" fontId="0" fillId="0" borderId="0" xfId="0" applyFill="1"/>
    <xf numFmtId="37" fontId="0" fillId="0" borderId="0" xfId="0" applyFill="1" applyBorder="1"/>
    <xf numFmtId="37" fontId="3" fillId="0" borderId="66" xfId="0" applyNumberFormat="1" applyFont="1" applyBorder="1" applyProtection="1">
      <protection locked="0"/>
    </xf>
    <xf numFmtId="37" fontId="3" fillId="0" borderId="67" xfId="0" applyNumberFormat="1" applyFont="1" applyBorder="1" applyProtection="1">
      <protection locked="0"/>
    </xf>
    <xf numFmtId="37" fontId="35" fillId="27" borderId="53" xfId="0" applyFont="1" applyFill="1" applyBorder="1" applyAlignment="1">
      <alignment horizontal="center" wrapText="1"/>
    </xf>
    <xf numFmtId="40" fontId="43" fillId="0" borderId="0" xfId="0" applyNumberFormat="1" applyFont="1" applyBorder="1"/>
    <xf numFmtId="40" fontId="43" fillId="27" borderId="0" xfId="0" applyNumberFormat="1" applyFont="1" applyFill="1" applyBorder="1"/>
    <xf numFmtId="49" fontId="0" fillId="0" borderId="0" xfId="0" quotePrefix="1" applyNumberFormat="1" applyAlignment="1" applyProtection="1"/>
    <xf numFmtId="49" fontId="0" fillId="0" borderId="0" xfId="0" applyNumberFormat="1" applyAlignment="1" applyProtection="1"/>
    <xf numFmtId="37" fontId="35" fillId="27" borderId="0" xfId="0" applyFont="1" applyFill="1" applyBorder="1" applyAlignment="1">
      <alignment horizontal="center" wrapText="1"/>
    </xf>
    <xf numFmtId="40" fontId="26" fillId="27" borderId="0" xfId="0" applyNumberFormat="1" applyFont="1" applyFill="1" applyBorder="1"/>
    <xf numFmtId="37" fontId="3" fillId="0" borderId="22" xfId="0" applyNumberFormat="1" applyFont="1" applyFill="1" applyBorder="1" applyProtection="1">
      <protection locked="0"/>
    </xf>
    <xf numFmtId="37" fontId="35" fillId="27" borderId="52" xfId="0" applyFont="1" applyFill="1" applyBorder="1" applyAlignment="1">
      <alignment horizontal="center" wrapText="1"/>
    </xf>
    <xf numFmtId="37" fontId="19" fillId="0" borderId="23" xfId="34" applyNumberFormat="1" applyBorder="1" applyAlignment="1" applyProtection="1">
      <protection locked="0"/>
    </xf>
    <xf numFmtId="49" fontId="35" fillId="0" borderId="68" xfId="0" applyNumberFormat="1" applyFont="1" applyBorder="1" applyAlignment="1">
      <alignment horizontal="right" wrapText="1"/>
    </xf>
    <xf numFmtId="37" fontId="15" fillId="0" borderId="24" xfId="0" applyNumberFormat="1" applyFont="1" applyFill="1" applyBorder="1" applyProtection="1"/>
    <xf numFmtId="37" fontId="15" fillId="0" borderId="0" xfId="0" applyNumberFormat="1" applyFont="1" applyFill="1" applyBorder="1" applyProtection="1"/>
    <xf numFmtId="37" fontId="15" fillId="0" borderId="0" xfId="0" applyNumberFormat="1" applyFont="1" applyFill="1" applyProtection="1"/>
    <xf numFmtId="37" fontId="3" fillId="0" borderId="23" xfId="0" applyNumberFormat="1" applyFont="1" applyFill="1" applyBorder="1" applyProtection="1">
      <protection locked="0"/>
    </xf>
    <xf numFmtId="37" fontId="3" fillId="0" borderId="0" xfId="0" applyNumberFormat="1" applyFont="1" applyFill="1" applyBorder="1" applyProtection="1">
      <protection locked="0"/>
    </xf>
    <xf numFmtId="37" fontId="15" fillId="0" borderId="0" xfId="0" applyFont="1" applyFill="1"/>
    <xf numFmtId="37" fontId="15" fillId="0" borderId="0" xfId="0" applyFont="1" applyFill="1" applyAlignment="1"/>
    <xf numFmtId="37" fontId="15" fillId="0" borderId="0" xfId="0" quotePrefix="1" applyFont="1" applyFill="1" applyAlignment="1" applyProtection="1">
      <alignment horizontal="left"/>
    </xf>
    <xf numFmtId="37" fontId="15" fillId="0" borderId="0" xfId="0" applyFont="1" applyFill="1" applyAlignment="1" applyProtection="1">
      <alignment horizontal="left"/>
    </xf>
    <xf numFmtId="37" fontId="15" fillId="0" borderId="0" xfId="0" applyFont="1" applyFill="1" applyAlignment="1">
      <alignment horizontal="right"/>
    </xf>
    <xf numFmtId="37" fontId="15" fillId="0" borderId="0" xfId="0" applyNumberFormat="1" applyFont="1" applyFill="1" applyAlignment="1" applyProtection="1">
      <alignment horizontal="center" wrapText="1"/>
    </xf>
    <xf numFmtId="37" fontId="3" fillId="0" borderId="66" xfId="0" applyNumberFormat="1" applyFont="1" applyFill="1" applyBorder="1" applyProtection="1">
      <protection locked="0"/>
    </xf>
    <xf numFmtId="37" fontId="3" fillId="0" borderId="35" xfId="0" applyNumberFormat="1" applyFont="1" applyFill="1" applyBorder="1" applyProtection="1">
      <protection locked="0"/>
    </xf>
    <xf numFmtId="37" fontId="3" fillId="0" borderId="39" xfId="0" applyNumberFormat="1" applyFont="1" applyFill="1" applyBorder="1" applyProtection="1">
      <protection locked="0"/>
    </xf>
    <xf numFmtId="37" fontId="3" fillId="0" borderId="69" xfId="0" applyNumberFormat="1" applyFont="1" applyFill="1" applyBorder="1" applyProtection="1">
      <protection locked="0"/>
    </xf>
    <xf numFmtId="37" fontId="3" fillId="0" borderId="70" xfId="0" applyNumberFormat="1" applyFont="1" applyFill="1" applyBorder="1" applyProtection="1">
      <protection locked="0"/>
    </xf>
    <xf numFmtId="37" fontId="15" fillId="0" borderId="0" xfId="0" applyNumberFormat="1" applyFont="1" applyFill="1" applyBorder="1" applyProtection="1">
      <protection locked="0"/>
    </xf>
    <xf numFmtId="37" fontId="15" fillId="0" borderId="40" xfId="0" applyNumberFormat="1" applyFont="1" applyFill="1" applyBorder="1" applyProtection="1"/>
    <xf numFmtId="37" fontId="15" fillId="0" borderId="22" xfId="0" applyNumberFormat="1" applyFont="1" applyFill="1" applyBorder="1" applyProtection="1"/>
    <xf numFmtId="37" fontId="15" fillId="0" borderId="45" xfId="0" applyNumberFormat="1" applyFont="1" applyFill="1" applyBorder="1" applyProtection="1"/>
    <xf numFmtId="0" fontId="44" fillId="0" borderId="0" xfId="38" applyFont="1" applyAlignment="1">
      <alignment horizontal="centerContinuous"/>
    </xf>
    <xf numFmtId="37" fontId="45" fillId="0" borderId="0" xfId="0" applyFont="1" applyFill="1" applyAlignment="1" applyProtection="1">
      <alignment horizontal="left"/>
    </xf>
    <xf numFmtId="37" fontId="0" fillId="0" borderId="0" xfId="0" applyFill="1" applyProtection="1"/>
    <xf numFmtId="37" fontId="25" fillId="0" borderId="0" xfId="0" applyFont="1" applyFill="1" applyBorder="1" applyProtection="1"/>
    <xf numFmtId="0" fontId="19" fillId="0" borderId="0" xfId="34" applyFill="1" applyAlignment="1" applyProtection="1">
      <alignment horizontal="center"/>
    </xf>
    <xf numFmtId="37" fontId="25" fillId="0" borderId="0" xfId="0" applyFont="1" applyFill="1" applyProtection="1"/>
    <xf numFmtId="37" fontId="25" fillId="0" borderId="66" xfId="0" applyFont="1" applyFill="1" applyBorder="1" applyAlignment="1" applyProtection="1">
      <alignment horizontal="center" vertical="center"/>
    </xf>
    <xf numFmtId="37" fontId="25" fillId="0" borderId="35" xfId="0" quotePrefix="1" applyFont="1" applyFill="1" applyBorder="1" applyAlignment="1" applyProtection="1">
      <alignment horizontal="center" vertical="center"/>
    </xf>
    <xf numFmtId="37" fontId="25" fillId="0" borderId="71" xfId="0" applyFont="1" applyFill="1" applyBorder="1" applyAlignment="1" applyProtection="1">
      <alignment horizontal="center" vertical="center"/>
    </xf>
    <xf numFmtId="37" fontId="25" fillId="0" borderId="72" xfId="0" applyFont="1" applyFill="1" applyBorder="1" applyAlignment="1" applyProtection="1">
      <alignment horizontal="center" vertical="top" wrapText="1"/>
    </xf>
    <xf numFmtId="37" fontId="25" fillId="0" borderId="0" xfId="0" applyFont="1" applyFill="1" applyBorder="1" applyAlignment="1" applyProtection="1">
      <alignment horizontal="center" vertical="center"/>
    </xf>
    <xf numFmtId="37" fontId="25" fillId="0" borderId="0" xfId="0" applyFont="1" applyFill="1" applyBorder="1" applyAlignment="1" applyProtection="1">
      <alignment horizontal="right" vertical="center"/>
    </xf>
    <xf numFmtId="37" fontId="25" fillId="0" borderId="65" xfId="0" applyFont="1" applyFill="1" applyBorder="1" applyAlignment="1" applyProtection="1">
      <alignment horizontal="center" vertical="center" wrapText="1"/>
    </xf>
    <xf numFmtId="37" fontId="25" fillId="0" borderId="0" xfId="0" applyFont="1" applyFill="1" applyBorder="1" applyAlignment="1" applyProtection="1">
      <alignment horizontal="center" vertical="center" wrapText="1"/>
    </xf>
    <xf numFmtId="37" fontId="25" fillId="0" borderId="73" xfId="0" applyFont="1" applyFill="1" applyBorder="1" applyAlignment="1" applyProtection="1">
      <alignment horizontal="center" vertical="center"/>
    </xf>
    <xf numFmtId="37" fontId="25" fillId="0" borderId="74" xfId="0" applyFont="1" applyFill="1" applyBorder="1" applyAlignment="1" applyProtection="1">
      <alignment horizontal="center" vertical="center"/>
    </xf>
    <xf numFmtId="37" fontId="25" fillId="0" borderId="0" xfId="0" applyFont="1" applyFill="1" applyAlignment="1" applyProtection="1">
      <alignment horizontal="left" indent="1"/>
    </xf>
    <xf numFmtId="3" fontId="25" fillId="0" borderId="75" xfId="0" applyNumberFormat="1" applyFont="1" applyFill="1" applyBorder="1" applyProtection="1"/>
    <xf numFmtId="3" fontId="25" fillId="0" borderId="0" xfId="0" applyNumberFormat="1" applyFont="1" applyFill="1" applyBorder="1" applyProtection="1">
      <protection locked="0"/>
    </xf>
    <xf numFmtId="37" fontId="48" fillId="0" borderId="0" xfId="0" applyFont="1" applyFill="1" applyProtection="1"/>
    <xf numFmtId="3" fontId="25" fillId="0" borderId="0" xfId="0" applyNumberFormat="1" applyFont="1" applyFill="1" applyProtection="1"/>
    <xf numFmtId="3" fontId="25" fillId="0" borderId="0" xfId="0" applyNumberFormat="1" applyFont="1" applyFill="1" applyAlignment="1" applyProtection="1">
      <alignment horizontal="right"/>
      <protection locked="0"/>
    </xf>
    <xf numFmtId="37" fontId="31" fillId="0" borderId="0" xfId="0" applyFont="1" applyFill="1" applyProtection="1"/>
    <xf numFmtId="3" fontId="25" fillId="0" borderId="35" xfId="0" applyNumberFormat="1" applyFont="1" applyFill="1" applyBorder="1" applyProtection="1"/>
    <xf numFmtId="37" fontId="50" fillId="28" borderId="0" xfId="0" applyFont="1" applyFill="1" applyProtection="1"/>
    <xf numFmtId="3" fontId="50" fillId="0" borderId="0" xfId="0" applyNumberFormat="1" applyFont="1" applyFill="1" applyProtection="1"/>
    <xf numFmtId="37" fontId="25" fillId="0" borderId="0" xfId="0" applyFont="1" applyFill="1" applyBorder="1" applyAlignment="1" applyProtection="1">
      <alignment horizontal="left" indent="1"/>
    </xf>
    <xf numFmtId="37" fontId="25" fillId="0" borderId="43" xfId="0" applyFont="1" applyFill="1" applyBorder="1" applyAlignment="1" applyProtection="1">
      <alignment horizontal="left" indent="1"/>
    </xf>
    <xf numFmtId="37" fontId="31" fillId="0" borderId="43" xfId="0" applyFont="1" applyFill="1" applyBorder="1" applyProtection="1"/>
    <xf numFmtId="3" fontId="25" fillId="0" borderId="66" xfId="0" applyNumberFormat="1" applyFont="1" applyFill="1" applyBorder="1" applyProtection="1"/>
    <xf numFmtId="3" fontId="25" fillId="0" borderId="76" xfId="0" quotePrefix="1" applyNumberFormat="1" applyFont="1" applyFill="1" applyBorder="1" applyProtection="1"/>
    <xf numFmtId="3" fontId="25" fillId="0" borderId="76" xfId="0" applyNumberFormat="1" applyFont="1" applyFill="1" applyBorder="1" applyProtection="1"/>
    <xf numFmtId="2" fontId="25" fillId="0" borderId="76" xfId="0" applyNumberFormat="1" applyFont="1" applyFill="1" applyBorder="1" applyAlignment="1" applyProtection="1">
      <alignment horizontal="center"/>
    </xf>
    <xf numFmtId="3" fontId="25" fillId="0" borderId="77" xfId="0" applyNumberFormat="1" applyFont="1" applyFill="1" applyBorder="1" applyProtection="1"/>
    <xf numFmtId="37" fontId="45" fillId="0" borderId="0" xfId="0" applyFont="1" applyFill="1" applyAlignment="1" applyProtection="1">
      <alignment horizontal="left" indent="1"/>
    </xf>
    <xf numFmtId="37" fontId="45" fillId="0" borderId="0" xfId="0" applyFont="1" applyFill="1" applyProtection="1"/>
    <xf numFmtId="37" fontId="45" fillId="0" borderId="0" xfId="0" quotePrefix="1" applyFont="1" applyFill="1" applyAlignment="1" applyProtection="1">
      <alignment horizontal="center"/>
    </xf>
    <xf numFmtId="37" fontId="45" fillId="0" borderId="0" xfId="0" applyFont="1" applyFill="1" applyAlignment="1" applyProtection="1">
      <alignment horizontal="center"/>
    </xf>
    <xf numFmtId="37" fontId="45" fillId="0" borderId="0" xfId="0" applyFont="1" applyFill="1" applyAlignment="1" applyProtection="1">
      <alignment horizontal="right"/>
    </xf>
    <xf numFmtId="38" fontId="25" fillId="0" borderId="78" xfId="0" applyNumberFormat="1" applyFont="1" applyFill="1" applyBorder="1" applyProtection="1"/>
    <xf numFmtId="37" fontId="48" fillId="0" borderId="0" xfId="0" applyFont="1" applyFill="1" applyAlignment="1" applyProtection="1">
      <alignment horizontal="center"/>
    </xf>
    <xf numFmtId="3" fontId="48" fillId="0" borderId="79" xfId="0" applyNumberFormat="1" applyFont="1" applyFill="1" applyBorder="1" applyProtection="1"/>
    <xf numFmtId="3" fontId="48" fillId="0" borderId="75" xfId="0" applyNumberFormat="1" applyFont="1" applyFill="1" applyBorder="1" applyProtection="1"/>
    <xf numFmtId="49" fontId="47" fillId="0" borderId="0" xfId="0" applyNumberFormat="1" applyFont="1" applyFill="1" applyAlignment="1" applyProtection="1">
      <alignment horizontal="left"/>
    </xf>
    <xf numFmtId="49" fontId="25" fillId="0" borderId="0" xfId="0" applyNumberFormat="1" applyFont="1" applyFill="1" applyAlignment="1" applyProtection="1">
      <alignment horizontal="right"/>
    </xf>
    <xf numFmtId="37" fontId="0" fillId="28" borderId="0" xfId="0" applyFill="1"/>
    <xf numFmtId="37" fontId="51" fillId="28" borderId="0" xfId="0" applyFont="1" applyFill="1" applyAlignment="1" applyProtection="1">
      <alignment horizontal="left"/>
    </xf>
    <xf numFmtId="37" fontId="50" fillId="28" borderId="0" xfId="0" applyFont="1" applyFill="1" applyAlignment="1" applyProtection="1">
      <alignment horizontal="left"/>
    </xf>
    <xf numFmtId="37" fontId="46" fillId="0" borderId="0" xfId="0" applyFont="1" applyFill="1" applyAlignment="1" applyProtection="1">
      <alignment horizontal="left"/>
    </xf>
    <xf numFmtId="49" fontId="15" fillId="0" borderId="43" xfId="0" applyNumberFormat="1" applyFont="1" applyBorder="1" applyAlignment="1" applyProtection="1">
      <alignment horizontal="left"/>
    </xf>
    <xf numFmtId="49" fontId="8" fillId="0" borderId="43" xfId="0" applyNumberFormat="1" applyFont="1" applyBorder="1" applyAlignment="1" applyProtection="1">
      <alignment horizontal="left"/>
    </xf>
    <xf numFmtId="49" fontId="8" fillId="0" borderId="0" xfId="0" applyNumberFormat="1" applyFont="1"/>
    <xf numFmtId="41" fontId="0" fillId="0" borderId="0" xfId="0" applyNumberFormat="1"/>
    <xf numFmtId="37" fontId="0" fillId="0" borderId="0" xfId="0" applyFill="1" applyAlignment="1"/>
    <xf numFmtId="37" fontId="7" fillId="0" borderId="0" xfId="0" applyFont="1" applyFill="1" applyAlignment="1"/>
    <xf numFmtId="0" fontId="15" fillId="26" borderId="43" xfId="0" applyNumberFormat="1" applyFont="1" applyFill="1" applyBorder="1" applyAlignment="1" applyProtection="1">
      <alignment horizontal="left"/>
    </xf>
    <xf numFmtId="37" fontId="15" fillId="26" borderId="0" xfId="0" applyFont="1" applyFill="1" applyProtection="1"/>
    <xf numFmtId="37" fontId="15" fillId="26" borderId="43" xfId="0" applyFont="1" applyFill="1" applyBorder="1" applyAlignment="1" applyProtection="1">
      <alignment horizontal="left"/>
    </xf>
    <xf numFmtId="37" fontId="53" fillId="0" borderId="0" xfId="39" applyNumberFormat="1" applyFont="1" applyFill="1" applyProtection="1"/>
    <xf numFmtId="37" fontId="15" fillId="26" borderId="43" xfId="0" applyFont="1" applyFill="1" applyBorder="1" applyAlignment="1" applyProtection="1">
      <alignment horizontal="right"/>
    </xf>
    <xf numFmtId="0" fontId="15" fillId="0" borderId="0" xfId="0" applyNumberFormat="1" applyFont="1" applyFill="1" applyBorder="1" applyAlignment="1" applyProtection="1">
      <alignment horizontal="left"/>
    </xf>
    <xf numFmtId="37" fontId="15" fillId="0" borderId="0" xfId="0" applyFont="1" applyFill="1" applyProtection="1"/>
    <xf numFmtId="37" fontId="40" fillId="0" borderId="0" xfId="0" applyFont="1" applyFill="1"/>
    <xf numFmtId="37" fontId="35" fillId="0" borderId="52" xfId="0" applyFont="1" applyFill="1" applyBorder="1" applyAlignment="1">
      <alignment horizontal="center" wrapText="1"/>
    </xf>
    <xf numFmtId="37" fontId="35" fillId="0" borderId="56" xfId="0" applyFont="1" applyFill="1" applyBorder="1" applyAlignment="1">
      <alignment horizontal="center" wrapText="1"/>
    </xf>
    <xf numFmtId="37" fontId="14" fillId="0" borderId="17" xfId="0" applyFont="1" applyBorder="1" applyAlignment="1">
      <alignment horizontal="center"/>
    </xf>
    <xf numFmtId="37" fontId="14" fillId="0" borderId="12" xfId="0" applyFont="1" applyBorder="1" applyAlignment="1">
      <alignment horizontal="center"/>
    </xf>
    <xf numFmtId="37" fontId="0" fillId="0" borderId="23" xfId="0" applyNumberFormat="1" applyFill="1" applyBorder="1" applyProtection="1"/>
    <xf numFmtId="37" fontId="0" fillId="0" borderId="0" xfId="0" applyFill="1" applyAlignment="1" applyProtection="1">
      <alignment horizontal="left"/>
    </xf>
    <xf numFmtId="37" fontId="0" fillId="0" borderId="0" xfId="0" applyFill="1" applyAlignment="1" applyProtection="1">
      <alignment horizontal="right"/>
    </xf>
    <xf numFmtId="37" fontId="0" fillId="0" borderId="35" xfId="0" applyFill="1" applyBorder="1"/>
    <xf numFmtId="37" fontId="36" fillId="0" borderId="0" xfId="0" applyFont="1" applyAlignment="1" applyProtection="1">
      <alignment horizontal="center"/>
      <protection locked="0"/>
    </xf>
    <xf numFmtId="37" fontId="36" fillId="0" borderId="0" xfId="0" applyFont="1" applyAlignment="1" applyProtection="1">
      <protection locked="0"/>
    </xf>
    <xf numFmtId="37" fontId="27" fillId="0" borderId="0" xfId="0" applyFont="1" applyProtection="1">
      <protection locked="0"/>
    </xf>
    <xf numFmtId="37" fontId="0" fillId="0" borderId="0" xfId="0" applyProtection="1">
      <protection locked="0"/>
    </xf>
    <xf numFmtId="37" fontId="27" fillId="0" borderId="0" xfId="0" quotePrefix="1" applyFont="1" applyProtection="1">
      <protection locked="0"/>
    </xf>
    <xf numFmtId="37" fontId="26" fillId="0" borderId="0" xfId="0" applyFont="1" applyAlignment="1" applyProtection="1">
      <alignment horizontal="left"/>
      <protection locked="0"/>
    </xf>
    <xf numFmtId="37" fontId="26" fillId="26" borderId="0" xfId="0" applyFont="1" applyFill="1" applyAlignment="1" applyProtection="1">
      <alignment horizontal="left"/>
      <protection locked="0"/>
    </xf>
    <xf numFmtId="37" fontId="27" fillId="0" borderId="0" xfId="0" quotePrefix="1" applyFont="1" applyAlignment="1" applyProtection="1">
      <alignment horizontal="left"/>
      <protection locked="0"/>
    </xf>
    <xf numFmtId="37" fontId="28" fillId="0" borderId="0" xfId="0" applyFont="1" applyAlignment="1" applyProtection="1">
      <alignment horizontal="left"/>
      <protection locked="0"/>
    </xf>
    <xf numFmtId="37" fontId="27" fillId="0" borderId="0" xfId="0" applyFont="1" applyAlignment="1" applyProtection="1">
      <alignment horizontal="left"/>
      <protection locked="0"/>
    </xf>
    <xf numFmtId="37" fontId="30" fillId="0" borderId="0" xfId="0" applyFont="1" applyProtection="1">
      <protection locked="0"/>
    </xf>
    <xf numFmtId="37" fontId="26" fillId="0" borderId="0" xfId="0" applyFont="1" applyAlignment="1" applyProtection="1">
      <protection locked="0"/>
    </xf>
    <xf numFmtId="37" fontId="25" fillId="0" borderId="0" xfId="0" applyFont="1" applyAlignment="1" applyProtection="1">
      <protection locked="0"/>
    </xf>
    <xf numFmtId="37" fontId="25" fillId="0" borderId="0" xfId="0" applyFont="1" applyProtection="1">
      <protection locked="0"/>
    </xf>
    <xf numFmtId="37" fontId="33" fillId="0" borderId="0" xfId="0" applyFont="1" applyAlignment="1" applyProtection="1">
      <protection locked="0"/>
    </xf>
    <xf numFmtId="37" fontId="25" fillId="0" borderId="0" xfId="0" applyFont="1" applyAlignment="1" applyProtection="1">
      <alignment horizontal="left"/>
      <protection locked="0"/>
    </xf>
    <xf numFmtId="37" fontId="37" fillId="0" borderId="0" xfId="0" applyFont="1" applyProtection="1">
      <protection locked="0"/>
    </xf>
    <xf numFmtId="37" fontId="37" fillId="0" borderId="80" xfId="0" applyFont="1" applyBorder="1" applyProtection="1">
      <protection locked="0"/>
    </xf>
    <xf numFmtId="37" fontId="37" fillId="0" borderId="0" xfId="0" applyFont="1" applyAlignment="1" applyProtection="1">
      <protection locked="0"/>
    </xf>
    <xf numFmtId="37" fontId="25" fillId="0" borderId="0" xfId="0" applyFont="1" applyFill="1" applyBorder="1" applyAlignment="1" applyProtection="1">
      <alignment horizontal="left"/>
      <protection locked="0"/>
    </xf>
    <xf numFmtId="37" fontId="31" fillId="0" borderId="0" xfId="0" applyFont="1" applyAlignment="1" applyProtection="1">
      <alignment horizontal="left"/>
      <protection locked="0"/>
    </xf>
    <xf numFmtId="37" fontId="38" fillId="0" borderId="0" xfId="0" applyFont="1" applyAlignment="1" applyProtection="1">
      <alignment horizontal="left"/>
      <protection locked="0"/>
    </xf>
    <xf numFmtId="37" fontId="25" fillId="0" borderId="0" xfId="0" quotePrefix="1" applyFont="1" applyAlignment="1" applyProtection="1">
      <alignment horizontal="left"/>
      <protection locked="0"/>
    </xf>
    <xf numFmtId="37" fontId="32" fillId="0" borderId="0" xfId="0" applyFont="1" applyProtection="1">
      <protection locked="0"/>
    </xf>
    <xf numFmtId="37" fontId="25" fillId="0" borderId="0" xfId="0" applyFont="1" applyBorder="1" applyAlignment="1" applyProtection="1">
      <alignment horizontal="left"/>
      <protection locked="0"/>
    </xf>
    <xf numFmtId="37" fontId="25" fillId="0" borderId="0" xfId="0" applyFont="1" applyBorder="1" applyAlignment="1" applyProtection="1">
      <alignment horizontal="right"/>
      <protection locked="0"/>
    </xf>
    <xf numFmtId="37" fontId="32" fillId="0" borderId="0" xfId="0" applyFont="1" applyAlignment="1" applyProtection="1">
      <alignment horizontal="left"/>
      <protection locked="0"/>
    </xf>
    <xf numFmtId="37" fontId="25" fillId="0" borderId="0" xfId="0" quotePrefix="1" applyFont="1" applyBorder="1" applyAlignment="1" applyProtection="1">
      <alignment horizontal="right"/>
      <protection locked="0"/>
    </xf>
    <xf numFmtId="37" fontId="15" fillId="0" borderId="0" xfId="0" applyFont="1" applyProtection="1">
      <protection locked="0"/>
    </xf>
    <xf numFmtId="49" fontId="15" fillId="0" borderId="0" xfId="0" applyNumberFormat="1" applyFont="1" applyAlignment="1" applyProtection="1">
      <alignment vertical="top"/>
      <protection locked="0"/>
    </xf>
    <xf numFmtId="49" fontId="15" fillId="0" borderId="0" xfId="0" applyNumberFormat="1" applyFont="1" applyAlignment="1" applyProtection="1">
      <alignment horizontal="left"/>
      <protection locked="0"/>
    </xf>
    <xf numFmtId="0" fontId="2" fillId="0" borderId="0" xfId="38" applyProtection="1">
      <protection locked="0"/>
    </xf>
    <xf numFmtId="0" fontId="2" fillId="0" borderId="0" xfId="38" applyAlignment="1" applyProtection="1">
      <alignment horizontal="centerContinuous"/>
      <protection locked="0"/>
    </xf>
    <xf numFmtId="1" fontId="15" fillId="0" borderId="0" xfId="0" applyNumberFormat="1" applyFont="1" applyAlignment="1" applyProtection="1">
      <alignment horizontal="left"/>
      <protection locked="0"/>
    </xf>
    <xf numFmtId="0" fontId="44" fillId="0" borderId="0" xfId="38" applyFont="1" applyAlignment="1" applyProtection="1">
      <alignment horizontal="centerContinuous"/>
      <protection locked="0"/>
    </xf>
    <xf numFmtId="0" fontId="2" fillId="0" borderId="0" xfId="38" applyFont="1" applyProtection="1">
      <protection locked="0"/>
    </xf>
    <xf numFmtId="0" fontId="70" fillId="0" borderId="0" xfId="38" applyFont="1" applyProtection="1">
      <protection locked="0"/>
    </xf>
    <xf numFmtId="3" fontId="71" fillId="0" borderId="0" xfId="38" applyNumberFormat="1" applyFont="1" applyProtection="1">
      <protection locked="0"/>
    </xf>
    <xf numFmtId="49" fontId="3" fillId="0" borderId="0" xfId="0" applyNumberFormat="1" applyFont="1" applyFill="1" applyAlignment="1" applyProtection="1">
      <alignment horizontal="center"/>
      <protection locked="0"/>
    </xf>
    <xf numFmtId="37" fontId="15" fillId="0" borderId="0" xfId="0" applyFont="1" applyFill="1" applyProtection="1">
      <protection locked="0"/>
    </xf>
    <xf numFmtId="49" fontId="15" fillId="0" borderId="0" xfId="0" applyNumberFormat="1" applyFont="1" applyFill="1" applyAlignment="1" applyProtection="1">
      <alignment vertical="top"/>
      <protection locked="0"/>
    </xf>
    <xf numFmtId="49" fontId="15" fillId="0" borderId="0" xfId="0" applyNumberFormat="1" applyFont="1" applyFill="1" applyAlignment="1" applyProtection="1">
      <alignment horizontal="left"/>
      <protection locked="0"/>
    </xf>
    <xf numFmtId="0" fontId="2" fillId="0" borderId="0" xfId="38" applyFill="1" applyProtection="1">
      <protection locked="0"/>
    </xf>
    <xf numFmtId="0" fontId="2" fillId="0" borderId="0" xfId="38" applyFill="1" applyAlignment="1" applyProtection="1">
      <alignment horizontal="centerContinuous"/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168" fontId="0" fillId="0" borderId="0" xfId="0" applyNumberFormat="1" applyFill="1" applyProtection="1">
      <protection locked="0"/>
    </xf>
    <xf numFmtId="40" fontId="0" fillId="0" borderId="0" xfId="0" applyNumberFormat="1" applyFill="1" applyProtection="1">
      <protection locked="0"/>
    </xf>
    <xf numFmtId="49" fontId="0" fillId="0" borderId="0" xfId="0" applyNumberFormat="1" applyFont="1" applyFill="1" applyAlignment="1" applyProtection="1">
      <alignment vertical="top"/>
      <protection locked="0"/>
    </xf>
    <xf numFmtId="49" fontId="0" fillId="0" borderId="0" xfId="0" quotePrefix="1" applyNumberFormat="1" applyAlignment="1" applyProtection="1">
      <alignment horizontal="left"/>
      <protection locked="0"/>
    </xf>
    <xf numFmtId="0" fontId="0" fillId="0" borderId="0" xfId="0" applyNumberFormat="1" applyFont="1" applyAlignment="1" applyProtection="1">
      <alignment horizontal="left"/>
      <protection locked="0"/>
    </xf>
    <xf numFmtId="167" fontId="0" fillId="0" borderId="0" xfId="0" applyNumberFormat="1" applyFill="1" applyProtection="1">
      <protection locked="0"/>
    </xf>
    <xf numFmtId="49" fontId="0" fillId="0" borderId="0" xfId="0" applyNumberFormat="1" applyFont="1" applyFill="1" applyProtection="1">
      <protection locked="0"/>
    </xf>
    <xf numFmtId="49" fontId="0" fillId="0" borderId="0" xfId="0" applyNumberFormat="1" applyFont="1" applyFill="1" applyAlignment="1" applyProtection="1">
      <alignment horizontal="left"/>
      <protection locked="0"/>
    </xf>
    <xf numFmtId="0" fontId="0" fillId="0" borderId="0" xfId="0" applyNumberFormat="1" applyProtection="1">
      <protection locked="0"/>
    </xf>
    <xf numFmtId="49" fontId="0" fillId="0" borderId="0" xfId="0" applyNumberFormat="1" applyFont="1" applyAlignment="1" applyProtection="1">
      <alignment horizontal="left"/>
      <protection locked="0"/>
    </xf>
    <xf numFmtId="3" fontId="0" fillId="0" borderId="0" xfId="0" applyNumberFormat="1" applyAlignment="1" applyProtection="1">
      <alignment horizontal="centerContinuous"/>
      <protection locked="0"/>
    </xf>
    <xf numFmtId="3" fontId="0" fillId="0" borderId="0" xfId="0" applyNumberFormat="1" applyFont="1" applyAlignment="1" applyProtection="1">
      <alignment horizontal="centerContinuous"/>
      <protection locked="0"/>
    </xf>
    <xf numFmtId="168" fontId="0" fillId="0" borderId="0" xfId="0" applyNumberFormat="1" applyProtection="1">
      <protection locked="0"/>
    </xf>
    <xf numFmtId="49" fontId="0" fillId="0" borderId="43" xfId="0" applyNumberFormat="1" applyFill="1" applyBorder="1" applyAlignment="1" applyProtection="1">
      <alignment horizontal="centerContinuous"/>
      <protection locked="0"/>
    </xf>
    <xf numFmtId="3" fontId="0" fillId="0" borderId="43" xfId="0" applyNumberFormat="1" applyBorder="1" applyAlignment="1" applyProtection="1">
      <alignment horizontal="centerContinuous"/>
      <protection locked="0"/>
    </xf>
    <xf numFmtId="49" fontId="0" fillId="29" borderId="0" xfId="0" applyNumberFormat="1" applyFill="1" applyProtection="1">
      <protection locked="0"/>
    </xf>
    <xf numFmtId="49" fontId="0" fillId="29" borderId="0" xfId="0" applyNumberFormat="1" applyFill="1" applyAlignment="1" applyProtection="1">
      <alignment horizontal="center"/>
      <protection locked="0"/>
    </xf>
    <xf numFmtId="49" fontId="0" fillId="0" borderId="0" xfId="0" applyNumberFormat="1" applyFill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37" fontId="0" fillId="27" borderId="0" xfId="0" applyFill="1" applyProtection="1">
      <protection locked="0"/>
    </xf>
    <xf numFmtId="37" fontId="0" fillId="0" borderId="0" xfId="0" applyFill="1" applyProtection="1">
      <protection locked="0"/>
    </xf>
    <xf numFmtId="38" fontId="2" fillId="0" borderId="0" xfId="38" applyNumberFormat="1" applyProtection="1">
      <protection locked="0"/>
    </xf>
    <xf numFmtId="38" fontId="0" fillId="0" borderId="0" xfId="0" applyNumberFormat="1" applyProtection="1">
      <protection locked="0"/>
    </xf>
    <xf numFmtId="38" fontId="0" fillId="0" borderId="0" xfId="0" applyNumberFormat="1" applyFont="1" applyAlignment="1" applyProtection="1">
      <alignment horizontal="left"/>
      <protection locked="0"/>
    </xf>
    <xf numFmtId="38" fontId="0" fillId="0" borderId="0" xfId="0" applyNumberFormat="1" applyAlignment="1" applyProtection="1">
      <alignment horizontal="center"/>
      <protection locked="0"/>
    </xf>
    <xf numFmtId="38" fontId="0" fillId="0" borderId="0" xfId="0" applyNumberFormat="1" applyFill="1" applyProtection="1">
      <protection locked="0"/>
    </xf>
    <xf numFmtId="38" fontId="0" fillId="27" borderId="0" xfId="0" applyNumberFormat="1" applyFill="1" applyProtection="1">
      <protection locked="0"/>
    </xf>
    <xf numFmtId="38" fontId="0" fillId="0" borderId="0" xfId="0" applyNumberFormat="1" applyFill="1" applyAlignment="1" applyProtection="1">
      <alignment horizontal="center"/>
      <protection locked="0"/>
    </xf>
    <xf numFmtId="38" fontId="0" fillId="0" borderId="0" xfId="0" applyNumberFormat="1" applyAlignment="1" applyProtection="1">
      <alignment horizontal="left"/>
      <protection locked="0"/>
    </xf>
    <xf numFmtId="38" fontId="15" fillId="0" borderId="0" xfId="42" applyNumberFormat="1" applyFont="1" applyFill="1" applyAlignment="1" applyProtection="1">
      <protection locked="0"/>
    </xf>
    <xf numFmtId="38" fontId="2" fillId="0" borderId="0" xfId="38" applyNumberFormat="1" applyFill="1" applyProtection="1">
      <protection locked="0"/>
    </xf>
    <xf numFmtId="38" fontId="0" fillId="29" borderId="0" xfId="0" applyNumberFormat="1" applyFill="1" applyAlignment="1" applyProtection="1">
      <alignment horizontal="center"/>
      <protection locked="0"/>
    </xf>
    <xf numFmtId="38" fontId="0" fillId="29" borderId="0" xfId="0" applyNumberFormat="1" applyFill="1" applyProtection="1">
      <protection locked="0"/>
    </xf>
    <xf numFmtId="38" fontId="3" fillId="0" borderId="0" xfId="0" applyNumberFormat="1" applyFont="1" applyFill="1" applyProtection="1">
      <protection locked="0"/>
    </xf>
    <xf numFmtId="38" fontId="0" fillId="30" borderId="0" xfId="0" applyNumberFormat="1" applyFill="1" applyProtection="1">
      <protection locked="0"/>
    </xf>
    <xf numFmtId="170" fontId="3" fillId="0" borderId="0" xfId="0" applyNumberFormat="1" applyFont="1" applyFill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169" fontId="0" fillId="0" borderId="0" xfId="0" applyNumberFormat="1" applyProtection="1">
      <protection locked="0"/>
    </xf>
    <xf numFmtId="49" fontId="0" fillId="26" borderId="0" xfId="0" applyNumberFormat="1" applyFill="1" applyAlignment="1" applyProtection="1">
      <alignment horizontal="center"/>
    </xf>
    <xf numFmtId="37" fontId="9" fillId="0" borderId="0" xfId="0" applyFont="1" applyAlignment="1" applyProtection="1">
      <alignment horizontal="right"/>
      <protection locked="0"/>
    </xf>
    <xf numFmtId="37" fontId="15" fillId="0" borderId="0" xfId="0" applyFont="1" applyAlignment="1" applyProtection="1">
      <alignment horizontal="righ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9" fillId="0" borderId="0" xfId="0" applyNumberFormat="1" applyFont="1" applyAlignment="1" applyProtection="1">
      <alignment horizontal="left" vertical="top"/>
      <protection locked="0"/>
    </xf>
    <xf numFmtId="37" fontId="5" fillId="0" borderId="0" xfId="0" applyFont="1" applyProtection="1">
      <protection locked="0"/>
    </xf>
    <xf numFmtId="49" fontId="15" fillId="0" borderId="0" xfId="0" applyNumberFormat="1" applyFont="1" applyProtection="1">
      <protection locked="0"/>
    </xf>
    <xf numFmtId="37" fontId="15" fillId="0" borderId="0" xfId="0" applyFont="1" applyAlignment="1" applyProtection="1">
      <alignment horizontal="center" wrapText="1"/>
      <protection locked="0"/>
    </xf>
    <xf numFmtId="37" fontId="15" fillId="0" borderId="0" xfId="0" applyNumberFormat="1" applyFont="1" applyAlignment="1" applyProtection="1">
      <alignment horizontal="center" wrapText="1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8" fillId="0" borderId="0" xfId="0" applyNumberFormat="1" applyFont="1" applyAlignment="1" applyProtection="1">
      <alignment horizontal="left" vertical="top"/>
      <protection locked="0"/>
    </xf>
    <xf numFmtId="37" fontId="8" fillId="0" borderId="0" xfId="0" applyFont="1" applyProtection="1">
      <protection locked="0"/>
    </xf>
    <xf numFmtId="49" fontId="10" fillId="0" borderId="0" xfId="0" applyNumberFormat="1" applyFont="1" applyAlignment="1" applyProtection="1">
      <alignment horizontal="left"/>
      <protection locked="0"/>
    </xf>
    <xf numFmtId="37" fontId="12" fillId="0" borderId="0" xfId="0" applyFont="1" applyAlignment="1" applyProtection="1">
      <alignment horizontal="left" vertical="top"/>
      <protection locked="0"/>
    </xf>
    <xf numFmtId="37" fontId="15" fillId="0" borderId="0" xfId="0" applyNumberFormat="1" applyFont="1" applyProtection="1">
      <protection locked="0"/>
    </xf>
    <xf numFmtId="37" fontId="15" fillId="0" borderId="0" xfId="0" quotePrefix="1" applyFont="1" applyAlignment="1" applyProtection="1">
      <alignment vertical="top"/>
      <protection locked="0"/>
    </xf>
    <xf numFmtId="49" fontId="15" fillId="0" borderId="0" xfId="0" quotePrefix="1" applyNumberFormat="1" applyFont="1" applyAlignment="1" applyProtection="1">
      <alignment horizontal="left"/>
      <protection locked="0"/>
    </xf>
    <xf numFmtId="37" fontId="15" fillId="0" borderId="0" xfId="0" applyFont="1" applyAlignment="1" applyProtection="1">
      <alignment vertical="top"/>
      <protection locked="0"/>
    </xf>
    <xf numFmtId="37" fontId="15" fillId="0" borderId="0" xfId="0" quotePrefix="1" applyFont="1" applyFill="1" applyBorder="1" applyAlignment="1" applyProtection="1">
      <alignment vertical="top"/>
      <protection locked="0"/>
    </xf>
    <xf numFmtId="37" fontId="15" fillId="0" borderId="0" xfId="0" quotePrefix="1" applyFont="1" applyAlignment="1" applyProtection="1">
      <alignment horizontal="left" vertical="top"/>
      <protection locked="0"/>
    </xf>
    <xf numFmtId="49" fontId="15" fillId="0" borderId="0" xfId="0" quotePrefix="1" applyNumberFormat="1" applyFont="1" applyProtection="1">
      <protection locked="0"/>
    </xf>
    <xf numFmtId="37" fontId="15" fillId="0" borderId="0" xfId="0" quotePrefix="1" applyFont="1" applyBorder="1" applyAlignment="1" applyProtection="1">
      <alignment vertical="top"/>
      <protection locked="0"/>
    </xf>
    <xf numFmtId="37" fontId="15" fillId="0" borderId="0" xfId="0" applyFont="1" applyBorder="1" applyAlignment="1" applyProtection="1">
      <alignment vertical="top"/>
      <protection locked="0"/>
    </xf>
    <xf numFmtId="37" fontId="12" fillId="0" borderId="0" xfId="0" applyFont="1" applyAlignment="1" applyProtection="1">
      <alignment horizontal="left"/>
      <protection locked="0"/>
    </xf>
    <xf numFmtId="37" fontId="15" fillId="0" borderId="0" xfId="0" quotePrefix="1" applyFont="1" applyFill="1" applyBorder="1" applyAlignment="1" applyProtection="1">
      <alignment horizontal="left" vertical="top"/>
      <protection locked="0"/>
    </xf>
    <xf numFmtId="37" fontId="15" fillId="0" borderId="0" xfId="0" applyNumberFormat="1" applyFont="1" applyFill="1" applyProtection="1">
      <protection locked="0"/>
    </xf>
    <xf numFmtId="37" fontId="15" fillId="0" borderId="0" xfId="0" applyFont="1" applyAlignment="1" applyProtection="1">
      <alignment horizontal="left" wrapText="1"/>
      <protection locked="0"/>
    </xf>
    <xf numFmtId="37" fontId="15" fillId="0" borderId="0" xfId="0" quotePrefix="1" applyFont="1" applyProtection="1">
      <protection locked="0"/>
    </xf>
    <xf numFmtId="37" fontId="8" fillId="0" borderId="0" xfId="0" applyFont="1" applyAlignment="1" applyProtection="1">
      <alignment horizontal="left"/>
      <protection locked="0"/>
    </xf>
    <xf numFmtId="37" fontId="15" fillId="0" borderId="22" xfId="0" applyNumberFormat="1" applyFont="1" applyBorder="1" applyProtection="1">
      <protection locked="0"/>
    </xf>
    <xf numFmtId="37" fontId="6" fillId="0" borderId="0" xfId="0" applyFont="1" applyAlignment="1" applyProtection="1">
      <alignment horizontal="left"/>
      <protection locked="0"/>
    </xf>
    <xf numFmtId="37" fontId="9" fillId="0" borderId="0" xfId="0" applyFont="1" applyAlignment="1" applyProtection="1">
      <alignment horizontal="left"/>
      <protection locked="0"/>
    </xf>
    <xf numFmtId="37" fontId="15" fillId="0" borderId="0" xfId="0" applyFont="1" applyAlignment="1" applyProtection="1">
      <alignment horizontal="center"/>
      <protection locked="0"/>
    </xf>
    <xf numFmtId="37" fontId="15" fillId="0" borderId="0" xfId="0" quotePrefix="1" applyFont="1" applyAlignment="1" applyProtection="1">
      <alignment horizontal="center"/>
      <protection locked="0"/>
    </xf>
    <xf numFmtId="37" fontId="15" fillId="0" borderId="0" xfId="0" applyFont="1" applyAlignment="1" applyProtection="1">
      <protection locked="0"/>
    </xf>
    <xf numFmtId="37" fontId="12" fillId="0" borderId="0" xfId="0" applyFont="1" applyAlignment="1" applyProtection="1">
      <alignment horizontal="right"/>
      <protection locked="0"/>
    </xf>
    <xf numFmtId="37" fontId="15" fillId="0" borderId="0" xfId="0" applyFont="1" applyFill="1" applyAlignment="1" applyProtection="1">
      <protection locked="0"/>
    </xf>
    <xf numFmtId="37" fontId="15" fillId="0" borderId="0" xfId="0" quotePrefix="1" applyFont="1" applyAlignment="1" applyProtection="1">
      <alignment horizontal="left"/>
      <protection locked="0"/>
    </xf>
    <xf numFmtId="37" fontId="8" fillId="0" borderId="0" xfId="0" quotePrefix="1" applyFont="1" applyAlignment="1" applyProtection="1">
      <alignment horizontal="left"/>
      <protection locked="0"/>
    </xf>
    <xf numFmtId="37" fontId="15" fillId="0" borderId="0" xfId="0" quotePrefix="1" applyFont="1" applyFill="1" applyAlignment="1" applyProtection="1">
      <alignment horizontal="left"/>
      <protection locked="0"/>
    </xf>
    <xf numFmtId="37" fontId="15" fillId="0" borderId="0" xfId="0" applyFont="1" applyFill="1" applyAlignment="1" applyProtection="1">
      <alignment horizontal="left"/>
      <protection locked="0"/>
    </xf>
    <xf numFmtId="37" fontId="22" fillId="0" borderId="0" xfId="0" applyNumberFormat="1" applyFont="1" applyProtection="1">
      <protection locked="0"/>
    </xf>
    <xf numFmtId="49" fontId="15" fillId="0" borderId="0" xfId="0" applyNumberFormat="1" applyFont="1" applyFill="1" applyProtection="1">
      <protection locked="0"/>
    </xf>
    <xf numFmtId="37" fontId="3" fillId="0" borderId="15" xfId="0" applyNumberFormat="1" applyFont="1" applyFill="1" applyBorder="1" applyProtection="1">
      <protection locked="0"/>
    </xf>
    <xf numFmtId="37" fontId="15" fillId="26" borderId="35" xfId="0" quotePrefix="1" applyNumberFormat="1" applyFont="1" applyFill="1" applyBorder="1" applyProtection="1"/>
    <xf numFmtId="37" fontId="15" fillId="26" borderId="35" xfId="0" applyNumberFormat="1" applyFont="1" applyFill="1" applyBorder="1" applyProtection="1"/>
    <xf numFmtId="37" fontId="15" fillId="0" borderId="0" xfId="0" applyFont="1" applyAlignment="1" applyProtection="1"/>
    <xf numFmtId="37" fontId="3" fillId="0" borderId="81" xfId="0" applyNumberFormat="1" applyFont="1" applyFill="1" applyBorder="1" applyProtection="1">
      <protection locked="0"/>
    </xf>
    <xf numFmtId="37" fontId="3" fillId="0" borderId="82" xfId="0" applyNumberFormat="1" applyFont="1" applyBorder="1" applyProtection="1">
      <protection locked="0"/>
    </xf>
    <xf numFmtId="37" fontId="3" fillId="0" borderId="83" xfId="0" applyNumberFormat="1" applyFont="1" applyBorder="1" applyProtection="1">
      <protection locked="0"/>
    </xf>
    <xf numFmtId="37" fontId="3" fillId="0" borderId="82" xfId="0" applyNumberFormat="1" applyFont="1" applyFill="1" applyBorder="1" applyProtection="1">
      <protection locked="0"/>
    </xf>
    <xf numFmtId="37" fontId="15" fillId="0" borderId="35" xfId="0" applyNumberFormat="1" applyFont="1" applyFill="1" applyBorder="1" applyProtection="1"/>
    <xf numFmtId="37" fontId="15" fillId="0" borderId="35" xfId="0" applyNumberFormat="1" applyFont="1" applyBorder="1" applyProtection="1"/>
    <xf numFmtId="37" fontId="15" fillId="0" borderId="84" xfId="0" applyNumberFormat="1" applyFont="1" applyFill="1" applyBorder="1" applyProtection="1"/>
    <xf numFmtId="37" fontId="15" fillId="0" borderId="41" xfId="0" applyNumberFormat="1" applyFont="1" applyFill="1" applyBorder="1" applyProtection="1"/>
    <xf numFmtId="37" fontId="15" fillId="0" borderId="84" xfId="0" applyNumberFormat="1" applyFont="1" applyBorder="1" applyProtection="1"/>
    <xf numFmtId="37" fontId="15" fillId="0" borderId="59" xfId="0" applyFont="1" applyBorder="1" applyProtection="1"/>
    <xf numFmtId="37" fontId="15" fillId="0" borderId="85" xfId="0" applyNumberFormat="1" applyFont="1" applyBorder="1" applyProtection="1"/>
    <xf numFmtId="37" fontId="15" fillId="0" borderId="43" xfId="0" applyFont="1" applyBorder="1" applyProtection="1"/>
    <xf numFmtId="37" fontId="15" fillId="0" borderId="85" xfId="0" applyNumberFormat="1" applyFont="1" applyFill="1" applyBorder="1" applyProtection="1"/>
    <xf numFmtId="37" fontId="15" fillId="0" borderId="43" xfId="0" applyNumberFormat="1" applyFont="1" applyFill="1" applyBorder="1" applyProtection="1"/>
    <xf numFmtId="37" fontId="15" fillId="0" borderId="86" xfId="0" applyNumberFormat="1" applyFont="1" applyBorder="1" applyProtection="1"/>
    <xf numFmtId="37" fontId="15" fillId="0" borderId="43" xfId="0" applyNumberFormat="1" applyFont="1" applyBorder="1" applyProtection="1"/>
    <xf numFmtId="37" fontId="15" fillId="0" borderId="87" xfId="0" applyNumberFormat="1" applyFont="1" applyBorder="1" applyProtection="1"/>
    <xf numFmtId="37" fontId="15" fillId="0" borderId="88" xfId="0" applyNumberFormat="1" applyFont="1" applyBorder="1" applyAlignment="1" applyProtection="1">
      <alignment horizontal="center" wrapText="1"/>
      <protection locked="0"/>
    </xf>
    <xf numFmtId="37" fontId="15" fillId="0" borderId="89" xfId="0" applyNumberFormat="1" applyFont="1" applyBorder="1" applyProtection="1"/>
    <xf numFmtId="37" fontId="15" fillId="0" borderId="90" xfId="0" applyNumberFormat="1" applyFont="1" applyBorder="1" applyProtection="1"/>
    <xf numFmtId="37" fontId="15" fillId="0" borderId="91" xfId="0" applyNumberFormat="1" applyFont="1" applyBorder="1" applyProtection="1"/>
    <xf numFmtId="37" fontId="15" fillId="0" borderId="92" xfId="0" applyNumberFormat="1" applyFont="1" applyBorder="1" applyProtection="1"/>
    <xf numFmtId="37" fontId="15" fillId="0" borderId="93" xfId="0" applyNumberFormat="1" applyFont="1" applyBorder="1" applyProtection="1"/>
    <xf numFmtId="37" fontId="15" fillId="0" borderId="94" xfId="0" applyNumberFormat="1" applyFont="1" applyBorder="1" applyProtection="1"/>
    <xf numFmtId="37" fontId="8" fillId="0" borderId="0" xfId="0" applyFont="1" applyAlignment="1" applyProtection="1">
      <protection locked="0"/>
    </xf>
    <xf numFmtId="37" fontId="10" fillId="0" borderId="0" xfId="0" applyFont="1" applyProtection="1">
      <protection locked="0"/>
    </xf>
    <xf numFmtId="37" fontId="9" fillId="0" borderId="0" xfId="0" applyFont="1" applyAlignment="1" applyProtection="1">
      <alignment horizontal="center"/>
      <protection locked="0"/>
    </xf>
    <xf numFmtId="1" fontId="15" fillId="0" borderId="0" xfId="0" quotePrefix="1" applyNumberFormat="1" applyFont="1" applyAlignment="1" applyProtection="1">
      <alignment horizontal="left"/>
      <protection locked="0"/>
    </xf>
    <xf numFmtId="1" fontId="8" fillId="0" borderId="0" xfId="0" applyNumberFormat="1" applyFont="1" applyAlignment="1" applyProtection="1">
      <alignment horizontal="left"/>
      <protection locked="0"/>
    </xf>
    <xf numFmtId="37" fontId="21" fillId="0" borderId="0" xfId="0" applyFont="1" applyProtection="1">
      <protection locked="0"/>
    </xf>
    <xf numFmtId="37" fontId="15" fillId="0" borderId="45" xfId="0" applyNumberFormat="1" applyFont="1" applyBorder="1" applyProtection="1">
      <protection locked="0"/>
    </xf>
    <xf numFmtId="37" fontId="15" fillId="0" borderId="0" xfId="0" applyFont="1" applyFill="1" applyBorder="1" applyAlignment="1" applyProtection="1">
      <alignment horizontal="left"/>
      <protection locked="0"/>
    </xf>
    <xf numFmtId="37" fontId="3" fillId="0" borderId="0" xfId="0" applyNumberFormat="1" applyFont="1" applyBorder="1" applyProtection="1"/>
    <xf numFmtId="37" fontId="15" fillId="0" borderId="23" xfId="0" applyNumberFormat="1" applyFont="1" applyBorder="1" applyProtection="1"/>
    <xf numFmtId="37" fontId="15" fillId="0" borderId="67" xfId="0" applyNumberFormat="1" applyFont="1" applyBorder="1" applyProtection="1"/>
    <xf numFmtId="37" fontId="15" fillId="0" borderId="15" xfId="0" applyNumberFormat="1" applyFont="1" applyFill="1" applyBorder="1" applyProtection="1"/>
    <xf numFmtId="37" fontId="15" fillId="0" borderId="15" xfId="0" applyNumberFormat="1" applyFont="1" applyBorder="1" applyProtection="1"/>
    <xf numFmtId="37" fontId="15" fillId="0" borderId="0" xfId="0" applyFont="1" applyFill="1" applyAlignment="1" applyProtection="1"/>
    <xf numFmtId="37" fontId="3" fillId="0" borderId="66" xfId="0" applyNumberFormat="1" applyFont="1" applyFill="1" applyBorder="1" applyProtection="1"/>
    <xf numFmtId="37" fontId="3" fillId="0" borderId="0" xfId="0" applyNumberFormat="1" applyFont="1" applyFill="1" applyBorder="1" applyProtection="1"/>
    <xf numFmtId="37" fontId="3" fillId="0" borderId="70" xfId="0" applyNumberFormat="1" applyFont="1" applyFill="1" applyBorder="1" applyProtection="1"/>
    <xf numFmtId="37" fontId="15" fillId="0" borderId="66" xfId="0" applyNumberFormat="1" applyFont="1" applyFill="1" applyBorder="1" applyProtection="1"/>
    <xf numFmtId="37" fontId="15" fillId="0" borderId="39" xfId="0" applyNumberFormat="1" applyFont="1" applyFill="1" applyBorder="1" applyProtection="1"/>
    <xf numFmtId="37" fontId="15" fillId="0" borderId="69" xfId="0" applyNumberFormat="1" applyFont="1" applyFill="1" applyBorder="1" applyProtection="1"/>
    <xf numFmtId="37" fontId="15" fillId="0" borderId="23" xfId="0" applyNumberFormat="1" applyFont="1" applyFill="1" applyBorder="1" applyProtection="1"/>
    <xf numFmtId="37" fontId="3" fillId="0" borderId="44" xfId="0" applyNumberFormat="1" applyFont="1" applyBorder="1" applyProtection="1"/>
    <xf numFmtId="37" fontId="15" fillId="0" borderId="95" xfId="0" applyNumberFormat="1" applyFont="1" applyBorder="1" applyProtection="1"/>
    <xf numFmtId="37" fontId="15" fillId="0" borderId="38" xfId="0" applyNumberFormat="1" applyFont="1" applyBorder="1" applyProtection="1"/>
    <xf numFmtId="37" fontId="15" fillId="0" borderId="66" xfId="0" applyNumberFormat="1" applyFont="1" applyBorder="1" applyProtection="1"/>
    <xf numFmtId="37" fontId="10" fillId="0" borderId="0" xfId="0" applyFont="1" applyAlignment="1" applyProtection="1">
      <alignment horizontal="left"/>
      <protection locked="0"/>
    </xf>
    <xf numFmtId="37" fontId="15" fillId="0" borderId="0" xfId="0" applyFont="1" applyFill="1" applyBorder="1" applyProtection="1">
      <protection locked="0"/>
    </xf>
    <xf numFmtId="37" fontId="15" fillId="0" borderId="46" xfId="0" applyNumberFormat="1" applyFont="1" applyBorder="1" applyProtection="1"/>
    <xf numFmtId="37" fontId="15" fillId="0" borderId="0" xfId="0" quotePrefix="1" applyFont="1" applyFill="1"/>
    <xf numFmtId="37" fontId="3" fillId="0" borderId="96" xfId="0" applyNumberFormat="1" applyFont="1" applyFill="1" applyBorder="1" applyProtection="1">
      <protection locked="0"/>
    </xf>
    <xf numFmtId="37" fontId="3" fillId="0" borderId="96" xfId="0" applyNumberFormat="1" applyFont="1" applyBorder="1" applyProtection="1">
      <protection locked="0"/>
    </xf>
    <xf numFmtId="37" fontId="15" fillId="0" borderId="97" xfId="0" applyNumberFormat="1" applyFont="1" applyBorder="1" applyProtection="1"/>
    <xf numFmtId="37" fontId="15" fillId="0" borderId="97" xfId="0" applyNumberFormat="1" applyFont="1" applyFill="1" applyBorder="1" applyProtection="1"/>
    <xf numFmtId="37" fontId="0" fillId="0" borderId="0" xfId="0" quotePrefix="1" applyFill="1"/>
    <xf numFmtId="3" fontId="29" fillId="0" borderId="0" xfId="0" applyNumberFormat="1" applyFont="1" applyFill="1" applyProtection="1">
      <protection locked="0"/>
    </xf>
    <xf numFmtId="3" fontId="29" fillId="0" borderId="98" xfId="0" quotePrefix="1" applyNumberFormat="1" applyFont="1" applyFill="1" applyBorder="1" applyProtection="1">
      <protection locked="0"/>
    </xf>
    <xf numFmtId="3" fontId="29" fillId="0" borderId="99" xfId="0" quotePrefix="1" applyNumberFormat="1" applyFont="1" applyFill="1" applyBorder="1" applyProtection="1">
      <protection locked="0"/>
    </xf>
    <xf numFmtId="3" fontId="29" fillId="0" borderId="76" xfId="0" quotePrefix="1" applyNumberFormat="1" applyFont="1" applyFill="1" applyBorder="1" applyProtection="1">
      <protection locked="0"/>
    </xf>
    <xf numFmtId="3" fontId="29" fillId="0" borderId="88" xfId="0" quotePrefix="1" applyNumberFormat="1" applyFont="1" applyFill="1" applyBorder="1" applyProtection="1">
      <protection locked="0"/>
    </xf>
    <xf numFmtId="3" fontId="29" fillId="0" borderId="100" xfId="0" quotePrefix="1" applyNumberFormat="1" applyFont="1" applyFill="1" applyBorder="1" applyProtection="1">
      <protection locked="0"/>
    </xf>
    <xf numFmtId="3" fontId="29" fillId="0" borderId="101" xfId="0" quotePrefix="1" applyNumberFormat="1" applyFont="1" applyFill="1" applyBorder="1" applyProtection="1">
      <protection locked="0"/>
    </xf>
    <xf numFmtId="3" fontId="29" fillId="0" borderId="79" xfId="0" quotePrefix="1" applyNumberFormat="1" applyFont="1" applyFill="1" applyBorder="1" applyProtection="1">
      <protection locked="0"/>
    </xf>
    <xf numFmtId="3" fontId="29" fillId="0" borderId="75" xfId="0" quotePrefix="1" applyNumberFormat="1" applyFont="1" applyFill="1" applyBorder="1" applyProtection="1">
      <protection locked="0"/>
    </xf>
    <xf numFmtId="3" fontId="29" fillId="0" borderId="78" xfId="0" applyNumberFormat="1" applyFont="1" applyFill="1" applyBorder="1" applyProtection="1">
      <protection locked="0"/>
    </xf>
    <xf numFmtId="3" fontId="29" fillId="0" borderId="76" xfId="0" applyNumberFormat="1" applyFont="1" applyFill="1" applyBorder="1" applyProtection="1">
      <protection locked="0"/>
    </xf>
    <xf numFmtId="37" fontId="0" fillId="0" borderId="40" xfId="0" applyBorder="1" applyProtection="1"/>
    <xf numFmtId="37" fontId="17" fillId="0" borderId="0" xfId="0" applyFont="1" applyProtection="1"/>
    <xf numFmtId="37" fontId="15" fillId="0" borderId="67" xfId="0" applyNumberFormat="1" applyFont="1" applyFill="1" applyBorder="1" applyProtection="1"/>
    <xf numFmtId="37" fontId="3" fillId="0" borderId="24" xfId="0" applyNumberFormat="1" applyFont="1" applyBorder="1" applyProtection="1"/>
    <xf numFmtId="37" fontId="15" fillId="0" borderId="81" xfId="0" applyNumberFormat="1" applyFont="1" applyBorder="1" applyProtection="1"/>
    <xf numFmtId="37" fontId="3" fillId="0" borderId="0" xfId="0" applyNumberFormat="1" applyFont="1" applyProtection="1"/>
    <xf numFmtId="49" fontId="73" fillId="0" borderId="0" xfId="0" applyNumberFormat="1" applyFont="1" applyFill="1" applyAlignment="1" applyProtection="1">
      <alignment horizontal="center"/>
      <protection locked="0"/>
    </xf>
    <xf numFmtId="49" fontId="73" fillId="0" borderId="0" xfId="0" applyNumberFormat="1" applyFont="1" applyFill="1" applyProtection="1">
      <protection locked="0"/>
    </xf>
    <xf numFmtId="3" fontId="73" fillId="0" borderId="0" xfId="0" applyNumberFormat="1" applyFont="1" applyFill="1" applyProtection="1">
      <protection locked="0"/>
    </xf>
    <xf numFmtId="38" fontId="73" fillId="0" borderId="0" xfId="0" applyNumberFormat="1" applyFont="1" applyFill="1" applyProtection="1">
      <protection locked="0"/>
    </xf>
    <xf numFmtId="167" fontId="73" fillId="0" borderId="0" xfId="0" applyNumberFormat="1" applyFont="1" applyFill="1" applyProtection="1">
      <protection locked="0"/>
    </xf>
    <xf numFmtId="40" fontId="42" fillId="0" borderId="0" xfId="0" applyNumberFormat="1" applyFont="1" applyFill="1" applyBorder="1" applyProtection="1"/>
    <xf numFmtId="37" fontId="17" fillId="0" borderId="0" xfId="0" applyFont="1" applyFill="1" applyAlignment="1" applyProtection="1">
      <alignment horizontal="right"/>
    </xf>
    <xf numFmtId="39" fontId="41" fillId="0" borderId="0" xfId="0" applyNumberFormat="1" applyFont="1" applyFill="1" applyProtection="1"/>
    <xf numFmtId="49" fontId="15" fillId="0" borderId="0" xfId="0" applyNumberFormat="1" applyFont="1" applyFill="1" applyProtection="1"/>
    <xf numFmtId="40" fontId="42" fillId="0" borderId="0" xfId="0" applyNumberFormat="1" applyFont="1" applyBorder="1" applyProtection="1"/>
    <xf numFmtId="37" fontId="22" fillId="0" borderId="0" xfId="0" applyFont="1" applyAlignment="1" applyProtection="1">
      <alignment horizontal="left"/>
    </xf>
    <xf numFmtId="39" fontId="41" fillId="0" borderId="0" xfId="0" applyNumberFormat="1" applyFont="1" applyProtection="1"/>
    <xf numFmtId="49" fontId="15" fillId="0" borderId="0" xfId="0" applyNumberFormat="1" applyFont="1" applyProtection="1"/>
    <xf numFmtId="37" fontId="25" fillId="31" borderId="35" xfId="0" applyFont="1" applyFill="1" applyBorder="1" applyAlignment="1" applyProtection="1">
      <alignment horizontal="center" vertical="top" wrapText="1"/>
      <protection locked="0"/>
    </xf>
    <xf numFmtId="37" fontId="25" fillId="31" borderId="66" xfId="0" applyFont="1" applyFill="1" applyBorder="1" applyAlignment="1" applyProtection="1">
      <alignment horizontal="center" vertical="top" wrapText="1"/>
      <protection locked="0"/>
    </xf>
    <xf numFmtId="37" fontId="25" fillId="31" borderId="71" xfId="0" applyFont="1" applyFill="1" applyBorder="1" applyAlignment="1" applyProtection="1">
      <alignment horizontal="center" vertical="top" wrapText="1"/>
      <protection locked="0"/>
    </xf>
    <xf numFmtId="49" fontId="74" fillId="0" borderId="0" xfId="0" applyNumberFormat="1" applyFont="1" applyFill="1" applyAlignment="1" applyProtection="1">
      <alignment horizontal="right"/>
    </xf>
    <xf numFmtId="37" fontId="21" fillId="0" borderId="35" xfId="0" applyNumberFormat="1" applyFont="1" applyBorder="1" applyProtection="1"/>
    <xf numFmtId="38" fontId="15" fillId="26" borderId="0" xfId="0" applyNumberFormat="1" applyFont="1" applyFill="1" applyProtection="1"/>
    <xf numFmtId="0" fontId="2" fillId="0" borderId="102" xfId="38" applyBorder="1" applyProtection="1">
      <protection locked="0"/>
    </xf>
    <xf numFmtId="0" fontId="2" fillId="0" borderId="103" xfId="38" applyBorder="1" applyAlignment="1" applyProtection="1">
      <alignment horizontal="center"/>
      <protection locked="0"/>
    </xf>
    <xf numFmtId="3" fontId="2" fillId="0" borderId="103" xfId="38" applyNumberFormat="1" applyBorder="1" applyAlignment="1" applyProtection="1">
      <alignment horizontal="center"/>
      <protection locked="0"/>
    </xf>
    <xf numFmtId="0" fontId="2" fillId="0" borderId="104" xfId="38" applyBorder="1" applyAlignment="1" applyProtection="1">
      <alignment horizontal="center"/>
      <protection locked="0"/>
    </xf>
    <xf numFmtId="0" fontId="2" fillId="0" borderId="105" xfId="38" applyBorder="1" applyProtection="1">
      <protection locked="0"/>
    </xf>
    <xf numFmtId="0" fontId="44" fillId="0" borderId="0" xfId="38" applyFont="1" applyBorder="1" applyAlignment="1" applyProtection="1">
      <alignment horizontal="center"/>
      <protection locked="0"/>
    </xf>
    <xf numFmtId="0" fontId="44" fillId="0" borderId="106" xfId="38" applyFont="1" applyBorder="1" applyAlignment="1" applyProtection="1">
      <alignment horizontal="center"/>
      <protection locked="0"/>
    </xf>
    <xf numFmtId="3" fontId="2" fillId="0" borderId="0" xfId="38" applyNumberFormat="1" applyBorder="1" applyProtection="1">
      <protection locked="0"/>
    </xf>
    <xf numFmtId="3" fontId="2" fillId="0" borderId="106" xfId="38" applyNumberFormat="1" applyBorder="1" applyProtection="1">
      <protection locked="0"/>
    </xf>
    <xf numFmtId="0" fontId="2" fillId="0" borderId="107" xfId="38" applyBorder="1" applyProtection="1">
      <protection locked="0"/>
    </xf>
    <xf numFmtId="3" fontId="2" fillId="0" borderId="108" xfId="38" applyNumberFormat="1" applyBorder="1" applyProtection="1">
      <protection locked="0"/>
    </xf>
    <xf numFmtId="3" fontId="2" fillId="0" borderId="109" xfId="38" applyNumberFormat="1" applyBorder="1" applyProtection="1">
      <protection locked="0"/>
    </xf>
    <xf numFmtId="0" fontId="44" fillId="0" borderId="0" xfId="38" applyFont="1" applyProtection="1">
      <protection locked="0"/>
    </xf>
    <xf numFmtId="49" fontId="0" fillId="0" borderId="108" xfId="0" applyNumberFormat="1" applyFill="1" applyBorder="1" applyProtection="1">
      <protection locked="0"/>
    </xf>
    <xf numFmtId="38" fontId="0" fillId="0" borderId="108" xfId="0" applyNumberFormat="1" applyFill="1" applyBorder="1" applyProtection="1">
      <protection locked="0"/>
    </xf>
    <xf numFmtId="37" fontId="0" fillId="0" borderId="0" xfId="0" applyFill="1" applyBorder="1" applyProtection="1">
      <protection locked="0"/>
    </xf>
    <xf numFmtId="38" fontId="0" fillId="0" borderId="0" xfId="0" applyNumberFormat="1" applyFill="1" applyBorder="1" applyProtection="1">
      <protection locked="0"/>
    </xf>
    <xf numFmtId="37" fontId="3" fillId="0" borderId="35" xfId="0" applyFont="1" applyBorder="1" applyProtection="1">
      <protection locked="0"/>
    </xf>
    <xf numFmtId="37" fontId="21" fillId="0" borderId="35" xfId="0" applyFont="1" applyFill="1" applyBorder="1"/>
    <xf numFmtId="164" fontId="25" fillId="0" borderId="110" xfId="0" applyNumberFormat="1" applyFont="1" applyBorder="1" applyAlignment="1" applyProtection="1">
      <protection locked="0"/>
    </xf>
    <xf numFmtId="37" fontId="14" fillId="0" borderId="17" xfId="0" applyFont="1" applyFill="1" applyBorder="1" applyAlignment="1" applyProtection="1">
      <alignment horizontal="center"/>
    </xf>
    <xf numFmtId="37" fontId="14" fillId="0" borderId="30" xfId="0" applyFont="1" applyFill="1" applyBorder="1" applyAlignment="1" applyProtection="1">
      <alignment horizontal="center"/>
    </xf>
    <xf numFmtId="37" fontId="14" fillId="0" borderId="16" xfId="0" applyFont="1" applyFill="1" applyBorder="1" applyAlignment="1" applyProtection="1">
      <alignment horizontal="center"/>
    </xf>
    <xf numFmtId="37" fontId="14" fillId="0" borderId="32" xfId="0" applyNumberFormat="1" applyFont="1" applyBorder="1" applyAlignment="1" applyProtection="1">
      <alignment horizontal="right"/>
    </xf>
    <xf numFmtId="164" fontId="35" fillId="0" borderId="56" xfId="0" applyNumberFormat="1" applyFont="1" applyBorder="1" applyAlignment="1">
      <alignment wrapText="1"/>
    </xf>
    <xf numFmtId="37" fontId="75" fillId="0" borderId="0" xfId="0" quotePrefix="1" applyFont="1" applyAlignment="1" applyProtection="1">
      <alignment horizontal="left"/>
      <protection locked="0"/>
    </xf>
    <xf numFmtId="37" fontId="75" fillId="0" borderId="0" xfId="0" applyFont="1" applyAlignment="1" applyProtection="1">
      <alignment horizontal="left"/>
      <protection locked="0"/>
    </xf>
    <xf numFmtId="37" fontId="75" fillId="0" borderId="0" xfId="0" quotePrefix="1" applyFont="1" applyAlignment="1" applyProtection="1">
      <alignment horizontal="left"/>
    </xf>
    <xf numFmtId="37" fontId="75" fillId="0" borderId="0" xfId="0" applyFont="1" applyAlignment="1" applyProtection="1">
      <alignment horizontal="left"/>
    </xf>
    <xf numFmtId="37" fontId="75" fillId="0" borderId="0" xfId="0" quotePrefix="1" applyFont="1"/>
    <xf numFmtId="37" fontId="75" fillId="0" borderId="0" xfId="0" quotePrefix="1" applyFont="1" applyProtection="1"/>
    <xf numFmtId="40" fontId="41" fillId="0" borderId="0" xfId="0" quotePrefix="1" applyNumberFormat="1" applyFont="1" applyBorder="1"/>
    <xf numFmtId="40" fontId="43" fillId="0" borderId="0" xfId="0" applyNumberFormat="1" applyFont="1" applyFill="1" applyBorder="1"/>
    <xf numFmtId="37" fontId="15" fillId="26" borderId="0" xfId="0" applyFont="1" applyFill="1" applyAlignment="1" applyProtection="1">
      <alignment horizontal="left"/>
    </xf>
    <xf numFmtId="49" fontId="15" fillId="32" borderId="0" xfId="0" applyNumberFormat="1" applyFont="1" applyFill="1" applyAlignment="1" applyProtection="1">
      <alignment horizontal="left"/>
      <protection locked="0"/>
    </xf>
    <xf numFmtId="49" fontId="8" fillId="0" borderId="0" xfId="0" applyNumberFormat="1" applyFont="1" applyProtection="1">
      <protection locked="0"/>
    </xf>
    <xf numFmtId="37" fontId="15" fillId="26" borderId="41" xfId="0" applyNumberFormat="1" applyFont="1" applyFill="1" applyBorder="1" applyProtection="1"/>
    <xf numFmtId="49" fontId="15" fillId="0" borderId="0" xfId="0" applyNumberFormat="1" applyFont="1" applyAlignment="1" applyProtection="1">
      <alignment horizontal="right"/>
      <protection locked="0"/>
    </xf>
    <xf numFmtId="37" fontId="15" fillId="26" borderId="0" xfId="0" applyFont="1" applyFill="1" applyBorder="1" applyProtection="1"/>
    <xf numFmtId="37" fontId="15" fillId="26" borderId="23" xfId="0" applyNumberFormat="1" applyFont="1" applyFill="1" applyBorder="1" applyProtection="1"/>
    <xf numFmtId="37" fontId="15" fillId="26" borderId="0" xfId="0" applyFont="1" applyFill="1" applyBorder="1" applyAlignment="1" applyProtection="1">
      <alignment horizontal="left"/>
    </xf>
    <xf numFmtId="3" fontId="76" fillId="0" borderId="0" xfId="0" applyNumberFormat="1" applyFont="1" applyFill="1" applyProtection="1">
      <protection locked="0"/>
    </xf>
    <xf numFmtId="37" fontId="15" fillId="26" borderId="0" xfId="0" applyFont="1" applyFill="1"/>
    <xf numFmtId="49" fontId="8" fillId="26" borderId="43" xfId="0" applyNumberFormat="1" applyFont="1" applyFill="1" applyBorder="1" applyAlignment="1" applyProtection="1">
      <alignment horizontal="left"/>
    </xf>
    <xf numFmtId="37" fontId="15" fillId="26" borderId="0" xfId="0" quotePrefix="1" applyFont="1" applyFill="1" applyAlignment="1" applyProtection="1">
      <alignment horizontal="left"/>
    </xf>
    <xf numFmtId="37" fontId="3" fillId="0" borderId="40" xfId="0" applyFont="1" applyBorder="1" applyProtection="1">
      <protection locked="0"/>
    </xf>
    <xf numFmtId="37" fontId="15" fillId="0" borderId="111" xfId="0" applyNumberFormat="1" applyFont="1" applyBorder="1" applyProtection="1"/>
    <xf numFmtId="1" fontId="25" fillId="31" borderId="35" xfId="0" quotePrefix="1" applyNumberFormat="1" applyFont="1" applyFill="1" applyBorder="1" applyAlignment="1" applyProtection="1">
      <alignment horizontal="center" vertical="center" wrapText="1"/>
      <protection locked="0"/>
    </xf>
    <xf numFmtId="1" fontId="25" fillId="31" borderId="35" xfId="0" quotePrefix="1" applyNumberFormat="1" applyFont="1" applyFill="1" applyBorder="1" applyAlignment="1" applyProtection="1">
      <alignment horizontal="center"/>
      <protection locked="0"/>
    </xf>
    <xf numFmtId="1" fontId="25" fillId="31" borderId="35" xfId="0" applyNumberFormat="1" applyFont="1" applyFill="1" applyBorder="1" applyAlignment="1" applyProtection="1">
      <alignment horizontal="center" vertical="center" wrapText="1"/>
      <protection locked="0"/>
    </xf>
    <xf numFmtId="37" fontId="75" fillId="0" borderId="0" xfId="0" quotePrefix="1" applyFont="1" applyProtection="1">
      <protection locked="0"/>
    </xf>
    <xf numFmtId="37" fontId="15" fillId="26" borderId="82" xfId="0" applyNumberFormat="1" applyFont="1" applyFill="1" applyBorder="1" applyProtection="1"/>
    <xf numFmtId="37" fontId="51" fillId="28" borderId="0" xfId="0" applyFont="1" applyFill="1"/>
    <xf numFmtId="37" fontId="15" fillId="33" borderId="0" xfId="0" applyFont="1" applyFill="1" applyAlignment="1" applyProtection="1">
      <alignment horizontal="left"/>
      <protection locked="0"/>
    </xf>
    <xf numFmtId="49" fontId="15" fillId="33" borderId="0" xfId="0" quotePrefix="1" applyNumberFormat="1" applyFont="1" applyFill="1" applyProtection="1">
      <protection locked="0"/>
    </xf>
    <xf numFmtId="37" fontId="15" fillId="33" borderId="0" xfId="0" quotePrefix="1" applyFont="1" applyFill="1" applyAlignment="1" applyProtection="1">
      <alignment vertical="top"/>
      <protection locked="0"/>
    </xf>
    <xf numFmtId="1" fontId="15" fillId="33" borderId="0" xfId="0" quotePrefix="1" applyNumberFormat="1" applyFont="1" applyFill="1" applyAlignment="1">
      <alignment horizontal="left"/>
    </xf>
    <xf numFmtId="37" fontId="15" fillId="33" borderId="0" xfId="0" applyFont="1" applyFill="1"/>
    <xf numFmtId="37" fontId="15" fillId="33" borderId="0" xfId="0" applyFont="1" applyFill="1" applyAlignment="1" applyProtection="1">
      <alignment horizontal="left"/>
    </xf>
    <xf numFmtId="37" fontId="35" fillId="33" borderId="0" xfId="0" applyFont="1" applyFill="1" applyBorder="1" applyAlignment="1">
      <alignment wrapText="1"/>
    </xf>
    <xf numFmtId="37" fontId="1" fillId="0" borderId="0" xfId="0" quotePrefix="1" applyFont="1" applyAlignment="1" applyProtection="1">
      <alignment horizontal="left"/>
      <protection locked="0"/>
    </xf>
    <xf numFmtId="37" fontId="0" fillId="0" borderId="0" xfId="0" applyAlignment="1" applyProtection="1">
      <alignment horizontal="center" wrapText="1"/>
      <protection locked="0"/>
    </xf>
    <xf numFmtId="37" fontId="15" fillId="0" borderId="0" xfId="0" applyFont="1" applyFill="1" applyBorder="1" applyAlignment="1" applyProtection="1">
      <alignment vertical="top"/>
      <protection locked="0"/>
    </xf>
    <xf numFmtId="37" fontId="0" fillId="0" borderId="0" xfId="0" applyFill="1" applyAlignment="1" applyProtection="1">
      <alignment horizontal="left"/>
      <protection locked="0"/>
    </xf>
    <xf numFmtId="49" fontId="15" fillId="0" borderId="0" xfId="0" quotePrefix="1" applyNumberFormat="1" applyFont="1" applyFill="1" applyProtection="1">
      <protection locked="0"/>
    </xf>
    <xf numFmtId="1" fontId="15" fillId="0" borderId="0" xfId="0" quotePrefix="1" applyNumberFormat="1" applyFont="1" applyFill="1" applyAlignment="1">
      <alignment horizontal="left"/>
    </xf>
    <xf numFmtId="49" fontId="75" fillId="0" borderId="0" xfId="0" quotePrefix="1" applyNumberFormat="1" applyFont="1" applyFill="1" applyProtection="1">
      <protection locked="0"/>
    </xf>
    <xf numFmtId="37" fontId="0" fillId="0" borderId="0" xfId="0" applyAlignment="1" applyProtection="1">
      <alignment horizontal="left"/>
      <protection locked="0"/>
    </xf>
    <xf numFmtId="37" fontId="14" fillId="0" borderId="16" xfId="0" applyNumberFormat="1" applyFont="1" applyFill="1" applyBorder="1" applyProtection="1"/>
    <xf numFmtId="37" fontId="14" fillId="0" borderId="18" xfId="0" applyNumberFormat="1" applyFont="1" applyFill="1" applyBorder="1" applyProtection="1"/>
    <xf numFmtId="37" fontId="44" fillId="0" borderId="0" xfId="0" applyFont="1" applyAlignment="1">
      <alignment horizontal="right" wrapText="1"/>
    </xf>
    <xf numFmtId="37" fontId="0" fillId="0" borderId="0" xfId="0" applyFont="1"/>
    <xf numFmtId="37" fontId="0" fillId="0" borderId="0" xfId="0" applyFont="1" applyBorder="1"/>
    <xf numFmtId="37" fontId="0" fillId="0" borderId="0" xfId="0" applyFont="1" applyFill="1" applyBorder="1"/>
    <xf numFmtId="40" fontId="77" fillId="0" borderId="0" xfId="0" applyNumberFormat="1" applyFont="1" applyFill="1" applyBorder="1"/>
    <xf numFmtId="40" fontId="44" fillId="0" borderId="0" xfId="0" applyNumberFormat="1" applyFont="1" applyFill="1" applyBorder="1" applyAlignment="1">
      <alignment wrapText="1"/>
    </xf>
    <xf numFmtId="40" fontId="44" fillId="27" borderId="0" xfId="0" applyNumberFormat="1" applyFont="1" applyFill="1" applyBorder="1" applyAlignment="1">
      <alignment wrapText="1"/>
    </xf>
    <xf numFmtId="40" fontId="44" fillId="0" borderId="0" xfId="0" applyNumberFormat="1" applyFont="1" applyFill="1" applyBorder="1"/>
    <xf numFmtId="39" fontId="41" fillId="0" borderId="0" xfId="0" applyNumberFormat="1" applyFont="1" applyFill="1" applyBorder="1"/>
    <xf numFmtId="39" fontId="41" fillId="0" borderId="0" xfId="0" applyNumberFormat="1" applyFont="1" applyBorder="1"/>
    <xf numFmtId="40" fontId="41" fillId="27" borderId="0" xfId="0" applyNumberFormat="1" applyFont="1" applyFill="1" applyBorder="1"/>
    <xf numFmtId="37" fontId="44" fillId="0" borderId="0" xfId="0" applyFont="1" applyFill="1" applyAlignment="1">
      <alignment wrapText="1"/>
    </xf>
    <xf numFmtId="37" fontId="44" fillId="0" borderId="0" xfId="0" applyFont="1" applyFill="1" applyAlignment="1">
      <alignment horizontal="right" wrapText="1"/>
    </xf>
    <xf numFmtId="40" fontId="0" fillId="0" borderId="0" xfId="0" applyNumberFormat="1" applyFont="1" applyFill="1"/>
    <xf numFmtId="40" fontId="0" fillId="0" borderId="0" xfId="0" applyNumberFormat="1" applyFont="1" applyFill="1" applyBorder="1"/>
    <xf numFmtId="37" fontId="0" fillId="0" borderId="0" xfId="0" applyFont="1" applyFill="1"/>
    <xf numFmtId="37" fontId="44" fillId="0" borderId="0" xfId="0" applyFont="1" applyAlignment="1">
      <alignment wrapText="1"/>
    </xf>
    <xf numFmtId="37" fontId="39" fillId="0" borderId="0" xfId="0" applyNumberFormat="1" applyFont="1" applyAlignment="1">
      <alignment wrapText="1"/>
    </xf>
    <xf numFmtId="37" fontId="0" fillId="0" borderId="0" xfId="0" applyAlignment="1" applyProtection="1">
      <alignment horizontal="left" wrapText="1"/>
    </xf>
    <xf numFmtId="37" fontId="0" fillId="34" borderId="24" xfId="0" applyFill="1" applyBorder="1" applyProtection="1"/>
    <xf numFmtId="0" fontId="33" fillId="0" borderId="0" xfId="38" applyFont="1" applyAlignment="1" applyProtection="1">
      <alignment horizontal="centerContinuous"/>
      <protection locked="0"/>
    </xf>
    <xf numFmtId="37" fontId="75" fillId="0" borderId="0" xfId="0" applyFont="1" applyFill="1" applyAlignment="1" applyProtection="1">
      <alignment horizontal="left"/>
      <protection locked="0"/>
    </xf>
    <xf numFmtId="37" fontId="75" fillId="0" borderId="0" xfId="0" applyFont="1" applyProtection="1">
      <protection locked="0"/>
    </xf>
    <xf numFmtId="37" fontId="75" fillId="0" borderId="0" xfId="0" applyFont="1" applyFill="1" applyAlignment="1" applyProtection="1">
      <alignment horizontal="left"/>
    </xf>
    <xf numFmtId="37" fontId="75" fillId="0" borderId="0" xfId="0" applyFont="1"/>
    <xf numFmtId="37" fontId="78" fillId="0" borderId="0" xfId="0" applyFont="1" applyProtection="1">
      <protection locked="0"/>
    </xf>
    <xf numFmtId="37" fontId="78" fillId="0" borderId="0" xfId="0" applyNumberFormat="1" applyFont="1" applyProtection="1">
      <protection locked="0"/>
    </xf>
    <xf numFmtId="37" fontId="6" fillId="0" borderId="0" xfId="0" applyFont="1" applyFill="1" applyAlignment="1" applyProtection="1">
      <alignment horizontal="left"/>
    </xf>
    <xf numFmtId="37" fontId="20" fillId="0" borderId="35" xfId="0" applyFont="1" applyFill="1" applyBorder="1" applyAlignment="1">
      <alignment horizontal="center"/>
    </xf>
    <xf numFmtId="37" fontId="3" fillId="0" borderId="0" xfId="0" applyFont="1" applyFill="1" applyProtection="1">
      <protection locked="0"/>
    </xf>
    <xf numFmtId="1" fontId="0" fillId="0" borderId="0" xfId="0" quotePrefix="1" applyNumberFormat="1" applyAlignment="1" applyProtection="1">
      <alignment horizontal="left"/>
      <protection locked="0"/>
    </xf>
    <xf numFmtId="37" fontId="0" fillId="0" borderId="0" xfId="0" quotePrefix="1" applyProtection="1">
      <protection locked="0"/>
    </xf>
    <xf numFmtId="37" fontId="0" fillId="0" borderId="0" xfId="0" applyNumberFormat="1" applyFill="1" applyProtection="1"/>
    <xf numFmtId="37" fontId="8" fillId="0" borderId="0" xfId="0" applyFont="1" applyFill="1"/>
    <xf numFmtId="37" fontId="0" fillId="0" borderId="24" xfId="0" applyNumberFormat="1" applyFill="1" applyBorder="1" applyProtection="1"/>
    <xf numFmtId="37" fontId="36" fillId="0" borderId="0" xfId="0" applyFont="1" applyAlignment="1" applyProtection="1">
      <alignment horizontal="center"/>
      <protection locked="0"/>
    </xf>
    <xf numFmtId="49" fontId="0" fillId="0" borderId="0" xfId="0" applyNumberFormat="1" applyFont="1" applyFill="1" applyAlignment="1" applyProtection="1">
      <alignment horizontal="center"/>
      <protection locked="0"/>
    </xf>
    <xf numFmtId="40" fontId="0" fillId="32" borderId="0" xfId="0" applyNumberFormat="1" applyFill="1" applyAlignment="1" applyProtection="1">
      <alignment horizontal="center"/>
      <protection locked="0"/>
    </xf>
    <xf numFmtId="37" fontId="0" fillId="32" borderId="0" xfId="0" applyFill="1" applyAlignment="1" applyProtection="1">
      <alignment horizontal="center"/>
      <protection locked="0"/>
    </xf>
    <xf numFmtId="37" fontId="8" fillId="0" borderId="0" xfId="0" applyFont="1" applyAlignment="1" applyProtection="1">
      <alignment horizontal="left" wrapText="1"/>
      <protection locked="0"/>
    </xf>
    <xf numFmtId="37" fontId="8" fillId="0" borderId="0" xfId="0" applyFont="1" applyBorder="1" applyAlignment="1" applyProtection="1">
      <alignment horizontal="left" wrapText="1"/>
      <protection locked="0"/>
    </xf>
    <xf numFmtId="37" fontId="8" fillId="0" borderId="0" xfId="0" applyFont="1" applyAlignment="1" applyProtection="1">
      <alignment horizontal="left" wrapText="1"/>
    </xf>
    <xf numFmtId="37" fontId="8" fillId="0" borderId="0" xfId="0" applyFont="1" applyBorder="1" applyAlignment="1" applyProtection="1">
      <alignment horizontal="left" wrapText="1"/>
    </xf>
    <xf numFmtId="37" fontId="15" fillId="0" borderId="0" xfId="0" applyFont="1" applyAlignment="1">
      <alignment horizontal="left" vertical="top" wrapText="1"/>
    </xf>
    <xf numFmtId="37" fontId="8" fillId="0" borderId="0" xfId="0" applyFont="1" applyAlignment="1" applyProtection="1">
      <alignment wrapText="1"/>
    </xf>
    <xf numFmtId="37" fontId="8" fillId="0" borderId="0" xfId="0" applyFont="1" applyBorder="1" applyAlignment="1" applyProtection="1">
      <alignment wrapText="1"/>
    </xf>
    <xf numFmtId="37" fontId="8" fillId="0" borderId="60" xfId="0" applyFont="1" applyBorder="1" applyAlignment="1" applyProtection="1">
      <alignment wrapText="1"/>
    </xf>
    <xf numFmtId="37" fontId="3" fillId="0" borderId="0" xfId="0" applyFont="1" applyAlignment="1">
      <alignment horizontal="left" wrapText="1"/>
    </xf>
    <xf numFmtId="37" fontId="8" fillId="0" borderId="60" xfId="0" applyFont="1" applyBorder="1" applyAlignment="1" applyProtection="1">
      <alignment horizontal="left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Book1" xfId="38"/>
    <cellStyle name="Normal_Fund 22 Grants" xfId="39"/>
    <cellStyle name="Note" xfId="40" builtinId="10" customBuiltin="1"/>
    <cellStyle name="Output" xfId="41" builtinId="21" customBuiltin="1"/>
    <cellStyle name="Percent" xfId="42" builtinId="5"/>
    <cellStyle name="Title" xfId="43" builtinId="15" customBuiltin="1"/>
    <cellStyle name="Total" xfId="44" builtinId="25" customBuiltin="1"/>
    <cellStyle name="Warning Text" xfId="45" builtinId="11" customBuiltin="1"/>
  </cellStyles>
  <dxfs count="4">
    <dxf>
      <font>
        <strike/>
        <condense val="0"/>
        <extend val="0"/>
      </font>
      <fill>
        <patternFill>
          <bgColor indexed="29"/>
        </patternFill>
      </fill>
    </dxf>
    <dxf>
      <font>
        <strike/>
        <condense val="0"/>
        <extend val="0"/>
      </font>
      <fill>
        <patternFill>
          <bgColor indexed="29"/>
        </patternFill>
      </fill>
    </dxf>
    <dxf>
      <font>
        <strike/>
        <condense val="0"/>
        <extend val="0"/>
      </font>
      <fill>
        <patternFill>
          <bgColor indexed="29"/>
        </patternFill>
      </fill>
    </dxf>
    <dxf>
      <font>
        <strike/>
        <condense val="0"/>
        <extend val="0"/>
      </font>
      <fill>
        <patternFill>
          <bgColor indexed="2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FU\CDE18\FY12-13\CDE18Master12-13_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Page 1 - FY2012-13"/>
      <sheetName val="GenFundREV"/>
      <sheetName val="GenFundExp"/>
      <sheetName val="GenFundExp2"/>
      <sheetName val="CharterFundRev"/>
      <sheetName val="CharterFundExp"/>
      <sheetName val="CharterFundExp2"/>
      <sheetName val="InsResv"/>
      <sheetName val="CPP Fund"/>
      <sheetName val="Fund 20 Grants"/>
      <sheetName val="ARRAGrants"/>
      <sheetName val="CapRes"/>
      <sheetName val="Fund 22 Grants"/>
      <sheetName val="GovGrants"/>
      <sheetName val="PupActiv"/>
      <sheetName val="FullDayKOverride"/>
      <sheetName val="Transp"/>
      <sheetName val="OthSpecRev"/>
      <sheetName val="BondRedm"/>
      <sheetName val="NonVoterDebt"/>
      <sheetName val="BuildFund"/>
      <sheetName val="SpecBuild"/>
      <sheetName val="CapResCapPrj"/>
      <sheetName val="FoodServ"/>
      <sheetName val="OtherEnterprise"/>
      <sheetName val="RiskRelated"/>
      <sheetName val="OtherInternal"/>
      <sheetName val="PupilActAgency"/>
      <sheetName val="Trust&amp;Agency"/>
      <sheetName val="Foundation Fund"/>
      <sheetName val="GASB 34 Perm. Fund"/>
      <sheetName val="District Debt"/>
      <sheetName val="Arbitrage"/>
      <sheetName val="AppropRes"/>
      <sheetName val="CDE-18 Error Report"/>
      <sheetName val="Tabor Spending Limitations"/>
      <sheetName val="Tabor Property Tax Limitation"/>
      <sheetName val="Budget Summary Worksheet"/>
      <sheetName val="Budget Summaries 1"/>
      <sheetName val="Budget Summaries 2"/>
      <sheetName val="Budget Summaries 3"/>
      <sheetName val="Budget Summaries 4"/>
      <sheetName val="Budget Summaries 5"/>
      <sheetName val="Uniform Budget Summa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I6">
            <v>0</v>
          </cell>
        </row>
        <row r="8">
          <cell r="I8">
            <v>0</v>
          </cell>
        </row>
        <row r="9">
          <cell r="I9">
            <v>0</v>
          </cell>
        </row>
        <row r="10">
          <cell r="I10">
            <v>0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2">
          <cell r="I32">
            <v>0</v>
          </cell>
        </row>
        <row r="33">
          <cell r="I33">
            <v>0</v>
          </cell>
        </row>
        <row r="34">
          <cell r="I34">
            <v>0</v>
          </cell>
        </row>
        <row r="35">
          <cell r="I35">
            <v>0</v>
          </cell>
        </row>
        <row r="42">
          <cell r="I42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54">
          <cell r="D54" t="str">
            <v>Provide if required</v>
          </cell>
        </row>
      </sheetData>
      <sheetData sheetId="34">
        <row r="27">
          <cell r="G27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4"/>
  <sheetViews>
    <sheetView zoomScale="75" zoomScaleNormal="75" workbookViewId="0">
      <selection activeCell="A2" sqref="A2"/>
    </sheetView>
  </sheetViews>
  <sheetFormatPr defaultRowHeight="15.75" customHeight="1" x14ac:dyDescent="0.2"/>
  <cols>
    <col min="1" max="1" width="5.33203125" style="397" customWidth="1"/>
    <col min="2" max="2" width="142" style="397" customWidth="1"/>
    <col min="3" max="16384" width="9.33203125" style="397"/>
  </cols>
  <sheetData>
    <row r="1" spans="1:15" ht="20.25" x14ac:dyDescent="0.3">
      <c r="A1" s="730" t="s">
        <v>563</v>
      </c>
      <c r="B1" s="730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spans="1:15" ht="15.75" customHeight="1" x14ac:dyDescent="0.3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</row>
    <row r="3" spans="1:15" s="398" customFormat="1" ht="15.75" customHeight="1" x14ac:dyDescent="0.15"/>
    <row r="4" spans="1:15" ht="15.75" customHeight="1" x14ac:dyDescent="0.2">
      <c r="A4" s="399" t="s">
        <v>1159</v>
      </c>
      <c r="B4" s="397" t="s">
        <v>620</v>
      </c>
    </row>
    <row r="5" spans="1:15" ht="15.75" customHeight="1" x14ac:dyDescent="0.25">
      <c r="B5" s="400"/>
    </row>
    <row r="6" spans="1:15" ht="15.75" customHeight="1" x14ac:dyDescent="0.25">
      <c r="B6" s="401" t="s">
        <v>5</v>
      </c>
    </row>
    <row r="7" spans="1:15" ht="15.75" customHeight="1" x14ac:dyDescent="0.25">
      <c r="B7" s="400"/>
    </row>
    <row r="8" spans="1:15" ht="15.75" customHeight="1" x14ac:dyDescent="0.25">
      <c r="B8" s="400"/>
    </row>
    <row r="9" spans="1:15" ht="15.75" customHeight="1" x14ac:dyDescent="0.25">
      <c r="A9" s="399" t="s">
        <v>1160</v>
      </c>
      <c r="B9" s="402" t="s">
        <v>568</v>
      </c>
    </row>
    <row r="10" spans="1:15" ht="15.75" customHeight="1" x14ac:dyDescent="0.2">
      <c r="B10" s="403" t="s">
        <v>565</v>
      </c>
    </row>
    <row r="11" spans="1:15" ht="15.75" customHeight="1" x14ac:dyDescent="0.2">
      <c r="B11" s="403" t="s">
        <v>564</v>
      </c>
    </row>
    <row r="12" spans="1:15" ht="15.75" customHeight="1" x14ac:dyDescent="0.2">
      <c r="B12" s="403" t="s">
        <v>566</v>
      </c>
    </row>
    <row r="13" spans="1:15" ht="15.75" customHeight="1" x14ac:dyDescent="0.2">
      <c r="B13" s="403" t="s">
        <v>569</v>
      </c>
    </row>
    <row r="14" spans="1:15" ht="15.75" customHeight="1" x14ac:dyDescent="0.2">
      <c r="B14" s="403"/>
    </row>
    <row r="15" spans="1:15" ht="15.75" customHeight="1" x14ac:dyDescent="0.2">
      <c r="B15" s="403"/>
    </row>
    <row r="16" spans="1:15" ht="15.75" customHeight="1" x14ac:dyDescent="0.2">
      <c r="A16" s="399" t="s">
        <v>1161</v>
      </c>
      <c r="B16" s="404" t="s">
        <v>8</v>
      </c>
    </row>
    <row r="17" spans="1:2" ht="15.75" customHeight="1" x14ac:dyDescent="0.2">
      <c r="B17" s="404" t="s">
        <v>10</v>
      </c>
    </row>
    <row r="18" spans="1:2" ht="15.75" customHeight="1" x14ac:dyDescent="0.2">
      <c r="B18" s="403"/>
    </row>
    <row r="19" spans="1:2" ht="15.75" customHeight="1" x14ac:dyDescent="0.2">
      <c r="B19" s="403"/>
    </row>
    <row r="20" spans="1:2" ht="15.75" customHeight="1" x14ac:dyDescent="0.2">
      <c r="A20" s="399" t="s">
        <v>1228</v>
      </c>
      <c r="B20" s="404" t="s">
        <v>9</v>
      </c>
    </row>
    <row r="21" spans="1:2" ht="15.75" customHeight="1" x14ac:dyDescent="0.2">
      <c r="B21" s="404" t="s">
        <v>11</v>
      </c>
    </row>
    <row r="22" spans="1:2" ht="15.75" customHeight="1" x14ac:dyDescent="0.2">
      <c r="B22" s="404"/>
    </row>
    <row r="23" spans="1:2" ht="15.75" customHeight="1" x14ac:dyDescent="0.2">
      <c r="B23" s="404"/>
    </row>
    <row r="24" spans="1:2" ht="15.75" customHeight="1" x14ac:dyDescent="0.2">
      <c r="A24" s="399" t="s">
        <v>1229</v>
      </c>
      <c r="B24" s="404" t="s">
        <v>12</v>
      </c>
    </row>
    <row r="25" spans="1:2" ht="15.75" customHeight="1" x14ac:dyDescent="0.2">
      <c r="B25" s="404" t="s">
        <v>832</v>
      </c>
    </row>
    <row r="26" spans="1:2" ht="15.75" customHeight="1" x14ac:dyDescent="0.2">
      <c r="B26" s="404" t="s">
        <v>833</v>
      </c>
    </row>
    <row r="27" spans="1:2" ht="15.75" customHeight="1" x14ac:dyDescent="0.2">
      <c r="B27" s="404" t="s">
        <v>834</v>
      </c>
    </row>
    <row r="28" spans="1:2" ht="15.75" customHeight="1" x14ac:dyDescent="0.2">
      <c r="B28" s="404" t="s">
        <v>835</v>
      </c>
    </row>
    <row r="29" spans="1:2" ht="15.75" customHeight="1" x14ac:dyDescent="0.2">
      <c r="B29" s="404"/>
    </row>
    <row r="30" spans="1:2" ht="15.75" customHeight="1" x14ac:dyDescent="0.2">
      <c r="B30" s="404"/>
    </row>
    <row r="31" spans="1:2" ht="15.75" customHeight="1" x14ac:dyDescent="0.2">
      <c r="A31" s="399" t="s">
        <v>1230</v>
      </c>
      <c r="B31" s="404" t="s">
        <v>1648</v>
      </c>
    </row>
    <row r="32" spans="1:2" ht="15.75" customHeight="1" x14ac:dyDescent="0.2">
      <c r="B32" s="404" t="s">
        <v>1649</v>
      </c>
    </row>
    <row r="33" spans="1:6" ht="15.75" customHeight="1" x14ac:dyDescent="0.2">
      <c r="B33" s="404" t="s">
        <v>1650</v>
      </c>
    </row>
    <row r="34" spans="1:6" ht="15.75" customHeight="1" x14ac:dyDescent="0.2">
      <c r="B34" s="404"/>
    </row>
    <row r="35" spans="1:6" ht="15.75" customHeight="1" x14ac:dyDescent="0.2">
      <c r="B35" s="404"/>
    </row>
    <row r="36" spans="1:6" ht="15.75" customHeight="1" x14ac:dyDescent="0.2">
      <c r="A36" s="399" t="s">
        <v>1231</v>
      </c>
      <c r="B36" s="397" t="s">
        <v>567</v>
      </c>
      <c r="D36" s="228"/>
      <c r="E36" s="405"/>
      <c r="F36" s="405"/>
    </row>
    <row r="37" spans="1:6" ht="15.75" customHeight="1" x14ac:dyDescent="0.2">
      <c r="A37" s="399"/>
      <c r="D37" s="228"/>
      <c r="E37" s="405"/>
      <c r="F37" s="405"/>
    </row>
    <row r="38" spans="1:6" ht="15.75" customHeight="1" x14ac:dyDescent="0.2">
      <c r="A38" s="399"/>
      <c r="B38" s="397" t="s">
        <v>6</v>
      </c>
      <c r="D38" s="228"/>
      <c r="E38" s="405"/>
      <c r="F38" s="405"/>
    </row>
    <row r="39" spans="1:6" ht="15.75" customHeight="1" x14ac:dyDescent="0.2">
      <c r="A39" s="399"/>
      <c r="B39" s="397" t="s">
        <v>972</v>
      </c>
      <c r="D39" s="228"/>
      <c r="E39" s="405"/>
      <c r="F39" s="405"/>
    </row>
    <row r="40" spans="1:6" ht="15.75" customHeight="1" x14ac:dyDescent="0.2">
      <c r="A40" s="399"/>
      <c r="B40" s="397" t="s">
        <v>7</v>
      </c>
      <c r="D40" s="228"/>
      <c r="E40" s="405"/>
      <c r="F40" s="405"/>
    </row>
    <row r="41" spans="1:6" ht="15.75" customHeight="1" x14ac:dyDescent="0.2">
      <c r="A41" s="399"/>
      <c r="D41" s="228"/>
      <c r="E41" s="405"/>
      <c r="F41" s="405"/>
    </row>
    <row r="42" spans="1:6" ht="15.75" customHeight="1" x14ac:dyDescent="0.2">
      <c r="B42" s="229"/>
      <c r="C42" s="405"/>
      <c r="D42" s="228"/>
      <c r="E42" s="405"/>
      <c r="F42" s="405"/>
    </row>
    <row r="43" spans="1:6" ht="15.75" customHeight="1" x14ac:dyDescent="0.2">
      <c r="A43" s="399" t="s">
        <v>1232</v>
      </c>
      <c r="B43" s="397" t="s">
        <v>571</v>
      </c>
    </row>
    <row r="44" spans="1:6" ht="15.75" customHeight="1" x14ac:dyDescent="0.2">
      <c r="A44" s="399"/>
    </row>
    <row r="45" spans="1:6" ht="15.75" customHeight="1" x14ac:dyDescent="0.2">
      <c r="A45" s="399"/>
    </row>
    <row r="46" spans="1:6" ht="15.75" customHeight="1" x14ac:dyDescent="0.2">
      <c r="A46" s="399" t="s">
        <v>1240</v>
      </c>
      <c r="B46" s="404" t="s">
        <v>1489</v>
      </c>
    </row>
    <row r="47" spans="1:6" ht="15.75" customHeight="1" x14ac:dyDescent="0.2">
      <c r="B47" s="404" t="s">
        <v>615</v>
      </c>
    </row>
    <row r="48" spans="1:6" ht="15.75" customHeight="1" x14ac:dyDescent="0.2">
      <c r="B48" s="397" t="s">
        <v>617</v>
      </c>
    </row>
    <row r="51" spans="1:2" ht="15.75" customHeight="1" x14ac:dyDescent="0.2">
      <c r="A51" s="399" t="s">
        <v>1244</v>
      </c>
      <c r="B51" s="404" t="s">
        <v>1590</v>
      </c>
    </row>
    <row r="52" spans="1:2" ht="15.75" customHeight="1" x14ac:dyDescent="0.2">
      <c r="B52" s="397" t="s">
        <v>619</v>
      </c>
    </row>
    <row r="54" spans="1:2" ht="15.75" customHeight="1" x14ac:dyDescent="0.2">
      <c r="A54" s="397">
        <v>11</v>
      </c>
      <c r="B54" s="397" t="s">
        <v>1659</v>
      </c>
    </row>
  </sheetData>
  <sheetProtection formatCells="0" formatColumns="0" formatRows="0"/>
  <mergeCells count="1">
    <mergeCell ref="A1:B1"/>
  </mergeCells>
  <phoneticPr fontId="15" type="noConversion"/>
  <pageMargins left="0.5" right="0.25" top="0.5" bottom="0.5" header="0.5" footer="0.25"/>
  <pageSetup scale="79" orientation="portrait" horizontalDpi="300" verticalDpi="300" r:id="rId1"/>
  <headerFooter alignWithMargins="0">
    <oddFooter>&amp;LCDE, Public School Finance Unit&amp;RRevised, March,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workbookViewId="0">
      <selection activeCell="A8" sqref="A8"/>
    </sheetView>
  </sheetViews>
  <sheetFormatPr defaultRowHeight="11.25" x14ac:dyDescent="0.2"/>
  <cols>
    <col min="1" max="1" width="35.83203125" style="408" customWidth="1"/>
    <col min="2" max="2" width="45.83203125" style="408" customWidth="1"/>
    <col min="3" max="3" width="4.83203125" style="408" customWidth="1"/>
    <col min="4" max="4" width="6.83203125" style="408" customWidth="1"/>
    <col min="5" max="5" width="35.83203125" style="408" customWidth="1"/>
    <col min="6" max="6" width="45.83203125" style="408" customWidth="1"/>
    <col min="7" max="7" width="4.83203125" style="408" customWidth="1"/>
    <col min="8" max="16384" width="9.33203125" style="408"/>
  </cols>
  <sheetData>
    <row r="1" spans="1:7" ht="15.75" x14ac:dyDescent="0.25">
      <c r="A1" s="685" t="s">
        <v>1706</v>
      </c>
      <c r="B1" s="406"/>
      <c r="C1" s="406"/>
      <c r="D1" s="406"/>
      <c r="E1" s="406"/>
      <c r="F1" s="407"/>
      <c r="G1" s="407"/>
    </row>
    <row r="2" spans="1:7" ht="15.75" x14ac:dyDescent="0.25">
      <c r="A2" s="409" t="s">
        <v>1490</v>
      </c>
      <c r="B2" s="406"/>
      <c r="C2" s="406"/>
      <c r="D2" s="406"/>
      <c r="E2" s="406"/>
      <c r="F2" s="407"/>
      <c r="G2" s="407"/>
    </row>
    <row r="3" spans="1:7" ht="15.75" x14ac:dyDescent="0.25">
      <c r="A3" s="409" t="s">
        <v>1575</v>
      </c>
      <c r="B3" s="406"/>
      <c r="C3" s="406"/>
      <c r="D3" s="406"/>
      <c r="E3" s="406"/>
      <c r="F3" s="407"/>
      <c r="G3" s="407"/>
    </row>
    <row r="5" spans="1:7" ht="12.75" customHeight="1" x14ac:dyDescent="0.2">
      <c r="A5" s="410" t="s">
        <v>1491</v>
      </c>
      <c r="B5" s="230"/>
      <c r="C5" s="411"/>
      <c r="D5" s="411"/>
      <c r="E5" s="410" t="s">
        <v>1492</v>
      </c>
      <c r="F5" s="231"/>
      <c r="G5" s="227"/>
    </row>
    <row r="6" spans="1:7" ht="12.75" customHeight="1" x14ac:dyDescent="0.2">
      <c r="A6" s="410" t="s">
        <v>1493</v>
      </c>
      <c r="B6" s="411"/>
      <c r="C6" s="412"/>
      <c r="D6" s="411"/>
      <c r="F6" s="411"/>
    </row>
    <row r="7" spans="1:7" ht="12.75" customHeight="1" x14ac:dyDescent="0.2">
      <c r="A7" s="410" t="s">
        <v>1708</v>
      </c>
      <c r="B7" s="232"/>
      <c r="C7" s="644"/>
      <c r="D7" s="413"/>
      <c r="E7" s="410" t="s">
        <v>940</v>
      </c>
      <c r="F7" s="233"/>
    </row>
    <row r="8" spans="1:7" ht="12.75" customHeight="1" x14ac:dyDescent="0.2">
      <c r="A8" s="414"/>
      <c r="B8" s="411"/>
      <c r="C8" s="411"/>
      <c r="D8" s="411"/>
      <c r="E8" s="411"/>
      <c r="F8" s="411"/>
    </row>
    <row r="9" spans="1:7" ht="12.75" customHeight="1" x14ac:dyDescent="0.2">
      <c r="A9" s="407"/>
      <c r="B9" s="413"/>
      <c r="C9" s="413"/>
      <c r="D9" s="413"/>
      <c r="E9" s="413"/>
      <c r="F9" s="413"/>
      <c r="G9" s="407"/>
    </row>
    <row r="10" spans="1:7" ht="12.75" customHeight="1" x14ac:dyDescent="0.2">
      <c r="D10" s="413"/>
      <c r="E10" s="413"/>
      <c r="F10" s="413"/>
      <c r="G10" s="407"/>
    </row>
    <row r="11" spans="1:7" ht="12.75" customHeight="1" x14ac:dyDescent="0.2">
      <c r="A11" s="407" t="s">
        <v>1494</v>
      </c>
      <c r="B11" s="413"/>
      <c r="C11" s="413"/>
      <c r="D11" s="413"/>
      <c r="E11" s="413"/>
      <c r="F11" s="413"/>
      <c r="G11" s="407"/>
    </row>
    <row r="12" spans="1:7" ht="12.75" customHeight="1" x14ac:dyDescent="0.2">
      <c r="A12" s="415" t="s">
        <v>1495</v>
      </c>
      <c r="E12" s="415" t="s">
        <v>1495</v>
      </c>
    </row>
    <row r="13" spans="1:7" ht="12.75" customHeight="1" x14ac:dyDescent="0.2">
      <c r="A13" s="416" t="s">
        <v>1496</v>
      </c>
      <c r="E13" s="416" t="s">
        <v>1496</v>
      </c>
    </row>
    <row r="14" spans="1:7" ht="12.75" customHeight="1" x14ac:dyDescent="0.2">
      <c r="A14" s="410" t="s">
        <v>1608</v>
      </c>
      <c r="E14" s="415" t="s">
        <v>1609</v>
      </c>
    </row>
    <row r="15" spans="1:7" ht="12.75" customHeight="1" x14ac:dyDescent="0.2">
      <c r="A15" s="410" t="s">
        <v>1610</v>
      </c>
      <c r="E15" s="410" t="s">
        <v>1042</v>
      </c>
      <c r="F15" s="413"/>
    </row>
    <row r="16" spans="1:7" ht="12.75" customHeight="1" x14ac:dyDescent="0.2">
      <c r="A16" s="410" t="s">
        <v>1646</v>
      </c>
      <c r="E16" s="410" t="s">
        <v>1349</v>
      </c>
      <c r="F16" s="413"/>
    </row>
    <row r="17" spans="1:5" ht="12.75" customHeight="1" x14ac:dyDescent="0.2">
      <c r="A17" s="410" t="s">
        <v>1647</v>
      </c>
      <c r="E17" s="410" t="s">
        <v>1041</v>
      </c>
    </row>
    <row r="18" spans="1:5" ht="12.75" customHeight="1" x14ac:dyDescent="0.2">
      <c r="A18" s="417" t="s">
        <v>108</v>
      </c>
      <c r="E18" s="415" t="s">
        <v>955</v>
      </c>
    </row>
    <row r="19" spans="1:5" ht="12.75" customHeight="1" x14ac:dyDescent="0.2">
      <c r="A19" s="410" t="s">
        <v>1348</v>
      </c>
      <c r="E19" s="410" t="s">
        <v>1614</v>
      </c>
    </row>
    <row r="20" spans="1:5" ht="12.75" customHeight="1" x14ac:dyDescent="0.2">
      <c r="A20" s="415" t="s">
        <v>1611</v>
      </c>
      <c r="E20" s="410" t="s">
        <v>1615</v>
      </c>
    </row>
    <row r="21" spans="1:5" ht="12.75" hidden="1" customHeight="1" x14ac:dyDescent="0.2">
      <c r="A21" s="410" t="s">
        <v>973</v>
      </c>
    </row>
    <row r="22" spans="1:5" ht="12.75" customHeight="1" x14ac:dyDescent="0.2">
      <c r="A22" s="417" t="s">
        <v>974</v>
      </c>
      <c r="E22" s="410" t="s">
        <v>958</v>
      </c>
    </row>
    <row r="23" spans="1:5" ht="12.75" customHeight="1" x14ac:dyDescent="0.2">
      <c r="A23" s="410" t="s">
        <v>2</v>
      </c>
      <c r="E23" s="410" t="s">
        <v>1043</v>
      </c>
    </row>
    <row r="24" spans="1:5" ht="12.75" customHeight="1" x14ac:dyDescent="0.2">
      <c r="A24" s="410" t="s">
        <v>1613</v>
      </c>
      <c r="E24" s="410" t="s">
        <v>1044</v>
      </c>
    </row>
    <row r="25" spans="1:5" ht="12.75" customHeight="1" x14ac:dyDescent="0.2">
      <c r="A25" s="417" t="s">
        <v>347</v>
      </c>
      <c r="E25" s="410"/>
    </row>
    <row r="26" spans="1:5" ht="12.75" customHeight="1" x14ac:dyDescent="0.2">
      <c r="A26" s="417" t="s">
        <v>3</v>
      </c>
      <c r="E26" s="410"/>
    </row>
    <row r="27" spans="1:5" ht="12.75" customHeight="1" x14ac:dyDescent="0.2">
      <c r="A27" s="417" t="s">
        <v>4</v>
      </c>
      <c r="E27" s="410"/>
    </row>
    <row r="28" spans="1:5" ht="12.75" customHeight="1" x14ac:dyDescent="0.2">
      <c r="A28" s="415" t="s">
        <v>1529</v>
      </c>
      <c r="E28" s="415" t="s">
        <v>941</v>
      </c>
    </row>
    <row r="29" spans="1:5" ht="12.75" customHeight="1" x14ac:dyDescent="0.2">
      <c r="A29" s="417" t="s">
        <v>1531</v>
      </c>
      <c r="E29" s="410" t="s">
        <v>1530</v>
      </c>
    </row>
    <row r="30" spans="1:5" ht="12.75" customHeight="1" x14ac:dyDescent="0.2">
      <c r="A30" s="417" t="s">
        <v>1682</v>
      </c>
      <c r="E30" s="410" t="s">
        <v>1530</v>
      </c>
    </row>
    <row r="31" spans="1:5" ht="12.75" customHeight="1" x14ac:dyDescent="0.2">
      <c r="A31" s="415" t="s">
        <v>850</v>
      </c>
      <c r="E31" s="410" t="s">
        <v>849</v>
      </c>
    </row>
    <row r="32" spans="1:5" ht="12.75" customHeight="1" x14ac:dyDescent="0.2">
      <c r="A32" s="417" t="s">
        <v>56</v>
      </c>
      <c r="E32" s="410" t="s">
        <v>55</v>
      </c>
    </row>
    <row r="33" spans="1:6" ht="12.75" customHeight="1" x14ac:dyDescent="0.2">
      <c r="A33" s="417" t="s">
        <v>57</v>
      </c>
      <c r="E33" s="410" t="s">
        <v>942</v>
      </c>
    </row>
    <row r="34" spans="1:6" ht="12.75" customHeight="1" x14ac:dyDescent="0.2">
      <c r="A34" s="410" t="s">
        <v>58</v>
      </c>
      <c r="E34" s="408" t="s">
        <v>1039</v>
      </c>
    </row>
    <row r="35" spans="1:6" ht="12.75" customHeight="1" x14ac:dyDescent="0.2">
      <c r="A35" s="415" t="s">
        <v>60</v>
      </c>
      <c r="E35" s="408" t="s">
        <v>1045</v>
      </c>
    </row>
    <row r="36" spans="1:6" ht="12.75" customHeight="1" x14ac:dyDescent="0.2">
      <c r="A36" s="417" t="s">
        <v>61</v>
      </c>
      <c r="B36" s="413"/>
      <c r="E36" s="415" t="s">
        <v>59</v>
      </c>
    </row>
    <row r="37" spans="1:6" ht="12.75" customHeight="1" x14ac:dyDescent="0.2">
      <c r="A37" s="417" t="s">
        <v>1040</v>
      </c>
      <c r="E37" s="410" t="s">
        <v>62</v>
      </c>
    </row>
    <row r="38" spans="1:6" ht="12.75" customHeight="1" x14ac:dyDescent="0.2">
      <c r="A38" s="411"/>
      <c r="B38" s="411"/>
      <c r="C38" s="411"/>
      <c r="D38" s="411"/>
    </row>
    <row r="39" spans="1:6" ht="12.75" customHeight="1" x14ac:dyDescent="0.2">
      <c r="A39" s="410" t="s">
        <v>63</v>
      </c>
      <c r="B39" s="411"/>
      <c r="C39" s="411"/>
      <c r="D39" s="411"/>
    </row>
    <row r="40" spans="1:6" ht="12.75" customHeight="1" x14ac:dyDescent="0.2">
      <c r="A40" s="411"/>
      <c r="B40" s="411"/>
      <c r="C40" s="411"/>
      <c r="D40" s="411"/>
    </row>
    <row r="41" spans="1:6" ht="12.75" customHeight="1" x14ac:dyDescent="0.2">
      <c r="A41" s="410" t="s">
        <v>64</v>
      </c>
      <c r="B41" s="234"/>
      <c r="E41" s="410" t="s">
        <v>65</v>
      </c>
      <c r="F41" s="234"/>
    </row>
    <row r="42" spans="1:6" ht="12.75" customHeight="1" x14ac:dyDescent="0.2"/>
    <row r="43" spans="1:6" ht="12.75" customHeight="1" x14ac:dyDescent="0.2">
      <c r="A43" s="410" t="s">
        <v>66</v>
      </c>
      <c r="B43" s="234"/>
      <c r="C43" s="407"/>
      <c r="D43" s="407"/>
      <c r="E43" s="410" t="s">
        <v>1585</v>
      </c>
      <c r="F43" s="234"/>
    </row>
    <row r="45" spans="1:6" ht="12.75" x14ac:dyDescent="0.2">
      <c r="A45" s="410" t="s">
        <v>618</v>
      </c>
      <c r="B45" s="302"/>
      <c r="C45" s="418"/>
      <c r="D45" s="418"/>
      <c r="E45" s="419"/>
      <c r="F45" s="420"/>
    </row>
    <row r="46" spans="1:6" ht="12.75" x14ac:dyDescent="0.2">
      <c r="A46" s="418"/>
      <c r="B46" s="421"/>
      <c r="C46" s="418"/>
      <c r="D46" s="418"/>
      <c r="E46" s="419"/>
      <c r="F46" s="420"/>
    </row>
    <row r="47" spans="1:6" ht="12.75" x14ac:dyDescent="0.2">
      <c r="A47" s="418"/>
      <c r="B47" s="421"/>
      <c r="C47" s="418"/>
      <c r="D47" s="418"/>
      <c r="E47" s="419"/>
      <c r="F47" s="420"/>
    </row>
    <row r="48" spans="1:6" ht="12.75" x14ac:dyDescent="0.2">
      <c r="A48" s="418"/>
      <c r="B48" s="421"/>
      <c r="C48" s="418"/>
      <c r="D48" s="418"/>
      <c r="E48" s="419"/>
      <c r="F48" s="422"/>
    </row>
    <row r="50" spans="1:2" ht="12.75" x14ac:dyDescent="0.2">
      <c r="A50" s="421"/>
      <c r="B50" s="418"/>
    </row>
    <row r="51" spans="1:2" ht="12.75" x14ac:dyDescent="0.2">
      <c r="A51" s="421"/>
      <c r="B51" s="418"/>
    </row>
  </sheetData>
  <sheetProtection formatCells="0" formatColumns="0" formatRows="0"/>
  <phoneticPr fontId="15" type="noConversion"/>
  <pageMargins left="0.75" right="0.75" top="1" bottom="1" header="0.5" footer="0.5"/>
  <pageSetup scale="74" orientation="landscape" horizontalDpi="300" verticalDpi="300" r:id="rId1"/>
  <headerFooter alignWithMargins="0">
    <oddFooter>&amp;LCDE, Public Scool Finance Unit&amp;C&amp;P&amp;RRevised  March, 2009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B1:N48"/>
  <sheetViews>
    <sheetView zoomScaleNormal="100" workbookViewId="0">
      <selection activeCell="D15" sqref="D15"/>
    </sheetView>
  </sheetViews>
  <sheetFormatPr defaultColWidth="10.6640625" defaultRowHeight="12.75" x14ac:dyDescent="0.2"/>
  <cols>
    <col min="1" max="1" width="9.33203125" style="426" customWidth="1"/>
    <col min="2" max="2" width="6.83203125" style="426" customWidth="1"/>
    <col min="3" max="3" width="12.6640625" style="426" customWidth="1"/>
    <col min="4" max="16384" width="10.6640625" style="426"/>
  </cols>
  <sheetData>
    <row r="1" spans="2:14" x14ac:dyDescent="0.2">
      <c r="B1" s="423" t="s">
        <v>106</v>
      </c>
      <c r="C1" s="424"/>
      <c r="D1" s="425">
        <f>+'Page 1 - FY2013-14'!B5</f>
        <v>0</v>
      </c>
      <c r="G1" s="427"/>
      <c r="H1" s="427"/>
      <c r="I1" s="427"/>
      <c r="J1" s="138" t="s">
        <v>1586</v>
      </c>
      <c r="K1" s="428">
        <f>+'Page 1 - FY2013-14'!F7</f>
        <v>0</v>
      </c>
      <c r="L1" s="427"/>
      <c r="M1" s="427"/>
    </row>
    <row r="2" spans="2:14" x14ac:dyDescent="0.2">
      <c r="B2" s="429" t="s">
        <v>106</v>
      </c>
      <c r="C2" s="429"/>
      <c r="D2" s="429"/>
      <c r="E2" s="427"/>
      <c r="F2" s="427"/>
      <c r="G2" s="427"/>
      <c r="H2" s="427"/>
      <c r="I2" s="427"/>
      <c r="J2" s="427"/>
      <c r="K2" s="427"/>
      <c r="L2" s="427"/>
      <c r="M2" s="427"/>
    </row>
    <row r="3" spans="2:14" x14ac:dyDescent="0.2">
      <c r="B3" s="429" t="s">
        <v>1387</v>
      </c>
      <c r="C3" s="429"/>
      <c r="D3" s="429"/>
      <c r="E3" s="427"/>
      <c r="F3" s="427"/>
      <c r="G3" s="427"/>
      <c r="H3" s="427"/>
      <c r="I3" s="427"/>
      <c r="J3" s="427"/>
      <c r="K3" s="427"/>
      <c r="L3" s="427"/>
      <c r="M3" s="427"/>
    </row>
    <row r="4" spans="2:14" x14ac:dyDescent="0.2">
      <c r="B4" s="715" t="s">
        <v>1705</v>
      </c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</row>
    <row r="5" spans="2:14" x14ac:dyDescent="0.2">
      <c r="B5" s="430" t="s">
        <v>1429</v>
      </c>
    </row>
    <row r="6" spans="2:14" x14ac:dyDescent="0.2">
      <c r="B6" s="430" t="s">
        <v>1430</v>
      </c>
    </row>
    <row r="7" spans="2:14" x14ac:dyDescent="0.2">
      <c r="B7" s="430" t="s">
        <v>1431</v>
      </c>
    </row>
    <row r="8" spans="2:14" x14ac:dyDescent="0.2">
      <c r="B8" s="430" t="s">
        <v>1445</v>
      </c>
    </row>
    <row r="9" spans="2:14" x14ac:dyDescent="0.2">
      <c r="B9" s="430" t="s">
        <v>1446</v>
      </c>
    </row>
    <row r="11" spans="2:14" x14ac:dyDescent="0.2">
      <c r="B11" s="431" t="s">
        <v>1368</v>
      </c>
      <c r="C11" s="431" t="s">
        <v>1369</v>
      </c>
      <c r="D11" s="432">
        <v>0</v>
      </c>
    </row>
    <row r="12" spans="2:14" x14ac:dyDescent="0.2">
      <c r="B12" s="431" t="s">
        <v>1370</v>
      </c>
      <c r="C12" s="431" t="s">
        <v>1371</v>
      </c>
      <c r="D12" s="432">
        <v>0</v>
      </c>
      <c r="F12" s="637" t="s">
        <v>1485</v>
      </c>
    </row>
    <row r="13" spans="2:14" x14ac:dyDescent="0.2">
      <c r="B13" s="431" t="s">
        <v>1372</v>
      </c>
      <c r="C13" s="431" t="s">
        <v>1373</v>
      </c>
      <c r="D13" s="432">
        <v>0</v>
      </c>
    </row>
    <row r="14" spans="2:14" ht="13.5" thickBot="1" x14ac:dyDescent="0.25">
      <c r="B14" s="431" t="s">
        <v>1374</v>
      </c>
      <c r="C14" s="431" t="s">
        <v>1375</v>
      </c>
      <c r="D14" s="432">
        <v>0</v>
      </c>
    </row>
    <row r="15" spans="2:14" ht="13.5" thickTop="1" x14ac:dyDescent="0.2">
      <c r="B15" s="625"/>
      <c r="C15" s="626">
        <v>1</v>
      </c>
      <c r="D15" s="627">
        <v>2</v>
      </c>
      <c r="E15" s="626">
        <v>3</v>
      </c>
      <c r="F15" s="626">
        <v>4</v>
      </c>
      <c r="G15" s="626">
        <v>5</v>
      </c>
      <c r="H15" s="626">
        <v>6</v>
      </c>
      <c r="I15" s="626">
        <v>7</v>
      </c>
      <c r="J15" s="626">
        <v>8</v>
      </c>
      <c r="K15" s="626">
        <v>9</v>
      </c>
      <c r="L15" s="626">
        <v>10</v>
      </c>
      <c r="M15" s="626">
        <v>11</v>
      </c>
      <c r="N15" s="628">
        <v>12</v>
      </c>
    </row>
    <row r="16" spans="2:14" x14ac:dyDescent="0.2">
      <c r="B16" s="629"/>
      <c r="C16" s="630" t="s">
        <v>1376</v>
      </c>
      <c r="D16" s="630" t="s">
        <v>1377</v>
      </c>
      <c r="E16" s="630" t="s">
        <v>1378</v>
      </c>
      <c r="F16" s="630" t="s">
        <v>1379</v>
      </c>
      <c r="G16" s="630" t="s">
        <v>1380</v>
      </c>
      <c r="H16" s="630" t="s">
        <v>1381</v>
      </c>
      <c r="I16" s="630" t="s">
        <v>1382</v>
      </c>
      <c r="J16" s="630" t="s">
        <v>1383</v>
      </c>
      <c r="K16" s="630" t="s">
        <v>1384</v>
      </c>
      <c r="L16" s="630" t="s">
        <v>1385</v>
      </c>
      <c r="M16" s="630" t="s">
        <v>1386</v>
      </c>
      <c r="N16" s="631" t="s">
        <v>885</v>
      </c>
    </row>
    <row r="17" spans="2:14" x14ac:dyDescent="0.2">
      <c r="B17" s="629">
        <v>0</v>
      </c>
      <c r="C17" s="632">
        <f>+$D$11</f>
        <v>0</v>
      </c>
      <c r="D17" s="632">
        <f t="shared" ref="D17:M17" si="0">+C17+$D$13</f>
        <v>0</v>
      </c>
      <c r="E17" s="632">
        <f t="shared" si="0"/>
        <v>0</v>
      </c>
      <c r="F17" s="632">
        <f t="shared" si="0"/>
        <v>0</v>
      </c>
      <c r="G17" s="632">
        <f t="shared" si="0"/>
        <v>0</v>
      </c>
      <c r="H17" s="632">
        <f t="shared" si="0"/>
        <v>0</v>
      </c>
      <c r="I17" s="632">
        <f t="shared" si="0"/>
        <v>0</v>
      </c>
      <c r="J17" s="632">
        <f t="shared" si="0"/>
        <v>0</v>
      </c>
      <c r="K17" s="632">
        <f t="shared" si="0"/>
        <v>0</v>
      </c>
      <c r="L17" s="632">
        <f t="shared" si="0"/>
        <v>0</v>
      </c>
      <c r="M17" s="632">
        <f t="shared" si="0"/>
        <v>0</v>
      </c>
      <c r="N17" s="633">
        <f>+M17+$D$13</f>
        <v>0</v>
      </c>
    </row>
    <row r="18" spans="2:14" x14ac:dyDescent="0.2">
      <c r="B18" s="629">
        <v>1</v>
      </c>
      <c r="C18" s="632">
        <f t="shared" ref="C18:C47" si="1">+C17+$D$12</f>
        <v>0</v>
      </c>
      <c r="D18" s="632">
        <f t="shared" ref="D18:D26" si="2">+D17+$D$12</f>
        <v>0</v>
      </c>
      <c r="E18" s="632">
        <f t="shared" ref="E18:E26" si="3">+E17+$D$12</f>
        <v>0</v>
      </c>
      <c r="F18" s="632">
        <f t="shared" ref="F18:F26" si="4">+F17+$D$12</f>
        <v>0</v>
      </c>
      <c r="G18" s="632">
        <f t="shared" ref="G18:G26" si="5">+G17+$D$12</f>
        <v>0</v>
      </c>
      <c r="H18" s="632">
        <f t="shared" ref="H18:H42" si="6">+H17+$D$14</f>
        <v>0</v>
      </c>
      <c r="I18" s="632">
        <f t="shared" ref="I18:I42" si="7">+I17+$D$14</f>
        <v>0</v>
      </c>
      <c r="J18" s="632">
        <f t="shared" ref="J18:J42" si="8">+J17+$D$14</f>
        <v>0</v>
      </c>
      <c r="K18" s="632">
        <f t="shared" ref="K18:K42" si="9">+K17+$D$14</f>
        <v>0</v>
      </c>
      <c r="L18" s="632">
        <f t="shared" ref="L18:L42" si="10">+L17+$D$14</f>
        <v>0</v>
      </c>
      <c r="M18" s="632">
        <f t="shared" ref="M18:N42" si="11">+M17+$D$14</f>
        <v>0</v>
      </c>
      <c r="N18" s="633">
        <f t="shared" si="11"/>
        <v>0</v>
      </c>
    </row>
    <row r="19" spans="2:14" x14ac:dyDescent="0.2">
      <c r="B19" s="629">
        <v>2</v>
      </c>
      <c r="C19" s="632">
        <f t="shared" si="1"/>
        <v>0</v>
      </c>
      <c r="D19" s="632">
        <f t="shared" si="2"/>
        <v>0</v>
      </c>
      <c r="E19" s="632">
        <f t="shared" si="3"/>
        <v>0</v>
      </c>
      <c r="F19" s="632">
        <f t="shared" si="4"/>
        <v>0</v>
      </c>
      <c r="G19" s="632">
        <f t="shared" si="5"/>
        <v>0</v>
      </c>
      <c r="H19" s="632">
        <f t="shared" si="6"/>
        <v>0</v>
      </c>
      <c r="I19" s="632">
        <f t="shared" si="7"/>
        <v>0</v>
      </c>
      <c r="J19" s="632">
        <f t="shared" si="8"/>
        <v>0</v>
      </c>
      <c r="K19" s="632">
        <f t="shared" si="9"/>
        <v>0</v>
      </c>
      <c r="L19" s="632">
        <f t="shared" si="10"/>
        <v>0</v>
      </c>
      <c r="M19" s="632">
        <f t="shared" si="11"/>
        <v>0</v>
      </c>
      <c r="N19" s="633">
        <f t="shared" si="11"/>
        <v>0</v>
      </c>
    </row>
    <row r="20" spans="2:14" x14ac:dyDescent="0.2">
      <c r="B20" s="629">
        <v>3</v>
      </c>
      <c r="C20" s="632">
        <f t="shared" si="1"/>
        <v>0</v>
      </c>
      <c r="D20" s="632">
        <f t="shared" si="2"/>
        <v>0</v>
      </c>
      <c r="E20" s="632">
        <f t="shared" si="3"/>
        <v>0</v>
      </c>
      <c r="F20" s="632">
        <f t="shared" si="4"/>
        <v>0</v>
      </c>
      <c r="G20" s="632">
        <f t="shared" si="5"/>
        <v>0</v>
      </c>
      <c r="H20" s="632">
        <f t="shared" si="6"/>
        <v>0</v>
      </c>
      <c r="I20" s="632">
        <f t="shared" si="7"/>
        <v>0</v>
      </c>
      <c r="J20" s="632">
        <f t="shared" si="8"/>
        <v>0</v>
      </c>
      <c r="K20" s="632">
        <f t="shared" si="9"/>
        <v>0</v>
      </c>
      <c r="L20" s="632">
        <f t="shared" si="10"/>
        <v>0</v>
      </c>
      <c r="M20" s="632">
        <f t="shared" si="11"/>
        <v>0</v>
      </c>
      <c r="N20" s="633">
        <f t="shared" si="11"/>
        <v>0</v>
      </c>
    </row>
    <row r="21" spans="2:14" x14ac:dyDescent="0.2">
      <c r="B21" s="629">
        <v>4</v>
      </c>
      <c r="C21" s="632">
        <f t="shared" si="1"/>
        <v>0</v>
      </c>
      <c r="D21" s="632">
        <f t="shared" si="2"/>
        <v>0</v>
      </c>
      <c r="E21" s="632">
        <f t="shared" si="3"/>
        <v>0</v>
      </c>
      <c r="F21" s="632">
        <f t="shared" si="4"/>
        <v>0</v>
      </c>
      <c r="G21" s="632">
        <f t="shared" si="5"/>
        <v>0</v>
      </c>
      <c r="H21" s="632">
        <f t="shared" si="6"/>
        <v>0</v>
      </c>
      <c r="I21" s="632">
        <f t="shared" si="7"/>
        <v>0</v>
      </c>
      <c r="J21" s="632">
        <f t="shared" si="8"/>
        <v>0</v>
      </c>
      <c r="K21" s="632">
        <f t="shared" si="9"/>
        <v>0</v>
      </c>
      <c r="L21" s="632">
        <f t="shared" si="10"/>
        <v>0</v>
      </c>
      <c r="M21" s="632">
        <f t="shared" si="11"/>
        <v>0</v>
      </c>
      <c r="N21" s="633">
        <f t="shared" si="11"/>
        <v>0</v>
      </c>
    </row>
    <row r="22" spans="2:14" x14ac:dyDescent="0.2">
      <c r="B22" s="629">
        <v>5</v>
      </c>
      <c r="C22" s="632">
        <f t="shared" si="1"/>
        <v>0</v>
      </c>
      <c r="D22" s="632">
        <f t="shared" si="2"/>
        <v>0</v>
      </c>
      <c r="E22" s="632">
        <f t="shared" si="3"/>
        <v>0</v>
      </c>
      <c r="F22" s="632">
        <f t="shared" si="4"/>
        <v>0</v>
      </c>
      <c r="G22" s="632">
        <f t="shared" si="5"/>
        <v>0</v>
      </c>
      <c r="H22" s="632">
        <f t="shared" si="6"/>
        <v>0</v>
      </c>
      <c r="I22" s="632">
        <f t="shared" si="7"/>
        <v>0</v>
      </c>
      <c r="J22" s="632">
        <f t="shared" si="8"/>
        <v>0</v>
      </c>
      <c r="K22" s="632">
        <f t="shared" si="9"/>
        <v>0</v>
      </c>
      <c r="L22" s="632">
        <f t="shared" si="10"/>
        <v>0</v>
      </c>
      <c r="M22" s="632">
        <f t="shared" si="11"/>
        <v>0</v>
      </c>
      <c r="N22" s="633">
        <f t="shared" si="11"/>
        <v>0</v>
      </c>
    </row>
    <row r="23" spans="2:14" x14ac:dyDescent="0.2">
      <c r="B23" s="629">
        <v>6</v>
      </c>
      <c r="C23" s="632">
        <f t="shared" si="1"/>
        <v>0</v>
      </c>
      <c r="D23" s="632">
        <f t="shared" si="2"/>
        <v>0</v>
      </c>
      <c r="E23" s="632">
        <f t="shared" si="3"/>
        <v>0</v>
      </c>
      <c r="F23" s="632">
        <f t="shared" si="4"/>
        <v>0</v>
      </c>
      <c r="G23" s="632">
        <f t="shared" si="5"/>
        <v>0</v>
      </c>
      <c r="H23" s="632">
        <f t="shared" si="6"/>
        <v>0</v>
      </c>
      <c r="I23" s="632">
        <f t="shared" si="7"/>
        <v>0</v>
      </c>
      <c r="J23" s="632">
        <f t="shared" si="8"/>
        <v>0</v>
      </c>
      <c r="K23" s="632">
        <f t="shared" si="9"/>
        <v>0</v>
      </c>
      <c r="L23" s="632">
        <f t="shared" si="10"/>
        <v>0</v>
      </c>
      <c r="M23" s="632">
        <f t="shared" si="11"/>
        <v>0</v>
      </c>
      <c r="N23" s="633">
        <f t="shared" si="11"/>
        <v>0</v>
      </c>
    </row>
    <row r="24" spans="2:14" x14ac:dyDescent="0.2">
      <c r="B24" s="629">
        <v>7</v>
      </c>
      <c r="C24" s="632">
        <f t="shared" si="1"/>
        <v>0</v>
      </c>
      <c r="D24" s="632">
        <f t="shared" si="2"/>
        <v>0</v>
      </c>
      <c r="E24" s="632">
        <f t="shared" si="3"/>
        <v>0</v>
      </c>
      <c r="F24" s="632">
        <f t="shared" si="4"/>
        <v>0</v>
      </c>
      <c r="G24" s="632">
        <f t="shared" si="5"/>
        <v>0</v>
      </c>
      <c r="H24" s="632">
        <f t="shared" si="6"/>
        <v>0</v>
      </c>
      <c r="I24" s="632">
        <f t="shared" si="7"/>
        <v>0</v>
      </c>
      <c r="J24" s="632">
        <f t="shared" si="8"/>
        <v>0</v>
      </c>
      <c r="K24" s="632">
        <f t="shared" si="9"/>
        <v>0</v>
      </c>
      <c r="L24" s="632">
        <f t="shared" si="10"/>
        <v>0</v>
      </c>
      <c r="M24" s="632">
        <f t="shared" si="11"/>
        <v>0</v>
      </c>
      <c r="N24" s="633">
        <f t="shared" si="11"/>
        <v>0</v>
      </c>
    </row>
    <row r="25" spans="2:14" x14ac:dyDescent="0.2">
      <c r="B25" s="629">
        <v>8</v>
      </c>
      <c r="C25" s="632">
        <f t="shared" si="1"/>
        <v>0</v>
      </c>
      <c r="D25" s="632">
        <f t="shared" si="2"/>
        <v>0</v>
      </c>
      <c r="E25" s="632">
        <f t="shared" si="3"/>
        <v>0</v>
      </c>
      <c r="F25" s="632">
        <f t="shared" si="4"/>
        <v>0</v>
      </c>
      <c r="G25" s="632">
        <f t="shared" si="5"/>
        <v>0</v>
      </c>
      <c r="H25" s="632">
        <f t="shared" si="6"/>
        <v>0</v>
      </c>
      <c r="I25" s="632">
        <f t="shared" si="7"/>
        <v>0</v>
      </c>
      <c r="J25" s="632">
        <f t="shared" si="8"/>
        <v>0</v>
      </c>
      <c r="K25" s="632">
        <f t="shared" si="9"/>
        <v>0</v>
      </c>
      <c r="L25" s="632">
        <f t="shared" si="10"/>
        <v>0</v>
      </c>
      <c r="M25" s="632">
        <f t="shared" si="11"/>
        <v>0</v>
      </c>
      <c r="N25" s="633">
        <f t="shared" si="11"/>
        <v>0</v>
      </c>
    </row>
    <row r="26" spans="2:14" x14ac:dyDescent="0.2">
      <c r="B26" s="629">
        <v>9</v>
      </c>
      <c r="C26" s="632">
        <f t="shared" si="1"/>
        <v>0</v>
      </c>
      <c r="D26" s="632">
        <f t="shared" si="2"/>
        <v>0</v>
      </c>
      <c r="E26" s="632">
        <f t="shared" si="3"/>
        <v>0</v>
      </c>
      <c r="F26" s="632">
        <f t="shared" si="4"/>
        <v>0</v>
      </c>
      <c r="G26" s="632">
        <f t="shared" si="5"/>
        <v>0</v>
      </c>
      <c r="H26" s="632">
        <f t="shared" si="6"/>
        <v>0</v>
      </c>
      <c r="I26" s="632">
        <f t="shared" si="7"/>
        <v>0</v>
      </c>
      <c r="J26" s="632">
        <f t="shared" si="8"/>
        <v>0</v>
      </c>
      <c r="K26" s="632">
        <f t="shared" si="9"/>
        <v>0</v>
      </c>
      <c r="L26" s="632">
        <f t="shared" si="10"/>
        <v>0</v>
      </c>
      <c r="M26" s="632">
        <f t="shared" si="11"/>
        <v>0</v>
      </c>
      <c r="N26" s="633">
        <f t="shared" si="11"/>
        <v>0</v>
      </c>
    </row>
    <row r="27" spans="2:14" x14ac:dyDescent="0.2">
      <c r="B27" s="629">
        <v>10</v>
      </c>
      <c r="C27" s="632">
        <f t="shared" si="1"/>
        <v>0</v>
      </c>
      <c r="D27" s="632">
        <f t="shared" ref="D27:G28" si="12">+D26+$D$12</f>
        <v>0</v>
      </c>
      <c r="E27" s="632">
        <f t="shared" si="12"/>
        <v>0</v>
      </c>
      <c r="F27" s="632">
        <f t="shared" si="12"/>
        <v>0</v>
      </c>
      <c r="G27" s="632">
        <f t="shared" si="12"/>
        <v>0</v>
      </c>
      <c r="H27" s="632">
        <f t="shared" si="6"/>
        <v>0</v>
      </c>
      <c r="I27" s="632">
        <f t="shared" si="7"/>
        <v>0</v>
      </c>
      <c r="J27" s="632">
        <f t="shared" si="8"/>
        <v>0</v>
      </c>
      <c r="K27" s="632">
        <f t="shared" si="9"/>
        <v>0</v>
      </c>
      <c r="L27" s="632">
        <f t="shared" si="10"/>
        <v>0</v>
      </c>
      <c r="M27" s="632">
        <f t="shared" si="11"/>
        <v>0</v>
      </c>
      <c r="N27" s="633">
        <f t="shared" si="11"/>
        <v>0</v>
      </c>
    </row>
    <row r="28" spans="2:14" x14ac:dyDescent="0.2">
      <c r="B28" s="629">
        <v>11</v>
      </c>
      <c r="C28" s="632">
        <f t="shared" si="1"/>
        <v>0</v>
      </c>
      <c r="D28" s="632">
        <f t="shared" si="12"/>
        <v>0</v>
      </c>
      <c r="E28" s="632">
        <f t="shared" si="12"/>
        <v>0</v>
      </c>
      <c r="F28" s="632">
        <f t="shared" si="12"/>
        <v>0</v>
      </c>
      <c r="G28" s="632">
        <f t="shared" si="12"/>
        <v>0</v>
      </c>
      <c r="H28" s="632">
        <f t="shared" si="6"/>
        <v>0</v>
      </c>
      <c r="I28" s="632">
        <f t="shared" si="7"/>
        <v>0</v>
      </c>
      <c r="J28" s="632">
        <f t="shared" si="8"/>
        <v>0</v>
      </c>
      <c r="K28" s="632">
        <f t="shared" si="9"/>
        <v>0</v>
      </c>
      <c r="L28" s="632">
        <f t="shared" si="10"/>
        <v>0</v>
      </c>
      <c r="M28" s="632">
        <f t="shared" si="11"/>
        <v>0</v>
      </c>
      <c r="N28" s="633">
        <f t="shared" si="11"/>
        <v>0</v>
      </c>
    </row>
    <row r="29" spans="2:14" x14ac:dyDescent="0.2">
      <c r="B29" s="629">
        <v>12</v>
      </c>
      <c r="C29" s="632">
        <f t="shared" si="1"/>
        <v>0</v>
      </c>
      <c r="D29" s="632">
        <f t="shared" ref="D29:D47" si="13">+D28+$D$12</f>
        <v>0</v>
      </c>
      <c r="E29" s="632">
        <f t="shared" ref="E29:G44" si="14">+E28+$D$12</f>
        <v>0</v>
      </c>
      <c r="F29" s="632">
        <f t="shared" si="14"/>
        <v>0</v>
      </c>
      <c r="G29" s="632">
        <f t="shared" si="14"/>
        <v>0</v>
      </c>
      <c r="H29" s="632">
        <f t="shared" si="6"/>
        <v>0</v>
      </c>
      <c r="I29" s="632">
        <f t="shared" si="7"/>
        <v>0</v>
      </c>
      <c r="J29" s="632">
        <f t="shared" si="8"/>
        <v>0</v>
      </c>
      <c r="K29" s="632">
        <f t="shared" si="9"/>
        <v>0</v>
      </c>
      <c r="L29" s="632">
        <f t="shared" si="10"/>
        <v>0</v>
      </c>
      <c r="M29" s="632">
        <f t="shared" si="11"/>
        <v>0</v>
      </c>
      <c r="N29" s="633">
        <f t="shared" si="11"/>
        <v>0</v>
      </c>
    </row>
    <row r="30" spans="2:14" x14ac:dyDescent="0.2">
      <c r="B30" s="629">
        <v>13</v>
      </c>
      <c r="C30" s="632">
        <f t="shared" si="1"/>
        <v>0</v>
      </c>
      <c r="D30" s="632">
        <f t="shared" si="13"/>
        <v>0</v>
      </c>
      <c r="E30" s="632">
        <f t="shared" si="14"/>
        <v>0</v>
      </c>
      <c r="F30" s="632">
        <f t="shared" si="14"/>
        <v>0</v>
      </c>
      <c r="G30" s="632">
        <f t="shared" si="14"/>
        <v>0</v>
      </c>
      <c r="H30" s="632">
        <f t="shared" si="6"/>
        <v>0</v>
      </c>
      <c r="I30" s="632">
        <f t="shared" si="7"/>
        <v>0</v>
      </c>
      <c r="J30" s="632">
        <f t="shared" si="8"/>
        <v>0</v>
      </c>
      <c r="K30" s="632">
        <f t="shared" si="9"/>
        <v>0</v>
      </c>
      <c r="L30" s="632">
        <f t="shared" si="10"/>
        <v>0</v>
      </c>
      <c r="M30" s="632">
        <f t="shared" si="11"/>
        <v>0</v>
      </c>
      <c r="N30" s="633">
        <f t="shared" si="11"/>
        <v>0</v>
      </c>
    </row>
    <row r="31" spans="2:14" x14ac:dyDescent="0.2">
      <c r="B31" s="629">
        <v>14</v>
      </c>
      <c r="C31" s="632">
        <f t="shared" si="1"/>
        <v>0</v>
      </c>
      <c r="D31" s="632">
        <f t="shared" si="13"/>
        <v>0</v>
      </c>
      <c r="E31" s="632">
        <f t="shared" si="14"/>
        <v>0</v>
      </c>
      <c r="F31" s="632">
        <f t="shared" si="14"/>
        <v>0</v>
      </c>
      <c r="G31" s="632">
        <f t="shared" si="14"/>
        <v>0</v>
      </c>
      <c r="H31" s="632">
        <f t="shared" si="6"/>
        <v>0</v>
      </c>
      <c r="I31" s="632">
        <f t="shared" si="7"/>
        <v>0</v>
      </c>
      <c r="J31" s="632">
        <f t="shared" si="8"/>
        <v>0</v>
      </c>
      <c r="K31" s="632">
        <f t="shared" si="9"/>
        <v>0</v>
      </c>
      <c r="L31" s="632">
        <f t="shared" si="10"/>
        <v>0</v>
      </c>
      <c r="M31" s="632">
        <f t="shared" si="11"/>
        <v>0</v>
      </c>
      <c r="N31" s="633">
        <f t="shared" si="11"/>
        <v>0</v>
      </c>
    </row>
    <row r="32" spans="2:14" x14ac:dyDescent="0.2">
      <c r="B32" s="629">
        <v>15</v>
      </c>
      <c r="C32" s="632">
        <f t="shared" si="1"/>
        <v>0</v>
      </c>
      <c r="D32" s="632">
        <f t="shared" si="13"/>
        <v>0</v>
      </c>
      <c r="E32" s="632">
        <f t="shared" si="14"/>
        <v>0</v>
      </c>
      <c r="F32" s="632">
        <f t="shared" si="14"/>
        <v>0</v>
      </c>
      <c r="G32" s="632">
        <f t="shared" si="14"/>
        <v>0</v>
      </c>
      <c r="H32" s="632">
        <f t="shared" si="6"/>
        <v>0</v>
      </c>
      <c r="I32" s="632">
        <f t="shared" si="7"/>
        <v>0</v>
      </c>
      <c r="J32" s="632">
        <f t="shared" si="8"/>
        <v>0</v>
      </c>
      <c r="K32" s="632">
        <f t="shared" si="9"/>
        <v>0</v>
      </c>
      <c r="L32" s="632">
        <f t="shared" si="10"/>
        <v>0</v>
      </c>
      <c r="M32" s="632">
        <f t="shared" si="11"/>
        <v>0</v>
      </c>
      <c r="N32" s="633">
        <f t="shared" si="11"/>
        <v>0</v>
      </c>
    </row>
    <row r="33" spans="2:14" x14ac:dyDescent="0.2">
      <c r="B33" s="629">
        <v>16</v>
      </c>
      <c r="C33" s="632">
        <f t="shared" si="1"/>
        <v>0</v>
      </c>
      <c r="D33" s="632">
        <f t="shared" si="13"/>
        <v>0</v>
      </c>
      <c r="E33" s="632">
        <f t="shared" si="14"/>
        <v>0</v>
      </c>
      <c r="F33" s="632">
        <f t="shared" si="14"/>
        <v>0</v>
      </c>
      <c r="G33" s="632">
        <f t="shared" si="14"/>
        <v>0</v>
      </c>
      <c r="H33" s="632">
        <f t="shared" si="6"/>
        <v>0</v>
      </c>
      <c r="I33" s="632">
        <f t="shared" si="7"/>
        <v>0</v>
      </c>
      <c r="J33" s="632">
        <f t="shared" si="8"/>
        <v>0</v>
      </c>
      <c r="K33" s="632">
        <f t="shared" si="9"/>
        <v>0</v>
      </c>
      <c r="L33" s="632">
        <f t="shared" si="10"/>
        <v>0</v>
      </c>
      <c r="M33" s="632">
        <f t="shared" si="11"/>
        <v>0</v>
      </c>
      <c r="N33" s="633">
        <f t="shared" si="11"/>
        <v>0</v>
      </c>
    </row>
    <row r="34" spans="2:14" x14ac:dyDescent="0.2">
      <c r="B34" s="629">
        <v>17</v>
      </c>
      <c r="C34" s="632">
        <f t="shared" si="1"/>
        <v>0</v>
      </c>
      <c r="D34" s="632">
        <f t="shared" si="13"/>
        <v>0</v>
      </c>
      <c r="E34" s="632">
        <f t="shared" si="14"/>
        <v>0</v>
      </c>
      <c r="F34" s="632">
        <f t="shared" ref="F34:G47" si="15">+F33+$D$12</f>
        <v>0</v>
      </c>
      <c r="G34" s="632">
        <f t="shared" si="15"/>
        <v>0</v>
      </c>
      <c r="H34" s="632">
        <f t="shared" si="6"/>
        <v>0</v>
      </c>
      <c r="I34" s="632">
        <f t="shared" si="7"/>
        <v>0</v>
      </c>
      <c r="J34" s="632">
        <f t="shared" si="8"/>
        <v>0</v>
      </c>
      <c r="K34" s="632">
        <f t="shared" si="9"/>
        <v>0</v>
      </c>
      <c r="L34" s="632">
        <f t="shared" si="10"/>
        <v>0</v>
      </c>
      <c r="M34" s="632">
        <f t="shared" si="11"/>
        <v>0</v>
      </c>
      <c r="N34" s="633">
        <f t="shared" si="11"/>
        <v>0</v>
      </c>
    </row>
    <row r="35" spans="2:14" x14ac:dyDescent="0.2">
      <c r="B35" s="629">
        <v>18</v>
      </c>
      <c r="C35" s="632">
        <f t="shared" si="1"/>
        <v>0</v>
      </c>
      <c r="D35" s="632">
        <f t="shared" si="13"/>
        <v>0</v>
      </c>
      <c r="E35" s="632">
        <f t="shared" si="14"/>
        <v>0</v>
      </c>
      <c r="F35" s="632">
        <f t="shared" si="15"/>
        <v>0</v>
      </c>
      <c r="G35" s="632">
        <f t="shared" si="15"/>
        <v>0</v>
      </c>
      <c r="H35" s="632">
        <f t="shared" si="6"/>
        <v>0</v>
      </c>
      <c r="I35" s="632">
        <f t="shared" si="7"/>
        <v>0</v>
      </c>
      <c r="J35" s="632">
        <f t="shared" si="8"/>
        <v>0</v>
      </c>
      <c r="K35" s="632">
        <f t="shared" si="9"/>
        <v>0</v>
      </c>
      <c r="L35" s="632">
        <f t="shared" si="10"/>
        <v>0</v>
      </c>
      <c r="M35" s="632">
        <f t="shared" si="11"/>
        <v>0</v>
      </c>
      <c r="N35" s="633">
        <f t="shared" si="11"/>
        <v>0</v>
      </c>
    </row>
    <row r="36" spans="2:14" x14ac:dyDescent="0.2">
      <c r="B36" s="629">
        <v>19</v>
      </c>
      <c r="C36" s="632">
        <f t="shared" si="1"/>
        <v>0</v>
      </c>
      <c r="D36" s="632">
        <f t="shared" si="13"/>
        <v>0</v>
      </c>
      <c r="E36" s="632">
        <f t="shared" si="14"/>
        <v>0</v>
      </c>
      <c r="F36" s="632">
        <f t="shared" si="15"/>
        <v>0</v>
      </c>
      <c r="G36" s="632">
        <f t="shared" si="15"/>
        <v>0</v>
      </c>
      <c r="H36" s="632">
        <f t="shared" si="6"/>
        <v>0</v>
      </c>
      <c r="I36" s="632">
        <f t="shared" si="7"/>
        <v>0</v>
      </c>
      <c r="J36" s="632">
        <f t="shared" si="8"/>
        <v>0</v>
      </c>
      <c r="K36" s="632">
        <f t="shared" si="9"/>
        <v>0</v>
      </c>
      <c r="L36" s="632">
        <f t="shared" si="10"/>
        <v>0</v>
      </c>
      <c r="M36" s="632">
        <f t="shared" si="11"/>
        <v>0</v>
      </c>
      <c r="N36" s="633">
        <f t="shared" si="11"/>
        <v>0</v>
      </c>
    </row>
    <row r="37" spans="2:14" x14ac:dyDescent="0.2">
      <c r="B37" s="629">
        <v>20</v>
      </c>
      <c r="C37" s="632">
        <f t="shared" si="1"/>
        <v>0</v>
      </c>
      <c r="D37" s="632">
        <f t="shared" si="13"/>
        <v>0</v>
      </c>
      <c r="E37" s="632">
        <f t="shared" si="14"/>
        <v>0</v>
      </c>
      <c r="F37" s="632">
        <f t="shared" si="15"/>
        <v>0</v>
      </c>
      <c r="G37" s="632">
        <f t="shared" ref="G37:G42" si="16">+G36+$D$12</f>
        <v>0</v>
      </c>
      <c r="H37" s="632">
        <f t="shared" si="6"/>
        <v>0</v>
      </c>
      <c r="I37" s="632">
        <f t="shared" si="7"/>
        <v>0</v>
      </c>
      <c r="J37" s="632">
        <f t="shared" si="8"/>
        <v>0</v>
      </c>
      <c r="K37" s="632">
        <f t="shared" si="9"/>
        <v>0</v>
      </c>
      <c r="L37" s="632">
        <f t="shared" si="10"/>
        <v>0</v>
      </c>
      <c r="M37" s="632">
        <f t="shared" si="11"/>
        <v>0</v>
      </c>
      <c r="N37" s="633">
        <f t="shared" si="11"/>
        <v>0</v>
      </c>
    </row>
    <row r="38" spans="2:14" x14ac:dyDescent="0.2">
      <c r="B38" s="629">
        <v>21</v>
      </c>
      <c r="C38" s="632">
        <f t="shared" si="1"/>
        <v>0</v>
      </c>
      <c r="D38" s="632">
        <f t="shared" si="13"/>
        <v>0</v>
      </c>
      <c r="E38" s="632">
        <f t="shared" si="14"/>
        <v>0</v>
      </c>
      <c r="F38" s="632">
        <f t="shared" si="15"/>
        <v>0</v>
      </c>
      <c r="G38" s="632">
        <f t="shared" si="16"/>
        <v>0</v>
      </c>
      <c r="H38" s="632">
        <f t="shared" si="6"/>
        <v>0</v>
      </c>
      <c r="I38" s="632">
        <f t="shared" si="7"/>
        <v>0</v>
      </c>
      <c r="J38" s="632">
        <f t="shared" si="8"/>
        <v>0</v>
      </c>
      <c r="K38" s="632">
        <f t="shared" si="9"/>
        <v>0</v>
      </c>
      <c r="L38" s="632">
        <f t="shared" si="10"/>
        <v>0</v>
      </c>
      <c r="M38" s="632">
        <f t="shared" si="11"/>
        <v>0</v>
      </c>
      <c r="N38" s="633">
        <f t="shared" si="11"/>
        <v>0</v>
      </c>
    </row>
    <row r="39" spans="2:14" x14ac:dyDescent="0.2">
      <c r="B39" s="629">
        <v>22</v>
      </c>
      <c r="C39" s="632">
        <f t="shared" si="1"/>
        <v>0</v>
      </c>
      <c r="D39" s="632">
        <f t="shared" si="13"/>
        <v>0</v>
      </c>
      <c r="E39" s="632">
        <f t="shared" si="14"/>
        <v>0</v>
      </c>
      <c r="F39" s="632">
        <f t="shared" si="15"/>
        <v>0</v>
      </c>
      <c r="G39" s="632">
        <f t="shared" si="16"/>
        <v>0</v>
      </c>
      <c r="H39" s="632">
        <f t="shared" si="6"/>
        <v>0</v>
      </c>
      <c r="I39" s="632">
        <f t="shared" si="7"/>
        <v>0</v>
      </c>
      <c r="J39" s="632">
        <f t="shared" si="8"/>
        <v>0</v>
      </c>
      <c r="K39" s="632">
        <f t="shared" si="9"/>
        <v>0</v>
      </c>
      <c r="L39" s="632">
        <f t="shared" si="10"/>
        <v>0</v>
      </c>
      <c r="M39" s="632">
        <f t="shared" si="11"/>
        <v>0</v>
      </c>
      <c r="N39" s="633">
        <f t="shared" si="11"/>
        <v>0</v>
      </c>
    </row>
    <row r="40" spans="2:14" x14ac:dyDescent="0.2">
      <c r="B40" s="629">
        <v>23</v>
      </c>
      <c r="C40" s="632">
        <f t="shared" si="1"/>
        <v>0</v>
      </c>
      <c r="D40" s="632">
        <f t="shared" si="13"/>
        <v>0</v>
      </c>
      <c r="E40" s="632">
        <f t="shared" si="14"/>
        <v>0</v>
      </c>
      <c r="F40" s="632">
        <f t="shared" si="15"/>
        <v>0</v>
      </c>
      <c r="G40" s="632">
        <f t="shared" si="16"/>
        <v>0</v>
      </c>
      <c r="H40" s="632">
        <f t="shared" si="6"/>
        <v>0</v>
      </c>
      <c r="I40" s="632">
        <f t="shared" si="7"/>
        <v>0</v>
      </c>
      <c r="J40" s="632">
        <f t="shared" si="8"/>
        <v>0</v>
      </c>
      <c r="K40" s="632">
        <f t="shared" si="9"/>
        <v>0</v>
      </c>
      <c r="L40" s="632">
        <f t="shared" si="10"/>
        <v>0</v>
      </c>
      <c r="M40" s="632">
        <f t="shared" si="11"/>
        <v>0</v>
      </c>
      <c r="N40" s="633">
        <f t="shared" si="11"/>
        <v>0</v>
      </c>
    </row>
    <row r="41" spans="2:14" x14ac:dyDescent="0.2">
      <c r="B41" s="629">
        <v>24</v>
      </c>
      <c r="C41" s="632">
        <f t="shared" si="1"/>
        <v>0</v>
      </c>
      <c r="D41" s="632">
        <f t="shared" si="13"/>
        <v>0</v>
      </c>
      <c r="E41" s="632">
        <f t="shared" si="14"/>
        <v>0</v>
      </c>
      <c r="F41" s="632">
        <f t="shared" si="15"/>
        <v>0</v>
      </c>
      <c r="G41" s="632">
        <f t="shared" si="16"/>
        <v>0</v>
      </c>
      <c r="H41" s="632">
        <f t="shared" si="6"/>
        <v>0</v>
      </c>
      <c r="I41" s="632">
        <f t="shared" si="7"/>
        <v>0</v>
      </c>
      <c r="J41" s="632">
        <f t="shared" si="8"/>
        <v>0</v>
      </c>
      <c r="K41" s="632">
        <f t="shared" si="9"/>
        <v>0</v>
      </c>
      <c r="L41" s="632">
        <f t="shared" si="10"/>
        <v>0</v>
      </c>
      <c r="M41" s="632">
        <f t="shared" si="11"/>
        <v>0</v>
      </c>
      <c r="N41" s="633">
        <f t="shared" si="11"/>
        <v>0</v>
      </c>
    </row>
    <row r="42" spans="2:14" x14ac:dyDescent="0.2">
      <c r="B42" s="629">
        <v>25</v>
      </c>
      <c r="C42" s="632">
        <f t="shared" si="1"/>
        <v>0</v>
      </c>
      <c r="D42" s="632">
        <f t="shared" si="13"/>
        <v>0</v>
      </c>
      <c r="E42" s="632">
        <f t="shared" si="14"/>
        <v>0</v>
      </c>
      <c r="F42" s="632">
        <f t="shared" si="15"/>
        <v>0</v>
      </c>
      <c r="G42" s="632">
        <f t="shared" si="16"/>
        <v>0</v>
      </c>
      <c r="H42" s="632">
        <f t="shared" si="6"/>
        <v>0</v>
      </c>
      <c r="I42" s="632">
        <f t="shared" si="7"/>
        <v>0</v>
      </c>
      <c r="J42" s="632">
        <f t="shared" si="8"/>
        <v>0</v>
      </c>
      <c r="K42" s="632">
        <f t="shared" si="9"/>
        <v>0</v>
      </c>
      <c r="L42" s="632">
        <f t="shared" si="10"/>
        <v>0</v>
      </c>
      <c r="M42" s="632">
        <f t="shared" si="11"/>
        <v>0</v>
      </c>
      <c r="N42" s="633">
        <f t="shared" si="11"/>
        <v>0</v>
      </c>
    </row>
    <row r="43" spans="2:14" x14ac:dyDescent="0.2">
      <c r="B43" s="629">
        <v>26</v>
      </c>
      <c r="C43" s="632">
        <f t="shared" si="1"/>
        <v>0</v>
      </c>
      <c r="D43" s="632">
        <f t="shared" si="13"/>
        <v>0</v>
      </c>
      <c r="E43" s="632">
        <f t="shared" si="14"/>
        <v>0</v>
      </c>
      <c r="F43" s="632">
        <f t="shared" si="15"/>
        <v>0</v>
      </c>
      <c r="G43" s="632">
        <f>+G42+$D$12</f>
        <v>0</v>
      </c>
      <c r="H43" s="632">
        <f t="shared" ref="H43:N47" si="17">+H42+$D$14</f>
        <v>0</v>
      </c>
      <c r="I43" s="632">
        <f t="shared" si="17"/>
        <v>0</v>
      </c>
      <c r="J43" s="632">
        <f t="shared" si="17"/>
        <v>0</v>
      </c>
      <c r="K43" s="632">
        <f t="shared" si="17"/>
        <v>0</v>
      </c>
      <c r="L43" s="632">
        <f t="shared" si="17"/>
        <v>0</v>
      </c>
      <c r="M43" s="632">
        <f t="shared" si="17"/>
        <v>0</v>
      </c>
      <c r="N43" s="633">
        <f t="shared" si="17"/>
        <v>0</v>
      </c>
    </row>
    <row r="44" spans="2:14" x14ac:dyDescent="0.2">
      <c r="B44" s="629">
        <v>27</v>
      </c>
      <c r="C44" s="632">
        <f t="shared" si="1"/>
        <v>0</v>
      </c>
      <c r="D44" s="632">
        <f t="shared" si="13"/>
        <v>0</v>
      </c>
      <c r="E44" s="632">
        <f t="shared" si="14"/>
        <v>0</v>
      </c>
      <c r="F44" s="632">
        <f t="shared" si="15"/>
        <v>0</v>
      </c>
      <c r="G44" s="632">
        <f>+G43+$D$12</f>
        <v>0</v>
      </c>
      <c r="H44" s="632">
        <f t="shared" si="17"/>
        <v>0</v>
      </c>
      <c r="I44" s="632">
        <f t="shared" si="17"/>
        <v>0</v>
      </c>
      <c r="J44" s="632">
        <f t="shared" si="17"/>
        <v>0</v>
      </c>
      <c r="K44" s="632">
        <f t="shared" si="17"/>
        <v>0</v>
      </c>
      <c r="L44" s="632">
        <f t="shared" si="17"/>
        <v>0</v>
      </c>
      <c r="M44" s="632">
        <f t="shared" si="17"/>
        <v>0</v>
      </c>
      <c r="N44" s="633">
        <f t="shared" si="17"/>
        <v>0</v>
      </c>
    </row>
    <row r="45" spans="2:14" x14ac:dyDescent="0.2">
      <c r="B45" s="629">
        <v>28</v>
      </c>
      <c r="C45" s="632">
        <f t="shared" si="1"/>
        <v>0</v>
      </c>
      <c r="D45" s="632">
        <f t="shared" si="13"/>
        <v>0</v>
      </c>
      <c r="E45" s="632">
        <f>+E44+$D$12</f>
        <v>0</v>
      </c>
      <c r="F45" s="632">
        <f t="shared" si="15"/>
        <v>0</v>
      </c>
      <c r="G45" s="632">
        <f>+G44+$D$12</f>
        <v>0</v>
      </c>
      <c r="H45" s="632">
        <f t="shared" si="17"/>
        <v>0</v>
      </c>
      <c r="I45" s="632">
        <f t="shared" si="17"/>
        <v>0</v>
      </c>
      <c r="J45" s="632">
        <f t="shared" si="17"/>
        <v>0</v>
      </c>
      <c r="K45" s="632">
        <f t="shared" si="17"/>
        <v>0</v>
      </c>
      <c r="L45" s="632">
        <f t="shared" si="17"/>
        <v>0</v>
      </c>
      <c r="M45" s="632">
        <f t="shared" si="17"/>
        <v>0</v>
      </c>
      <c r="N45" s="633">
        <f t="shared" si="17"/>
        <v>0</v>
      </c>
    </row>
    <row r="46" spans="2:14" x14ac:dyDescent="0.2">
      <c r="B46" s="629">
        <v>29</v>
      </c>
      <c r="C46" s="632">
        <f t="shared" si="1"/>
        <v>0</v>
      </c>
      <c r="D46" s="632">
        <f t="shared" si="13"/>
        <v>0</v>
      </c>
      <c r="E46" s="632">
        <f>+E45+$D$12</f>
        <v>0</v>
      </c>
      <c r="F46" s="632">
        <f t="shared" si="15"/>
        <v>0</v>
      </c>
      <c r="G46" s="632">
        <f>+G45+$D$12</f>
        <v>0</v>
      </c>
      <c r="H46" s="632">
        <f t="shared" si="17"/>
        <v>0</v>
      </c>
      <c r="I46" s="632">
        <f t="shared" si="17"/>
        <v>0</v>
      </c>
      <c r="J46" s="632">
        <f t="shared" si="17"/>
        <v>0</v>
      </c>
      <c r="K46" s="632">
        <f t="shared" si="17"/>
        <v>0</v>
      </c>
      <c r="L46" s="632">
        <f t="shared" si="17"/>
        <v>0</v>
      </c>
      <c r="M46" s="632">
        <f t="shared" si="17"/>
        <v>0</v>
      </c>
      <c r="N46" s="633">
        <f t="shared" si="17"/>
        <v>0</v>
      </c>
    </row>
    <row r="47" spans="2:14" ht="13.5" thickBot="1" x14ac:dyDescent="0.25">
      <c r="B47" s="634">
        <v>30</v>
      </c>
      <c r="C47" s="635">
        <f t="shared" si="1"/>
        <v>0</v>
      </c>
      <c r="D47" s="635">
        <f t="shared" si="13"/>
        <v>0</v>
      </c>
      <c r="E47" s="635">
        <f>+E46+$D$12</f>
        <v>0</v>
      </c>
      <c r="F47" s="635">
        <f t="shared" si="15"/>
        <v>0</v>
      </c>
      <c r="G47" s="635">
        <f>+G46+$D$12</f>
        <v>0</v>
      </c>
      <c r="H47" s="635">
        <f t="shared" si="17"/>
        <v>0</v>
      </c>
      <c r="I47" s="635">
        <f t="shared" si="17"/>
        <v>0</v>
      </c>
      <c r="J47" s="635">
        <f t="shared" si="17"/>
        <v>0</v>
      </c>
      <c r="K47" s="635">
        <f t="shared" si="17"/>
        <v>0</v>
      </c>
      <c r="L47" s="635">
        <f t="shared" si="17"/>
        <v>0</v>
      </c>
      <c r="M47" s="635">
        <f t="shared" si="17"/>
        <v>0</v>
      </c>
      <c r="N47" s="636">
        <f t="shared" si="17"/>
        <v>0</v>
      </c>
    </row>
    <row r="48" spans="2:14" ht="13.5" thickTop="1" x14ac:dyDescent="0.2"/>
  </sheetData>
  <phoneticPr fontId="2" type="noConversion"/>
  <pageMargins left="0.75" right="0.75" top="1" bottom="1" header="0.5" footer="0.5"/>
  <pageSetup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  <pageSetUpPr fitToPage="1"/>
  </sheetPr>
  <dimension ref="A1:W53"/>
  <sheetViews>
    <sheetView workbookViewId="0">
      <selection activeCell="H33" sqref="H33"/>
    </sheetView>
  </sheetViews>
  <sheetFormatPr defaultRowHeight="10.5" x14ac:dyDescent="0.15"/>
  <cols>
    <col min="1" max="1" width="12.5" bestFit="1" customWidth="1"/>
    <col min="9" max="9" width="11.1640625" bestFit="1" customWidth="1"/>
    <col min="10" max="10" width="11.1640625" customWidth="1"/>
    <col min="20" max="20" width="11" bestFit="1" customWidth="1"/>
    <col min="22" max="22" width="11" bestFit="1" customWidth="1"/>
  </cols>
  <sheetData>
    <row r="1" spans="1:23" ht="12.75" x14ac:dyDescent="0.2">
      <c r="A1" s="423" t="s">
        <v>106</v>
      </c>
      <c r="B1" s="424"/>
      <c r="C1" s="425">
        <f>+'Page 1 - FY2013-14'!B5</f>
        <v>0</v>
      </c>
      <c r="D1" s="426"/>
      <c r="E1" s="426"/>
      <c r="F1" s="427"/>
      <c r="G1" s="427"/>
      <c r="H1" s="427"/>
      <c r="I1" s="138" t="s">
        <v>1586</v>
      </c>
      <c r="J1" s="138"/>
      <c r="K1" s="428">
        <f>+'Page 1 - FY2013-14'!F7</f>
        <v>0</v>
      </c>
      <c r="S1" s="376"/>
    </row>
    <row r="2" spans="1:23" ht="12.75" x14ac:dyDescent="0.2">
      <c r="A2" s="429" t="s">
        <v>106</v>
      </c>
      <c r="B2" s="429"/>
      <c r="C2" s="429"/>
      <c r="D2" s="427"/>
      <c r="E2" s="427"/>
      <c r="F2" s="427"/>
      <c r="G2" s="427"/>
      <c r="H2" s="427"/>
      <c r="I2" s="427"/>
      <c r="J2" s="427"/>
      <c r="K2" s="427"/>
    </row>
    <row r="3" spans="1:23" ht="12.75" x14ac:dyDescent="0.2">
      <c r="A3" s="429" t="s">
        <v>1071</v>
      </c>
      <c r="B3" s="429"/>
      <c r="C3" s="429"/>
      <c r="D3" s="427"/>
      <c r="E3" s="427"/>
      <c r="F3" s="427"/>
      <c r="G3" s="427"/>
      <c r="H3" s="427"/>
      <c r="I3" s="427"/>
      <c r="J3" s="427"/>
      <c r="K3" s="427"/>
    </row>
    <row r="4" spans="1:23" ht="12.75" x14ac:dyDescent="0.2">
      <c r="A4" s="715" t="s">
        <v>1705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</row>
    <row r="5" spans="1:23" ht="12.75" x14ac:dyDescent="0.2">
      <c r="B5" s="324" t="s">
        <v>1072</v>
      </c>
    </row>
    <row r="6" spans="1:23" x14ac:dyDescent="0.15">
      <c r="B6" s="188" t="s">
        <v>803</v>
      </c>
      <c r="C6" s="188" t="s">
        <v>804</v>
      </c>
      <c r="D6" s="188" t="s">
        <v>1087</v>
      </c>
      <c r="E6" s="188" t="s">
        <v>1323</v>
      </c>
      <c r="F6" s="188" t="s">
        <v>969</v>
      </c>
      <c r="G6" s="188" t="s">
        <v>1088</v>
      </c>
      <c r="H6" s="188" t="s">
        <v>1031</v>
      </c>
      <c r="I6" s="188" t="s">
        <v>467</v>
      </c>
      <c r="J6" s="188" t="s">
        <v>469</v>
      </c>
      <c r="K6" s="188" t="s">
        <v>470</v>
      </c>
      <c r="L6" s="188" t="s">
        <v>1089</v>
      </c>
      <c r="M6" s="188" t="s">
        <v>481</v>
      </c>
      <c r="N6" s="188" t="s">
        <v>491</v>
      </c>
      <c r="O6" s="188" t="s">
        <v>492</v>
      </c>
      <c r="P6" s="188" t="s">
        <v>493</v>
      </c>
      <c r="Q6" s="188" t="s">
        <v>1005</v>
      </c>
      <c r="R6" s="188" t="s">
        <v>1090</v>
      </c>
      <c r="S6" s="188" t="s">
        <v>1091</v>
      </c>
      <c r="T6" s="188" t="s">
        <v>1092</v>
      </c>
      <c r="U6" s="188" t="s">
        <v>1093</v>
      </c>
      <c r="V6" s="188" t="s">
        <v>1094</v>
      </c>
      <c r="W6" s="188" t="s">
        <v>401</v>
      </c>
    </row>
    <row r="7" spans="1:23" ht="12.75" x14ac:dyDescent="0.2">
      <c r="A7" s="324" t="s">
        <v>1073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</row>
    <row r="8" spans="1:23" x14ac:dyDescent="0.15">
      <c r="A8" s="188" t="s">
        <v>1424</v>
      </c>
      <c r="B8" s="188" t="s">
        <v>1424</v>
      </c>
      <c r="C8" s="188" t="s">
        <v>1424</v>
      </c>
      <c r="D8" s="188" t="s">
        <v>1110</v>
      </c>
      <c r="E8" s="188" t="s">
        <v>1110</v>
      </c>
      <c r="F8" s="188" t="s">
        <v>1424</v>
      </c>
      <c r="G8" s="188" t="s">
        <v>1110</v>
      </c>
      <c r="H8" s="188" t="s">
        <v>1424</v>
      </c>
      <c r="I8" s="188" t="s">
        <v>1110</v>
      </c>
      <c r="J8" s="188" t="s">
        <v>1424</v>
      </c>
      <c r="K8" s="188" t="s">
        <v>1110</v>
      </c>
      <c r="L8" s="188" t="s">
        <v>1110</v>
      </c>
      <c r="M8" s="188" t="s">
        <v>1110</v>
      </c>
      <c r="N8" s="188" t="s">
        <v>1110</v>
      </c>
      <c r="O8" s="188" t="s">
        <v>1110</v>
      </c>
      <c r="P8" s="188" t="s">
        <v>1110</v>
      </c>
      <c r="Q8" s="188" t="s">
        <v>1110</v>
      </c>
      <c r="R8" s="188" t="s">
        <v>1110</v>
      </c>
      <c r="S8" s="188" t="s">
        <v>1110</v>
      </c>
      <c r="T8" s="188" t="s">
        <v>1110</v>
      </c>
      <c r="U8" s="188" t="s">
        <v>1110</v>
      </c>
      <c r="V8" s="188" t="s">
        <v>1110</v>
      </c>
      <c r="W8" s="188" t="s">
        <v>1110</v>
      </c>
    </row>
    <row r="9" spans="1:23" x14ac:dyDescent="0.15">
      <c r="A9" s="188" t="s">
        <v>1573</v>
      </c>
      <c r="B9" s="188" t="s">
        <v>1573</v>
      </c>
      <c r="C9" s="188" t="s">
        <v>1573</v>
      </c>
      <c r="D9" s="188" t="s">
        <v>1110</v>
      </c>
      <c r="E9" s="188" t="s">
        <v>1110</v>
      </c>
      <c r="F9" s="188" t="s">
        <v>1573</v>
      </c>
      <c r="G9" s="188" t="s">
        <v>1110</v>
      </c>
      <c r="H9" s="188" t="s">
        <v>1573</v>
      </c>
      <c r="I9" s="188" t="s">
        <v>1110</v>
      </c>
      <c r="J9" s="188" t="s">
        <v>1110</v>
      </c>
      <c r="K9" s="188" t="s">
        <v>1110</v>
      </c>
      <c r="L9" s="188" t="s">
        <v>1110</v>
      </c>
      <c r="M9" s="188" t="s">
        <v>1110</v>
      </c>
      <c r="N9" s="188" t="s">
        <v>1110</v>
      </c>
      <c r="O9" s="188" t="s">
        <v>1110</v>
      </c>
      <c r="P9" s="188" t="s">
        <v>1110</v>
      </c>
      <c r="Q9" s="188" t="s">
        <v>1110</v>
      </c>
      <c r="R9" s="188" t="s">
        <v>1110</v>
      </c>
      <c r="S9" s="188" t="s">
        <v>1110</v>
      </c>
      <c r="T9" s="188" t="s">
        <v>1110</v>
      </c>
      <c r="U9" s="188" t="s">
        <v>1110</v>
      </c>
      <c r="V9" s="188" t="s">
        <v>1110</v>
      </c>
      <c r="W9" s="188" t="s">
        <v>1110</v>
      </c>
    </row>
    <row r="10" spans="1:23" x14ac:dyDescent="0.15">
      <c r="A10" s="188" t="s">
        <v>1074</v>
      </c>
      <c r="B10" s="188" t="s">
        <v>1074</v>
      </c>
      <c r="C10" s="188" t="s">
        <v>1074</v>
      </c>
      <c r="D10" s="188" t="s">
        <v>1110</v>
      </c>
      <c r="E10" s="188" t="s">
        <v>1110</v>
      </c>
      <c r="F10" s="188" t="s">
        <v>1110</v>
      </c>
      <c r="G10" s="188" t="s">
        <v>1110</v>
      </c>
      <c r="H10" s="188" t="s">
        <v>1110</v>
      </c>
      <c r="I10" s="188" t="s">
        <v>1110</v>
      </c>
      <c r="J10" s="188" t="s">
        <v>1110</v>
      </c>
      <c r="K10" s="188" t="s">
        <v>1110</v>
      </c>
      <c r="L10" s="188" t="s">
        <v>1110</v>
      </c>
      <c r="M10" s="188" t="s">
        <v>1110</v>
      </c>
      <c r="N10" s="188" t="s">
        <v>1110</v>
      </c>
      <c r="O10" s="188" t="s">
        <v>1110</v>
      </c>
      <c r="P10" s="188" t="s">
        <v>1110</v>
      </c>
      <c r="Q10" s="188" t="s">
        <v>1110</v>
      </c>
      <c r="R10" s="188" t="s">
        <v>1110</v>
      </c>
      <c r="S10" s="188" t="s">
        <v>1110</v>
      </c>
      <c r="T10" s="188" t="s">
        <v>1110</v>
      </c>
      <c r="U10" s="188" t="s">
        <v>1110</v>
      </c>
      <c r="V10" s="188" t="s">
        <v>1110</v>
      </c>
      <c r="W10" s="188" t="s">
        <v>1110</v>
      </c>
    </row>
    <row r="11" spans="1:23" x14ac:dyDescent="0.15">
      <c r="A11" s="188" t="s">
        <v>1425</v>
      </c>
      <c r="B11" s="188" t="s">
        <v>1425</v>
      </c>
      <c r="C11" s="188" t="s">
        <v>1425</v>
      </c>
      <c r="D11" s="188" t="s">
        <v>1110</v>
      </c>
      <c r="E11" s="188" t="s">
        <v>1425</v>
      </c>
      <c r="F11" s="188" t="s">
        <v>1110</v>
      </c>
      <c r="G11" s="188" t="s">
        <v>1110</v>
      </c>
      <c r="H11" s="188" t="s">
        <v>1110</v>
      </c>
      <c r="I11" s="188" t="s">
        <v>1110</v>
      </c>
      <c r="J11" s="188" t="s">
        <v>1110</v>
      </c>
      <c r="K11" s="188" t="s">
        <v>1110</v>
      </c>
      <c r="L11" s="188" t="s">
        <v>1110</v>
      </c>
      <c r="M11" s="188" t="s">
        <v>1110</v>
      </c>
      <c r="N11" s="188" t="s">
        <v>1110</v>
      </c>
      <c r="O11" s="188" t="s">
        <v>1110</v>
      </c>
      <c r="P11" s="188" t="s">
        <v>1110</v>
      </c>
      <c r="Q11" s="188" t="s">
        <v>1110</v>
      </c>
      <c r="R11" s="188" t="s">
        <v>1110</v>
      </c>
      <c r="S11" s="188" t="s">
        <v>1110</v>
      </c>
      <c r="T11" s="188" t="s">
        <v>1110</v>
      </c>
      <c r="U11" s="188" t="s">
        <v>1110</v>
      </c>
      <c r="V11" s="188" t="s">
        <v>1110</v>
      </c>
      <c r="W11" s="188" t="s">
        <v>1110</v>
      </c>
    </row>
    <row r="12" spans="1:23" x14ac:dyDescent="0.15">
      <c r="A12" s="188" t="s">
        <v>1030</v>
      </c>
      <c r="B12" s="188" t="s">
        <v>1030</v>
      </c>
      <c r="C12" s="188" t="s">
        <v>1030</v>
      </c>
      <c r="D12" s="188" t="s">
        <v>1110</v>
      </c>
      <c r="E12" s="188" t="s">
        <v>1110</v>
      </c>
      <c r="F12" s="188" t="s">
        <v>1110</v>
      </c>
      <c r="G12" s="188" t="s">
        <v>1110</v>
      </c>
      <c r="H12" s="188" t="s">
        <v>1110</v>
      </c>
      <c r="I12" s="188" t="s">
        <v>1110</v>
      </c>
      <c r="J12" s="188" t="s">
        <v>1110</v>
      </c>
      <c r="K12" s="188" t="s">
        <v>1110</v>
      </c>
      <c r="L12" s="188" t="s">
        <v>1110</v>
      </c>
      <c r="M12" s="188" t="s">
        <v>1110</v>
      </c>
      <c r="N12" s="188" t="s">
        <v>1110</v>
      </c>
      <c r="O12" s="188" t="s">
        <v>1110</v>
      </c>
      <c r="P12" s="188" t="s">
        <v>1110</v>
      </c>
      <c r="Q12" s="188" t="s">
        <v>1110</v>
      </c>
      <c r="R12" s="188" t="s">
        <v>1110</v>
      </c>
      <c r="S12" s="188" t="s">
        <v>1110</v>
      </c>
      <c r="T12" s="188" t="s">
        <v>1110</v>
      </c>
      <c r="U12" s="188" t="s">
        <v>1110</v>
      </c>
      <c r="V12" s="188" t="s">
        <v>1110</v>
      </c>
      <c r="W12" s="188" t="s">
        <v>1110</v>
      </c>
    </row>
    <row r="13" spans="1:23" x14ac:dyDescent="0.15">
      <c r="A13" s="188" t="s">
        <v>1075</v>
      </c>
      <c r="B13" s="188" t="s">
        <v>1075</v>
      </c>
      <c r="C13" s="188" t="s">
        <v>1075</v>
      </c>
      <c r="D13" s="188" t="s">
        <v>1110</v>
      </c>
      <c r="E13" s="188" t="s">
        <v>1110</v>
      </c>
      <c r="F13" s="188" t="s">
        <v>1110</v>
      </c>
      <c r="G13" s="188" t="s">
        <v>1110</v>
      </c>
      <c r="H13" s="188" t="s">
        <v>1110</v>
      </c>
      <c r="I13" s="188" t="s">
        <v>1110</v>
      </c>
      <c r="J13" s="188" t="s">
        <v>1110</v>
      </c>
      <c r="K13" s="188" t="s">
        <v>1110</v>
      </c>
      <c r="L13" s="188" t="s">
        <v>1110</v>
      </c>
      <c r="M13" s="188" t="s">
        <v>1110</v>
      </c>
      <c r="N13" s="188" t="s">
        <v>1110</v>
      </c>
      <c r="O13" s="188" t="s">
        <v>1110</v>
      </c>
      <c r="P13" s="188" t="s">
        <v>1110</v>
      </c>
      <c r="Q13" s="188" t="s">
        <v>1110</v>
      </c>
      <c r="R13" s="188" t="s">
        <v>1110</v>
      </c>
      <c r="S13" s="188" t="s">
        <v>1110</v>
      </c>
      <c r="T13" s="188" t="s">
        <v>1110</v>
      </c>
      <c r="U13" s="188" t="s">
        <v>1110</v>
      </c>
      <c r="V13" s="188" t="s">
        <v>1110</v>
      </c>
      <c r="W13" s="188" t="s">
        <v>1110</v>
      </c>
    </row>
    <row r="14" spans="1:23" x14ac:dyDescent="0.15">
      <c r="A14" s="188" t="s">
        <v>1419</v>
      </c>
      <c r="B14" s="188" t="s">
        <v>1419</v>
      </c>
      <c r="C14" s="188" t="s">
        <v>1419</v>
      </c>
      <c r="D14" s="188" t="s">
        <v>1110</v>
      </c>
      <c r="E14" s="188" t="s">
        <v>1110</v>
      </c>
      <c r="F14" s="188" t="s">
        <v>1419</v>
      </c>
      <c r="G14" s="188" t="s">
        <v>1110</v>
      </c>
      <c r="H14" s="188" t="s">
        <v>1419</v>
      </c>
      <c r="I14" s="188" t="s">
        <v>1110</v>
      </c>
      <c r="J14" s="188" t="s">
        <v>1110</v>
      </c>
      <c r="K14" s="188" t="s">
        <v>1110</v>
      </c>
      <c r="L14" s="188" t="s">
        <v>1110</v>
      </c>
      <c r="M14" s="188" t="s">
        <v>1110</v>
      </c>
      <c r="N14" s="188" t="s">
        <v>1110</v>
      </c>
      <c r="O14" s="188" t="s">
        <v>1110</v>
      </c>
      <c r="P14" s="188" t="s">
        <v>1110</v>
      </c>
      <c r="Q14" s="188" t="s">
        <v>1110</v>
      </c>
      <c r="R14" s="188" t="s">
        <v>1110</v>
      </c>
      <c r="S14" s="188" t="s">
        <v>1110</v>
      </c>
      <c r="T14" s="188" t="s">
        <v>1110</v>
      </c>
      <c r="U14" s="188" t="s">
        <v>1110</v>
      </c>
      <c r="V14" s="188" t="s">
        <v>1110</v>
      </c>
      <c r="W14" s="188" t="s">
        <v>1110</v>
      </c>
    </row>
    <row r="15" spans="1:23" x14ac:dyDescent="0.15">
      <c r="A15" s="188" t="s">
        <v>1076</v>
      </c>
      <c r="B15" s="188" t="s">
        <v>1076</v>
      </c>
      <c r="C15" s="188" t="s">
        <v>1076</v>
      </c>
      <c r="D15" s="188" t="s">
        <v>1110</v>
      </c>
      <c r="E15" s="188" t="s">
        <v>1110</v>
      </c>
      <c r="F15" s="188" t="s">
        <v>1110</v>
      </c>
      <c r="G15" s="188" t="s">
        <v>1110</v>
      </c>
      <c r="H15" s="188" t="s">
        <v>1110</v>
      </c>
      <c r="I15" s="188" t="s">
        <v>1110</v>
      </c>
      <c r="J15" s="188" t="s">
        <v>1110</v>
      </c>
      <c r="K15" s="188" t="s">
        <v>1110</v>
      </c>
      <c r="L15" s="188" t="s">
        <v>1110</v>
      </c>
      <c r="M15" s="188" t="s">
        <v>1110</v>
      </c>
      <c r="N15" s="188" t="s">
        <v>1110</v>
      </c>
      <c r="O15" s="188" t="s">
        <v>1110</v>
      </c>
      <c r="P15" s="188" t="s">
        <v>1110</v>
      </c>
      <c r="Q15" s="188" t="s">
        <v>1110</v>
      </c>
      <c r="R15" s="188" t="s">
        <v>1110</v>
      </c>
      <c r="S15" s="188" t="s">
        <v>1110</v>
      </c>
      <c r="T15" s="188" t="s">
        <v>1110</v>
      </c>
      <c r="U15" s="188" t="s">
        <v>1110</v>
      </c>
      <c r="V15" s="188" t="s">
        <v>1110</v>
      </c>
      <c r="W15" s="188" t="s">
        <v>1110</v>
      </c>
    </row>
    <row r="16" spans="1:23" x14ac:dyDescent="0.15">
      <c r="A16" s="188" t="s">
        <v>1077</v>
      </c>
      <c r="B16" s="188" t="s">
        <v>1077</v>
      </c>
      <c r="C16" s="188" t="s">
        <v>1077</v>
      </c>
      <c r="D16" s="188" t="s">
        <v>1110</v>
      </c>
      <c r="E16" s="188" t="s">
        <v>1110</v>
      </c>
      <c r="F16" s="188" t="s">
        <v>1110</v>
      </c>
      <c r="G16" s="188" t="s">
        <v>1110</v>
      </c>
      <c r="H16" s="188" t="s">
        <v>1110</v>
      </c>
      <c r="I16" s="188" t="s">
        <v>1110</v>
      </c>
      <c r="J16" s="188" t="s">
        <v>1110</v>
      </c>
      <c r="K16" s="188" t="s">
        <v>1110</v>
      </c>
      <c r="L16" s="188" t="s">
        <v>1110</v>
      </c>
      <c r="M16" s="188" t="s">
        <v>1110</v>
      </c>
      <c r="N16" s="188" t="s">
        <v>1110</v>
      </c>
      <c r="O16" s="188" t="s">
        <v>1110</v>
      </c>
      <c r="P16" s="188" t="s">
        <v>1110</v>
      </c>
      <c r="Q16" s="188" t="s">
        <v>1110</v>
      </c>
      <c r="R16" s="188" t="s">
        <v>1110</v>
      </c>
      <c r="S16" s="188" t="s">
        <v>1110</v>
      </c>
      <c r="T16" s="188" t="s">
        <v>1110</v>
      </c>
      <c r="U16" s="188" t="s">
        <v>1110</v>
      </c>
      <c r="V16" s="188" t="s">
        <v>1110</v>
      </c>
      <c r="W16" s="188" t="s">
        <v>1110</v>
      </c>
    </row>
    <row r="17" spans="1:23" x14ac:dyDescent="0.15">
      <c r="A17" s="188" t="s">
        <v>1078</v>
      </c>
      <c r="B17" s="188" t="s">
        <v>1078</v>
      </c>
      <c r="C17" s="188" t="s">
        <v>1078</v>
      </c>
      <c r="D17" s="188" t="s">
        <v>1110</v>
      </c>
      <c r="E17" s="188" t="s">
        <v>1110</v>
      </c>
      <c r="F17" s="188" t="s">
        <v>1110</v>
      </c>
      <c r="G17" s="188" t="s">
        <v>1110</v>
      </c>
      <c r="H17" s="188" t="s">
        <v>1110</v>
      </c>
      <c r="I17" s="188" t="s">
        <v>1110</v>
      </c>
      <c r="J17" s="188" t="s">
        <v>1110</v>
      </c>
      <c r="K17" s="188" t="s">
        <v>1110</v>
      </c>
      <c r="L17" s="188" t="s">
        <v>1110</v>
      </c>
      <c r="M17" s="188" t="s">
        <v>1110</v>
      </c>
      <c r="N17" s="188" t="s">
        <v>1110</v>
      </c>
      <c r="O17" s="188" t="s">
        <v>1110</v>
      </c>
      <c r="P17" s="188" t="s">
        <v>1110</v>
      </c>
      <c r="Q17" s="188" t="s">
        <v>1110</v>
      </c>
      <c r="R17" s="188" t="s">
        <v>1110</v>
      </c>
      <c r="S17" s="188" t="s">
        <v>1110</v>
      </c>
      <c r="T17" s="188" t="s">
        <v>1110</v>
      </c>
      <c r="U17" s="188" t="s">
        <v>1110</v>
      </c>
      <c r="V17" s="188" t="s">
        <v>1110</v>
      </c>
      <c r="W17" s="188" t="s">
        <v>1110</v>
      </c>
    </row>
    <row r="18" spans="1:23" x14ac:dyDescent="0.15">
      <c r="A18" s="188" t="s">
        <v>1577</v>
      </c>
      <c r="B18" s="188" t="s">
        <v>1577</v>
      </c>
      <c r="C18" s="188" t="s">
        <v>1577</v>
      </c>
      <c r="D18" s="188" t="s">
        <v>1110</v>
      </c>
      <c r="E18" s="188" t="s">
        <v>1110</v>
      </c>
      <c r="F18" s="188" t="s">
        <v>1110</v>
      </c>
      <c r="G18" s="188" t="s">
        <v>1110</v>
      </c>
      <c r="H18" s="188" t="s">
        <v>1110</v>
      </c>
      <c r="I18" s="188" t="s">
        <v>1110</v>
      </c>
      <c r="J18" s="188" t="s">
        <v>1110</v>
      </c>
      <c r="K18" s="188" t="s">
        <v>1110</v>
      </c>
      <c r="L18" s="188" t="s">
        <v>1110</v>
      </c>
      <c r="M18" s="188" t="s">
        <v>1110</v>
      </c>
      <c r="N18" s="188" t="s">
        <v>1110</v>
      </c>
      <c r="O18" s="188" t="s">
        <v>1110</v>
      </c>
      <c r="P18" s="188" t="s">
        <v>1110</v>
      </c>
      <c r="Q18" s="188" t="s">
        <v>1110</v>
      </c>
      <c r="R18" s="188" t="s">
        <v>1110</v>
      </c>
      <c r="S18" s="188" t="s">
        <v>1110</v>
      </c>
      <c r="T18" s="188" t="s">
        <v>1110</v>
      </c>
      <c r="U18" s="188" t="s">
        <v>1110</v>
      </c>
      <c r="V18" s="188" t="s">
        <v>1110</v>
      </c>
      <c r="W18" s="188" t="s">
        <v>1110</v>
      </c>
    </row>
    <row r="19" spans="1:23" x14ac:dyDescent="0.15">
      <c r="A19" s="188" t="s">
        <v>1578</v>
      </c>
      <c r="B19" s="188" t="s">
        <v>1578</v>
      </c>
      <c r="C19" s="188" t="s">
        <v>1578</v>
      </c>
      <c r="D19" s="188" t="s">
        <v>1110</v>
      </c>
      <c r="E19" s="188" t="s">
        <v>1110</v>
      </c>
      <c r="F19" s="188" t="s">
        <v>1110</v>
      </c>
      <c r="G19" s="188" t="s">
        <v>1110</v>
      </c>
      <c r="H19" s="188" t="s">
        <v>1110</v>
      </c>
      <c r="I19" s="188" t="s">
        <v>1110</v>
      </c>
      <c r="J19" s="188" t="s">
        <v>1110</v>
      </c>
      <c r="K19" s="188" t="s">
        <v>1110</v>
      </c>
      <c r="L19" s="188" t="s">
        <v>1110</v>
      </c>
      <c r="M19" s="188" t="s">
        <v>1110</v>
      </c>
      <c r="N19" s="188" t="s">
        <v>1110</v>
      </c>
      <c r="O19" s="188" t="s">
        <v>1110</v>
      </c>
      <c r="P19" s="188" t="s">
        <v>1110</v>
      </c>
      <c r="Q19" s="188" t="s">
        <v>1110</v>
      </c>
      <c r="R19" s="188" t="s">
        <v>1110</v>
      </c>
      <c r="S19" s="188" t="s">
        <v>1110</v>
      </c>
      <c r="T19" s="188" t="s">
        <v>1110</v>
      </c>
      <c r="U19" s="188" t="s">
        <v>1110</v>
      </c>
      <c r="V19" s="188" t="s">
        <v>1110</v>
      </c>
      <c r="W19" s="188" t="s">
        <v>1110</v>
      </c>
    </row>
    <row r="20" spans="1:23" x14ac:dyDescent="0.15">
      <c r="A20" s="188" t="s">
        <v>1579</v>
      </c>
      <c r="B20" s="188" t="s">
        <v>1579</v>
      </c>
      <c r="C20" s="188" t="s">
        <v>1579</v>
      </c>
      <c r="D20" s="188" t="s">
        <v>1110</v>
      </c>
      <c r="E20" s="188" t="s">
        <v>1110</v>
      </c>
      <c r="F20" s="188" t="s">
        <v>1110</v>
      </c>
      <c r="G20" s="188" t="s">
        <v>1110</v>
      </c>
      <c r="H20" s="188" t="s">
        <v>1110</v>
      </c>
      <c r="I20" s="188" t="s">
        <v>1110</v>
      </c>
      <c r="J20" s="188" t="s">
        <v>1110</v>
      </c>
      <c r="K20" s="188" t="s">
        <v>1110</v>
      </c>
      <c r="L20" s="188" t="s">
        <v>1110</v>
      </c>
      <c r="M20" s="188" t="s">
        <v>1110</v>
      </c>
      <c r="N20" s="188" t="s">
        <v>1110</v>
      </c>
      <c r="O20" s="188" t="s">
        <v>1110</v>
      </c>
      <c r="P20" s="188" t="s">
        <v>1110</v>
      </c>
      <c r="Q20" s="188" t="s">
        <v>1110</v>
      </c>
      <c r="R20" s="188" t="s">
        <v>1110</v>
      </c>
      <c r="S20" s="188" t="s">
        <v>1110</v>
      </c>
      <c r="T20" s="188" t="s">
        <v>1110</v>
      </c>
      <c r="U20" s="188" t="s">
        <v>1110</v>
      </c>
      <c r="V20" s="188" t="s">
        <v>1110</v>
      </c>
      <c r="W20" s="188" t="s">
        <v>1110</v>
      </c>
    </row>
    <row r="21" spans="1:23" x14ac:dyDescent="0.15">
      <c r="A21" s="188" t="s">
        <v>1580</v>
      </c>
      <c r="B21" s="188" t="s">
        <v>1580</v>
      </c>
      <c r="C21" s="188" t="s">
        <v>1580</v>
      </c>
      <c r="D21" s="188" t="s">
        <v>1110</v>
      </c>
      <c r="E21" s="188" t="s">
        <v>1110</v>
      </c>
      <c r="F21" s="188" t="s">
        <v>1110</v>
      </c>
      <c r="G21" s="188" t="s">
        <v>1110</v>
      </c>
      <c r="H21" s="188" t="s">
        <v>1110</v>
      </c>
      <c r="I21" s="188" t="s">
        <v>1110</v>
      </c>
      <c r="J21" s="188" t="s">
        <v>1110</v>
      </c>
      <c r="K21" s="188" t="s">
        <v>1110</v>
      </c>
      <c r="L21" s="188" t="s">
        <v>1110</v>
      </c>
      <c r="M21" s="188" t="s">
        <v>1110</v>
      </c>
      <c r="N21" s="188" t="s">
        <v>1110</v>
      </c>
      <c r="O21" s="188" t="s">
        <v>1110</v>
      </c>
      <c r="P21" s="188" t="s">
        <v>1110</v>
      </c>
      <c r="Q21" s="188" t="s">
        <v>1110</v>
      </c>
      <c r="R21" s="188" t="s">
        <v>1110</v>
      </c>
      <c r="S21" s="188" t="s">
        <v>1110</v>
      </c>
      <c r="T21" s="188" t="s">
        <v>1110</v>
      </c>
      <c r="U21" s="188" t="s">
        <v>1110</v>
      </c>
      <c r="V21" s="188" t="s">
        <v>1110</v>
      </c>
      <c r="W21" s="188" t="s">
        <v>1110</v>
      </c>
    </row>
    <row r="22" spans="1:23" x14ac:dyDescent="0.15">
      <c r="A22" s="188" t="s">
        <v>1581</v>
      </c>
      <c r="B22" s="188" t="s">
        <v>1581</v>
      </c>
      <c r="C22" s="188" t="s">
        <v>1581</v>
      </c>
      <c r="D22" s="188" t="s">
        <v>1110</v>
      </c>
      <c r="E22" s="188" t="s">
        <v>1110</v>
      </c>
      <c r="F22" s="188" t="s">
        <v>1110</v>
      </c>
      <c r="G22" s="188" t="s">
        <v>1110</v>
      </c>
      <c r="H22" s="188" t="s">
        <v>1110</v>
      </c>
      <c r="I22" s="188" t="s">
        <v>1110</v>
      </c>
      <c r="J22" s="188" t="s">
        <v>1110</v>
      </c>
      <c r="K22" s="188" t="s">
        <v>1110</v>
      </c>
      <c r="L22" s="188" t="s">
        <v>1110</v>
      </c>
      <c r="M22" s="188" t="s">
        <v>1110</v>
      </c>
      <c r="N22" s="188" t="s">
        <v>1110</v>
      </c>
      <c r="O22" s="188" t="s">
        <v>1110</v>
      </c>
      <c r="P22" s="188" t="s">
        <v>1110</v>
      </c>
      <c r="Q22" s="188" t="s">
        <v>1110</v>
      </c>
      <c r="R22" s="188" t="s">
        <v>1110</v>
      </c>
      <c r="S22" s="188" t="s">
        <v>1110</v>
      </c>
      <c r="T22" s="188" t="s">
        <v>1110</v>
      </c>
      <c r="U22" s="188" t="s">
        <v>1110</v>
      </c>
      <c r="V22" s="188" t="s">
        <v>1110</v>
      </c>
      <c r="W22" s="188" t="s">
        <v>1110</v>
      </c>
    </row>
    <row r="23" spans="1:23" x14ac:dyDescent="0.15">
      <c r="A23" s="188" t="s">
        <v>1582</v>
      </c>
      <c r="B23" s="188" t="s">
        <v>1582</v>
      </c>
      <c r="C23" s="188" t="s">
        <v>1582</v>
      </c>
      <c r="D23" s="188" t="s">
        <v>1110</v>
      </c>
      <c r="E23" s="188" t="s">
        <v>1110</v>
      </c>
      <c r="F23" s="188" t="s">
        <v>1110</v>
      </c>
      <c r="G23" s="188" t="s">
        <v>1110</v>
      </c>
      <c r="H23" s="188" t="s">
        <v>1110</v>
      </c>
      <c r="I23" s="188" t="s">
        <v>1110</v>
      </c>
      <c r="J23" s="188" t="s">
        <v>1110</v>
      </c>
      <c r="K23" s="188" t="s">
        <v>1110</v>
      </c>
      <c r="L23" s="188" t="s">
        <v>1110</v>
      </c>
      <c r="M23" s="188" t="s">
        <v>1110</v>
      </c>
      <c r="N23" s="188" t="s">
        <v>1110</v>
      </c>
      <c r="O23" s="188" t="s">
        <v>1110</v>
      </c>
      <c r="P23" s="188" t="s">
        <v>1110</v>
      </c>
      <c r="Q23" s="188" t="s">
        <v>1110</v>
      </c>
      <c r="R23" s="188" t="s">
        <v>1110</v>
      </c>
      <c r="S23" s="188" t="s">
        <v>1110</v>
      </c>
      <c r="T23" s="188" t="s">
        <v>1110</v>
      </c>
      <c r="U23" s="188" t="s">
        <v>1110</v>
      </c>
      <c r="V23" s="188" t="s">
        <v>1110</v>
      </c>
      <c r="W23" s="188" t="s">
        <v>1110</v>
      </c>
    </row>
    <row r="24" spans="1:23" x14ac:dyDescent="0.15">
      <c r="A24" s="188" t="s">
        <v>1583</v>
      </c>
      <c r="B24" s="188" t="s">
        <v>1583</v>
      </c>
      <c r="C24" s="188" t="s">
        <v>1583</v>
      </c>
      <c r="D24" s="188" t="s">
        <v>1110</v>
      </c>
      <c r="E24" s="188" t="s">
        <v>1110</v>
      </c>
      <c r="F24" s="188" t="s">
        <v>1110</v>
      </c>
      <c r="G24" s="188" t="s">
        <v>1110</v>
      </c>
      <c r="H24" s="188" t="s">
        <v>1110</v>
      </c>
      <c r="I24" s="188" t="s">
        <v>1110</v>
      </c>
      <c r="J24" s="188" t="s">
        <v>1110</v>
      </c>
      <c r="K24" s="188" t="s">
        <v>1110</v>
      </c>
      <c r="L24" s="188" t="s">
        <v>1110</v>
      </c>
      <c r="M24" s="188" t="s">
        <v>1110</v>
      </c>
      <c r="N24" s="188" t="s">
        <v>1110</v>
      </c>
      <c r="O24" s="188" t="s">
        <v>1110</v>
      </c>
      <c r="P24" s="188" t="s">
        <v>1110</v>
      </c>
      <c r="Q24" s="188" t="s">
        <v>1110</v>
      </c>
      <c r="R24" s="188" t="s">
        <v>1110</v>
      </c>
      <c r="S24" s="188" t="s">
        <v>1110</v>
      </c>
      <c r="T24" s="188" t="s">
        <v>1110</v>
      </c>
      <c r="U24" s="188" t="s">
        <v>1110</v>
      </c>
      <c r="V24" s="188" t="s">
        <v>1110</v>
      </c>
      <c r="W24" s="188" t="s">
        <v>1110</v>
      </c>
    </row>
    <row r="25" spans="1:23" x14ac:dyDescent="0.15">
      <c r="A25" s="188" t="s">
        <v>1584</v>
      </c>
      <c r="B25" s="188" t="s">
        <v>1584</v>
      </c>
      <c r="C25" s="188" t="s">
        <v>1584</v>
      </c>
      <c r="D25" s="188" t="s">
        <v>1110</v>
      </c>
      <c r="E25" s="188" t="s">
        <v>1110</v>
      </c>
      <c r="F25" s="188" t="s">
        <v>1110</v>
      </c>
      <c r="G25" s="188" t="s">
        <v>1110</v>
      </c>
      <c r="H25" s="188" t="s">
        <v>1110</v>
      </c>
      <c r="I25" s="188" t="s">
        <v>1110</v>
      </c>
      <c r="J25" s="188" t="s">
        <v>1110</v>
      </c>
      <c r="K25" s="188" t="s">
        <v>1110</v>
      </c>
      <c r="L25" s="188" t="s">
        <v>1110</v>
      </c>
      <c r="M25" s="188" t="s">
        <v>1110</v>
      </c>
      <c r="N25" s="188" t="s">
        <v>1110</v>
      </c>
      <c r="O25" s="188" t="s">
        <v>1110</v>
      </c>
      <c r="P25" s="188" t="s">
        <v>1110</v>
      </c>
      <c r="Q25" s="188" t="s">
        <v>1110</v>
      </c>
      <c r="R25" s="188" t="s">
        <v>1110</v>
      </c>
      <c r="S25" s="188" t="s">
        <v>1110</v>
      </c>
      <c r="T25" s="188" t="s">
        <v>1110</v>
      </c>
      <c r="U25" s="188" t="s">
        <v>1110</v>
      </c>
      <c r="V25" s="188" t="s">
        <v>1110</v>
      </c>
      <c r="W25" s="188" t="s">
        <v>1110</v>
      </c>
    </row>
    <row r="26" spans="1:23" x14ac:dyDescent="0.15">
      <c r="A26" s="188" t="s">
        <v>1079</v>
      </c>
      <c r="B26" s="188" t="s">
        <v>1079</v>
      </c>
      <c r="C26" s="188" t="s">
        <v>1079</v>
      </c>
      <c r="D26" s="188" t="s">
        <v>1110</v>
      </c>
      <c r="E26" s="188" t="s">
        <v>1110</v>
      </c>
      <c r="F26" s="188" t="s">
        <v>1110</v>
      </c>
      <c r="G26" s="188" t="s">
        <v>1110</v>
      </c>
      <c r="H26" s="188" t="s">
        <v>1110</v>
      </c>
      <c r="I26" s="188" t="s">
        <v>1110</v>
      </c>
      <c r="J26" s="188" t="s">
        <v>1110</v>
      </c>
      <c r="K26" s="188" t="s">
        <v>1110</v>
      </c>
      <c r="L26" s="188" t="s">
        <v>1110</v>
      </c>
      <c r="M26" s="188" t="s">
        <v>1110</v>
      </c>
      <c r="N26" s="188" t="s">
        <v>1110</v>
      </c>
      <c r="O26" s="188" t="s">
        <v>1110</v>
      </c>
      <c r="P26" s="188" t="s">
        <v>1110</v>
      </c>
      <c r="Q26" s="188" t="s">
        <v>1110</v>
      </c>
      <c r="R26" s="188" t="s">
        <v>1110</v>
      </c>
      <c r="S26" s="188" t="s">
        <v>1110</v>
      </c>
      <c r="T26" s="188" t="s">
        <v>1110</v>
      </c>
      <c r="U26" s="188" t="s">
        <v>1110</v>
      </c>
      <c r="V26" s="188" t="s">
        <v>1110</v>
      </c>
      <c r="W26" s="188" t="s">
        <v>1110</v>
      </c>
    </row>
    <row r="27" spans="1:23" x14ac:dyDescent="0.15">
      <c r="A27" s="188" t="s">
        <v>1029</v>
      </c>
      <c r="B27" s="188" t="s">
        <v>1029</v>
      </c>
      <c r="C27" s="188" t="s">
        <v>1029</v>
      </c>
      <c r="D27" s="188" t="s">
        <v>1110</v>
      </c>
      <c r="E27" s="188" t="s">
        <v>1110</v>
      </c>
      <c r="F27" s="188" t="s">
        <v>1110</v>
      </c>
      <c r="G27" s="188" t="s">
        <v>1110</v>
      </c>
      <c r="H27" s="188" t="s">
        <v>1110</v>
      </c>
      <c r="I27" s="188" t="s">
        <v>1110</v>
      </c>
      <c r="J27" s="188" t="s">
        <v>1110</v>
      </c>
      <c r="K27" s="188" t="s">
        <v>1110</v>
      </c>
      <c r="L27" s="188" t="s">
        <v>1110</v>
      </c>
      <c r="M27" s="188" t="s">
        <v>1110</v>
      </c>
      <c r="N27" s="188" t="s">
        <v>1110</v>
      </c>
      <c r="O27" s="188" t="s">
        <v>1110</v>
      </c>
      <c r="P27" s="188" t="s">
        <v>1110</v>
      </c>
      <c r="Q27" s="188" t="s">
        <v>1110</v>
      </c>
      <c r="R27" s="188" t="s">
        <v>1110</v>
      </c>
      <c r="S27" s="188" t="s">
        <v>1110</v>
      </c>
      <c r="T27" s="188" t="s">
        <v>1110</v>
      </c>
      <c r="U27" s="188" t="s">
        <v>1110</v>
      </c>
      <c r="V27" s="188" t="s">
        <v>1110</v>
      </c>
      <c r="W27" s="188" t="s">
        <v>1110</v>
      </c>
    </row>
    <row r="28" spans="1:23" x14ac:dyDescent="0.15">
      <c r="A28" s="188" t="s">
        <v>1423</v>
      </c>
      <c r="B28" s="188" t="s">
        <v>1423</v>
      </c>
      <c r="C28" s="188" t="s">
        <v>1423</v>
      </c>
      <c r="D28" s="188" t="s">
        <v>1110</v>
      </c>
      <c r="E28" s="188" t="s">
        <v>1110</v>
      </c>
      <c r="F28" s="188" t="s">
        <v>1110</v>
      </c>
      <c r="G28" s="188" t="s">
        <v>1110</v>
      </c>
      <c r="H28" s="188" t="s">
        <v>1110</v>
      </c>
      <c r="I28" s="188" t="s">
        <v>1110</v>
      </c>
      <c r="J28" s="188" t="s">
        <v>1110</v>
      </c>
      <c r="K28" s="188" t="s">
        <v>1110</v>
      </c>
      <c r="L28" s="188" t="s">
        <v>1110</v>
      </c>
      <c r="M28" s="188" t="s">
        <v>1110</v>
      </c>
      <c r="N28" s="188" t="s">
        <v>1110</v>
      </c>
      <c r="O28" s="188" t="s">
        <v>1110</v>
      </c>
      <c r="P28" s="188" t="s">
        <v>1110</v>
      </c>
      <c r="Q28" s="188" t="s">
        <v>1110</v>
      </c>
      <c r="R28" s="188" t="s">
        <v>1110</v>
      </c>
      <c r="S28" s="188" t="s">
        <v>1110</v>
      </c>
      <c r="T28" s="188" t="s">
        <v>1110</v>
      </c>
      <c r="U28" s="188" t="s">
        <v>1110</v>
      </c>
      <c r="V28" s="188" t="s">
        <v>1110</v>
      </c>
      <c r="W28" s="188" t="s">
        <v>1110</v>
      </c>
    </row>
    <row r="29" spans="1:23" x14ac:dyDescent="0.15">
      <c r="A29" s="188" t="s">
        <v>1426</v>
      </c>
      <c r="B29" s="188" t="s">
        <v>1426</v>
      </c>
      <c r="C29" s="188" t="s">
        <v>1426</v>
      </c>
      <c r="D29" s="188" t="s">
        <v>1110</v>
      </c>
      <c r="E29" s="188" t="s">
        <v>1110</v>
      </c>
      <c r="F29" s="188" t="s">
        <v>1110</v>
      </c>
      <c r="G29" s="188" t="s">
        <v>1110</v>
      </c>
      <c r="H29" s="188" t="s">
        <v>1110</v>
      </c>
      <c r="I29" s="188" t="s">
        <v>1110</v>
      </c>
      <c r="J29" s="188" t="s">
        <v>1110</v>
      </c>
      <c r="K29" s="188" t="s">
        <v>1110</v>
      </c>
      <c r="L29" s="188" t="s">
        <v>1110</v>
      </c>
      <c r="M29" s="188" t="s">
        <v>1110</v>
      </c>
      <c r="N29" s="188" t="s">
        <v>1110</v>
      </c>
      <c r="O29" s="188" t="s">
        <v>1110</v>
      </c>
      <c r="P29" s="188" t="s">
        <v>1110</v>
      </c>
      <c r="Q29" s="188" t="s">
        <v>1110</v>
      </c>
      <c r="R29" s="188" t="s">
        <v>1110</v>
      </c>
      <c r="S29" s="188" t="s">
        <v>1110</v>
      </c>
      <c r="T29" s="188" t="s">
        <v>1110</v>
      </c>
      <c r="U29" s="188" t="s">
        <v>1110</v>
      </c>
      <c r="V29" s="188" t="s">
        <v>1110</v>
      </c>
      <c r="W29" s="188" t="s">
        <v>1110</v>
      </c>
    </row>
    <row r="30" spans="1:23" x14ac:dyDescent="0.15">
      <c r="A30" s="188" t="s">
        <v>74</v>
      </c>
      <c r="B30" s="188" t="s">
        <v>74</v>
      </c>
      <c r="C30" s="188" t="s">
        <v>74</v>
      </c>
      <c r="D30" s="188" t="s">
        <v>1110</v>
      </c>
      <c r="E30" s="188" t="s">
        <v>1110</v>
      </c>
      <c r="F30" s="188" t="s">
        <v>1110</v>
      </c>
      <c r="G30" s="188" t="s">
        <v>1110</v>
      </c>
      <c r="H30" s="188" t="s">
        <v>1110</v>
      </c>
      <c r="I30" s="188" t="s">
        <v>1110</v>
      </c>
      <c r="J30" s="188" t="s">
        <v>1110</v>
      </c>
      <c r="K30" s="188" t="s">
        <v>1110</v>
      </c>
      <c r="L30" s="188" t="s">
        <v>1110</v>
      </c>
      <c r="M30" s="188" t="s">
        <v>1110</v>
      </c>
      <c r="N30" s="188" t="s">
        <v>1110</v>
      </c>
      <c r="O30" s="188" t="s">
        <v>1110</v>
      </c>
      <c r="P30" s="188" t="s">
        <v>1110</v>
      </c>
      <c r="Q30" s="188" t="s">
        <v>1110</v>
      </c>
      <c r="R30" s="188" t="s">
        <v>1110</v>
      </c>
      <c r="S30" s="188" t="s">
        <v>1110</v>
      </c>
      <c r="T30" s="188" t="s">
        <v>1110</v>
      </c>
      <c r="U30" s="188" t="s">
        <v>1110</v>
      </c>
      <c r="V30" s="188" t="s">
        <v>1110</v>
      </c>
      <c r="W30" s="188" t="s">
        <v>1110</v>
      </c>
    </row>
    <row r="31" spans="1:23" x14ac:dyDescent="0.15">
      <c r="A31" s="188" t="s">
        <v>83</v>
      </c>
      <c r="B31" s="188" t="s">
        <v>83</v>
      </c>
      <c r="C31" s="188" t="s">
        <v>83</v>
      </c>
      <c r="D31" s="188" t="s">
        <v>1110</v>
      </c>
      <c r="E31" s="188" t="s">
        <v>1110</v>
      </c>
      <c r="F31" s="188" t="s">
        <v>1110</v>
      </c>
      <c r="G31" s="188" t="s">
        <v>1110</v>
      </c>
      <c r="H31" s="188" t="s">
        <v>1110</v>
      </c>
      <c r="I31" s="188" t="s">
        <v>1110</v>
      </c>
      <c r="J31" s="188" t="s">
        <v>1110</v>
      </c>
      <c r="K31" s="188" t="s">
        <v>1110</v>
      </c>
      <c r="L31" s="188" t="s">
        <v>1110</v>
      </c>
      <c r="M31" s="188" t="s">
        <v>1110</v>
      </c>
      <c r="N31" s="188" t="s">
        <v>1110</v>
      </c>
      <c r="O31" s="188" t="s">
        <v>1110</v>
      </c>
      <c r="P31" s="188" t="s">
        <v>1110</v>
      </c>
      <c r="Q31" s="188" t="s">
        <v>1110</v>
      </c>
      <c r="R31" s="188" t="s">
        <v>1110</v>
      </c>
      <c r="S31" s="188" t="s">
        <v>1110</v>
      </c>
      <c r="T31" s="188" t="s">
        <v>1110</v>
      </c>
      <c r="U31" s="188" t="s">
        <v>1110</v>
      </c>
      <c r="V31" s="188" t="s">
        <v>1110</v>
      </c>
      <c r="W31" s="188" t="s">
        <v>1110</v>
      </c>
    </row>
    <row r="32" spans="1:23" x14ac:dyDescent="0.15">
      <c r="A32" s="188" t="s">
        <v>1602</v>
      </c>
      <c r="B32" s="188" t="s">
        <v>1602</v>
      </c>
      <c r="C32" s="188" t="s">
        <v>1602</v>
      </c>
      <c r="D32" s="188" t="s">
        <v>1110</v>
      </c>
      <c r="E32" s="188" t="s">
        <v>1110</v>
      </c>
      <c r="F32" s="188" t="s">
        <v>1110</v>
      </c>
      <c r="G32" s="188" t="s">
        <v>1110</v>
      </c>
      <c r="H32" s="188" t="s">
        <v>1110</v>
      </c>
      <c r="I32" s="188" t="s">
        <v>1110</v>
      </c>
      <c r="J32" s="188" t="s">
        <v>1110</v>
      </c>
      <c r="K32" s="188" t="s">
        <v>1110</v>
      </c>
      <c r="L32" s="188" t="s">
        <v>1110</v>
      </c>
      <c r="M32" s="188" t="s">
        <v>1110</v>
      </c>
      <c r="N32" s="188" t="s">
        <v>1110</v>
      </c>
      <c r="O32" s="188" t="s">
        <v>1110</v>
      </c>
      <c r="P32" s="188" t="s">
        <v>1110</v>
      </c>
      <c r="Q32" s="188" t="s">
        <v>1110</v>
      </c>
      <c r="R32" s="188" t="s">
        <v>1110</v>
      </c>
      <c r="S32" s="188" t="s">
        <v>1110</v>
      </c>
      <c r="T32" s="188" t="s">
        <v>1110</v>
      </c>
      <c r="U32" s="188" t="s">
        <v>1110</v>
      </c>
      <c r="V32" s="188" t="s">
        <v>1110</v>
      </c>
      <c r="W32" s="188" t="s">
        <v>1110</v>
      </c>
    </row>
    <row r="33" spans="1:23" x14ac:dyDescent="0.15">
      <c r="A33" s="188" t="s">
        <v>529</v>
      </c>
      <c r="B33" s="188" t="s">
        <v>529</v>
      </c>
      <c r="C33" s="188" t="s">
        <v>529</v>
      </c>
      <c r="D33" s="188" t="s">
        <v>1110</v>
      </c>
      <c r="E33" s="188" t="s">
        <v>1110</v>
      </c>
      <c r="F33" s="188" t="s">
        <v>529</v>
      </c>
      <c r="G33" s="188" t="s">
        <v>1110</v>
      </c>
      <c r="H33" s="188" t="s">
        <v>529</v>
      </c>
      <c r="I33" s="188" t="s">
        <v>1110</v>
      </c>
      <c r="J33" s="188" t="s">
        <v>1110</v>
      </c>
      <c r="K33" s="188" t="s">
        <v>1110</v>
      </c>
      <c r="L33" s="188" t="s">
        <v>1110</v>
      </c>
      <c r="M33" s="188" t="s">
        <v>1110</v>
      </c>
      <c r="N33" s="188" t="s">
        <v>1110</v>
      </c>
      <c r="O33" s="188" t="s">
        <v>1110</v>
      </c>
      <c r="P33" s="188" t="s">
        <v>1110</v>
      </c>
      <c r="Q33" s="188" t="s">
        <v>1110</v>
      </c>
      <c r="R33" s="188" t="s">
        <v>1110</v>
      </c>
      <c r="S33" s="188" t="s">
        <v>1110</v>
      </c>
      <c r="T33" s="188" t="s">
        <v>1110</v>
      </c>
      <c r="U33" s="188" t="s">
        <v>1110</v>
      </c>
      <c r="V33" s="188" t="s">
        <v>1110</v>
      </c>
      <c r="W33" s="188" t="s">
        <v>1110</v>
      </c>
    </row>
    <row r="34" spans="1:23" x14ac:dyDescent="0.15">
      <c r="A34" s="188" t="s">
        <v>113</v>
      </c>
      <c r="B34" s="188" t="s">
        <v>113</v>
      </c>
      <c r="C34" s="188" t="s">
        <v>113</v>
      </c>
      <c r="D34" s="188" t="s">
        <v>1110</v>
      </c>
      <c r="E34" s="188" t="s">
        <v>1110</v>
      </c>
      <c r="F34" s="188" t="s">
        <v>113</v>
      </c>
      <c r="G34" s="188" t="s">
        <v>1110</v>
      </c>
      <c r="H34" s="188" t="s">
        <v>113</v>
      </c>
      <c r="I34" s="188" t="s">
        <v>1110</v>
      </c>
      <c r="J34" s="188" t="s">
        <v>1110</v>
      </c>
      <c r="K34" s="188" t="s">
        <v>1110</v>
      </c>
      <c r="L34" s="188" t="s">
        <v>1110</v>
      </c>
      <c r="M34" s="188" t="s">
        <v>1110</v>
      </c>
      <c r="N34" s="188" t="s">
        <v>1110</v>
      </c>
      <c r="O34" s="188" t="s">
        <v>1110</v>
      </c>
      <c r="P34" s="188" t="s">
        <v>1110</v>
      </c>
      <c r="Q34" s="188" t="s">
        <v>1110</v>
      </c>
      <c r="R34" s="188" t="s">
        <v>1110</v>
      </c>
      <c r="S34" s="188" t="s">
        <v>1110</v>
      </c>
      <c r="T34" s="188" t="s">
        <v>1110</v>
      </c>
      <c r="U34" s="188" t="s">
        <v>1110</v>
      </c>
      <c r="V34" s="188" t="s">
        <v>1110</v>
      </c>
      <c r="W34" s="188" t="s">
        <v>1110</v>
      </c>
    </row>
    <row r="35" spans="1:23" x14ac:dyDescent="0.15">
      <c r="A35" s="188" t="s">
        <v>722</v>
      </c>
      <c r="B35" s="188" t="s">
        <v>722</v>
      </c>
      <c r="C35" s="188" t="s">
        <v>722</v>
      </c>
      <c r="D35" s="188" t="s">
        <v>1110</v>
      </c>
      <c r="E35" s="188" t="s">
        <v>1110</v>
      </c>
      <c r="F35" s="188" t="s">
        <v>1110</v>
      </c>
      <c r="G35" s="188" t="s">
        <v>1110</v>
      </c>
      <c r="H35" s="188" t="s">
        <v>1110</v>
      </c>
      <c r="I35" s="188" t="s">
        <v>722</v>
      </c>
      <c r="J35" s="188" t="s">
        <v>1110</v>
      </c>
      <c r="K35" s="188" t="s">
        <v>1110</v>
      </c>
      <c r="L35" s="188" t="s">
        <v>1110</v>
      </c>
      <c r="M35" s="188" t="s">
        <v>1110</v>
      </c>
      <c r="N35" s="188" t="s">
        <v>1110</v>
      </c>
      <c r="O35" s="188" t="s">
        <v>1110</v>
      </c>
      <c r="P35" s="188" t="s">
        <v>1110</v>
      </c>
      <c r="Q35" s="188" t="s">
        <v>1110</v>
      </c>
      <c r="R35" s="188" t="s">
        <v>1110</v>
      </c>
      <c r="S35" s="188" t="s">
        <v>1110</v>
      </c>
      <c r="T35" s="188" t="s">
        <v>1110</v>
      </c>
      <c r="U35" s="188" t="s">
        <v>1110</v>
      </c>
      <c r="V35" s="188" t="s">
        <v>1110</v>
      </c>
      <c r="W35" s="188" t="s">
        <v>1110</v>
      </c>
    </row>
    <row r="36" spans="1:23" x14ac:dyDescent="0.15">
      <c r="A36" s="188" t="s">
        <v>577</v>
      </c>
      <c r="B36" s="188" t="s">
        <v>577</v>
      </c>
      <c r="C36" s="188" t="s">
        <v>577</v>
      </c>
      <c r="D36" s="188" t="s">
        <v>1110</v>
      </c>
      <c r="E36" s="188" t="s">
        <v>1110</v>
      </c>
      <c r="F36" s="188" t="s">
        <v>1110</v>
      </c>
      <c r="G36" s="188" t="s">
        <v>1110</v>
      </c>
      <c r="H36" s="188" t="s">
        <v>1110</v>
      </c>
      <c r="I36" s="188" t="s">
        <v>577</v>
      </c>
      <c r="J36" s="188" t="s">
        <v>1110</v>
      </c>
      <c r="K36" s="188" t="s">
        <v>1110</v>
      </c>
      <c r="L36" s="188" t="s">
        <v>1110</v>
      </c>
      <c r="M36" s="188" t="s">
        <v>1110</v>
      </c>
      <c r="N36" s="188" t="s">
        <v>1110</v>
      </c>
      <c r="O36" s="188" t="s">
        <v>1110</v>
      </c>
      <c r="P36" s="188" t="s">
        <v>1110</v>
      </c>
      <c r="Q36" s="188" t="s">
        <v>1110</v>
      </c>
      <c r="R36" s="188" t="s">
        <v>1110</v>
      </c>
      <c r="S36" s="188" t="s">
        <v>1110</v>
      </c>
      <c r="T36" s="188" t="s">
        <v>1110</v>
      </c>
      <c r="U36" s="188" t="s">
        <v>1110</v>
      </c>
      <c r="V36" s="188" t="s">
        <v>1110</v>
      </c>
      <c r="W36" s="188" t="s">
        <v>1110</v>
      </c>
    </row>
    <row r="37" spans="1:23" x14ac:dyDescent="0.15">
      <c r="A37" s="188" t="s">
        <v>1080</v>
      </c>
      <c r="B37" s="188" t="s">
        <v>1080</v>
      </c>
      <c r="C37" s="188" t="s">
        <v>1080</v>
      </c>
      <c r="D37" s="188" t="s">
        <v>1110</v>
      </c>
      <c r="E37" s="188" t="s">
        <v>1080</v>
      </c>
      <c r="F37" s="188" t="s">
        <v>1080</v>
      </c>
      <c r="G37" s="188" t="s">
        <v>1110</v>
      </c>
      <c r="H37" s="188" t="s">
        <v>1080</v>
      </c>
      <c r="I37" s="188" t="s">
        <v>1110</v>
      </c>
      <c r="J37" s="188" t="s">
        <v>1080</v>
      </c>
      <c r="K37" s="188" t="s">
        <v>1110</v>
      </c>
      <c r="L37" s="188" t="s">
        <v>1110</v>
      </c>
      <c r="M37" s="188" t="s">
        <v>1110</v>
      </c>
      <c r="N37" s="188" t="s">
        <v>1110</v>
      </c>
      <c r="O37" s="188" t="s">
        <v>1110</v>
      </c>
      <c r="P37" s="188" t="s">
        <v>1110</v>
      </c>
      <c r="Q37" s="188" t="s">
        <v>1110</v>
      </c>
      <c r="R37" s="188" t="s">
        <v>1110</v>
      </c>
      <c r="S37" s="188" t="s">
        <v>1110</v>
      </c>
      <c r="T37" s="188" t="s">
        <v>1110</v>
      </c>
      <c r="U37" s="188" t="s">
        <v>1110</v>
      </c>
      <c r="V37" s="188" t="s">
        <v>1110</v>
      </c>
      <c r="W37" s="188" t="s">
        <v>1110</v>
      </c>
    </row>
    <row r="38" spans="1:23" x14ac:dyDescent="0.15">
      <c r="A38" s="188" t="s">
        <v>1081</v>
      </c>
      <c r="B38" s="188" t="s">
        <v>1081</v>
      </c>
      <c r="C38" s="188" t="s">
        <v>1081</v>
      </c>
      <c r="D38" s="188" t="s">
        <v>1110</v>
      </c>
      <c r="E38" s="188" t="s">
        <v>1081</v>
      </c>
      <c r="F38" s="188" t="s">
        <v>1081</v>
      </c>
      <c r="G38" s="188" t="s">
        <v>1110</v>
      </c>
      <c r="H38" s="188" t="s">
        <v>1081</v>
      </c>
      <c r="I38" s="188" t="s">
        <v>1110</v>
      </c>
      <c r="J38" s="188" t="s">
        <v>1081</v>
      </c>
      <c r="K38" s="188" t="s">
        <v>1110</v>
      </c>
      <c r="L38" s="188" t="s">
        <v>1110</v>
      </c>
      <c r="M38" s="188" t="s">
        <v>1110</v>
      </c>
      <c r="N38" s="188" t="s">
        <v>1110</v>
      </c>
      <c r="O38" s="188" t="s">
        <v>1110</v>
      </c>
      <c r="P38" s="188" t="s">
        <v>1110</v>
      </c>
      <c r="Q38" s="188" t="s">
        <v>1110</v>
      </c>
      <c r="R38" s="188" t="s">
        <v>1110</v>
      </c>
      <c r="S38" s="188" t="s">
        <v>1110</v>
      </c>
      <c r="T38" s="188" t="s">
        <v>1110</v>
      </c>
      <c r="U38" s="188" t="s">
        <v>1110</v>
      </c>
      <c r="V38" s="188" t="s">
        <v>1110</v>
      </c>
      <c r="W38" s="188" t="s">
        <v>1110</v>
      </c>
    </row>
    <row r="39" spans="1:23" x14ac:dyDescent="0.15">
      <c r="A39" s="188" t="s">
        <v>1097</v>
      </c>
      <c r="B39" s="188" t="s">
        <v>1110</v>
      </c>
      <c r="C39" s="188" t="s">
        <v>1110</v>
      </c>
      <c r="D39" s="188" t="s">
        <v>1110</v>
      </c>
      <c r="E39" s="188" t="s">
        <v>1110</v>
      </c>
      <c r="F39" s="188" t="s">
        <v>1097</v>
      </c>
      <c r="G39" s="188" t="s">
        <v>1110</v>
      </c>
      <c r="H39" s="188" t="s">
        <v>1097</v>
      </c>
      <c r="I39" s="188" t="s">
        <v>1110</v>
      </c>
      <c r="J39" s="188" t="s">
        <v>1110</v>
      </c>
      <c r="K39" s="188" t="s">
        <v>1110</v>
      </c>
      <c r="L39" s="188" t="s">
        <v>1110</v>
      </c>
      <c r="M39" s="188" t="s">
        <v>1110</v>
      </c>
      <c r="N39" s="188" t="s">
        <v>1110</v>
      </c>
      <c r="O39" s="188" t="s">
        <v>1110</v>
      </c>
      <c r="P39" s="188" t="s">
        <v>1110</v>
      </c>
      <c r="Q39" s="188" t="s">
        <v>1110</v>
      </c>
      <c r="R39" s="188" t="s">
        <v>1110</v>
      </c>
      <c r="S39" s="188" t="s">
        <v>1110</v>
      </c>
      <c r="T39" s="188" t="s">
        <v>1110</v>
      </c>
      <c r="U39" s="188" t="s">
        <v>1110</v>
      </c>
      <c r="V39" s="188" t="s">
        <v>1110</v>
      </c>
      <c r="W39" s="188" t="s">
        <v>1110</v>
      </c>
    </row>
    <row r="40" spans="1:23" x14ac:dyDescent="0.15">
      <c r="A40" s="188" t="s">
        <v>1420</v>
      </c>
      <c r="B40" s="188" t="s">
        <v>1420</v>
      </c>
      <c r="C40" s="188" t="s">
        <v>1420</v>
      </c>
      <c r="D40" s="188" t="s">
        <v>1110</v>
      </c>
      <c r="E40" s="188" t="s">
        <v>1420</v>
      </c>
      <c r="F40" s="188" t="s">
        <v>1110</v>
      </c>
      <c r="G40" s="188" t="s">
        <v>1110</v>
      </c>
      <c r="H40" s="188" t="s">
        <v>1110</v>
      </c>
      <c r="I40" s="188" t="s">
        <v>1110</v>
      </c>
      <c r="J40" s="188" t="s">
        <v>1110</v>
      </c>
      <c r="K40" s="188" t="s">
        <v>1110</v>
      </c>
      <c r="L40" s="188" t="s">
        <v>1110</v>
      </c>
      <c r="M40" s="188" t="s">
        <v>1110</v>
      </c>
      <c r="N40" s="188" t="s">
        <v>1110</v>
      </c>
      <c r="O40" s="188" t="s">
        <v>1110</v>
      </c>
      <c r="P40" s="188" t="s">
        <v>1110</v>
      </c>
      <c r="Q40" s="188" t="s">
        <v>1110</v>
      </c>
      <c r="R40" s="188" t="s">
        <v>1110</v>
      </c>
      <c r="S40" s="188" t="s">
        <v>1110</v>
      </c>
      <c r="T40" s="188" t="s">
        <v>1110</v>
      </c>
      <c r="U40" s="188" t="s">
        <v>1110</v>
      </c>
      <c r="V40" s="188" t="s">
        <v>1110</v>
      </c>
      <c r="W40" s="188" t="s">
        <v>1110</v>
      </c>
    </row>
    <row r="41" spans="1:23" x14ac:dyDescent="0.15">
      <c r="A41" s="188" t="s">
        <v>1027</v>
      </c>
      <c r="B41" s="188" t="s">
        <v>1027</v>
      </c>
      <c r="C41" s="188" t="s">
        <v>1027</v>
      </c>
      <c r="D41" s="188" t="s">
        <v>1110</v>
      </c>
      <c r="E41" s="188" t="s">
        <v>1027</v>
      </c>
      <c r="F41" s="188" t="s">
        <v>1027</v>
      </c>
      <c r="G41" s="188" t="s">
        <v>1110</v>
      </c>
      <c r="H41" s="188" t="s">
        <v>1027</v>
      </c>
      <c r="I41" s="188" t="s">
        <v>1110</v>
      </c>
      <c r="J41" s="188" t="s">
        <v>1110</v>
      </c>
      <c r="K41" s="188" t="s">
        <v>1110</v>
      </c>
      <c r="L41" s="188" t="s">
        <v>1110</v>
      </c>
      <c r="M41" s="188" t="s">
        <v>1110</v>
      </c>
      <c r="N41" s="188" t="s">
        <v>1110</v>
      </c>
      <c r="O41" s="188" t="s">
        <v>1110</v>
      </c>
      <c r="P41" s="188" t="s">
        <v>1110</v>
      </c>
      <c r="Q41" s="188" t="s">
        <v>1110</v>
      </c>
      <c r="R41" s="188" t="s">
        <v>1110</v>
      </c>
      <c r="S41" s="188" t="s">
        <v>1110</v>
      </c>
      <c r="T41" s="188" t="s">
        <v>1110</v>
      </c>
      <c r="U41" s="188" t="s">
        <v>1110</v>
      </c>
      <c r="V41" s="188" t="s">
        <v>1110</v>
      </c>
      <c r="W41" s="188" t="s">
        <v>1110</v>
      </c>
    </row>
    <row r="42" spans="1:23" x14ac:dyDescent="0.15">
      <c r="A42" s="188" t="s">
        <v>1418</v>
      </c>
      <c r="B42" s="188" t="s">
        <v>1418</v>
      </c>
      <c r="C42" s="188" t="s">
        <v>1418</v>
      </c>
      <c r="D42" s="188" t="s">
        <v>1110</v>
      </c>
      <c r="E42" s="188" t="s">
        <v>1418</v>
      </c>
      <c r="F42" s="188" t="s">
        <v>1418</v>
      </c>
      <c r="G42" s="188" t="s">
        <v>1110</v>
      </c>
      <c r="H42" s="188" t="s">
        <v>1418</v>
      </c>
      <c r="I42" s="188" t="s">
        <v>1110</v>
      </c>
      <c r="J42" s="188" t="s">
        <v>1418</v>
      </c>
      <c r="K42" s="188" t="s">
        <v>1110</v>
      </c>
      <c r="L42" s="188" t="s">
        <v>1110</v>
      </c>
      <c r="M42" s="188" t="s">
        <v>1110</v>
      </c>
      <c r="N42" s="188" t="s">
        <v>1110</v>
      </c>
      <c r="O42" s="188" t="s">
        <v>1110</v>
      </c>
      <c r="P42" s="188" t="s">
        <v>1110</v>
      </c>
      <c r="Q42" s="188" t="s">
        <v>1110</v>
      </c>
      <c r="R42" s="188" t="s">
        <v>1110</v>
      </c>
      <c r="S42" s="188" t="s">
        <v>1110</v>
      </c>
      <c r="T42" s="188" t="s">
        <v>1110</v>
      </c>
      <c r="U42" s="188" t="s">
        <v>1110</v>
      </c>
      <c r="V42" s="188" t="s">
        <v>1110</v>
      </c>
      <c r="W42" s="188" t="s">
        <v>1110</v>
      </c>
    </row>
    <row r="43" spans="1:23" x14ac:dyDescent="0.15">
      <c r="A43" s="188" t="s">
        <v>1028</v>
      </c>
      <c r="B43" s="188" t="s">
        <v>1028</v>
      </c>
      <c r="C43" s="188" t="s">
        <v>1028</v>
      </c>
      <c r="D43" s="188" t="s">
        <v>1110</v>
      </c>
      <c r="E43" s="188" t="s">
        <v>1028</v>
      </c>
      <c r="F43" s="188" t="s">
        <v>1028</v>
      </c>
      <c r="G43" s="188" t="s">
        <v>1110</v>
      </c>
      <c r="H43" s="188" t="s">
        <v>1028</v>
      </c>
      <c r="I43" s="188" t="s">
        <v>1110</v>
      </c>
      <c r="J43" s="188" t="s">
        <v>1110</v>
      </c>
      <c r="K43" s="188" t="s">
        <v>1110</v>
      </c>
      <c r="L43" s="188" t="s">
        <v>1110</v>
      </c>
      <c r="M43" s="188" t="s">
        <v>1110</v>
      </c>
      <c r="N43" s="188" t="s">
        <v>1110</v>
      </c>
      <c r="O43" s="188" t="s">
        <v>1110</v>
      </c>
      <c r="P43" s="188" t="s">
        <v>1110</v>
      </c>
      <c r="Q43" s="188" t="s">
        <v>1110</v>
      </c>
      <c r="R43" s="188" t="s">
        <v>1110</v>
      </c>
      <c r="S43" s="188" t="s">
        <v>1110</v>
      </c>
      <c r="T43" s="188" t="s">
        <v>1110</v>
      </c>
      <c r="U43" s="188" t="s">
        <v>1110</v>
      </c>
      <c r="V43" s="188" t="s">
        <v>1110</v>
      </c>
      <c r="W43" s="188" t="s">
        <v>1110</v>
      </c>
    </row>
    <row r="44" spans="1:23" x14ac:dyDescent="0.15">
      <c r="A44" s="188" t="s">
        <v>1421</v>
      </c>
      <c r="B44" s="188" t="s">
        <v>1421</v>
      </c>
      <c r="C44" s="188" t="s">
        <v>1421</v>
      </c>
      <c r="D44" s="188" t="s">
        <v>1110</v>
      </c>
      <c r="E44" s="188" t="s">
        <v>1421</v>
      </c>
      <c r="F44" s="188" t="s">
        <v>1421</v>
      </c>
      <c r="G44" s="188" t="s">
        <v>1110</v>
      </c>
      <c r="H44" s="188" t="s">
        <v>1421</v>
      </c>
      <c r="I44" s="188" t="s">
        <v>1110</v>
      </c>
      <c r="J44" s="188" t="s">
        <v>1421</v>
      </c>
      <c r="K44" s="188" t="s">
        <v>1110</v>
      </c>
      <c r="L44" s="188" t="s">
        <v>1110</v>
      </c>
      <c r="M44" s="188" t="s">
        <v>1110</v>
      </c>
      <c r="N44" s="188" t="s">
        <v>1110</v>
      </c>
      <c r="O44" s="188" t="s">
        <v>1110</v>
      </c>
      <c r="P44" s="188" t="s">
        <v>1110</v>
      </c>
      <c r="Q44" s="188" t="s">
        <v>1110</v>
      </c>
      <c r="R44" s="188" t="s">
        <v>1110</v>
      </c>
      <c r="S44" s="188" t="s">
        <v>1110</v>
      </c>
      <c r="T44" s="188" t="s">
        <v>1110</v>
      </c>
      <c r="U44" s="188" t="s">
        <v>1110</v>
      </c>
      <c r="V44" s="188" t="s">
        <v>1110</v>
      </c>
      <c r="W44" s="188" t="s">
        <v>1110</v>
      </c>
    </row>
    <row r="45" spans="1:23" x14ac:dyDescent="0.15">
      <c r="A45" s="188" t="s">
        <v>1422</v>
      </c>
      <c r="B45" s="188" t="s">
        <v>1422</v>
      </c>
      <c r="C45" s="188" t="s">
        <v>1422</v>
      </c>
      <c r="D45" s="188" t="s">
        <v>1110</v>
      </c>
      <c r="E45" s="188" t="s">
        <v>1422</v>
      </c>
      <c r="F45" s="188" t="s">
        <v>1422</v>
      </c>
      <c r="G45" s="188" t="s">
        <v>1110</v>
      </c>
      <c r="H45" s="188" t="s">
        <v>1422</v>
      </c>
      <c r="I45" s="188" t="s">
        <v>1110</v>
      </c>
      <c r="J45" s="188" t="s">
        <v>1422</v>
      </c>
      <c r="K45" s="188" t="s">
        <v>1110</v>
      </c>
      <c r="L45" s="188" t="s">
        <v>1110</v>
      </c>
      <c r="M45" s="188" t="s">
        <v>1110</v>
      </c>
      <c r="N45" s="188" t="s">
        <v>1110</v>
      </c>
      <c r="O45" s="188" t="s">
        <v>1110</v>
      </c>
      <c r="P45" s="188" t="s">
        <v>1110</v>
      </c>
      <c r="Q45" s="188" t="s">
        <v>1110</v>
      </c>
      <c r="R45" s="188" t="s">
        <v>1110</v>
      </c>
      <c r="S45" s="188" t="s">
        <v>1110</v>
      </c>
      <c r="T45" s="188" t="s">
        <v>1110</v>
      </c>
      <c r="U45" s="188" t="s">
        <v>1110</v>
      </c>
      <c r="V45" s="188" t="s">
        <v>1110</v>
      </c>
      <c r="W45" s="188" t="s">
        <v>1110</v>
      </c>
    </row>
    <row r="46" spans="1:23" x14ac:dyDescent="0.15">
      <c r="A46" s="188" t="s">
        <v>1082</v>
      </c>
      <c r="B46" s="188" t="s">
        <v>1082</v>
      </c>
      <c r="C46" s="188" t="s">
        <v>1082</v>
      </c>
      <c r="D46" s="188" t="s">
        <v>1110</v>
      </c>
      <c r="E46" s="188" t="s">
        <v>1082</v>
      </c>
      <c r="F46" s="188" t="s">
        <v>1082</v>
      </c>
      <c r="G46" s="188" t="s">
        <v>1110</v>
      </c>
      <c r="H46" s="188" t="s">
        <v>1082</v>
      </c>
      <c r="I46" s="188" t="s">
        <v>1110</v>
      </c>
      <c r="J46" s="188" t="s">
        <v>1110</v>
      </c>
      <c r="K46" s="188" t="s">
        <v>1110</v>
      </c>
      <c r="L46" s="188" t="s">
        <v>1110</v>
      </c>
      <c r="M46" s="188" t="s">
        <v>1110</v>
      </c>
      <c r="N46" s="188" t="s">
        <v>1110</v>
      </c>
      <c r="O46" s="188" t="s">
        <v>1110</v>
      </c>
      <c r="P46" s="188" t="s">
        <v>1110</v>
      </c>
      <c r="Q46" s="188" t="s">
        <v>1110</v>
      </c>
      <c r="R46" s="188" t="s">
        <v>1110</v>
      </c>
      <c r="S46" s="188" t="s">
        <v>1110</v>
      </c>
      <c r="T46" s="188" t="s">
        <v>1110</v>
      </c>
      <c r="U46" s="188" t="s">
        <v>1110</v>
      </c>
      <c r="V46" s="188" t="s">
        <v>1110</v>
      </c>
      <c r="W46" s="188" t="s">
        <v>1110</v>
      </c>
    </row>
    <row r="47" spans="1:23" x14ac:dyDescent="0.15">
      <c r="A47" s="188" t="s">
        <v>1083</v>
      </c>
      <c r="B47" s="188" t="s">
        <v>1083</v>
      </c>
      <c r="C47" s="188" t="s">
        <v>1083</v>
      </c>
      <c r="D47" s="188" t="s">
        <v>1110</v>
      </c>
      <c r="E47" s="188" t="s">
        <v>1083</v>
      </c>
      <c r="F47" s="188" t="s">
        <v>1083</v>
      </c>
      <c r="G47" s="188" t="s">
        <v>1110</v>
      </c>
      <c r="H47" s="188" t="s">
        <v>1083</v>
      </c>
      <c r="I47" s="188" t="s">
        <v>1110</v>
      </c>
      <c r="J47" s="188" t="s">
        <v>1110</v>
      </c>
      <c r="K47" s="188" t="s">
        <v>1110</v>
      </c>
      <c r="L47" s="188" t="s">
        <v>1110</v>
      </c>
      <c r="M47" s="188" t="s">
        <v>1110</v>
      </c>
      <c r="N47" s="188" t="s">
        <v>1110</v>
      </c>
      <c r="O47" s="188" t="s">
        <v>1110</v>
      </c>
      <c r="P47" s="188" t="s">
        <v>1110</v>
      </c>
      <c r="Q47" s="188" t="s">
        <v>1110</v>
      </c>
      <c r="R47" s="188" t="s">
        <v>1110</v>
      </c>
      <c r="S47" s="188" t="s">
        <v>1110</v>
      </c>
      <c r="T47" s="188" t="s">
        <v>1110</v>
      </c>
      <c r="U47" s="188" t="s">
        <v>1110</v>
      </c>
      <c r="V47" s="188" t="s">
        <v>1110</v>
      </c>
      <c r="W47" s="188" t="s">
        <v>1110</v>
      </c>
    </row>
    <row r="48" spans="1:23" x14ac:dyDescent="0.15">
      <c r="A48" s="188" t="s">
        <v>1006</v>
      </c>
      <c r="B48" s="188" t="s">
        <v>1006</v>
      </c>
      <c r="C48" s="188" t="s">
        <v>1006</v>
      </c>
      <c r="D48" s="188" t="s">
        <v>1110</v>
      </c>
      <c r="E48" s="188" t="s">
        <v>1110</v>
      </c>
      <c r="F48" s="188" t="s">
        <v>1110</v>
      </c>
      <c r="G48" s="188" t="s">
        <v>1110</v>
      </c>
      <c r="H48" s="188" t="s">
        <v>1110</v>
      </c>
      <c r="I48" s="188" t="s">
        <v>1110</v>
      </c>
      <c r="J48" s="188" t="s">
        <v>1110</v>
      </c>
      <c r="K48" s="188" t="s">
        <v>1110</v>
      </c>
      <c r="L48" s="188" t="s">
        <v>1110</v>
      </c>
      <c r="M48" s="188" t="s">
        <v>1110</v>
      </c>
      <c r="N48" s="188" t="s">
        <v>1110</v>
      </c>
      <c r="O48" s="188" t="s">
        <v>1110</v>
      </c>
      <c r="P48" s="188" t="s">
        <v>1110</v>
      </c>
      <c r="Q48" s="188" t="s">
        <v>1006</v>
      </c>
      <c r="R48" s="188" t="s">
        <v>1110</v>
      </c>
      <c r="S48" s="188" t="s">
        <v>1110</v>
      </c>
      <c r="T48" s="188" t="s">
        <v>1110</v>
      </c>
      <c r="U48" s="188" t="s">
        <v>1110</v>
      </c>
      <c r="V48" s="188" t="s">
        <v>1110</v>
      </c>
      <c r="W48" s="188" t="s">
        <v>1110</v>
      </c>
    </row>
    <row r="49" spans="1:23" x14ac:dyDescent="0.15">
      <c r="A49" s="188" t="s">
        <v>1084</v>
      </c>
      <c r="B49" s="188" t="s">
        <v>1084</v>
      </c>
      <c r="C49" s="188" t="s">
        <v>1084</v>
      </c>
      <c r="D49" s="188" t="s">
        <v>1110</v>
      </c>
      <c r="E49" s="188" t="s">
        <v>1110</v>
      </c>
      <c r="F49" s="188" t="s">
        <v>1110</v>
      </c>
      <c r="G49" s="188" t="s">
        <v>1110</v>
      </c>
      <c r="H49" s="188" t="s">
        <v>1110</v>
      </c>
      <c r="I49" s="188" t="s">
        <v>1110</v>
      </c>
      <c r="J49" s="188" t="s">
        <v>1110</v>
      </c>
      <c r="K49" s="188" t="s">
        <v>1110</v>
      </c>
      <c r="L49" s="188" t="s">
        <v>1110</v>
      </c>
      <c r="M49" s="188" t="s">
        <v>1110</v>
      </c>
      <c r="N49" s="188" t="s">
        <v>1110</v>
      </c>
      <c r="O49" s="188" t="s">
        <v>1110</v>
      </c>
      <c r="P49" s="188" t="s">
        <v>1110</v>
      </c>
      <c r="Q49" s="188" t="s">
        <v>1110</v>
      </c>
      <c r="R49" s="188" t="s">
        <v>1110</v>
      </c>
      <c r="S49" s="188" t="s">
        <v>1110</v>
      </c>
      <c r="T49" s="188" t="s">
        <v>1110</v>
      </c>
      <c r="U49" s="188" t="s">
        <v>1110</v>
      </c>
      <c r="V49" s="188" t="s">
        <v>1110</v>
      </c>
      <c r="W49" s="188" t="s">
        <v>1110</v>
      </c>
    </row>
    <row r="50" spans="1:23" x14ac:dyDescent="0.15">
      <c r="A50" s="188" t="s">
        <v>1085</v>
      </c>
      <c r="B50" s="188" t="s">
        <v>1085</v>
      </c>
      <c r="C50" s="188" t="s">
        <v>1085</v>
      </c>
      <c r="D50" s="188" t="s">
        <v>1110</v>
      </c>
      <c r="E50" s="188" t="s">
        <v>1110</v>
      </c>
      <c r="F50" s="188" t="s">
        <v>1110</v>
      </c>
      <c r="G50" s="188" t="s">
        <v>1110</v>
      </c>
      <c r="H50" s="188" t="s">
        <v>1110</v>
      </c>
      <c r="I50" s="188" t="s">
        <v>1110</v>
      </c>
      <c r="J50" s="188" t="s">
        <v>1110</v>
      </c>
      <c r="K50" s="188" t="s">
        <v>1110</v>
      </c>
      <c r="L50" s="188" t="s">
        <v>1110</v>
      </c>
      <c r="M50" s="188" t="s">
        <v>1110</v>
      </c>
      <c r="N50" s="188" t="s">
        <v>1110</v>
      </c>
      <c r="O50" s="188" t="s">
        <v>1110</v>
      </c>
      <c r="P50" s="188" t="s">
        <v>1110</v>
      </c>
      <c r="Q50" s="188" t="s">
        <v>1110</v>
      </c>
      <c r="R50" s="188" t="s">
        <v>1110</v>
      </c>
      <c r="S50" s="188" t="s">
        <v>1110</v>
      </c>
      <c r="T50" s="188" t="s">
        <v>1110</v>
      </c>
      <c r="U50" s="188" t="s">
        <v>1110</v>
      </c>
      <c r="V50" s="188" t="s">
        <v>1110</v>
      </c>
      <c r="W50" s="188" t="s">
        <v>1110</v>
      </c>
    </row>
    <row r="51" spans="1:23" x14ac:dyDescent="0.15">
      <c r="A51" s="188" t="s">
        <v>103</v>
      </c>
      <c r="B51" s="188" t="s">
        <v>103</v>
      </c>
      <c r="C51" s="188" t="s">
        <v>103</v>
      </c>
      <c r="D51" s="188" t="s">
        <v>1110</v>
      </c>
      <c r="E51" s="188" t="s">
        <v>103</v>
      </c>
      <c r="F51" s="188" t="s">
        <v>103</v>
      </c>
      <c r="G51" s="188" t="s">
        <v>1110</v>
      </c>
      <c r="H51" s="188" t="s">
        <v>103</v>
      </c>
      <c r="I51" s="188" t="s">
        <v>1110</v>
      </c>
      <c r="J51" s="188" t="s">
        <v>1110</v>
      </c>
      <c r="K51" s="188" t="s">
        <v>1110</v>
      </c>
      <c r="L51" s="188" t="s">
        <v>1110</v>
      </c>
      <c r="M51" s="188" t="s">
        <v>1110</v>
      </c>
      <c r="N51" s="188" t="s">
        <v>1110</v>
      </c>
      <c r="O51" s="188" t="s">
        <v>1110</v>
      </c>
      <c r="P51" s="188" t="s">
        <v>1110</v>
      </c>
      <c r="Q51" s="188" t="s">
        <v>1110</v>
      </c>
      <c r="R51" s="188" t="s">
        <v>1110</v>
      </c>
      <c r="S51" s="188" t="s">
        <v>1110</v>
      </c>
      <c r="T51" s="188" t="s">
        <v>1110</v>
      </c>
      <c r="U51" s="188" t="s">
        <v>1110</v>
      </c>
      <c r="V51" s="188" t="s">
        <v>1110</v>
      </c>
      <c r="W51" s="188" t="s">
        <v>1110</v>
      </c>
    </row>
    <row r="52" spans="1:23" x14ac:dyDescent="0.15">
      <c r="A52" s="188" t="s">
        <v>1086</v>
      </c>
      <c r="B52" s="188" t="s">
        <v>1086</v>
      </c>
      <c r="C52" s="188" t="s">
        <v>1086</v>
      </c>
      <c r="D52" s="188" t="s">
        <v>1110</v>
      </c>
      <c r="E52" s="188" t="s">
        <v>1110</v>
      </c>
      <c r="F52" s="188" t="s">
        <v>1110</v>
      </c>
      <c r="G52" s="188" t="s">
        <v>1110</v>
      </c>
      <c r="H52" s="188" t="s">
        <v>1110</v>
      </c>
      <c r="I52" s="188" t="s">
        <v>1110</v>
      </c>
      <c r="J52" s="188" t="s">
        <v>1110</v>
      </c>
      <c r="K52" s="188" t="s">
        <v>1110</v>
      </c>
      <c r="L52" s="188" t="s">
        <v>1110</v>
      </c>
      <c r="M52" s="188" t="s">
        <v>1110</v>
      </c>
      <c r="N52" s="188" t="s">
        <v>1110</v>
      </c>
      <c r="O52" s="188" t="s">
        <v>1110</v>
      </c>
      <c r="P52" s="188" t="s">
        <v>1110</v>
      </c>
      <c r="Q52" s="188" t="s">
        <v>1110</v>
      </c>
      <c r="R52" s="188" t="s">
        <v>1110</v>
      </c>
      <c r="S52" s="188" t="s">
        <v>1110</v>
      </c>
      <c r="T52" s="188" t="s">
        <v>1110</v>
      </c>
      <c r="U52" s="188" t="s">
        <v>1110</v>
      </c>
      <c r="V52" s="188" t="s">
        <v>1110</v>
      </c>
      <c r="W52" s="188" t="s">
        <v>1110</v>
      </c>
    </row>
    <row r="53" spans="1:23" x14ac:dyDescent="0.15">
      <c r="A53" s="188" t="s">
        <v>389</v>
      </c>
      <c r="B53" s="188" t="s">
        <v>389</v>
      </c>
      <c r="C53" s="188" t="s">
        <v>389</v>
      </c>
      <c r="D53" s="188" t="s">
        <v>1110</v>
      </c>
      <c r="E53" s="188" t="s">
        <v>1110</v>
      </c>
      <c r="F53" s="188" t="s">
        <v>1110</v>
      </c>
      <c r="G53" s="188" t="s">
        <v>1110</v>
      </c>
      <c r="H53" s="188" t="s">
        <v>1110</v>
      </c>
      <c r="I53" s="188" t="s">
        <v>1110</v>
      </c>
      <c r="J53" s="188" t="s">
        <v>1110</v>
      </c>
      <c r="K53" s="188" t="s">
        <v>1110</v>
      </c>
      <c r="L53" s="188" t="s">
        <v>1110</v>
      </c>
      <c r="M53" s="188" t="s">
        <v>1110</v>
      </c>
      <c r="N53" s="188" t="s">
        <v>1110</v>
      </c>
      <c r="O53" s="188" t="s">
        <v>1110</v>
      </c>
      <c r="P53" s="188" t="s">
        <v>1110</v>
      </c>
      <c r="Q53" s="188" t="s">
        <v>1110</v>
      </c>
      <c r="R53" s="188" t="s">
        <v>1110</v>
      </c>
      <c r="S53" s="188" t="s">
        <v>1110</v>
      </c>
      <c r="T53" s="188" t="s">
        <v>1110</v>
      </c>
      <c r="U53" s="188" t="s">
        <v>1110</v>
      </c>
      <c r="V53" s="188" t="s">
        <v>1110</v>
      </c>
      <c r="W53" s="188" t="s">
        <v>1110</v>
      </c>
    </row>
  </sheetData>
  <sheetProtection formatColumns="0" formatRows="0"/>
  <phoneticPr fontId="0" type="noConversion"/>
  <printOptions gridLines="1"/>
  <pageMargins left="0.75" right="0.75" top="1" bottom="1" header="0.5" footer="0.5"/>
  <pageSetup scale="68" orientation="landscape" r:id="rId1"/>
  <headerFooter alignWithMargins="0">
    <oddFooter>&amp;LCDE, Public School Finance Unit&amp;C&amp;P&amp;RRevised, March 2009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AC65536"/>
  <sheetViews>
    <sheetView zoomScaleNormal="100" workbookViewId="0">
      <pane ySplit="10" topLeftCell="A11" activePane="bottomLeft" state="frozenSplit"/>
      <selection pane="bottomLeft" activeCell="N22" sqref="N22"/>
    </sheetView>
  </sheetViews>
  <sheetFormatPr defaultRowHeight="10.5" zeroHeight="1" x14ac:dyDescent="0.15"/>
  <cols>
    <col min="1" max="1" width="12.5" style="466" bestFit="1" customWidth="1"/>
    <col min="2" max="2" width="8" style="466" bestFit="1" customWidth="1"/>
    <col min="3" max="3" width="4.83203125" style="466" bestFit="1" customWidth="1"/>
    <col min="4" max="4" width="7.6640625" style="466" bestFit="1" customWidth="1"/>
    <col min="5" max="5" width="7.6640625" style="466" customWidth="1"/>
    <col min="6" max="6" width="6.5" style="466" bestFit="1" customWidth="1"/>
    <col min="7" max="8" width="6.5" style="466" customWidth="1"/>
    <col min="9" max="9" width="7" style="466" customWidth="1"/>
    <col min="10" max="10" width="27.5" style="398" customWidth="1"/>
    <col min="11" max="11" width="24.83203125" style="398" bestFit="1" customWidth="1"/>
    <col min="12" max="13" width="14.33203125" style="398" customWidth="1"/>
    <col min="14" max="14" width="19.1640625" style="468" customWidth="1"/>
    <col min="15" max="15" width="12" style="398" customWidth="1"/>
    <col min="16" max="16" width="12.33203125" style="398" customWidth="1"/>
    <col min="17" max="17" width="14" style="468" customWidth="1"/>
    <col min="18" max="18" width="12.33203125" style="471" customWidth="1"/>
    <col min="19" max="19" width="10.6640625" style="468" bestFit="1" customWidth="1"/>
    <col min="20" max="20" width="9.33203125" style="468"/>
    <col min="21" max="21" width="10.1640625" style="468" bestFit="1" customWidth="1"/>
    <col min="22" max="22" width="11.6640625" style="468" bestFit="1" customWidth="1"/>
    <col min="23" max="24" width="9.33203125" style="468"/>
    <col min="25" max="25" width="10.33203125" style="468" customWidth="1"/>
    <col min="26" max="26" width="10.6640625" style="468" bestFit="1" customWidth="1"/>
    <col min="27" max="27" width="12.83203125" style="471" customWidth="1"/>
    <col min="28" max="28" width="12.6640625" style="468" bestFit="1" customWidth="1"/>
    <col min="29" max="29" width="9.6640625" style="398" bestFit="1" customWidth="1"/>
    <col min="30" max="16384" width="9.33203125" style="398"/>
  </cols>
  <sheetData>
    <row r="1" spans="1:29" s="426" customFormat="1" ht="12.75" x14ac:dyDescent="0.2">
      <c r="A1" s="434" t="s">
        <v>106</v>
      </c>
      <c r="B1" s="435"/>
      <c r="C1" s="436">
        <f>+'Page 1 - FY2013-14'!B5</f>
        <v>0</v>
      </c>
      <c r="D1" s="437"/>
      <c r="E1" s="437"/>
      <c r="F1" s="437"/>
      <c r="G1" s="437"/>
      <c r="H1" s="438"/>
      <c r="I1" s="438"/>
      <c r="J1" s="138" t="s">
        <v>1586</v>
      </c>
      <c r="K1" s="428">
        <f>+'Page 1 - FY2013-14'!F7</f>
        <v>0</v>
      </c>
      <c r="L1" s="427"/>
      <c r="M1" s="427"/>
      <c r="N1" s="467"/>
      <c r="Q1" s="467"/>
      <c r="R1" s="476"/>
      <c r="S1" s="467"/>
      <c r="T1" s="467"/>
      <c r="U1" s="467"/>
      <c r="V1" s="467"/>
      <c r="W1" s="467"/>
      <c r="X1" s="467"/>
      <c r="Y1" s="467"/>
      <c r="Z1" s="467"/>
      <c r="AA1" s="476"/>
      <c r="AB1" s="467"/>
    </row>
    <row r="2" spans="1:29" x14ac:dyDescent="0.15">
      <c r="A2" s="439"/>
      <c r="B2" s="439"/>
      <c r="C2" s="439"/>
      <c r="D2" s="439"/>
      <c r="E2" s="439"/>
      <c r="F2" s="439"/>
      <c r="G2" s="439"/>
      <c r="H2" s="439"/>
      <c r="I2" s="439"/>
      <c r="J2" s="440"/>
      <c r="K2" s="440"/>
      <c r="L2" s="441"/>
      <c r="M2" s="441"/>
      <c r="O2" s="442"/>
      <c r="P2" s="443"/>
      <c r="Q2" s="471"/>
      <c r="V2" s="480"/>
      <c r="W2" s="471"/>
      <c r="X2" s="471"/>
      <c r="Y2" s="473"/>
      <c r="Z2" s="473"/>
    </row>
    <row r="3" spans="1:29" x14ac:dyDescent="0.15">
      <c r="A3" s="439"/>
      <c r="B3" s="445"/>
      <c r="C3" s="731"/>
      <c r="D3" s="731"/>
      <c r="E3" s="731"/>
      <c r="F3" s="731"/>
      <c r="G3" s="731"/>
      <c r="H3" s="731"/>
      <c r="I3" s="731"/>
      <c r="J3" s="440"/>
      <c r="K3" s="446"/>
      <c r="L3" s="447"/>
      <c r="M3" s="447"/>
      <c r="N3" s="469"/>
      <c r="O3" s="448"/>
      <c r="P3" s="444"/>
      <c r="Q3" s="471"/>
      <c r="S3" s="482">
        <v>0.10150000000000001</v>
      </c>
      <c r="T3" s="482">
        <v>7.0000000000000007E-2</v>
      </c>
      <c r="U3" s="482">
        <v>1.4500000000000001E-2</v>
      </c>
      <c r="V3" s="479">
        <v>300</v>
      </c>
      <c r="W3" s="474" t="s">
        <v>1098</v>
      </c>
      <c r="X3" s="474"/>
      <c r="Y3" s="475"/>
      <c r="Z3" s="475"/>
    </row>
    <row r="4" spans="1:29" x14ac:dyDescent="0.15">
      <c r="A4" s="449"/>
      <c r="B4" s="445"/>
      <c r="C4" s="450"/>
      <c r="D4" s="439"/>
      <c r="E4" s="439"/>
      <c r="F4" s="439"/>
      <c r="G4" s="439"/>
      <c r="H4" s="439"/>
      <c r="I4" s="439"/>
      <c r="J4" s="451"/>
      <c r="K4" s="452"/>
      <c r="L4" s="453" t="s">
        <v>1704</v>
      </c>
      <c r="M4" s="454"/>
      <c r="N4" s="469"/>
      <c r="O4" s="442"/>
      <c r="P4" s="455"/>
      <c r="S4" s="483">
        <v>0.10150000000000001</v>
      </c>
      <c r="T4" s="483">
        <v>7.0000000000000007E-2</v>
      </c>
      <c r="U4" s="483">
        <v>1.4500000000000001E-2</v>
      </c>
    </row>
    <row r="5" spans="1:29" x14ac:dyDescent="0.15">
      <c r="A5" s="456" t="s">
        <v>1389</v>
      </c>
      <c r="B5" s="456"/>
      <c r="C5" s="456"/>
      <c r="D5" s="456"/>
      <c r="E5" s="456"/>
      <c r="F5" s="456"/>
      <c r="G5" s="456"/>
      <c r="H5" s="456"/>
      <c r="I5" s="456"/>
      <c r="J5" s="440"/>
      <c r="K5" s="440"/>
      <c r="L5" s="457" t="s">
        <v>1367</v>
      </c>
      <c r="M5" s="457"/>
      <c r="N5" s="470"/>
      <c r="O5" s="442"/>
      <c r="P5" s="455"/>
      <c r="R5" s="732" t="s">
        <v>1660</v>
      </c>
      <c r="S5" s="733"/>
      <c r="T5" s="733"/>
      <c r="U5" s="733"/>
      <c r="V5" s="733"/>
      <c r="W5" s="733"/>
      <c r="X5" s="733"/>
      <c r="Y5" s="733"/>
      <c r="Z5" s="733"/>
      <c r="AA5" s="477" t="s">
        <v>1390</v>
      </c>
      <c r="AB5" s="470" t="s">
        <v>1211</v>
      </c>
    </row>
    <row r="6" spans="1:29" x14ac:dyDescent="0.15">
      <c r="A6" s="458"/>
      <c r="B6" s="439"/>
      <c r="C6" s="439"/>
      <c r="D6" s="439"/>
      <c r="E6" s="459" t="s">
        <v>1026</v>
      </c>
      <c r="F6" s="460" t="s">
        <v>1391</v>
      </c>
      <c r="G6" s="459" t="s">
        <v>1026</v>
      </c>
      <c r="H6" s="460" t="s">
        <v>1392</v>
      </c>
      <c r="I6" s="459" t="s">
        <v>1393</v>
      </c>
      <c r="J6" s="440"/>
      <c r="K6" s="440"/>
      <c r="L6" s="461" t="s">
        <v>1405</v>
      </c>
      <c r="M6" s="461" t="s">
        <v>1427</v>
      </c>
      <c r="N6" s="470" t="s">
        <v>1367</v>
      </c>
      <c r="O6" s="462" t="s">
        <v>1395</v>
      </c>
      <c r="P6" s="463" t="s">
        <v>1396</v>
      </c>
      <c r="Q6" s="470" t="s">
        <v>1397</v>
      </c>
      <c r="T6" s="470" t="s">
        <v>1394</v>
      </c>
      <c r="U6" s="470"/>
      <c r="AA6" s="477" t="s">
        <v>1398</v>
      </c>
      <c r="AB6" s="470" t="s">
        <v>1399</v>
      </c>
    </row>
    <row r="7" spans="1:29" x14ac:dyDescent="0.15">
      <c r="A7" s="459" t="s">
        <v>1480</v>
      </c>
      <c r="B7" s="460" t="s">
        <v>1400</v>
      </c>
      <c r="C7" s="460" t="s">
        <v>1401</v>
      </c>
      <c r="D7" s="460" t="s">
        <v>110</v>
      </c>
      <c r="E7" s="459" t="s">
        <v>110</v>
      </c>
      <c r="F7" s="460" t="s">
        <v>198</v>
      </c>
      <c r="G7" s="459" t="s">
        <v>198</v>
      </c>
      <c r="H7" s="460" t="s">
        <v>1402</v>
      </c>
      <c r="I7" s="459" t="s">
        <v>1403</v>
      </c>
      <c r="J7" s="464" t="s">
        <v>1404</v>
      </c>
      <c r="K7" s="464" t="s">
        <v>1399</v>
      </c>
      <c r="L7" s="461" t="s">
        <v>1428</v>
      </c>
      <c r="M7" s="461" t="s">
        <v>1406</v>
      </c>
      <c r="N7" s="470" t="s">
        <v>1407</v>
      </c>
      <c r="O7" s="462" t="s">
        <v>1414</v>
      </c>
      <c r="P7" s="463" t="s">
        <v>1415</v>
      </c>
      <c r="Q7" s="470" t="s">
        <v>1416</v>
      </c>
      <c r="R7" s="477" t="s">
        <v>1416</v>
      </c>
      <c r="S7" s="470" t="s">
        <v>1408</v>
      </c>
      <c r="T7" s="470" t="s">
        <v>1408</v>
      </c>
      <c r="U7" s="470" t="s">
        <v>1409</v>
      </c>
      <c r="V7" s="470" t="s">
        <v>1410</v>
      </c>
      <c r="W7" s="470" t="s">
        <v>1411</v>
      </c>
      <c r="X7" s="470" t="s">
        <v>1412</v>
      </c>
      <c r="Y7" s="470" t="s">
        <v>1413</v>
      </c>
      <c r="Z7" s="470" t="s">
        <v>1388</v>
      </c>
      <c r="AA7" s="477" t="s">
        <v>1417</v>
      </c>
      <c r="AB7" s="470" t="s">
        <v>1417</v>
      </c>
    </row>
    <row r="8" spans="1:29" ht="5.25" customHeight="1" x14ac:dyDescent="0.15">
      <c r="A8" s="458"/>
      <c r="B8" s="439"/>
      <c r="C8" s="439"/>
      <c r="D8" s="439"/>
      <c r="E8" s="458"/>
      <c r="F8" s="439"/>
      <c r="G8" s="458"/>
      <c r="H8" s="439"/>
      <c r="I8" s="458"/>
      <c r="J8" s="440"/>
      <c r="K8" s="440"/>
      <c r="L8" s="441"/>
      <c r="M8" s="441"/>
      <c r="O8" s="442"/>
      <c r="P8" s="455"/>
      <c r="R8" s="478"/>
      <c r="AA8" s="478"/>
    </row>
    <row r="9" spans="1:29" ht="13.5" customHeight="1" x14ac:dyDescent="0.15">
      <c r="A9" s="458"/>
      <c r="B9" s="439"/>
      <c r="C9" s="439"/>
      <c r="D9" s="439"/>
      <c r="E9" s="458"/>
      <c r="F9" s="439"/>
      <c r="G9" s="458"/>
      <c r="H9" s="439"/>
      <c r="I9" s="458"/>
      <c r="J9" s="440"/>
      <c r="K9" s="440"/>
      <c r="L9" s="441"/>
      <c r="M9" s="441"/>
      <c r="O9" s="442"/>
      <c r="P9" s="455"/>
      <c r="R9" s="478">
        <f t="shared" ref="R9:AB9" si="0">SUM(R11:R65536)</f>
        <v>0</v>
      </c>
      <c r="S9" s="472">
        <f t="shared" si="0"/>
        <v>0</v>
      </c>
      <c r="T9" s="472">
        <f t="shared" si="0"/>
        <v>0</v>
      </c>
      <c r="U9" s="472">
        <f t="shared" si="0"/>
        <v>0</v>
      </c>
      <c r="V9" s="472">
        <f t="shared" si="0"/>
        <v>0</v>
      </c>
      <c r="W9" s="472">
        <f t="shared" si="0"/>
        <v>0</v>
      </c>
      <c r="X9" s="472">
        <f t="shared" si="0"/>
        <v>0</v>
      </c>
      <c r="Y9" s="472">
        <f t="shared" si="0"/>
        <v>0</v>
      </c>
      <c r="Z9" s="472">
        <f t="shared" si="0"/>
        <v>0</v>
      </c>
      <c r="AA9" s="478">
        <f t="shared" si="0"/>
        <v>0</v>
      </c>
      <c r="AB9" s="472">
        <f t="shared" si="0"/>
        <v>0</v>
      </c>
      <c r="AC9" s="465" t="s">
        <v>26</v>
      </c>
    </row>
    <row r="10" spans="1:29" s="640" customFormat="1" ht="13.5" customHeight="1" thickBot="1" x14ac:dyDescent="0.2">
      <c r="A10" s="638" t="s">
        <v>302</v>
      </c>
      <c r="B10" s="638" t="s">
        <v>303</v>
      </c>
      <c r="C10" s="638" t="s">
        <v>304</v>
      </c>
      <c r="D10" s="638" t="s">
        <v>305</v>
      </c>
      <c r="E10" s="638" t="s">
        <v>306</v>
      </c>
      <c r="F10" s="638" t="s">
        <v>307</v>
      </c>
      <c r="G10" s="638" t="s">
        <v>308</v>
      </c>
      <c r="H10" s="638" t="s">
        <v>309</v>
      </c>
      <c r="I10" s="638" t="s">
        <v>310</v>
      </c>
      <c r="J10" s="638" t="s">
        <v>311</v>
      </c>
      <c r="K10" s="638" t="s">
        <v>312</v>
      </c>
      <c r="L10" s="638" t="s">
        <v>313</v>
      </c>
      <c r="M10" s="638" t="s">
        <v>314</v>
      </c>
      <c r="N10" s="639" t="s">
        <v>315</v>
      </c>
      <c r="O10" s="638" t="s">
        <v>316</v>
      </c>
      <c r="P10" s="638" t="s">
        <v>317</v>
      </c>
      <c r="Q10" s="639" t="s">
        <v>318</v>
      </c>
      <c r="R10" s="639" t="s">
        <v>319</v>
      </c>
      <c r="S10" s="639" t="s">
        <v>320</v>
      </c>
      <c r="T10" s="639" t="s">
        <v>321</v>
      </c>
      <c r="U10" s="639" t="s">
        <v>322</v>
      </c>
      <c r="V10" s="639" t="s">
        <v>323</v>
      </c>
      <c r="W10" s="639" t="s">
        <v>324</v>
      </c>
      <c r="X10" s="639" t="s">
        <v>325</v>
      </c>
      <c r="Y10" s="639" t="s">
        <v>326</v>
      </c>
      <c r="Z10" s="639" t="s">
        <v>327</v>
      </c>
      <c r="AA10" s="639" t="s">
        <v>328</v>
      </c>
      <c r="AB10" s="639" t="s">
        <v>329</v>
      </c>
      <c r="AC10" s="641"/>
    </row>
    <row r="11" spans="1:29" ht="11.25" thickTop="1" x14ac:dyDescent="0.15">
      <c r="A11" s="433"/>
      <c r="B11" s="606"/>
      <c r="C11" s="606"/>
      <c r="D11" s="606"/>
      <c r="E11" s="433"/>
      <c r="F11" s="606"/>
      <c r="G11" s="484" t="s">
        <v>1577</v>
      </c>
      <c r="H11" s="606"/>
      <c r="I11" s="433"/>
      <c r="J11" s="607"/>
      <c r="K11" s="607"/>
      <c r="L11" s="608"/>
      <c r="M11" s="608"/>
      <c r="N11" s="624">
        <f>VLOOKUP(M11,'Salary Schedule'!$B$16:$N$47,L11+1,FALSE)</f>
        <v>0</v>
      </c>
      <c r="O11" s="610"/>
      <c r="P11" s="481">
        <v>0</v>
      </c>
      <c r="Q11" s="609"/>
      <c r="R11" s="479">
        <f>ROUND((+N11*P11),0)</f>
        <v>0</v>
      </c>
      <c r="S11" s="479">
        <f t="shared" ref="S11:S75" si="1">+R11*$S$4</f>
        <v>0</v>
      </c>
      <c r="T11" s="479">
        <f t="shared" ref="T11:T69" si="2">+R11*$T$4</f>
        <v>0</v>
      </c>
      <c r="U11" s="479">
        <f t="shared" ref="U11:U69" si="3">+R11*$U$4</f>
        <v>0</v>
      </c>
      <c r="V11" s="479">
        <f t="shared" ref="V11:V69" si="4">($V$3*12)*P11</f>
        <v>0</v>
      </c>
      <c r="W11" s="479">
        <v>0</v>
      </c>
      <c r="X11" s="479">
        <v>0</v>
      </c>
      <c r="Y11" s="479">
        <v>0</v>
      </c>
      <c r="Z11" s="479">
        <v>0</v>
      </c>
      <c r="AA11" s="471">
        <f>ROUND((SUM(S11:Z11)),0)</f>
        <v>0</v>
      </c>
      <c r="AB11" s="471">
        <f>ROUND((+R11+AA11),0)</f>
        <v>0</v>
      </c>
    </row>
    <row r="12" spans="1:29" s="466" customFormat="1" x14ac:dyDescent="0.15">
      <c r="A12" s="433"/>
      <c r="B12" s="606"/>
      <c r="C12" s="606"/>
      <c r="D12" s="606"/>
      <c r="E12" s="433"/>
      <c r="F12" s="606"/>
      <c r="G12" s="484" t="s">
        <v>1577</v>
      </c>
      <c r="H12" s="606"/>
      <c r="I12" s="433"/>
      <c r="J12" s="607"/>
      <c r="K12" s="607"/>
      <c r="L12" s="608"/>
      <c r="M12" s="608"/>
      <c r="N12" s="624">
        <f>VLOOKUP(M12,'Salary Schedule'!$B$16:$N$47,L12+1,FALSE)</f>
        <v>0</v>
      </c>
      <c r="O12" s="610"/>
      <c r="P12" s="481">
        <v>0</v>
      </c>
      <c r="Q12" s="609"/>
      <c r="R12" s="479">
        <f t="shared" ref="R12:R75" si="5">ROUND((+N12*P12),0)</f>
        <v>0</v>
      </c>
      <c r="S12" s="479">
        <f t="shared" si="1"/>
        <v>0</v>
      </c>
      <c r="T12" s="479">
        <f t="shared" si="2"/>
        <v>0</v>
      </c>
      <c r="U12" s="479">
        <f t="shared" si="3"/>
        <v>0</v>
      </c>
      <c r="V12" s="479">
        <f t="shared" si="4"/>
        <v>0</v>
      </c>
      <c r="W12" s="479">
        <v>0</v>
      </c>
      <c r="X12" s="479">
        <v>0</v>
      </c>
      <c r="Y12" s="479">
        <v>0</v>
      </c>
      <c r="Z12" s="479">
        <v>0</v>
      </c>
      <c r="AA12" s="471">
        <f t="shared" ref="AA12:AA75" si="6">ROUND((SUM(S12:Z12)),0)</f>
        <v>0</v>
      </c>
      <c r="AB12" s="471">
        <f t="shared" ref="AB12:AB75" si="7">ROUND((+R12+AA12),0)</f>
        <v>0</v>
      </c>
    </row>
    <row r="13" spans="1:29" s="466" customFormat="1" x14ac:dyDescent="0.15">
      <c r="A13" s="433"/>
      <c r="B13" s="606"/>
      <c r="C13" s="606"/>
      <c r="D13" s="606"/>
      <c r="E13" s="433"/>
      <c r="F13" s="606"/>
      <c r="G13" s="484" t="s">
        <v>1577</v>
      </c>
      <c r="H13" s="606"/>
      <c r="I13" s="433"/>
      <c r="J13" s="607"/>
      <c r="K13" s="607"/>
      <c r="L13" s="608"/>
      <c r="M13" s="608"/>
      <c r="N13" s="624">
        <f>VLOOKUP(M13,'Salary Schedule'!$B$16:$N$47,L13+1,FALSE)</f>
        <v>0</v>
      </c>
      <c r="O13" s="610"/>
      <c r="P13" s="481">
        <v>0</v>
      </c>
      <c r="Q13" s="609"/>
      <c r="R13" s="479">
        <f t="shared" si="5"/>
        <v>0</v>
      </c>
      <c r="S13" s="479">
        <f t="shared" si="1"/>
        <v>0</v>
      </c>
      <c r="T13" s="479">
        <f t="shared" si="2"/>
        <v>0</v>
      </c>
      <c r="U13" s="479">
        <f t="shared" si="3"/>
        <v>0</v>
      </c>
      <c r="V13" s="479">
        <f t="shared" si="4"/>
        <v>0</v>
      </c>
      <c r="W13" s="479">
        <v>0</v>
      </c>
      <c r="X13" s="479">
        <v>0</v>
      </c>
      <c r="Y13" s="479">
        <v>0</v>
      </c>
      <c r="Z13" s="479">
        <v>0</v>
      </c>
      <c r="AA13" s="471">
        <f t="shared" si="6"/>
        <v>0</v>
      </c>
      <c r="AB13" s="471">
        <f t="shared" si="7"/>
        <v>0</v>
      </c>
    </row>
    <row r="14" spans="1:29" x14ac:dyDescent="0.15">
      <c r="A14" s="433"/>
      <c r="B14" s="606"/>
      <c r="C14" s="606"/>
      <c r="D14" s="606"/>
      <c r="E14" s="433"/>
      <c r="F14" s="606"/>
      <c r="G14" s="484" t="s">
        <v>1577</v>
      </c>
      <c r="H14" s="606"/>
      <c r="I14" s="433"/>
      <c r="J14" s="607"/>
      <c r="K14" s="607"/>
      <c r="L14" s="608"/>
      <c r="M14" s="608"/>
      <c r="N14" s="624">
        <f>VLOOKUP(M14,'Salary Schedule'!$B$16:$N$47,L14+1,FALSE)</f>
        <v>0</v>
      </c>
      <c r="O14" s="610"/>
      <c r="P14" s="481">
        <v>0</v>
      </c>
      <c r="Q14" s="609"/>
      <c r="R14" s="479">
        <f t="shared" si="5"/>
        <v>0</v>
      </c>
      <c r="S14" s="479">
        <f t="shared" si="1"/>
        <v>0</v>
      </c>
      <c r="T14" s="479">
        <f t="shared" si="2"/>
        <v>0</v>
      </c>
      <c r="U14" s="479">
        <f t="shared" si="3"/>
        <v>0</v>
      </c>
      <c r="V14" s="479">
        <f t="shared" si="4"/>
        <v>0</v>
      </c>
      <c r="W14" s="479">
        <v>0</v>
      </c>
      <c r="X14" s="479">
        <v>0</v>
      </c>
      <c r="Y14" s="479">
        <v>0</v>
      </c>
      <c r="Z14" s="479">
        <v>0</v>
      </c>
      <c r="AA14" s="471">
        <f t="shared" si="6"/>
        <v>0</v>
      </c>
      <c r="AB14" s="471">
        <f t="shared" si="7"/>
        <v>0</v>
      </c>
    </row>
    <row r="15" spans="1:29" x14ac:dyDescent="0.15">
      <c r="A15" s="433"/>
      <c r="B15" s="606"/>
      <c r="C15" s="606"/>
      <c r="D15" s="606"/>
      <c r="E15" s="433"/>
      <c r="F15" s="606"/>
      <c r="G15" s="484" t="s">
        <v>1577</v>
      </c>
      <c r="H15" s="606"/>
      <c r="I15" s="433"/>
      <c r="J15" s="607"/>
      <c r="K15" s="607"/>
      <c r="L15" s="608"/>
      <c r="M15" s="608"/>
      <c r="N15" s="624">
        <f>VLOOKUP(M15,'Salary Schedule'!$B$16:$N$47,L15+1,FALSE)</f>
        <v>0</v>
      </c>
      <c r="O15" s="610"/>
      <c r="P15" s="481">
        <v>0</v>
      </c>
      <c r="Q15" s="609"/>
      <c r="R15" s="479">
        <f t="shared" si="5"/>
        <v>0</v>
      </c>
      <c r="S15" s="479">
        <f t="shared" si="1"/>
        <v>0</v>
      </c>
      <c r="T15" s="479">
        <f t="shared" si="2"/>
        <v>0</v>
      </c>
      <c r="U15" s="479">
        <f t="shared" si="3"/>
        <v>0</v>
      </c>
      <c r="V15" s="479">
        <f t="shared" si="4"/>
        <v>0</v>
      </c>
      <c r="W15" s="479">
        <v>0</v>
      </c>
      <c r="X15" s="479">
        <v>0</v>
      </c>
      <c r="Y15" s="479">
        <v>0</v>
      </c>
      <c r="Z15" s="479">
        <v>0</v>
      </c>
      <c r="AA15" s="471">
        <f t="shared" si="6"/>
        <v>0</v>
      </c>
      <c r="AB15" s="471">
        <f t="shared" si="7"/>
        <v>0</v>
      </c>
    </row>
    <row r="16" spans="1:29" x14ac:dyDescent="0.15">
      <c r="A16" s="433"/>
      <c r="B16" s="606"/>
      <c r="C16" s="606"/>
      <c r="D16" s="606"/>
      <c r="E16" s="433"/>
      <c r="F16" s="606"/>
      <c r="G16" s="484" t="s">
        <v>1577</v>
      </c>
      <c r="H16" s="606"/>
      <c r="I16" s="433"/>
      <c r="J16" s="607"/>
      <c r="K16" s="607"/>
      <c r="L16" s="608"/>
      <c r="M16" s="608"/>
      <c r="N16" s="624">
        <f>VLOOKUP(M16,'Salary Schedule'!$B$16:$N$47,L16+1,FALSE)</f>
        <v>0</v>
      </c>
      <c r="O16" s="610"/>
      <c r="P16" s="481">
        <v>0</v>
      </c>
      <c r="Q16" s="609"/>
      <c r="R16" s="479">
        <f t="shared" si="5"/>
        <v>0</v>
      </c>
      <c r="S16" s="479">
        <f t="shared" si="1"/>
        <v>0</v>
      </c>
      <c r="T16" s="479">
        <f t="shared" si="2"/>
        <v>0</v>
      </c>
      <c r="U16" s="479">
        <f t="shared" si="3"/>
        <v>0</v>
      </c>
      <c r="V16" s="479">
        <f t="shared" si="4"/>
        <v>0</v>
      </c>
      <c r="W16" s="479">
        <v>0</v>
      </c>
      <c r="X16" s="479">
        <v>0</v>
      </c>
      <c r="Y16" s="479">
        <v>0</v>
      </c>
      <c r="Z16" s="479">
        <v>0</v>
      </c>
      <c r="AA16" s="471">
        <f t="shared" si="6"/>
        <v>0</v>
      </c>
      <c r="AB16" s="471">
        <f t="shared" si="7"/>
        <v>0</v>
      </c>
    </row>
    <row r="17" spans="1:28" x14ac:dyDescent="0.15">
      <c r="A17" s="433"/>
      <c r="B17" s="606"/>
      <c r="C17" s="606"/>
      <c r="D17" s="606"/>
      <c r="E17" s="433"/>
      <c r="F17" s="606"/>
      <c r="G17" s="484" t="s">
        <v>1577</v>
      </c>
      <c r="H17" s="606"/>
      <c r="I17" s="433"/>
      <c r="J17" s="607"/>
      <c r="K17" s="607"/>
      <c r="L17" s="608"/>
      <c r="M17" s="608"/>
      <c r="N17" s="624">
        <f>VLOOKUP(M17,'Salary Schedule'!$B$16:$N$47,L17+1,FALSE)</f>
        <v>0</v>
      </c>
      <c r="O17" s="610"/>
      <c r="P17" s="481">
        <v>0</v>
      </c>
      <c r="Q17" s="609"/>
      <c r="R17" s="479">
        <f t="shared" si="5"/>
        <v>0</v>
      </c>
      <c r="S17" s="479">
        <f t="shared" si="1"/>
        <v>0</v>
      </c>
      <c r="T17" s="479">
        <f t="shared" si="2"/>
        <v>0</v>
      </c>
      <c r="U17" s="479">
        <f t="shared" si="3"/>
        <v>0</v>
      </c>
      <c r="V17" s="479">
        <f t="shared" si="4"/>
        <v>0</v>
      </c>
      <c r="W17" s="479">
        <v>0</v>
      </c>
      <c r="X17" s="479">
        <v>0</v>
      </c>
      <c r="Y17" s="479">
        <v>0</v>
      </c>
      <c r="Z17" s="479">
        <v>0</v>
      </c>
      <c r="AA17" s="471">
        <f t="shared" si="6"/>
        <v>0</v>
      </c>
      <c r="AB17" s="471">
        <f t="shared" si="7"/>
        <v>0</v>
      </c>
    </row>
    <row r="18" spans="1:28" x14ac:dyDescent="0.15">
      <c r="A18" s="433"/>
      <c r="B18" s="606"/>
      <c r="C18" s="606"/>
      <c r="D18" s="606"/>
      <c r="E18" s="433"/>
      <c r="F18" s="606"/>
      <c r="G18" s="484" t="s">
        <v>1577</v>
      </c>
      <c r="H18" s="606"/>
      <c r="I18" s="433"/>
      <c r="J18" s="607"/>
      <c r="K18" s="607"/>
      <c r="L18" s="608"/>
      <c r="M18" s="608"/>
      <c r="N18" s="624">
        <f>VLOOKUP(M18,'Salary Schedule'!$B$16:$N$47,L18+1,FALSE)</f>
        <v>0</v>
      </c>
      <c r="O18" s="610"/>
      <c r="P18" s="481">
        <v>0</v>
      </c>
      <c r="Q18" s="609"/>
      <c r="R18" s="479">
        <f t="shared" si="5"/>
        <v>0</v>
      </c>
      <c r="S18" s="479">
        <f t="shared" si="1"/>
        <v>0</v>
      </c>
      <c r="T18" s="479">
        <f t="shared" si="2"/>
        <v>0</v>
      </c>
      <c r="U18" s="479">
        <f t="shared" si="3"/>
        <v>0</v>
      </c>
      <c r="V18" s="479">
        <f t="shared" si="4"/>
        <v>0</v>
      </c>
      <c r="W18" s="479">
        <v>0</v>
      </c>
      <c r="X18" s="479">
        <v>0</v>
      </c>
      <c r="Y18" s="479">
        <v>0</v>
      </c>
      <c r="Z18" s="479">
        <v>0</v>
      </c>
      <c r="AA18" s="471">
        <f t="shared" si="6"/>
        <v>0</v>
      </c>
      <c r="AB18" s="471">
        <f t="shared" si="7"/>
        <v>0</v>
      </c>
    </row>
    <row r="19" spans="1:28" x14ac:dyDescent="0.15">
      <c r="A19" s="433"/>
      <c r="B19" s="606"/>
      <c r="C19" s="606"/>
      <c r="D19" s="606"/>
      <c r="E19" s="433"/>
      <c r="F19" s="606"/>
      <c r="G19" s="484" t="s">
        <v>1577</v>
      </c>
      <c r="H19" s="606"/>
      <c r="I19" s="433"/>
      <c r="J19" s="607"/>
      <c r="K19" s="607"/>
      <c r="L19" s="608"/>
      <c r="M19" s="608"/>
      <c r="N19" s="624">
        <f>VLOOKUP(M19,'Salary Schedule'!$B$16:$N$47,L19+1,FALSE)</f>
        <v>0</v>
      </c>
      <c r="O19" s="610"/>
      <c r="P19" s="481">
        <v>0</v>
      </c>
      <c r="Q19" s="609"/>
      <c r="R19" s="479">
        <f t="shared" si="5"/>
        <v>0</v>
      </c>
      <c r="S19" s="479">
        <f t="shared" si="1"/>
        <v>0</v>
      </c>
      <c r="T19" s="479">
        <f t="shared" si="2"/>
        <v>0</v>
      </c>
      <c r="U19" s="479">
        <f t="shared" si="3"/>
        <v>0</v>
      </c>
      <c r="V19" s="479">
        <f t="shared" si="4"/>
        <v>0</v>
      </c>
      <c r="W19" s="479">
        <v>0</v>
      </c>
      <c r="X19" s="479">
        <v>0</v>
      </c>
      <c r="Y19" s="479">
        <v>0</v>
      </c>
      <c r="Z19" s="479">
        <v>0</v>
      </c>
      <c r="AA19" s="471">
        <f t="shared" si="6"/>
        <v>0</v>
      </c>
      <c r="AB19" s="471">
        <f t="shared" si="7"/>
        <v>0</v>
      </c>
    </row>
    <row r="20" spans="1:28" x14ac:dyDescent="0.15">
      <c r="A20" s="433"/>
      <c r="B20" s="606"/>
      <c r="C20" s="606"/>
      <c r="D20" s="606"/>
      <c r="E20" s="433"/>
      <c r="F20" s="606"/>
      <c r="G20" s="484" t="s">
        <v>1577</v>
      </c>
      <c r="H20" s="606"/>
      <c r="I20" s="433"/>
      <c r="J20" s="607"/>
      <c r="K20" s="607"/>
      <c r="L20" s="608"/>
      <c r="M20" s="608"/>
      <c r="N20" s="624">
        <f>VLOOKUP(M20,'Salary Schedule'!$B$16:$N$47,L20+1,FALSE)</f>
        <v>0</v>
      </c>
      <c r="O20" s="610"/>
      <c r="P20" s="481">
        <v>0</v>
      </c>
      <c r="Q20" s="609"/>
      <c r="R20" s="479">
        <f t="shared" si="5"/>
        <v>0</v>
      </c>
      <c r="S20" s="479">
        <f t="shared" si="1"/>
        <v>0</v>
      </c>
      <c r="T20" s="479">
        <f t="shared" si="2"/>
        <v>0</v>
      </c>
      <c r="U20" s="479">
        <f t="shared" si="3"/>
        <v>0</v>
      </c>
      <c r="V20" s="479">
        <f t="shared" si="4"/>
        <v>0</v>
      </c>
      <c r="W20" s="479">
        <v>0</v>
      </c>
      <c r="X20" s="479">
        <v>0</v>
      </c>
      <c r="Y20" s="479">
        <v>0</v>
      </c>
      <c r="Z20" s="479">
        <v>0</v>
      </c>
      <c r="AA20" s="471">
        <f t="shared" si="6"/>
        <v>0</v>
      </c>
      <c r="AB20" s="471">
        <f t="shared" si="7"/>
        <v>0</v>
      </c>
    </row>
    <row r="21" spans="1:28" x14ac:dyDescent="0.15">
      <c r="A21" s="433"/>
      <c r="B21" s="606"/>
      <c r="C21" s="606"/>
      <c r="D21" s="606"/>
      <c r="E21" s="433"/>
      <c r="F21" s="606"/>
      <c r="G21" s="484" t="s">
        <v>1577</v>
      </c>
      <c r="H21" s="606"/>
      <c r="I21" s="433"/>
      <c r="J21" s="607"/>
      <c r="K21" s="607"/>
      <c r="L21" s="608"/>
      <c r="M21" s="608"/>
      <c r="N21" s="624">
        <f>VLOOKUP(M21,'Salary Schedule'!$B$16:$N$47,L21+1,FALSE)</f>
        <v>0</v>
      </c>
      <c r="O21" s="610"/>
      <c r="P21" s="481">
        <v>0</v>
      </c>
      <c r="Q21" s="609"/>
      <c r="R21" s="479">
        <f t="shared" si="5"/>
        <v>0</v>
      </c>
      <c r="S21" s="479">
        <f t="shared" si="1"/>
        <v>0</v>
      </c>
      <c r="T21" s="479">
        <f t="shared" si="2"/>
        <v>0</v>
      </c>
      <c r="U21" s="479">
        <f t="shared" si="3"/>
        <v>0</v>
      </c>
      <c r="V21" s="479">
        <f t="shared" si="4"/>
        <v>0</v>
      </c>
      <c r="W21" s="479">
        <v>0</v>
      </c>
      <c r="X21" s="479">
        <v>0</v>
      </c>
      <c r="Y21" s="479">
        <v>0</v>
      </c>
      <c r="Z21" s="479">
        <v>0</v>
      </c>
      <c r="AA21" s="471">
        <f t="shared" si="6"/>
        <v>0</v>
      </c>
      <c r="AB21" s="471">
        <f t="shared" si="7"/>
        <v>0</v>
      </c>
    </row>
    <row r="22" spans="1:28" x14ac:dyDescent="0.15">
      <c r="A22" s="433"/>
      <c r="B22" s="606"/>
      <c r="C22" s="606"/>
      <c r="D22" s="606"/>
      <c r="E22" s="433"/>
      <c r="F22" s="606"/>
      <c r="G22" s="484" t="s">
        <v>1577</v>
      </c>
      <c r="H22" s="606"/>
      <c r="I22" s="433"/>
      <c r="J22" s="607"/>
      <c r="K22" s="607"/>
      <c r="L22" s="608"/>
      <c r="M22" s="608"/>
      <c r="N22" s="624">
        <f>VLOOKUP(M22,'Salary Schedule'!$B$16:$N$47,L22+1,FALSE)</f>
        <v>0</v>
      </c>
      <c r="O22" s="610"/>
      <c r="P22" s="481">
        <v>0</v>
      </c>
      <c r="Q22" s="609"/>
      <c r="R22" s="479">
        <f t="shared" si="5"/>
        <v>0</v>
      </c>
      <c r="S22" s="479">
        <f t="shared" si="1"/>
        <v>0</v>
      </c>
      <c r="T22" s="479">
        <f t="shared" si="2"/>
        <v>0</v>
      </c>
      <c r="U22" s="479">
        <f t="shared" si="3"/>
        <v>0</v>
      </c>
      <c r="V22" s="479">
        <f t="shared" si="4"/>
        <v>0</v>
      </c>
      <c r="W22" s="479">
        <v>0</v>
      </c>
      <c r="X22" s="479">
        <v>0</v>
      </c>
      <c r="Y22" s="479">
        <v>0</v>
      </c>
      <c r="Z22" s="479">
        <v>0</v>
      </c>
      <c r="AA22" s="471">
        <f t="shared" si="6"/>
        <v>0</v>
      </c>
      <c r="AB22" s="471">
        <f t="shared" si="7"/>
        <v>0</v>
      </c>
    </row>
    <row r="23" spans="1:28" x14ac:dyDescent="0.15">
      <c r="A23" s="433"/>
      <c r="B23" s="606"/>
      <c r="C23" s="606"/>
      <c r="D23" s="606"/>
      <c r="E23" s="433"/>
      <c r="F23" s="606"/>
      <c r="G23" s="484" t="s">
        <v>1577</v>
      </c>
      <c r="H23" s="606"/>
      <c r="I23" s="433"/>
      <c r="J23" s="607"/>
      <c r="K23" s="607"/>
      <c r="L23" s="608"/>
      <c r="M23" s="608"/>
      <c r="N23" s="624">
        <f>VLOOKUP(M23,'Salary Schedule'!$B$16:$N$47,L23+1,FALSE)</f>
        <v>0</v>
      </c>
      <c r="O23" s="610"/>
      <c r="P23" s="481">
        <v>0</v>
      </c>
      <c r="Q23" s="609"/>
      <c r="R23" s="479">
        <f t="shared" si="5"/>
        <v>0</v>
      </c>
      <c r="S23" s="479">
        <f t="shared" si="1"/>
        <v>0</v>
      </c>
      <c r="T23" s="479">
        <f t="shared" si="2"/>
        <v>0</v>
      </c>
      <c r="U23" s="479">
        <f t="shared" si="3"/>
        <v>0</v>
      </c>
      <c r="V23" s="479">
        <f t="shared" si="4"/>
        <v>0</v>
      </c>
      <c r="W23" s="479">
        <v>0</v>
      </c>
      <c r="X23" s="479">
        <v>0</v>
      </c>
      <c r="Y23" s="479">
        <v>0</v>
      </c>
      <c r="Z23" s="479">
        <v>0</v>
      </c>
      <c r="AA23" s="471">
        <f t="shared" si="6"/>
        <v>0</v>
      </c>
      <c r="AB23" s="471">
        <f t="shared" si="7"/>
        <v>0</v>
      </c>
    </row>
    <row r="24" spans="1:28" x14ac:dyDescent="0.15">
      <c r="A24" s="433"/>
      <c r="B24" s="606"/>
      <c r="C24" s="606"/>
      <c r="D24" s="606"/>
      <c r="E24" s="433"/>
      <c r="F24" s="606"/>
      <c r="G24" s="484" t="s">
        <v>1577</v>
      </c>
      <c r="H24" s="606"/>
      <c r="I24" s="433"/>
      <c r="J24" s="607"/>
      <c r="K24" s="607"/>
      <c r="L24" s="608"/>
      <c r="M24" s="608"/>
      <c r="N24" s="624">
        <f>VLOOKUP(M24,'Salary Schedule'!$B$16:$N$47,L24+1,FALSE)</f>
        <v>0</v>
      </c>
      <c r="O24" s="610"/>
      <c r="P24" s="481">
        <v>0</v>
      </c>
      <c r="Q24" s="609"/>
      <c r="R24" s="479">
        <f t="shared" si="5"/>
        <v>0</v>
      </c>
      <c r="S24" s="479">
        <f t="shared" si="1"/>
        <v>0</v>
      </c>
      <c r="T24" s="479">
        <f t="shared" si="2"/>
        <v>0</v>
      </c>
      <c r="U24" s="479">
        <f t="shared" si="3"/>
        <v>0</v>
      </c>
      <c r="V24" s="479">
        <f t="shared" si="4"/>
        <v>0</v>
      </c>
      <c r="W24" s="479">
        <v>0</v>
      </c>
      <c r="X24" s="479">
        <v>0</v>
      </c>
      <c r="Y24" s="479">
        <v>0</v>
      </c>
      <c r="Z24" s="479">
        <v>0</v>
      </c>
      <c r="AA24" s="471">
        <f t="shared" si="6"/>
        <v>0</v>
      </c>
      <c r="AB24" s="471">
        <f t="shared" si="7"/>
        <v>0</v>
      </c>
    </row>
    <row r="25" spans="1:28" x14ac:dyDescent="0.15">
      <c r="A25" s="433"/>
      <c r="B25" s="606"/>
      <c r="C25" s="606"/>
      <c r="D25" s="606"/>
      <c r="E25" s="433"/>
      <c r="F25" s="606"/>
      <c r="G25" s="484" t="s">
        <v>1577</v>
      </c>
      <c r="H25" s="606"/>
      <c r="I25" s="433"/>
      <c r="J25" s="607"/>
      <c r="K25" s="607"/>
      <c r="L25" s="608"/>
      <c r="M25" s="608"/>
      <c r="N25" s="624">
        <f>VLOOKUP(M25,'Salary Schedule'!$B$16:$N$47,L25+1,FALSE)</f>
        <v>0</v>
      </c>
      <c r="O25" s="610"/>
      <c r="P25" s="481">
        <v>0</v>
      </c>
      <c r="Q25" s="609"/>
      <c r="R25" s="479">
        <f t="shared" si="5"/>
        <v>0</v>
      </c>
      <c r="S25" s="479">
        <f t="shared" si="1"/>
        <v>0</v>
      </c>
      <c r="T25" s="479">
        <f t="shared" si="2"/>
        <v>0</v>
      </c>
      <c r="U25" s="479">
        <f t="shared" si="3"/>
        <v>0</v>
      </c>
      <c r="V25" s="479">
        <f t="shared" si="4"/>
        <v>0</v>
      </c>
      <c r="W25" s="479">
        <v>0</v>
      </c>
      <c r="X25" s="479">
        <v>0</v>
      </c>
      <c r="Y25" s="479">
        <v>0</v>
      </c>
      <c r="Z25" s="479">
        <v>0</v>
      </c>
      <c r="AA25" s="471">
        <f t="shared" si="6"/>
        <v>0</v>
      </c>
      <c r="AB25" s="471">
        <f t="shared" si="7"/>
        <v>0</v>
      </c>
    </row>
    <row r="26" spans="1:28" x14ac:dyDescent="0.15">
      <c r="A26" s="433"/>
      <c r="B26" s="606"/>
      <c r="C26" s="606"/>
      <c r="D26" s="606"/>
      <c r="E26" s="433"/>
      <c r="F26" s="606"/>
      <c r="G26" s="484" t="s">
        <v>1577</v>
      </c>
      <c r="H26" s="606"/>
      <c r="I26" s="433"/>
      <c r="J26" s="607"/>
      <c r="K26" s="607"/>
      <c r="L26" s="608"/>
      <c r="M26" s="608"/>
      <c r="N26" s="624">
        <f>VLOOKUP(M26,'Salary Schedule'!$B$16:$N$47,L26+1,FALSE)</f>
        <v>0</v>
      </c>
      <c r="O26" s="610"/>
      <c r="P26" s="481">
        <v>0</v>
      </c>
      <c r="Q26" s="609"/>
      <c r="R26" s="479">
        <f t="shared" si="5"/>
        <v>0</v>
      </c>
      <c r="S26" s="479">
        <f t="shared" si="1"/>
        <v>0</v>
      </c>
      <c r="T26" s="479">
        <f t="shared" si="2"/>
        <v>0</v>
      </c>
      <c r="U26" s="479">
        <f t="shared" si="3"/>
        <v>0</v>
      </c>
      <c r="V26" s="479">
        <f t="shared" si="4"/>
        <v>0</v>
      </c>
      <c r="W26" s="479">
        <v>0</v>
      </c>
      <c r="X26" s="479">
        <v>0</v>
      </c>
      <c r="Y26" s="479">
        <v>0</v>
      </c>
      <c r="Z26" s="479">
        <v>0</v>
      </c>
      <c r="AA26" s="471">
        <f t="shared" si="6"/>
        <v>0</v>
      </c>
      <c r="AB26" s="471">
        <f t="shared" si="7"/>
        <v>0</v>
      </c>
    </row>
    <row r="27" spans="1:28" x14ac:dyDescent="0.15">
      <c r="A27" s="433"/>
      <c r="B27" s="606"/>
      <c r="C27" s="606"/>
      <c r="D27" s="606"/>
      <c r="E27" s="433"/>
      <c r="F27" s="606"/>
      <c r="G27" s="484" t="s">
        <v>1577</v>
      </c>
      <c r="H27" s="606"/>
      <c r="I27" s="433"/>
      <c r="J27" s="607"/>
      <c r="K27" s="607"/>
      <c r="L27" s="608"/>
      <c r="M27" s="608"/>
      <c r="N27" s="624">
        <f>VLOOKUP(M27,'Salary Schedule'!$B$16:$N$47,L27+1,FALSE)</f>
        <v>0</v>
      </c>
      <c r="O27" s="610"/>
      <c r="P27" s="481">
        <v>0</v>
      </c>
      <c r="Q27" s="609"/>
      <c r="R27" s="479">
        <f t="shared" si="5"/>
        <v>0</v>
      </c>
      <c r="S27" s="479">
        <f t="shared" si="1"/>
        <v>0</v>
      </c>
      <c r="T27" s="479">
        <f t="shared" si="2"/>
        <v>0</v>
      </c>
      <c r="U27" s="479">
        <f t="shared" si="3"/>
        <v>0</v>
      </c>
      <c r="V27" s="479">
        <f t="shared" si="4"/>
        <v>0</v>
      </c>
      <c r="W27" s="479">
        <v>0</v>
      </c>
      <c r="X27" s="479">
        <v>0</v>
      </c>
      <c r="Y27" s="479">
        <v>0</v>
      </c>
      <c r="Z27" s="479">
        <v>0</v>
      </c>
      <c r="AA27" s="471">
        <f t="shared" si="6"/>
        <v>0</v>
      </c>
      <c r="AB27" s="471">
        <f t="shared" si="7"/>
        <v>0</v>
      </c>
    </row>
    <row r="28" spans="1:28" x14ac:dyDescent="0.15">
      <c r="A28" s="433"/>
      <c r="B28" s="606"/>
      <c r="C28" s="606"/>
      <c r="D28" s="606"/>
      <c r="E28" s="433"/>
      <c r="F28" s="606"/>
      <c r="G28" s="484" t="s">
        <v>1577</v>
      </c>
      <c r="H28" s="606"/>
      <c r="I28" s="433"/>
      <c r="J28" s="607"/>
      <c r="K28" s="607"/>
      <c r="L28" s="608"/>
      <c r="M28" s="608"/>
      <c r="N28" s="624">
        <f>VLOOKUP(M28,'Salary Schedule'!$B$16:$N$47,L28+1,FALSE)</f>
        <v>0</v>
      </c>
      <c r="O28" s="610"/>
      <c r="P28" s="481">
        <v>0</v>
      </c>
      <c r="Q28" s="609"/>
      <c r="R28" s="479">
        <f t="shared" si="5"/>
        <v>0</v>
      </c>
      <c r="S28" s="479">
        <f t="shared" si="1"/>
        <v>0</v>
      </c>
      <c r="T28" s="479">
        <f t="shared" si="2"/>
        <v>0</v>
      </c>
      <c r="U28" s="479">
        <f t="shared" si="3"/>
        <v>0</v>
      </c>
      <c r="V28" s="479">
        <f t="shared" si="4"/>
        <v>0</v>
      </c>
      <c r="W28" s="479">
        <v>0</v>
      </c>
      <c r="X28" s="479">
        <v>0</v>
      </c>
      <c r="Y28" s="479">
        <v>0</v>
      </c>
      <c r="Z28" s="479">
        <v>0</v>
      </c>
      <c r="AA28" s="471">
        <f t="shared" si="6"/>
        <v>0</v>
      </c>
      <c r="AB28" s="471">
        <f t="shared" si="7"/>
        <v>0</v>
      </c>
    </row>
    <row r="29" spans="1:28" x14ac:dyDescent="0.15">
      <c r="A29" s="433"/>
      <c r="B29" s="606"/>
      <c r="C29" s="606"/>
      <c r="D29" s="606"/>
      <c r="E29" s="433"/>
      <c r="F29" s="606"/>
      <c r="G29" s="484" t="s">
        <v>1577</v>
      </c>
      <c r="H29" s="606"/>
      <c r="I29" s="433"/>
      <c r="J29" s="607"/>
      <c r="K29" s="607"/>
      <c r="L29" s="608"/>
      <c r="M29" s="608"/>
      <c r="N29" s="624">
        <f>VLOOKUP(M29,'Salary Schedule'!$B$16:$N$47,L29+1,FALSE)</f>
        <v>0</v>
      </c>
      <c r="O29" s="610"/>
      <c r="P29" s="481">
        <v>0</v>
      </c>
      <c r="Q29" s="609"/>
      <c r="R29" s="479">
        <f t="shared" si="5"/>
        <v>0</v>
      </c>
      <c r="S29" s="479">
        <f t="shared" si="1"/>
        <v>0</v>
      </c>
      <c r="T29" s="479">
        <f t="shared" si="2"/>
        <v>0</v>
      </c>
      <c r="U29" s="479">
        <f t="shared" si="3"/>
        <v>0</v>
      </c>
      <c r="V29" s="479">
        <f t="shared" si="4"/>
        <v>0</v>
      </c>
      <c r="W29" s="479">
        <v>0</v>
      </c>
      <c r="X29" s="479">
        <v>0</v>
      </c>
      <c r="Y29" s="479">
        <v>0</v>
      </c>
      <c r="Z29" s="479">
        <v>0</v>
      </c>
      <c r="AA29" s="471">
        <f t="shared" si="6"/>
        <v>0</v>
      </c>
      <c r="AB29" s="471">
        <f t="shared" si="7"/>
        <v>0</v>
      </c>
    </row>
    <row r="30" spans="1:28" x14ac:dyDescent="0.15">
      <c r="A30" s="433"/>
      <c r="B30" s="606"/>
      <c r="C30" s="606"/>
      <c r="D30" s="606"/>
      <c r="E30" s="433"/>
      <c r="F30" s="606"/>
      <c r="G30" s="484" t="s">
        <v>1577</v>
      </c>
      <c r="H30" s="606"/>
      <c r="I30" s="433"/>
      <c r="J30" s="607"/>
      <c r="K30" s="607"/>
      <c r="L30" s="608"/>
      <c r="M30" s="608"/>
      <c r="N30" s="624">
        <f>VLOOKUP(M30,'Salary Schedule'!$B$16:$N$47,L30+1,FALSE)</f>
        <v>0</v>
      </c>
      <c r="O30" s="610"/>
      <c r="P30" s="481">
        <v>0</v>
      </c>
      <c r="Q30" s="609"/>
      <c r="R30" s="479">
        <f t="shared" si="5"/>
        <v>0</v>
      </c>
      <c r="S30" s="479">
        <f t="shared" si="1"/>
        <v>0</v>
      </c>
      <c r="T30" s="479">
        <f t="shared" si="2"/>
        <v>0</v>
      </c>
      <c r="U30" s="479">
        <f t="shared" si="3"/>
        <v>0</v>
      </c>
      <c r="V30" s="479">
        <f t="shared" si="4"/>
        <v>0</v>
      </c>
      <c r="W30" s="479">
        <v>0</v>
      </c>
      <c r="X30" s="479">
        <v>0</v>
      </c>
      <c r="Y30" s="479">
        <v>0</v>
      </c>
      <c r="Z30" s="479">
        <v>0</v>
      </c>
      <c r="AA30" s="471">
        <f t="shared" si="6"/>
        <v>0</v>
      </c>
      <c r="AB30" s="471">
        <f t="shared" si="7"/>
        <v>0</v>
      </c>
    </row>
    <row r="31" spans="1:28" x14ac:dyDescent="0.15">
      <c r="A31" s="433"/>
      <c r="B31" s="606"/>
      <c r="C31" s="606"/>
      <c r="D31" s="606"/>
      <c r="E31" s="433"/>
      <c r="F31" s="606"/>
      <c r="G31" s="484" t="s">
        <v>1577</v>
      </c>
      <c r="H31" s="606"/>
      <c r="I31" s="433"/>
      <c r="J31" s="607"/>
      <c r="K31" s="607"/>
      <c r="L31" s="608"/>
      <c r="M31" s="608"/>
      <c r="N31" s="624">
        <f>VLOOKUP(M31,'Salary Schedule'!$B$16:$N$47,L31+1,FALSE)</f>
        <v>0</v>
      </c>
      <c r="O31" s="610"/>
      <c r="P31" s="481">
        <v>0</v>
      </c>
      <c r="Q31" s="609"/>
      <c r="R31" s="479">
        <f t="shared" si="5"/>
        <v>0</v>
      </c>
      <c r="S31" s="479">
        <f t="shared" si="1"/>
        <v>0</v>
      </c>
      <c r="T31" s="479">
        <f t="shared" si="2"/>
        <v>0</v>
      </c>
      <c r="U31" s="479">
        <f t="shared" si="3"/>
        <v>0</v>
      </c>
      <c r="V31" s="479">
        <f t="shared" si="4"/>
        <v>0</v>
      </c>
      <c r="W31" s="479">
        <v>0</v>
      </c>
      <c r="X31" s="479">
        <v>0</v>
      </c>
      <c r="Y31" s="479">
        <v>0</v>
      </c>
      <c r="Z31" s="479">
        <v>0</v>
      </c>
      <c r="AA31" s="471">
        <f t="shared" si="6"/>
        <v>0</v>
      </c>
      <c r="AB31" s="471">
        <f t="shared" si="7"/>
        <v>0</v>
      </c>
    </row>
    <row r="32" spans="1:28" x14ac:dyDescent="0.15">
      <c r="A32" s="433"/>
      <c r="B32" s="606"/>
      <c r="C32" s="606"/>
      <c r="D32" s="606"/>
      <c r="E32" s="433"/>
      <c r="F32" s="606"/>
      <c r="G32" s="484" t="s">
        <v>1577</v>
      </c>
      <c r="H32" s="606"/>
      <c r="I32" s="433"/>
      <c r="J32" s="607"/>
      <c r="K32" s="607"/>
      <c r="L32" s="608"/>
      <c r="M32" s="608"/>
      <c r="N32" s="624">
        <f>VLOOKUP(M32,'Salary Schedule'!$B$16:$N$47,L32+1,FALSE)</f>
        <v>0</v>
      </c>
      <c r="O32" s="610"/>
      <c r="P32" s="481">
        <v>0</v>
      </c>
      <c r="Q32" s="609"/>
      <c r="R32" s="479">
        <f t="shared" si="5"/>
        <v>0</v>
      </c>
      <c r="S32" s="479">
        <f t="shared" si="1"/>
        <v>0</v>
      </c>
      <c r="T32" s="479">
        <f t="shared" si="2"/>
        <v>0</v>
      </c>
      <c r="U32" s="479">
        <f t="shared" si="3"/>
        <v>0</v>
      </c>
      <c r="V32" s="479">
        <f t="shared" si="4"/>
        <v>0</v>
      </c>
      <c r="W32" s="479">
        <v>0</v>
      </c>
      <c r="X32" s="479">
        <v>0</v>
      </c>
      <c r="Y32" s="479">
        <v>0</v>
      </c>
      <c r="Z32" s="479">
        <v>0</v>
      </c>
      <c r="AA32" s="471">
        <f t="shared" si="6"/>
        <v>0</v>
      </c>
      <c r="AB32" s="471">
        <f t="shared" si="7"/>
        <v>0</v>
      </c>
    </row>
    <row r="33" spans="1:28" x14ac:dyDescent="0.15">
      <c r="A33" s="433"/>
      <c r="B33" s="606"/>
      <c r="C33" s="606"/>
      <c r="D33" s="606"/>
      <c r="E33" s="433"/>
      <c r="F33" s="606"/>
      <c r="G33" s="484" t="s">
        <v>1577</v>
      </c>
      <c r="H33" s="606"/>
      <c r="I33" s="433"/>
      <c r="J33" s="607"/>
      <c r="K33" s="607"/>
      <c r="L33" s="608"/>
      <c r="M33" s="608"/>
      <c r="N33" s="624">
        <f>VLOOKUP(M33,'Salary Schedule'!$B$16:$N$47,L33+1,FALSE)</f>
        <v>0</v>
      </c>
      <c r="O33" s="610"/>
      <c r="P33" s="481">
        <v>0</v>
      </c>
      <c r="Q33" s="609"/>
      <c r="R33" s="479">
        <f t="shared" si="5"/>
        <v>0</v>
      </c>
      <c r="S33" s="479">
        <f t="shared" si="1"/>
        <v>0</v>
      </c>
      <c r="T33" s="479">
        <f t="shared" si="2"/>
        <v>0</v>
      </c>
      <c r="U33" s="479">
        <f t="shared" si="3"/>
        <v>0</v>
      </c>
      <c r="V33" s="479">
        <f t="shared" si="4"/>
        <v>0</v>
      </c>
      <c r="W33" s="479">
        <v>0</v>
      </c>
      <c r="X33" s="479">
        <v>0</v>
      </c>
      <c r="Y33" s="479">
        <v>0</v>
      </c>
      <c r="Z33" s="479">
        <v>0</v>
      </c>
      <c r="AA33" s="471">
        <f t="shared" si="6"/>
        <v>0</v>
      </c>
      <c r="AB33" s="471">
        <f t="shared" si="7"/>
        <v>0</v>
      </c>
    </row>
    <row r="34" spans="1:28" x14ac:dyDescent="0.15">
      <c r="A34" s="433"/>
      <c r="B34" s="606"/>
      <c r="C34" s="606"/>
      <c r="D34" s="606"/>
      <c r="E34" s="433"/>
      <c r="F34" s="606"/>
      <c r="G34" s="484" t="s">
        <v>1577</v>
      </c>
      <c r="H34" s="606"/>
      <c r="I34" s="433"/>
      <c r="J34" s="607"/>
      <c r="K34" s="607"/>
      <c r="L34" s="608"/>
      <c r="M34" s="608"/>
      <c r="N34" s="624">
        <f>VLOOKUP(M34,'Salary Schedule'!$B$16:$N$47,L34+1,FALSE)</f>
        <v>0</v>
      </c>
      <c r="O34" s="610"/>
      <c r="P34" s="481">
        <v>0</v>
      </c>
      <c r="Q34" s="609"/>
      <c r="R34" s="479">
        <f t="shared" si="5"/>
        <v>0</v>
      </c>
      <c r="S34" s="479">
        <f t="shared" si="1"/>
        <v>0</v>
      </c>
      <c r="T34" s="479">
        <f t="shared" si="2"/>
        <v>0</v>
      </c>
      <c r="U34" s="479">
        <f t="shared" si="3"/>
        <v>0</v>
      </c>
      <c r="V34" s="479">
        <f t="shared" si="4"/>
        <v>0</v>
      </c>
      <c r="W34" s="479">
        <v>0</v>
      </c>
      <c r="X34" s="479">
        <v>0</v>
      </c>
      <c r="Y34" s="479">
        <v>0</v>
      </c>
      <c r="Z34" s="479">
        <v>0</v>
      </c>
      <c r="AA34" s="471">
        <f t="shared" si="6"/>
        <v>0</v>
      </c>
      <c r="AB34" s="471">
        <f t="shared" si="7"/>
        <v>0</v>
      </c>
    </row>
    <row r="35" spans="1:28" x14ac:dyDescent="0.15">
      <c r="A35" s="433"/>
      <c r="B35" s="606"/>
      <c r="C35" s="606"/>
      <c r="D35" s="606"/>
      <c r="E35" s="433"/>
      <c r="F35" s="606"/>
      <c r="G35" s="484" t="s">
        <v>1577</v>
      </c>
      <c r="H35" s="606"/>
      <c r="I35" s="433"/>
      <c r="J35" s="607"/>
      <c r="K35" s="607"/>
      <c r="L35" s="608"/>
      <c r="M35" s="608"/>
      <c r="N35" s="624">
        <f>VLOOKUP(M35,'Salary Schedule'!$B$16:$N$47,L35+1,FALSE)</f>
        <v>0</v>
      </c>
      <c r="O35" s="610"/>
      <c r="P35" s="481">
        <v>0</v>
      </c>
      <c r="Q35" s="609"/>
      <c r="R35" s="479">
        <f t="shared" si="5"/>
        <v>0</v>
      </c>
      <c r="S35" s="479">
        <f t="shared" si="1"/>
        <v>0</v>
      </c>
      <c r="T35" s="479">
        <f t="shared" si="2"/>
        <v>0</v>
      </c>
      <c r="U35" s="479">
        <f t="shared" si="3"/>
        <v>0</v>
      </c>
      <c r="V35" s="479">
        <f t="shared" si="4"/>
        <v>0</v>
      </c>
      <c r="W35" s="479">
        <v>0</v>
      </c>
      <c r="X35" s="479">
        <v>0</v>
      </c>
      <c r="Y35" s="479">
        <v>0</v>
      </c>
      <c r="Z35" s="479">
        <v>0</v>
      </c>
      <c r="AA35" s="471">
        <f t="shared" si="6"/>
        <v>0</v>
      </c>
      <c r="AB35" s="471">
        <f t="shared" si="7"/>
        <v>0</v>
      </c>
    </row>
    <row r="36" spans="1:28" x14ac:dyDescent="0.15">
      <c r="A36" s="433"/>
      <c r="B36" s="606"/>
      <c r="C36" s="606"/>
      <c r="D36" s="606"/>
      <c r="E36" s="433"/>
      <c r="F36" s="606"/>
      <c r="G36" s="484" t="s">
        <v>1577</v>
      </c>
      <c r="H36" s="606"/>
      <c r="I36" s="433"/>
      <c r="J36" s="607"/>
      <c r="K36" s="607"/>
      <c r="L36" s="608"/>
      <c r="M36" s="608"/>
      <c r="N36" s="624">
        <f>VLOOKUP(M36,'Salary Schedule'!$B$16:$N$47,L36+1,FALSE)</f>
        <v>0</v>
      </c>
      <c r="O36" s="610"/>
      <c r="P36" s="481">
        <v>0</v>
      </c>
      <c r="Q36" s="609"/>
      <c r="R36" s="479">
        <f t="shared" si="5"/>
        <v>0</v>
      </c>
      <c r="S36" s="479">
        <f t="shared" si="1"/>
        <v>0</v>
      </c>
      <c r="T36" s="479">
        <f t="shared" si="2"/>
        <v>0</v>
      </c>
      <c r="U36" s="479">
        <f t="shared" si="3"/>
        <v>0</v>
      </c>
      <c r="V36" s="479">
        <f t="shared" si="4"/>
        <v>0</v>
      </c>
      <c r="W36" s="479">
        <v>0</v>
      </c>
      <c r="X36" s="479">
        <v>0</v>
      </c>
      <c r="Y36" s="479">
        <v>0</v>
      </c>
      <c r="Z36" s="479">
        <v>0</v>
      </c>
      <c r="AA36" s="471">
        <f t="shared" si="6"/>
        <v>0</v>
      </c>
      <c r="AB36" s="471">
        <f t="shared" si="7"/>
        <v>0</v>
      </c>
    </row>
    <row r="37" spans="1:28" x14ac:dyDescent="0.15">
      <c r="A37" s="433"/>
      <c r="B37" s="606"/>
      <c r="C37" s="606"/>
      <c r="D37" s="606"/>
      <c r="E37" s="433"/>
      <c r="F37" s="606"/>
      <c r="G37" s="484" t="s">
        <v>1577</v>
      </c>
      <c r="H37" s="606"/>
      <c r="I37" s="433"/>
      <c r="J37" s="607"/>
      <c r="K37" s="607"/>
      <c r="L37" s="608"/>
      <c r="M37" s="608"/>
      <c r="N37" s="624">
        <f>VLOOKUP(M37,'Salary Schedule'!$B$16:$N$47,L37+1,FALSE)</f>
        <v>0</v>
      </c>
      <c r="O37" s="610"/>
      <c r="P37" s="481">
        <v>0</v>
      </c>
      <c r="Q37" s="609"/>
      <c r="R37" s="479">
        <f t="shared" si="5"/>
        <v>0</v>
      </c>
      <c r="S37" s="479">
        <f t="shared" si="1"/>
        <v>0</v>
      </c>
      <c r="T37" s="479">
        <f t="shared" si="2"/>
        <v>0</v>
      </c>
      <c r="U37" s="479">
        <f t="shared" si="3"/>
        <v>0</v>
      </c>
      <c r="V37" s="479">
        <f t="shared" si="4"/>
        <v>0</v>
      </c>
      <c r="W37" s="479">
        <v>0</v>
      </c>
      <c r="X37" s="479">
        <v>0</v>
      </c>
      <c r="Y37" s="479">
        <v>0</v>
      </c>
      <c r="Z37" s="479">
        <v>0</v>
      </c>
      <c r="AA37" s="471">
        <f t="shared" si="6"/>
        <v>0</v>
      </c>
      <c r="AB37" s="471">
        <f t="shared" si="7"/>
        <v>0</v>
      </c>
    </row>
    <row r="38" spans="1:28" x14ac:dyDescent="0.15">
      <c r="A38" s="433"/>
      <c r="B38" s="606"/>
      <c r="C38" s="606"/>
      <c r="D38" s="606"/>
      <c r="E38" s="433"/>
      <c r="F38" s="606"/>
      <c r="G38" s="484" t="s">
        <v>1577</v>
      </c>
      <c r="H38" s="606"/>
      <c r="I38" s="433"/>
      <c r="J38" s="607"/>
      <c r="K38" s="607"/>
      <c r="L38" s="608"/>
      <c r="M38" s="608"/>
      <c r="N38" s="624">
        <f>VLOOKUP(M38,'Salary Schedule'!$B$16:$N$47,L38+1,FALSE)</f>
        <v>0</v>
      </c>
      <c r="O38" s="610"/>
      <c r="P38" s="481">
        <v>0</v>
      </c>
      <c r="Q38" s="609"/>
      <c r="R38" s="479">
        <f t="shared" si="5"/>
        <v>0</v>
      </c>
      <c r="S38" s="479">
        <f t="shared" si="1"/>
        <v>0</v>
      </c>
      <c r="T38" s="479">
        <f t="shared" si="2"/>
        <v>0</v>
      </c>
      <c r="U38" s="479">
        <f t="shared" si="3"/>
        <v>0</v>
      </c>
      <c r="V38" s="479">
        <f t="shared" si="4"/>
        <v>0</v>
      </c>
      <c r="W38" s="479">
        <v>0</v>
      </c>
      <c r="X38" s="479">
        <v>0</v>
      </c>
      <c r="Y38" s="479">
        <v>0</v>
      </c>
      <c r="Z38" s="479">
        <v>0</v>
      </c>
      <c r="AA38" s="471">
        <f t="shared" si="6"/>
        <v>0</v>
      </c>
      <c r="AB38" s="471">
        <f t="shared" si="7"/>
        <v>0</v>
      </c>
    </row>
    <row r="39" spans="1:28" x14ac:dyDescent="0.15">
      <c r="A39" s="433"/>
      <c r="B39" s="606"/>
      <c r="C39" s="606"/>
      <c r="D39" s="606"/>
      <c r="E39" s="433"/>
      <c r="F39" s="606"/>
      <c r="G39" s="484" t="s">
        <v>1577</v>
      </c>
      <c r="H39" s="606"/>
      <c r="I39" s="433"/>
      <c r="J39" s="607"/>
      <c r="K39" s="607"/>
      <c r="L39" s="608"/>
      <c r="M39" s="608"/>
      <c r="N39" s="624">
        <f>VLOOKUP(M39,'Salary Schedule'!$B$16:$N$47,L39+1,FALSE)</f>
        <v>0</v>
      </c>
      <c r="O39" s="610"/>
      <c r="P39" s="481">
        <v>0</v>
      </c>
      <c r="Q39" s="609"/>
      <c r="R39" s="479">
        <f t="shared" si="5"/>
        <v>0</v>
      </c>
      <c r="S39" s="479">
        <f t="shared" si="1"/>
        <v>0</v>
      </c>
      <c r="T39" s="479">
        <f t="shared" si="2"/>
        <v>0</v>
      </c>
      <c r="U39" s="479">
        <f t="shared" si="3"/>
        <v>0</v>
      </c>
      <c r="V39" s="479">
        <f t="shared" si="4"/>
        <v>0</v>
      </c>
      <c r="W39" s="479">
        <v>0</v>
      </c>
      <c r="X39" s="479">
        <v>0</v>
      </c>
      <c r="Y39" s="479">
        <v>0</v>
      </c>
      <c r="Z39" s="479">
        <v>0</v>
      </c>
      <c r="AA39" s="471">
        <f t="shared" si="6"/>
        <v>0</v>
      </c>
      <c r="AB39" s="471">
        <f t="shared" si="7"/>
        <v>0</v>
      </c>
    </row>
    <row r="40" spans="1:28" x14ac:dyDescent="0.15">
      <c r="A40" s="433"/>
      <c r="B40" s="606"/>
      <c r="C40" s="606"/>
      <c r="D40" s="606"/>
      <c r="E40" s="433"/>
      <c r="F40" s="606"/>
      <c r="G40" s="484" t="s">
        <v>1577</v>
      </c>
      <c r="H40" s="606"/>
      <c r="I40" s="433"/>
      <c r="J40" s="607"/>
      <c r="K40" s="607"/>
      <c r="L40" s="608"/>
      <c r="M40" s="608"/>
      <c r="N40" s="624">
        <f>VLOOKUP(M40,'Salary Schedule'!$B$16:$N$47,L40+1,FALSE)</f>
        <v>0</v>
      </c>
      <c r="O40" s="610"/>
      <c r="P40" s="481">
        <v>0</v>
      </c>
      <c r="Q40" s="609"/>
      <c r="R40" s="479">
        <f t="shared" si="5"/>
        <v>0</v>
      </c>
      <c r="S40" s="479">
        <f t="shared" si="1"/>
        <v>0</v>
      </c>
      <c r="T40" s="479">
        <f t="shared" si="2"/>
        <v>0</v>
      </c>
      <c r="U40" s="479">
        <f t="shared" si="3"/>
        <v>0</v>
      </c>
      <c r="V40" s="479">
        <f t="shared" si="4"/>
        <v>0</v>
      </c>
      <c r="W40" s="479">
        <v>0</v>
      </c>
      <c r="X40" s="479">
        <v>0</v>
      </c>
      <c r="Y40" s="479">
        <v>0</v>
      </c>
      <c r="Z40" s="479">
        <v>0</v>
      </c>
      <c r="AA40" s="471">
        <f t="shared" si="6"/>
        <v>0</v>
      </c>
      <c r="AB40" s="471">
        <f t="shared" si="7"/>
        <v>0</v>
      </c>
    </row>
    <row r="41" spans="1:28" x14ac:dyDescent="0.15">
      <c r="A41" s="433"/>
      <c r="B41" s="606"/>
      <c r="C41" s="606"/>
      <c r="D41" s="606"/>
      <c r="E41" s="433"/>
      <c r="F41" s="606"/>
      <c r="G41" s="484" t="s">
        <v>1577</v>
      </c>
      <c r="H41" s="606"/>
      <c r="I41" s="433"/>
      <c r="J41" s="607"/>
      <c r="K41" s="607"/>
      <c r="L41" s="608"/>
      <c r="M41" s="608"/>
      <c r="N41" s="624">
        <f>VLOOKUP(M41,'Salary Schedule'!$B$16:$N$47,L41+1,FALSE)</f>
        <v>0</v>
      </c>
      <c r="O41" s="610"/>
      <c r="P41" s="481">
        <v>0</v>
      </c>
      <c r="Q41" s="609"/>
      <c r="R41" s="479">
        <f t="shared" si="5"/>
        <v>0</v>
      </c>
      <c r="S41" s="479">
        <f t="shared" si="1"/>
        <v>0</v>
      </c>
      <c r="T41" s="479">
        <f t="shared" si="2"/>
        <v>0</v>
      </c>
      <c r="U41" s="479">
        <f t="shared" si="3"/>
        <v>0</v>
      </c>
      <c r="V41" s="479">
        <f t="shared" si="4"/>
        <v>0</v>
      </c>
      <c r="W41" s="479">
        <v>0</v>
      </c>
      <c r="X41" s="479">
        <v>0</v>
      </c>
      <c r="Y41" s="479">
        <v>0</v>
      </c>
      <c r="Z41" s="479">
        <v>0</v>
      </c>
      <c r="AA41" s="471">
        <f t="shared" si="6"/>
        <v>0</v>
      </c>
      <c r="AB41" s="471">
        <f t="shared" si="7"/>
        <v>0</v>
      </c>
    </row>
    <row r="42" spans="1:28" x14ac:dyDescent="0.15">
      <c r="A42" s="433"/>
      <c r="B42" s="606"/>
      <c r="C42" s="606"/>
      <c r="D42" s="606"/>
      <c r="E42" s="433"/>
      <c r="F42" s="606"/>
      <c r="G42" s="484" t="s">
        <v>1577</v>
      </c>
      <c r="H42" s="606"/>
      <c r="I42" s="433"/>
      <c r="J42" s="607"/>
      <c r="K42" s="607"/>
      <c r="L42" s="608"/>
      <c r="M42" s="608"/>
      <c r="N42" s="624">
        <f>VLOOKUP(M42,'Salary Schedule'!$B$16:$N$47,L42+1,FALSE)</f>
        <v>0</v>
      </c>
      <c r="O42" s="610"/>
      <c r="P42" s="481">
        <v>0</v>
      </c>
      <c r="Q42" s="609"/>
      <c r="R42" s="479">
        <f t="shared" si="5"/>
        <v>0</v>
      </c>
      <c r="S42" s="479">
        <f t="shared" si="1"/>
        <v>0</v>
      </c>
      <c r="T42" s="479">
        <f t="shared" si="2"/>
        <v>0</v>
      </c>
      <c r="U42" s="479">
        <f t="shared" si="3"/>
        <v>0</v>
      </c>
      <c r="V42" s="479">
        <f t="shared" si="4"/>
        <v>0</v>
      </c>
      <c r="W42" s="479">
        <v>0</v>
      </c>
      <c r="X42" s="479">
        <v>0</v>
      </c>
      <c r="Y42" s="479">
        <v>0</v>
      </c>
      <c r="Z42" s="479">
        <v>0</v>
      </c>
      <c r="AA42" s="471">
        <f t="shared" si="6"/>
        <v>0</v>
      </c>
      <c r="AB42" s="471">
        <f t="shared" si="7"/>
        <v>0</v>
      </c>
    </row>
    <row r="43" spans="1:28" x14ac:dyDescent="0.15">
      <c r="A43" s="433"/>
      <c r="B43" s="606"/>
      <c r="C43" s="606"/>
      <c r="D43" s="606"/>
      <c r="E43" s="433"/>
      <c r="F43" s="606"/>
      <c r="G43" s="484" t="s">
        <v>1577</v>
      </c>
      <c r="H43" s="606"/>
      <c r="I43" s="433"/>
      <c r="J43" s="607"/>
      <c r="K43" s="607"/>
      <c r="L43" s="608"/>
      <c r="M43" s="608"/>
      <c r="N43" s="624">
        <f>VLOOKUP(M43,'Salary Schedule'!$B$16:$N$47,L43+1,FALSE)</f>
        <v>0</v>
      </c>
      <c r="O43" s="610"/>
      <c r="P43" s="481">
        <v>0</v>
      </c>
      <c r="Q43" s="609"/>
      <c r="R43" s="479">
        <f t="shared" si="5"/>
        <v>0</v>
      </c>
      <c r="S43" s="479">
        <f t="shared" si="1"/>
        <v>0</v>
      </c>
      <c r="T43" s="479">
        <f t="shared" si="2"/>
        <v>0</v>
      </c>
      <c r="U43" s="479">
        <f t="shared" si="3"/>
        <v>0</v>
      </c>
      <c r="V43" s="479">
        <f t="shared" si="4"/>
        <v>0</v>
      </c>
      <c r="W43" s="479">
        <v>0</v>
      </c>
      <c r="X43" s="479">
        <v>0</v>
      </c>
      <c r="Y43" s="479">
        <v>0</v>
      </c>
      <c r="Z43" s="479">
        <v>0</v>
      </c>
      <c r="AA43" s="471">
        <f t="shared" si="6"/>
        <v>0</v>
      </c>
      <c r="AB43" s="471">
        <f t="shared" si="7"/>
        <v>0</v>
      </c>
    </row>
    <row r="44" spans="1:28" x14ac:dyDescent="0.15">
      <c r="A44" s="433"/>
      <c r="B44" s="606"/>
      <c r="C44" s="606"/>
      <c r="D44" s="606"/>
      <c r="E44" s="433"/>
      <c r="F44" s="606"/>
      <c r="G44" s="484" t="s">
        <v>1577</v>
      </c>
      <c r="H44" s="606"/>
      <c r="I44" s="433"/>
      <c r="J44" s="607"/>
      <c r="K44" s="607"/>
      <c r="L44" s="608"/>
      <c r="M44" s="608"/>
      <c r="N44" s="624">
        <f>VLOOKUP(M44,'Salary Schedule'!$B$16:$N$47,L44+1,FALSE)</f>
        <v>0</v>
      </c>
      <c r="O44" s="610"/>
      <c r="P44" s="481">
        <v>0</v>
      </c>
      <c r="Q44" s="609"/>
      <c r="R44" s="479">
        <f t="shared" si="5"/>
        <v>0</v>
      </c>
      <c r="S44" s="479">
        <f t="shared" si="1"/>
        <v>0</v>
      </c>
      <c r="T44" s="479">
        <f t="shared" si="2"/>
        <v>0</v>
      </c>
      <c r="U44" s="479">
        <f t="shared" si="3"/>
        <v>0</v>
      </c>
      <c r="V44" s="479">
        <f t="shared" si="4"/>
        <v>0</v>
      </c>
      <c r="W44" s="479">
        <v>0</v>
      </c>
      <c r="X44" s="479">
        <v>0</v>
      </c>
      <c r="Y44" s="479">
        <v>0</v>
      </c>
      <c r="Z44" s="479">
        <v>0</v>
      </c>
      <c r="AA44" s="471">
        <f t="shared" si="6"/>
        <v>0</v>
      </c>
      <c r="AB44" s="471">
        <f t="shared" si="7"/>
        <v>0</v>
      </c>
    </row>
    <row r="45" spans="1:28" x14ac:dyDescent="0.15">
      <c r="A45" s="433"/>
      <c r="B45" s="606"/>
      <c r="C45" s="606"/>
      <c r="D45" s="606"/>
      <c r="E45" s="433"/>
      <c r="F45" s="606"/>
      <c r="G45" s="484" t="s">
        <v>1577</v>
      </c>
      <c r="H45" s="606"/>
      <c r="I45" s="433"/>
      <c r="J45" s="607"/>
      <c r="K45" s="607"/>
      <c r="L45" s="608"/>
      <c r="M45" s="608"/>
      <c r="N45" s="624">
        <f>VLOOKUP(M45,'Salary Schedule'!$B$16:$N$47,L45+1,FALSE)</f>
        <v>0</v>
      </c>
      <c r="O45" s="610"/>
      <c r="P45" s="481">
        <v>0</v>
      </c>
      <c r="Q45" s="609"/>
      <c r="R45" s="479">
        <f t="shared" si="5"/>
        <v>0</v>
      </c>
      <c r="S45" s="479">
        <f t="shared" si="1"/>
        <v>0</v>
      </c>
      <c r="T45" s="479">
        <f t="shared" si="2"/>
        <v>0</v>
      </c>
      <c r="U45" s="479">
        <f t="shared" si="3"/>
        <v>0</v>
      </c>
      <c r="V45" s="479">
        <f t="shared" si="4"/>
        <v>0</v>
      </c>
      <c r="W45" s="479">
        <v>0</v>
      </c>
      <c r="X45" s="479">
        <v>0</v>
      </c>
      <c r="Y45" s="479">
        <v>0</v>
      </c>
      <c r="Z45" s="479">
        <v>0</v>
      </c>
      <c r="AA45" s="471">
        <f t="shared" si="6"/>
        <v>0</v>
      </c>
      <c r="AB45" s="471">
        <f t="shared" si="7"/>
        <v>0</v>
      </c>
    </row>
    <row r="46" spans="1:28" x14ac:dyDescent="0.15">
      <c r="A46" s="433"/>
      <c r="B46" s="606"/>
      <c r="C46" s="606"/>
      <c r="D46" s="606"/>
      <c r="E46" s="433"/>
      <c r="F46" s="606"/>
      <c r="G46" s="484" t="s">
        <v>1577</v>
      </c>
      <c r="H46" s="606"/>
      <c r="I46" s="433"/>
      <c r="J46" s="607"/>
      <c r="K46" s="607"/>
      <c r="L46" s="608"/>
      <c r="M46" s="608"/>
      <c r="N46" s="624">
        <f>VLOOKUP(M46,'Salary Schedule'!$B$16:$N$47,L46+1,FALSE)</f>
        <v>0</v>
      </c>
      <c r="O46" s="610"/>
      <c r="P46" s="481">
        <v>0</v>
      </c>
      <c r="Q46" s="609"/>
      <c r="R46" s="479">
        <f t="shared" si="5"/>
        <v>0</v>
      </c>
      <c r="S46" s="479">
        <f t="shared" si="1"/>
        <v>0</v>
      </c>
      <c r="T46" s="479">
        <f t="shared" si="2"/>
        <v>0</v>
      </c>
      <c r="U46" s="479">
        <f t="shared" si="3"/>
        <v>0</v>
      </c>
      <c r="V46" s="479">
        <f t="shared" si="4"/>
        <v>0</v>
      </c>
      <c r="W46" s="479">
        <v>0</v>
      </c>
      <c r="X46" s="479">
        <v>0</v>
      </c>
      <c r="Y46" s="479">
        <v>0</v>
      </c>
      <c r="Z46" s="479">
        <v>0</v>
      </c>
      <c r="AA46" s="471">
        <f t="shared" si="6"/>
        <v>0</v>
      </c>
      <c r="AB46" s="471">
        <f t="shared" si="7"/>
        <v>0</v>
      </c>
    </row>
    <row r="47" spans="1:28" x14ac:dyDescent="0.15">
      <c r="A47" s="433"/>
      <c r="B47" s="606"/>
      <c r="C47" s="606"/>
      <c r="D47" s="606"/>
      <c r="E47" s="433"/>
      <c r="F47" s="606"/>
      <c r="G47" s="484" t="s">
        <v>1577</v>
      </c>
      <c r="H47" s="606"/>
      <c r="I47" s="433"/>
      <c r="J47" s="607"/>
      <c r="K47" s="607"/>
      <c r="L47" s="608"/>
      <c r="M47" s="608"/>
      <c r="N47" s="624">
        <f>VLOOKUP(M47,'Salary Schedule'!$B$16:$N$47,L47+1,FALSE)</f>
        <v>0</v>
      </c>
      <c r="O47" s="610"/>
      <c r="P47" s="481">
        <v>0</v>
      </c>
      <c r="Q47" s="609"/>
      <c r="R47" s="479">
        <f t="shared" si="5"/>
        <v>0</v>
      </c>
      <c r="S47" s="479">
        <f t="shared" si="1"/>
        <v>0</v>
      </c>
      <c r="T47" s="479">
        <f t="shared" si="2"/>
        <v>0</v>
      </c>
      <c r="U47" s="479">
        <f t="shared" si="3"/>
        <v>0</v>
      </c>
      <c r="V47" s="479">
        <f t="shared" si="4"/>
        <v>0</v>
      </c>
      <c r="W47" s="479">
        <v>0</v>
      </c>
      <c r="X47" s="479">
        <v>0</v>
      </c>
      <c r="Y47" s="479">
        <v>0</v>
      </c>
      <c r="Z47" s="479">
        <v>0</v>
      </c>
      <c r="AA47" s="471">
        <f t="shared" si="6"/>
        <v>0</v>
      </c>
      <c r="AB47" s="471">
        <f t="shared" si="7"/>
        <v>0</v>
      </c>
    </row>
    <row r="48" spans="1:28" x14ac:dyDescent="0.15">
      <c r="A48" s="433"/>
      <c r="B48" s="606"/>
      <c r="C48" s="606"/>
      <c r="D48" s="606"/>
      <c r="E48" s="433"/>
      <c r="F48" s="606"/>
      <c r="G48" s="484" t="s">
        <v>1577</v>
      </c>
      <c r="H48" s="606"/>
      <c r="I48" s="433"/>
      <c r="J48" s="607"/>
      <c r="K48" s="607"/>
      <c r="L48" s="608"/>
      <c r="M48" s="608"/>
      <c r="N48" s="624">
        <f>VLOOKUP(M48,'Salary Schedule'!$B$16:$N$47,L48+1,FALSE)</f>
        <v>0</v>
      </c>
      <c r="O48" s="610"/>
      <c r="P48" s="481">
        <v>0</v>
      </c>
      <c r="Q48" s="609"/>
      <c r="R48" s="479">
        <f t="shared" si="5"/>
        <v>0</v>
      </c>
      <c r="S48" s="479">
        <f t="shared" si="1"/>
        <v>0</v>
      </c>
      <c r="T48" s="479">
        <f t="shared" si="2"/>
        <v>0</v>
      </c>
      <c r="U48" s="479">
        <f t="shared" si="3"/>
        <v>0</v>
      </c>
      <c r="V48" s="479">
        <f t="shared" si="4"/>
        <v>0</v>
      </c>
      <c r="W48" s="479">
        <v>0</v>
      </c>
      <c r="X48" s="479">
        <v>0</v>
      </c>
      <c r="Y48" s="479">
        <v>0</v>
      </c>
      <c r="Z48" s="479">
        <v>0</v>
      </c>
      <c r="AA48" s="471">
        <f t="shared" si="6"/>
        <v>0</v>
      </c>
      <c r="AB48" s="471">
        <f t="shared" si="7"/>
        <v>0</v>
      </c>
    </row>
    <row r="49" spans="1:28" x14ac:dyDescent="0.15">
      <c r="A49" s="433"/>
      <c r="B49" s="606"/>
      <c r="C49" s="606"/>
      <c r="D49" s="606"/>
      <c r="E49" s="433"/>
      <c r="F49" s="606"/>
      <c r="G49" s="484" t="s">
        <v>1577</v>
      </c>
      <c r="H49" s="606"/>
      <c r="I49" s="433"/>
      <c r="J49" s="607"/>
      <c r="K49" s="607"/>
      <c r="L49" s="608"/>
      <c r="M49" s="608"/>
      <c r="N49" s="624">
        <f>VLOOKUP(M49,'Salary Schedule'!$B$16:$N$47,L49+1,FALSE)</f>
        <v>0</v>
      </c>
      <c r="O49" s="610"/>
      <c r="P49" s="481">
        <v>0</v>
      </c>
      <c r="Q49" s="609"/>
      <c r="R49" s="479">
        <f t="shared" si="5"/>
        <v>0</v>
      </c>
      <c r="S49" s="479">
        <f t="shared" si="1"/>
        <v>0</v>
      </c>
      <c r="T49" s="479">
        <f t="shared" si="2"/>
        <v>0</v>
      </c>
      <c r="U49" s="479">
        <f t="shared" si="3"/>
        <v>0</v>
      </c>
      <c r="V49" s="479">
        <f t="shared" si="4"/>
        <v>0</v>
      </c>
      <c r="W49" s="479">
        <v>0</v>
      </c>
      <c r="X49" s="479">
        <v>0</v>
      </c>
      <c r="Y49" s="479">
        <v>0</v>
      </c>
      <c r="Z49" s="479">
        <v>0</v>
      </c>
      <c r="AA49" s="471">
        <f t="shared" si="6"/>
        <v>0</v>
      </c>
      <c r="AB49" s="471">
        <f t="shared" si="7"/>
        <v>0</v>
      </c>
    </row>
    <row r="50" spans="1:28" x14ac:dyDescent="0.15">
      <c r="A50" s="433"/>
      <c r="B50" s="606"/>
      <c r="C50" s="606"/>
      <c r="D50" s="606"/>
      <c r="E50" s="433"/>
      <c r="F50" s="606"/>
      <c r="G50" s="484" t="s">
        <v>1577</v>
      </c>
      <c r="H50" s="606"/>
      <c r="I50" s="433"/>
      <c r="J50" s="607"/>
      <c r="K50" s="607"/>
      <c r="L50" s="608"/>
      <c r="M50" s="608"/>
      <c r="N50" s="624">
        <f>VLOOKUP(M50,'Salary Schedule'!$B$16:$N$47,L50+1,FALSE)</f>
        <v>0</v>
      </c>
      <c r="O50" s="610"/>
      <c r="P50" s="481">
        <v>0</v>
      </c>
      <c r="Q50" s="609"/>
      <c r="R50" s="479">
        <f t="shared" si="5"/>
        <v>0</v>
      </c>
      <c r="S50" s="479">
        <f t="shared" si="1"/>
        <v>0</v>
      </c>
      <c r="T50" s="479">
        <f t="shared" si="2"/>
        <v>0</v>
      </c>
      <c r="U50" s="479">
        <f t="shared" si="3"/>
        <v>0</v>
      </c>
      <c r="V50" s="479">
        <f t="shared" si="4"/>
        <v>0</v>
      </c>
      <c r="W50" s="479">
        <v>0</v>
      </c>
      <c r="X50" s="479">
        <v>0</v>
      </c>
      <c r="Y50" s="479">
        <v>0</v>
      </c>
      <c r="Z50" s="479">
        <v>0</v>
      </c>
      <c r="AA50" s="471">
        <f t="shared" si="6"/>
        <v>0</v>
      </c>
      <c r="AB50" s="471">
        <f t="shared" si="7"/>
        <v>0</v>
      </c>
    </row>
    <row r="51" spans="1:28" x14ac:dyDescent="0.15">
      <c r="A51" s="433"/>
      <c r="B51" s="606"/>
      <c r="C51" s="606"/>
      <c r="D51" s="606"/>
      <c r="E51" s="433"/>
      <c r="F51" s="606"/>
      <c r="G51" s="484" t="s">
        <v>1577</v>
      </c>
      <c r="H51" s="606"/>
      <c r="I51" s="433"/>
      <c r="J51" s="607"/>
      <c r="K51" s="607"/>
      <c r="L51" s="608"/>
      <c r="M51" s="608"/>
      <c r="N51" s="624">
        <f>VLOOKUP(M51,'Salary Schedule'!$B$16:$N$47,L51+1,FALSE)</f>
        <v>0</v>
      </c>
      <c r="O51" s="610"/>
      <c r="P51" s="481">
        <v>0</v>
      </c>
      <c r="Q51" s="609"/>
      <c r="R51" s="479">
        <f t="shared" si="5"/>
        <v>0</v>
      </c>
      <c r="S51" s="479">
        <f t="shared" si="1"/>
        <v>0</v>
      </c>
      <c r="T51" s="479">
        <f t="shared" si="2"/>
        <v>0</v>
      </c>
      <c r="U51" s="479">
        <f t="shared" si="3"/>
        <v>0</v>
      </c>
      <c r="V51" s="479">
        <f t="shared" si="4"/>
        <v>0</v>
      </c>
      <c r="W51" s="479">
        <v>0</v>
      </c>
      <c r="X51" s="479">
        <v>0</v>
      </c>
      <c r="Y51" s="479">
        <v>0</v>
      </c>
      <c r="Z51" s="479">
        <v>0</v>
      </c>
      <c r="AA51" s="471">
        <f t="shared" si="6"/>
        <v>0</v>
      </c>
      <c r="AB51" s="471">
        <f t="shared" si="7"/>
        <v>0</v>
      </c>
    </row>
    <row r="52" spans="1:28" x14ac:dyDescent="0.15">
      <c r="A52" s="433"/>
      <c r="B52" s="606"/>
      <c r="C52" s="606"/>
      <c r="D52" s="606"/>
      <c r="E52" s="433"/>
      <c r="F52" s="606"/>
      <c r="G52" s="484" t="s">
        <v>1577</v>
      </c>
      <c r="H52" s="606"/>
      <c r="I52" s="433"/>
      <c r="J52" s="607"/>
      <c r="K52" s="607"/>
      <c r="L52" s="608"/>
      <c r="M52" s="608"/>
      <c r="N52" s="624">
        <f>VLOOKUP(M52,'Salary Schedule'!$B$16:$N$47,L52+1,FALSE)</f>
        <v>0</v>
      </c>
      <c r="O52" s="610"/>
      <c r="P52" s="481">
        <v>0</v>
      </c>
      <c r="Q52" s="609"/>
      <c r="R52" s="479">
        <f t="shared" si="5"/>
        <v>0</v>
      </c>
      <c r="S52" s="479">
        <f t="shared" si="1"/>
        <v>0</v>
      </c>
      <c r="T52" s="479">
        <f t="shared" si="2"/>
        <v>0</v>
      </c>
      <c r="U52" s="479">
        <f t="shared" si="3"/>
        <v>0</v>
      </c>
      <c r="V52" s="479">
        <f t="shared" si="4"/>
        <v>0</v>
      </c>
      <c r="W52" s="479">
        <v>0</v>
      </c>
      <c r="X52" s="479">
        <v>0</v>
      </c>
      <c r="Y52" s="479">
        <v>0</v>
      </c>
      <c r="Z52" s="479">
        <v>0</v>
      </c>
      <c r="AA52" s="471">
        <f t="shared" si="6"/>
        <v>0</v>
      </c>
      <c r="AB52" s="471">
        <f t="shared" si="7"/>
        <v>0</v>
      </c>
    </row>
    <row r="53" spans="1:28" x14ac:dyDescent="0.15">
      <c r="A53" s="433"/>
      <c r="B53" s="606"/>
      <c r="C53" s="606"/>
      <c r="D53" s="606"/>
      <c r="E53" s="433"/>
      <c r="F53" s="606"/>
      <c r="G53" s="484" t="s">
        <v>1577</v>
      </c>
      <c r="H53" s="606"/>
      <c r="I53" s="433"/>
      <c r="J53" s="607"/>
      <c r="K53" s="607"/>
      <c r="L53" s="608"/>
      <c r="M53" s="608"/>
      <c r="N53" s="624">
        <f>VLOOKUP(M53,'Salary Schedule'!$B$16:$N$47,L53+1,FALSE)</f>
        <v>0</v>
      </c>
      <c r="O53" s="610"/>
      <c r="P53" s="481">
        <v>0</v>
      </c>
      <c r="Q53" s="609"/>
      <c r="R53" s="479">
        <f t="shared" si="5"/>
        <v>0</v>
      </c>
      <c r="S53" s="479">
        <f t="shared" si="1"/>
        <v>0</v>
      </c>
      <c r="T53" s="479">
        <f t="shared" si="2"/>
        <v>0</v>
      </c>
      <c r="U53" s="479">
        <f t="shared" si="3"/>
        <v>0</v>
      </c>
      <c r="V53" s="479">
        <f t="shared" si="4"/>
        <v>0</v>
      </c>
      <c r="W53" s="479">
        <v>0</v>
      </c>
      <c r="X53" s="479">
        <v>0</v>
      </c>
      <c r="Y53" s="479">
        <v>0</v>
      </c>
      <c r="Z53" s="479">
        <v>0</v>
      </c>
      <c r="AA53" s="471">
        <f t="shared" si="6"/>
        <v>0</v>
      </c>
      <c r="AB53" s="471">
        <f t="shared" si="7"/>
        <v>0</v>
      </c>
    </row>
    <row r="54" spans="1:28" x14ac:dyDescent="0.15">
      <c r="A54" s="433"/>
      <c r="B54" s="606"/>
      <c r="C54" s="606"/>
      <c r="D54" s="606"/>
      <c r="E54" s="433"/>
      <c r="F54" s="606"/>
      <c r="G54" s="484" t="s">
        <v>1577</v>
      </c>
      <c r="H54" s="606"/>
      <c r="I54" s="433"/>
      <c r="J54" s="607"/>
      <c r="K54" s="607"/>
      <c r="L54" s="608"/>
      <c r="M54" s="608"/>
      <c r="N54" s="624">
        <f>VLOOKUP(M54,'Salary Schedule'!$B$16:$N$47,L54+1,FALSE)</f>
        <v>0</v>
      </c>
      <c r="O54" s="610"/>
      <c r="P54" s="481">
        <v>0</v>
      </c>
      <c r="Q54" s="609"/>
      <c r="R54" s="479">
        <f t="shared" si="5"/>
        <v>0</v>
      </c>
      <c r="S54" s="479">
        <f t="shared" si="1"/>
        <v>0</v>
      </c>
      <c r="T54" s="479">
        <f t="shared" si="2"/>
        <v>0</v>
      </c>
      <c r="U54" s="479">
        <f t="shared" si="3"/>
        <v>0</v>
      </c>
      <c r="V54" s="479">
        <f t="shared" si="4"/>
        <v>0</v>
      </c>
      <c r="W54" s="479">
        <v>0</v>
      </c>
      <c r="X54" s="479">
        <v>0</v>
      </c>
      <c r="Y54" s="479">
        <v>0</v>
      </c>
      <c r="Z54" s="479">
        <v>0</v>
      </c>
      <c r="AA54" s="471">
        <f t="shared" si="6"/>
        <v>0</v>
      </c>
      <c r="AB54" s="471">
        <f t="shared" si="7"/>
        <v>0</v>
      </c>
    </row>
    <row r="55" spans="1:28" x14ac:dyDescent="0.15">
      <c r="A55" s="433"/>
      <c r="B55" s="606"/>
      <c r="C55" s="606"/>
      <c r="D55" s="606"/>
      <c r="E55" s="433"/>
      <c r="F55" s="606"/>
      <c r="G55" s="484" t="s">
        <v>1577</v>
      </c>
      <c r="H55" s="606"/>
      <c r="I55" s="433"/>
      <c r="J55" s="607"/>
      <c r="K55" s="607"/>
      <c r="L55" s="608"/>
      <c r="M55" s="608"/>
      <c r="N55" s="624">
        <f>VLOOKUP(M55,'Salary Schedule'!$B$16:$N$47,L55+1,FALSE)</f>
        <v>0</v>
      </c>
      <c r="O55" s="610"/>
      <c r="P55" s="481">
        <v>0</v>
      </c>
      <c r="Q55" s="609"/>
      <c r="R55" s="479">
        <f t="shared" si="5"/>
        <v>0</v>
      </c>
      <c r="S55" s="479">
        <f t="shared" si="1"/>
        <v>0</v>
      </c>
      <c r="T55" s="479">
        <f t="shared" si="2"/>
        <v>0</v>
      </c>
      <c r="U55" s="479">
        <f t="shared" si="3"/>
        <v>0</v>
      </c>
      <c r="V55" s="479">
        <f t="shared" si="4"/>
        <v>0</v>
      </c>
      <c r="W55" s="479">
        <v>0</v>
      </c>
      <c r="X55" s="479">
        <v>0</v>
      </c>
      <c r="Y55" s="479">
        <v>0</v>
      </c>
      <c r="Z55" s="479">
        <v>0</v>
      </c>
      <c r="AA55" s="471">
        <f t="shared" si="6"/>
        <v>0</v>
      </c>
      <c r="AB55" s="471">
        <f t="shared" si="7"/>
        <v>0</v>
      </c>
    </row>
    <row r="56" spans="1:28" x14ac:dyDescent="0.15">
      <c r="A56" s="433"/>
      <c r="B56" s="606"/>
      <c r="C56" s="606"/>
      <c r="D56" s="606"/>
      <c r="E56" s="433"/>
      <c r="F56" s="606"/>
      <c r="G56" s="484" t="s">
        <v>1577</v>
      </c>
      <c r="H56" s="606"/>
      <c r="I56" s="433"/>
      <c r="J56" s="607"/>
      <c r="K56" s="607"/>
      <c r="L56" s="608"/>
      <c r="M56" s="608"/>
      <c r="N56" s="624">
        <f>VLOOKUP(M56,'Salary Schedule'!$B$16:$N$47,L56+1,FALSE)</f>
        <v>0</v>
      </c>
      <c r="O56" s="610"/>
      <c r="P56" s="481">
        <v>0</v>
      </c>
      <c r="Q56" s="609"/>
      <c r="R56" s="479">
        <f t="shared" si="5"/>
        <v>0</v>
      </c>
      <c r="S56" s="479">
        <f t="shared" si="1"/>
        <v>0</v>
      </c>
      <c r="T56" s="479">
        <f t="shared" si="2"/>
        <v>0</v>
      </c>
      <c r="U56" s="479">
        <f t="shared" si="3"/>
        <v>0</v>
      </c>
      <c r="V56" s="479">
        <f t="shared" si="4"/>
        <v>0</v>
      </c>
      <c r="W56" s="479">
        <v>0</v>
      </c>
      <c r="X56" s="479">
        <v>0</v>
      </c>
      <c r="Y56" s="479">
        <v>0</v>
      </c>
      <c r="Z56" s="479">
        <v>0</v>
      </c>
      <c r="AA56" s="471">
        <f t="shared" si="6"/>
        <v>0</v>
      </c>
      <c r="AB56" s="471">
        <f t="shared" si="7"/>
        <v>0</v>
      </c>
    </row>
    <row r="57" spans="1:28" x14ac:dyDescent="0.15">
      <c r="A57" s="433"/>
      <c r="B57" s="606"/>
      <c r="C57" s="606"/>
      <c r="D57" s="606"/>
      <c r="E57" s="433"/>
      <c r="F57" s="606"/>
      <c r="G57" s="484" t="s">
        <v>1577</v>
      </c>
      <c r="H57" s="606"/>
      <c r="I57" s="433"/>
      <c r="J57" s="607"/>
      <c r="K57" s="607"/>
      <c r="L57" s="608"/>
      <c r="M57" s="608"/>
      <c r="N57" s="624">
        <f>VLOOKUP(M57,'Salary Schedule'!$B$16:$N$47,L57+1,FALSE)</f>
        <v>0</v>
      </c>
      <c r="O57" s="610"/>
      <c r="P57" s="481">
        <v>0</v>
      </c>
      <c r="Q57" s="609"/>
      <c r="R57" s="479">
        <f t="shared" si="5"/>
        <v>0</v>
      </c>
      <c r="S57" s="479">
        <f t="shared" si="1"/>
        <v>0</v>
      </c>
      <c r="T57" s="479">
        <f t="shared" si="2"/>
        <v>0</v>
      </c>
      <c r="U57" s="479">
        <f t="shared" si="3"/>
        <v>0</v>
      </c>
      <c r="V57" s="479">
        <f t="shared" si="4"/>
        <v>0</v>
      </c>
      <c r="W57" s="479">
        <v>0</v>
      </c>
      <c r="X57" s="479">
        <v>0</v>
      </c>
      <c r="Y57" s="479">
        <v>0</v>
      </c>
      <c r="Z57" s="479">
        <v>0</v>
      </c>
      <c r="AA57" s="471">
        <f t="shared" si="6"/>
        <v>0</v>
      </c>
      <c r="AB57" s="471">
        <f t="shared" si="7"/>
        <v>0</v>
      </c>
    </row>
    <row r="58" spans="1:28" x14ac:dyDescent="0.15">
      <c r="A58" s="433"/>
      <c r="B58" s="606"/>
      <c r="C58" s="606"/>
      <c r="D58" s="606"/>
      <c r="E58" s="433"/>
      <c r="F58" s="606"/>
      <c r="G58" s="484" t="s">
        <v>1577</v>
      </c>
      <c r="H58" s="606"/>
      <c r="I58" s="433"/>
      <c r="J58" s="607"/>
      <c r="K58" s="607"/>
      <c r="L58" s="608"/>
      <c r="M58" s="608"/>
      <c r="N58" s="624">
        <f>VLOOKUP(M58,'Salary Schedule'!$B$16:$N$47,L58+1,FALSE)</f>
        <v>0</v>
      </c>
      <c r="O58" s="610"/>
      <c r="P58" s="481">
        <v>0</v>
      </c>
      <c r="Q58" s="609"/>
      <c r="R58" s="479">
        <f t="shared" si="5"/>
        <v>0</v>
      </c>
      <c r="S58" s="479">
        <f t="shared" si="1"/>
        <v>0</v>
      </c>
      <c r="T58" s="479">
        <f t="shared" si="2"/>
        <v>0</v>
      </c>
      <c r="U58" s="479">
        <f t="shared" si="3"/>
        <v>0</v>
      </c>
      <c r="V58" s="479">
        <f t="shared" si="4"/>
        <v>0</v>
      </c>
      <c r="W58" s="479">
        <v>0</v>
      </c>
      <c r="X58" s="479">
        <v>0</v>
      </c>
      <c r="Y58" s="479">
        <v>0</v>
      </c>
      <c r="Z58" s="479">
        <v>0</v>
      </c>
      <c r="AA58" s="471">
        <f t="shared" si="6"/>
        <v>0</v>
      </c>
      <c r="AB58" s="471">
        <f t="shared" si="7"/>
        <v>0</v>
      </c>
    </row>
    <row r="59" spans="1:28" x14ac:dyDescent="0.15">
      <c r="A59" s="433"/>
      <c r="B59" s="606"/>
      <c r="C59" s="606"/>
      <c r="D59" s="606"/>
      <c r="E59" s="433"/>
      <c r="F59" s="606"/>
      <c r="G59" s="484" t="s">
        <v>1577</v>
      </c>
      <c r="H59" s="606"/>
      <c r="I59" s="433"/>
      <c r="J59" s="607"/>
      <c r="K59" s="607"/>
      <c r="L59" s="608"/>
      <c r="M59" s="608"/>
      <c r="N59" s="624">
        <f>VLOOKUP(M59,'Salary Schedule'!$B$16:$N$47,L59+1,FALSE)</f>
        <v>0</v>
      </c>
      <c r="O59" s="610"/>
      <c r="P59" s="481">
        <v>0</v>
      </c>
      <c r="Q59" s="609"/>
      <c r="R59" s="479">
        <f t="shared" si="5"/>
        <v>0</v>
      </c>
      <c r="S59" s="479">
        <f t="shared" si="1"/>
        <v>0</v>
      </c>
      <c r="T59" s="479">
        <f t="shared" si="2"/>
        <v>0</v>
      </c>
      <c r="U59" s="479">
        <f t="shared" si="3"/>
        <v>0</v>
      </c>
      <c r="V59" s="479">
        <f t="shared" si="4"/>
        <v>0</v>
      </c>
      <c r="W59" s="479">
        <v>0</v>
      </c>
      <c r="X59" s="479">
        <v>0</v>
      </c>
      <c r="Y59" s="479">
        <v>0</v>
      </c>
      <c r="Z59" s="479">
        <v>0</v>
      </c>
      <c r="AA59" s="471">
        <f t="shared" si="6"/>
        <v>0</v>
      </c>
      <c r="AB59" s="471">
        <f t="shared" si="7"/>
        <v>0</v>
      </c>
    </row>
    <row r="60" spans="1:28" x14ac:dyDescent="0.15">
      <c r="A60" s="433"/>
      <c r="B60" s="606"/>
      <c r="C60" s="606"/>
      <c r="D60" s="606"/>
      <c r="E60" s="433"/>
      <c r="F60" s="606"/>
      <c r="G60" s="484" t="s">
        <v>1577</v>
      </c>
      <c r="H60" s="606"/>
      <c r="I60" s="433"/>
      <c r="J60" s="607"/>
      <c r="K60" s="607"/>
      <c r="L60" s="608"/>
      <c r="M60" s="608"/>
      <c r="N60" s="624">
        <f>VLOOKUP(M60,'Salary Schedule'!$B$16:$N$47,L60+1,FALSE)</f>
        <v>0</v>
      </c>
      <c r="O60" s="610"/>
      <c r="P60" s="481">
        <v>0</v>
      </c>
      <c r="Q60" s="609"/>
      <c r="R60" s="479">
        <f t="shared" si="5"/>
        <v>0</v>
      </c>
      <c r="S60" s="479">
        <f t="shared" si="1"/>
        <v>0</v>
      </c>
      <c r="T60" s="479">
        <f t="shared" si="2"/>
        <v>0</v>
      </c>
      <c r="U60" s="479">
        <f t="shared" si="3"/>
        <v>0</v>
      </c>
      <c r="V60" s="479">
        <f t="shared" si="4"/>
        <v>0</v>
      </c>
      <c r="W60" s="479">
        <v>0</v>
      </c>
      <c r="X60" s="479">
        <v>0</v>
      </c>
      <c r="Y60" s="479">
        <v>0</v>
      </c>
      <c r="Z60" s="479">
        <v>0</v>
      </c>
      <c r="AA60" s="471">
        <f t="shared" si="6"/>
        <v>0</v>
      </c>
      <c r="AB60" s="471">
        <f t="shared" si="7"/>
        <v>0</v>
      </c>
    </row>
    <row r="61" spans="1:28" x14ac:dyDescent="0.15">
      <c r="A61" s="433"/>
      <c r="B61" s="606"/>
      <c r="C61" s="606"/>
      <c r="D61" s="606"/>
      <c r="E61" s="433"/>
      <c r="F61" s="606"/>
      <c r="G61" s="484" t="s">
        <v>1577</v>
      </c>
      <c r="H61" s="606"/>
      <c r="I61" s="433"/>
      <c r="J61" s="607"/>
      <c r="K61" s="607"/>
      <c r="L61" s="608"/>
      <c r="M61" s="608"/>
      <c r="N61" s="624">
        <f>VLOOKUP(M61,'Salary Schedule'!$B$16:$N$47,L61+1,FALSE)</f>
        <v>0</v>
      </c>
      <c r="O61" s="610"/>
      <c r="P61" s="481">
        <v>0</v>
      </c>
      <c r="Q61" s="609"/>
      <c r="R61" s="479">
        <f t="shared" si="5"/>
        <v>0</v>
      </c>
      <c r="S61" s="479">
        <f t="shared" si="1"/>
        <v>0</v>
      </c>
      <c r="T61" s="479">
        <f t="shared" si="2"/>
        <v>0</v>
      </c>
      <c r="U61" s="479">
        <f t="shared" si="3"/>
        <v>0</v>
      </c>
      <c r="V61" s="479">
        <f t="shared" si="4"/>
        <v>0</v>
      </c>
      <c r="W61" s="479">
        <v>0</v>
      </c>
      <c r="X61" s="479">
        <v>0</v>
      </c>
      <c r="Y61" s="479">
        <v>0</v>
      </c>
      <c r="Z61" s="479">
        <v>0</v>
      </c>
      <c r="AA61" s="471">
        <f t="shared" si="6"/>
        <v>0</v>
      </c>
      <c r="AB61" s="471">
        <f t="shared" si="7"/>
        <v>0</v>
      </c>
    </row>
    <row r="62" spans="1:28" x14ac:dyDescent="0.15">
      <c r="A62" s="433"/>
      <c r="B62" s="606"/>
      <c r="C62" s="606"/>
      <c r="D62" s="606"/>
      <c r="E62" s="433"/>
      <c r="F62" s="606"/>
      <c r="G62" s="484" t="s">
        <v>1577</v>
      </c>
      <c r="H62" s="606"/>
      <c r="I62" s="433"/>
      <c r="J62" s="607"/>
      <c r="K62" s="607"/>
      <c r="L62" s="608"/>
      <c r="M62" s="608"/>
      <c r="N62" s="624">
        <f>VLOOKUP(M62,'Salary Schedule'!$B$16:$N$47,L62+1,FALSE)</f>
        <v>0</v>
      </c>
      <c r="O62" s="610"/>
      <c r="P62" s="481">
        <v>0</v>
      </c>
      <c r="Q62" s="609"/>
      <c r="R62" s="479">
        <f t="shared" si="5"/>
        <v>0</v>
      </c>
      <c r="S62" s="479">
        <f t="shared" si="1"/>
        <v>0</v>
      </c>
      <c r="T62" s="479">
        <f t="shared" si="2"/>
        <v>0</v>
      </c>
      <c r="U62" s="479">
        <f t="shared" si="3"/>
        <v>0</v>
      </c>
      <c r="V62" s="479">
        <f t="shared" si="4"/>
        <v>0</v>
      </c>
      <c r="W62" s="479">
        <v>0</v>
      </c>
      <c r="X62" s="479">
        <v>0</v>
      </c>
      <c r="Y62" s="479">
        <v>0</v>
      </c>
      <c r="Z62" s="479">
        <v>0</v>
      </c>
      <c r="AA62" s="471">
        <f t="shared" si="6"/>
        <v>0</v>
      </c>
      <c r="AB62" s="471">
        <f t="shared" si="7"/>
        <v>0</v>
      </c>
    </row>
    <row r="63" spans="1:28" x14ac:dyDescent="0.15">
      <c r="A63" s="433"/>
      <c r="B63" s="606"/>
      <c r="C63" s="606"/>
      <c r="D63" s="606"/>
      <c r="E63" s="433"/>
      <c r="F63" s="606"/>
      <c r="G63" s="484" t="s">
        <v>1577</v>
      </c>
      <c r="H63" s="606"/>
      <c r="I63" s="433"/>
      <c r="J63" s="607"/>
      <c r="K63" s="607"/>
      <c r="L63" s="608"/>
      <c r="M63" s="608"/>
      <c r="N63" s="624">
        <f>VLOOKUP(M63,'Salary Schedule'!$B$16:$N$47,L63+1,FALSE)</f>
        <v>0</v>
      </c>
      <c r="O63" s="610"/>
      <c r="P63" s="481">
        <v>0</v>
      </c>
      <c r="Q63" s="609"/>
      <c r="R63" s="479">
        <f t="shared" si="5"/>
        <v>0</v>
      </c>
      <c r="S63" s="479">
        <f t="shared" si="1"/>
        <v>0</v>
      </c>
      <c r="T63" s="479">
        <f t="shared" si="2"/>
        <v>0</v>
      </c>
      <c r="U63" s="479">
        <f t="shared" si="3"/>
        <v>0</v>
      </c>
      <c r="V63" s="479">
        <f t="shared" si="4"/>
        <v>0</v>
      </c>
      <c r="W63" s="479">
        <v>0</v>
      </c>
      <c r="X63" s="479">
        <v>0</v>
      </c>
      <c r="Y63" s="479">
        <v>0</v>
      </c>
      <c r="Z63" s="479">
        <v>0</v>
      </c>
      <c r="AA63" s="471">
        <f t="shared" si="6"/>
        <v>0</v>
      </c>
      <c r="AB63" s="471">
        <f t="shared" si="7"/>
        <v>0</v>
      </c>
    </row>
    <row r="64" spans="1:28" x14ac:dyDescent="0.15">
      <c r="A64" s="433"/>
      <c r="B64" s="606"/>
      <c r="C64" s="606"/>
      <c r="D64" s="606"/>
      <c r="E64" s="433"/>
      <c r="F64" s="606"/>
      <c r="G64" s="484" t="s">
        <v>1577</v>
      </c>
      <c r="H64" s="606"/>
      <c r="I64" s="433"/>
      <c r="J64" s="607"/>
      <c r="K64" s="607"/>
      <c r="L64" s="608"/>
      <c r="M64" s="608"/>
      <c r="N64" s="624">
        <f>VLOOKUP(M64,'Salary Schedule'!$B$16:$N$47,L64+1,FALSE)</f>
        <v>0</v>
      </c>
      <c r="O64" s="610"/>
      <c r="P64" s="481">
        <v>0</v>
      </c>
      <c r="Q64" s="609"/>
      <c r="R64" s="479">
        <f t="shared" si="5"/>
        <v>0</v>
      </c>
      <c r="S64" s="479">
        <f t="shared" si="1"/>
        <v>0</v>
      </c>
      <c r="T64" s="479">
        <f t="shared" si="2"/>
        <v>0</v>
      </c>
      <c r="U64" s="479">
        <f t="shared" si="3"/>
        <v>0</v>
      </c>
      <c r="V64" s="479">
        <f t="shared" si="4"/>
        <v>0</v>
      </c>
      <c r="W64" s="479">
        <v>0</v>
      </c>
      <c r="X64" s="479">
        <v>0</v>
      </c>
      <c r="Y64" s="479">
        <v>0</v>
      </c>
      <c r="Z64" s="479">
        <v>0</v>
      </c>
      <c r="AA64" s="471">
        <f t="shared" si="6"/>
        <v>0</v>
      </c>
      <c r="AB64" s="471">
        <f t="shared" si="7"/>
        <v>0</v>
      </c>
    </row>
    <row r="65" spans="1:28" x14ac:dyDescent="0.15">
      <c r="A65" s="433"/>
      <c r="B65" s="606"/>
      <c r="C65" s="606"/>
      <c r="D65" s="606"/>
      <c r="E65" s="433"/>
      <c r="F65" s="606"/>
      <c r="G65" s="484" t="s">
        <v>1577</v>
      </c>
      <c r="H65" s="606"/>
      <c r="I65" s="433"/>
      <c r="J65" s="607"/>
      <c r="K65" s="607"/>
      <c r="L65" s="608"/>
      <c r="M65" s="608"/>
      <c r="N65" s="624">
        <f>VLOOKUP(M65,'Salary Schedule'!$B$16:$N$47,L65+1,FALSE)</f>
        <v>0</v>
      </c>
      <c r="O65" s="610"/>
      <c r="P65" s="481">
        <v>0</v>
      </c>
      <c r="Q65" s="609"/>
      <c r="R65" s="479">
        <f t="shared" si="5"/>
        <v>0</v>
      </c>
      <c r="S65" s="479">
        <f t="shared" si="1"/>
        <v>0</v>
      </c>
      <c r="T65" s="479">
        <f t="shared" si="2"/>
        <v>0</v>
      </c>
      <c r="U65" s="479">
        <f t="shared" si="3"/>
        <v>0</v>
      </c>
      <c r="V65" s="479">
        <f t="shared" si="4"/>
        <v>0</v>
      </c>
      <c r="W65" s="479">
        <v>0</v>
      </c>
      <c r="X65" s="479">
        <v>0</v>
      </c>
      <c r="Y65" s="479">
        <v>0</v>
      </c>
      <c r="Z65" s="479">
        <v>0</v>
      </c>
      <c r="AA65" s="471">
        <f t="shared" si="6"/>
        <v>0</v>
      </c>
      <c r="AB65" s="471">
        <f t="shared" si="7"/>
        <v>0</v>
      </c>
    </row>
    <row r="66" spans="1:28" x14ac:dyDescent="0.15">
      <c r="A66" s="433"/>
      <c r="B66" s="606"/>
      <c r="C66" s="606"/>
      <c r="D66" s="606"/>
      <c r="E66" s="433"/>
      <c r="F66" s="606"/>
      <c r="G66" s="484" t="s">
        <v>1577</v>
      </c>
      <c r="H66" s="606"/>
      <c r="I66" s="433"/>
      <c r="J66" s="607"/>
      <c r="K66" s="607"/>
      <c r="L66" s="608"/>
      <c r="M66" s="608"/>
      <c r="N66" s="624">
        <f>VLOOKUP(M66,'Salary Schedule'!$B$16:$N$47,L66+1,FALSE)</f>
        <v>0</v>
      </c>
      <c r="O66" s="610"/>
      <c r="P66" s="481">
        <v>0</v>
      </c>
      <c r="Q66" s="609"/>
      <c r="R66" s="479">
        <f t="shared" si="5"/>
        <v>0</v>
      </c>
      <c r="S66" s="479">
        <f t="shared" si="1"/>
        <v>0</v>
      </c>
      <c r="T66" s="479">
        <f t="shared" si="2"/>
        <v>0</v>
      </c>
      <c r="U66" s="479">
        <f t="shared" si="3"/>
        <v>0</v>
      </c>
      <c r="V66" s="479">
        <f t="shared" si="4"/>
        <v>0</v>
      </c>
      <c r="W66" s="479">
        <v>0</v>
      </c>
      <c r="X66" s="479">
        <v>0</v>
      </c>
      <c r="Y66" s="479">
        <v>0</v>
      </c>
      <c r="Z66" s="479">
        <v>0</v>
      </c>
      <c r="AA66" s="471">
        <f t="shared" si="6"/>
        <v>0</v>
      </c>
      <c r="AB66" s="471">
        <f t="shared" si="7"/>
        <v>0</v>
      </c>
    </row>
    <row r="67" spans="1:28" x14ac:dyDescent="0.15">
      <c r="A67" s="433"/>
      <c r="B67" s="606"/>
      <c r="C67" s="606"/>
      <c r="D67" s="606"/>
      <c r="E67" s="433"/>
      <c r="F67" s="606"/>
      <c r="G67" s="484" t="s">
        <v>1577</v>
      </c>
      <c r="H67" s="606"/>
      <c r="I67" s="433"/>
      <c r="J67" s="607"/>
      <c r="K67" s="607"/>
      <c r="L67" s="608"/>
      <c r="M67" s="608"/>
      <c r="N67" s="624">
        <f>VLOOKUP(M67,'Salary Schedule'!$B$16:$N$47,L67+1,FALSE)</f>
        <v>0</v>
      </c>
      <c r="O67" s="610"/>
      <c r="P67" s="481">
        <v>0</v>
      </c>
      <c r="Q67" s="609"/>
      <c r="R67" s="479">
        <f t="shared" si="5"/>
        <v>0</v>
      </c>
      <c r="S67" s="479">
        <f t="shared" si="1"/>
        <v>0</v>
      </c>
      <c r="T67" s="479">
        <f t="shared" si="2"/>
        <v>0</v>
      </c>
      <c r="U67" s="479">
        <f t="shared" si="3"/>
        <v>0</v>
      </c>
      <c r="V67" s="479">
        <f t="shared" si="4"/>
        <v>0</v>
      </c>
      <c r="W67" s="479">
        <v>0</v>
      </c>
      <c r="X67" s="479">
        <v>0</v>
      </c>
      <c r="Y67" s="479">
        <v>0</v>
      </c>
      <c r="Z67" s="479">
        <v>0</v>
      </c>
      <c r="AA67" s="471">
        <f t="shared" si="6"/>
        <v>0</v>
      </c>
      <c r="AB67" s="471">
        <f t="shared" si="7"/>
        <v>0</v>
      </c>
    </row>
    <row r="68" spans="1:28" x14ac:dyDescent="0.15">
      <c r="A68" s="433"/>
      <c r="B68" s="606"/>
      <c r="C68" s="606"/>
      <c r="D68" s="606"/>
      <c r="E68" s="433"/>
      <c r="F68" s="606"/>
      <c r="G68" s="484" t="s">
        <v>1577</v>
      </c>
      <c r="H68" s="606"/>
      <c r="I68" s="433"/>
      <c r="J68" s="607"/>
      <c r="K68" s="607"/>
      <c r="L68" s="608"/>
      <c r="M68" s="608"/>
      <c r="N68" s="624">
        <f>VLOOKUP(M68,'Salary Schedule'!$B$16:$N$47,L68+1,FALSE)</f>
        <v>0</v>
      </c>
      <c r="O68" s="610"/>
      <c r="P68" s="481">
        <v>0</v>
      </c>
      <c r="Q68" s="609"/>
      <c r="R68" s="479">
        <f t="shared" si="5"/>
        <v>0</v>
      </c>
      <c r="S68" s="479">
        <f t="shared" si="1"/>
        <v>0</v>
      </c>
      <c r="T68" s="479">
        <f t="shared" si="2"/>
        <v>0</v>
      </c>
      <c r="U68" s="479">
        <f t="shared" si="3"/>
        <v>0</v>
      </c>
      <c r="V68" s="479">
        <f t="shared" si="4"/>
        <v>0</v>
      </c>
      <c r="W68" s="479">
        <v>0</v>
      </c>
      <c r="X68" s="479">
        <v>0</v>
      </c>
      <c r="Y68" s="479">
        <v>0</v>
      </c>
      <c r="Z68" s="479">
        <v>0</v>
      </c>
      <c r="AA68" s="471">
        <f t="shared" si="6"/>
        <v>0</v>
      </c>
      <c r="AB68" s="471">
        <f t="shared" si="7"/>
        <v>0</v>
      </c>
    </row>
    <row r="69" spans="1:28" x14ac:dyDescent="0.15">
      <c r="A69" s="433"/>
      <c r="B69" s="606"/>
      <c r="C69" s="606"/>
      <c r="D69" s="606"/>
      <c r="E69" s="433"/>
      <c r="F69" s="606"/>
      <c r="G69" s="484" t="s">
        <v>1577</v>
      </c>
      <c r="H69" s="606"/>
      <c r="I69" s="433"/>
      <c r="J69" s="607"/>
      <c r="K69" s="607"/>
      <c r="L69" s="608"/>
      <c r="M69" s="608"/>
      <c r="N69" s="624">
        <f>VLOOKUP(M69,'Salary Schedule'!$B$16:$N$47,L69+1,FALSE)</f>
        <v>0</v>
      </c>
      <c r="O69" s="610"/>
      <c r="P69" s="481">
        <v>0</v>
      </c>
      <c r="Q69" s="609"/>
      <c r="R69" s="479">
        <f t="shared" si="5"/>
        <v>0</v>
      </c>
      <c r="S69" s="479">
        <f t="shared" si="1"/>
        <v>0</v>
      </c>
      <c r="T69" s="479">
        <f t="shared" si="2"/>
        <v>0</v>
      </c>
      <c r="U69" s="479">
        <f t="shared" si="3"/>
        <v>0</v>
      </c>
      <c r="V69" s="479">
        <f t="shared" si="4"/>
        <v>0</v>
      </c>
      <c r="W69" s="479">
        <v>0</v>
      </c>
      <c r="X69" s="479">
        <v>0</v>
      </c>
      <c r="Y69" s="479">
        <v>0</v>
      </c>
      <c r="Z69" s="479">
        <v>0</v>
      </c>
      <c r="AA69" s="471">
        <f t="shared" si="6"/>
        <v>0</v>
      </c>
      <c r="AB69" s="471">
        <f t="shared" si="7"/>
        <v>0</v>
      </c>
    </row>
    <row r="70" spans="1:28" x14ac:dyDescent="0.15">
      <c r="A70" s="433"/>
      <c r="B70" s="606"/>
      <c r="C70" s="606"/>
      <c r="D70" s="606"/>
      <c r="E70" s="433"/>
      <c r="F70" s="606"/>
      <c r="G70" s="484" t="s">
        <v>1577</v>
      </c>
      <c r="H70" s="606"/>
      <c r="I70" s="433"/>
      <c r="J70" s="607"/>
      <c r="K70" s="607"/>
      <c r="L70" s="608"/>
      <c r="M70" s="608"/>
      <c r="N70" s="624">
        <f>VLOOKUP(M70,'Salary Schedule'!$B$16:$N$47,L70+1,FALSE)</f>
        <v>0</v>
      </c>
      <c r="O70" s="610"/>
      <c r="P70" s="481">
        <v>0</v>
      </c>
      <c r="Q70" s="609"/>
      <c r="R70" s="479">
        <f t="shared" si="5"/>
        <v>0</v>
      </c>
      <c r="S70" s="479">
        <f t="shared" si="1"/>
        <v>0</v>
      </c>
      <c r="T70" s="479">
        <f t="shared" ref="T70:T75" si="8">+R70*$T$4</f>
        <v>0</v>
      </c>
      <c r="U70" s="479">
        <f t="shared" ref="U70:U75" si="9">+R70*$U$4</f>
        <v>0</v>
      </c>
      <c r="V70" s="479">
        <f t="shared" ref="V70:V75" si="10">($V$3*12)*P70</f>
        <v>0</v>
      </c>
      <c r="W70" s="479">
        <v>0</v>
      </c>
      <c r="X70" s="479">
        <v>0</v>
      </c>
      <c r="Y70" s="479">
        <v>0</v>
      </c>
      <c r="Z70" s="479">
        <v>0</v>
      </c>
      <c r="AA70" s="471">
        <f t="shared" si="6"/>
        <v>0</v>
      </c>
      <c r="AB70" s="471">
        <f t="shared" si="7"/>
        <v>0</v>
      </c>
    </row>
    <row r="71" spans="1:28" x14ac:dyDescent="0.15">
      <c r="A71" s="433"/>
      <c r="B71" s="606"/>
      <c r="C71" s="606"/>
      <c r="D71" s="606"/>
      <c r="E71" s="433"/>
      <c r="F71" s="606"/>
      <c r="G71" s="484" t="s">
        <v>1577</v>
      </c>
      <c r="H71" s="606"/>
      <c r="I71" s="433"/>
      <c r="J71" s="607"/>
      <c r="K71" s="607"/>
      <c r="L71" s="608"/>
      <c r="M71" s="608"/>
      <c r="N71" s="624">
        <f>VLOOKUP(M71,'Salary Schedule'!$B$16:$N$47,L71+1,FALSE)</f>
        <v>0</v>
      </c>
      <c r="O71" s="610"/>
      <c r="P71" s="481">
        <v>0</v>
      </c>
      <c r="Q71" s="609"/>
      <c r="R71" s="479">
        <f t="shared" si="5"/>
        <v>0</v>
      </c>
      <c r="S71" s="479">
        <f t="shared" si="1"/>
        <v>0</v>
      </c>
      <c r="T71" s="479">
        <f t="shared" si="8"/>
        <v>0</v>
      </c>
      <c r="U71" s="479">
        <f t="shared" si="9"/>
        <v>0</v>
      </c>
      <c r="V71" s="479">
        <f t="shared" si="10"/>
        <v>0</v>
      </c>
      <c r="W71" s="479">
        <v>0</v>
      </c>
      <c r="X71" s="479">
        <v>0</v>
      </c>
      <c r="Y71" s="479">
        <v>0</v>
      </c>
      <c r="Z71" s="479">
        <v>0</v>
      </c>
      <c r="AA71" s="471">
        <f t="shared" si="6"/>
        <v>0</v>
      </c>
      <c r="AB71" s="471">
        <f t="shared" si="7"/>
        <v>0</v>
      </c>
    </row>
    <row r="72" spans="1:28" x14ac:dyDescent="0.15">
      <c r="A72" s="433"/>
      <c r="B72" s="606"/>
      <c r="C72" s="606"/>
      <c r="D72" s="606"/>
      <c r="E72" s="433"/>
      <c r="F72" s="606"/>
      <c r="G72" s="484" t="s">
        <v>1577</v>
      </c>
      <c r="H72" s="606"/>
      <c r="I72" s="433"/>
      <c r="J72" s="607"/>
      <c r="K72" s="607"/>
      <c r="L72" s="608"/>
      <c r="M72" s="608"/>
      <c r="N72" s="624">
        <f>VLOOKUP(M72,'Salary Schedule'!$B$16:$N$47,L72+1,FALSE)</f>
        <v>0</v>
      </c>
      <c r="O72" s="610"/>
      <c r="P72" s="481">
        <v>0</v>
      </c>
      <c r="Q72" s="609"/>
      <c r="R72" s="479">
        <f t="shared" si="5"/>
        <v>0</v>
      </c>
      <c r="S72" s="479">
        <f t="shared" si="1"/>
        <v>0</v>
      </c>
      <c r="T72" s="479">
        <f t="shared" si="8"/>
        <v>0</v>
      </c>
      <c r="U72" s="479">
        <f t="shared" si="9"/>
        <v>0</v>
      </c>
      <c r="V72" s="479">
        <f t="shared" si="10"/>
        <v>0</v>
      </c>
      <c r="W72" s="479">
        <v>0</v>
      </c>
      <c r="X72" s="479">
        <v>0</v>
      </c>
      <c r="Y72" s="479">
        <v>0</v>
      </c>
      <c r="Z72" s="479">
        <v>0</v>
      </c>
      <c r="AA72" s="471">
        <f t="shared" si="6"/>
        <v>0</v>
      </c>
      <c r="AB72" s="471">
        <f t="shared" si="7"/>
        <v>0</v>
      </c>
    </row>
    <row r="73" spans="1:28" x14ac:dyDescent="0.15">
      <c r="A73" s="433"/>
      <c r="B73" s="606"/>
      <c r="C73" s="606"/>
      <c r="D73" s="606"/>
      <c r="E73" s="433"/>
      <c r="F73" s="606"/>
      <c r="G73" s="484" t="s">
        <v>1577</v>
      </c>
      <c r="H73" s="606"/>
      <c r="I73" s="433"/>
      <c r="J73" s="607"/>
      <c r="K73" s="607"/>
      <c r="L73" s="608"/>
      <c r="M73" s="608"/>
      <c r="N73" s="624">
        <f>VLOOKUP(M73,'Salary Schedule'!$B$16:$N$47,L73+1,FALSE)</f>
        <v>0</v>
      </c>
      <c r="O73" s="610"/>
      <c r="P73" s="481">
        <v>0</v>
      </c>
      <c r="Q73" s="609"/>
      <c r="R73" s="479">
        <f t="shared" si="5"/>
        <v>0</v>
      </c>
      <c r="S73" s="479">
        <f t="shared" si="1"/>
        <v>0</v>
      </c>
      <c r="T73" s="479">
        <f t="shared" si="8"/>
        <v>0</v>
      </c>
      <c r="U73" s="479">
        <f t="shared" si="9"/>
        <v>0</v>
      </c>
      <c r="V73" s="479">
        <f t="shared" si="10"/>
        <v>0</v>
      </c>
      <c r="W73" s="479">
        <v>0</v>
      </c>
      <c r="X73" s="479">
        <v>0</v>
      </c>
      <c r="Y73" s="479">
        <v>0</v>
      </c>
      <c r="Z73" s="479">
        <v>0</v>
      </c>
      <c r="AA73" s="471">
        <f t="shared" si="6"/>
        <v>0</v>
      </c>
      <c r="AB73" s="471">
        <f t="shared" si="7"/>
        <v>0</v>
      </c>
    </row>
    <row r="74" spans="1:28" x14ac:dyDescent="0.15">
      <c r="A74" s="433"/>
      <c r="B74" s="606"/>
      <c r="C74" s="606"/>
      <c r="D74" s="606"/>
      <c r="E74" s="433"/>
      <c r="F74" s="606"/>
      <c r="G74" s="484" t="s">
        <v>1577</v>
      </c>
      <c r="H74" s="606"/>
      <c r="I74" s="433"/>
      <c r="J74" s="607"/>
      <c r="K74" s="607"/>
      <c r="L74" s="608"/>
      <c r="M74" s="608"/>
      <c r="N74" s="624">
        <f>VLOOKUP(M74,'Salary Schedule'!$B$16:$N$47,L74+1,FALSE)</f>
        <v>0</v>
      </c>
      <c r="O74" s="610"/>
      <c r="P74" s="481">
        <v>0</v>
      </c>
      <c r="Q74" s="609"/>
      <c r="R74" s="479">
        <f t="shared" si="5"/>
        <v>0</v>
      </c>
      <c r="S74" s="479">
        <f t="shared" si="1"/>
        <v>0</v>
      </c>
      <c r="T74" s="479">
        <f t="shared" si="8"/>
        <v>0</v>
      </c>
      <c r="U74" s="479">
        <f t="shared" si="9"/>
        <v>0</v>
      </c>
      <c r="V74" s="479">
        <f t="shared" si="10"/>
        <v>0</v>
      </c>
      <c r="W74" s="479">
        <v>0</v>
      </c>
      <c r="X74" s="479">
        <v>0</v>
      </c>
      <c r="Y74" s="479">
        <v>0</v>
      </c>
      <c r="Z74" s="479">
        <v>0</v>
      </c>
      <c r="AA74" s="471">
        <f t="shared" si="6"/>
        <v>0</v>
      </c>
      <c r="AB74" s="471">
        <f t="shared" si="7"/>
        <v>0</v>
      </c>
    </row>
    <row r="75" spans="1:28" x14ac:dyDescent="0.15">
      <c r="A75" s="433"/>
      <c r="B75" s="606"/>
      <c r="C75" s="606"/>
      <c r="D75" s="606"/>
      <c r="E75" s="433"/>
      <c r="F75" s="606"/>
      <c r="G75" s="484" t="s">
        <v>1577</v>
      </c>
      <c r="H75" s="606"/>
      <c r="I75" s="433"/>
      <c r="J75" s="607"/>
      <c r="K75" s="607"/>
      <c r="L75" s="608"/>
      <c r="M75" s="608"/>
      <c r="N75" s="624">
        <f>VLOOKUP(M75,'Salary Schedule'!$B$16:$N$47,L75+1,FALSE)</f>
        <v>0</v>
      </c>
      <c r="O75" s="610"/>
      <c r="P75" s="481">
        <v>0</v>
      </c>
      <c r="Q75" s="609"/>
      <c r="R75" s="479">
        <f t="shared" si="5"/>
        <v>0</v>
      </c>
      <c r="S75" s="479">
        <f t="shared" si="1"/>
        <v>0</v>
      </c>
      <c r="T75" s="479">
        <f t="shared" si="8"/>
        <v>0</v>
      </c>
      <c r="U75" s="479">
        <f t="shared" si="9"/>
        <v>0</v>
      </c>
      <c r="V75" s="479">
        <f t="shared" si="10"/>
        <v>0</v>
      </c>
      <c r="W75" s="479">
        <v>0</v>
      </c>
      <c r="X75" s="479">
        <v>0</v>
      </c>
      <c r="Y75" s="479">
        <v>0</v>
      </c>
      <c r="Z75" s="479">
        <v>0</v>
      </c>
      <c r="AA75" s="471">
        <f t="shared" si="6"/>
        <v>0</v>
      </c>
      <c r="AB75" s="471">
        <f t="shared" si="7"/>
        <v>0</v>
      </c>
    </row>
    <row r="76" spans="1:28" x14ac:dyDescent="0.15">
      <c r="A76" s="433"/>
      <c r="B76" s="606"/>
      <c r="C76" s="606"/>
      <c r="D76" s="606"/>
      <c r="E76" s="433"/>
      <c r="F76" s="606"/>
      <c r="G76" s="484" t="s">
        <v>1577</v>
      </c>
      <c r="H76" s="606"/>
      <c r="I76" s="433"/>
      <c r="J76" s="607"/>
      <c r="K76" s="607"/>
      <c r="L76" s="608"/>
      <c r="M76" s="608"/>
      <c r="N76" s="624">
        <f>VLOOKUP(M76,'Salary Schedule'!$B$16:$N$47,L76+1,FALSE)</f>
        <v>0</v>
      </c>
      <c r="O76" s="610"/>
      <c r="P76" s="481">
        <v>0</v>
      </c>
      <c r="Q76" s="609"/>
      <c r="R76" s="479">
        <f t="shared" ref="R76:R139" si="11">ROUND((+N76*P76),0)</f>
        <v>0</v>
      </c>
      <c r="S76" s="479">
        <f t="shared" ref="S76:S139" si="12">+R76*$S$4</f>
        <v>0</v>
      </c>
      <c r="T76" s="479">
        <f t="shared" ref="T76:T139" si="13">+R76*$T$4</f>
        <v>0</v>
      </c>
      <c r="U76" s="479">
        <f t="shared" ref="U76:U139" si="14">+R76*$U$4</f>
        <v>0</v>
      </c>
      <c r="V76" s="479">
        <f t="shared" ref="V76:V139" si="15">($V$3*12)*P76</f>
        <v>0</v>
      </c>
      <c r="W76" s="479">
        <v>0</v>
      </c>
      <c r="X76" s="479">
        <v>0</v>
      </c>
      <c r="Y76" s="479">
        <v>0</v>
      </c>
      <c r="Z76" s="479">
        <v>0</v>
      </c>
      <c r="AA76" s="471">
        <f t="shared" ref="AA76:AA139" si="16">ROUND((SUM(S76:Z76)),0)</f>
        <v>0</v>
      </c>
      <c r="AB76" s="471">
        <f t="shared" ref="AB76:AB139" si="17">ROUND((+R76+AA76),0)</f>
        <v>0</v>
      </c>
    </row>
    <row r="77" spans="1:28" x14ac:dyDescent="0.15">
      <c r="A77" s="433"/>
      <c r="B77" s="606"/>
      <c r="C77" s="606"/>
      <c r="D77" s="606"/>
      <c r="E77" s="433"/>
      <c r="F77" s="606"/>
      <c r="G77" s="484" t="s">
        <v>1577</v>
      </c>
      <c r="H77" s="606"/>
      <c r="I77" s="433"/>
      <c r="J77" s="607"/>
      <c r="K77" s="607"/>
      <c r="L77" s="608"/>
      <c r="M77" s="608"/>
      <c r="N77" s="624">
        <f>VLOOKUP(M77,'Salary Schedule'!$B$16:$N$47,L77+1,FALSE)</f>
        <v>0</v>
      </c>
      <c r="O77" s="610"/>
      <c r="P77" s="481">
        <v>0</v>
      </c>
      <c r="Q77" s="609"/>
      <c r="R77" s="479">
        <f t="shared" si="11"/>
        <v>0</v>
      </c>
      <c r="S77" s="479">
        <f t="shared" si="12"/>
        <v>0</v>
      </c>
      <c r="T77" s="479">
        <f t="shared" si="13"/>
        <v>0</v>
      </c>
      <c r="U77" s="479">
        <f t="shared" si="14"/>
        <v>0</v>
      </c>
      <c r="V77" s="479">
        <f t="shared" si="15"/>
        <v>0</v>
      </c>
      <c r="W77" s="479">
        <v>0</v>
      </c>
      <c r="X77" s="479">
        <v>0</v>
      </c>
      <c r="Y77" s="479">
        <v>0</v>
      </c>
      <c r="Z77" s="479">
        <v>0</v>
      </c>
      <c r="AA77" s="471">
        <f t="shared" si="16"/>
        <v>0</v>
      </c>
      <c r="AB77" s="471">
        <f t="shared" si="17"/>
        <v>0</v>
      </c>
    </row>
    <row r="78" spans="1:28" x14ac:dyDescent="0.15">
      <c r="A78" s="433"/>
      <c r="B78" s="606"/>
      <c r="C78" s="606"/>
      <c r="D78" s="606"/>
      <c r="E78" s="433"/>
      <c r="F78" s="606"/>
      <c r="G78" s="484" t="s">
        <v>1577</v>
      </c>
      <c r="H78" s="606"/>
      <c r="I78" s="433"/>
      <c r="J78" s="607"/>
      <c r="K78" s="607"/>
      <c r="L78" s="608"/>
      <c r="M78" s="608"/>
      <c r="N78" s="624">
        <f>VLOOKUP(M78,'Salary Schedule'!$B$16:$N$47,L78+1,FALSE)</f>
        <v>0</v>
      </c>
      <c r="O78" s="610"/>
      <c r="P78" s="481">
        <v>0</v>
      </c>
      <c r="Q78" s="609"/>
      <c r="R78" s="479">
        <f t="shared" si="11"/>
        <v>0</v>
      </c>
      <c r="S78" s="479">
        <f t="shared" si="12"/>
        <v>0</v>
      </c>
      <c r="T78" s="479">
        <f t="shared" si="13"/>
        <v>0</v>
      </c>
      <c r="U78" s="479">
        <f t="shared" si="14"/>
        <v>0</v>
      </c>
      <c r="V78" s="479">
        <f t="shared" si="15"/>
        <v>0</v>
      </c>
      <c r="W78" s="479">
        <v>0</v>
      </c>
      <c r="X78" s="479">
        <v>0</v>
      </c>
      <c r="Y78" s="479">
        <v>0</v>
      </c>
      <c r="Z78" s="479">
        <v>0</v>
      </c>
      <c r="AA78" s="471">
        <f t="shared" si="16"/>
        <v>0</v>
      </c>
      <c r="AB78" s="471">
        <f t="shared" si="17"/>
        <v>0</v>
      </c>
    </row>
    <row r="79" spans="1:28" x14ac:dyDescent="0.15">
      <c r="A79" s="433"/>
      <c r="B79" s="606"/>
      <c r="C79" s="606"/>
      <c r="D79" s="606"/>
      <c r="E79" s="433"/>
      <c r="F79" s="606"/>
      <c r="G79" s="484" t="s">
        <v>1577</v>
      </c>
      <c r="H79" s="606"/>
      <c r="I79" s="433"/>
      <c r="J79" s="607"/>
      <c r="K79" s="607"/>
      <c r="L79" s="608"/>
      <c r="M79" s="608"/>
      <c r="N79" s="624">
        <f>VLOOKUP(M79,'Salary Schedule'!$B$16:$N$47,L79+1,FALSE)</f>
        <v>0</v>
      </c>
      <c r="O79" s="610"/>
      <c r="P79" s="481">
        <v>0</v>
      </c>
      <c r="Q79" s="609"/>
      <c r="R79" s="479">
        <f t="shared" si="11"/>
        <v>0</v>
      </c>
      <c r="S79" s="479">
        <f t="shared" si="12"/>
        <v>0</v>
      </c>
      <c r="T79" s="479">
        <f t="shared" si="13"/>
        <v>0</v>
      </c>
      <c r="U79" s="479">
        <f t="shared" si="14"/>
        <v>0</v>
      </c>
      <c r="V79" s="479">
        <f t="shared" si="15"/>
        <v>0</v>
      </c>
      <c r="W79" s="479">
        <v>0</v>
      </c>
      <c r="X79" s="479">
        <v>0</v>
      </c>
      <c r="Y79" s="479">
        <v>0</v>
      </c>
      <c r="Z79" s="479">
        <v>0</v>
      </c>
      <c r="AA79" s="471">
        <f t="shared" si="16"/>
        <v>0</v>
      </c>
      <c r="AB79" s="471">
        <f t="shared" si="17"/>
        <v>0</v>
      </c>
    </row>
    <row r="80" spans="1:28" x14ac:dyDescent="0.15">
      <c r="A80" s="433"/>
      <c r="B80" s="606"/>
      <c r="C80" s="606"/>
      <c r="D80" s="606"/>
      <c r="E80" s="433"/>
      <c r="F80" s="606"/>
      <c r="G80" s="484" t="s">
        <v>1577</v>
      </c>
      <c r="H80" s="606"/>
      <c r="I80" s="433"/>
      <c r="J80" s="607"/>
      <c r="K80" s="607"/>
      <c r="L80" s="608"/>
      <c r="M80" s="608"/>
      <c r="N80" s="624">
        <f>VLOOKUP(M80,'Salary Schedule'!$B$16:$N$47,L80+1,FALSE)</f>
        <v>0</v>
      </c>
      <c r="O80" s="610"/>
      <c r="P80" s="481">
        <v>0</v>
      </c>
      <c r="Q80" s="609"/>
      <c r="R80" s="479">
        <f t="shared" si="11"/>
        <v>0</v>
      </c>
      <c r="S80" s="479">
        <f t="shared" si="12"/>
        <v>0</v>
      </c>
      <c r="T80" s="479">
        <f t="shared" si="13"/>
        <v>0</v>
      </c>
      <c r="U80" s="479">
        <f t="shared" si="14"/>
        <v>0</v>
      </c>
      <c r="V80" s="479">
        <f t="shared" si="15"/>
        <v>0</v>
      </c>
      <c r="W80" s="479">
        <v>0</v>
      </c>
      <c r="X80" s="479">
        <v>0</v>
      </c>
      <c r="Y80" s="479">
        <v>0</v>
      </c>
      <c r="Z80" s="479">
        <v>0</v>
      </c>
      <c r="AA80" s="471">
        <f t="shared" si="16"/>
        <v>0</v>
      </c>
      <c r="AB80" s="471">
        <f t="shared" si="17"/>
        <v>0</v>
      </c>
    </row>
    <row r="81" spans="1:28" x14ac:dyDescent="0.15">
      <c r="A81" s="433"/>
      <c r="B81" s="606"/>
      <c r="C81" s="606"/>
      <c r="D81" s="606"/>
      <c r="E81" s="433"/>
      <c r="F81" s="606"/>
      <c r="G81" s="484" t="s">
        <v>1577</v>
      </c>
      <c r="H81" s="606"/>
      <c r="I81" s="433"/>
      <c r="J81" s="607"/>
      <c r="K81" s="607"/>
      <c r="L81" s="608"/>
      <c r="M81" s="608"/>
      <c r="N81" s="624">
        <f>VLOOKUP(M81,'Salary Schedule'!$B$16:$N$47,L81+1,FALSE)</f>
        <v>0</v>
      </c>
      <c r="O81" s="610"/>
      <c r="P81" s="481">
        <v>0</v>
      </c>
      <c r="Q81" s="609"/>
      <c r="R81" s="479">
        <f t="shared" si="11"/>
        <v>0</v>
      </c>
      <c r="S81" s="479">
        <f t="shared" si="12"/>
        <v>0</v>
      </c>
      <c r="T81" s="479">
        <f t="shared" si="13"/>
        <v>0</v>
      </c>
      <c r="U81" s="479">
        <f t="shared" si="14"/>
        <v>0</v>
      </c>
      <c r="V81" s="479">
        <f t="shared" si="15"/>
        <v>0</v>
      </c>
      <c r="W81" s="479">
        <v>0</v>
      </c>
      <c r="X81" s="479">
        <v>0</v>
      </c>
      <c r="Y81" s="479">
        <v>0</v>
      </c>
      <c r="Z81" s="479">
        <v>0</v>
      </c>
      <c r="AA81" s="471">
        <f t="shared" si="16"/>
        <v>0</v>
      </c>
      <c r="AB81" s="471">
        <f t="shared" si="17"/>
        <v>0</v>
      </c>
    </row>
    <row r="82" spans="1:28" x14ac:dyDescent="0.15">
      <c r="A82" s="433"/>
      <c r="B82" s="606"/>
      <c r="C82" s="606"/>
      <c r="D82" s="606"/>
      <c r="E82" s="433"/>
      <c r="F82" s="606"/>
      <c r="G82" s="484" t="s">
        <v>1577</v>
      </c>
      <c r="H82" s="606"/>
      <c r="I82" s="433"/>
      <c r="J82" s="607"/>
      <c r="K82" s="607"/>
      <c r="L82" s="608"/>
      <c r="M82" s="608"/>
      <c r="N82" s="624">
        <f>VLOOKUP(M82,'Salary Schedule'!$B$16:$N$47,L82+1,FALSE)</f>
        <v>0</v>
      </c>
      <c r="O82" s="610"/>
      <c r="P82" s="481">
        <v>0</v>
      </c>
      <c r="Q82" s="609"/>
      <c r="R82" s="479">
        <f t="shared" si="11"/>
        <v>0</v>
      </c>
      <c r="S82" s="479">
        <f t="shared" si="12"/>
        <v>0</v>
      </c>
      <c r="T82" s="479">
        <f t="shared" si="13"/>
        <v>0</v>
      </c>
      <c r="U82" s="479">
        <f t="shared" si="14"/>
        <v>0</v>
      </c>
      <c r="V82" s="479">
        <f t="shared" si="15"/>
        <v>0</v>
      </c>
      <c r="W82" s="479">
        <v>0</v>
      </c>
      <c r="X82" s="479">
        <v>0</v>
      </c>
      <c r="Y82" s="479">
        <v>0</v>
      </c>
      <c r="Z82" s="479">
        <v>0</v>
      </c>
      <c r="AA82" s="471">
        <f t="shared" si="16"/>
        <v>0</v>
      </c>
      <c r="AB82" s="471">
        <f t="shared" si="17"/>
        <v>0</v>
      </c>
    </row>
    <row r="83" spans="1:28" x14ac:dyDescent="0.15">
      <c r="A83" s="433"/>
      <c r="B83" s="606"/>
      <c r="C83" s="606"/>
      <c r="D83" s="606"/>
      <c r="E83" s="433"/>
      <c r="F83" s="606"/>
      <c r="G83" s="484" t="s">
        <v>1577</v>
      </c>
      <c r="H83" s="606"/>
      <c r="I83" s="433"/>
      <c r="J83" s="607"/>
      <c r="K83" s="607"/>
      <c r="L83" s="608"/>
      <c r="M83" s="608"/>
      <c r="N83" s="624">
        <f>VLOOKUP(M83,'Salary Schedule'!$B$16:$N$47,L83+1,FALSE)</f>
        <v>0</v>
      </c>
      <c r="O83" s="610"/>
      <c r="P83" s="481">
        <v>0</v>
      </c>
      <c r="Q83" s="609"/>
      <c r="R83" s="479">
        <f t="shared" si="11"/>
        <v>0</v>
      </c>
      <c r="S83" s="479">
        <f t="shared" si="12"/>
        <v>0</v>
      </c>
      <c r="T83" s="479">
        <f t="shared" si="13"/>
        <v>0</v>
      </c>
      <c r="U83" s="479">
        <f t="shared" si="14"/>
        <v>0</v>
      </c>
      <c r="V83" s="479">
        <f t="shared" si="15"/>
        <v>0</v>
      </c>
      <c r="W83" s="479">
        <v>0</v>
      </c>
      <c r="X83" s="479">
        <v>0</v>
      </c>
      <c r="Y83" s="479">
        <v>0</v>
      </c>
      <c r="Z83" s="479">
        <v>0</v>
      </c>
      <c r="AA83" s="471">
        <f t="shared" si="16"/>
        <v>0</v>
      </c>
      <c r="AB83" s="471">
        <f t="shared" si="17"/>
        <v>0</v>
      </c>
    </row>
    <row r="84" spans="1:28" x14ac:dyDescent="0.15">
      <c r="A84" s="433"/>
      <c r="B84" s="606"/>
      <c r="C84" s="606"/>
      <c r="D84" s="606"/>
      <c r="E84" s="433"/>
      <c r="F84" s="606"/>
      <c r="G84" s="484" t="s">
        <v>1577</v>
      </c>
      <c r="H84" s="606"/>
      <c r="I84" s="433"/>
      <c r="J84" s="607"/>
      <c r="K84" s="607"/>
      <c r="L84" s="608"/>
      <c r="M84" s="608"/>
      <c r="N84" s="624">
        <f>VLOOKUP(M84,'Salary Schedule'!$B$16:$N$47,L84+1,FALSE)</f>
        <v>0</v>
      </c>
      <c r="O84" s="610"/>
      <c r="P84" s="481">
        <v>0</v>
      </c>
      <c r="Q84" s="609"/>
      <c r="R84" s="479">
        <f t="shared" si="11"/>
        <v>0</v>
      </c>
      <c r="S84" s="479">
        <f t="shared" si="12"/>
        <v>0</v>
      </c>
      <c r="T84" s="479">
        <f t="shared" si="13"/>
        <v>0</v>
      </c>
      <c r="U84" s="479">
        <f t="shared" si="14"/>
        <v>0</v>
      </c>
      <c r="V84" s="479">
        <f t="shared" si="15"/>
        <v>0</v>
      </c>
      <c r="W84" s="479">
        <v>0</v>
      </c>
      <c r="X84" s="479">
        <v>0</v>
      </c>
      <c r="Y84" s="479">
        <v>0</v>
      </c>
      <c r="Z84" s="479">
        <v>0</v>
      </c>
      <c r="AA84" s="471">
        <f t="shared" si="16"/>
        <v>0</v>
      </c>
      <c r="AB84" s="471">
        <f t="shared" si="17"/>
        <v>0</v>
      </c>
    </row>
    <row r="85" spans="1:28" x14ac:dyDescent="0.15">
      <c r="A85" s="433"/>
      <c r="B85" s="606"/>
      <c r="C85" s="606"/>
      <c r="D85" s="606"/>
      <c r="E85" s="433"/>
      <c r="F85" s="606"/>
      <c r="G85" s="484" t="s">
        <v>1577</v>
      </c>
      <c r="H85" s="606"/>
      <c r="I85" s="433"/>
      <c r="J85" s="607"/>
      <c r="K85" s="607"/>
      <c r="L85" s="608"/>
      <c r="M85" s="608"/>
      <c r="N85" s="624">
        <f>VLOOKUP(M85,'Salary Schedule'!$B$16:$N$47,L85+1,FALSE)</f>
        <v>0</v>
      </c>
      <c r="O85" s="610"/>
      <c r="P85" s="481">
        <v>0</v>
      </c>
      <c r="Q85" s="609"/>
      <c r="R85" s="479">
        <f t="shared" si="11"/>
        <v>0</v>
      </c>
      <c r="S85" s="479">
        <f t="shared" si="12"/>
        <v>0</v>
      </c>
      <c r="T85" s="479">
        <f t="shared" si="13"/>
        <v>0</v>
      </c>
      <c r="U85" s="479">
        <f t="shared" si="14"/>
        <v>0</v>
      </c>
      <c r="V85" s="479">
        <f t="shared" si="15"/>
        <v>0</v>
      </c>
      <c r="W85" s="479">
        <v>0</v>
      </c>
      <c r="X85" s="479">
        <v>0</v>
      </c>
      <c r="Y85" s="479">
        <v>0</v>
      </c>
      <c r="Z85" s="479">
        <v>0</v>
      </c>
      <c r="AA85" s="471">
        <f t="shared" si="16"/>
        <v>0</v>
      </c>
      <c r="AB85" s="471">
        <f t="shared" si="17"/>
        <v>0</v>
      </c>
    </row>
    <row r="86" spans="1:28" x14ac:dyDescent="0.15">
      <c r="A86" s="433"/>
      <c r="B86" s="606"/>
      <c r="C86" s="606"/>
      <c r="D86" s="606"/>
      <c r="E86" s="433"/>
      <c r="F86" s="606"/>
      <c r="G86" s="484" t="s">
        <v>1577</v>
      </c>
      <c r="H86" s="606"/>
      <c r="I86" s="433"/>
      <c r="J86" s="607"/>
      <c r="K86" s="607"/>
      <c r="L86" s="608"/>
      <c r="M86" s="608"/>
      <c r="N86" s="624">
        <f>VLOOKUP(M86,'Salary Schedule'!$B$16:$N$47,L86+1,FALSE)</f>
        <v>0</v>
      </c>
      <c r="O86" s="610"/>
      <c r="P86" s="481">
        <v>0</v>
      </c>
      <c r="Q86" s="609"/>
      <c r="R86" s="479">
        <f t="shared" si="11"/>
        <v>0</v>
      </c>
      <c r="S86" s="479">
        <f t="shared" si="12"/>
        <v>0</v>
      </c>
      <c r="T86" s="479">
        <f t="shared" si="13"/>
        <v>0</v>
      </c>
      <c r="U86" s="479">
        <f t="shared" si="14"/>
        <v>0</v>
      </c>
      <c r="V86" s="479">
        <f t="shared" si="15"/>
        <v>0</v>
      </c>
      <c r="W86" s="479">
        <v>0</v>
      </c>
      <c r="X86" s="479">
        <v>0</v>
      </c>
      <c r="Y86" s="479">
        <v>0</v>
      </c>
      <c r="Z86" s="479">
        <v>0</v>
      </c>
      <c r="AA86" s="471">
        <f t="shared" si="16"/>
        <v>0</v>
      </c>
      <c r="AB86" s="471">
        <f t="shared" si="17"/>
        <v>0</v>
      </c>
    </row>
    <row r="87" spans="1:28" x14ac:dyDescent="0.15">
      <c r="A87" s="433"/>
      <c r="B87" s="606"/>
      <c r="C87" s="606"/>
      <c r="D87" s="606"/>
      <c r="E87" s="433"/>
      <c r="F87" s="606"/>
      <c r="G87" s="484" t="s">
        <v>1577</v>
      </c>
      <c r="H87" s="606"/>
      <c r="I87" s="433"/>
      <c r="J87" s="607"/>
      <c r="K87" s="607"/>
      <c r="L87" s="608"/>
      <c r="M87" s="608"/>
      <c r="N87" s="624">
        <f>VLOOKUP(M87,'Salary Schedule'!$B$16:$N$47,L87+1,FALSE)</f>
        <v>0</v>
      </c>
      <c r="O87" s="610"/>
      <c r="P87" s="481">
        <v>0</v>
      </c>
      <c r="Q87" s="609"/>
      <c r="R87" s="479">
        <f t="shared" si="11"/>
        <v>0</v>
      </c>
      <c r="S87" s="479">
        <f t="shared" si="12"/>
        <v>0</v>
      </c>
      <c r="T87" s="479">
        <f t="shared" si="13"/>
        <v>0</v>
      </c>
      <c r="U87" s="479">
        <f t="shared" si="14"/>
        <v>0</v>
      </c>
      <c r="V87" s="479">
        <f t="shared" si="15"/>
        <v>0</v>
      </c>
      <c r="W87" s="479">
        <v>0</v>
      </c>
      <c r="X87" s="479">
        <v>0</v>
      </c>
      <c r="Y87" s="479">
        <v>0</v>
      </c>
      <c r="Z87" s="479">
        <v>0</v>
      </c>
      <c r="AA87" s="471">
        <f t="shared" si="16"/>
        <v>0</v>
      </c>
      <c r="AB87" s="471">
        <f t="shared" si="17"/>
        <v>0</v>
      </c>
    </row>
    <row r="88" spans="1:28" x14ac:dyDescent="0.15">
      <c r="A88" s="433"/>
      <c r="B88" s="606"/>
      <c r="C88" s="606"/>
      <c r="D88" s="606"/>
      <c r="E88" s="433"/>
      <c r="F88" s="606"/>
      <c r="G88" s="484" t="s">
        <v>1577</v>
      </c>
      <c r="H88" s="606"/>
      <c r="I88" s="433"/>
      <c r="J88" s="607"/>
      <c r="K88" s="607"/>
      <c r="L88" s="608"/>
      <c r="M88" s="608"/>
      <c r="N88" s="624">
        <f>VLOOKUP(M88,'Salary Schedule'!$B$16:$N$47,L88+1,FALSE)</f>
        <v>0</v>
      </c>
      <c r="O88" s="610"/>
      <c r="P88" s="481">
        <v>0</v>
      </c>
      <c r="Q88" s="609"/>
      <c r="R88" s="479">
        <f t="shared" si="11"/>
        <v>0</v>
      </c>
      <c r="S88" s="479">
        <f t="shared" si="12"/>
        <v>0</v>
      </c>
      <c r="T88" s="479">
        <f t="shared" si="13"/>
        <v>0</v>
      </c>
      <c r="U88" s="479">
        <f t="shared" si="14"/>
        <v>0</v>
      </c>
      <c r="V88" s="479">
        <f t="shared" si="15"/>
        <v>0</v>
      </c>
      <c r="W88" s="479">
        <v>0</v>
      </c>
      <c r="X88" s="479">
        <v>0</v>
      </c>
      <c r="Y88" s="479">
        <v>0</v>
      </c>
      <c r="Z88" s="479">
        <v>0</v>
      </c>
      <c r="AA88" s="471">
        <f t="shared" si="16"/>
        <v>0</v>
      </c>
      <c r="AB88" s="471">
        <f t="shared" si="17"/>
        <v>0</v>
      </c>
    </row>
    <row r="89" spans="1:28" x14ac:dyDescent="0.15">
      <c r="A89" s="433"/>
      <c r="B89" s="606"/>
      <c r="C89" s="606"/>
      <c r="D89" s="606"/>
      <c r="E89" s="433"/>
      <c r="F89" s="606"/>
      <c r="G89" s="484" t="s">
        <v>1577</v>
      </c>
      <c r="H89" s="606"/>
      <c r="I89" s="433"/>
      <c r="J89" s="607"/>
      <c r="K89" s="607"/>
      <c r="L89" s="608"/>
      <c r="M89" s="608"/>
      <c r="N89" s="624">
        <f>VLOOKUP(M89,'Salary Schedule'!$B$16:$N$47,L89+1,FALSE)</f>
        <v>0</v>
      </c>
      <c r="O89" s="610"/>
      <c r="P89" s="481">
        <v>0</v>
      </c>
      <c r="Q89" s="609"/>
      <c r="R89" s="479">
        <f t="shared" si="11"/>
        <v>0</v>
      </c>
      <c r="S89" s="479">
        <f t="shared" si="12"/>
        <v>0</v>
      </c>
      <c r="T89" s="479">
        <f t="shared" si="13"/>
        <v>0</v>
      </c>
      <c r="U89" s="479">
        <f t="shared" si="14"/>
        <v>0</v>
      </c>
      <c r="V89" s="479">
        <f t="shared" si="15"/>
        <v>0</v>
      </c>
      <c r="W89" s="479">
        <v>0</v>
      </c>
      <c r="X89" s="479">
        <v>0</v>
      </c>
      <c r="Y89" s="479">
        <v>0</v>
      </c>
      <c r="Z89" s="479">
        <v>0</v>
      </c>
      <c r="AA89" s="471">
        <f t="shared" si="16"/>
        <v>0</v>
      </c>
      <c r="AB89" s="471">
        <f t="shared" si="17"/>
        <v>0</v>
      </c>
    </row>
    <row r="90" spans="1:28" x14ac:dyDescent="0.15">
      <c r="A90" s="433"/>
      <c r="B90" s="606"/>
      <c r="C90" s="606"/>
      <c r="D90" s="606"/>
      <c r="E90" s="433"/>
      <c r="F90" s="606"/>
      <c r="G90" s="484" t="s">
        <v>1577</v>
      </c>
      <c r="H90" s="606"/>
      <c r="I90" s="433"/>
      <c r="J90" s="607"/>
      <c r="K90" s="607"/>
      <c r="L90" s="608"/>
      <c r="M90" s="608"/>
      <c r="N90" s="624">
        <f>VLOOKUP(M90,'Salary Schedule'!$B$16:$N$47,L90+1,FALSE)</f>
        <v>0</v>
      </c>
      <c r="O90" s="610"/>
      <c r="P90" s="481">
        <v>0</v>
      </c>
      <c r="Q90" s="609"/>
      <c r="R90" s="479">
        <f t="shared" si="11"/>
        <v>0</v>
      </c>
      <c r="S90" s="479">
        <f t="shared" si="12"/>
        <v>0</v>
      </c>
      <c r="T90" s="479">
        <f t="shared" si="13"/>
        <v>0</v>
      </c>
      <c r="U90" s="479">
        <f t="shared" si="14"/>
        <v>0</v>
      </c>
      <c r="V90" s="479">
        <f t="shared" si="15"/>
        <v>0</v>
      </c>
      <c r="W90" s="479">
        <v>0</v>
      </c>
      <c r="X90" s="479">
        <v>0</v>
      </c>
      <c r="Y90" s="479">
        <v>0</v>
      </c>
      <c r="Z90" s="479">
        <v>0</v>
      </c>
      <c r="AA90" s="471">
        <f t="shared" si="16"/>
        <v>0</v>
      </c>
      <c r="AB90" s="471">
        <f t="shared" si="17"/>
        <v>0</v>
      </c>
    </row>
    <row r="91" spans="1:28" x14ac:dyDescent="0.15">
      <c r="A91" s="433"/>
      <c r="B91" s="606"/>
      <c r="C91" s="606"/>
      <c r="D91" s="606"/>
      <c r="E91" s="433"/>
      <c r="F91" s="606"/>
      <c r="G91" s="484" t="s">
        <v>1577</v>
      </c>
      <c r="H91" s="606"/>
      <c r="I91" s="433"/>
      <c r="J91" s="607"/>
      <c r="K91" s="607"/>
      <c r="L91" s="608"/>
      <c r="M91" s="608"/>
      <c r="N91" s="624">
        <f>VLOOKUP(M91,'Salary Schedule'!$B$16:$N$47,L91+1,FALSE)</f>
        <v>0</v>
      </c>
      <c r="O91" s="610"/>
      <c r="P91" s="481">
        <v>0</v>
      </c>
      <c r="Q91" s="609"/>
      <c r="R91" s="479">
        <f t="shared" si="11"/>
        <v>0</v>
      </c>
      <c r="S91" s="479">
        <f t="shared" si="12"/>
        <v>0</v>
      </c>
      <c r="T91" s="479">
        <f t="shared" si="13"/>
        <v>0</v>
      </c>
      <c r="U91" s="479">
        <f t="shared" si="14"/>
        <v>0</v>
      </c>
      <c r="V91" s="479">
        <f t="shared" si="15"/>
        <v>0</v>
      </c>
      <c r="W91" s="479">
        <v>0</v>
      </c>
      <c r="X91" s="479">
        <v>0</v>
      </c>
      <c r="Y91" s="479">
        <v>0</v>
      </c>
      <c r="Z91" s="479">
        <v>0</v>
      </c>
      <c r="AA91" s="471">
        <f t="shared" si="16"/>
        <v>0</v>
      </c>
      <c r="AB91" s="471">
        <f t="shared" si="17"/>
        <v>0</v>
      </c>
    </row>
    <row r="92" spans="1:28" x14ac:dyDescent="0.15">
      <c r="A92" s="433"/>
      <c r="B92" s="606"/>
      <c r="C92" s="606"/>
      <c r="D92" s="606"/>
      <c r="E92" s="433"/>
      <c r="F92" s="606"/>
      <c r="G92" s="484" t="s">
        <v>1577</v>
      </c>
      <c r="H92" s="606"/>
      <c r="I92" s="433"/>
      <c r="J92" s="607"/>
      <c r="K92" s="607"/>
      <c r="L92" s="608"/>
      <c r="M92" s="608"/>
      <c r="N92" s="624">
        <f>VLOOKUP(M92,'Salary Schedule'!$B$16:$N$47,L92+1,FALSE)</f>
        <v>0</v>
      </c>
      <c r="O92" s="610"/>
      <c r="P92" s="481">
        <v>0</v>
      </c>
      <c r="Q92" s="609"/>
      <c r="R92" s="479">
        <f t="shared" si="11"/>
        <v>0</v>
      </c>
      <c r="S92" s="479">
        <f t="shared" si="12"/>
        <v>0</v>
      </c>
      <c r="T92" s="479">
        <f t="shared" si="13"/>
        <v>0</v>
      </c>
      <c r="U92" s="479">
        <f t="shared" si="14"/>
        <v>0</v>
      </c>
      <c r="V92" s="479">
        <f t="shared" si="15"/>
        <v>0</v>
      </c>
      <c r="W92" s="479">
        <v>0</v>
      </c>
      <c r="X92" s="479">
        <v>0</v>
      </c>
      <c r="Y92" s="479">
        <v>0</v>
      </c>
      <c r="Z92" s="479">
        <v>0</v>
      </c>
      <c r="AA92" s="471">
        <f t="shared" si="16"/>
        <v>0</v>
      </c>
      <c r="AB92" s="471">
        <f t="shared" si="17"/>
        <v>0</v>
      </c>
    </row>
    <row r="93" spans="1:28" x14ac:dyDescent="0.15">
      <c r="A93" s="433"/>
      <c r="B93" s="606"/>
      <c r="C93" s="606"/>
      <c r="D93" s="606"/>
      <c r="E93" s="433"/>
      <c r="F93" s="606"/>
      <c r="G93" s="484" t="s">
        <v>1577</v>
      </c>
      <c r="H93" s="606"/>
      <c r="I93" s="433"/>
      <c r="J93" s="607"/>
      <c r="K93" s="607"/>
      <c r="L93" s="608"/>
      <c r="M93" s="608"/>
      <c r="N93" s="624">
        <f>VLOOKUP(M93,'Salary Schedule'!$B$16:$N$47,L93+1,FALSE)</f>
        <v>0</v>
      </c>
      <c r="O93" s="610"/>
      <c r="P93" s="481">
        <v>0</v>
      </c>
      <c r="Q93" s="609"/>
      <c r="R93" s="479">
        <f t="shared" si="11"/>
        <v>0</v>
      </c>
      <c r="S93" s="479">
        <f t="shared" si="12"/>
        <v>0</v>
      </c>
      <c r="T93" s="479">
        <f t="shared" si="13"/>
        <v>0</v>
      </c>
      <c r="U93" s="479">
        <f t="shared" si="14"/>
        <v>0</v>
      </c>
      <c r="V93" s="479">
        <f t="shared" si="15"/>
        <v>0</v>
      </c>
      <c r="W93" s="479">
        <v>0</v>
      </c>
      <c r="X93" s="479">
        <v>0</v>
      </c>
      <c r="Y93" s="479">
        <v>0</v>
      </c>
      <c r="Z93" s="479">
        <v>0</v>
      </c>
      <c r="AA93" s="471">
        <f t="shared" si="16"/>
        <v>0</v>
      </c>
      <c r="AB93" s="471">
        <f t="shared" si="17"/>
        <v>0</v>
      </c>
    </row>
    <row r="94" spans="1:28" x14ac:dyDescent="0.15">
      <c r="A94" s="433"/>
      <c r="B94" s="606"/>
      <c r="C94" s="606"/>
      <c r="D94" s="606"/>
      <c r="E94" s="433"/>
      <c r="F94" s="606"/>
      <c r="G94" s="484" t="s">
        <v>1577</v>
      </c>
      <c r="H94" s="606"/>
      <c r="I94" s="433"/>
      <c r="J94" s="607"/>
      <c r="K94" s="607"/>
      <c r="L94" s="608"/>
      <c r="M94" s="608"/>
      <c r="N94" s="624">
        <f>VLOOKUP(M94,'Salary Schedule'!$B$16:$N$47,L94+1,FALSE)</f>
        <v>0</v>
      </c>
      <c r="O94" s="610"/>
      <c r="P94" s="481">
        <v>0</v>
      </c>
      <c r="Q94" s="609"/>
      <c r="R94" s="479">
        <f t="shared" si="11"/>
        <v>0</v>
      </c>
      <c r="S94" s="479">
        <f t="shared" si="12"/>
        <v>0</v>
      </c>
      <c r="T94" s="479">
        <f t="shared" si="13"/>
        <v>0</v>
      </c>
      <c r="U94" s="479">
        <f t="shared" si="14"/>
        <v>0</v>
      </c>
      <c r="V94" s="479">
        <f t="shared" si="15"/>
        <v>0</v>
      </c>
      <c r="W94" s="479">
        <v>0</v>
      </c>
      <c r="X94" s="479">
        <v>0</v>
      </c>
      <c r="Y94" s="479">
        <v>0</v>
      </c>
      <c r="Z94" s="479">
        <v>0</v>
      </c>
      <c r="AA94" s="471">
        <f t="shared" si="16"/>
        <v>0</v>
      </c>
      <c r="AB94" s="471">
        <f t="shared" si="17"/>
        <v>0</v>
      </c>
    </row>
    <row r="95" spans="1:28" x14ac:dyDescent="0.15">
      <c r="A95" s="433"/>
      <c r="B95" s="606"/>
      <c r="C95" s="606"/>
      <c r="D95" s="606"/>
      <c r="E95" s="433"/>
      <c r="F95" s="606"/>
      <c r="G95" s="484" t="s">
        <v>1577</v>
      </c>
      <c r="H95" s="606"/>
      <c r="I95" s="433"/>
      <c r="J95" s="607"/>
      <c r="K95" s="607"/>
      <c r="L95" s="608"/>
      <c r="M95" s="608"/>
      <c r="N95" s="624">
        <f>VLOOKUP(M95,'Salary Schedule'!$B$16:$N$47,L95+1,FALSE)</f>
        <v>0</v>
      </c>
      <c r="O95" s="610"/>
      <c r="P95" s="481">
        <v>0</v>
      </c>
      <c r="Q95" s="609"/>
      <c r="R95" s="479">
        <f t="shared" si="11"/>
        <v>0</v>
      </c>
      <c r="S95" s="479">
        <f t="shared" si="12"/>
        <v>0</v>
      </c>
      <c r="T95" s="479">
        <f t="shared" si="13"/>
        <v>0</v>
      </c>
      <c r="U95" s="479">
        <f t="shared" si="14"/>
        <v>0</v>
      </c>
      <c r="V95" s="479">
        <f t="shared" si="15"/>
        <v>0</v>
      </c>
      <c r="W95" s="479">
        <v>0</v>
      </c>
      <c r="X95" s="479">
        <v>0</v>
      </c>
      <c r="Y95" s="479">
        <v>0</v>
      </c>
      <c r="Z95" s="479">
        <v>0</v>
      </c>
      <c r="AA95" s="471">
        <f t="shared" si="16"/>
        <v>0</v>
      </c>
      <c r="AB95" s="471">
        <f t="shared" si="17"/>
        <v>0</v>
      </c>
    </row>
    <row r="96" spans="1:28" x14ac:dyDescent="0.15">
      <c r="A96" s="433"/>
      <c r="B96" s="606"/>
      <c r="C96" s="606"/>
      <c r="D96" s="606"/>
      <c r="E96" s="433"/>
      <c r="F96" s="606"/>
      <c r="G96" s="484" t="s">
        <v>1577</v>
      </c>
      <c r="H96" s="606"/>
      <c r="I96" s="433"/>
      <c r="J96" s="607"/>
      <c r="K96" s="607"/>
      <c r="L96" s="608"/>
      <c r="M96" s="608"/>
      <c r="N96" s="624">
        <f>VLOOKUP(M96,'Salary Schedule'!$B$16:$N$47,L96+1,FALSE)</f>
        <v>0</v>
      </c>
      <c r="O96" s="610"/>
      <c r="P96" s="481">
        <v>0</v>
      </c>
      <c r="Q96" s="609"/>
      <c r="R96" s="479">
        <f t="shared" si="11"/>
        <v>0</v>
      </c>
      <c r="S96" s="479">
        <f t="shared" si="12"/>
        <v>0</v>
      </c>
      <c r="T96" s="479">
        <f t="shared" si="13"/>
        <v>0</v>
      </c>
      <c r="U96" s="479">
        <f t="shared" si="14"/>
        <v>0</v>
      </c>
      <c r="V96" s="479">
        <f t="shared" si="15"/>
        <v>0</v>
      </c>
      <c r="W96" s="479">
        <v>0</v>
      </c>
      <c r="X96" s="479">
        <v>0</v>
      </c>
      <c r="Y96" s="479">
        <v>0</v>
      </c>
      <c r="Z96" s="479">
        <v>0</v>
      </c>
      <c r="AA96" s="471">
        <f t="shared" si="16"/>
        <v>0</v>
      </c>
      <c r="AB96" s="471">
        <f t="shared" si="17"/>
        <v>0</v>
      </c>
    </row>
    <row r="97" spans="1:28" x14ac:dyDescent="0.15">
      <c r="A97" s="433"/>
      <c r="B97" s="606"/>
      <c r="C97" s="606"/>
      <c r="D97" s="606"/>
      <c r="E97" s="433"/>
      <c r="F97" s="606"/>
      <c r="G97" s="484" t="s">
        <v>1577</v>
      </c>
      <c r="H97" s="606"/>
      <c r="I97" s="433"/>
      <c r="J97" s="607"/>
      <c r="K97" s="607"/>
      <c r="L97" s="608"/>
      <c r="M97" s="608"/>
      <c r="N97" s="624">
        <f>VLOOKUP(M97,'Salary Schedule'!$B$16:$N$47,L97+1,FALSE)</f>
        <v>0</v>
      </c>
      <c r="O97" s="610"/>
      <c r="P97" s="481">
        <v>0</v>
      </c>
      <c r="Q97" s="609"/>
      <c r="R97" s="479">
        <f t="shared" si="11"/>
        <v>0</v>
      </c>
      <c r="S97" s="479">
        <f t="shared" si="12"/>
        <v>0</v>
      </c>
      <c r="T97" s="479">
        <f t="shared" si="13"/>
        <v>0</v>
      </c>
      <c r="U97" s="479">
        <f t="shared" si="14"/>
        <v>0</v>
      </c>
      <c r="V97" s="479">
        <f t="shared" si="15"/>
        <v>0</v>
      </c>
      <c r="W97" s="479">
        <v>0</v>
      </c>
      <c r="X97" s="479">
        <v>0</v>
      </c>
      <c r="Y97" s="479">
        <v>0</v>
      </c>
      <c r="Z97" s="479">
        <v>0</v>
      </c>
      <c r="AA97" s="471">
        <f t="shared" si="16"/>
        <v>0</v>
      </c>
      <c r="AB97" s="471">
        <f t="shared" si="17"/>
        <v>0</v>
      </c>
    </row>
    <row r="98" spans="1:28" x14ac:dyDescent="0.15">
      <c r="A98" s="433"/>
      <c r="B98" s="606"/>
      <c r="C98" s="606"/>
      <c r="D98" s="606"/>
      <c r="E98" s="433"/>
      <c r="F98" s="606"/>
      <c r="G98" s="484" t="s">
        <v>1577</v>
      </c>
      <c r="H98" s="606"/>
      <c r="I98" s="433"/>
      <c r="J98" s="607"/>
      <c r="K98" s="607"/>
      <c r="L98" s="608"/>
      <c r="M98" s="608"/>
      <c r="N98" s="624">
        <f>VLOOKUP(M98,'Salary Schedule'!$B$16:$N$47,L98+1,FALSE)</f>
        <v>0</v>
      </c>
      <c r="O98" s="610"/>
      <c r="P98" s="481">
        <v>0</v>
      </c>
      <c r="Q98" s="609"/>
      <c r="R98" s="479">
        <f t="shared" si="11"/>
        <v>0</v>
      </c>
      <c r="S98" s="479">
        <f t="shared" si="12"/>
        <v>0</v>
      </c>
      <c r="T98" s="479">
        <f t="shared" si="13"/>
        <v>0</v>
      </c>
      <c r="U98" s="479">
        <f t="shared" si="14"/>
        <v>0</v>
      </c>
      <c r="V98" s="479">
        <f t="shared" si="15"/>
        <v>0</v>
      </c>
      <c r="W98" s="479">
        <v>0</v>
      </c>
      <c r="X98" s="479">
        <v>0</v>
      </c>
      <c r="Y98" s="479">
        <v>0</v>
      </c>
      <c r="Z98" s="479">
        <v>0</v>
      </c>
      <c r="AA98" s="471">
        <f t="shared" si="16"/>
        <v>0</v>
      </c>
      <c r="AB98" s="471">
        <f t="shared" si="17"/>
        <v>0</v>
      </c>
    </row>
    <row r="99" spans="1:28" x14ac:dyDescent="0.15">
      <c r="A99" s="433"/>
      <c r="B99" s="606"/>
      <c r="C99" s="606"/>
      <c r="D99" s="606"/>
      <c r="E99" s="433"/>
      <c r="F99" s="606"/>
      <c r="G99" s="484" t="s">
        <v>1577</v>
      </c>
      <c r="H99" s="606"/>
      <c r="I99" s="433"/>
      <c r="J99" s="607"/>
      <c r="K99" s="607"/>
      <c r="L99" s="608"/>
      <c r="M99" s="608"/>
      <c r="N99" s="624">
        <f>VLOOKUP(M99,'Salary Schedule'!$B$16:$N$47,L99+1,FALSE)</f>
        <v>0</v>
      </c>
      <c r="O99" s="610"/>
      <c r="P99" s="481">
        <v>0</v>
      </c>
      <c r="Q99" s="609"/>
      <c r="R99" s="479">
        <f t="shared" si="11"/>
        <v>0</v>
      </c>
      <c r="S99" s="479">
        <f t="shared" si="12"/>
        <v>0</v>
      </c>
      <c r="T99" s="479">
        <f t="shared" si="13"/>
        <v>0</v>
      </c>
      <c r="U99" s="479">
        <f t="shared" si="14"/>
        <v>0</v>
      </c>
      <c r="V99" s="479">
        <f t="shared" si="15"/>
        <v>0</v>
      </c>
      <c r="W99" s="479">
        <v>0</v>
      </c>
      <c r="X99" s="479">
        <v>0</v>
      </c>
      <c r="Y99" s="479">
        <v>0</v>
      </c>
      <c r="Z99" s="479">
        <v>0</v>
      </c>
      <c r="AA99" s="471">
        <f t="shared" si="16"/>
        <v>0</v>
      </c>
      <c r="AB99" s="471">
        <f t="shared" si="17"/>
        <v>0</v>
      </c>
    </row>
    <row r="100" spans="1:28" x14ac:dyDescent="0.15">
      <c r="A100" s="433"/>
      <c r="B100" s="606"/>
      <c r="C100" s="606"/>
      <c r="D100" s="606"/>
      <c r="E100" s="433"/>
      <c r="F100" s="606"/>
      <c r="G100" s="484" t="s">
        <v>1577</v>
      </c>
      <c r="H100" s="606"/>
      <c r="I100" s="433"/>
      <c r="J100" s="607"/>
      <c r="K100" s="607"/>
      <c r="L100" s="608"/>
      <c r="M100" s="608"/>
      <c r="N100" s="624">
        <f>VLOOKUP(M100,'Salary Schedule'!$B$16:$N$47,L100+1,FALSE)</f>
        <v>0</v>
      </c>
      <c r="O100" s="610"/>
      <c r="P100" s="481">
        <v>0</v>
      </c>
      <c r="Q100" s="609"/>
      <c r="R100" s="479">
        <f t="shared" si="11"/>
        <v>0</v>
      </c>
      <c r="S100" s="479">
        <f t="shared" si="12"/>
        <v>0</v>
      </c>
      <c r="T100" s="479">
        <f t="shared" si="13"/>
        <v>0</v>
      </c>
      <c r="U100" s="479">
        <f t="shared" si="14"/>
        <v>0</v>
      </c>
      <c r="V100" s="479">
        <f t="shared" si="15"/>
        <v>0</v>
      </c>
      <c r="W100" s="479">
        <v>0</v>
      </c>
      <c r="X100" s="479">
        <v>0</v>
      </c>
      <c r="Y100" s="479">
        <v>0</v>
      </c>
      <c r="Z100" s="479">
        <v>0</v>
      </c>
      <c r="AA100" s="471">
        <f t="shared" si="16"/>
        <v>0</v>
      </c>
      <c r="AB100" s="471">
        <f t="shared" si="17"/>
        <v>0</v>
      </c>
    </row>
    <row r="101" spans="1:28" x14ac:dyDescent="0.15">
      <c r="A101" s="433"/>
      <c r="B101" s="606"/>
      <c r="C101" s="606"/>
      <c r="D101" s="606"/>
      <c r="E101" s="433"/>
      <c r="F101" s="606"/>
      <c r="G101" s="484" t="s">
        <v>1577</v>
      </c>
      <c r="H101" s="606"/>
      <c r="I101" s="433"/>
      <c r="J101" s="607"/>
      <c r="K101" s="607"/>
      <c r="L101" s="608"/>
      <c r="M101" s="608"/>
      <c r="N101" s="624">
        <f>VLOOKUP(M101,'Salary Schedule'!$B$16:$N$47,L101+1,FALSE)</f>
        <v>0</v>
      </c>
      <c r="O101" s="610"/>
      <c r="P101" s="481">
        <v>0</v>
      </c>
      <c r="Q101" s="609"/>
      <c r="R101" s="479">
        <f t="shared" si="11"/>
        <v>0</v>
      </c>
      <c r="S101" s="479">
        <f t="shared" si="12"/>
        <v>0</v>
      </c>
      <c r="T101" s="479">
        <f t="shared" si="13"/>
        <v>0</v>
      </c>
      <c r="U101" s="479">
        <f t="shared" si="14"/>
        <v>0</v>
      </c>
      <c r="V101" s="479">
        <f t="shared" si="15"/>
        <v>0</v>
      </c>
      <c r="W101" s="479">
        <v>0</v>
      </c>
      <c r="X101" s="479">
        <v>0</v>
      </c>
      <c r="Y101" s="479">
        <v>0</v>
      </c>
      <c r="Z101" s="479">
        <v>0</v>
      </c>
      <c r="AA101" s="471">
        <f t="shared" si="16"/>
        <v>0</v>
      </c>
      <c r="AB101" s="471">
        <f t="shared" si="17"/>
        <v>0</v>
      </c>
    </row>
    <row r="102" spans="1:28" x14ac:dyDescent="0.15">
      <c r="A102" s="433"/>
      <c r="B102" s="606"/>
      <c r="C102" s="606"/>
      <c r="D102" s="606"/>
      <c r="E102" s="433"/>
      <c r="F102" s="606"/>
      <c r="G102" s="484" t="s">
        <v>1577</v>
      </c>
      <c r="H102" s="606"/>
      <c r="I102" s="433"/>
      <c r="J102" s="607"/>
      <c r="K102" s="607"/>
      <c r="L102" s="608"/>
      <c r="M102" s="608"/>
      <c r="N102" s="624">
        <f>VLOOKUP(M102,'Salary Schedule'!$B$16:$N$47,L102+1,FALSE)</f>
        <v>0</v>
      </c>
      <c r="O102" s="610"/>
      <c r="P102" s="481">
        <v>0</v>
      </c>
      <c r="Q102" s="609"/>
      <c r="R102" s="479">
        <f t="shared" si="11"/>
        <v>0</v>
      </c>
      <c r="S102" s="479">
        <f t="shared" si="12"/>
        <v>0</v>
      </c>
      <c r="T102" s="479">
        <f t="shared" si="13"/>
        <v>0</v>
      </c>
      <c r="U102" s="479">
        <f t="shared" si="14"/>
        <v>0</v>
      </c>
      <c r="V102" s="479">
        <f t="shared" si="15"/>
        <v>0</v>
      </c>
      <c r="W102" s="479">
        <v>0</v>
      </c>
      <c r="X102" s="479">
        <v>0</v>
      </c>
      <c r="Y102" s="479">
        <v>0</v>
      </c>
      <c r="Z102" s="479">
        <v>0</v>
      </c>
      <c r="AA102" s="471">
        <f t="shared" si="16"/>
        <v>0</v>
      </c>
      <c r="AB102" s="471">
        <f t="shared" si="17"/>
        <v>0</v>
      </c>
    </row>
    <row r="103" spans="1:28" x14ac:dyDescent="0.15">
      <c r="A103" s="433"/>
      <c r="B103" s="606"/>
      <c r="C103" s="606"/>
      <c r="D103" s="606"/>
      <c r="E103" s="433"/>
      <c r="F103" s="606"/>
      <c r="G103" s="484" t="s">
        <v>1577</v>
      </c>
      <c r="H103" s="606"/>
      <c r="I103" s="433"/>
      <c r="J103" s="607"/>
      <c r="K103" s="607"/>
      <c r="L103" s="608"/>
      <c r="M103" s="608"/>
      <c r="N103" s="624">
        <f>VLOOKUP(M103,'Salary Schedule'!$B$16:$N$47,L103+1,FALSE)</f>
        <v>0</v>
      </c>
      <c r="O103" s="610"/>
      <c r="P103" s="481">
        <v>0</v>
      </c>
      <c r="Q103" s="609"/>
      <c r="R103" s="479">
        <f t="shared" si="11"/>
        <v>0</v>
      </c>
      <c r="S103" s="479">
        <f t="shared" si="12"/>
        <v>0</v>
      </c>
      <c r="T103" s="479">
        <f t="shared" si="13"/>
        <v>0</v>
      </c>
      <c r="U103" s="479">
        <f t="shared" si="14"/>
        <v>0</v>
      </c>
      <c r="V103" s="479">
        <f t="shared" si="15"/>
        <v>0</v>
      </c>
      <c r="W103" s="479">
        <v>0</v>
      </c>
      <c r="X103" s="479">
        <v>0</v>
      </c>
      <c r="Y103" s="479">
        <v>0</v>
      </c>
      <c r="Z103" s="479">
        <v>0</v>
      </c>
      <c r="AA103" s="471">
        <f t="shared" si="16"/>
        <v>0</v>
      </c>
      <c r="AB103" s="471">
        <f t="shared" si="17"/>
        <v>0</v>
      </c>
    </row>
    <row r="104" spans="1:28" x14ac:dyDescent="0.15">
      <c r="A104" s="433"/>
      <c r="B104" s="606"/>
      <c r="C104" s="606"/>
      <c r="D104" s="606"/>
      <c r="E104" s="433"/>
      <c r="F104" s="606"/>
      <c r="G104" s="484" t="s">
        <v>1577</v>
      </c>
      <c r="H104" s="606"/>
      <c r="I104" s="433"/>
      <c r="J104" s="607"/>
      <c r="K104" s="607"/>
      <c r="L104" s="608"/>
      <c r="M104" s="608"/>
      <c r="N104" s="624">
        <f>VLOOKUP(M104,'Salary Schedule'!$B$16:$N$47,L104+1,FALSE)</f>
        <v>0</v>
      </c>
      <c r="O104" s="610"/>
      <c r="P104" s="481">
        <v>0</v>
      </c>
      <c r="Q104" s="609"/>
      <c r="R104" s="479">
        <f t="shared" si="11"/>
        <v>0</v>
      </c>
      <c r="S104" s="479">
        <f t="shared" si="12"/>
        <v>0</v>
      </c>
      <c r="T104" s="479">
        <f t="shared" si="13"/>
        <v>0</v>
      </c>
      <c r="U104" s="479">
        <f t="shared" si="14"/>
        <v>0</v>
      </c>
      <c r="V104" s="479">
        <f t="shared" si="15"/>
        <v>0</v>
      </c>
      <c r="W104" s="479">
        <v>0</v>
      </c>
      <c r="X104" s="479">
        <v>0</v>
      </c>
      <c r="Y104" s="479">
        <v>0</v>
      </c>
      <c r="Z104" s="479">
        <v>0</v>
      </c>
      <c r="AA104" s="471">
        <f t="shared" si="16"/>
        <v>0</v>
      </c>
      <c r="AB104" s="471">
        <f t="shared" si="17"/>
        <v>0</v>
      </c>
    </row>
    <row r="105" spans="1:28" x14ac:dyDescent="0.15">
      <c r="A105" s="433"/>
      <c r="B105" s="606"/>
      <c r="C105" s="606"/>
      <c r="D105" s="606"/>
      <c r="E105" s="433"/>
      <c r="F105" s="606"/>
      <c r="G105" s="484" t="s">
        <v>1577</v>
      </c>
      <c r="H105" s="606"/>
      <c r="I105" s="433"/>
      <c r="J105" s="607"/>
      <c r="K105" s="607"/>
      <c r="L105" s="608"/>
      <c r="M105" s="608"/>
      <c r="N105" s="624">
        <f>VLOOKUP(M105,'Salary Schedule'!$B$16:$N$47,L105+1,FALSE)</f>
        <v>0</v>
      </c>
      <c r="O105" s="610"/>
      <c r="P105" s="481">
        <v>0</v>
      </c>
      <c r="Q105" s="609"/>
      <c r="R105" s="479">
        <f t="shared" si="11"/>
        <v>0</v>
      </c>
      <c r="S105" s="479">
        <f t="shared" si="12"/>
        <v>0</v>
      </c>
      <c r="T105" s="479">
        <f t="shared" si="13"/>
        <v>0</v>
      </c>
      <c r="U105" s="479">
        <f t="shared" si="14"/>
        <v>0</v>
      </c>
      <c r="V105" s="479">
        <f t="shared" si="15"/>
        <v>0</v>
      </c>
      <c r="W105" s="479">
        <v>0</v>
      </c>
      <c r="X105" s="479">
        <v>0</v>
      </c>
      <c r="Y105" s="479">
        <v>0</v>
      </c>
      <c r="Z105" s="479">
        <v>0</v>
      </c>
      <c r="AA105" s="471">
        <f t="shared" si="16"/>
        <v>0</v>
      </c>
      <c r="AB105" s="471">
        <f t="shared" si="17"/>
        <v>0</v>
      </c>
    </row>
    <row r="106" spans="1:28" x14ac:dyDescent="0.15">
      <c r="A106" s="433"/>
      <c r="B106" s="606"/>
      <c r="C106" s="606"/>
      <c r="D106" s="606"/>
      <c r="E106" s="433"/>
      <c r="F106" s="606"/>
      <c r="G106" s="484" t="s">
        <v>1577</v>
      </c>
      <c r="H106" s="606"/>
      <c r="I106" s="433"/>
      <c r="J106" s="607"/>
      <c r="K106" s="607"/>
      <c r="L106" s="608"/>
      <c r="M106" s="608"/>
      <c r="N106" s="624">
        <f>VLOOKUP(M106,'Salary Schedule'!$B$16:$N$47,L106+1,FALSE)</f>
        <v>0</v>
      </c>
      <c r="O106" s="610"/>
      <c r="P106" s="481">
        <v>0</v>
      </c>
      <c r="Q106" s="609"/>
      <c r="R106" s="479">
        <f t="shared" si="11"/>
        <v>0</v>
      </c>
      <c r="S106" s="479">
        <f t="shared" si="12"/>
        <v>0</v>
      </c>
      <c r="T106" s="479">
        <f t="shared" si="13"/>
        <v>0</v>
      </c>
      <c r="U106" s="479">
        <f t="shared" si="14"/>
        <v>0</v>
      </c>
      <c r="V106" s="479">
        <f t="shared" si="15"/>
        <v>0</v>
      </c>
      <c r="W106" s="479">
        <v>0</v>
      </c>
      <c r="X106" s="479">
        <v>0</v>
      </c>
      <c r="Y106" s="479">
        <v>0</v>
      </c>
      <c r="Z106" s="479">
        <v>0</v>
      </c>
      <c r="AA106" s="471">
        <f t="shared" si="16"/>
        <v>0</v>
      </c>
      <c r="AB106" s="471">
        <f t="shared" si="17"/>
        <v>0</v>
      </c>
    </row>
    <row r="107" spans="1:28" x14ac:dyDescent="0.15">
      <c r="A107" s="433"/>
      <c r="B107" s="606"/>
      <c r="C107" s="606"/>
      <c r="D107" s="606"/>
      <c r="E107" s="433"/>
      <c r="F107" s="606"/>
      <c r="G107" s="484" t="s">
        <v>1577</v>
      </c>
      <c r="H107" s="606"/>
      <c r="I107" s="433"/>
      <c r="J107" s="607"/>
      <c r="K107" s="607"/>
      <c r="L107" s="608"/>
      <c r="M107" s="608"/>
      <c r="N107" s="624">
        <f>VLOOKUP(M107,'Salary Schedule'!$B$16:$N$47,L107+1,FALSE)</f>
        <v>0</v>
      </c>
      <c r="O107" s="610"/>
      <c r="P107" s="481">
        <v>0</v>
      </c>
      <c r="Q107" s="609"/>
      <c r="R107" s="479">
        <f t="shared" si="11"/>
        <v>0</v>
      </c>
      <c r="S107" s="479">
        <f t="shared" si="12"/>
        <v>0</v>
      </c>
      <c r="T107" s="479">
        <f t="shared" si="13"/>
        <v>0</v>
      </c>
      <c r="U107" s="479">
        <f t="shared" si="14"/>
        <v>0</v>
      </c>
      <c r="V107" s="479">
        <f t="shared" si="15"/>
        <v>0</v>
      </c>
      <c r="W107" s="479">
        <v>0</v>
      </c>
      <c r="X107" s="479">
        <v>0</v>
      </c>
      <c r="Y107" s="479">
        <v>0</v>
      </c>
      <c r="Z107" s="479">
        <v>0</v>
      </c>
      <c r="AA107" s="471">
        <f t="shared" si="16"/>
        <v>0</v>
      </c>
      <c r="AB107" s="471">
        <f t="shared" si="17"/>
        <v>0</v>
      </c>
    </row>
    <row r="108" spans="1:28" x14ac:dyDescent="0.15">
      <c r="A108" s="433"/>
      <c r="B108" s="606"/>
      <c r="C108" s="606"/>
      <c r="D108" s="606"/>
      <c r="E108" s="433"/>
      <c r="F108" s="606"/>
      <c r="G108" s="484" t="s">
        <v>1577</v>
      </c>
      <c r="H108" s="606"/>
      <c r="I108" s="433"/>
      <c r="J108" s="607"/>
      <c r="K108" s="607"/>
      <c r="L108" s="608"/>
      <c r="M108" s="608"/>
      <c r="N108" s="624">
        <f>VLOOKUP(M108,'Salary Schedule'!$B$16:$N$47,L108+1,FALSE)</f>
        <v>0</v>
      </c>
      <c r="O108" s="610"/>
      <c r="P108" s="481">
        <v>0</v>
      </c>
      <c r="Q108" s="609"/>
      <c r="R108" s="479">
        <f t="shared" si="11"/>
        <v>0</v>
      </c>
      <c r="S108" s="479">
        <f t="shared" si="12"/>
        <v>0</v>
      </c>
      <c r="T108" s="479">
        <f t="shared" si="13"/>
        <v>0</v>
      </c>
      <c r="U108" s="479">
        <f t="shared" si="14"/>
        <v>0</v>
      </c>
      <c r="V108" s="479">
        <f t="shared" si="15"/>
        <v>0</v>
      </c>
      <c r="W108" s="479">
        <v>0</v>
      </c>
      <c r="X108" s="479">
        <v>0</v>
      </c>
      <c r="Y108" s="479">
        <v>0</v>
      </c>
      <c r="Z108" s="479">
        <v>0</v>
      </c>
      <c r="AA108" s="471">
        <f t="shared" si="16"/>
        <v>0</v>
      </c>
      <c r="AB108" s="471">
        <f t="shared" si="17"/>
        <v>0</v>
      </c>
    </row>
    <row r="109" spans="1:28" x14ac:dyDescent="0.15">
      <c r="A109" s="433"/>
      <c r="B109" s="606"/>
      <c r="C109" s="606"/>
      <c r="D109" s="606"/>
      <c r="E109" s="433"/>
      <c r="F109" s="606"/>
      <c r="G109" s="484" t="s">
        <v>1577</v>
      </c>
      <c r="H109" s="606"/>
      <c r="I109" s="433"/>
      <c r="J109" s="607"/>
      <c r="K109" s="607"/>
      <c r="L109" s="608"/>
      <c r="M109" s="608"/>
      <c r="N109" s="624">
        <f>VLOOKUP(M109,'Salary Schedule'!$B$16:$N$47,L109+1,FALSE)</f>
        <v>0</v>
      </c>
      <c r="O109" s="610"/>
      <c r="P109" s="481">
        <v>0</v>
      </c>
      <c r="Q109" s="609"/>
      <c r="R109" s="479">
        <f t="shared" si="11"/>
        <v>0</v>
      </c>
      <c r="S109" s="479">
        <f t="shared" si="12"/>
        <v>0</v>
      </c>
      <c r="T109" s="479">
        <f t="shared" si="13"/>
        <v>0</v>
      </c>
      <c r="U109" s="479">
        <f t="shared" si="14"/>
        <v>0</v>
      </c>
      <c r="V109" s="479">
        <f t="shared" si="15"/>
        <v>0</v>
      </c>
      <c r="W109" s="479">
        <v>0</v>
      </c>
      <c r="X109" s="479">
        <v>0</v>
      </c>
      <c r="Y109" s="479">
        <v>0</v>
      </c>
      <c r="Z109" s="479">
        <v>0</v>
      </c>
      <c r="AA109" s="471">
        <f t="shared" si="16"/>
        <v>0</v>
      </c>
      <c r="AB109" s="471">
        <f t="shared" si="17"/>
        <v>0</v>
      </c>
    </row>
    <row r="110" spans="1:28" x14ac:dyDescent="0.15">
      <c r="A110" s="433"/>
      <c r="B110" s="606"/>
      <c r="C110" s="606"/>
      <c r="D110" s="606"/>
      <c r="E110" s="433"/>
      <c r="F110" s="606"/>
      <c r="G110" s="484" t="s">
        <v>1577</v>
      </c>
      <c r="H110" s="606"/>
      <c r="I110" s="433"/>
      <c r="J110" s="607"/>
      <c r="K110" s="607"/>
      <c r="L110" s="608"/>
      <c r="M110" s="608"/>
      <c r="N110" s="624">
        <f>VLOOKUP(M110,'Salary Schedule'!$B$16:$N$47,L110+1,FALSE)</f>
        <v>0</v>
      </c>
      <c r="O110" s="610"/>
      <c r="P110" s="481">
        <v>0</v>
      </c>
      <c r="Q110" s="609"/>
      <c r="R110" s="479">
        <f t="shared" si="11"/>
        <v>0</v>
      </c>
      <c r="S110" s="479">
        <f t="shared" si="12"/>
        <v>0</v>
      </c>
      <c r="T110" s="479">
        <f t="shared" si="13"/>
        <v>0</v>
      </c>
      <c r="U110" s="479">
        <f t="shared" si="14"/>
        <v>0</v>
      </c>
      <c r="V110" s="479">
        <f t="shared" si="15"/>
        <v>0</v>
      </c>
      <c r="W110" s="479">
        <v>0</v>
      </c>
      <c r="X110" s="479">
        <v>0</v>
      </c>
      <c r="Y110" s="479">
        <v>0</v>
      </c>
      <c r="Z110" s="479">
        <v>0</v>
      </c>
      <c r="AA110" s="471">
        <f t="shared" si="16"/>
        <v>0</v>
      </c>
      <c r="AB110" s="471">
        <f t="shared" si="17"/>
        <v>0</v>
      </c>
    </row>
    <row r="111" spans="1:28" x14ac:dyDescent="0.15">
      <c r="A111" s="433"/>
      <c r="B111" s="606"/>
      <c r="C111" s="606"/>
      <c r="D111" s="606"/>
      <c r="E111" s="433"/>
      <c r="F111" s="606"/>
      <c r="G111" s="484" t="s">
        <v>1577</v>
      </c>
      <c r="H111" s="606"/>
      <c r="I111" s="433"/>
      <c r="J111" s="607"/>
      <c r="K111" s="607"/>
      <c r="L111" s="608"/>
      <c r="M111" s="608"/>
      <c r="N111" s="624">
        <f>VLOOKUP(M111,'Salary Schedule'!$B$16:$N$47,L111+1,FALSE)</f>
        <v>0</v>
      </c>
      <c r="O111" s="610"/>
      <c r="P111" s="481">
        <v>0</v>
      </c>
      <c r="Q111" s="609"/>
      <c r="R111" s="479">
        <f t="shared" si="11"/>
        <v>0</v>
      </c>
      <c r="S111" s="479">
        <f t="shared" si="12"/>
        <v>0</v>
      </c>
      <c r="T111" s="479">
        <f t="shared" si="13"/>
        <v>0</v>
      </c>
      <c r="U111" s="479">
        <f t="shared" si="14"/>
        <v>0</v>
      </c>
      <c r="V111" s="479">
        <f t="shared" si="15"/>
        <v>0</v>
      </c>
      <c r="W111" s="479">
        <v>0</v>
      </c>
      <c r="X111" s="479">
        <v>0</v>
      </c>
      <c r="Y111" s="479">
        <v>0</v>
      </c>
      <c r="Z111" s="479">
        <v>0</v>
      </c>
      <c r="AA111" s="471">
        <f t="shared" si="16"/>
        <v>0</v>
      </c>
      <c r="AB111" s="471">
        <f t="shared" si="17"/>
        <v>0</v>
      </c>
    </row>
    <row r="112" spans="1:28" x14ac:dyDescent="0.15">
      <c r="A112" s="433"/>
      <c r="B112" s="606"/>
      <c r="C112" s="606"/>
      <c r="D112" s="606"/>
      <c r="E112" s="433"/>
      <c r="F112" s="606"/>
      <c r="G112" s="484" t="s">
        <v>1577</v>
      </c>
      <c r="H112" s="606"/>
      <c r="I112" s="433"/>
      <c r="J112" s="607"/>
      <c r="K112" s="607"/>
      <c r="L112" s="608"/>
      <c r="M112" s="608"/>
      <c r="N112" s="624">
        <f>VLOOKUP(M112,'Salary Schedule'!$B$16:$N$47,L112+1,FALSE)</f>
        <v>0</v>
      </c>
      <c r="O112" s="610"/>
      <c r="P112" s="481">
        <v>0</v>
      </c>
      <c r="Q112" s="609"/>
      <c r="R112" s="479">
        <f t="shared" si="11"/>
        <v>0</v>
      </c>
      <c r="S112" s="479">
        <f t="shared" si="12"/>
        <v>0</v>
      </c>
      <c r="T112" s="479">
        <f t="shared" si="13"/>
        <v>0</v>
      </c>
      <c r="U112" s="479">
        <f t="shared" si="14"/>
        <v>0</v>
      </c>
      <c r="V112" s="479">
        <f t="shared" si="15"/>
        <v>0</v>
      </c>
      <c r="W112" s="479">
        <v>0</v>
      </c>
      <c r="X112" s="479">
        <v>0</v>
      </c>
      <c r="Y112" s="479">
        <v>0</v>
      </c>
      <c r="Z112" s="479">
        <v>0</v>
      </c>
      <c r="AA112" s="471">
        <f t="shared" si="16"/>
        <v>0</v>
      </c>
      <c r="AB112" s="471">
        <f t="shared" si="17"/>
        <v>0</v>
      </c>
    </row>
    <row r="113" spans="1:28" x14ac:dyDescent="0.15">
      <c r="A113" s="433"/>
      <c r="B113" s="606"/>
      <c r="C113" s="606"/>
      <c r="D113" s="606"/>
      <c r="E113" s="433"/>
      <c r="F113" s="606"/>
      <c r="G113" s="484" t="s">
        <v>1577</v>
      </c>
      <c r="H113" s="606"/>
      <c r="I113" s="433"/>
      <c r="J113" s="607"/>
      <c r="K113" s="607"/>
      <c r="L113" s="608"/>
      <c r="M113" s="608"/>
      <c r="N113" s="624">
        <f>VLOOKUP(M113,'Salary Schedule'!$B$16:$N$47,L113+1,FALSE)</f>
        <v>0</v>
      </c>
      <c r="O113" s="610"/>
      <c r="P113" s="481">
        <v>0</v>
      </c>
      <c r="Q113" s="609"/>
      <c r="R113" s="479">
        <f t="shared" si="11"/>
        <v>0</v>
      </c>
      <c r="S113" s="479">
        <f t="shared" si="12"/>
        <v>0</v>
      </c>
      <c r="T113" s="479">
        <f t="shared" si="13"/>
        <v>0</v>
      </c>
      <c r="U113" s="479">
        <f t="shared" si="14"/>
        <v>0</v>
      </c>
      <c r="V113" s="479">
        <f t="shared" si="15"/>
        <v>0</v>
      </c>
      <c r="W113" s="479">
        <v>0</v>
      </c>
      <c r="X113" s="479">
        <v>0</v>
      </c>
      <c r="Y113" s="479">
        <v>0</v>
      </c>
      <c r="Z113" s="479">
        <v>0</v>
      </c>
      <c r="AA113" s="471">
        <f t="shared" si="16"/>
        <v>0</v>
      </c>
      <c r="AB113" s="471">
        <f t="shared" si="17"/>
        <v>0</v>
      </c>
    </row>
    <row r="114" spans="1:28" x14ac:dyDescent="0.15">
      <c r="A114" s="433"/>
      <c r="B114" s="606"/>
      <c r="C114" s="606"/>
      <c r="D114" s="606"/>
      <c r="E114" s="433"/>
      <c r="F114" s="606"/>
      <c r="G114" s="484" t="s">
        <v>1577</v>
      </c>
      <c r="H114" s="606"/>
      <c r="I114" s="433"/>
      <c r="J114" s="607"/>
      <c r="K114" s="607"/>
      <c r="L114" s="608"/>
      <c r="M114" s="608"/>
      <c r="N114" s="624">
        <f>VLOOKUP(M114,'Salary Schedule'!$B$16:$N$47,L114+1,FALSE)</f>
        <v>0</v>
      </c>
      <c r="O114" s="610"/>
      <c r="P114" s="481">
        <v>0</v>
      </c>
      <c r="Q114" s="609"/>
      <c r="R114" s="479">
        <f t="shared" si="11"/>
        <v>0</v>
      </c>
      <c r="S114" s="479">
        <f t="shared" si="12"/>
        <v>0</v>
      </c>
      <c r="T114" s="479">
        <f t="shared" si="13"/>
        <v>0</v>
      </c>
      <c r="U114" s="479">
        <f t="shared" si="14"/>
        <v>0</v>
      </c>
      <c r="V114" s="479">
        <f t="shared" si="15"/>
        <v>0</v>
      </c>
      <c r="W114" s="479">
        <v>0</v>
      </c>
      <c r="X114" s="479">
        <v>0</v>
      </c>
      <c r="Y114" s="479">
        <v>0</v>
      </c>
      <c r="Z114" s="479">
        <v>0</v>
      </c>
      <c r="AA114" s="471">
        <f t="shared" si="16"/>
        <v>0</v>
      </c>
      <c r="AB114" s="471">
        <f t="shared" si="17"/>
        <v>0</v>
      </c>
    </row>
    <row r="115" spans="1:28" x14ac:dyDescent="0.15">
      <c r="A115" s="433"/>
      <c r="B115" s="606"/>
      <c r="C115" s="606"/>
      <c r="D115" s="606"/>
      <c r="E115" s="433"/>
      <c r="F115" s="606"/>
      <c r="G115" s="484" t="s">
        <v>1577</v>
      </c>
      <c r="H115" s="606"/>
      <c r="I115" s="433"/>
      <c r="J115" s="607"/>
      <c r="K115" s="607"/>
      <c r="L115" s="608"/>
      <c r="M115" s="608"/>
      <c r="N115" s="624">
        <f>VLOOKUP(M115,'Salary Schedule'!$B$16:$N$47,L115+1,FALSE)</f>
        <v>0</v>
      </c>
      <c r="O115" s="610"/>
      <c r="P115" s="481">
        <v>0</v>
      </c>
      <c r="Q115" s="609"/>
      <c r="R115" s="479">
        <f t="shared" si="11"/>
        <v>0</v>
      </c>
      <c r="S115" s="479">
        <f t="shared" si="12"/>
        <v>0</v>
      </c>
      <c r="T115" s="479">
        <f t="shared" si="13"/>
        <v>0</v>
      </c>
      <c r="U115" s="479">
        <f t="shared" si="14"/>
        <v>0</v>
      </c>
      <c r="V115" s="479">
        <f t="shared" si="15"/>
        <v>0</v>
      </c>
      <c r="W115" s="479">
        <v>0</v>
      </c>
      <c r="X115" s="479">
        <v>0</v>
      </c>
      <c r="Y115" s="479">
        <v>0</v>
      </c>
      <c r="Z115" s="479">
        <v>0</v>
      </c>
      <c r="AA115" s="471">
        <f t="shared" si="16"/>
        <v>0</v>
      </c>
      <c r="AB115" s="471">
        <f t="shared" si="17"/>
        <v>0</v>
      </c>
    </row>
    <row r="116" spans="1:28" x14ac:dyDescent="0.15">
      <c r="A116" s="433"/>
      <c r="B116" s="606"/>
      <c r="C116" s="606"/>
      <c r="D116" s="606"/>
      <c r="E116" s="433"/>
      <c r="F116" s="606"/>
      <c r="G116" s="484" t="s">
        <v>1577</v>
      </c>
      <c r="H116" s="606"/>
      <c r="I116" s="433"/>
      <c r="J116" s="607"/>
      <c r="K116" s="607"/>
      <c r="L116" s="608"/>
      <c r="M116" s="608"/>
      <c r="N116" s="624">
        <f>VLOOKUP(M116,'Salary Schedule'!$B$16:$N$47,L116+1,FALSE)</f>
        <v>0</v>
      </c>
      <c r="O116" s="610"/>
      <c r="P116" s="481">
        <v>0</v>
      </c>
      <c r="Q116" s="609"/>
      <c r="R116" s="479">
        <f t="shared" si="11"/>
        <v>0</v>
      </c>
      <c r="S116" s="479">
        <f t="shared" si="12"/>
        <v>0</v>
      </c>
      <c r="T116" s="479">
        <f t="shared" si="13"/>
        <v>0</v>
      </c>
      <c r="U116" s="479">
        <f t="shared" si="14"/>
        <v>0</v>
      </c>
      <c r="V116" s="479">
        <f t="shared" si="15"/>
        <v>0</v>
      </c>
      <c r="W116" s="479">
        <v>0</v>
      </c>
      <c r="X116" s="479">
        <v>0</v>
      </c>
      <c r="Y116" s="479">
        <v>0</v>
      </c>
      <c r="Z116" s="479">
        <v>0</v>
      </c>
      <c r="AA116" s="471">
        <f t="shared" si="16"/>
        <v>0</v>
      </c>
      <c r="AB116" s="471">
        <f t="shared" si="17"/>
        <v>0</v>
      </c>
    </row>
    <row r="117" spans="1:28" x14ac:dyDescent="0.15">
      <c r="A117" s="433"/>
      <c r="B117" s="606"/>
      <c r="C117" s="606"/>
      <c r="D117" s="606"/>
      <c r="E117" s="433"/>
      <c r="F117" s="606"/>
      <c r="G117" s="484" t="s">
        <v>1577</v>
      </c>
      <c r="H117" s="606"/>
      <c r="I117" s="433"/>
      <c r="J117" s="607"/>
      <c r="K117" s="607"/>
      <c r="L117" s="608"/>
      <c r="M117" s="608"/>
      <c r="N117" s="624">
        <f>VLOOKUP(M117,'Salary Schedule'!$B$16:$N$47,L117+1,FALSE)</f>
        <v>0</v>
      </c>
      <c r="O117" s="610"/>
      <c r="P117" s="481">
        <v>0</v>
      </c>
      <c r="Q117" s="609"/>
      <c r="R117" s="479">
        <f t="shared" si="11"/>
        <v>0</v>
      </c>
      <c r="S117" s="479">
        <f t="shared" si="12"/>
        <v>0</v>
      </c>
      <c r="T117" s="479">
        <f t="shared" si="13"/>
        <v>0</v>
      </c>
      <c r="U117" s="479">
        <f t="shared" si="14"/>
        <v>0</v>
      </c>
      <c r="V117" s="479">
        <f t="shared" si="15"/>
        <v>0</v>
      </c>
      <c r="W117" s="479">
        <v>0</v>
      </c>
      <c r="X117" s="479">
        <v>0</v>
      </c>
      <c r="Y117" s="479">
        <v>0</v>
      </c>
      <c r="Z117" s="479">
        <v>0</v>
      </c>
      <c r="AA117" s="471">
        <f t="shared" si="16"/>
        <v>0</v>
      </c>
      <c r="AB117" s="471">
        <f t="shared" si="17"/>
        <v>0</v>
      </c>
    </row>
    <row r="118" spans="1:28" x14ac:dyDescent="0.15">
      <c r="A118" s="433"/>
      <c r="B118" s="606"/>
      <c r="C118" s="606"/>
      <c r="D118" s="606"/>
      <c r="E118" s="433"/>
      <c r="F118" s="606"/>
      <c r="G118" s="484" t="s">
        <v>1577</v>
      </c>
      <c r="H118" s="606"/>
      <c r="I118" s="433"/>
      <c r="J118" s="607"/>
      <c r="K118" s="607"/>
      <c r="L118" s="608"/>
      <c r="M118" s="608"/>
      <c r="N118" s="624">
        <f>VLOOKUP(M118,'Salary Schedule'!$B$16:$N$47,L118+1,FALSE)</f>
        <v>0</v>
      </c>
      <c r="O118" s="610"/>
      <c r="P118" s="481">
        <v>0</v>
      </c>
      <c r="Q118" s="609"/>
      <c r="R118" s="479">
        <f t="shared" si="11"/>
        <v>0</v>
      </c>
      <c r="S118" s="479">
        <f t="shared" si="12"/>
        <v>0</v>
      </c>
      <c r="T118" s="479">
        <f t="shared" si="13"/>
        <v>0</v>
      </c>
      <c r="U118" s="479">
        <f t="shared" si="14"/>
        <v>0</v>
      </c>
      <c r="V118" s="479">
        <f t="shared" si="15"/>
        <v>0</v>
      </c>
      <c r="W118" s="479">
        <v>0</v>
      </c>
      <c r="X118" s="479">
        <v>0</v>
      </c>
      <c r="Y118" s="479">
        <v>0</v>
      </c>
      <c r="Z118" s="479">
        <v>0</v>
      </c>
      <c r="AA118" s="471">
        <f t="shared" si="16"/>
        <v>0</v>
      </c>
      <c r="AB118" s="471">
        <f t="shared" si="17"/>
        <v>0</v>
      </c>
    </row>
    <row r="119" spans="1:28" x14ac:dyDescent="0.15">
      <c r="A119" s="433"/>
      <c r="B119" s="606"/>
      <c r="C119" s="606"/>
      <c r="D119" s="606"/>
      <c r="E119" s="433"/>
      <c r="F119" s="606"/>
      <c r="G119" s="484" t="s">
        <v>1577</v>
      </c>
      <c r="H119" s="606"/>
      <c r="I119" s="433"/>
      <c r="J119" s="607"/>
      <c r="K119" s="607"/>
      <c r="L119" s="608"/>
      <c r="M119" s="608"/>
      <c r="N119" s="624">
        <f>VLOOKUP(M119,'Salary Schedule'!$B$16:$N$47,L119+1,FALSE)</f>
        <v>0</v>
      </c>
      <c r="O119" s="610"/>
      <c r="P119" s="481">
        <v>0</v>
      </c>
      <c r="Q119" s="609"/>
      <c r="R119" s="479">
        <f t="shared" si="11"/>
        <v>0</v>
      </c>
      <c r="S119" s="479">
        <f t="shared" si="12"/>
        <v>0</v>
      </c>
      <c r="T119" s="479">
        <f t="shared" si="13"/>
        <v>0</v>
      </c>
      <c r="U119" s="479">
        <f t="shared" si="14"/>
        <v>0</v>
      </c>
      <c r="V119" s="479">
        <f t="shared" si="15"/>
        <v>0</v>
      </c>
      <c r="W119" s="479">
        <v>0</v>
      </c>
      <c r="X119" s="479">
        <v>0</v>
      </c>
      <c r="Y119" s="479">
        <v>0</v>
      </c>
      <c r="Z119" s="479">
        <v>0</v>
      </c>
      <c r="AA119" s="471">
        <f t="shared" si="16"/>
        <v>0</v>
      </c>
      <c r="AB119" s="471">
        <f t="shared" si="17"/>
        <v>0</v>
      </c>
    </row>
    <row r="120" spans="1:28" x14ac:dyDescent="0.15">
      <c r="A120" s="433"/>
      <c r="B120" s="606"/>
      <c r="C120" s="606"/>
      <c r="D120" s="606"/>
      <c r="E120" s="433"/>
      <c r="F120" s="606"/>
      <c r="G120" s="484" t="s">
        <v>1577</v>
      </c>
      <c r="H120" s="606"/>
      <c r="I120" s="433"/>
      <c r="J120" s="607"/>
      <c r="K120" s="607"/>
      <c r="L120" s="608"/>
      <c r="M120" s="608"/>
      <c r="N120" s="624">
        <f>VLOOKUP(M120,'Salary Schedule'!$B$16:$N$47,L120+1,FALSE)</f>
        <v>0</v>
      </c>
      <c r="O120" s="610"/>
      <c r="P120" s="481">
        <v>0</v>
      </c>
      <c r="Q120" s="609"/>
      <c r="R120" s="479">
        <f t="shared" si="11"/>
        <v>0</v>
      </c>
      <c r="S120" s="479">
        <f t="shared" si="12"/>
        <v>0</v>
      </c>
      <c r="T120" s="479">
        <f t="shared" si="13"/>
        <v>0</v>
      </c>
      <c r="U120" s="479">
        <f t="shared" si="14"/>
        <v>0</v>
      </c>
      <c r="V120" s="479">
        <f t="shared" si="15"/>
        <v>0</v>
      </c>
      <c r="W120" s="479">
        <v>0</v>
      </c>
      <c r="X120" s="479">
        <v>0</v>
      </c>
      <c r="Y120" s="479">
        <v>0</v>
      </c>
      <c r="Z120" s="479">
        <v>0</v>
      </c>
      <c r="AA120" s="471">
        <f t="shared" si="16"/>
        <v>0</v>
      </c>
      <c r="AB120" s="471">
        <f t="shared" si="17"/>
        <v>0</v>
      </c>
    </row>
    <row r="121" spans="1:28" x14ac:dyDescent="0.15">
      <c r="A121" s="433"/>
      <c r="B121" s="606"/>
      <c r="C121" s="606"/>
      <c r="D121" s="606"/>
      <c r="E121" s="433"/>
      <c r="F121" s="606"/>
      <c r="G121" s="484" t="s">
        <v>1577</v>
      </c>
      <c r="H121" s="606"/>
      <c r="I121" s="433"/>
      <c r="J121" s="607"/>
      <c r="K121" s="607"/>
      <c r="L121" s="608"/>
      <c r="M121" s="608"/>
      <c r="N121" s="624">
        <f>VLOOKUP(M121,'Salary Schedule'!$B$16:$N$47,L121+1,FALSE)</f>
        <v>0</v>
      </c>
      <c r="O121" s="610"/>
      <c r="P121" s="481">
        <v>0</v>
      </c>
      <c r="Q121" s="609"/>
      <c r="R121" s="479">
        <f t="shared" si="11"/>
        <v>0</v>
      </c>
      <c r="S121" s="479">
        <f t="shared" si="12"/>
        <v>0</v>
      </c>
      <c r="T121" s="479">
        <f t="shared" si="13"/>
        <v>0</v>
      </c>
      <c r="U121" s="479">
        <f t="shared" si="14"/>
        <v>0</v>
      </c>
      <c r="V121" s="479">
        <f t="shared" si="15"/>
        <v>0</v>
      </c>
      <c r="W121" s="479">
        <v>0</v>
      </c>
      <c r="X121" s="479">
        <v>0</v>
      </c>
      <c r="Y121" s="479">
        <v>0</v>
      </c>
      <c r="Z121" s="479">
        <v>0</v>
      </c>
      <c r="AA121" s="471">
        <f t="shared" si="16"/>
        <v>0</v>
      </c>
      <c r="AB121" s="471">
        <f t="shared" si="17"/>
        <v>0</v>
      </c>
    </row>
    <row r="122" spans="1:28" x14ac:dyDescent="0.15">
      <c r="A122" s="433"/>
      <c r="B122" s="606"/>
      <c r="C122" s="606"/>
      <c r="D122" s="606"/>
      <c r="E122" s="433"/>
      <c r="F122" s="606"/>
      <c r="G122" s="484" t="s">
        <v>1577</v>
      </c>
      <c r="H122" s="606"/>
      <c r="I122" s="433"/>
      <c r="J122" s="607"/>
      <c r="K122" s="607"/>
      <c r="L122" s="608"/>
      <c r="M122" s="608"/>
      <c r="N122" s="624">
        <f>VLOOKUP(M122,'Salary Schedule'!$B$16:$N$47,L122+1,FALSE)</f>
        <v>0</v>
      </c>
      <c r="O122" s="610"/>
      <c r="P122" s="481">
        <v>0</v>
      </c>
      <c r="Q122" s="609"/>
      <c r="R122" s="479">
        <f t="shared" si="11"/>
        <v>0</v>
      </c>
      <c r="S122" s="479">
        <f t="shared" si="12"/>
        <v>0</v>
      </c>
      <c r="T122" s="479">
        <f t="shared" si="13"/>
        <v>0</v>
      </c>
      <c r="U122" s="479">
        <f t="shared" si="14"/>
        <v>0</v>
      </c>
      <c r="V122" s="479">
        <f t="shared" si="15"/>
        <v>0</v>
      </c>
      <c r="W122" s="479">
        <v>0</v>
      </c>
      <c r="X122" s="479">
        <v>0</v>
      </c>
      <c r="Y122" s="479">
        <v>0</v>
      </c>
      <c r="Z122" s="479">
        <v>0</v>
      </c>
      <c r="AA122" s="471">
        <f t="shared" si="16"/>
        <v>0</v>
      </c>
      <c r="AB122" s="471">
        <f t="shared" si="17"/>
        <v>0</v>
      </c>
    </row>
    <row r="123" spans="1:28" x14ac:dyDescent="0.15">
      <c r="A123" s="433"/>
      <c r="B123" s="606"/>
      <c r="C123" s="606"/>
      <c r="D123" s="606"/>
      <c r="E123" s="433"/>
      <c r="F123" s="606"/>
      <c r="G123" s="484" t="s">
        <v>1577</v>
      </c>
      <c r="H123" s="606"/>
      <c r="I123" s="433"/>
      <c r="J123" s="607"/>
      <c r="K123" s="607"/>
      <c r="L123" s="608"/>
      <c r="M123" s="608"/>
      <c r="N123" s="624">
        <f>VLOOKUP(M123,'Salary Schedule'!$B$16:$N$47,L123+1,FALSE)</f>
        <v>0</v>
      </c>
      <c r="O123" s="610"/>
      <c r="P123" s="481">
        <v>0</v>
      </c>
      <c r="Q123" s="609"/>
      <c r="R123" s="479">
        <f t="shared" si="11"/>
        <v>0</v>
      </c>
      <c r="S123" s="479">
        <f t="shared" si="12"/>
        <v>0</v>
      </c>
      <c r="T123" s="479">
        <f t="shared" si="13"/>
        <v>0</v>
      </c>
      <c r="U123" s="479">
        <f t="shared" si="14"/>
        <v>0</v>
      </c>
      <c r="V123" s="479">
        <f t="shared" si="15"/>
        <v>0</v>
      </c>
      <c r="W123" s="479">
        <v>0</v>
      </c>
      <c r="X123" s="479">
        <v>0</v>
      </c>
      <c r="Y123" s="479">
        <v>0</v>
      </c>
      <c r="Z123" s="479">
        <v>0</v>
      </c>
      <c r="AA123" s="471">
        <f t="shared" si="16"/>
        <v>0</v>
      </c>
      <c r="AB123" s="471">
        <f t="shared" si="17"/>
        <v>0</v>
      </c>
    </row>
    <row r="124" spans="1:28" x14ac:dyDescent="0.15">
      <c r="A124" s="433"/>
      <c r="B124" s="606"/>
      <c r="C124" s="606"/>
      <c r="D124" s="606"/>
      <c r="E124" s="433"/>
      <c r="F124" s="606"/>
      <c r="G124" s="484" t="s">
        <v>1577</v>
      </c>
      <c r="H124" s="606"/>
      <c r="I124" s="433"/>
      <c r="J124" s="607"/>
      <c r="K124" s="607"/>
      <c r="L124" s="608"/>
      <c r="M124" s="608"/>
      <c r="N124" s="624">
        <f>VLOOKUP(M124,'Salary Schedule'!$B$16:$N$47,L124+1,FALSE)</f>
        <v>0</v>
      </c>
      <c r="O124" s="610"/>
      <c r="P124" s="481">
        <v>0</v>
      </c>
      <c r="Q124" s="609"/>
      <c r="R124" s="479">
        <f t="shared" si="11"/>
        <v>0</v>
      </c>
      <c r="S124" s="479">
        <f t="shared" si="12"/>
        <v>0</v>
      </c>
      <c r="T124" s="479">
        <f t="shared" si="13"/>
        <v>0</v>
      </c>
      <c r="U124" s="479">
        <f t="shared" si="14"/>
        <v>0</v>
      </c>
      <c r="V124" s="479">
        <f t="shared" si="15"/>
        <v>0</v>
      </c>
      <c r="W124" s="479">
        <v>0</v>
      </c>
      <c r="X124" s="479">
        <v>0</v>
      </c>
      <c r="Y124" s="479">
        <v>0</v>
      </c>
      <c r="Z124" s="479">
        <v>0</v>
      </c>
      <c r="AA124" s="471">
        <f t="shared" si="16"/>
        <v>0</v>
      </c>
      <c r="AB124" s="471">
        <f t="shared" si="17"/>
        <v>0</v>
      </c>
    </row>
    <row r="125" spans="1:28" x14ac:dyDescent="0.15">
      <c r="A125" s="433"/>
      <c r="B125" s="606"/>
      <c r="C125" s="606"/>
      <c r="D125" s="606"/>
      <c r="E125" s="433"/>
      <c r="F125" s="606"/>
      <c r="G125" s="484" t="s">
        <v>1577</v>
      </c>
      <c r="H125" s="606"/>
      <c r="I125" s="433"/>
      <c r="J125" s="607"/>
      <c r="K125" s="607"/>
      <c r="L125" s="608"/>
      <c r="M125" s="608"/>
      <c r="N125" s="624">
        <f>VLOOKUP(M125,'Salary Schedule'!$B$16:$N$47,L125+1,FALSE)</f>
        <v>0</v>
      </c>
      <c r="O125" s="610"/>
      <c r="P125" s="481">
        <v>0</v>
      </c>
      <c r="Q125" s="609"/>
      <c r="R125" s="479">
        <f t="shared" si="11"/>
        <v>0</v>
      </c>
      <c r="S125" s="479">
        <f t="shared" si="12"/>
        <v>0</v>
      </c>
      <c r="T125" s="479">
        <f t="shared" si="13"/>
        <v>0</v>
      </c>
      <c r="U125" s="479">
        <f t="shared" si="14"/>
        <v>0</v>
      </c>
      <c r="V125" s="479">
        <f t="shared" si="15"/>
        <v>0</v>
      </c>
      <c r="W125" s="479">
        <v>0</v>
      </c>
      <c r="X125" s="479">
        <v>0</v>
      </c>
      <c r="Y125" s="479">
        <v>0</v>
      </c>
      <c r="Z125" s="479">
        <v>0</v>
      </c>
      <c r="AA125" s="471">
        <f t="shared" si="16"/>
        <v>0</v>
      </c>
      <c r="AB125" s="471">
        <f t="shared" si="17"/>
        <v>0</v>
      </c>
    </row>
    <row r="126" spans="1:28" x14ac:dyDescent="0.15">
      <c r="A126" s="433"/>
      <c r="B126" s="606"/>
      <c r="C126" s="606"/>
      <c r="D126" s="606"/>
      <c r="E126" s="433"/>
      <c r="F126" s="606"/>
      <c r="G126" s="484" t="s">
        <v>1577</v>
      </c>
      <c r="H126" s="606"/>
      <c r="I126" s="433"/>
      <c r="J126" s="607"/>
      <c r="K126" s="607"/>
      <c r="L126" s="608"/>
      <c r="M126" s="608"/>
      <c r="N126" s="624">
        <f>VLOOKUP(M126,'Salary Schedule'!$B$16:$N$47,L126+1,FALSE)</f>
        <v>0</v>
      </c>
      <c r="O126" s="610"/>
      <c r="P126" s="481">
        <v>0</v>
      </c>
      <c r="Q126" s="609"/>
      <c r="R126" s="479">
        <f t="shared" si="11"/>
        <v>0</v>
      </c>
      <c r="S126" s="479">
        <f t="shared" si="12"/>
        <v>0</v>
      </c>
      <c r="T126" s="479">
        <f t="shared" si="13"/>
        <v>0</v>
      </c>
      <c r="U126" s="479">
        <f t="shared" si="14"/>
        <v>0</v>
      </c>
      <c r="V126" s="479">
        <f t="shared" si="15"/>
        <v>0</v>
      </c>
      <c r="W126" s="479">
        <v>0</v>
      </c>
      <c r="X126" s="479">
        <v>0</v>
      </c>
      <c r="Y126" s="479">
        <v>0</v>
      </c>
      <c r="Z126" s="479">
        <v>0</v>
      </c>
      <c r="AA126" s="471">
        <f t="shared" si="16"/>
        <v>0</v>
      </c>
      <c r="AB126" s="471">
        <f t="shared" si="17"/>
        <v>0</v>
      </c>
    </row>
    <row r="127" spans="1:28" x14ac:dyDescent="0.15">
      <c r="A127" s="433"/>
      <c r="B127" s="606"/>
      <c r="C127" s="606"/>
      <c r="D127" s="606"/>
      <c r="E127" s="433"/>
      <c r="F127" s="606"/>
      <c r="G127" s="484" t="s">
        <v>1577</v>
      </c>
      <c r="H127" s="606"/>
      <c r="I127" s="433"/>
      <c r="J127" s="607"/>
      <c r="K127" s="607"/>
      <c r="L127" s="608"/>
      <c r="M127" s="608"/>
      <c r="N127" s="624">
        <f>VLOOKUP(M127,'Salary Schedule'!$B$16:$N$47,L127+1,FALSE)</f>
        <v>0</v>
      </c>
      <c r="O127" s="610"/>
      <c r="P127" s="481">
        <v>0</v>
      </c>
      <c r="Q127" s="609"/>
      <c r="R127" s="479">
        <f t="shared" si="11"/>
        <v>0</v>
      </c>
      <c r="S127" s="479">
        <f t="shared" si="12"/>
        <v>0</v>
      </c>
      <c r="T127" s="479">
        <f t="shared" si="13"/>
        <v>0</v>
      </c>
      <c r="U127" s="479">
        <f t="shared" si="14"/>
        <v>0</v>
      </c>
      <c r="V127" s="479">
        <f t="shared" si="15"/>
        <v>0</v>
      </c>
      <c r="W127" s="479">
        <v>0</v>
      </c>
      <c r="X127" s="479">
        <v>0</v>
      </c>
      <c r="Y127" s="479">
        <v>0</v>
      </c>
      <c r="Z127" s="479">
        <v>0</v>
      </c>
      <c r="AA127" s="471">
        <f t="shared" si="16"/>
        <v>0</v>
      </c>
      <c r="AB127" s="471">
        <f t="shared" si="17"/>
        <v>0</v>
      </c>
    </row>
    <row r="128" spans="1:28" x14ac:dyDescent="0.15">
      <c r="A128" s="433"/>
      <c r="B128" s="606"/>
      <c r="C128" s="606"/>
      <c r="D128" s="606"/>
      <c r="E128" s="433"/>
      <c r="F128" s="606"/>
      <c r="G128" s="484" t="s">
        <v>1577</v>
      </c>
      <c r="H128" s="606"/>
      <c r="I128" s="433"/>
      <c r="J128" s="607"/>
      <c r="K128" s="607"/>
      <c r="L128" s="608"/>
      <c r="M128" s="608"/>
      <c r="N128" s="624">
        <f>VLOOKUP(M128,'Salary Schedule'!$B$16:$N$47,L128+1,FALSE)</f>
        <v>0</v>
      </c>
      <c r="O128" s="610"/>
      <c r="P128" s="481">
        <v>0</v>
      </c>
      <c r="Q128" s="609"/>
      <c r="R128" s="479">
        <f t="shared" si="11"/>
        <v>0</v>
      </c>
      <c r="S128" s="479">
        <f t="shared" si="12"/>
        <v>0</v>
      </c>
      <c r="T128" s="479">
        <f t="shared" si="13"/>
        <v>0</v>
      </c>
      <c r="U128" s="479">
        <f t="shared" si="14"/>
        <v>0</v>
      </c>
      <c r="V128" s="479">
        <f t="shared" si="15"/>
        <v>0</v>
      </c>
      <c r="W128" s="479">
        <v>0</v>
      </c>
      <c r="X128" s="479">
        <v>0</v>
      </c>
      <c r="Y128" s="479">
        <v>0</v>
      </c>
      <c r="Z128" s="479">
        <v>0</v>
      </c>
      <c r="AA128" s="471">
        <f t="shared" si="16"/>
        <v>0</v>
      </c>
      <c r="AB128" s="471">
        <f t="shared" si="17"/>
        <v>0</v>
      </c>
    </row>
    <row r="129" spans="1:28" x14ac:dyDescent="0.15">
      <c r="A129" s="433"/>
      <c r="B129" s="606"/>
      <c r="C129" s="606"/>
      <c r="D129" s="606"/>
      <c r="E129" s="433"/>
      <c r="F129" s="606"/>
      <c r="G129" s="484" t="s">
        <v>1577</v>
      </c>
      <c r="H129" s="606"/>
      <c r="I129" s="433"/>
      <c r="J129" s="607"/>
      <c r="K129" s="607"/>
      <c r="L129" s="608"/>
      <c r="M129" s="608"/>
      <c r="N129" s="624">
        <f>VLOOKUP(M129,'Salary Schedule'!$B$16:$N$47,L129+1,FALSE)</f>
        <v>0</v>
      </c>
      <c r="O129" s="610"/>
      <c r="P129" s="481">
        <v>0</v>
      </c>
      <c r="Q129" s="609"/>
      <c r="R129" s="479">
        <f t="shared" si="11"/>
        <v>0</v>
      </c>
      <c r="S129" s="479">
        <f t="shared" si="12"/>
        <v>0</v>
      </c>
      <c r="T129" s="479">
        <f t="shared" si="13"/>
        <v>0</v>
      </c>
      <c r="U129" s="479">
        <f t="shared" si="14"/>
        <v>0</v>
      </c>
      <c r="V129" s="479">
        <f t="shared" si="15"/>
        <v>0</v>
      </c>
      <c r="W129" s="479">
        <v>0</v>
      </c>
      <c r="X129" s="479">
        <v>0</v>
      </c>
      <c r="Y129" s="479">
        <v>0</v>
      </c>
      <c r="Z129" s="479">
        <v>0</v>
      </c>
      <c r="AA129" s="471">
        <f t="shared" si="16"/>
        <v>0</v>
      </c>
      <c r="AB129" s="471">
        <f t="shared" si="17"/>
        <v>0</v>
      </c>
    </row>
    <row r="130" spans="1:28" x14ac:dyDescent="0.15">
      <c r="A130" s="433"/>
      <c r="B130" s="606"/>
      <c r="C130" s="606"/>
      <c r="D130" s="606"/>
      <c r="E130" s="433"/>
      <c r="F130" s="606"/>
      <c r="G130" s="484" t="s">
        <v>1577</v>
      </c>
      <c r="H130" s="606"/>
      <c r="I130" s="433"/>
      <c r="J130" s="607"/>
      <c r="K130" s="607"/>
      <c r="L130" s="608"/>
      <c r="M130" s="608"/>
      <c r="N130" s="624">
        <f>VLOOKUP(M130,'Salary Schedule'!$B$16:$N$47,L130+1,FALSE)</f>
        <v>0</v>
      </c>
      <c r="O130" s="610"/>
      <c r="P130" s="481">
        <v>0</v>
      </c>
      <c r="Q130" s="609"/>
      <c r="R130" s="479">
        <f t="shared" si="11"/>
        <v>0</v>
      </c>
      <c r="S130" s="479">
        <f t="shared" si="12"/>
        <v>0</v>
      </c>
      <c r="T130" s="479">
        <f t="shared" si="13"/>
        <v>0</v>
      </c>
      <c r="U130" s="479">
        <f t="shared" si="14"/>
        <v>0</v>
      </c>
      <c r="V130" s="479">
        <f t="shared" si="15"/>
        <v>0</v>
      </c>
      <c r="W130" s="479">
        <v>0</v>
      </c>
      <c r="X130" s="479">
        <v>0</v>
      </c>
      <c r="Y130" s="479">
        <v>0</v>
      </c>
      <c r="Z130" s="479">
        <v>0</v>
      </c>
      <c r="AA130" s="471">
        <f t="shared" si="16"/>
        <v>0</v>
      </c>
      <c r="AB130" s="471">
        <f t="shared" si="17"/>
        <v>0</v>
      </c>
    </row>
    <row r="131" spans="1:28" x14ac:dyDescent="0.15">
      <c r="A131" s="433"/>
      <c r="B131" s="606"/>
      <c r="C131" s="606"/>
      <c r="D131" s="606"/>
      <c r="E131" s="433"/>
      <c r="F131" s="606"/>
      <c r="G131" s="484" t="s">
        <v>1577</v>
      </c>
      <c r="H131" s="606"/>
      <c r="I131" s="433"/>
      <c r="J131" s="607"/>
      <c r="K131" s="607"/>
      <c r="L131" s="608"/>
      <c r="M131" s="608"/>
      <c r="N131" s="624">
        <f>VLOOKUP(M131,'Salary Schedule'!$B$16:$N$47,L131+1,FALSE)</f>
        <v>0</v>
      </c>
      <c r="O131" s="610"/>
      <c r="P131" s="481">
        <v>0</v>
      </c>
      <c r="Q131" s="609"/>
      <c r="R131" s="479">
        <f t="shared" si="11"/>
        <v>0</v>
      </c>
      <c r="S131" s="479">
        <f t="shared" si="12"/>
        <v>0</v>
      </c>
      <c r="T131" s="479">
        <f t="shared" si="13"/>
        <v>0</v>
      </c>
      <c r="U131" s="479">
        <f t="shared" si="14"/>
        <v>0</v>
      </c>
      <c r="V131" s="479">
        <f t="shared" si="15"/>
        <v>0</v>
      </c>
      <c r="W131" s="479">
        <v>0</v>
      </c>
      <c r="X131" s="479">
        <v>0</v>
      </c>
      <c r="Y131" s="479">
        <v>0</v>
      </c>
      <c r="Z131" s="479">
        <v>0</v>
      </c>
      <c r="AA131" s="471">
        <f t="shared" si="16"/>
        <v>0</v>
      </c>
      <c r="AB131" s="471">
        <f t="shared" si="17"/>
        <v>0</v>
      </c>
    </row>
    <row r="132" spans="1:28" x14ac:dyDescent="0.15">
      <c r="A132" s="433"/>
      <c r="B132" s="606"/>
      <c r="C132" s="606"/>
      <c r="D132" s="606"/>
      <c r="E132" s="433"/>
      <c r="F132" s="606"/>
      <c r="G132" s="484" t="s">
        <v>1577</v>
      </c>
      <c r="H132" s="606"/>
      <c r="I132" s="433"/>
      <c r="J132" s="607"/>
      <c r="K132" s="607"/>
      <c r="L132" s="608"/>
      <c r="M132" s="608"/>
      <c r="N132" s="624">
        <f>VLOOKUP(M132,'Salary Schedule'!$B$16:$N$47,L132+1,FALSE)</f>
        <v>0</v>
      </c>
      <c r="O132" s="610"/>
      <c r="P132" s="481">
        <v>0</v>
      </c>
      <c r="Q132" s="609"/>
      <c r="R132" s="479">
        <f t="shared" si="11"/>
        <v>0</v>
      </c>
      <c r="S132" s="479">
        <f t="shared" si="12"/>
        <v>0</v>
      </c>
      <c r="T132" s="479">
        <f t="shared" si="13"/>
        <v>0</v>
      </c>
      <c r="U132" s="479">
        <f t="shared" si="14"/>
        <v>0</v>
      </c>
      <c r="V132" s="479">
        <f t="shared" si="15"/>
        <v>0</v>
      </c>
      <c r="W132" s="479">
        <v>0</v>
      </c>
      <c r="X132" s="479">
        <v>0</v>
      </c>
      <c r="Y132" s="479">
        <v>0</v>
      </c>
      <c r="Z132" s="479">
        <v>0</v>
      </c>
      <c r="AA132" s="471">
        <f t="shared" si="16"/>
        <v>0</v>
      </c>
      <c r="AB132" s="471">
        <f t="shared" si="17"/>
        <v>0</v>
      </c>
    </row>
    <row r="133" spans="1:28" x14ac:dyDescent="0.15">
      <c r="A133" s="433"/>
      <c r="B133" s="606"/>
      <c r="C133" s="606"/>
      <c r="D133" s="606"/>
      <c r="E133" s="433"/>
      <c r="F133" s="606"/>
      <c r="G133" s="484" t="s">
        <v>1577</v>
      </c>
      <c r="H133" s="606"/>
      <c r="I133" s="433"/>
      <c r="J133" s="607"/>
      <c r="K133" s="607"/>
      <c r="L133" s="608"/>
      <c r="M133" s="608"/>
      <c r="N133" s="624">
        <f>VLOOKUP(M133,'Salary Schedule'!$B$16:$N$47,L133+1,FALSE)</f>
        <v>0</v>
      </c>
      <c r="O133" s="610"/>
      <c r="P133" s="481">
        <v>0</v>
      </c>
      <c r="Q133" s="609"/>
      <c r="R133" s="479">
        <f t="shared" si="11"/>
        <v>0</v>
      </c>
      <c r="S133" s="479">
        <f t="shared" si="12"/>
        <v>0</v>
      </c>
      <c r="T133" s="479">
        <f t="shared" si="13"/>
        <v>0</v>
      </c>
      <c r="U133" s="479">
        <f t="shared" si="14"/>
        <v>0</v>
      </c>
      <c r="V133" s="479">
        <f t="shared" si="15"/>
        <v>0</v>
      </c>
      <c r="W133" s="479">
        <v>0</v>
      </c>
      <c r="X133" s="479">
        <v>0</v>
      </c>
      <c r="Y133" s="479">
        <v>0</v>
      </c>
      <c r="Z133" s="479">
        <v>0</v>
      </c>
      <c r="AA133" s="471">
        <f t="shared" si="16"/>
        <v>0</v>
      </c>
      <c r="AB133" s="471">
        <f t="shared" si="17"/>
        <v>0</v>
      </c>
    </row>
    <row r="134" spans="1:28" x14ac:dyDescent="0.15">
      <c r="A134" s="433"/>
      <c r="B134" s="606"/>
      <c r="C134" s="606"/>
      <c r="D134" s="606"/>
      <c r="E134" s="433"/>
      <c r="F134" s="606"/>
      <c r="G134" s="484" t="s">
        <v>1577</v>
      </c>
      <c r="H134" s="606"/>
      <c r="I134" s="433"/>
      <c r="J134" s="607"/>
      <c r="K134" s="607"/>
      <c r="L134" s="608"/>
      <c r="M134" s="608"/>
      <c r="N134" s="624">
        <f>VLOOKUP(M134,'Salary Schedule'!$B$16:$N$47,L134+1,FALSE)</f>
        <v>0</v>
      </c>
      <c r="O134" s="610"/>
      <c r="P134" s="481">
        <v>0</v>
      </c>
      <c r="Q134" s="609"/>
      <c r="R134" s="479">
        <f t="shared" si="11"/>
        <v>0</v>
      </c>
      <c r="S134" s="479">
        <f t="shared" si="12"/>
        <v>0</v>
      </c>
      <c r="T134" s="479">
        <f t="shared" si="13"/>
        <v>0</v>
      </c>
      <c r="U134" s="479">
        <f t="shared" si="14"/>
        <v>0</v>
      </c>
      <c r="V134" s="479">
        <f t="shared" si="15"/>
        <v>0</v>
      </c>
      <c r="W134" s="479">
        <v>0</v>
      </c>
      <c r="X134" s="479">
        <v>0</v>
      </c>
      <c r="Y134" s="479">
        <v>0</v>
      </c>
      <c r="Z134" s="479">
        <v>0</v>
      </c>
      <c r="AA134" s="471">
        <f t="shared" si="16"/>
        <v>0</v>
      </c>
      <c r="AB134" s="471">
        <f t="shared" si="17"/>
        <v>0</v>
      </c>
    </row>
    <row r="135" spans="1:28" x14ac:dyDescent="0.15">
      <c r="A135" s="433"/>
      <c r="B135" s="606"/>
      <c r="C135" s="606"/>
      <c r="D135" s="606"/>
      <c r="E135" s="433"/>
      <c r="F135" s="606"/>
      <c r="G135" s="484" t="s">
        <v>1577</v>
      </c>
      <c r="H135" s="606"/>
      <c r="I135" s="433"/>
      <c r="J135" s="607"/>
      <c r="K135" s="607"/>
      <c r="L135" s="608"/>
      <c r="M135" s="608"/>
      <c r="N135" s="624">
        <f>VLOOKUP(M135,'Salary Schedule'!$B$16:$N$47,L135+1,FALSE)</f>
        <v>0</v>
      </c>
      <c r="O135" s="610"/>
      <c r="P135" s="481">
        <v>0</v>
      </c>
      <c r="Q135" s="609"/>
      <c r="R135" s="479">
        <f t="shared" si="11"/>
        <v>0</v>
      </c>
      <c r="S135" s="479">
        <f t="shared" si="12"/>
        <v>0</v>
      </c>
      <c r="T135" s="479">
        <f t="shared" si="13"/>
        <v>0</v>
      </c>
      <c r="U135" s="479">
        <f t="shared" si="14"/>
        <v>0</v>
      </c>
      <c r="V135" s="479">
        <f t="shared" si="15"/>
        <v>0</v>
      </c>
      <c r="W135" s="479">
        <v>0</v>
      </c>
      <c r="X135" s="479">
        <v>0</v>
      </c>
      <c r="Y135" s="479">
        <v>0</v>
      </c>
      <c r="Z135" s="479">
        <v>0</v>
      </c>
      <c r="AA135" s="471">
        <f t="shared" si="16"/>
        <v>0</v>
      </c>
      <c r="AB135" s="471">
        <f t="shared" si="17"/>
        <v>0</v>
      </c>
    </row>
    <row r="136" spans="1:28" x14ac:dyDescent="0.15">
      <c r="A136" s="433"/>
      <c r="B136" s="606"/>
      <c r="C136" s="606"/>
      <c r="D136" s="606"/>
      <c r="E136" s="433"/>
      <c r="F136" s="606"/>
      <c r="G136" s="484" t="s">
        <v>1577</v>
      </c>
      <c r="H136" s="606"/>
      <c r="I136" s="433"/>
      <c r="J136" s="607"/>
      <c r="K136" s="607"/>
      <c r="L136" s="608"/>
      <c r="M136" s="608"/>
      <c r="N136" s="624">
        <f>VLOOKUP(M136,'Salary Schedule'!$B$16:$N$47,L136+1,FALSE)</f>
        <v>0</v>
      </c>
      <c r="O136" s="610"/>
      <c r="P136" s="481">
        <v>0</v>
      </c>
      <c r="Q136" s="609"/>
      <c r="R136" s="479">
        <f t="shared" si="11"/>
        <v>0</v>
      </c>
      <c r="S136" s="479">
        <f t="shared" si="12"/>
        <v>0</v>
      </c>
      <c r="T136" s="479">
        <f t="shared" si="13"/>
        <v>0</v>
      </c>
      <c r="U136" s="479">
        <f t="shared" si="14"/>
        <v>0</v>
      </c>
      <c r="V136" s="479">
        <f t="shared" si="15"/>
        <v>0</v>
      </c>
      <c r="W136" s="479">
        <v>0</v>
      </c>
      <c r="X136" s="479">
        <v>0</v>
      </c>
      <c r="Y136" s="479">
        <v>0</v>
      </c>
      <c r="Z136" s="479">
        <v>0</v>
      </c>
      <c r="AA136" s="471">
        <f t="shared" si="16"/>
        <v>0</v>
      </c>
      <c r="AB136" s="471">
        <f t="shared" si="17"/>
        <v>0</v>
      </c>
    </row>
    <row r="137" spans="1:28" x14ac:dyDescent="0.15">
      <c r="A137" s="433"/>
      <c r="B137" s="606"/>
      <c r="C137" s="606"/>
      <c r="D137" s="606"/>
      <c r="E137" s="433"/>
      <c r="F137" s="606"/>
      <c r="G137" s="484" t="s">
        <v>1577</v>
      </c>
      <c r="H137" s="606"/>
      <c r="I137" s="433"/>
      <c r="J137" s="607"/>
      <c r="K137" s="607"/>
      <c r="L137" s="608"/>
      <c r="M137" s="608"/>
      <c r="N137" s="624">
        <f>VLOOKUP(M137,'Salary Schedule'!$B$16:$N$47,L137+1,FALSE)</f>
        <v>0</v>
      </c>
      <c r="O137" s="610"/>
      <c r="P137" s="481">
        <v>0</v>
      </c>
      <c r="Q137" s="609"/>
      <c r="R137" s="479">
        <f t="shared" si="11"/>
        <v>0</v>
      </c>
      <c r="S137" s="479">
        <f t="shared" si="12"/>
        <v>0</v>
      </c>
      <c r="T137" s="479">
        <f t="shared" si="13"/>
        <v>0</v>
      </c>
      <c r="U137" s="479">
        <f t="shared" si="14"/>
        <v>0</v>
      </c>
      <c r="V137" s="479">
        <f t="shared" si="15"/>
        <v>0</v>
      </c>
      <c r="W137" s="479">
        <v>0</v>
      </c>
      <c r="X137" s="479">
        <v>0</v>
      </c>
      <c r="Y137" s="479">
        <v>0</v>
      </c>
      <c r="Z137" s="479">
        <v>0</v>
      </c>
      <c r="AA137" s="471">
        <f t="shared" si="16"/>
        <v>0</v>
      </c>
      <c r="AB137" s="471">
        <f t="shared" si="17"/>
        <v>0</v>
      </c>
    </row>
    <row r="138" spans="1:28" x14ac:dyDescent="0.15">
      <c r="A138" s="433"/>
      <c r="B138" s="606"/>
      <c r="C138" s="606"/>
      <c r="D138" s="606"/>
      <c r="E138" s="433"/>
      <c r="F138" s="606"/>
      <c r="G138" s="484" t="s">
        <v>1577</v>
      </c>
      <c r="H138" s="606"/>
      <c r="I138" s="433"/>
      <c r="J138" s="607"/>
      <c r="K138" s="607"/>
      <c r="L138" s="608"/>
      <c r="M138" s="608"/>
      <c r="N138" s="624">
        <f>VLOOKUP(M138,'Salary Schedule'!$B$16:$N$47,L138+1,FALSE)</f>
        <v>0</v>
      </c>
      <c r="O138" s="610"/>
      <c r="P138" s="481">
        <v>0</v>
      </c>
      <c r="Q138" s="609"/>
      <c r="R138" s="479">
        <f t="shared" si="11"/>
        <v>0</v>
      </c>
      <c r="S138" s="479">
        <f t="shared" si="12"/>
        <v>0</v>
      </c>
      <c r="T138" s="479">
        <f t="shared" si="13"/>
        <v>0</v>
      </c>
      <c r="U138" s="479">
        <f t="shared" si="14"/>
        <v>0</v>
      </c>
      <c r="V138" s="479">
        <f t="shared" si="15"/>
        <v>0</v>
      </c>
      <c r="W138" s="479">
        <v>0</v>
      </c>
      <c r="X138" s="479">
        <v>0</v>
      </c>
      <c r="Y138" s="479">
        <v>0</v>
      </c>
      <c r="Z138" s="479">
        <v>0</v>
      </c>
      <c r="AA138" s="471">
        <f t="shared" si="16"/>
        <v>0</v>
      </c>
      <c r="AB138" s="471">
        <f t="shared" si="17"/>
        <v>0</v>
      </c>
    </row>
    <row r="139" spans="1:28" x14ac:dyDescent="0.15">
      <c r="A139" s="433"/>
      <c r="B139" s="606"/>
      <c r="C139" s="606"/>
      <c r="D139" s="606"/>
      <c r="E139" s="433"/>
      <c r="F139" s="606"/>
      <c r="G139" s="484" t="s">
        <v>1577</v>
      </c>
      <c r="H139" s="606"/>
      <c r="I139" s="433"/>
      <c r="J139" s="607"/>
      <c r="K139" s="607"/>
      <c r="L139" s="608"/>
      <c r="M139" s="608"/>
      <c r="N139" s="624">
        <f>VLOOKUP(M139,'Salary Schedule'!$B$16:$N$47,L139+1,FALSE)</f>
        <v>0</v>
      </c>
      <c r="O139" s="610"/>
      <c r="P139" s="481">
        <v>0</v>
      </c>
      <c r="Q139" s="609"/>
      <c r="R139" s="479">
        <f t="shared" si="11"/>
        <v>0</v>
      </c>
      <c r="S139" s="479">
        <f t="shared" si="12"/>
        <v>0</v>
      </c>
      <c r="T139" s="479">
        <f t="shared" si="13"/>
        <v>0</v>
      </c>
      <c r="U139" s="479">
        <f t="shared" si="14"/>
        <v>0</v>
      </c>
      <c r="V139" s="479">
        <f t="shared" si="15"/>
        <v>0</v>
      </c>
      <c r="W139" s="479">
        <v>0</v>
      </c>
      <c r="X139" s="479">
        <v>0</v>
      </c>
      <c r="Y139" s="479">
        <v>0</v>
      </c>
      <c r="Z139" s="479">
        <v>0</v>
      </c>
      <c r="AA139" s="471">
        <f t="shared" si="16"/>
        <v>0</v>
      </c>
      <c r="AB139" s="471">
        <f t="shared" si="17"/>
        <v>0</v>
      </c>
    </row>
    <row r="140" spans="1:28" x14ac:dyDescent="0.15">
      <c r="A140" s="433"/>
      <c r="B140" s="606"/>
      <c r="C140" s="606"/>
      <c r="D140" s="606"/>
      <c r="E140" s="433"/>
      <c r="F140" s="606"/>
      <c r="G140" s="484" t="s">
        <v>1577</v>
      </c>
      <c r="H140" s="606"/>
      <c r="I140" s="433"/>
      <c r="J140" s="607"/>
      <c r="K140" s="607"/>
      <c r="L140" s="608"/>
      <c r="M140" s="608"/>
      <c r="N140" s="624">
        <f>VLOOKUP(M140,'Salary Schedule'!$B$16:$N$47,L140+1,FALSE)</f>
        <v>0</v>
      </c>
      <c r="O140" s="610"/>
      <c r="P140" s="481">
        <v>0</v>
      </c>
      <c r="Q140" s="609"/>
      <c r="R140" s="479">
        <f t="shared" ref="R140:R201" si="18">ROUND((+N140*P140),0)</f>
        <v>0</v>
      </c>
      <c r="S140" s="479">
        <f t="shared" ref="S140:S201" si="19">+R140*$S$4</f>
        <v>0</v>
      </c>
      <c r="T140" s="479">
        <f t="shared" ref="T140:T201" si="20">+R140*$T$4</f>
        <v>0</v>
      </c>
      <c r="U140" s="479">
        <f t="shared" ref="U140:U201" si="21">+R140*$U$4</f>
        <v>0</v>
      </c>
      <c r="V140" s="479">
        <f t="shared" ref="V140:V201" si="22">($V$3*12)*P140</f>
        <v>0</v>
      </c>
      <c r="W140" s="479">
        <v>0</v>
      </c>
      <c r="X140" s="479">
        <v>0</v>
      </c>
      <c r="Y140" s="479">
        <v>0</v>
      </c>
      <c r="Z140" s="479">
        <v>0</v>
      </c>
      <c r="AA140" s="471">
        <f t="shared" ref="AA140:AA201" si="23">ROUND((SUM(S140:Z140)),0)</f>
        <v>0</v>
      </c>
      <c r="AB140" s="471">
        <f t="shared" ref="AB140:AB201" si="24">ROUND((+R140+AA140),0)</f>
        <v>0</v>
      </c>
    </row>
    <row r="141" spans="1:28" x14ac:dyDescent="0.15">
      <c r="A141" s="433"/>
      <c r="B141" s="606"/>
      <c r="C141" s="606"/>
      <c r="D141" s="606"/>
      <c r="E141" s="433"/>
      <c r="F141" s="606"/>
      <c r="G141" s="484" t="s">
        <v>1577</v>
      </c>
      <c r="H141" s="606"/>
      <c r="I141" s="433"/>
      <c r="J141" s="607"/>
      <c r="K141" s="607"/>
      <c r="L141" s="608"/>
      <c r="M141" s="608"/>
      <c r="N141" s="624">
        <f>VLOOKUP(M141,'Salary Schedule'!$B$16:$N$47,L141+1,FALSE)</f>
        <v>0</v>
      </c>
      <c r="O141" s="610"/>
      <c r="P141" s="481">
        <v>0</v>
      </c>
      <c r="Q141" s="609"/>
      <c r="R141" s="479">
        <f t="shared" si="18"/>
        <v>0</v>
      </c>
      <c r="S141" s="479">
        <f t="shared" si="19"/>
        <v>0</v>
      </c>
      <c r="T141" s="479">
        <f t="shared" si="20"/>
        <v>0</v>
      </c>
      <c r="U141" s="479">
        <f t="shared" si="21"/>
        <v>0</v>
      </c>
      <c r="V141" s="479">
        <f t="shared" si="22"/>
        <v>0</v>
      </c>
      <c r="W141" s="479">
        <v>0</v>
      </c>
      <c r="X141" s="479">
        <v>0</v>
      </c>
      <c r="Y141" s="479">
        <v>0</v>
      </c>
      <c r="Z141" s="479">
        <v>0</v>
      </c>
      <c r="AA141" s="471">
        <f t="shared" si="23"/>
        <v>0</v>
      </c>
      <c r="AB141" s="471">
        <f t="shared" si="24"/>
        <v>0</v>
      </c>
    </row>
    <row r="142" spans="1:28" x14ac:dyDescent="0.15">
      <c r="A142" s="433"/>
      <c r="B142" s="606"/>
      <c r="C142" s="606"/>
      <c r="D142" s="606"/>
      <c r="E142" s="433"/>
      <c r="F142" s="606"/>
      <c r="G142" s="484" t="s">
        <v>1577</v>
      </c>
      <c r="H142" s="606"/>
      <c r="I142" s="433"/>
      <c r="J142" s="607"/>
      <c r="K142" s="607"/>
      <c r="L142" s="608"/>
      <c r="M142" s="608"/>
      <c r="N142" s="624">
        <f>VLOOKUP(M142,'Salary Schedule'!$B$16:$N$47,L142+1,FALSE)</f>
        <v>0</v>
      </c>
      <c r="O142" s="610"/>
      <c r="P142" s="481">
        <v>0</v>
      </c>
      <c r="Q142" s="609"/>
      <c r="R142" s="479">
        <f t="shared" si="18"/>
        <v>0</v>
      </c>
      <c r="S142" s="479">
        <f t="shared" si="19"/>
        <v>0</v>
      </c>
      <c r="T142" s="479">
        <f t="shared" si="20"/>
        <v>0</v>
      </c>
      <c r="U142" s="479">
        <f t="shared" si="21"/>
        <v>0</v>
      </c>
      <c r="V142" s="479">
        <f t="shared" si="22"/>
        <v>0</v>
      </c>
      <c r="W142" s="479">
        <v>0</v>
      </c>
      <c r="X142" s="479">
        <v>0</v>
      </c>
      <c r="Y142" s="479">
        <v>0</v>
      </c>
      <c r="Z142" s="479">
        <v>0</v>
      </c>
      <c r="AA142" s="471">
        <f t="shared" si="23"/>
        <v>0</v>
      </c>
      <c r="AB142" s="471">
        <f t="shared" si="24"/>
        <v>0</v>
      </c>
    </row>
    <row r="143" spans="1:28" x14ac:dyDescent="0.15">
      <c r="A143" s="433"/>
      <c r="B143" s="606"/>
      <c r="C143" s="606"/>
      <c r="D143" s="606"/>
      <c r="E143" s="433"/>
      <c r="F143" s="606"/>
      <c r="G143" s="484" t="s">
        <v>1577</v>
      </c>
      <c r="H143" s="606"/>
      <c r="I143" s="433"/>
      <c r="J143" s="607"/>
      <c r="K143" s="607"/>
      <c r="L143" s="608"/>
      <c r="M143" s="608"/>
      <c r="N143" s="624">
        <f>VLOOKUP(M143,'Salary Schedule'!$B$16:$N$47,L143+1,FALSE)</f>
        <v>0</v>
      </c>
      <c r="O143" s="610"/>
      <c r="P143" s="481">
        <v>0</v>
      </c>
      <c r="Q143" s="609"/>
      <c r="R143" s="479">
        <f t="shared" si="18"/>
        <v>0</v>
      </c>
      <c r="S143" s="479">
        <f t="shared" si="19"/>
        <v>0</v>
      </c>
      <c r="T143" s="479">
        <f t="shared" si="20"/>
        <v>0</v>
      </c>
      <c r="U143" s="479">
        <f t="shared" si="21"/>
        <v>0</v>
      </c>
      <c r="V143" s="479">
        <f t="shared" si="22"/>
        <v>0</v>
      </c>
      <c r="W143" s="479">
        <v>0</v>
      </c>
      <c r="X143" s="479">
        <v>0</v>
      </c>
      <c r="Y143" s="479">
        <v>0</v>
      </c>
      <c r="Z143" s="479">
        <v>0</v>
      </c>
      <c r="AA143" s="471">
        <f t="shared" si="23"/>
        <v>0</v>
      </c>
      <c r="AB143" s="471">
        <f t="shared" si="24"/>
        <v>0</v>
      </c>
    </row>
    <row r="144" spans="1:28" x14ac:dyDescent="0.15">
      <c r="A144" s="433"/>
      <c r="B144" s="606"/>
      <c r="C144" s="606"/>
      <c r="D144" s="606"/>
      <c r="E144" s="433"/>
      <c r="F144" s="606"/>
      <c r="G144" s="484" t="s">
        <v>1577</v>
      </c>
      <c r="H144" s="606"/>
      <c r="I144" s="433"/>
      <c r="J144" s="607"/>
      <c r="K144" s="607"/>
      <c r="L144" s="608"/>
      <c r="M144" s="608"/>
      <c r="N144" s="624">
        <f>VLOOKUP(M144,'Salary Schedule'!$B$16:$N$47,L144+1,FALSE)</f>
        <v>0</v>
      </c>
      <c r="O144" s="610"/>
      <c r="P144" s="481">
        <v>0</v>
      </c>
      <c r="Q144" s="609"/>
      <c r="R144" s="479">
        <f t="shared" si="18"/>
        <v>0</v>
      </c>
      <c r="S144" s="479">
        <f t="shared" si="19"/>
        <v>0</v>
      </c>
      <c r="T144" s="479">
        <f t="shared" si="20"/>
        <v>0</v>
      </c>
      <c r="U144" s="479">
        <f t="shared" si="21"/>
        <v>0</v>
      </c>
      <c r="V144" s="479">
        <f t="shared" si="22"/>
        <v>0</v>
      </c>
      <c r="W144" s="479">
        <v>0</v>
      </c>
      <c r="X144" s="479">
        <v>0</v>
      </c>
      <c r="Y144" s="479">
        <v>0</v>
      </c>
      <c r="Z144" s="479">
        <v>0</v>
      </c>
      <c r="AA144" s="471">
        <f t="shared" si="23"/>
        <v>0</v>
      </c>
      <c r="AB144" s="471">
        <f t="shared" si="24"/>
        <v>0</v>
      </c>
    </row>
    <row r="145" spans="1:28" x14ac:dyDescent="0.15">
      <c r="A145" s="433"/>
      <c r="B145" s="606"/>
      <c r="C145" s="606"/>
      <c r="D145" s="606"/>
      <c r="E145" s="433"/>
      <c r="F145" s="606"/>
      <c r="G145" s="484" t="s">
        <v>1577</v>
      </c>
      <c r="H145" s="606"/>
      <c r="I145" s="433"/>
      <c r="J145" s="607"/>
      <c r="K145" s="607"/>
      <c r="L145" s="608"/>
      <c r="M145" s="608"/>
      <c r="N145" s="624">
        <f>VLOOKUP(M145,'Salary Schedule'!$B$16:$N$47,L145+1,FALSE)</f>
        <v>0</v>
      </c>
      <c r="O145" s="610"/>
      <c r="P145" s="481">
        <v>0</v>
      </c>
      <c r="Q145" s="609"/>
      <c r="R145" s="479">
        <f t="shared" si="18"/>
        <v>0</v>
      </c>
      <c r="S145" s="479">
        <f t="shared" si="19"/>
        <v>0</v>
      </c>
      <c r="T145" s="479">
        <f t="shared" si="20"/>
        <v>0</v>
      </c>
      <c r="U145" s="479">
        <f t="shared" si="21"/>
        <v>0</v>
      </c>
      <c r="V145" s="479">
        <f t="shared" si="22"/>
        <v>0</v>
      </c>
      <c r="W145" s="479">
        <v>0</v>
      </c>
      <c r="X145" s="479">
        <v>0</v>
      </c>
      <c r="Y145" s="479">
        <v>0</v>
      </c>
      <c r="Z145" s="479">
        <v>0</v>
      </c>
      <c r="AA145" s="471">
        <f t="shared" si="23"/>
        <v>0</v>
      </c>
      <c r="AB145" s="471">
        <f t="shared" si="24"/>
        <v>0</v>
      </c>
    </row>
    <row r="146" spans="1:28" x14ac:dyDescent="0.15">
      <c r="A146" s="433"/>
      <c r="B146" s="606"/>
      <c r="C146" s="606"/>
      <c r="D146" s="606"/>
      <c r="E146" s="433"/>
      <c r="F146" s="606"/>
      <c r="G146" s="484" t="s">
        <v>1577</v>
      </c>
      <c r="H146" s="606"/>
      <c r="I146" s="433"/>
      <c r="J146" s="607"/>
      <c r="K146" s="607"/>
      <c r="L146" s="608"/>
      <c r="M146" s="608"/>
      <c r="N146" s="624">
        <f>VLOOKUP(M146,'Salary Schedule'!$B$16:$N$47,L146+1,FALSE)</f>
        <v>0</v>
      </c>
      <c r="O146" s="610"/>
      <c r="P146" s="481">
        <v>0</v>
      </c>
      <c r="Q146" s="609"/>
      <c r="R146" s="479">
        <f t="shared" si="18"/>
        <v>0</v>
      </c>
      <c r="S146" s="479">
        <f t="shared" si="19"/>
        <v>0</v>
      </c>
      <c r="T146" s="479">
        <f t="shared" si="20"/>
        <v>0</v>
      </c>
      <c r="U146" s="479">
        <f t="shared" si="21"/>
        <v>0</v>
      </c>
      <c r="V146" s="479">
        <f t="shared" si="22"/>
        <v>0</v>
      </c>
      <c r="W146" s="479">
        <v>0</v>
      </c>
      <c r="X146" s="479">
        <v>0</v>
      </c>
      <c r="Y146" s="479">
        <v>0</v>
      </c>
      <c r="Z146" s="479">
        <v>0</v>
      </c>
      <c r="AA146" s="471">
        <f t="shared" si="23"/>
        <v>0</v>
      </c>
      <c r="AB146" s="471">
        <f t="shared" si="24"/>
        <v>0</v>
      </c>
    </row>
    <row r="147" spans="1:28" x14ac:dyDescent="0.15">
      <c r="A147" s="433"/>
      <c r="B147" s="606"/>
      <c r="C147" s="606"/>
      <c r="D147" s="606"/>
      <c r="E147" s="433"/>
      <c r="F147" s="606"/>
      <c r="G147" s="484" t="s">
        <v>1577</v>
      </c>
      <c r="H147" s="606"/>
      <c r="I147" s="433"/>
      <c r="J147" s="607"/>
      <c r="K147" s="607"/>
      <c r="L147" s="608"/>
      <c r="M147" s="608"/>
      <c r="N147" s="624">
        <f>VLOOKUP(M147,'Salary Schedule'!$B$16:$N$47,L147+1,FALSE)</f>
        <v>0</v>
      </c>
      <c r="O147" s="610"/>
      <c r="P147" s="481">
        <v>0</v>
      </c>
      <c r="Q147" s="609"/>
      <c r="R147" s="479">
        <f t="shared" si="18"/>
        <v>0</v>
      </c>
      <c r="S147" s="479">
        <f t="shared" si="19"/>
        <v>0</v>
      </c>
      <c r="T147" s="479">
        <f t="shared" si="20"/>
        <v>0</v>
      </c>
      <c r="U147" s="479">
        <f t="shared" si="21"/>
        <v>0</v>
      </c>
      <c r="V147" s="479">
        <f t="shared" si="22"/>
        <v>0</v>
      </c>
      <c r="W147" s="479">
        <v>0</v>
      </c>
      <c r="X147" s="479">
        <v>0</v>
      </c>
      <c r="Y147" s="479">
        <v>0</v>
      </c>
      <c r="Z147" s="479">
        <v>0</v>
      </c>
      <c r="AA147" s="471">
        <f t="shared" si="23"/>
        <v>0</v>
      </c>
      <c r="AB147" s="471">
        <f t="shared" si="24"/>
        <v>0</v>
      </c>
    </row>
    <row r="148" spans="1:28" x14ac:dyDescent="0.15">
      <c r="A148" s="433"/>
      <c r="B148" s="606"/>
      <c r="C148" s="606"/>
      <c r="D148" s="606"/>
      <c r="E148" s="433"/>
      <c r="F148" s="606"/>
      <c r="G148" s="484" t="s">
        <v>1577</v>
      </c>
      <c r="H148" s="606"/>
      <c r="I148" s="433"/>
      <c r="J148" s="607"/>
      <c r="K148" s="607"/>
      <c r="L148" s="608"/>
      <c r="M148" s="608"/>
      <c r="N148" s="624">
        <f>VLOOKUP(M148,'Salary Schedule'!$B$16:$N$47,L148+1,FALSE)</f>
        <v>0</v>
      </c>
      <c r="O148" s="610"/>
      <c r="P148" s="481">
        <v>0</v>
      </c>
      <c r="Q148" s="609"/>
      <c r="R148" s="479">
        <f t="shared" si="18"/>
        <v>0</v>
      </c>
      <c r="S148" s="479">
        <f t="shared" si="19"/>
        <v>0</v>
      </c>
      <c r="T148" s="479">
        <f t="shared" si="20"/>
        <v>0</v>
      </c>
      <c r="U148" s="479">
        <f t="shared" si="21"/>
        <v>0</v>
      </c>
      <c r="V148" s="479">
        <f t="shared" si="22"/>
        <v>0</v>
      </c>
      <c r="W148" s="479">
        <v>0</v>
      </c>
      <c r="X148" s="479">
        <v>0</v>
      </c>
      <c r="Y148" s="479">
        <v>0</v>
      </c>
      <c r="Z148" s="479">
        <v>0</v>
      </c>
      <c r="AA148" s="471">
        <f t="shared" si="23"/>
        <v>0</v>
      </c>
      <c r="AB148" s="471">
        <f t="shared" si="24"/>
        <v>0</v>
      </c>
    </row>
    <row r="149" spans="1:28" x14ac:dyDescent="0.15">
      <c r="A149" s="433"/>
      <c r="B149" s="606"/>
      <c r="C149" s="606"/>
      <c r="D149" s="606"/>
      <c r="E149" s="433"/>
      <c r="F149" s="606"/>
      <c r="G149" s="484" t="s">
        <v>1577</v>
      </c>
      <c r="H149" s="606"/>
      <c r="I149" s="433"/>
      <c r="J149" s="607"/>
      <c r="K149" s="607"/>
      <c r="L149" s="608"/>
      <c r="M149" s="608"/>
      <c r="N149" s="624">
        <f>VLOOKUP(M149,'Salary Schedule'!$B$16:$N$47,L149+1,FALSE)</f>
        <v>0</v>
      </c>
      <c r="O149" s="610"/>
      <c r="P149" s="481">
        <v>0</v>
      </c>
      <c r="Q149" s="609"/>
      <c r="R149" s="479">
        <f t="shared" si="18"/>
        <v>0</v>
      </c>
      <c r="S149" s="479">
        <f t="shared" si="19"/>
        <v>0</v>
      </c>
      <c r="T149" s="479">
        <f t="shared" si="20"/>
        <v>0</v>
      </c>
      <c r="U149" s="479">
        <f t="shared" si="21"/>
        <v>0</v>
      </c>
      <c r="V149" s="479">
        <f t="shared" si="22"/>
        <v>0</v>
      </c>
      <c r="W149" s="479">
        <v>0</v>
      </c>
      <c r="X149" s="479">
        <v>0</v>
      </c>
      <c r="Y149" s="479">
        <v>0</v>
      </c>
      <c r="Z149" s="479">
        <v>0</v>
      </c>
      <c r="AA149" s="471">
        <f t="shared" si="23"/>
        <v>0</v>
      </c>
      <c r="AB149" s="471">
        <f t="shared" si="24"/>
        <v>0</v>
      </c>
    </row>
    <row r="150" spans="1:28" x14ac:dyDescent="0.15">
      <c r="A150" s="433"/>
      <c r="B150" s="606"/>
      <c r="C150" s="606"/>
      <c r="D150" s="606"/>
      <c r="E150" s="433"/>
      <c r="F150" s="606"/>
      <c r="G150" s="484" t="s">
        <v>1577</v>
      </c>
      <c r="H150" s="606"/>
      <c r="I150" s="433"/>
      <c r="J150" s="607"/>
      <c r="K150" s="607"/>
      <c r="L150" s="608"/>
      <c r="M150" s="608"/>
      <c r="N150" s="624">
        <f>VLOOKUP(M150,'Salary Schedule'!$B$16:$N$47,L150+1,FALSE)</f>
        <v>0</v>
      </c>
      <c r="O150" s="610"/>
      <c r="P150" s="481">
        <v>0</v>
      </c>
      <c r="Q150" s="609"/>
      <c r="R150" s="479">
        <f t="shared" si="18"/>
        <v>0</v>
      </c>
      <c r="S150" s="479">
        <f t="shared" si="19"/>
        <v>0</v>
      </c>
      <c r="T150" s="479">
        <f t="shared" si="20"/>
        <v>0</v>
      </c>
      <c r="U150" s="479">
        <f t="shared" si="21"/>
        <v>0</v>
      </c>
      <c r="V150" s="479">
        <f t="shared" si="22"/>
        <v>0</v>
      </c>
      <c r="W150" s="479">
        <v>0</v>
      </c>
      <c r="X150" s="479">
        <v>0</v>
      </c>
      <c r="Y150" s="479">
        <v>0</v>
      </c>
      <c r="Z150" s="479">
        <v>0</v>
      </c>
      <c r="AA150" s="471">
        <f t="shared" si="23"/>
        <v>0</v>
      </c>
      <c r="AB150" s="471">
        <f t="shared" si="24"/>
        <v>0</v>
      </c>
    </row>
    <row r="151" spans="1:28" x14ac:dyDescent="0.15">
      <c r="A151" s="433"/>
      <c r="B151" s="606"/>
      <c r="C151" s="606"/>
      <c r="D151" s="606"/>
      <c r="E151" s="433"/>
      <c r="F151" s="606"/>
      <c r="G151" s="484" t="s">
        <v>1577</v>
      </c>
      <c r="H151" s="606"/>
      <c r="I151" s="433"/>
      <c r="J151" s="607"/>
      <c r="K151" s="607"/>
      <c r="L151" s="608"/>
      <c r="M151" s="608"/>
      <c r="N151" s="624">
        <f>VLOOKUP(M151,'Salary Schedule'!$B$16:$N$47,L151+1,FALSE)</f>
        <v>0</v>
      </c>
      <c r="O151" s="610"/>
      <c r="P151" s="481">
        <v>0</v>
      </c>
      <c r="Q151" s="609"/>
      <c r="R151" s="479">
        <f t="shared" si="18"/>
        <v>0</v>
      </c>
      <c r="S151" s="479">
        <f t="shared" si="19"/>
        <v>0</v>
      </c>
      <c r="T151" s="479">
        <f t="shared" si="20"/>
        <v>0</v>
      </c>
      <c r="U151" s="479">
        <f t="shared" si="21"/>
        <v>0</v>
      </c>
      <c r="V151" s="479">
        <f t="shared" si="22"/>
        <v>0</v>
      </c>
      <c r="W151" s="479">
        <v>0</v>
      </c>
      <c r="X151" s="479">
        <v>0</v>
      </c>
      <c r="Y151" s="479">
        <v>0</v>
      </c>
      <c r="Z151" s="479">
        <v>0</v>
      </c>
      <c r="AA151" s="471">
        <f t="shared" si="23"/>
        <v>0</v>
      </c>
      <c r="AB151" s="471">
        <f t="shared" si="24"/>
        <v>0</v>
      </c>
    </row>
    <row r="152" spans="1:28" x14ac:dyDescent="0.15">
      <c r="A152" s="433"/>
      <c r="B152" s="606"/>
      <c r="C152" s="606"/>
      <c r="D152" s="606"/>
      <c r="E152" s="433"/>
      <c r="F152" s="606"/>
      <c r="G152" s="484" t="s">
        <v>1577</v>
      </c>
      <c r="H152" s="606"/>
      <c r="I152" s="433"/>
      <c r="J152" s="607"/>
      <c r="K152" s="607"/>
      <c r="L152" s="608"/>
      <c r="M152" s="608"/>
      <c r="N152" s="624">
        <f>VLOOKUP(M152,'Salary Schedule'!$B$16:$N$47,L152+1,FALSE)</f>
        <v>0</v>
      </c>
      <c r="O152" s="610"/>
      <c r="P152" s="481">
        <v>0</v>
      </c>
      <c r="Q152" s="609"/>
      <c r="R152" s="479">
        <f t="shared" si="18"/>
        <v>0</v>
      </c>
      <c r="S152" s="479">
        <f t="shared" si="19"/>
        <v>0</v>
      </c>
      <c r="T152" s="479">
        <f t="shared" si="20"/>
        <v>0</v>
      </c>
      <c r="U152" s="479">
        <f t="shared" si="21"/>
        <v>0</v>
      </c>
      <c r="V152" s="479">
        <f t="shared" si="22"/>
        <v>0</v>
      </c>
      <c r="W152" s="479">
        <v>0</v>
      </c>
      <c r="X152" s="479">
        <v>0</v>
      </c>
      <c r="Y152" s="479">
        <v>0</v>
      </c>
      <c r="Z152" s="479">
        <v>0</v>
      </c>
      <c r="AA152" s="471">
        <f t="shared" si="23"/>
        <v>0</v>
      </c>
      <c r="AB152" s="471">
        <f t="shared" si="24"/>
        <v>0</v>
      </c>
    </row>
    <row r="153" spans="1:28" x14ac:dyDescent="0.15">
      <c r="A153" s="433"/>
      <c r="B153" s="606"/>
      <c r="C153" s="606"/>
      <c r="D153" s="606"/>
      <c r="E153" s="433"/>
      <c r="F153" s="606"/>
      <c r="G153" s="484" t="s">
        <v>1577</v>
      </c>
      <c r="H153" s="606"/>
      <c r="I153" s="433"/>
      <c r="J153" s="607"/>
      <c r="K153" s="607"/>
      <c r="L153" s="608"/>
      <c r="M153" s="608"/>
      <c r="N153" s="624">
        <f>VLOOKUP(M153,'Salary Schedule'!$B$16:$N$47,L153+1,FALSE)</f>
        <v>0</v>
      </c>
      <c r="O153" s="610"/>
      <c r="P153" s="481">
        <v>0</v>
      </c>
      <c r="Q153" s="609"/>
      <c r="R153" s="479">
        <f t="shared" si="18"/>
        <v>0</v>
      </c>
      <c r="S153" s="479">
        <f t="shared" si="19"/>
        <v>0</v>
      </c>
      <c r="T153" s="479">
        <f t="shared" si="20"/>
        <v>0</v>
      </c>
      <c r="U153" s="479">
        <f t="shared" si="21"/>
        <v>0</v>
      </c>
      <c r="V153" s="479">
        <f t="shared" si="22"/>
        <v>0</v>
      </c>
      <c r="W153" s="479">
        <v>0</v>
      </c>
      <c r="X153" s="479">
        <v>0</v>
      </c>
      <c r="Y153" s="479">
        <v>0</v>
      </c>
      <c r="Z153" s="479">
        <v>0</v>
      </c>
      <c r="AA153" s="471">
        <f t="shared" si="23"/>
        <v>0</v>
      </c>
      <c r="AB153" s="471">
        <f t="shared" si="24"/>
        <v>0</v>
      </c>
    </row>
    <row r="154" spans="1:28" x14ac:dyDescent="0.15">
      <c r="A154" s="433"/>
      <c r="B154" s="606"/>
      <c r="C154" s="606"/>
      <c r="D154" s="606"/>
      <c r="E154" s="433"/>
      <c r="F154" s="606"/>
      <c r="G154" s="484" t="s">
        <v>1577</v>
      </c>
      <c r="H154" s="606"/>
      <c r="I154" s="433"/>
      <c r="J154" s="607"/>
      <c r="K154" s="607"/>
      <c r="L154" s="608"/>
      <c r="M154" s="608"/>
      <c r="N154" s="624">
        <f>VLOOKUP(M154,'Salary Schedule'!$B$16:$N$47,L154+1,FALSE)</f>
        <v>0</v>
      </c>
      <c r="O154" s="610"/>
      <c r="P154" s="481">
        <v>0</v>
      </c>
      <c r="Q154" s="609"/>
      <c r="R154" s="479">
        <f t="shared" si="18"/>
        <v>0</v>
      </c>
      <c r="S154" s="479">
        <f t="shared" si="19"/>
        <v>0</v>
      </c>
      <c r="T154" s="479">
        <f t="shared" si="20"/>
        <v>0</v>
      </c>
      <c r="U154" s="479">
        <f t="shared" si="21"/>
        <v>0</v>
      </c>
      <c r="V154" s="479">
        <f t="shared" si="22"/>
        <v>0</v>
      </c>
      <c r="W154" s="479">
        <v>0</v>
      </c>
      <c r="X154" s="479">
        <v>0</v>
      </c>
      <c r="Y154" s="479">
        <v>0</v>
      </c>
      <c r="Z154" s="479">
        <v>0</v>
      </c>
      <c r="AA154" s="471">
        <f t="shared" si="23"/>
        <v>0</v>
      </c>
      <c r="AB154" s="471">
        <f t="shared" si="24"/>
        <v>0</v>
      </c>
    </row>
    <row r="155" spans="1:28" x14ac:dyDescent="0.15">
      <c r="A155" s="433"/>
      <c r="B155" s="606"/>
      <c r="C155" s="606"/>
      <c r="D155" s="606"/>
      <c r="E155" s="433"/>
      <c r="F155" s="606"/>
      <c r="G155" s="484" t="s">
        <v>1577</v>
      </c>
      <c r="H155" s="606"/>
      <c r="I155" s="433"/>
      <c r="J155" s="607"/>
      <c r="K155" s="607"/>
      <c r="L155" s="608"/>
      <c r="M155" s="608"/>
      <c r="N155" s="624">
        <f>VLOOKUP(M155,'Salary Schedule'!$B$16:$N$47,L155+1,FALSE)</f>
        <v>0</v>
      </c>
      <c r="O155" s="610"/>
      <c r="P155" s="481">
        <v>0</v>
      </c>
      <c r="Q155" s="609"/>
      <c r="R155" s="479">
        <f t="shared" si="18"/>
        <v>0</v>
      </c>
      <c r="S155" s="479">
        <f t="shared" si="19"/>
        <v>0</v>
      </c>
      <c r="T155" s="479">
        <f t="shared" si="20"/>
        <v>0</v>
      </c>
      <c r="U155" s="479">
        <f t="shared" si="21"/>
        <v>0</v>
      </c>
      <c r="V155" s="479">
        <f t="shared" si="22"/>
        <v>0</v>
      </c>
      <c r="W155" s="479">
        <v>0</v>
      </c>
      <c r="X155" s="479">
        <v>0</v>
      </c>
      <c r="Y155" s="479">
        <v>0</v>
      </c>
      <c r="Z155" s="479">
        <v>0</v>
      </c>
      <c r="AA155" s="471">
        <f t="shared" si="23"/>
        <v>0</v>
      </c>
      <c r="AB155" s="471">
        <f t="shared" si="24"/>
        <v>0</v>
      </c>
    </row>
    <row r="156" spans="1:28" x14ac:dyDescent="0.15">
      <c r="A156" s="433"/>
      <c r="B156" s="606"/>
      <c r="C156" s="606"/>
      <c r="D156" s="606"/>
      <c r="E156" s="433"/>
      <c r="F156" s="606"/>
      <c r="G156" s="484" t="s">
        <v>1577</v>
      </c>
      <c r="H156" s="606"/>
      <c r="I156" s="433"/>
      <c r="J156" s="607"/>
      <c r="K156" s="607"/>
      <c r="L156" s="608"/>
      <c r="M156" s="608"/>
      <c r="N156" s="624">
        <f>VLOOKUP(M156,'Salary Schedule'!$B$16:$N$47,L156+1,FALSE)</f>
        <v>0</v>
      </c>
      <c r="O156" s="610"/>
      <c r="P156" s="481">
        <v>0</v>
      </c>
      <c r="Q156" s="609"/>
      <c r="R156" s="479">
        <f t="shared" si="18"/>
        <v>0</v>
      </c>
      <c r="S156" s="479">
        <f t="shared" si="19"/>
        <v>0</v>
      </c>
      <c r="T156" s="479">
        <f t="shared" si="20"/>
        <v>0</v>
      </c>
      <c r="U156" s="479">
        <f t="shared" si="21"/>
        <v>0</v>
      </c>
      <c r="V156" s="479">
        <f t="shared" si="22"/>
        <v>0</v>
      </c>
      <c r="W156" s="479">
        <v>0</v>
      </c>
      <c r="X156" s="479">
        <v>0</v>
      </c>
      <c r="Y156" s="479">
        <v>0</v>
      </c>
      <c r="Z156" s="479">
        <v>0</v>
      </c>
      <c r="AA156" s="471">
        <f t="shared" si="23"/>
        <v>0</v>
      </c>
      <c r="AB156" s="471">
        <f t="shared" si="24"/>
        <v>0</v>
      </c>
    </row>
    <row r="157" spans="1:28" x14ac:dyDescent="0.15">
      <c r="A157" s="433"/>
      <c r="B157" s="606"/>
      <c r="C157" s="606"/>
      <c r="D157" s="606"/>
      <c r="E157" s="433"/>
      <c r="F157" s="606"/>
      <c r="G157" s="484" t="s">
        <v>1577</v>
      </c>
      <c r="H157" s="606"/>
      <c r="I157" s="433"/>
      <c r="J157" s="607"/>
      <c r="K157" s="607"/>
      <c r="L157" s="608"/>
      <c r="M157" s="608"/>
      <c r="N157" s="624">
        <f>VLOOKUP(M157,'Salary Schedule'!$B$16:$N$47,L157+1,FALSE)</f>
        <v>0</v>
      </c>
      <c r="O157" s="610"/>
      <c r="P157" s="481">
        <v>0</v>
      </c>
      <c r="Q157" s="609"/>
      <c r="R157" s="479">
        <f t="shared" si="18"/>
        <v>0</v>
      </c>
      <c r="S157" s="479">
        <f t="shared" si="19"/>
        <v>0</v>
      </c>
      <c r="T157" s="479">
        <f t="shared" si="20"/>
        <v>0</v>
      </c>
      <c r="U157" s="479">
        <f t="shared" si="21"/>
        <v>0</v>
      </c>
      <c r="V157" s="479">
        <f t="shared" si="22"/>
        <v>0</v>
      </c>
      <c r="W157" s="479">
        <v>0</v>
      </c>
      <c r="X157" s="479">
        <v>0</v>
      </c>
      <c r="Y157" s="479">
        <v>0</v>
      </c>
      <c r="Z157" s="479">
        <v>0</v>
      </c>
      <c r="AA157" s="471">
        <f t="shared" si="23"/>
        <v>0</v>
      </c>
      <c r="AB157" s="471">
        <f t="shared" si="24"/>
        <v>0</v>
      </c>
    </row>
    <row r="158" spans="1:28" x14ac:dyDescent="0.15">
      <c r="A158" s="433"/>
      <c r="B158" s="606"/>
      <c r="C158" s="606"/>
      <c r="D158" s="606"/>
      <c r="E158" s="433"/>
      <c r="F158" s="606"/>
      <c r="G158" s="484" t="s">
        <v>1577</v>
      </c>
      <c r="H158" s="606"/>
      <c r="I158" s="433"/>
      <c r="J158" s="607"/>
      <c r="K158" s="607"/>
      <c r="L158" s="608"/>
      <c r="M158" s="608"/>
      <c r="N158" s="624">
        <f>VLOOKUP(M158,'Salary Schedule'!$B$16:$N$47,L158+1,FALSE)</f>
        <v>0</v>
      </c>
      <c r="O158" s="610"/>
      <c r="P158" s="481">
        <v>0</v>
      </c>
      <c r="Q158" s="609"/>
      <c r="R158" s="479">
        <f t="shared" si="18"/>
        <v>0</v>
      </c>
      <c r="S158" s="479">
        <f t="shared" si="19"/>
        <v>0</v>
      </c>
      <c r="T158" s="479">
        <f t="shared" si="20"/>
        <v>0</v>
      </c>
      <c r="U158" s="479">
        <f t="shared" si="21"/>
        <v>0</v>
      </c>
      <c r="V158" s="479">
        <f t="shared" si="22"/>
        <v>0</v>
      </c>
      <c r="W158" s="479">
        <v>0</v>
      </c>
      <c r="X158" s="479">
        <v>0</v>
      </c>
      <c r="Y158" s="479">
        <v>0</v>
      </c>
      <c r="Z158" s="479">
        <v>0</v>
      </c>
      <c r="AA158" s="471">
        <f t="shared" si="23"/>
        <v>0</v>
      </c>
      <c r="AB158" s="471">
        <f t="shared" si="24"/>
        <v>0</v>
      </c>
    </row>
    <row r="159" spans="1:28" x14ac:dyDescent="0.15">
      <c r="A159" s="433"/>
      <c r="B159" s="606"/>
      <c r="C159" s="606"/>
      <c r="D159" s="606"/>
      <c r="E159" s="433"/>
      <c r="F159" s="606"/>
      <c r="G159" s="484" t="s">
        <v>1577</v>
      </c>
      <c r="H159" s="606"/>
      <c r="I159" s="433"/>
      <c r="J159" s="607"/>
      <c r="K159" s="607"/>
      <c r="L159" s="608"/>
      <c r="M159" s="608"/>
      <c r="N159" s="624">
        <f>VLOOKUP(M159,'Salary Schedule'!$B$16:$N$47,L159+1,FALSE)</f>
        <v>0</v>
      </c>
      <c r="O159" s="610"/>
      <c r="P159" s="481">
        <v>0</v>
      </c>
      <c r="Q159" s="609"/>
      <c r="R159" s="479">
        <f t="shared" si="18"/>
        <v>0</v>
      </c>
      <c r="S159" s="479">
        <f t="shared" si="19"/>
        <v>0</v>
      </c>
      <c r="T159" s="479">
        <f t="shared" si="20"/>
        <v>0</v>
      </c>
      <c r="U159" s="479">
        <f t="shared" si="21"/>
        <v>0</v>
      </c>
      <c r="V159" s="479">
        <f t="shared" si="22"/>
        <v>0</v>
      </c>
      <c r="W159" s="479">
        <v>0</v>
      </c>
      <c r="X159" s="479">
        <v>0</v>
      </c>
      <c r="Y159" s="479">
        <v>0</v>
      </c>
      <c r="Z159" s="479">
        <v>0</v>
      </c>
      <c r="AA159" s="471">
        <f t="shared" si="23"/>
        <v>0</v>
      </c>
      <c r="AB159" s="471">
        <f t="shared" si="24"/>
        <v>0</v>
      </c>
    </row>
    <row r="160" spans="1:28" x14ac:dyDescent="0.15">
      <c r="A160" s="433"/>
      <c r="B160" s="606"/>
      <c r="C160" s="606"/>
      <c r="D160" s="606"/>
      <c r="E160" s="433"/>
      <c r="F160" s="606"/>
      <c r="G160" s="484" t="s">
        <v>1577</v>
      </c>
      <c r="H160" s="606"/>
      <c r="I160" s="433"/>
      <c r="J160" s="607"/>
      <c r="K160" s="607"/>
      <c r="L160" s="608"/>
      <c r="M160" s="608"/>
      <c r="N160" s="624">
        <f>VLOOKUP(M160,'Salary Schedule'!$B$16:$N$47,L160+1,FALSE)</f>
        <v>0</v>
      </c>
      <c r="O160" s="610"/>
      <c r="P160" s="481">
        <v>0</v>
      </c>
      <c r="Q160" s="609"/>
      <c r="R160" s="479">
        <f t="shared" si="18"/>
        <v>0</v>
      </c>
      <c r="S160" s="479">
        <f t="shared" si="19"/>
        <v>0</v>
      </c>
      <c r="T160" s="479">
        <f t="shared" si="20"/>
        <v>0</v>
      </c>
      <c r="U160" s="479">
        <f t="shared" si="21"/>
        <v>0</v>
      </c>
      <c r="V160" s="479">
        <f t="shared" si="22"/>
        <v>0</v>
      </c>
      <c r="W160" s="479">
        <v>0</v>
      </c>
      <c r="X160" s="479">
        <v>0</v>
      </c>
      <c r="Y160" s="479">
        <v>0</v>
      </c>
      <c r="Z160" s="479">
        <v>0</v>
      </c>
      <c r="AA160" s="471">
        <f t="shared" si="23"/>
        <v>0</v>
      </c>
      <c r="AB160" s="471">
        <f t="shared" si="24"/>
        <v>0</v>
      </c>
    </row>
    <row r="161" spans="1:28" x14ac:dyDescent="0.15">
      <c r="A161" s="433"/>
      <c r="B161" s="606"/>
      <c r="C161" s="606"/>
      <c r="D161" s="606"/>
      <c r="E161" s="433"/>
      <c r="F161" s="606"/>
      <c r="G161" s="484" t="s">
        <v>1577</v>
      </c>
      <c r="H161" s="606"/>
      <c r="I161" s="433"/>
      <c r="J161" s="607"/>
      <c r="K161" s="607"/>
      <c r="L161" s="608"/>
      <c r="M161" s="608"/>
      <c r="N161" s="624">
        <f>VLOOKUP(M161,'Salary Schedule'!$B$16:$N$47,L161+1,FALSE)</f>
        <v>0</v>
      </c>
      <c r="O161" s="610"/>
      <c r="P161" s="481">
        <v>0</v>
      </c>
      <c r="Q161" s="609"/>
      <c r="R161" s="479">
        <f t="shared" si="18"/>
        <v>0</v>
      </c>
      <c r="S161" s="479">
        <f t="shared" si="19"/>
        <v>0</v>
      </c>
      <c r="T161" s="479">
        <f t="shared" si="20"/>
        <v>0</v>
      </c>
      <c r="U161" s="479">
        <f t="shared" si="21"/>
        <v>0</v>
      </c>
      <c r="V161" s="479">
        <f t="shared" si="22"/>
        <v>0</v>
      </c>
      <c r="W161" s="479">
        <v>0</v>
      </c>
      <c r="X161" s="479">
        <v>0</v>
      </c>
      <c r="Y161" s="479">
        <v>0</v>
      </c>
      <c r="Z161" s="479">
        <v>0</v>
      </c>
      <c r="AA161" s="471">
        <f t="shared" si="23"/>
        <v>0</v>
      </c>
      <c r="AB161" s="471">
        <f t="shared" si="24"/>
        <v>0</v>
      </c>
    </row>
    <row r="162" spans="1:28" x14ac:dyDescent="0.15">
      <c r="A162" s="433"/>
      <c r="B162" s="606"/>
      <c r="C162" s="606"/>
      <c r="D162" s="606"/>
      <c r="E162" s="433"/>
      <c r="F162" s="606"/>
      <c r="G162" s="484" t="s">
        <v>1577</v>
      </c>
      <c r="H162" s="606"/>
      <c r="I162" s="433"/>
      <c r="J162" s="607"/>
      <c r="K162" s="607"/>
      <c r="L162" s="608"/>
      <c r="M162" s="608"/>
      <c r="N162" s="624">
        <f>VLOOKUP(M162,'Salary Schedule'!$B$16:$N$47,L162+1,FALSE)</f>
        <v>0</v>
      </c>
      <c r="O162" s="610"/>
      <c r="P162" s="481">
        <v>0</v>
      </c>
      <c r="Q162" s="609"/>
      <c r="R162" s="479">
        <f t="shared" si="18"/>
        <v>0</v>
      </c>
      <c r="S162" s="479">
        <f t="shared" si="19"/>
        <v>0</v>
      </c>
      <c r="T162" s="479">
        <f t="shared" si="20"/>
        <v>0</v>
      </c>
      <c r="U162" s="479">
        <f t="shared" si="21"/>
        <v>0</v>
      </c>
      <c r="V162" s="479">
        <f t="shared" si="22"/>
        <v>0</v>
      </c>
      <c r="W162" s="479">
        <v>0</v>
      </c>
      <c r="X162" s="479">
        <v>0</v>
      </c>
      <c r="Y162" s="479">
        <v>0</v>
      </c>
      <c r="Z162" s="479">
        <v>0</v>
      </c>
      <c r="AA162" s="471">
        <f t="shared" si="23"/>
        <v>0</v>
      </c>
      <c r="AB162" s="471">
        <f t="shared" si="24"/>
        <v>0</v>
      </c>
    </row>
    <row r="163" spans="1:28" x14ac:dyDescent="0.15">
      <c r="A163" s="433"/>
      <c r="B163" s="606"/>
      <c r="C163" s="606"/>
      <c r="D163" s="606"/>
      <c r="E163" s="433"/>
      <c r="F163" s="606"/>
      <c r="G163" s="484" t="s">
        <v>1577</v>
      </c>
      <c r="H163" s="606"/>
      <c r="I163" s="433"/>
      <c r="J163" s="607"/>
      <c r="K163" s="607"/>
      <c r="L163" s="608"/>
      <c r="M163" s="608"/>
      <c r="N163" s="624">
        <f>VLOOKUP(M163,'Salary Schedule'!$B$16:$N$47,L163+1,FALSE)</f>
        <v>0</v>
      </c>
      <c r="O163" s="610"/>
      <c r="P163" s="481">
        <v>0</v>
      </c>
      <c r="Q163" s="609"/>
      <c r="R163" s="479">
        <f t="shared" si="18"/>
        <v>0</v>
      </c>
      <c r="S163" s="479">
        <f t="shared" si="19"/>
        <v>0</v>
      </c>
      <c r="T163" s="479">
        <f t="shared" si="20"/>
        <v>0</v>
      </c>
      <c r="U163" s="479">
        <f t="shared" si="21"/>
        <v>0</v>
      </c>
      <c r="V163" s="479">
        <f t="shared" si="22"/>
        <v>0</v>
      </c>
      <c r="W163" s="479">
        <v>0</v>
      </c>
      <c r="X163" s="479">
        <v>0</v>
      </c>
      <c r="Y163" s="479">
        <v>0</v>
      </c>
      <c r="Z163" s="479">
        <v>0</v>
      </c>
      <c r="AA163" s="471">
        <f t="shared" si="23"/>
        <v>0</v>
      </c>
      <c r="AB163" s="471">
        <f t="shared" si="24"/>
        <v>0</v>
      </c>
    </row>
    <row r="164" spans="1:28" x14ac:dyDescent="0.15">
      <c r="A164" s="433"/>
      <c r="B164" s="606"/>
      <c r="C164" s="606"/>
      <c r="D164" s="606"/>
      <c r="E164" s="433"/>
      <c r="F164" s="606"/>
      <c r="G164" s="484" t="s">
        <v>1577</v>
      </c>
      <c r="H164" s="606"/>
      <c r="I164" s="433"/>
      <c r="J164" s="607"/>
      <c r="K164" s="607"/>
      <c r="L164" s="608"/>
      <c r="M164" s="608"/>
      <c r="N164" s="624">
        <f>VLOOKUP(M164,'Salary Schedule'!$B$16:$N$47,L164+1,FALSE)</f>
        <v>0</v>
      </c>
      <c r="O164" s="610"/>
      <c r="P164" s="481">
        <v>0</v>
      </c>
      <c r="Q164" s="609"/>
      <c r="R164" s="479">
        <f t="shared" si="18"/>
        <v>0</v>
      </c>
      <c r="S164" s="479">
        <f t="shared" si="19"/>
        <v>0</v>
      </c>
      <c r="T164" s="479">
        <f t="shared" si="20"/>
        <v>0</v>
      </c>
      <c r="U164" s="479">
        <f t="shared" si="21"/>
        <v>0</v>
      </c>
      <c r="V164" s="479">
        <f t="shared" si="22"/>
        <v>0</v>
      </c>
      <c r="W164" s="479">
        <v>0</v>
      </c>
      <c r="X164" s="479">
        <v>0</v>
      </c>
      <c r="Y164" s="479">
        <v>0</v>
      </c>
      <c r="Z164" s="479">
        <v>0</v>
      </c>
      <c r="AA164" s="471">
        <f t="shared" si="23"/>
        <v>0</v>
      </c>
      <c r="AB164" s="471">
        <f t="shared" si="24"/>
        <v>0</v>
      </c>
    </row>
    <row r="165" spans="1:28" x14ac:dyDescent="0.15">
      <c r="A165" s="433"/>
      <c r="B165" s="606"/>
      <c r="C165" s="606"/>
      <c r="D165" s="606"/>
      <c r="E165" s="433"/>
      <c r="F165" s="606"/>
      <c r="G165" s="484" t="s">
        <v>1577</v>
      </c>
      <c r="H165" s="606"/>
      <c r="I165" s="433"/>
      <c r="J165" s="607"/>
      <c r="K165" s="607"/>
      <c r="L165" s="608"/>
      <c r="M165" s="608"/>
      <c r="N165" s="624">
        <f>VLOOKUP(M165,'Salary Schedule'!$B$16:$N$47,L165+1,FALSE)</f>
        <v>0</v>
      </c>
      <c r="O165" s="610"/>
      <c r="P165" s="481">
        <v>0</v>
      </c>
      <c r="Q165" s="609"/>
      <c r="R165" s="479">
        <f t="shared" si="18"/>
        <v>0</v>
      </c>
      <c r="S165" s="479">
        <f t="shared" si="19"/>
        <v>0</v>
      </c>
      <c r="T165" s="479">
        <f t="shared" si="20"/>
        <v>0</v>
      </c>
      <c r="U165" s="479">
        <f t="shared" si="21"/>
        <v>0</v>
      </c>
      <c r="V165" s="479">
        <f t="shared" si="22"/>
        <v>0</v>
      </c>
      <c r="W165" s="479">
        <v>0</v>
      </c>
      <c r="X165" s="479">
        <v>0</v>
      </c>
      <c r="Y165" s="479">
        <v>0</v>
      </c>
      <c r="Z165" s="479">
        <v>0</v>
      </c>
      <c r="AA165" s="471">
        <f t="shared" si="23"/>
        <v>0</v>
      </c>
      <c r="AB165" s="471">
        <f t="shared" si="24"/>
        <v>0</v>
      </c>
    </row>
    <row r="166" spans="1:28" x14ac:dyDescent="0.15">
      <c r="A166" s="433"/>
      <c r="B166" s="606"/>
      <c r="C166" s="606"/>
      <c r="D166" s="606"/>
      <c r="E166" s="433"/>
      <c r="F166" s="606"/>
      <c r="G166" s="484" t="s">
        <v>1577</v>
      </c>
      <c r="H166" s="606"/>
      <c r="I166" s="433"/>
      <c r="J166" s="607"/>
      <c r="K166" s="607"/>
      <c r="L166" s="608"/>
      <c r="M166" s="608"/>
      <c r="N166" s="624">
        <f>VLOOKUP(M166,'Salary Schedule'!$B$16:$N$47,L166+1,FALSE)</f>
        <v>0</v>
      </c>
      <c r="O166" s="610"/>
      <c r="P166" s="481">
        <v>0</v>
      </c>
      <c r="Q166" s="609"/>
      <c r="R166" s="479">
        <f t="shared" si="18"/>
        <v>0</v>
      </c>
      <c r="S166" s="479">
        <f t="shared" si="19"/>
        <v>0</v>
      </c>
      <c r="T166" s="479">
        <f t="shared" si="20"/>
        <v>0</v>
      </c>
      <c r="U166" s="479">
        <f t="shared" si="21"/>
        <v>0</v>
      </c>
      <c r="V166" s="479">
        <f t="shared" si="22"/>
        <v>0</v>
      </c>
      <c r="W166" s="479">
        <v>0</v>
      </c>
      <c r="X166" s="479">
        <v>0</v>
      </c>
      <c r="Y166" s="479">
        <v>0</v>
      </c>
      <c r="Z166" s="479">
        <v>0</v>
      </c>
      <c r="AA166" s="471">
        <f t="shared" si="23"/>
        <v>0</v>
      </c>
      <c r="AB166" s="471">
        <f t="shared" si="24"/>
        <v>0</v>
      </c>
    </row>
    <row r="167" spans="1:28" x14ac:dyDescent="0.15">
      <c r="A167" s="433"/>
      <c r="B167" s="606"/>
      <c r="C167" s="606"/>
      <c r="D167" s="606"/>
      <c r="E167" s="433"/>
      <c r="F167" s="606"/>
      <c r="G167" s="484" t="s">
        <v>1577</v>
      </c>
      <c r="H167" s="606"/>
      <c r="I167" s="433"/>
      <c r="J167" s="607"/>
      <c r="K167" s="607"/>
      <c r="L167" s="608"/>
      <c r="M167" s="608"/>
      <c r="N167" s="624">
        <f>VLOOKUP(M167,'Salary Schedule'!$B$16:$N$47,L167+1,FALSE)</f>
        <v>0</v>
      </c>
      <c r="O167" s="610"/>
      <c r="P167" s="481">
        <v>0</v>
      </c>
      <c r="Q167" s="609"/>
      <c r="R167" s="479">
        <f t="shared" si="18"/>
        <v>0</v>
      </c>
      <c r="S167" s="479">
        <f t="shared" si="19"/>
        <v>0</v>
      </c>
      <c r="T167" s="479">
        <f t="shared" si="20"/>
        <v>0</v>
      </c>
      <c r="U167" s="479">
        <f t="shared" si="21"/>
        <v>0</v>
      </c>
      <c r="V167" s="479">
        <f t="shared" si="22"/>
        <v>0</v>
      </c>
      <c r="W167" s="479">
        <v>0</v>
      </c>
      <c r="X167" s="479">
        <v>0</v>
      </c>
      <c r="Y167" s="479">
        <v>0</v>
      </c>
      <c r="Z167" s="479">
        <v>0</v>
      </c>
      <c r="AA167" s="471">
        <f t="shared" si="23"/>
        <v>0</v>
      </c>
      <c r="AB167" s="471">
        <f t="shared" si="24"/>
        <v>0</v>
      </c>
    </row>
    <row r="168" spans="1:28" x14ac:dyDescent="0.15">
      <c r="A168" s="433"/>
      <c r="B168" s="606"/>
      <c r="C168" s="606"/>
      <c r="D168" s="606"/>
      <c r="E168" s="433"/>
      <c r="F168" s="606"/>
      <c r="G168" s="484" t="s">
        <v>1577</v>
      </c>
      <c r="H168" s="606"/>
      <c r="I168" s="433"/>
      <c r="J168" s="607"/>
      <c r="K168" s="607"/>
      <c r="L168" s="608"/>
      <c r="M168" s="608"/>
      <c r="N168" s="624">
        <f>VLOOKUP(M168,'Salary Schedule'!$B$16:$N$47,L168+1,FALSE)</f>
        <v>0</v>
      </c>
      <c r="O168" s="610"/>
      <c r="P168" s="481">
        <v>0</v>
      </c>
      <c r="Q168" s="609"/>
      <c r="R168" s="479">
        <f t="shared" si="18"/>
        <v>0</v>
      </c>
      <c r="S168" s="479">
        <f t="shared" si="19"/>
        <v>0</v>
      </c>
      <c r="T168" s="479">
        <f t="shared" si="20"/>
        <v>0</v>
      </c>
      <c r="U168" s="479">
        <f t="shared" si="21"/>
        <v>0</v>
      </c>
      <c r="V168" s="479">
        <f t="shared" si="22"/>
        <v>0</v>
      </c>
      <c r="W168" s="479">
        <v>0</v>
      </c>
      <c r="X168" s="479">
        <v>0</v>
      </c>
      <c r="Y168" s="479">
        <v>0</v>
      </c>
      <c r="Z168" s="479">
        <v>0</v>
      </c>
      <c r="AA168" s="471">
        <f t="shared" si="23"/>
        <v>0</v>
      </c>
      <c r="AB168" s="471">
        <f t="shared" si="24"/>
        <v>0</v>
      </c>
    </row>
    <row r="169" spans="1:28" x14ac:dyDescent="0.15">
      <c r="A169" s="433"/>
      <c r="B169" s="606"/>
      <c r="C169" s="606"/>
      <c r="D169" s="606"/>
      <c r="E169" s="433"/>
      <c r="F169" s="606"/>
      <c r="G169" s="484" t="s">
        <v>1577</v>
      </c>
      <c r="H169" s="606"/>
      <c r="I169" s="433"/>
      <c r="J169" s="607"/>
      <c r="K169" s="607"/>
      <c r="L169" s="608"/>
      <c r="M169" s="608"/>
      <c r="N169" s="624">
        <f>VLOOKUP(M169,'Salary Schedule'!$B$16:$N$47,L169+1,FALSE)</f>
        <v>0</v>
      </c>
      <c r="O169" s="610"/>
      <c r="P169" s="481">
        <v>0</v>
      </c>
      <c r="Q169" s="609"/>
      <c r="R169" s="479">
        <f t="shared" si="18"/>
        <v>0</v>
      </c>
      <c r="S169" s="479">
        <f t="shared" si="19"/>
        <v>0</v>
      </c>
      <c r="T169" s="479">
        <f t="shared" si="20"/>
        <v>0</v>
      </c>
      <c r="U169" s="479">
        <f t="shared" si="21"/>
        <v>0</v>
      </c>
      <c r="V169" s="479">
        <f t="shared" si="22"/>
        <v>0</v>
      </c>
      <c r="W169" s="479">
        <v>0</v>
      </c>
      <c r="X169" s="479">
        <v>0</v>
      </c>
      <c r="Y169" s="479">
        <v>0</v>
      </c>
      <c r="Z169" s="479">
        <v>0</v>
      </c>
      <c r="AA169" s="471">
        <f t="shared" si="23"/>
        <v>0</v>
      </c>
      <c r="AB169" s="471">
        <f t="shared" si="24"/>
        <v>0</v>
      </c>
    </row>
    <row r="170" spans="1:28" x14ac:dyDescent="0.15">
      <c r="A170" s="433"/>
      <c r="B170" s="606"/>
      <c r="C170" s="606"/>
      <c r="D170" s="606"/>
      <c r="E170" s="433"/>
      <c r="F170" s="606"/>
      <c r="G170" s="484" t="s">
        <v>1577</v>
      </c>
      <c r="H170" s="606"/>
      <c r="I170" s="433"/>
      <c r="J170" s="607"/>
      <c r="K170" s="607"/>
      <c r="L170" s="608"/>
      <c r="M170" s="608"/>
      <c r="N170" s="624">
        <f>VLOOKUP(M170,'Salary Schedule'!$B$16:$N$47,L170+1,FALSE)</f>
        <v>0</v>
      </c>
      <c r="O170" s="610"/>
      <c r="P170" s="481">
        <v>0</v>
      </c>
      <c r="Q170" s="609"/>
      <c r="R170" s="479">
        <f t="shared" si="18"/>
        <v>0</v>
      </c>
      <c r="S170" s="479">
        <f t="shared" si="19"/>
        <v>0</v>
      </c>
      <c r="T170" s="479">
        <f t="shared" si="20"/>
        <v>0</v>
      </c>
      <c r="U170" s="479">
        <f t="shared" si="21"/>
        <v>0</v>
      </c>
      <c r="V170" s="479">
        <f t="shared" si="22"/>
        <v>0</v>
      </c>
      <c r="W170" s="479">
        <v>0</v>
      </c>
      <c r="X170" s="479">
        <v>0</v>
      </c>
      <c r="Y170" s="479">
        <v>0</v>
      </c>
      <c r="Z170" s="479">
        <v>0</v>
      </c>
      <c r="AA170" s="471">
        <f t="shared" si="23"/>
        <v>0</v>
      </c>
      <c r="AB170" s="471">
        <f t="shared" si="24"/>
        <v>0</v>
      </c>
    </row>
    <row r="171" spans="1:28" x14ac:dyDescent="0.15">
      <c r="A171" s="433"/>
      <c r="B171" s="606"/>
      <c r="C171" s="606"/>
      <c r="D171" s="606"/>
      <c r="E171" s="433"/>
      <c r="F171" s="606"/>
      <c r="G171" s="484" t="s">
        <v>1577</v>
      </c>
      <c r="H171" s="606"/>
      <c r="I171" s="433"/>
      <c r="J171" s="607"/>
      <c r="K171" s="607"/>
      <c r="L171" s="608"/>
      <c r="M171" s="608"/>
      <c r="N171" s="624">
        <f>VLOOKUP(M171,'Salary Schedule'!$B$16:$N$47,L171+1,FALSE)</f>
        <v>0</v>
      </c>
      <c r="O171" s="610"/>
      <c r="P171" s="481">
        <v>0</v>
      </c>
      <c r="Q171" s="609"/>
      <c r="R171" s="479">
        <f t="shared" si="18"/>
        <v>0</v>
      </c>
      <c r="S171" s="479">
        <f t="shared" si="19"/>
        <v>0</v>
      </c>
      <c r="T171" s="479">
        <f t="shared" si="20"/>
        <v>0</v>
      </c>
      <c r="U171" s="479">
        <f t="shared" si="21"/>
        <v>0</v>
      </c>
      <c r="V171" s="479">
        <f t="shared" si="22"/>
        <v>0</v>
      </c>
      <c r="W171" s="479">
        <v>0</v>
      </c>
      <c r="X171" s="479">
        <v>0</v>
      </c>
      <c r="Y171" s="479">
        <v>0</v>
      </c>
      <c r="Z171" s="479">
        <v>0</v>
      </c>
      <c r="AA171" s="471">
        <f t="shared" si="23"/>
        <v>0</v>
      </c>
      <c r="AB171" s="471">
        <f t="shared" si="24"/>
        <v>0</v>
      </c>
    </row>
    <row r="172" spans="1:28" x14ac:dyDescent="0.15">
      <c r="A172" s="433"/>
      <c r="B172" s="606"/>
      <c r="C172" s="606"/>
      <c r="D172" s="606"/>
      <c r="E172" s="433"/>
      <c r="F172" s="606"/>
      <c r="G172" s="484" t="s">
        <v>1577</v>
      </c>
      <c r="H172" s="606"/>
      <c r="I172" s="433"/>
      <c r="J172" s="607"/>
      <c r="K172" s="607"/>
      <c r="L172" s="608"/>
      <c r="M172" s="608"/>
      <c r="N172" s="624">
        <f>VLOOKUP(M172,'Salary Schedule'!$B$16:$N$47,L172+1,FALSE)</f>
        <v>0</v>
      </c>
      <c r="O172" s="610"/>
      <c r="P172" s="481">
        <v>0</v>
      </c>
      <c r="Q172" s="609"/>
      <c r="R172" s="479">
        <f t="shared" si="18"/>
        <v>0</v>
      </c>
      <c r="S172" s="479">
        <f t="shared" si="19"/>
        <v>0</v>
      </c>
      <c r="T172" s="479">
        <f t="shared" si="20"/>
        <v>0</v>
      </c>
      <c r="U172" s="479">
        <f t="shared" si="21"/>
        <v>0</v>
      </c>
      <c r="V172" s="479">
        <f t="shared" si="22"/>
        <v>0</v>
      </c>
      <c r="W172" s="479">
        <v>0</v>
      </c>
      <c r="X172" s="479">
        <v>0</v>
      </c>
      <c r="Y172" s="479">
        <v>0</v>
      </c>
      <c r="Z172" s="479">
        <v>0</v>
      </c>
      <c r="AA172" s="471">
        <f t="shared" si="23"/>
        <v>0</v>
      </c>
      <c r="AB172" s="471">
        <f t="shared" si="24"/>
        <v>0</v>
      </c>
    </row>
    <row r="173" spans="1:28" x14ac:dyDescent="0.15">
      <c r="A173" s="433"/>
      <c r="B173" s="606"/>
      <c r="C173" s="606"/>
      <c r="D173" s="606"/>
      <c r="E173" s="433"/>
      <c r="F173" s="606"/>
      <c r="G173" s="484" t="s">
        <v>1577</v>
      </c>
      <c r="H173" s="606"/>
      <c r="I173" s="433"/>
      <c r="J173" s="607"/>
      <c r="K173" s="607"/>
      <c r="L173" s="608"/>
      <c r="M173" s="608"/>
      <c r="N173" s="624">
        <f>VLOOKUP(M173,'Salary Schedule'!$B$16:$N$47,L173+1,FALSE)</f>
        <v>0</v>
      </c>
      <c r="O173" s="610"/>
      <c r="P173" s="481">
        <v>0</v>
      </c>
      <c r="Q173" s="609"/>
      <c r="R173" s="479">
        <f t="shared" si="18"/>
        <v>0</v>
      </c>
      <c r="S173" s="479">
        <f t="shared" si="19"/>
        <v>0</v>
      </c>
      <c r="T173" s="479">
        <f t="shared" si="20"/>
        <v>0</v>
      </c>
      <c r="U173" s="479">
        <f t="shared" si="21"/>
        <v>0</v>
      </c>
      <c r="V173" s="479">
        <f t="shared" si="22"/>
        <v>0</v>
      </c>
      <c r="W173" s="479">
        <v>0</v>
      </c>
      <c r="X173" s="479">
        <v>0</v>
      </c>
      <c r="Y173" s="479">
        <v>0</v>
      </c>
      <c r="Z173" s="479">
        <v>0</v>
      </c>
      <c r="AA173" s="471">
        <f t="shared" si="23"/>
        <v>0</v>
      </c>
      <c r="AB173" s="471">
        <f t="shared" si="24"/>
        <v>0</v>
      </c>
    </row>
    <row r="174" spans="1:28" x14ac:dyDescent="0.15">
      <c r="A174" s="433"/>
      <c r="B174" s="606"/>
      <c r="C174" s="606"/>
      <c r="D174" s="606"/>
      <c r="E174" s="433"/>
      <c r="F174" s="606"/>
      <c r="G174" s="484" t="s">
        <v>1577</v>
      </c>
      <c r="H174" s="606"/>
      <c r="I174" s="433"/>
      <c r="J174" s="607"/>
      <c r="K174" s="607"/>
      <c r="L174" s="608"/>
      <c r="M174" s="608"/>
      <c r="N174" s="624">
        <f>VLOOKUP(M174,'Salary Schedule'!$B$16:$N$47,L174+1,FALSE)</f>
        <v>0</v>
      </c>
      <c r="O174" s="610"/>
      <c r="P174" s="481">
        <v>0</v>
      </c>
      <c r="Q174" s="609"/>
      <c r="R174" s="479">
        <f t="shared" si="18"/>
        <v>0</v>
      </c>
      <c r="S174" s="479">
        <f t="shared" si="19"/>
        <v>0</v>
      </c>
      <c r="T174" s="479">
        <f t="shared" si="20"/>
        <v>0</v>
      </c>
      <c r="U174" s="479">
        <f t="shared" si="21"/>
        <v>0</v>
      </c>
      <c r="V174" s="479">
        <f t="shared" si="22"/>
        <v>0</v>
      </c>
      <c r="W174" s="479">
        <v>0</v>
      </c>
      <c r="X174" s="479">
        <v>0</v>
      </c>
      <c r="Y174" s="479">
        <v>0</v>
      </c>
      <c r="Z174" s="479">
        <v>0</v>
      </c>
      <c r="AA174" s="471">
        <f t="shared" si="23"/>
        <v>0</v>
      </c>
      <c r="AB174" s="471">
        <f t="shared" si="24"/>
        <v>0</v>
      </c>
    </row>
    <row r="175" spans="1:28" x14ac:dyDescent="0.15">
      <c r="A175" s="433"/>
      <c r="B175" s="606"/>
      <c r="C175" s="606"/>
      <c r="D175" s="606"/>
      <c r="E175" s="433"/>
      <c r="F175" s="606"/>
      <c r="G175" s="484" t="s">
        <v>1577</v>
      </c>
      <c r="H175" s="606"/>
      <c r="I175" s="433"/>
      <c r="J175" s="607"/>
      <c r="K175" s="607"/>
      <c r="L175" s="608"/>
      <c r="M175" s="608"/>
      <c r="N175" s="624">
        <f>VLOOKUP(M175,'Salary Schedule'!$B$16:$N$47,L175+1,FALSE)</f>
        <v>0</v>
      </c>
      <c r="O175" s="610"/>
      <c r="P175" s="481">
        <v>0</v>
      </c>
      <c r="Q175" s="609"/>
      <c r="R175" s="479">
        <f t="shared" si="18"/>
        <v>0</v>
      </c>
      <c r="S175" s="479">
        <f t="shared" si="19"/>
        <v>0</v>
      </c>
      <c r="T175" s="479">
        <f t="shared" si="20"/>
        <v>0</v>
      </c>
      <c r="U175" s="479">
        <f t="shared" si="21"/>
        <v>0</v>
      </c>
      <c r="V175" s="479">
        <f t="shared" si="22"/>
        <v>0</v>
      </c>
      <c r="W175" s="479">
        <v>0</v>
      </c>
      <c r="X175" s="479">
        <v>0</v>
      </c>
      <c r="Y175" s="479">
        <v>0</v>
      </c>
      <c r="Z175" s="479">
        <v>0</v>
      </c>
      <c r="AA175" s="471">
        <f t="shared" si="23"/>
        <v>0</v>
      </c>
      <c r="AB175" s="471">
        <f t="shared" si="24"/>
        <v>0</v>
      </c>
    </row>
    <row r="176" spans="1:28" x14ac:dyDescent="0.15">
      <c r="A176" s="433"/>
      <c r="B176" s="606"/>
      <c r="C176" s="606"/>
      <c r="D176" s="606"/>
      <c r="E176" s="433"/>
      <c r="F176" s="606"/>
      <c r="G176" s="484" t="s">
        <v>1577</v>
      </c>
      <c r="H176" s="606"/>
      <c r="I176" s="433"/>
      <c r="J176" s="607"/>
      <c r="K176" s="607"/>
      <c r="L176" s="608"/>
      <c r="M176" s="608"/>
      <c r="N176" s="624">
        <f>VLOOKUP(M176,'Salary Schedule'!$B$16:$N$47,L176+1,FALSE)</f>
        <v>0</v>
      </c>
      <c r="O176" s="610"/>
      <c r="P176" s="481">
        <v>0</v>
      </c>
      <c r="Q176" s="609"/>
      <c r="R176" s="479">
        <f t="shared" si="18"/>
        <v>0</v>
      </c>
      <c r="S176" s="479">
        <f t="shared" si="19"/>
        <v>0</v>
      </c>
      <c r="T176" s="479">
        <f t="shared" si="20"/>
        <v>0</v>
      </c>
      <c r="U176" s="479">
        <f t="shared" si="21"/>
        <v>0</v>
      </c>
      <c r="V176" s="479">
        <f t="shared" si="22"/>
        <v>0</v>
      </c>
      <c r="W176" s="479">
        <v>0</v>
      </c>
      <c r="X176" s="479">
        <v>0</v>
      </c>
      <c r="Y176" s="479">
        <v>0</v>
      </c>
      <c r="Z176" s="479">
        <v>0</v>
      </c>
      <c r="AA176" s="471">
        <f t="shared" si="23"/>
        <v>0</v>
      </c>
      <c r="AB176" s="471">
        <f t="shared" si="24"/>
        <v>0</v>
      </c>
    </row>
    <row r="177" spans="1:28" x14ac:dyDescent="0.15">
      <c r="A177" s="433"/>
      <c r="B177" s="606"/>
      <c r="C177" s="606"/>
      <c r="D177" s="606"/>
      <c r="E177" s="433"/>
      <c r="F177" s="606"/>
      <c r="G177" s="484" t="s">
        <v>1577</v>
      </c>
      <c r="H177" s="606"/>
      <c r="I177" s="433"/>
      <c r="J177" s="607"/>
      <c r="K177" s="607"/>
      <c r="L177" s="608"/>
      <c r="M177" s="608"/>
      <c r="N177" s="624">
        <f>VLOOKUP(M177,'Salary Schedule'!$B$16:$N$47,L177+1,FALSE)</f>
        <v>0</v>
      </c>
      <c r="O177" s="610"/>
      <c r="P177" s="481">
        <v>0</v>
      </c>
      <c r="Q177" s="609"/>
      <c r="R177" s="479">
        <f t="shared" si="18"/>
        <v>0</v>
      </c>
      <c r="S177" s="479">
        <f t="shared" si="19"/>
        <v>0</v>
      </c>
      <c r="T177" s="479">
        <f t="shared" si="20"/>
        <v>0</v>
      </c>
      <c r="U177" s="479">
        <f t="shared" si="21"/>
        <v>0</v>
      </c>
      <c r="V177" s="479">
        <f t="shared" si="22"/>
        <v>0</v>
      </c>
      <c r="W177" s="479">
        <v>0</v>
      </c>
      <c r="X177" s="479">
        <v>0</v>
      </c>
      <c r="Y177" s="479">
        <v>0</v>
      </c>
      <c r="Z177" s="479">
        <v>0</v>
      </c>
      <c r="AA177" s="471">
        <f t="shared" si="23"/>
        <v>0</v>
      </c>
      <c r="AB177" s="471">
        <f t="shared" si="24"/>
        <v>0</v>
      </c>
    </row>
    <row r="178" spans="1:28" x14ac:dyDescent="0.15">
      <c r="A178" s="433"/>
      <c r="B178" s="606"/>
      <c r="C178" s="606"/>
      <c r="D178" s="606"/>
      <c r="E178" s="433"/>
      <c r="F178" s="606"/>
      <c r="G178" s="484" t="s">
        <v>1577</v>
      </c>
      <c r="H178" s="606"/>
      <c r="I178" s="433"/>
      <c r="J178" s="607"/>
      <c r="K178" s="607"/>
      <c r="L178" s="608"/>
      <c r="M178" s="608"/>
      <c r="N178" s="624">
        <f>VLOOKUP(M178,'Salary Schedule'!$B$16:$N$47,L178+1,FALSE)</f>
        <v>0</v>
      </c>
      <c r="O178" s="610"/>
      <c r="P178" s="481">
        <v>0</v>
      </c>
      <c r="Q178" s="609"/>
      <c r="R178" s="479">
        <f t="shared" si="18"/>
        <v>0</v>
      </c>
      <c r="S178" s="479">
        <f t="shared" si="19"/>
        <v>0</v>
      </c>
      <c r="T178" s="479">
        <f t="shared" si="20"/>
        <v>0</v>
      </c>
      <c r="U178" s="479">
        <f t="shared" si="21"/>
        <v>0</v>
      </c>
      <c r="V178" s="479">
        <f t="shared" si="22"/>
        <v>0</v>
      </c>
      <c r="W178" s="479">
        <v>0</v>
      </c>
      <c r="X178" s="479">
        <v>0</v>
      </c>
      <c r="Y178" s="479">
        <v>0</v>
      </c>
      <c r="Z178" s="479">
        <v>0</v>
      </c>
      <c r="AA178" s="471">
        <f t="shared" si="23"/>
        <v>0</v>
      </c>
      <c r="AB178" s="471">
        <f t="shared" si="24"/>
        <v>0</v>
      </c>
    </row>
    <row r="179" spans="1:28" x14ac:dyDescent="0.15">
      <c r="A179" s="433"/>
      <c r="B179" s="606"/>
      <c r="C179" s="606"/>
      <c r="D179" s="606"/>
      <c r="E179" s="433"/>
      <c r="F179" s="606"/>
      <c r="G179" s="484" t="s">
        <v>1577</v>
      </c>
      <c r="H179" s="606"/>
      <c r="I179" s="433"/>
      <c r="J179" s="607"/>
      <c r="K179" s="607"/>
      <c r="L179" s="608"/>
      <c r="M179" s="608"/>
      <c r="N179" s="624">
        <f>VLOOKUP(M179,'Salary Schedule'!$B$16:$N$47,L179+1,FALSE)</f>
        <v>0</v>
      </c>
      <c r="O179" s="610"/>
      <c r="P179" s="481">
        <v>0</v>
      </c>
      <c r="Q179" s="609"/>
      <c r="R179" s="479">
        <f t="shared" si="18"/>
        <v>0</v>
      </c>
      <c r="S179" s="479">
        <f t="shared" si="19"/>
        <v>0</v>
      </c>
      <c r="T179" s="479">
        <f t="shared" si="20"/>
        <v>0</v>
      </c>
      <c r="U179" s="479">
        <f t="shared" si="21"/>
        <v>0</v>
      </c>
      <c r="V179" s="479">
        <f t="shared" si="22"/>
        <v>0</v>
      </c>
      <c r="W179" s="479">
        <v>0</v>
      </c>
      <c r="X179" s="479">
        <v>0</v>
      </c>
      <c r="Y179" s="479">
        <v>0</v>
      </c>
      <c r="Z179" s="479">
        <v>0</v>
      </c>
      <c r="AA179" s="471">
        <f t="shared" si="23"/>
        <v>0</v>
      </c>
      <c r="AB179" s="471">
        <f t="shared" si="24"/>
        <v>0</v>
      </c>
    </row>
    <row r="180" spans="1:28" x14ac:dyDescent="0.15">
      <c r="A180" s="433"/>
      <c r="B180" s="606"/>
      <c r="C180" s="606"/>
      <c r="D180" s="606"/>
      <c r="E180" s="433"/>
      <c r="F180" s="606"/>
      <c r="G180" s="484" t="s">
        <v>1577</v>
      </c>
      <c r="H180" s="606"/>
      <c r="I180" s="433"/>
      <c r="J180" s="607"/>
      <c r="K180" s="607"/>
      <c r="L180" s="608"/>
      <c r="M180" s="608"/>
      <c r="N180" s="624">
        <f>VLOOKUP(M180,'Salary Schedule'!$B$16:$N$47,L180+1,FALSE)</f>
        <v>0</v>
      </c>
      <c r="O180" s="610"/>
      <c r="P180" s="481">
        <v>0</v>
      </c>
      <c r="Q180" s="609"/>
      <c r="R180" s="479">
        <f t="shared" si="18"/>
        <v>0</v>
      </c>
      <c r="S180" s="479">
        <f t="shared" si="19"/>
        <v>0</v>
      </c>
      <c r="T180" s="479">
        <f t="shared" si="20"/>
        <v>0</v>
      </c>
      <c r="U180" s="479">
        <f t="shared" si="21"/>
        <v>0</v>
      </c>
      <c r="V180" s="479">
        <f t="shared" si="22"/>
        <v>0</v>
      </c>
      <c r="W180" s="479">
        <v>0</v>
      </c>
      <c r="X180" s="479">
        <v>0</v>
      </c>
      <c r="Y180" s="479">
        <v>0</v>
      </c>
      <c r="Z180" s="479">
        <v>0</v>
      </c>
      <c r="AA180" s="471">
        <f t="shared" si="23"/>
        <v>0</v>
      </c>
      <c r="AB180" s="471">
        <f t="shared" si="24"/>
        <v>0</v>
      </c>
    </row>
    <row r="181" spans="1:28" x14ac:dyDescent="0.15">
      <c r="A181" s="433"/>
      <c r="B181" s="606"/>
      <c r="C181" s="606"/>
      <c r="D181" s="606"/>
      <c r="E181" s="433"/>
      <c r="F181" s="606"/>
      <c r="G181" s="484" t="s">
        <v>1577</v>
      </c>
      <c r="H181" s="606"/>
      <c r="I181" s="433"/>
      <c r="J181" s="607"/>
      <c r="K181" s="607"/>
      <c r="L181" s="608"/>
      <c r="M181" s="608"/>
      <c r="N181" s="624">
        <f>VLOOKUP(M181,'Salary Schedule'!$B$16:$N$47,L181+1,FALSE)</f>
        <v>0</v>
      </c>
      <c r="O181" s="610"/>
      <c r="P181" s="481">
        <v>0</v>
      </c>
      <c r="Q181" s="609"/>
      <c r="R181" s="479">
        <f t="shared" si="18"/>
        <v>0</v>
      </c>
      <c r="S181" s="479">
        <f t="shared" si="19"/>
        <v>0</v>
      </c>
      <c r="T181" s="479">
        <f t="shared" si="20"/>
        <v>0</v>
      </c>
      <c r="U181" s="479">
        <f t="shared" si="21"/>
        <v>0</v>
      </c>
      <c r="V181" s="479">
        <f t="shared" si="22"/>
        <v>0</v>
      </c>
      <c r="W181" s="479">
        <v>0</v>
      </c>
      <c r="X181" s="479">
        <v>0</v>
      </c>
      <c r="Y181" s="479">
        <v>0</v>
      </c>
      <c r="Z181" s="479">
        <v>0</v>
      </c>
      <c r="AA181" s="471">
        <f t="shared" si="23"/>
        <v>0</v>
      </c>
      <c r="AB181" s="471">
        <f t="shared" si="24"/>
        <v>0</v>
      </c>
    </row>
    <row r="182" spans="1:28" x14ac:dyDescent="0.15">
      <c r="A182" s="433"/>
      <c r="B182" s="606"/>
      <c r="C182" s="606"/>
      <c r="D182" s="606"/>
      <c r="E182" s="433"/>
      <c r="F182" s="606"/>
      <c r="G182" s="484" t="s">
        <v>1577</v>
      </c>
      <c r="H182" s="606"/>
      <c r="I182" s="433"/>
      <c r="J182" s="607"/>
      <c r="K182" s="607"/>
      <c r="L182" s="608"/>
      <c r="M182" s="608"/>
      <c r="N182" s="624">
        <f>VLOOKUP(M182,'Salary Schedule'!$B$16:$N$47,L182+1,FALSE)</f>
        <v>0</v>
      </c>
      <c r="O182" s="610"/>
      <c r="P182" s="481">
        <v>0</v>
      </c>
      <c r="Q182" s="609"/>
      <c r="R182" s="479">
        <f t="shared" si="18"/>
        <v>0</v>
      </c>
      <c r="S182" s="479">
        <f t="shared" si="19"/>
        <v>0</v>
      </c>
      <c r="T182" s="479">
        <f t="shared" si="20"/>
        <v>0</v>
      </c>
      <c r="U182" s="479">
        <f t="shared" si="21"/>
        <v>0</v>
      </c>
      <c r="V182" s="479">
        <f t="shared" si="22"/>
        <v>0</v>
      </c>
      <c r="W182" s="479">
        <v>0</v>
      </c>
      <c r="X182" s="479">
        <v>0</v>
      </c>
      <c r="Y182" s="479">
        <v>0</v>
      </c>
      <c r="Z182" s="479">
        <v>0</v>
      </c>
      <c r="AA182" s="471">
        <f t="shared" si="23"/>
        <v>0</v>
      </c>
      <c r="AB182" s="471">
        <f t="shared" si="24"/>
        <v>0</v>
      </c>
    </row>
    <row r="183" spans="1:28" x14ac:dyDescent="0.15">
      <c r="A183" s="433"/>
      <c r="B183" s="606"/>
      <c r="C183" s="606"/>
      <c r="D183" s="606"/>
      <c r="E183" s="433"/>
      <c r="F183" s="606"/>
      <c r="G183" s="484" t="s">
        <v>1577</v>
      </c>
      <c r="H183" s="606"/>
      <c r="I183" s="433"/>
      <c r="J183" s="607"/>
      <c r="K183" s="607"/>
      <c r="L183" s="608"/>
      <c r="M183" s="608"/>
      <c r="N183" s="624">
        <f>VLOOKUP(M183,'Salary Schedule'!$B$16:$N$47,L183+1,FALSE)</f>
        <v>0</v>
      </c>
      <c r="O183" s="610"/>
      <c r="P183" s="481">
        <v>0</v>
      </c>
      <c r="Q183" s="609"/>
      <c r="R183" s="479">
        <f t="shared" si="18"/>
        <v>0</v>
      </c>
      <c r="S183" s="479">
        <f t="shared" si="19"/>
        <v>0</v>
      </c>
      <c r="T183" s="479">
        <f t="shared" si="20"/>
        <v>0</v>
      </c>
      <c r="U183" s="479">
        <f t="shared" si="21"/>
        <v>0</v>
      </c>
      <c r="V183" s="479">
        <f t="shared" si="22"/>
        <v>0</v>
      </c>
      <c r="W183" s="479">
        <v>0</v>
      </c>
      <c r="X183" s="479">
        <v>0</v>
      </c>
      <c r="Y183" s="479">
        <v>0</v>
      </c>
      <c r="Z183" s="479">
        <v>0</v>
      </c>
      <c r="AA183" s="471">
        <f t="shared" si="23"/>
        <v>0</v>
      </c>
      <c r="AB183" s="471">
        <f t="shared" si="24"/>
        <v>0</v>
      </c>
    </row>
    <row r="184" spans="1:28" x14ac:dyDescent="0.15">
      <c r="A184" s="433"/>
      <c r="B184" s="606"/>
      <c r="C184" s="606"/>
      <c r="D184" s="606"/>
      <c r="E184" s="433"/>
      <c r="F184" s="606"/>
      <c r="G184" s="484" t="s">
        <v>1577</v>
      </c>
      <c r="H184" s="606"/>
      <c r="I184" s="433"/>
      <c r="J184" s="607"/>
      <c r="K184" s="607"/>
      <c r="L184" s="608"/>
      <c r="M184" s="608"/>
      <c r="N184" s="624">
        <f>VLOOKUP(M184,'Salary Schedule'!$B$16:$N$47,L184+1,FALSE)</f>
        <v>0</v>
      </c>
      <c r="O184" s="610"/>
      <c r="P184" s="481">
        <v>0</v>
      </c>
      <c r="Q184" s="609"/>
      <c r="R184" s="479">
        <f t="shared" si="18"/>
        <v>0</v>
      </c>
      <c r="S184" s="479">
        <f t="shared" si="19"/>
        <v>0</v>
      </c>
      <c r="T184" s="479">
        <f t="shared" si="20"/>
        <v>0</v>
      </c>
      <c r="U184" s="479">
        <f t="shared" si="21"/>
        <v>0</v>
      </c>
      <c r="V184" s="479">
        <f t="shared" si="22"/>
        <v>0</v>
      </c>
      <c r="W184" s="479">
        <v>0</v>
      </c>
      <c r="X184" s="479">
        <v>0</v>
      </c>
      <c r="Y184" s="479">
        <v>0</v>
      </c>
      <c r="Z184" s="479">
        <v>0</v>
      </c>
      <c r="AA184" s="471">
        <f t="shared" si="23"/>
        <v>0</v>
      </c>
      <c r="AB184" s="471">
        <f t="shared" si="24"/>
        <v>0</v>
      </c>
    </row>
    <row r="185" spans="1:28" x14ac:dyDescent="0.15">
      <c r="A185" s="433"/>
      <c r="B185" s="606"/>
      <c r="C185" s="606"/>
      <c r="D185" s="606"/>
      <c r="E185" s="433"/>
      <c r="F185" s="606"/>
      <c r="G185" s="484" t="s">
        <v>1577</v>
      </c>
      <c r="H185" s="606"/>
      <c r="I185" s="433"/>
      <c r="J185" s="607"/>
      <c r="K185" s="607"/>
      <c r="L185" s="608"/>
      <c r="M185" s="608"/>
      <c r="N185" s="624">
        <f>VLOOKUP(M185,'Salary Schedule'!$B$16:$N$47,L185+1,FALSE)</f>
        <v>0</v>
      </c>
      <c r="O185" s="610"/>
      <c r="P185" s="481">
        <v>0</v>
      </c>
      <c r="Q185" s="609"/>
      <c r="R185" s="479">
        <f t="shared" si="18"/>
        <v>0</v>
      </c>
      <c r="S185" s="479">
        <f t="shared" si="19"/>
        <v>0</v>
      </c>
      <c r="T185" s="479">
        <f t="shared" si="20"/>
        <v>0</v>
      </c>
      <c r="U185" s="479">
        <f t="shared" si="21"/>
        <v>0</v>
      </c>
      <c r="V185" s="479">
        <f t="shared" si="22"/>
        <v>0</v>
      </c>
      <c r="W185" s="479">
        <v>0</v>
      </c>
      <c r="X185" s="479">
        <v>0</v>
      </c>
      <c r="Y185" s="479">
        <v>0</v>
      </c>
      <c r="Z185" s="479">
        <v>0</v>
      </c>
      <c r="AA185" s="471">
        <f t="shared" si="23"/>
        <v>0</v>
      </c>
      <c r="AB185" s="471">
        <f t="shared" si="24"/>
        <v>0</v>
      </c>
    </row>
    <row r="186" spans="1:28" x14ac:dyDescent="0.15">
      <c r="A186" s="433"/>
      <c r="B186" s="606"/>
      <c r="C186" s="606"/>
      <c r="D186" s="606"/>
      <c r="E186" s="433"/>
      <c r="F186" s="606"/>
      <c r="G186" s="484" t="s">
        <v>1577</v>
      </c>
      <c r="H186" s="606"/>
      <c r="I186" s="433"/>
      <c r="J186" s="607"/>
      <c r="K186" s="607"/>
      <c r="L186" s="608"/>
      <c r="M186" s="608"/>
      <c r="N186" s="624">
        <f>VLOOKUP(M186,'Salary Schedule'!$B$16:$N$47,L186+1,FALSE)</f>
        <v>0</v>
      </c>
      <c r="O186" s="610"/>
      <c r="P186" s="481">
        <v>0</v>
      </c>
      <c r="Q186" s="609"/>
      <c r="R186" s="479">
        <f t="shared" si="18"/>
        <v>0</v>
      </c>
      <c r="S186" s="479">
        <f t="shared" si="19"/>
        <v>0</v>
      </c>
      <c r="T186" s="479">
        <f t="shared" si="20"/>
        <v>0</v>
      </c>
      <c r="U186" s="479">
        <f t="shared" si="21"/>
        <v>0</v>
      </c>
      <c r="V186" s="479">
        <f t="shared" si="22"/>
        <v>0</v>
      </c>
      <c r="W186" s="479">
        <v>0</v>
      </c>
      <c r="X186" s="479">
        <v>0</v>
      </c>
      <c r="Y186" s="479">
        <v>0</v>
      </c>
      <c r="Z186" s="479">
        <v>0</v>
      </c>
      <c r="AA186" s="471">
        <f t="shared" si="23"/>
        <v>0</v>
      </c>
      <c r="AB186" s="471">
        <f t="shared" si="24"/>
        <v>0</v>
      </c>
    </row>
    <row r="187" spans="1:28" x14ac:dyDescent="0.15">
      <c r="A187" s="433"/>
      <c r="B187" s="606"/>
      <c r="C187" s="606"/>
      <c r="D187" s="606"/>
      <c r="E187" s="433"/>
      <c r="F187" s="606"/>
      <c r="G187" s="484" t="s">
        <v>1577</v>
      </c>
      <c r="H187" s="606"/>
      <c r="I187" s="433"/>
      <c r="J187" s="607"/>
      <c r="K187" s="607"/>
      <c r="L187" s="608"/>
      <c r="M187" s="608"/>
      <c r="N187" s="624">
        <f>VLOOKUP(M187,'Salary Schedule'!$B$16:$N$47,L187+1,FALSE)</f>
        <v>0</v>
      </c>
      <c r="O187" s="610"/>
      <c r="P187" s="481">
        <v>0</v>
      </c>
      <c r="Q187" s="609"/>
      <c r="R187" s="479">
        <f t="shared" si="18"/>
        <v>0</v>
      </c>
      <c r="S187" s="479">
        <f t="shared" si="19"/>
        <v>0</v>
      </c>
      <c r="T187" s="479">
        <f t="shared" si="20"/>
        <v>0</v>
      </c>
      <c r="U187" s="479">
        <f t="shared" si="21"/>
        <v>0</v>
      </c>
      <c r="V187" s="479">
        <f t="shared" si="22"/>
        <v>0</v>
      </c>
      <c r="W187" s="479">
        <v>0</v>
      </c>
      <c r="X187" s="479">
        <v>0</v>
      </c>
      <c r="Y187" s="479">
        <v>0</v>
      </c>
      <c r="Z187" s="479">
        <v>0</v>
      </c>
      <c r="AA187" s="471">
        <f t="shared" si="23"/>
        <v>0</v>
      </c>
      <c r="AB187" s="471">
        <f t="shared" si="24"/>
        <v>0</v>
      </c>
    </row>
    <row r="188" spans="1:28" x14ac:dyDescent="0.15">
      <c r="A188" s="433"/>
      <c r="B188" s="606"/>
      <c r="C188" s="606"/>
      <c r="D188" s="606"/>
      <c r="E188" s="433"/>
      <c r="F188" s="606"/>
      <c r="G188" s="484" t="s">
        <v>1577</v>
      </c>
      <c r="H188" s="606"/>
      <c r="I188" s="433"/>
      <c r="J188" s="607"/>
      <c r="K188" s="607"/>
      <c r="L188" s="608"/>
      <c r="M188" s="608"/>
      <c r="N188" s="624">
        <f>VLOOKUP(M188,'Salary Schedule'!$B$16:$N$47,L188+1,FALSE)</f>
        <v>0</v>
      </c>
      <c r="O188" s="610"/>
      <c r="P188" s="481">
        <v>0</v>
      </c>
      <c r="Q188" s="609"/>
      <c r="R188" s="479">
        <f t="shared" si="18"/>
        <v>0</v>
      </c>
      <c r="S188" s="479">
        <f t="shared" si="19"/>
        <v>0</v>
      </c>
      <c r="T188" s="479">
        <f t="shared" si="20"/>
        <v>0</v>
      </c>
      <c r="U188" s="479">
        <f t="shared" si="21"/>
        <v>0</v>
      </c>
      <c r="V188" s="479">
        <f t="shared" si="22"/>
        <v>0</v>
      </c>
      <c r="W188" s="479">
        <v>0</v>
      </c>
      <c r="X188" s="479">
        <v>0</v>
      </c>
      <c r="Y188" s="479">
        <v>0</v>
      </c>
      <c r="Z188" s="479">
        <v>0</v>
      </c>
      <c r="AA188" s="471">
        <f t="shared" si="23"/>
        <v>0</v>
      </c>
      <c r="AB188" s="471">
        <f t="shared" si="24"/>
        <v>0</v>
      </c>
    </row>
    <row r="189" spans="1:28" x14ac:dyDescent="0.15">
      <c r="A189" s="433"/>
      <c r="B189" s="606"/>
      <c r="C189" s="606"/>
      <c r="D189" s="606"/>
      <c r="E189" s="433"/>
      <c r="F189" s="606"/>
      <c r="G189" s="484" t="s">
        <v>1577</v>
      </c>
      <c r="H189" s="606"/>
      <c r="I189" s="433"/>
      <c r="J189" s="607"/>
      <c r="K189" s="607"/>
      <c r="L189" s="608"/>
      <c r="M189" s="608"/>
      <c r="N189" s="624">
        <f>VLOOKUP(M189,'Salary Schedule'!$B$16:$N$47,L189+1,FALSE)</f>
        <v>0</v>
      </c>
      <c r="O189" s="610"/>
      <c r="P189" s="481">
        <v>0</v>
      </c>
      <c r="Q189" s="609"/>
      <c r="R189" s="479">
        <f t="shared" si="18"/>
        <v>0</v>
      </c>
      <c r="S189" s="479">
        <f t="shared" si="19"/>
        <v>0</v>
      </c>
      <c r="T189" s="479">
        <f t="shared" si="20"/>
        <v>0</v>
      </c>
      <c r="U189" s="479">
        <f t="shared" si="21"/>
        <v>0</v>
      </c>
      <c r="V189" s="479">
        <f t="shared" si="22"/>
        <v>0</v>
      </c>
      <c r="W189" s="479">
        <v>0</v>
      </c>
      <c r="X189" s="479">
        <v>0</v>
      </c>
      <c r="Y189" s="479">
        <v>0</v>
      </c>
      <c r="Z189" s="479">
        <v>0</v>
      </c>
      <c r="AA189" s="471">
        <f t="shared" si="23"/>
        <v>0</v>
      </c>
      <c r="AB189" s="471">
        <f t="shared" si="24"/>
        <v>0</v>
      </c>
    </row>
    <row r="190" spans="1:28" x14ac:dyDescent="0.15">
      <c r="A190" s="433"/>
      <c r="B190" s="606"/>
      <c r="C190" s="606"/>
      <c r="D190" s="606"/>
      <c r="E190" s="433"/>
      <c r="F190" s="606"/>
      <c r="G190" s="484" t="s">
        <v>1577</v>
      </c>
      <c r="H190" s="606"/>
      <c r="I190" s="433"/>
      <c r="J190" s="607"/>
      <c r="K190" s="607"/>
      <c r="L190" s="608"/>
      <c r="M190" s="608"/>
      <c r="N190" s="624">
        <f>VLOOKUP(M190,'Salary Schedule'!$B$16:$N$47,L190+1,FALSE)</f>
        <v>0</v>
      </c>
      <c r="O190" s="610"/>
      <c r="P190" s="481">
        <v>0</v>
      </c>
      <c r="Q190" s="609"/>
      <c r="R190" s="479">
        <f t="shared" si="18"/>
        <v>0</v>
      </c>
      <c r="S190" s="479">
        <f t="shared" si="19"/>
        <v>0</v>
      </c>
      <c r="T190" s="479">
        <f t="shared" si="20"/>
        <v>0</v>
      </c>
      <c r="U190" s="479">
        <f t="shared" si="21"/>
        <v>0</v>
      </c>
      <c r="V190" s="479">
        <f t="shared" si="22"/>
        <v>0</v>
      </c>
      <c r="W190" s="479">
        <v>0</v>
      </c>
      <c r="X190" s="479">
        <v>0</v>
      </c>
      <c r="Y190" s="479">
        <v>0</v>
      </c>
      <c r="Z190" s="479">
        <v>0</v>
      </c>
      <c r="AA190" s="471">
        <f t="shared" si="23"/>
        <v>0</v>
      </c>
      <c r="AB190" s="471">
        <f t="shared" si="24"/>
        <v>0</v>
      </c>
    </row>
    <row r="191" spans="1:28" x14ac:dyDescent="0.15">
      <c r="A191" s="433"/>
      <c r="B191" s="606"/>
      <c r="C191" s="606"/>
      <c r="D191" s="606"/>
      <c r="E191" s="433"/>
      <c r="F191" s="606"/>
      <c r="G191" s="484" t="s">
        <v>1577</v>
      </c>
      <c r="H191" s="606"/>
      <c r="I191" s="433"/>
      <c r="J191" s="607"/>
      <c r="K191" s="607"/>
      <c r="L191" s="608"/>
      <c r="M191" s="608"/>
      <c r="N191" s="624">
        <f>VLOOKUP(M191,'Salary Schedule'!$B$16:$N$47,L191+1,FALSE)</f>
        <v>0</v>
      </c>
      <c r="O191" s="610"/>
      <c r="P191" s="481">
        <v>0</v>
      </c>
      <c r="Q191" s="609"/>
      <c r="R191" s="479">
        <f t="shared" si="18"/>
        <v>0</v>
      </c>
      <c r="S191" s="479">
        <f t="shared" si="19"/>
        <v>0</v>
      </c>
      <c r="T191" s="479">
        <f t="shared" si="20"/>
        <v>0</v>
      </c>
      <c r="U191" s="479">
        <f t="shared" si="21"/>
        <v>0</v>
      </c>
      <c r="V191" s="479">
        <f t="shared" si="22"/>
        <v>0</v>
      </c>
      <c r="W191" s="479">
        <v>0</v>
      </c>
      <c r="X191" s="479">
        <v>0</v>
      </c>
      <c r="Y191" s="479">
        <v>0</v>
      </c>
      <c r="Z191" s="479">
        <v>0</v>
      </c>
      <c r="AA191" s="471">
        <f t="shared" si="23"/>
        <v>0</v>
      </c>
      <c r="AB191" s="471">
        <f t="shared" si="24"/>
        <v>0</v>
      </c>
    </row>
    <row r="192" spans="1:28" x14ac:dyDescent="0.15">
      <c r="A192" s="433"/>
      <c r="B192" s="606"/>
      <c r="C192" s="606"/>
      <c r="D192" s="606"/>
      <c r="E192" s="433"/>
      <c r="F192" s="606"/>
      <c r="G192" s="484" t="s">
        <v>1577</v>
      </c>
      <c r="H192" s="606"/>
      <c r="I192" s="433"/>
      <c r="J192" s="607"/>
      <c r="K192" s="607"/>
      <c r="L192" s="608"/>
      <c r="M192" s="608"/>
      <c r="N192" s="624">
        <f>VLOOKUP(M192,'Salary Schedule'!$B$16:$N$47,L192+1,FALSE)</f>
        <v>0</v>
      </c>
      <c r="O192" s="610"/>
      <c r="P192" s="481">
        <v>0</v>
      </c>
      <c r="Q192" s="609"/>
      <c r="R192" s="479">
        <f t="shared" si="18"/>
        <v>0</v>
      </c>
      <c r="S192" s="479">
        <f t="shared" si="19"/>
        <v>0</v>
      </c>
      <c r="T192" s="479">
        <f t="shared" si="20"/>
        <v>0</v>
      </c>
      <c r="U192" s="479">
        <f t="shared" si="21"/>
        <v>0</v>
      </c>
      <c r="V192" s="479">
        <f t="shared" si="22"/>
        <v>0</v>
      </c>
      <c r="W192" s="479">
        <v>0</v>
      </c>
      <c r="X192" s="479">
        <v>0</v>
      </c>
      <c r="Y192" s="479">
        <v>0</v>
      </c>
      <c r="Z192" s="479">
        <v>0</v>
      </c>
      <c r="AA192" s="471">
        <f t="shared" si="23"/>
        <v>0</v>
      </c>
      <c r="AB192" s="471">
        <f t="shared" si="24"/>
        <v>0</v>
      </c>
    </row>
    <row r="193" spans="1:28" x14ac:dyDescent="0.15">
      <c r="A193" s="433"/>
      <c r="B193" s="606"/>
      <c r="C193" s="606"/>
      <c r="D193" s="606"/>
      <c r="E193" s="433"/>
      <c r="F193" s="606"/>
      <c r="G193" s="484" t="s">
        <v>1577</v>
      </c>
      <c r="H193" s="606"/>
      <c r="I193" s="433"/>
      <c r="J193" s="607"/>
      <c r="K193" s="607"/>
      <c r="L193" s="608"/>
      <c r="M193" s="608"/>
      <c r="N193" s="624">
        <f>VLOOKUP(M193,'Salary Schedule'!$B$16:$N$47,L193+1,FALSE)</f>
        <v>0</v>
      </c>
      <c r="O193" s="610"/>
      <c r="P193" s="481">
        <v>0</v>
      </c>
      <c r="Q193" s="609"/>
      <c r="R193" s="479">
        <f t="shared" si="18"/>
        <v>0</v>
      </c>
      <c r="S193" s="479">
        <f t="shared" si="19"/>
        <v>0</v>
      </c>
      <c r="T193" s="479">
        <f t="shared" si="20"/>
        <v>0</v>
      </c>
      <c r="U193" s="479">
        <f t="shared" si="21"/>
        <v>0</v>
      </c>
      <c r="V193" s="479">
        <f t="shared" si="22"/>
        <v>0</v>
      </c>
      <c r="W193" s="479">
        <v>0</v>
      </c>
      <c r="X193" s="479">
        <v>0</v>
      </c>
      <c r="Y193" s="479">
        <v>0</v>
      </c>
      <c r="Z193" s="479">
        <v>0</v>
      </c>
      <c r="AA193" s="471">
        <f t="shared" si="23"/>
        <v>0</v>
      </c>
      <c r="AB193" s="471">
        <f t="shared" si="24"/>
        <v>0</v>
      </c>
    </row>
    <row r="194" spans="1:28" x14ac:dyDescent="0.15">
      <c r="A194" s="433"/>
      <c r="B194" s="606"/>
      <c r="C194" s="606"/>
      <c r="D194" s="606"/>
      <c r="E194" s="433"/>
      <c r="F194" s="606"/>
      <c r="G194" s="484" t="s">
        <v>1577</v>
      </c>
      <c r="H194" s="606"/>
      <c r="I194" s="433"/>
      <c r="J194" s="607"/>
      <c r="K194" s="607"/>
      <c r="L194" s="608"/>
      <c r="M194" s="608"/>
      <c r="N194" s="624">
        <f>VLOOKUP(M194,'Salary Schedule'!$B$16:$N$47,L194+1,FALSE)</f>
        <v>0</v>
      </c>
      <c r="O194" s="610"/>
      <c r="P194" s="481">
        <v>0</v>
      </c>
      <c r="Q194" s="609"/>
      <c r="R194" s="479">
        <f t="shared" si="18"/>
        <v>0</v>
      </c>
      <c r="S194" s="479">
        <f t="shared" si="19"/>
        <v>0</v>
      </c>
      <c r="T194" s="479">
        <f t="shared" si="20"/>
        <v>0</v>
      </c>
      <c r="U194" s="479">
        <f t="shared" si="21"/>
        <v>0</v>
      </c>
      <c r="V194" s="479">
        <f t="shared" si="22"/>
        <v>0</v>
      </c>
      <c r="W194" s="479">
        <v>0</v>
      </c>
      <c r="X194" s="479">
        <v>0</v>
      </c>
      <c r="Y194" s="479">
        <v>0</v>
      </c>
      <c r="Z194" s="479">
        <v>0</v>
      </c>
      <c r="AA194" s="471">
        <f t="shared" si="23"/>
        <v>0</v>
      </c>
      <c r="AB194" s="471">
        <f t="shared" si="24"/>
        <v>0</v>
      </c>
    </row>
    <row r="195" spans="1:28" x14ac:dyDescent="0.15">
      <c r="A195" s="433"/>
      <c r="B195" s="606"/>
      <c r="C195" s="606"/>
      <c r="D195" s="606"/>
      <c r="E195" s="433"/>
      <c r="F195" s="606"/>
      <c r="G195" s="484" t="s">
        <v>1577</v>
      </c>
      <c r="H195" s="606"/>
      <c r="I195" s="433"/>
      <c r="J195" s="607"/>
      <c r="K195" s="607"/>
      <c r="L195" s="608"/>
      <c r="M195" s="608"/>
      <c r="N195" s="624">
        <f>VLOOKUP(M195,'Salary Schedule'!$B$16:$N$47,L195+1,FALSE)</f>
        <v>0</v>
      </c>
      <c r="O195" s="610"/>
      <c r="P195" s="481">
        <v>0</v>
      </c>
      <c r="Q195" s="609"/>
      <c r="R195" s="479">
        <f t="shared" si="18"/>
        <v>0</v>
      </c>
      <c r="S195" s="479">
        <f t="shared" si="19"/>
        <v>0</v>
      </c>
      <c r="T195" s="479">
        <f t="shared" si="20"/>
        <v>0</v>
      </c>
      <c r="U195" s="479">
        <f t="shared" si="21"/>
        <v>0</v>
      </c>
      <c r="V195" s="479">
        <f t="shared" si="22"/>
        <v>0</v>
      </c>
      <c r="W195" s="479">
        <v>0</v>
      </c>
      <c r="X195" s="479">
        <v>0</v>
      </c>
      <c r="Y195" s="479">
        <v>0</v>
      </c>
      <c r="Z195" s="479">
        <v>0</v>
      </c>
      <c r="AA195" s="471">
        <f t="shared" si="23"/>
        <v>0</v>
      </c>
      <c r="AB195" s="471">
        <f t="shared" si="24"/>
        <v>0</v>
      </c>
    </row>
    <row r="196" spans="1:28" x14ac:dyDescent="0.15">
      <c r="A196" s="433"/>
      <c r="B196" s="606"/>
      <c r="C196" s="606"/>
      <c r="D196" s="606"/>
      <c r="E196" s="433"/>
      <c r="F196" s="606"/>
      <c r="G196" s="484" t="s">
        <v>1577</v>
      </c>
      <c r="H196" s="606"/>
      <c r="I196" s="433"/>
      <c r="J196" s="607"/>
      <c r="K196" s="607"/>
      <c r="L196" s="608"/>
      <c r="M196" s="608"/>
      <c r="N196" s="624">
        <f>VLOOKUP(M196,'Salary Schedule'!$B$16:$N$47,L196+1,FALSE)</f>
        <v>0</v>
      </c>
      <c r="O196" s="610"/>
      <c r="P196" s="481">
        <v>0</v>
      </c>
      <c r="Q196" s="609"/>
      <c r="R196" s="479">
        <f t="shared" si="18"/>
        <v>0</v>
      </c>
      <c r="S196" s="479">
        <f t="shared" si="19"/>
        <v>0</v>
      </c>
      <c r="T196" s="479">
        <f t="shared" si="20"/>
        <v>0</v>
      </c>
      <c r="U196" s="479">
        <f t="shared" si="21"/>
        <v>0</v>
      </c>
      <c r="V196" s="479">
        <f t="shared" si="22"/>
        <v>0</v>
      </c>
      <c r="W196" s="479">
        <v>0</v>
      </c>
      <c r="X196" s="479">
        <v>0</v>
      </c>
      <c r="Y196" s="479">
        <v>0</v>
      </c>
      <c r="Z196" s="479">
        <v>0</v>
      </c>
      <c r="AA196" s="471">
        <f t="shared" si="23"/>
        <v>0</v>
      </c>
      <c r="AB196" s="471">
        <f t="shared" si="24"/>
        <v>0</v>
      </c>
    </row>
    <row r="197" spans="1:28" x14ac:dyDescent="0.15">
      <c r="A197" s="433"/>
      <c r="B197" s="606"/>
      <c r="C197" s="606"/>
      <c r="D197" s="606"/>
      <c r="E197" s="433"/>
      <c r="F197" s="606"/>
      <c r="G197" s="484" t="s">
        <v>1577</v>
      </c>
      <c r="H197" s="606"/>
      <c r="I197" s="433"/>
      <c r="J197" s="607"/>
      <c r="K197" s="607"/>
      <c r="L197" s="608"/>
      <c r="M197" s="608"/>
      <c r="N197" s="624">
        <f>VLOOKUP(M197,'Salary Schedule'!$B$16:$N$47,L197+1,FALSE)</f>
        <v>0</v>
      </c>
      <c r="O197" s="610"/>
      <c r="P197" s="481">
        <v>0</v>
      </c>
      <c r="Q197" s="609"/>
      <c r="R197" s="479">
        <f t="shared" si="18"/>
        <v>0</v>
      </c>
      <c r="S197" s="479">
        <f t="shared" si="19"/>
        <v>0</v>
      </c>
      <c r="T197" s="479">
        <f t="shared" si="20"/>
        <v>0</v>
      </c>
      <c r="U197" s="479">
        <f t="shared" si="21"/>
        <v>0</v>
      </c>
      <c r="V197" s="479">
        <f t="shared" si="22"/>
        <v>0</v>
      </c>
      <c r="W197" s="479">
        <v>0</v>
      </c>
      <c r="X197" s="479">
        <v>0</v>
      </c>
      <c r="Y197" s="479">
        <v>0</v>
      </c>
      <c r="Z197" s="479">
        <v>0</v>
      </c>
      <c r="AA197" s="471">
        <f t="shared" si="23"/>
        <v>0</v>
      </c>
      <c r="AB197" s="471">
        <f t="shared" si="24"/>
        <v>0</v>
      </c>
    </row>
    <row r="198" spans="1:28" x14ac:dyDescent="0.15">
      <c r="A198" s="433"/>
      <c r="B198" s="606"/>
      <c r="C198" s="606"/>
      <c r="D198" s="606"/>
      <c r="E198" s="433"/>
      <c r="F198" s="606"/>
      <c r="G198" s="484" t="s">
        <v>1577</v>
      </c>
      <c r="H198" s="606"/>
      <c r="I198" s="433"/>
      <c r="J198" s="607"/>
      <c r="K198" s="607"/>
      <c r="L198" s="608"/>
      <c r="M198" s="608"/>
      <c r="N198" s="624">
        <f>VLOOKUP(M198,'Salary Schedule'!$B$16:$N$47,L198+1,FALSE)</f>
        <v>0</v>
      </c>
      <c r="O198" s="610"/>
      <c r="P198" s="481">
        <v>0</v>
      </c>
      <c r="Q198" s="609"/>
      <c r="R198" s="479">
        <f t="shared" si="18"/>
        <v>0</v>
      </c>
      <c r="S198" s="479">
        <f t="shared" si="19"/>
        <v>0</v>
      </c>
      <c r="T198" s="479">
        <f t="shared" si="20"/>
        <v>0</v>
      </c>
      <c r="U198" s="479">
        <f t="shared" si="21"/>
        <v>0</v>
      </c>
      <c r="V198" s="479">
        <f t="shared" si="22"/>
        <v>0</v>
      </c>
      <c r="W198" s="479">
        <v>0</v>
      </c>
      <c r="X198" s="479">
        <v>0</v>
      </c>
      <c r="Y198" s="479">
        <v>0</v>
      </c>
      <c r="Z198" s="479">
        <v>0</v>
      </c>
      <c r="AA198" s="471">
        <f t="shared" si="23"/>
        <v>0</v>
      </c>
      <c r="AB198" s="471">
        <f t="shared" si="24"/>
        <v>0</v>
      </c>
    </row>
    <row r="199" spans="1:28" x14ac:dyDescent="0.15">
      <c r="A199" s="433"/>
      <c r="B199" s="606"/>
      <c r="C199" s="606"/>
      <c r="D199" s="606"/>
      <c r="E199" s="433"/>
      <c r="F199" s="606"/>
      <c r="G199" s="484" t="s">
        <v>1577</v>
      </c>
      <c r="H199" s="606"/>
      <c r="I199" s="433"/>
      <c r="J199" s="607"/>
      <c r="K199" s="607"/>
      <c r="L199" s="608"/>
      <c r="M199" s="608"/>
      <c r="N199" s="624">
        <f>VLOOKUP(M199,'Salary Schedule'!$B$16:$N$47,L199+1,FALSE)</f>
        <v>0</v>
      </c>
      <c r="O199" s="610"/>
      <c r="P199" s="481">
        <v>0</v>
      </c>
      <c r="Q199" s="609"/>
      <c r="R199" s="479">
        <f t="shared" si="18"/>
        <v>0</v>
      </c>
      <c r="S199" s="479">
        <f t="shared" si="19"/>
        <v>0</v>
      </c>
      <c r="T199" s="479">
        <f t="shared" si="20"/>
        <v>0</v>
      </c>
      <c r="U199" s="479">
        <f t="shared" si="21"/>
        <v>0</v>
      </c>
      <c r="V199" s="479">
        <f t="shared" si="22"/>
        <v>0</v>
      </c>
      <c r="W199" s="479">
        <v>0</v>
      </c>
      <c r="X199" s="479">
        <v>0</v>
      </c>
      <c r="Y199" s="479">
        <v>0</v>
      </c>
      <c r="Z199" s="479">
        <v>0</v>
      </c>
      <c r="AA199" s="471">
        <f t="shared" si="23"/>
        <v>0</v>
      </c>
      <c r="AB199" s="471">
        <f t="shared" si="24"/>
        <v>0</v>
      </c>
    </row>
    <row r="200" spans="1:28" x14ac:dyDescent="0.15">
      <c r="A200" s="433"/>
      <c r="B200" s="606"/>
      <c r="C200" s="606"/>
      <c r="D200" s="606"/>
      <c r="E200" s="433"/>
      <c r="F200" s="606"/>
      <c r="G200" s="484" t="s">
        <v>1577</v>
      </c>
      <c r="H200" s="606"/>
      <c r="I200" s="433"/>
      <c r="J200" s="607"/>
      <c r="K200" s="607"/>
      <c r="L200" s="608"/>
      <c r="M200" s="608"/>
      <c r="N200" s="624">
        <f>VLOOKUP(M200,'Salary Schedule'!$B$16:$N$47,L200+1,FALSE)</f>
        <v>0</v>
      </c>
      <c r="O200" s="610"/>
      <c r="P200" s="481">
        <v>0</v>
      </c>
      <c r="Q200" s="609"/>
      <c r="R200" s="479">
        <f t="shared" si="18"/>
        <v>0</v>
      </c>
      <c r="S200" s="479">
        <f t="shared" si="19"/>
        <v>0</v>
      </c>
      <c r="T200" s="479">
        <f t="shared" si="20"/>
        <v>0</v>
      </c>
      <c r="U200" s="479">
        <f t="shared" si="21"/>
        <v>0</v>
      </c>
      <c r="V200" s="479">
        <f t="shared" si="22"/>
        <v>0</v>
      </c>
      <c r="W200" s="479">
        <v>0</v>
      </c>
      <c r="X200" s="479">
        <v>0</v>
      </c>
      <c r="Y200" s="479">
        <v>0</v>
      </c>
      <c r="Z200" s="479">
        <v>0</v>
      </c>
      <c r="AA200" s="471">
        <f t="shared" si="23"/>
        <v>0</v>
      </c>
      <c r="AB200" s="471">
        <f t="shared" si="24"/>
        <v>0</v>
      </c>
    </row>
    <row r="201" spans="1:28" x14ac:dyDescent="0.15">
      <c r="A201" s="433"/>
      <c r="B201" s="606"/>
      <c r="C201" s="606"/>
      <c r="D201" s="606"/>
      <c r="E201" s="433"/>
      <c r="F201" s="606"/>
      <c r="G201" s="484" t="s">
        <v>1577</v>
      </c>
      <c r="H201" s="606"/>
      <c r="I201" s="433"/>
      <c r="J201" s="607"/>
      <c r="K201" s="607"/>
      <c r="L201" s="608"/>
      <c r="M201" s="608"/>
      <c r="N201" s="624">
        <f>VLOOKUP(M201,'Salary Schedule'!$B$16:$N$47,L201+1,FALSE)</f>
        <v>0</v>
      </c>
      <c r="O201" s="610"/>
      <c r="P201" s="481">
        <v>0</v>
      </c>
      <c r="Q201" s="609"/>
      <c r="R201" s="479">
        <f t="shared" si="18"/>
        <v>0</v>
      </c>
      <c r="S201" s="479">
        <f t="shared" si="19"/>
        <v>0</v>
      </c>
      <c r="T201" s="479">
        <f t="shared" si="20"/>
        <v>0</v>
      </c>
      <c r="U201" s="479">
        <f t="shared" si="21"/>
        <v>0</v>
      </c>
      <c r="V201" s="479">
        <f t="shared" si="22"/>
        <v>0</v>
      </c>
      <c r="W201" s="479">
        <v>0</v>
      </c>
      <c r="X201" s="479">
        <v>0</v>
      </c>
      <c r="Y201" s="479">
        <v>0</v>
      </c>
      <c r="Z201" s="479">
        <v>0</v>
      </c>
      <c r="AA201" s="471">
        <f t="shared" si="23"/>
        <v>0</v>
      </c>
      <c r="AB201" s="471">
        <f t="shared" si="24"/>
        <v>0</v>
      </c>
    </row>
    <row r="202" spans="1:28" hidden="1" x14ac:dyDescent="0.15"/>
    <row r="203" spans="1:28" hidden="1" x14ac:dyDescent="0.15"/>
    <row r="204" spans="1:28" hidden="1" x14ac:dyDescent="0.15"/>
    <row r="205" spans="1:28" hidden="1" x14ac:dyDescent="0.15"/>
    <row r="206" spans="1:28" hidden="1" x14ac:dyDescent="0.15"/>
    <row r="207" spans="1:28" hidden="1" x14ac:dyDescent="0.15"/>
    <row r="208" spans="1:28" hidden="1" x14ac:dyDescent="0.15"/>
    <row r="209" hidden="1" x14ac:dyDescent="0.15"/>
    <row r="210" hidden="1" x14ac:dyDescent="0.15"/>
    <row r="211" hidden="1" x14ac:dyDescent="0.15"/>
    <row r="212" hidden="1" x14ac:dyDescent="0.15"/>
    <row r="213" hidden="1" x14ac:dyDescent="0.15"/>
    <row r="214" hidden="1" x14ac:dyDescent="0.15"/>
    <row r="215" hidden="1" x14ac:dyDescent="0.15"/>
    <row r="216" hidden="1" x14ac:dyDescent="0.15"/>
    <row r="217" hidden="1" x14ac:dyDescent="0.15"/>
    <row r="218" hidden="1" x14ac:dyDescent="0.15"/>
    <row r="219" hidden="1" x14ac:dyDescent="0.15"/>
    <row r="220" hidden="1" x14ac:dyDescent="0.15"/>
    <row r="221" hidden="1" x14ac:dyDescent="0.15"/>
    <row r="222" hidden="1" x14ac:dyDescent="0.15"/>
    <row r="223" hidden="1" x14ac:dyDescent="0.15"/>
    <row r="224" hidden="1" x14ac:dyDescent="0.15"/>
    <row r="225" hidden="1" x14ac:dyDescent="0.15"/>
    <row r="226" hidden="1" x14ac:dyDescent="0.15"/>
    <row r="227" hidden="1" x14ac:dyDescent="0.15"/>
    <row r="228" hidden="1" x14ac:dyDescent="0.15"/>
    <row r="229" hidden="1" x14ac:dyDescent="0.15"/>
    <row r="230" hidden="1" x14ac:dyDescent="0.15"/>
    <row r="231" hidden="1" x14ac:dyDescent="0.15"/>
    <row r="232" hidden="1" x14ac:dyDescent="0.15"/>
    <row r="233" hidden="1" x14ac:dyDescent="0.15"/>
    <row r="234" hidden="1" x14ac:dyDescent="0.15"/>
    <row r="235" hidden="1" x14ac:dyDescent="0.15"/>
    <row r="236" hidden="1" x14ac:dyDescent="0.15"/>
    <row r="237" hidden="1" x14ac:dyDescent="0.15"/>
    <row r="238" hidden="1" x14ac:dyDescent="0.15"/>
    <row r="239" hidden="1" x14ac:dyDescent="0.15"/>
    <row r="240" hidden="1" x14ac:dyDescent="0.15"/>
    <row r="241" hidden="1" x14ac:dyDescent="0.15"/>
    <row r="242" hidden="1" x14ac:dyDescent="0.15"/>
    <row r="243" hidden="1" x14ac:dyDescent="0.15"/>
    <row r="244" hidden="1" x14ac:dyDescent="0.15"/>
    <row r="245" hidden="1" x14ac:dyDescent="0.15"/>
    <row r="246" hidden="1" x14ac:dyDescent="0.15"/>
    <row r="247" hidden="1" x14ac:dyDescent="0.15"/>
    <row r="248" hidden="1" x14ac:dyDescent="0.15"/>
    <row r="249" hidden="1" x14ac:dyDescent="0.15"/>
    <row r="250" hidden="1" x14ac:dyDescent="0.15"/>
    <row r="251" hidden="1" x14ac:dyDescent="0.15"/>
    <row r="252" hidden="1" x14ac:dyDescent="0.15"/>
    <row r="253" hidden="1" x14ac:dyDescent="0.15"/>
    <row r="254" hidden="1" x14ac:dyDescent="0.15"/>
    <row r="255" hidden="1" x14ac:dyDescent="0.15"/>
    <row r="256" hidden="1" x14ac:dyDescent="0.15"/>
    <row r="257" hidden="1" x14ac:dyDescent="0.15"/>
    <row r="258" hidden="1" x14ac:dyDescent="0.15"/>
    <row r="259" hidden="1" x14ac:dyDescent="0.15"/>
    <row r="260" hidden="1" x14ac:dyDescent="0.15"/>
    <row r="261" hidden="1" x14ac:dyDescent="0.15"/>
    <row r="262" hidden="1" x14ac:dyDescent="0.15"/>
    <row r="263" hidden="1" x14ac:dyDescent="0.15"/>
    <row r="264" hidden="1" x14ac:dyDescent="0.15"/>
    <row r="265" hidden="1" x14ac:dyDescent="0.15"/>
    <row r="266" hidden="1" x14ac:dyDescent="0.15"/>
    <row r="267" hidden="1" x14ac:dyDescent="0.15"/>
    <row r="268" hidden="1" x14ac:dyDescent="0.15"/>
    <row r="269" hidden="1" x14ac:dyDescent="0.15"/>
    <row r="270" hidden="1" x14ac:dyDescent="0.15"/>
    <row r="271" hidden="1" x14ac:dyDescent="0.15"/>
    <row r="272" hidden="1" x14ac:dyDescent="0.15"/>
    <row r="273" hidden="1" x14ac:dyDescent="0.15"/>
    <row r="274" hidden="1" x14ac:dyDescent="0.15"/>
    <row r="275" hidden="1" x14ac:dyDescent="0.15"/>
    <row r="276" hidden="1" x14ac:dyDescent="0.15"/>
    <row r="277" hidden="1" x14ac:dyDescent="0.15"/>
    <row r="278" hidden="1" x14ac:dyDescent="0.15"/>
    <row r="279" hidden="1" x14ac:dyDescent="0.15"/>
    <row r="280" hidden="1" x14ac:dyDescent="0.15"/>
    <row r="281" hidden="1" x14ac:dyDescent="0.15"/>
    <row r="282" hidden="1" x14ac:dyDescent="0.15"/>
    <row r="283" hidden="1" x14ac:dyDescent="0.15"/>
    <row r="284" hidden="1" x14ac:dyDescent="0.15"/>
    <row r="285" hidden="1" x14ac:dyDescent="0.15"/>
    <row r="286" hidden="1" x14ac:dyDescent="0.15"/>
    <row r="287" hidden="1" x14ac:dyDescent="0.15"/>
    <row r="288" hidden="1" x14ac:dyDescent="0.15"/>
    <row r="289" hidden="1" x14ac:dyDescent="0.15"/>
    <row r="290" hidden="1" x14ac:dyDescent="0.15"/>
    <row r="291" hidden="1" x14ac:dyDescent="0.15"/>
    <row r="292" hidden="1" x14ac:dyDescent="0.15"/>
    <row r="293" hidden="1" x14ac:dyDescent="0.15"/>
    <row r="294" hidden="1" x14ac:dyDescent="0.15"/>
    <row r="295" hidden="1" x14ac:dyDescent="0.15"/>
    <row r="296" hidden="1" x14ac:dyDescent="0.15"/>
    <row r="297" hidden="1" x14ac:dyDescent="0.15"/>
    <row r="298" hidden="1" x14ac:dyDescent="0.15"/>
    <row r="299" hidden="1" x14ac:dyDescent="0.15"/>
    <row r="300" hidden="1" x14ac:dyDescent="0.15"/>
    <row r="301" hidden="1" x14ac:dyDescent="0.15"/>
    <row r="302" hidden="1" x14ac:dyDescent="0.15"/>
    <row r="303" hidden="1" x14ac:dyDescent="0.15"/>
    <row r="304" hidden="1" x14ac:dyDescent="0.15"/>
    <row r="305" hidden="1" x14ac:dyDescent="0.15"/>
    <row r="306" hidden="1" x14ac:dyDescent="0.15"/>
    <row r="307" hidden="1" x14ac:dyDescent="0.15"/>
    <row r="308" hidden="1" x14ac:dyDescent="0.15"/>
    <row r="309" hidden="1" x14ac:dyDescent="0.15"/>
    <row r="310" hidden="1" x14ac:dyDescent="0.15"/>
    <row r="311" hidden="1" x14ac:dyDescent="0.15"/>
    <row r="312" hidden="1" x14ac:dyDescent="0.15"/>
    <row r="313" hidden="1" x14ac:dyDescent="0.15"/>
    <row r="314" hidden="1" x14ac:dyDescent="0.15"/>
    <row r="315" hidden="1" x14ac:dyDescent="0.15"/>
    <row r="316" hidden="1" x14ac:dyDescent="0.15"/>
    <row r="317" hidden="1" x14ac:dyDescent="0.15"/>
    <row r="318" hidden="1" x14ac:dyDescent="0.15"/>
    <row r="319" hidden="1" x14ac:dyDescent="0.15"/>
    <row r="320" hidden="1" x14ac:dyDescent="0.15"/>
    <row r="321" hidden="1" x14ac:dyDescent="0.15"/>
    <row r="322" hidden="1" x14ac:dyDescent="0.15"/>
    <row r="323" hidden="1" x14ac:dyDescent="0.15"/>
    <row r="324" hidden="1" x14ac:dyDescent="0.15"/>
    <row r="325" hidden="1" x14ac:dyDescent="0.15"/>
    <row r="326" hidden="1" x14ac:dyDescent="0.15"/>
    <row r="327" hidden="1" x14ac:dyDescent="0.15"/>
    <row r="328" hidden="1" x14ac:dyDescent="0.15"/>
    <row r="329" hidden="1" x14ac:dyDescent="0.15"/>
    <row r="330" hidden="1" x14ac:dyDescent="0.15"/>
    <row r="331" hidden="1" x14ac:dyDescent="0.15"/>
    <row r="332" hidden="1" x14ac:dyDescent="0.15"/>
    <row r="333" hidden="1" x14ac:dyDescent="0.15"/>
    <row r="334" hidden="1" x14ac:dyDescent="0.15"/>
    <row r="335" hidden="1" x14ac:dyDescent="0.15"/>
    <row r="336" hidden="1" x14ac:dyDescent="0.15"/>
    <row r="337" hidden="1" x14ac:dyDescent="0.15"/>
    <row r="338" hidden="1" x14ac:dyDescent="0.15"/>
    <row r="339" hidden="1" x14ac:dyDescent="0.15"/>
    <row r="340" hidden="1" x14ac:dyDescent="0.15"/>
    <row r="341" hidden="1" x14ac:dyDescent="0.15"/>
    <row r="342" hidden="1" x14ac:dyDescent="0.15"/>
    <row r="343" hidden="1" x14ac:dyDescent="0.15"/>
    <row r="344" hidden="1" x14ac:dyDescent="0.15"/>
    <row r="345" hidden="1" x14ac:dyDescent="0.15"/>
    <row r="346" hidden="1" x14ac:dyDescent="0.15"/>
    <row r="347" hidden="1" x14ac:dyDescent="0.15"/>
    <row r="348" hidden="1" x14ac:dyDescent="0.15"/>
    <row r="349" hidden="1" x14ac:dyDescent="0.15"/>
    <row r="350" hidden="1" x14ac:dyDescent="0.15"/>
    <row r="351" hidden="1" x14ac:dyDescent="0.15"/>
    <row r="352" hidden="1" x14ac:dyDescent="0.15"/>
    <row r="353" hidden="1" x14ac:dyDescent="0.15"/>
    <row r="354" hidden="1" x14ac:dyDescent="0.15"/>
    <row r="355" hidden="1" x14ac:dyDescent="0.15"/>
    <row r="356" hidden="1" x14ac:dyDescent="0.15"/>
    <row r="357" hidden="1" x14ac:dyDescent="0.15"/>
    <row r="358" hidden="1" x14ac:dyDescent="0.15"/>
    <row r="359" hidden="1" x14ac:dyDescent="0.15"/>
    <row r="360" hidden="1" x14ac:dyDescent="0.15"/>
    <row r="361" hidden="1" x14ac:dyDescent="0.15"/>
    <row r="362" hidden="1" x14ac:dyDescent="0.15"/>
    <row r="363" hidden="1" x14ac:dyDescent="0.15"/>
    <row r="364" hidden="1" x14ac:dyDescent="0.15"/>
    <row r="365" hidden="1" x14ac:dyDescent="0.15"/>
    <row r="366" hidden="1" x14ac:dyDescent="0.15"/>
    <row r="367" hidden="1" x14ac:dyDescent="0.15"/>
    <row r="368" hidden="1" x14ac:dyDescent="0.15"/>
    <row r="369" hidden="1" x14ac:dyDescent="0.15"/>
    <row r="370" hidden="1" x14ac:dyDescent="0.15"/>
    <row r="371" hidden="1" x14ac:dyDescent="0.15"/>
    <row r="372" hidden="1" x14ac:dyDescent="0.15"/>
    <row r="373" hidden="1" x14ac:dyDescent="0.15"/>
    <row r="374" hidden="1" x14ac:dyDescent="0.15"/>
    <row r="375" hidden="1" x14ac:dyDescent="0.15"/>
    <row r="376" hidden="1" x14ac:dyDescent="0.15"/>
    <row r="377" hidden="1" x14ac:dyDescent="0.15"/>
    <row r="378" hidden="1" x14ac:dyDescent="0.15"/>
    <row r="379" hidden="1" x14ac:dyDescent="0.15"/>
    <row r="380" hidden="1" x14ac:dyDescent="0.15"/>
    <row r="381" hidden="1" x14ac:dyDescent="0.15"/>
    <row r="382" hidden="1" x14ac:dyDescent="0.15"/>
    <row r="383" hidden="1" x14ac:dyDescent="0.15"/>
    <row r="384" hidden="1" x14ac:dyDescent="0.15"/>
    <row r="385" hidden="1" x14ac:dyDescent="0.15"/>
    <row r="386" hidden="1" x14ac:dyDescent="0.15"/>
    <row r="387" hidden="1" x14ac:dyDescent="0.15"/>
    <row r="388" hidden="1" x14ac:dyDescent="0.15"/>
    <row r="389" hidden="1" x14ac:dyDescent="0.15"/>
    <row r="390" hidden="1" x14ac:dyDescent="0.15"/>
    <row r="391" hidden="1" x14ac:dyDescent="0.15"/>
    <row r="392" hidden="1" x14ac:dyDescent="0.15"/>
    <row r="393" hidden="1" x14ac:dyDescent="0.15"/>
    <row r="394" hidden="1" x14ac:dyDescent="0.15"/>
    <row r="395" hidden="1" x14ac:dyDescent="0.15"/>
    <row r="396" hidden="1" x14ac:dyDescent="0.15"/>
    <row r="397" hidden="1" x14ac:dyDescent="0.15"/>
    <row r="398" hidden="1" x14ac:dyDescent="0.15"/>
    <row r="399" hidden="1" x14ac:dyDescent="0.15"/>
    <row r="400" hidden="1" x14ac:dyDescent="0.15"/>
    <row r="401" hidden="1" x14ac:dyDescent="0.15"/>
    <row r="402" hidden="1" x14ac:dyDescent="0.15"/>
    <row r="403" hidden="1" x14ac:dyDescent="0.15"/>
    <row r="404" hidden="1" x14ac:dyDescent="0.15"/>
    <row r="405" hidden="1" x14ac:dyDescent="0.15"/>
    <row r="406" hidden="1" x14ac:dyDescent="0.15"/>
    <row r="407" hidden="1" x14ac:dyDescent="0.15"/>
    <row r="408" hidden="1" x14ac:dyDescent="0.15"/>
    <row r="409" hidden="1" x14ac:dyDescent="0.15"/>
    <row r="410" hidden="1" x14ac:dyDescent="0.15"/>
    <row r="411" hidden="1" x14ac:dyDescent="0.15"/>
    <row r="412" hidden="1" x14ac:dyDescent="0.15"/>
    <row r="413" hidden="1" x14ac:dyDescent="0.15"/>
    <row r="414" hidden="1" x14ac:dyDescent="0.15"/>
    <row r="415" hidden="1" x14ac:dyDescent="0.15"/>
    <row r="416" hidden="1" x14ac:dyDescent="0.15"/>
    <row r="417" hidden="1" x14ac:dyDescent="0.15"/>
    <row r="418" hidden="1" x14ac:dyDescent="0.15"/>
    <row r="419" hidden="1" x14ac:dyDescent="0.15"/>
    <row r="420" hidden="1" x14ac:dyDescent="0.15"/>
    <row r="421" hidden="1" x14ac:dyDescent="0.15"/>
    <row r="422" hidden="1" x14ac:dyDescent="0.15"/>
    <row r="423" hidden="1" x14ac:dyDescent="0.15"/>
    <row r="424" hidden="1" x14ac:dyDescent="0.15"/>
    <row r="425" hidden="1" x14ac:dyDescent="0.15"/>
    <row r="426" hidden="1" x14ac:dyDescent="0.15"/>
    <row r="427" hidden="1" x14ac:dyDescent="0.15"/>
    <row r="428" hidden="1" x14ac:dyDescent="0.15"/>
    <row r="429" hidden="1" x14ac:dyDescent="0.15"/>
    <row r="430" hidden="1" x14ac:dyDescent="0.15"/>
    <row r="431" hidden="1" x14ac:dyDescent="0.15"/>
    <row r="432" hidden="1" x14ac:dyDescent="0.15"/>
    <row r="433" hidden="1" x14ac:dyDescent="0.15"/>
    <row r="434" hidden="1" x14ac:dyDescent="0.15"/>
    <row r="435" hidden="1" x14ac:dyDescent="0.15"/>
    <row r="436" hidden="1" x14ac:dyDescent="0.15"/>
    <row r="437" hidden="1" x14ac:dyDescent="0.15"/>
    <row r="438" hidden="1" x14ac:dyDescent="0.15"/>
    <row r="439" hidden="1" x14ac:dyDescent="0.15"/>
    <row r="440" hidden="1" x14ac:dyDescent="0.15"/>
    <row r="441" hidden="1" x14ac:dyDescent="0.15"/>
    <row r="442" hidden="1" x14ac:dyDescent="0.15"/>
    <row r="443" hidden="1" x14ac:dyDescent="0.15"/>
    <row r="444" hidden="1" x14ac:dyDescent="0.15"/>
    <row r="445" hidden="1" x14ac:dyDescent="0.15"/>
    <row r="446" hidden="1" x14ac:dyDescent="0.15"/>
    <row r="447" hidden="1" x14ac:dyDescent="0.15"/>
    <row r="448" hidden="1" x14ac:dyDescent="0.15"/>
    <row r="449" hidden="1" x14ac:dyDescent="0.15"/>
    <row r="450" hidden="1" x14ac:dyDescent="0.15"/>
    <row r="451" hidden="1" x14ac:dyDescent="0.15"/>
    <row r="452" hidden="1" x14ac:dyDescent="0.15"/>
    <row r="453" hidden="1" x14ac:dyDescent="0.15"/>
    <row r="454" hidden="1" x14ac:dyDescent="0.15"/>
    <row r="455" hidden="1" x14ac:dyDescent="0.15"/>
    <row r="456" hidden="1" x14ac:dyDescent="0.15"/>
    <row r="457" hidden="1" x14ac:dyDescent="0.15"/>
    <row r="458" hidden="1" x14ac:dyDescent="0.15"/>
    <row r="459" hidden="1" x14ac:dyDescent="0.15"/>
    <row r="460" hidden="1" x14ac:dyDescent="0.15"/>
    <row r="461" hidden="1" x14ac:dyDescent="0.15"/>
    <row r="462" hidden="1" x14ac:dyDescent="0.15"/>
    <row r="463" hidden="1" x14ac:dyDescent="0.15"/>
    <row r="464" hidden="1" x14ac:dyDescent="0.15"/>
    <row r="465" hidden="1" x14ac:dyDescent="0.15"/>
    <row r="466" hidden="1" x14ac:dyDescent="0.15"/>
    <row r="467" hidden="1" x14ac:dyDescent="0.15"/>
    <row r="468" hidden="1" x14ac:dyDescent="0.15"/>
    <row r="469" hidden="1" x14ac:dyDescent="0.15"/>
    <row r="470" hidden="1" x14ac:dyDescent="0.15"/>
    <row r="471" hidden="1" x14ac:dyDescent="0.15"/>
    <row r="472" hidden="1" x14ac:dyDescent="0.15"/>
    <row r="473" hidden="1" x14ac:dyDescent="0.15"/>
    <row r="474" hidden="1" x14ac:dyDescent="0.15"/>
    <row r="475" hidden="1" x14ac:dyDescent="0.15"/>
    <row r="476" hidden="1" x14ac:dyDescent="0.15"/>
    <row r="477" hidden="1" x14ac:dyDescent="0.15"/>
    <row r="478" hidden="1" x14ac:dyDescent="0.15"/>
    <row r="479" hidden="1" x14ac:dyDescent="0.15"/>
    <row r="480" hidden="1" x14ac:dyDescent="0.15"/>
    <row r="481" hidden="1" x14ac:dyDescent="0.15"/>
    <row r="482" hidden="1" x14ac:dyDescent="0.15"/>
    <row r="483" hidden="1" x14ac:dyDescent="0.15"/>
    <row r="484" hidden="1" x14ac:dyDescent="0.15"/>
    <row r="485" hidden="1" x14ac:dyDescent="0.15"/>
    <row r="486" hidden="1" x14ac:dyDescent="0.15"/>
    <row r="487" hidden="1" x14ac:dyDescent="0.15"/>
    <row r="488" hidden="1" x14ac:dyDescent="0.15"/>
    <row r="489" hidden="1" x14ac:dyDescent="0.15"/>
    <row r="490" hidden="1" x14ac:dyDescent="0.15"/>
    <row r="491" hidden="1" x14ac:dyDescent="0.15"/>
    <row r="492" hidden="1" x14ac:dyDescent="0.15"/>
    <row r="493" hidden="1" x14ac:dyDescent="0.15"/>
    <row r="494" hidden="1" x14ac:dyDescent="0.15"/>
    <row r="495" hidden="1" x14ac:dyDescent="0.15"/>
    <row r="496" hidden="1" x14ac:dyDescent="0.15"/>
    <row r="497" hidden="1" x14ac:dyDescent="0.15"/>
    <row r="498" hidden="1" x14ac:dyDescent="0.15"/>
    <row r="499" hidden="1" x14ac:dyDescent="0.15"/>
    <row r="500" hidden="1" x14ac:dyDescent="0.15"/>
    <row r="501" hidden="1" x14ac:dyDescent="0.15"/>
    <row r="502" hidden="1" x14ac:dyDescent="0.15"/>
    <row r="503" hidden="1" x14ac:dyDescent="0.15"/>
    <row r="504" hidden="1" x14ac:dyDescent="0.15"/>
    <row r="505" hidden="1" x14ac:dyDescent="0.15"/>
    <row r="506" hidden="1" x14ac:dyDescent="0.15"/>
    <row r="507" hidden="1" x14ac:dyDescent="0.15"/>
    <row r="508" hidden="1" x14ac:dyDescent="0.15"/>
    <row r="509" hidden="1" x14ac:dyDescent="0.15"/>
    <row r="510" hidden="1" x14ac:dyDescent="0.15"/>
    <row r="511" hidden="1" x14ac:dyDescent="0.15"/>
    <row r="512" hidden="1" x14ac:dyDescent="0.15"/>
    <row r="513" hidden="1" x14ac:dyDescent="0.15"/>
    <row r="514" hidden="1" x14ac:dyDescent="0.15"/>
    <row r="515" hidden="1" x14ac:dyDescent="0.15"/>
    <row r="516" hidden="1" x14ac:dyDescent="0.15"/>
    <row r="517" hidden="1" x14ac:dyDescent="0.15"/>
    <row r="518" hidden="1" x14ac:dyDescent="0.15"/>
    <row r="519" hidden="1" x14ac:dyDescent="0.15"/>
    <row r="520" hidden="1" x14ac:dyDescent="0.15"/>
    <row r="521" hidden="1" x14ac:dyDescent="0.15"/>
    <row r="522" hidden="1" x14ac:dyDescent="0.15"/>
    <row r="523" hidden="1" x14ac:dyDescent="0.15"/>
    <row r="524" hidden="1" x14ac:dyDescent="0.15"/>
    <row r="525" hidden="1" x14ac:dyDescent="0.15"/>
    <row r="526" hidden="1" x14ac:dyDescent="0.15"/>
    <row r="527" hidden="1" x14ac:dyDescent="0.15"/>
    <row r="528" hidden="1" x14ac:dyDescent="0.15"/>
    <row r="529" hidden="1" x14ac:dyDescent="0.15"/>
    <row r="530" hidden="1" x14ac:dyDescent="0.15"/>
    <row r="531" hidden="1" x14ac:dyDescent="0.15"/>
    <row r="532" hidden="1" x14ac:dyDescent="0.15"/>
    <row r="533" hidden="1" x14ac:dyDescent="0.15"/>
    <row r="534" hidden="1" x14ac:dyDescent="0.15"/>
    <row r="535" hidden="1" x14ac:dyDescent="0.15"/>
    <row r="536" hidden="1" x14ac:dyDescent="0.15"/>
    <row r="537" hidden="1" x14ac:dyDescent="0.15"/>
    <row r="538" hidden="1" x14ac:dyDescent="0.15"/>
    <row r="539" hidden="1" x14ac:dyDescent="0.15"/>
    <row r="540" hidden="1" x14ac:dyDescent="0.15"/>
    <row r="541" hidden="1" x14ac:dyDescent="0.15"/>
    <row r="542" hidden="1" x14ac:dyDescent="0.15"/>
    <row r="543" hidden="1" x14ac:dyDescent="0.15"/>
    <row r="544" hidden="1" x14ac:dyDescent="0.15"/>
    <row r="545" hidden="1" x14ac:dyDescent="0.15"/>
    <row r="546" hidden="1" x14ac:dyDescent="0.15"/>
    <row r="547" hidden="1" x14ac:dyDescent="0.15"/>
    <row r="548" hidden="1" x14ac:dyDescent="0.15"/>
    <row r="549" hidden="1" x14ac:dyDescent="0.15"/>
    <row r="550" hidden="1" x14ac:dyDescent="0.15"/>
    <row r="551" hidden="1" x14ac:dyDescent="0.15"/>
    <row r="552" hidden="1" x14ac:dyDescent="0.15"/>
    <row r="553" hidden="1" x14ac:dyDescent="0.15"/>
    <row r="554" hidden="1" x14ac:dyDescent="0.15"/>
    <row r="555" hidden="1" x14ac:dyDescent="0.15"/>
    <row r="556" hidden="1" x14ac:dyDescent="0.15"/>
    <row r="557" hidden="1" x14ac:dyDescent="0.15"/>
    <row r="558" hidden="1" x14ac:dyDescent="0.15"/>
    <row r="559" hidden="1" x14ac:dyDescent="0.15"/>
    <row r="560" hidden="1" x14ac:dyDescent="0.15"/>
    <row r="561" hidden="1" x14ac:dyDescent="0.15"/>
    <row r="562" hidden="1" x14ac:dyDescent="0.15"/>
    <row r="563" hidden="1" x14ac:dyDescent="0.15"/>
    <row r="564" hidden="1" x14ac:dyDescent="0.15"/>
    <row r="565" hidden="1" x14ac:dyDescent="0.15"/>
    <row r="566" hidden="1" x14ac:dyDescent="0.15"/>
    <row r="567" hidden="1" x14ac:dyDescent="0.15"/>
    <row r="568" hidden="1" x14ac:dyDescent="0.15"/>
    <row r="569" hidden="1" x14ac:dyDescent="0.15"/>
    <row r="570" hidden="1" x14ac:dyDescent="0.15"/>
    <row r="571" hidden="1" x14ac:dyDescent="0.15"/>
    <row r="572" hidden="1" x14ac:dyDescent="0.15"/>
    <row r="573" hidden="1" x14ac:dyDescent="0.15"/>
    <row r="574" hidden="1" x14ac:dyDescent="0.15"/>
    <row r="575" hidden="1" x14ac:dyDescent="0.15"/>
    <row r="576" hidden="1" x14ac:dyDescent="0.15"/>
    <row r="577" hidden="1" x14ac:dyDescent="0.15"/>
    <row r="578" hidden="1" x14ac:dyDescent="0.15"/>
    <row r="579" hidden="1" x14ac:dyDescent="0.15"/>
    <row r="580" hidden="1" x14ac:dyDescent="0.15"/>
    <row r="581" hidden="1" x14ac:dyDescent="0.15"/>
    <row r="582" hidden="1" x14ac:dyDescent="0.15"/>
    <row r="583" hidden="1" x14ac:dyDescent="0.15"/>
    <row r="584" hidden="1" x14ac:dyDescent="0.15"/>
    <row r="585" hidden="1" x14ac:dyDescent="0.15"/>
    <row r="586" hidden="1" x14ac:dyDescent="0.15"/>
    <row r="587" hidden="1" x14ac:dyDescent="0.15"/>
    <row r="588" hidden="1" x14ac:dyDescent="0.15"/>
    <row r="589" hidden="1" x14ac:dyDescent="0.15"/>
    <row r="590" hidden="1" x14ac:dyDescent="0.15"/>
    <row r="591" hidden="1" x14ac:dyDescent="0.15"/>
    <row r="592" hidden="1" x14ac:dyDescent="0.15"/>
    <row r="593" hidden="1" x14ac:dyDescent="0.15"/>
    <row r="594" hidden="1" x14ac:dyDescent="0.15"/>
    <row r="595" hidden="1" x14ac:dyDescent="0.15"/>
    <row r="596" hidden="1" x14ac:dyDescent="0.15"/>
    <row r="597" hidden="1" x14ac:dyDescent="0.15"/>
    <row r="598" hidden="1" x14ac:dyDescent="0.15"/>
    <row r="599" hidden="1" x14ac:dyDescent="0.15"/>
    <row r="600" hidden="1" x14ac:dyDescent="0.15"/>
    <row r="601" hidden="1" x14ac:dyDescent="0.15"/>
    <row r="602" hidden="1" x14ac:dyDescent="0.15"/>
    <row r="603" hidden="1" x14ac:dyDescent="0.15"/>
    <row r="604" hidden="1" x14ac:dyDescent="0.15"/>
    <row r="605" hidden="1" x14ac:dyDescent="0.15"/>
    <row r="606" hidden="1" x14ac:dyDescent="0.15"/>
    <row r="607" hidden="1" x14ac:dyDescent="0.15"/>
    <row r="608" hidden="1" x14ac:dyDescent="0.15"/>
    <row r="609" hidden="1" x14ac:dyDescent="0.15"/>
    <row r="610" hidden="1" x14ac:dyDescent="0.15"/>
    <row r="611" hidden="1" x14ac:dyDescent="0.15"/>
    <row r="612" hidden="1" x14ac:dyDescent="0.15"/>
    <row r="613" hidden="1" x14ac:dyDescent="0.15"/>
    <row r="614" hidden="1" x14ac:dyDescent="0.15"/>
    <row r="615" hidden="1" x14ac:dyDescent="0.15"/>
    <row r="616" hidden="1" x14ac:dyDescent="0.15"/>
    <row r="617" hidden="1" x14ac:dyDescent="0.15"/>
    <row r="618" hidden="1" x14ac:dyDescent="0.15"/>
    <row r="619" hidden="1" x14ac:dyDescent="0.15"/>
    <row r="620" hidden="1" x14ac:dyDescent="0.15"/>
    <row r="621" hidden="1" x14ac:dyDescent="0.15"/>
    <row r="622" hidden="1" x14ac:dyDescent="0.15"/>
    <row r="623" hidden="1" x14ac:dyDescent="0.15"/>
    <row r="624" hidden="1" x14ac:dyDescent="0.15"/>
    <row r="625" hidden="1" x14ac:dyDescent="0.15"/>
    <row r="626" hidden="1" x14ac:dyDescent="0.15"/>
    <row r="627" hidden="1" x14ac:dyDescent="0.15"/>
    <row r="628" hidden="1" x14ac:dyDescent="0.15"/>
    <row r="629" hidden="1" x14ac:dyDescent="0.15"/>
    <row r="630" hidden="1" x14ac:dyDescent="0.15"/>
    <row r="631" hidden="1" x14ac:dyDescent="0.15"/>
    <row r="632" hidden="1" x14ac:dyDescent="0.15"/>
    <row r="633" hidden="1" x14ac:dyDescent="0.15"/>
    <row r="634" hidden="1" x14ac:dyDescent="0.15"/>
    <row r="635" hidden="1" x14ac:dyDescent="0.15"/>
    <row r="636" hidden="1" x14ac:dyDescent="0.15"/>
    <row r="637" hidden="1" x14ac:dyDescent="0.15"/>
    <row r="638" hidden="1" x14ac:dyDescent="0.15"/>
    <row r="639" hidden="1" x14ac:dyDescent="0.15"/>
    <row r="640" hidden="1" x14ac:dyDescent="0.15"/>
    <row r="641" hidden="1" x14ac:dyDescent="0.15"/>
    <row r="642" hidden="1" x14ac:dyDescent="0.15"/>
    <row r="643" hidden="1" x14ac:dyDescent="0.15"/>
    <row r="644" hidden="1" x14ac:dyDescent="0.15"/>
    <row r="645" hidden="1" x14ac:dyDescent="0.15"/>
    <row r="646" hidden="1" x14ac:dyDescent="0.15"/>
    <row r="647" hidden="1" x14ac:dyDescent="0.15"/>
    <row r="648" hidden="1" x14ac:dyDescent="0.15"/>
    <row r="649" hidden="1" x14ac:dyDescent="0.15"/>
    <row r="650" hidden="1" x14ac:dyDescent="0.15"/>
    <row r="651" hidden="1" x14ac:dyDescent="0.15"/>
    <row r="652" hidden="1" x14ac:dyDescent="0.15"/>
    <row r="653" hidden="1" x14ac:dyDescent="0.15"/>
    <row r="654" hidden="1" x14ac:dyDescent="0.15"/>
    <row r="655" hidden="1" x14ac:dyDescent="0.15"/>
    <row r="656" hidden="1" x14ac:dyDescent="0.15"/>
    <row r="657" hidden="1" x14ac:dyDescent="0.15"/>
    <row r="658" hidden="1" x14ac:dyDescent="0.15"/>
    <row r="659" hidden="1" x14ac:dyDescent="0.15"/>
    <row r="660" hidden="1" x14ac:dyDescent="0.15"/>
    <row r="661" hidden="1" x14ac:dyDescent="0.15"/>
    <row r="662" hidden="1" x14ac:dyDescent="0.15"/>
    <row r="663" hidden="1" x14ac:dyDescent="0.15"/>
    <row r="664" hidden="1" x14ac:dyDescent="0.15"/>
    <row r="665" hidden="1" x14ac:dyDescent="0.15"/>
    <row r="666" hidden="1" x14ac:dyDescent="0.15"/>
    <row r="667" hidden="1" x14ac:dyDescent="0.15"/>
    <row r="668" hidden="1" x14ac:dyDescent="0.15"/>
    <row r="669" hidden="1" x14ac:dyDescent="0.15"/>
    <row r="670" hidden="1" x14ac:dyDescent="0.15"/>
    <row r="671" hidden="1" x14ac:dyDescent="0.15"/>
    <row r="672" hidden="1" x14ac:dyDescent="0.15"/>
    <row r="673" hidden="1" x14ac:dyDescent="0.15"/>
    <row r="674" hidden="1" x14ac:dyDescent="0.15"/>
    <row r="675" hidden="1" x14ac:dyDescent="0.15"/>
    <row r="676" hidden="1" x14ac:dyDescent="0.15"/>
    <row r="677" hidden="1" x14ac:dyDescent="0.15"/>
    <row r="678" hidden="1" x14ac:dyDescent="0.15"/>
    <row r="679" hidden="1" x14ac:dyDescent="0.15"/>
    <row r="680" hidden="1" x14ac:dyDescent="0.15"/>
    <row r="681" hidden="1" x14ac:dyDescent="0.15"/>
    <row r="682" hidden="1" x14ac:dyDescent="0.15"/>
    <row r="683" hidden="1" x14ac:dyDescent="0.15"/>
    <row r="684" hidden="1" x14ac:dyDescent="0.15"/>
    <row r="685" hidden="1" x14ac:dyDescent="0.15"/>
    <row r="686" hidden="1" x14ac:dyDescent="0.15"/>
    <row r="687" hidden="1" x14ac:dyDescent="0.15"/>
    <row r="688" hidden="1" x14ac:dyDescent="0.15"/>
    <row r="689" hidden="1" x14ac:dyDescent="0.15"/>
    <row r="690" hidden="1" x14ac:dyDescent="0.15"/>
    <row r="691" hidden="1" x14ac:dyDescent="0.15"/>
    <row r="692" hidden="1" x14ac:dyDescent="0.15"/>
    <row r="693" hidden="1" x14ac:dyDescent="0.15"/>
    <row r="694" hidden="1" x14ac:dyDescent="0.15"/>
    <row r="695" hidden="1" x14ac:dyDescent="0.15"/>
    <row r="696" hidden="1" x14ac:dyDescent="0.15"/>
    <row r="697" hidden="1" x14ac:dyDescent="0.15"/>
    <row r="698" hidden="1" x14ac:dyDescent="0.15"/>
    <row r="699" hidden="1" x14ac:dyDescent="0.15"/>
    <row r="700" hidden="1" x14ac:dyDescent="0.15"/>
    <row r="701" hidden="1" x14ac:dyDescent="0.15"/>
    <row r="702" hidden="1" x14ac:dyDescent="0.15"/>
    <row r="703" hidden="1" x14ac:dyDescent="0.15"/>
    <row r="704" hidden="1" x14ac:dyDescent="0.15"/>
    <row r="705" hidden="1" x14ac:dyDescent="0.15"/>
    <row r="706" hidden="1" x14ac:dyDescent="0.15"/>
    <row r="707" hidden="1" x14ac:dyDescent="0.15"/>
    <row r="708" hidden="1" x14ac:dyDescent="0.15"/>
    <row r="709" hidden="1" x14ac:dyDescent="0.15"/>
    <row r="710" hidden="1" x14ac:dyDescent="0.15"/>
    <row r="711" hidden="1" x14ac:dyDescent="0.15"/>
    <row r="712" hidden="1" x14ac:dyDescent="0.15"/>
    <row r="713" hidden="1" x14ac:dyDescent="0.15"/>
    <row r="714" hidden="1" x14ac:dyDescent="0.15"/>
    <row r="715" hidden="1" x14ac:dyDescent="0.15"/>
    <row r="716" hidden="1" x14ac:dyDescent="0.15"/>
    <row r="717" hidden="1" x14ac:dyDescent="0.15"/>
    <row r="718" hidden="1" x14ac:dyDescent="0.15"/>
    <row r="719" hidden="1" x14ac:dyDescent="0.15"/>
    <row r="720" hidden="1" x14ac:dyDescent="0.15"/>
    <row r="721" hidden="1" x14ac:dyDescent="0.15"/>
    <row r="722" hidden="1" x14ac:dyDescent="0.15"/>
    <row r="723" hidden="1" x14ac:dyDescent="0.15"/>
    <row r="724" hidden="1" x14ac:dyDescent="0.15"/>
    <row r="725" hidden="1" x14ac:dyDescent="0.15"/>
    <row r="726" hidden="1" x14ac:dyDescent="0.15"/>
    <row r="727" hidden="1" x14ac:dyDescent="0.15"/>
    <row r="728" hidden="1" x14ac:dyDescent="0.15"/>
    <row r="729" hidden="1" x14ac:dyDescent="0.15"/>
    <row r="730" hidden="1" x14ac:dyDescent="0.15"/>
    <row r="731" hidden="1" x14ac:dyDescent="0.15"/>
    <row r="732" hidden="1" x14ac:dyDescent="0.15"/>
    <row r="733" hidden="1" x14ac:dyDescent="0.15"/>
    <row r="734" hidden="1" x14ac:dyDescent="0.15"/>
    <row r="735" hidden="1" x14ac:dyDescent="0.15"/>
    <row r="736" hidden="1" x14ac:dyDescent="0.15"/>
    <row r="737" hidden="1" x14ac:dyDescent="0.15"/>
    <row r="738" hidden="1" x14ac:dyDescent="0.15"/>
    <row r="739" hidden="1" x14ac:dyDescent="0.15"/>
    <row r="740" hidden="1" x14ac:dyDescent="0.15"/>
    <row r="741" hidden="1" x14ac:dyDescent="0.15"/>
    <row r="742" hidden="1" x14ac:dyDescent="0.15"/>
    <row r="743" hidden="1" x14ac:dyDescent="0.15"/>
    <row r="744" hidden="1" x14ac:dyDescent="0.15"/>
    <row r="745" hidden="1" x14ac:dyDescent="0.15"/>
    <row r="746" hidden="1" x14ac:dyDescent="0.15"/>
    <row r="747" hidden="1" x14ac:dyDescent="0.15"/>
    <row r="748" hidden="1" x14ac:dyDescent="0.15"/>
    <row r="749" hidden="1" x14ac:dyDescent="0.15"/>
    <row r="750" hidden="1" x14ac:dyDescent="0.15"/>
    <row r="751" hidden="1" x14ac:dyDescent="0.15"/>
    <row r="752" hidden="1" x14ac:dyDescent="0.15"/>
    <row r="753" hidden="1" x14ac:dyDescent="0.15"/>
    <row r="754" hidden="1" x14ac:dyDescent="0.15"/>
    <row r="755" hidden="1" x14ac:dyDescent="0.15"/>
    <row r="756" hidden="1" x14ac:dyDescent="0.15"/>
    <row r="757" hidden="1" x14ac:dyDescent="0.15"/>
    <row r="758" hidden="1" x14ac:dyDescent="0.15"/>
    <row r="759" hidden="1" x14ac:dyDescent="0.15"/>
    <row r="760" hidden="1" x14ac:dyDescent="0.15"/>
    <row r="761" hidden="1" x14ac:dyDescent="0.15"/>
    <row r="762" hidden="1" x14ac:dyDescent="0.15"/>
    <row r="763" hidden="1" x14ac:dyDescent="0.15"/>
    <row r="764" hidden="1" x14ac:dyDescent="0.15"/>
    <row r="765" hidden="1" x14ac:dyDescent="0.15"/>
    <row r="766" hidden="1" x14ac:dyDescent="0.15"/>
    <row r="767" hidden="1" x14ac:dyDescent="0.15"/>
    <row r="768" hidden="1" x14ac:dyDescent="0.15"/>
    <row r="769" hidden="1" x14ac:dyDescent="0.15"/>
    <row r="770" hidden="1" x14ac:dyDescent="0.15"/>
    <row r="771" hidden="1" x14ac:dyDescent="0.15"/>
    <row r="772" hidden="1" x14ac:dyDescent="0.15"/>
    <row r="773" hidden="1" x14ac:dyDescent="0.15"/>
    <row r="774" hidden="1" x14ac:dyDescent="0.15"/>
    <row r="775" hidden="1" x14ac:dyDescent="0.15"/>
    <row r="776" hidden="1" x14ac:dyDescent="0.15"/>
    <row r="777" hidden="1" x14ac:dyDescent="0.15"/>
    <row r="778" hidden="1" x14ac:dyDescent="0.15"/>
    <row r="779" hidden="1" x14ac:dyDescent="0.15"/>
    <row r="780" hidden="1" x14ac:dyDescent="0.15"/>
    <row r="781" hidden="1" x14ac:dyDescent="0.15"/>
    <row r="782" hidden="1" x14ac:dyDescent="0.15"/>
    <row r="783" hidden="1" x14ac:dyDescent="0.15"/>
    <row r="784" hidden="1" x14ac:dyDescent="0.15"/>
    <row r="785" hidden="1" x14ac:dyDescent="0.15"/>
    <row r="786" hidden="1" x14ac:dyDescent="0.15"/>
    <row r="787" hidden="1" x14ac:dyDescent="0.15"/>
    <row r="788" hidden="1" x14ac:dyDescent="0.15"/>
    <row r="789" hidden="1" x14ac:dyDescent="0.15"/>
    <row r="790" hidden="1" x14ac:dyDescent="0.15"/>
    <row r="791" hidden="1" x14ac:dyDescent="0.15"/>
    <row r="792" hidden="1" x14ac:dyDescent="0.15"/>
    <row r="793" hidden="1" x14ac:dyDescent="0.15"/>
    <row r="794" hidden="1" x14ac:dyDescent="0.15"/>
    <row r="795" hidden="1" x14ac:dyDescent="0.15"/>
    <row r="796" hidden="1" x14ac:dyDescent="0.15"/>
    <row r="797" hidden="1" x14ac:dyDescent="0.15"/>
    <row r="798" hidden="1" x14ac:dyDescent="0.15"/>
    <row r="799" hidden="1" x14ac:dyDescent="0.15"/>
    <row r="800" hidden="1" x14ac:dyDescent="0.15"/>
    <row r="801" hidden="1" x14ac:dyDescent="0.15"/>
    <row r="802" hidden="1" x14ac:dyDescent="0.15"/>
    <row r="803" hidden="1" x14ac:dyDescent="0.15"/>
    <row r="804" hidden="1" x14ac:dyDescent="0.15"/>
    <row r="805" hidden="1" x14ac:dyDescent="0.15"/>
    <row r="806" hidden="1" x14ac:dyDescent="0.15"/>
    <row r="807" hidden="1" x14ac:dyDescent="0.15"/>
    <row r="808" hidden="1" x14ac:dyDescent="0.15"/>
    <row r="809" hidden="1" x14ac:dyDescent="0.15"/>
    <row r="810" hidden="1" x14ac:dyDescent="0.15"/>
    <row r="811" hidden="1" x14ac:dyDescent="0.15"/>
    <row r="812" hidden="1" x14ac:dyDescent="0.15"/>
    <row r="813" hidden="1" x14ac:dyDescent="0.15"/>
    <row r="814" hidden="1" x14ac:dyDescent="0.15"/>
    <row r="815" hidden="1" x14ac:dyDescent="0.15"/>
    <row r="816" hidden="1" x14ac:dyDescent="0.15"/>
    <row r="817" hidden="1" x14ac:dyDescent="0.15"/>
    <row r="818" hidden="1" x14ac:dyDescent="0.15"/>
    <row r="819" hidden="1" x14ac:dyDescent="0.15"/>
    <row r="820" hidden="1" x14ac:dyDescent="0.15"/>
    <row r="821" hidden="1" x14ac:dyDescent="0.15"/>
    <row r="822" hidden="1" x14ac:dyDescent="0.15"/>
    <row r="823" hidden="1" x14ac:dyDescent="0.15"/>
    <row r="824" hidden="1" x14ac:dyDescent="0.15"/>
    <row r="825" hidden="1" x14ac:dyDescent="0.15"/>
    <row r="826" hidden="1" x14ac:dyDescent="0.15"/>
    <row r="827" hidden="1" x14ac:dyDescent="0.15"/>
    <row r="828" hidden="1" x14ac:dyDescent="0.15"/>
    <row r="829" hidden="1" x14ac:dyDescent="0.15"/>
    <row r="830" hidden="1" x14ac:dyDescent="0.15"/>
    <row r="831" hidden="1" x14ac:dyDescent="0.15"/>
    <row r="832" hidden="1" x14ac:dyDescent="0.15"/>
    <row r="833" hidden="1" x14ac:dyDescent="0.15"/>
    <row r="834" hidden="1" x14ac:dyDescent="0.15"/>
    <row r="835" hidden="1" x14ac:dyDescent="0.15"/>
    <row r="836" hidden="1" x14ac:dyDescent="0.15"/>
    <row r="837" hidden="1" x14ac:dyDescent="0.15"/>
    <row r="838" hidden="1" x14ac:dyDescent="0.15"/>
    <row r="839" hidden="1" x14ac:dyDescent="0.15"/>
    <row r="840" hidden="1" x14ac:dyDescent="0.15"/>
    <row r="841" hidden="1" x14ac:dyDescent="0.15"/>
    <row r="842" hidden="1" x14ac:dyDescent="0.15"/>
    <row r="843" hidden="1" x14ac:dyDescent="0.15"/>
    <row r="844" hidden="1" x14ac:dyDescent="0.15"/>
    <row r="845" hidden="1" x14ac:dyDescent="0.15"/>
    <row r="846" hidden="1" x14ac:dyDescent="0.15"/>
    <row r="847" hidden="1" x14ac:dyDescent="0.15"/>
    <row r="848" hidden="1" x14ac:dyDescent="0.15"/>
    <row r="849" hidden="1" x14ac:dyDescent="0.15"/>
    <row r="850" hidden="1" x14ac:dyDescent="0.15"/>
    <row r="851" hidden="1" x14ac:dyDescent="0.15"/>
    <row r="852" hidden="1" x14ac:dyDescent="0.15"/>
    <row r="853" hidden="1" x14ac:dyDescent="0.15"/>
    <row r="854" hidden="1" x14ac:dyDescent="0.15"/>
    <row r="855" hidden="1" x14ac:dyDescent="0.15"/>
    <row r="856" hidden="1" x14ac:dyDescent="0.15"/>
    <row r="857" hidden="1" x14ac:dyDescent="0.15"/>
    <row r="858" hidden="1" x14ac:dyDescent="0.15"/>
    <row r="859" hidden="1" x14ac:dyDescent="0.15"/>
    <row r="860" hidden="1" x14ac:dyDescent="0.15"/>
    <row r="861" hidden="1" x14ac:dyDescent="0.15"/>
    <row r="862" hidden="1" x14ac:dyDescent="0.15"/>
    <row r="863" hidden="1" x14ac:dyDescent="0.15"/>
    <row r="864" hidden="1" x14ac:dyDescent="0.15"/>
    <row r="865" hidden="1" x14ac:dyDescent="0.15"/>
    <row r="866" hidden="1" x14ac:dyDescent="0.15"/>
    <row r="867" hidden="1" x14ac:dyDescent="0.15"/>
    <row r="868" hidden="1" x14ac:dyDescent="0.15"/>
    <row r="869" hidden="1" x14ac:dyDescent="0.15"/>
    <row r="870" hidden="1" x14ac:dyDescent="0.15"/>
    <row r="871" hidden="1" x14ac:dyDescent="0.15"/>
    <row r="872" hidden="1" x14ac:dyDescent="0.15"/>
    <row r="873" hidden="1" x14ac:dyDescent="0.15"/>
    <row r="874" hidden="1" x14ac:dyDescent="0.15"/>
    <row r="875" hidden="1" x14ac:dyDescent="0.15"/>
    <row r="876" hidden="1" x14ac:dyDescent="0.15"/>
    <row r="877" hidden="1" x14ac:dyDescent="0.15"/>
    <row r="878" hidden="1" x14ac:dyDescent="0.15"/>
    <row r="879" hidden="1" x14ac:dyDescent="0.15"/>
    <row r="880" hidden="1" x14ac:dyDescent="0.15"/>
    <row r="881" hidden="1" x14ac:dyDescent="0.15"/>
    <row r="882" hidden="1" x14ac:dyDescent="0.15"/>
    <row r="883" hidden="1" x14ac:dyDescent="0.15"/>
    <row r="884" hidden="1" x14ac:dyDescent="0.15"/>
    <row r="885" hidden="1" x14ac:dyDescent="0.15"/>
    <row r="886" hidden="1" x14ac:dyDescent="0.15"/>
    <row r="887" hidden="1" x14ac:dyDescent="0.15"/>
    <row r="888" hidden="1" x14ac:dyDescent="0.15"/>
    <row r="889" hidden="1" x14ac:dyDescent="0.15"/>
    <row r="890" hidden="1" x14ac:dyDescent="0.15"/>
    <row r="891" hidden="1" x14ac:dyDescent="0.15"/>
    <row r="892" hidden="1" x14ac:dyDescent="0.15"/>
    <row r="893" hidden="1" x14ac:dyDescent="0.15"/>
    <row r="894" hidden="1" x14ac:dyDescent="0.15"/>
    <row r="895" hidden="1" x14ac:dyDescent="0.15"/>
    <row r="896" hidden="1" x14ac:dyDescent="0.15"/>
    <row r="897" hidden="1" x14ac:dyDescent="0.15"/>
    <row r="898" hidden="1" x14ac:dyDescent="0.15"/>
    <row r="899" hidden="1" x14ac:dyDescent="0.15"/>
    <row r="900" hidden="1" x14ac:dyDescent="0.15"/>
    <row r="901" hidden="1" x14ac:dyDescent="0.15"/>
    <row r="902" hidden="1" x14ac:dyDescent="0.15"/>
    <row r="903" hidden="1" x14ac:dyDescent="0.15"/>
    <row r="904" hidden="1" x14ac:dyDescent="0.15"/>
    <row r="905" hidden="1" x14ac:dyDescent="0.15"/>
    <row r="906" hidden="1" x14ac:dyDescent="0.15"/>
    <row r="907" hidden="1" x14ac:dyDescent="0.15"/>
    <row r="908" hidden="1" x14ac:dyDescent="0.15"/>
    <row r="909" hidden="1" x14ac:dyDescent="0.15"/>
    <row r="910" hidden="1" x14ac:dyDescent="0.15"/>
    <row r="911" hidden="1" x14ac:dyDescent="0.15"/>
    <row r="912" hidden="1" x14ac:dyDescent="0.15"/>
    <row r="913" hidden="1" x14ac:dyDescent="0.15"/>
    <row r="914" hidden="1" x14ac:dyDescent="0.15"/>
    <row r="915" hidden="1" x14ac:dyDescent="0.15"/>
    <row r="916" hidden="1" x14ac:dyDescent="0.15"/>
    <row r="917" hidden="1" x14ac:dyDescent="0.15"/>
    <row r="918" hidden="1" x14ac:dyDescent="0.15"/>
    <row r="919" hidden="1" x14ac:dyDescent="0.15"/>
    <row r="920" hidden="1" x14ac:dyDescent="0.15"/>
    <row r="921" hidden="1" x14ac:dyDescent="0.15"/>
    <row r="922" hidden="1" x14ac:dyDescent="0.15"/>
    <row r="923" hidden="1" x14ac:dyDescent="0.15"/>
    <row r="924" hidden="1" x14ac:dyDescent="0.15"/>
    <row r="925" hidden="1" x14ac:dyDescent="0.15"/>
    <row r="926" hidden="1" x14ac:dyDescent="0.15"/>
    <row r="927" hidden="1" x14ac:dyDescent="0.15"/>
    <row r="928" hidden="1" x14ac:dyDescent="0.15"/>
    <row r="929" hidden="1" x14ac:dyDescent="0.15"/>
    <row r="930" hidden="1" x14ac:dyDescent="0.15"/>
    <row r="931" hidden="1" x14ac:dyDescent="0.15"/>
    <row r="932" hidden="1" x14ac:dyDescent="0.15"/>
    <row r="933" hidden="1" x14ac:dyDescent="0.15"/>
    <row r="934" hidden="1" x14ac:dyDescent="0.15"/>
    <row r="935" hidden="1" x14ac:dyDescent="0.15"/>
    <row r="936" hidden="1" x14ac:dyDescent="0.15"/>
    <row r="937" hidden="1" x14ac:dyDescent="0.15"/>
    <row r="938" hidden="1" x14ac:dyDescent="0.15"/>
    <row r="939" hidden="1" x14ac:dyDescent="0.15"/>
    <row r="940" hidden="1" x14ac:dyDescent="0.15"/>
    <row r="941" hidden="1" x14ac:dyDescent="0.15"/>
    <row r="942" hidden="1" x14ac:dyDescent="0.15"/>
    <row r="943" hidden="1" x14ac:dyDescent="0.15"/>
    <row r="944" hidden="1" x14ac:dyDescent="0.15"/>
    <row r="945" hidden="1" x14ac:dyDescent="0.15"/>
    <row r="946" hidden="1" x14ac:dyDescent="0.15"/>
    <row r="947" hidden="1" x14ac:dyDescent="0.15"/>
    <row r="948" hidden="1" x14ac:dyDescent="0.15"/>
    <row r="949" hidden="1" x14ac:dyDescent="0.15"/>
    <row r="950" hidden="1" x14ac:dyDescent="0.15"/>
    <row r="951" hidden="1" x14ac:dyDescent="0.15"/>
    <row r="952" hidden="1" x14ac:dyDescent="0.15"/>
    <row r="953" hidden="1" x14ac:dyDescent="0.15"/>
    <row r="954" hidden="1" x14ac:dyDescent="0.15"/>
    <row r="955" hidden="1" x14ac:dyDescent="0.15"/>
    <row r="956" hidden="1" x14ac:dyDescent="0.15"/>
    <row r="957" hidden="1" x14ac:dyDescent="0.15"/>
    <row r="958" hidden="1" x14ac:dyDescent="0.15"/>
    <row r="959" hidden="1" x14ac:dyDescent="0.15"/>
    <row r="960" hidden="1" x14ac:dyDescent="0.15"/>
    <row r="961" hidden="1" x14ac:dyDescent="0.15"/>
    <row r="962" hidden="1" x14ac:dyDescent="0.15"/>
    <row r="963" hidden="1" x14ac:dyDescent="0.15"/>
    <row r="964" hidden="1" x14ac:dyDescent="0.15"/>
    <row r="965" hidden="1" x14ac:dyDescent="0.15"/>
    <row r="966" hidden="1" x14ac:dyDescent="0.15"/>
    <row r="967" hidden="1" x14ac:dyDescent="0.15"/>
    <row r="968" hidden="1" x14ac:dyDescent="0.15"/>
    <row r="969" hidden="1" x14ac:dyDescent="0.15"/>
    <row r="970" hidden="1" x14ac:dyDescent="0.15"/>
    <row r="971" hidden="1" x14ac:dyDescent="0.15"/>
    <row r="972" hidden="1" x14ac:dyDescent="0.15"/>
    <row r="973" hidden="1" x14ac:dyDescent="0.15"/>
    <row r="974" hidden="1" x14ac:dyDescent="0.15"/>
    <row r="975" hidden="1" x14ac:dyDescent="0.15"/>
    <row r="976" hidden="1" x14ac:dyDescent="0.15"/>
    <row r="977" hidden="1" x14ac:dyDescent="0.15"/>
    <row r="978" hidden="1" x14ac:dyDescent="0.15"/>
    <row r="979" hidden="1" x14ac:dyDescent="0.15"/>
    <row r="980" hidden="1" x14ac:dyDescent="0.15"/>
    <row r="981" hidden="1" x14ac:dyDescent="0.15"/>
    <row r="982" hidden="1" x14ac:dyDescent="0.15"/>
    <row r="983" hidden="1" x14ac:dyDescent="0.15"/>
    <row r="984" hidden="1" x14ac:dyDescent="0.15"/>
    <row r="985" hidden="1" x14ac:dyDescent="0.15"/>
    <row r="986" hidden="1" x14ac:dyDescent="0.15"/>
    <row r="987" hidden="1" x14ac:dyDescent="0.15"/>
    <row r="988" hidden="1" x14ac:dyDescent="0.15"/>
    <row r="989" hidden="1" x14ac:dyDescent="0.15"/>
    <row r="990" hidden="1" x14ac:dyDescent="0.15"/>
    <row r="991" hidden="1" x14ac:dyDescent="0.15"/>
    <row r="992" hidden="1" x14ac:dyDescent="0.15"/>
    <row r="993" hidden="1" x14ac:dyDescent="0.15"/>
    <row r="994" hidden="1" x14ac:dyDescent="0.15"/>
    <row r="995" hidden="1" x14ac:dyDescent="0.15"/>
    <row r="996" hidden="1" x14ac:dyDescent="0.15"/>
    <row r="997" hidden="1" x14ac:dyDescent="0.15"/>
    <row r="998" hidden="1" x14ac:dyDescent="0.15"/>
    <row r="999" hidden="1" x14ac:dyDescent="0.15"/>
    <row r="1000" hidden="1" x14ac:dyDescent="0.15"/>
    <row r="1001" hidden="1" x14ac:dyDescent="0.15"/>
    <row r="1002" hidden="1" x14ac:dyDescent="0.15"/>
    <row r="1003" hidden="1" x14ac:dyDescent="0.15"/>
    <row r="1004" hidden="1" x14ac:dyDescent="0.15"/>
    <row r="1005" hidden="1" x14ac:dyDescent="0.15"/>
    <row r="1006" hidden="1" x14ac:dyDescent="0.15"/>
    <row r="1007" hidden="1" x14ac:dyDescent="0.15"/>
    <row r="1008" hidden="1" x14ac:dyDescent="0.15"/>
    <row r="1009" hidden="1" x14ac:dyDescent="0.15"/>
    <row r="1010" hidden="1" x14ac:dyDescent="0.15"/>
    <row r="1011" hidden="1" x14ac:dyDescent="0.15"/>
    <row r="1012" hidden="1" x14ac:dyDescent="0.15"/>
    <row r="1013" hidden="1" x14ac:dyDescent="0.15"/>
    <row r="1014" hidden="1" x14ac:dyDescent="0.15"/>
    <row r="1015" hidden="1" x14ac:dyDescent="0.15"/>
    <row r="1016" hidden="1" x14ac:dyDescent="0.15"/>
    <row r="1017" hidden="1" x14ac:dyDescent="0.15"/>
    <row r="1018" hidden="1" x14ac:dyDescent="0.15"/>
    <row r="1019" hidden="1" x14ac:dyDescent="0.15"/>
    <row r="1020" hidden="1" x14ac:dyDescent="0.15"/>
    <row r="1021" hidden="1" x14ac:dyDescent="0.15"/>
    <row r="1022" hidden="1" x14ac:dyDescent="0.15"/>
    <row r="1023" hidden="1" x14ac:dyDescent="0.15"/>
    <row r="1024" hidden="1" x14ac:dyDescent="0.15"/>
    <row r="1025" hidden="1" x14ac:dyDescent="0.15"/>
    <row r="1026" hidden="1" x14ac:dyDescent="0.15"/>
    <row r="1027" hidden="1" x14ac:dyDescent="0.15"/>
    <row r="1028" hidden="1" x14ac:dyDescent="0.15"/>
    <row r="1029" hidden="1" x14ac:dyDescent="0.15"/>
    <row r="1030" hidden="1" x14ac:dyDescent="0.15"/>
    <row r="1031" hidden="1" x14ac:dyDescent="0.15"/>
    <row r="1032" hidden="1" x14ac:dyDescent="0.15"/>
    <row r="1033" hidden="1" x14ac:dyDescent="0.15"/>
    <row r="1034" hidden="1" x14ac:dyDescent="0.15"/>
    <row r="1035" hidden="1" x14ac:dyDescent="0.15"/>
    <row r="1036" hidden="1" x14ac:dyDescent="0.15"/>
    <row r="1037" hidden="1" x14ac:dyDescent="0.15"/>
    <row r="1038" hidden="1" x14ac:dyDescent="0.15"/>
    <row r="1039" hidden="1" x14ac:dyDescent="0.15"/>
    <row r="1040" hidden="1" x14ac:dyDescent="0.15"/>
    <row r="1041" hidden="1" x14ac:dyDescent="0.15"/>
    <row r="1042" hidden="1" x14ac:dyDescent="0.15"/>
    <row r="1043" hidden="1" x14ac:dyDescent="0.15"/>
    <row r="1044" hidden="1" x14ac:dyDescent="0.15"/>
    <row r="1045" hidden="1" x14ac:dyDescent="0.15"/>
    <row r="1046" hidden="1" x14ac:dyDescent="0.15"/>
    <row r="1047" hidden="1" x14ac:dyDescent="0.15"/>
    <row r="1048" hidden="1" x14ac:dyDescent="0.15"/>
    <row r="1049" hidden="1" x14ac:dyDescent="0.15"/>
    <row r="1050" hidden="1" x14ac:dyDescent="0.15"/>
    <row r="1051" hidden="1" x14ac:dyDescent="0.15"/>
    <row r="1052" hidden="1" x14ac:dyDescent="0.15"/>
    <row r="1053" hidden="1" x14ac:dyDescent="0.15"/>
    <row r="1054" hidden="1" x14ac:dyDescent="0.15"/>
    <row r="1055" hidden="1" x14ac:dyDescent="0.15"/>
    <row r="1056" hidden="1" x14ac:dyDescent="0.15"/>
    <row r="1057" hidden="1" x14ac:dyDescent="0.15"/>
    <row r="1058" hidden="1" x14ac:dyDescent="0.15"/>
    <row r="1059" hidden="1" x14ac:dyDescent="0.15"/>
    <row r="1060" hidden="1" x14ac:dyDescent="0.15"/>
    <row r="1061" hidden="1" x14ac:dyDescent="0.15"/>
    <row r="1062" hidden="1" x14ac:dyDescent="0.15"/>
    <row r="1063" hidden="1" x14ac:dyDescent="0.15"/>
    <row r="1064" hidden="1" x14ac:dyDescent="0.15"/>
    <row r="1065" hidden="1" x14ac:dyDescent="0.15"/>
    <row r="1066" hidden="1" x14ac:dyDescent="0.15"/>
    <row r="1067" hidden="1" x14ac:dyDescent="0.15"/>
    <row r="1068" hidden="1" x14ac:dyDescent="0.15"/>
    <row r="1069" hidden="1" x14ac:dyDescent="0.15"/>
    <row r="1070" hidden="1" x14ac:dyDescent="0.15"/>
    <row r="1071" hidden="1" x14ac:dyDescent="0.15"/>
    <row r="1072" hidden="1" x14ac:dyDescent="0.15"/>
    <row r="1073" hidden="1" x14ac:dyDescent="0.15"/>
    <row r="1074" hidden="1" x14ac:dyDescent="0.15"/>
    <row r="1075" hidden="1" x14ac:dyDescent="0.15"/>
    <row r="1076" hidden="1" x14ac:dyDescent="0.15"/>
    <row r="1077" hidden="1" x14ac:dyDescent="0.15"/>
    <row r="1078" hidden="1" x14ac:dyDescent="0.15"/>
    <row r="1079" hidden="1" x14ac:dyDescent="0.15"/>
    <row r="1080" hidden="1" x14ac:dyDescent="0.15"/>
    <row r="1081" hidden="1" x14ac:dyDescent="0.15"/>
    <row r="1082" hidden="1" x14ac:dyDescent="0.15"/>
    <row r="1083" hidden="1" x14ac:dyDescent="0.15"/>
    <row r="1084" hidden="1" x14ac:dyDescent="0.15"/>
    <row r="1085" hidden="1" x14ac:dyDescent="0.15"/>
    <row r="1086" hidden="1" x14ac:dyDescent="0.15"/>
    <row r="1087" hidden="1" x14ac:dyDescent="0.15"/>
    <row r="1088" hidden="1" x14ac:dyDescent="0.15"/>
    <row r="1089" hidden="1" x14ac:dyDescent="0.15"/>
    <row r="1090" hidden="1" x14ac:dyDescent="0.15"/>
    <row r="1091" hidden="1" x14ac:dyDescent="0.15"/>
    <row r="1092" hidden="1" x14ac:dyDescent="0.15"/>
    <row r="1093" hidden="1" x14ac:dyDescent="0.15"/>
    <row r="1094" hidden="1" x14ac:dyDescent="0.15"/>
    <row r="1095" hidden="1" x14ac:dyDescent="0.15"/>
    <row r="1096" hidden="1" x14ac:dyDescent="0.15"/>
    <row r="1097" hidden="1" x14ac:dyDescent="0.15"/>
    <row r="1098" hidden="1" x14ac:dyDescent="0.15"/>
    <row r="1099" hidden="1" x14ac:dyDescent="0.15"/>
    <row r="1100" hidden="1" x14ac:dyDescent="0.15"/>
    <row r="1101" hidden="1" x14ac:dyDescent="0.15"/>
    <row r="1102" hidden="1" x14ac:dyDescent="0.15"/>
    <row r="1103" hidden="1" x14ac:dyDescent="0.15"/>
    <row r="1104" hidden="1" x14ac:dyDescent="0.15"/>
    <row r="1105" hidden="1" x14ac:dyDescent="0.15"/>
    <row r="1106" hidden="1" x14ac:dyDescent="0.15"/>
    <row r="1107" hidden="1" x14ac:dyDescent="0.15"/>
    <row r="1108" hidden="1" x14ac:dyDescent="0.15"/>
    <row r="1109" hidden="1" x14ac:dyDescent="0.15"/>
    <row r="1110" hidden="1" x14ac:dyDescent="0.15"/>
    <row r="1111" hidden="1" x14ac:dyDescent="0.15"/>
    <row r="1112" hidden="1" x14ac:dyDescent="0.15"/>
    <row r="1113" hidden="1" x14ac:dyDescent="0.15"/>
    <row r="1114" hidden="1" x14ac:dyDescent="0.15"/>
    <row r="1115" hidden="1" x14ac:dyDescent="0.15"/>
    <row r="1116" hidden="1" x14ac:dyDescent="0.15"/>
    <row r="1117" hidden="1" x14ac:dyDescent="0.15"/>
    <row r="1118" hidden="1" x14ac:dyDescent="0.15"/>
    <row r="1119" hidden="1" x14ac:dyDescent="0.15"/>
    <row r="1120" hidden="1" x14ac:dyDescent="0.15"/>
    <row r="1121" hidden="1" x14ac:dyDescent="0.15"/>
    <row r="1122" hidden="1" x14ac:dyDescent="0.15"/>
    <row r="1123" hidden="1" x14ac:dyDescent="0.15"/>
    <row r="1124" hidden="1" x14ac:dyDescent="0.15"/>
    <row r="1125" hidden="1" x14ac:dyDescent="0.15"/>
    <row r="1126" hidden="1" x14ac:dyDescent="0.15"/>
    <row r="1127" hidden="1" x14ac:dyDescent="0.15"/>
    <row r="1128" hidden="1" x14ac:dyDescent="0.15"/>
    <row r="1129" hidden="1" x14ac:dyDescent="0.15"/>
    <row r="1130" hidden="1" x14ac:dyDescent="0.15"/>
    <row r="1131" hidden="1" x14ac:dyDescent="0.15"/>
    <row r="1132" hidden="1" x14ac:dyDescent="0.15"/>
    <row r="1133" hidden="1" x14ac:dyDescent="0.15"/>
    <row r="1134" hidden="1" x14ac:dyDescent="0.15"/>
    <row r="1135" hidden="1" x14ac:dyDescent="0.15"/>
    <row r="1136" hidden="1" x14ac:dyDescent="0.15"/>
    <row r="1137" hidden="1" x14ac:dyDescent="0.15"/>
    <row r="1138" hidden="1" x14ac:dyDescent="0.15"/>
    <row r="1139" hidden="1" x14ac:dyDescent="0.15"/>
    <row r="1140" hidden="1" x14ac:dyDescent="0.15"/>
    <row r="1141" hidden="1" x14ac:dyDescent="0.15"/>
    <row r="1142" hidden="1" x14ac:dyDescent="0.15"/>
    <row r="1143" hidden="1" x14ac:dyDescent="0.15"/>
    <row r="1144" hidden="1" x14ac:dyDescent="0.15"/>
    <row r="1145" hidden="1" x14ac:dyDescent="0.15"/>
    <row r="1146" hidden="1" x14ac:dyDescent="0.15"/>
    <row r="1147" hidden="1" x14ac:dyDescent="0.15"/>
    <row r="1148" hidden="1" x14ac:dyDescent="0.15"/>
    <row r="1149" hidden="1" x14ac:dyDescent="0.15"/>
    <row r="1150" hidden="1" x14ac:dyDescent="0.15"/>
    <row r="1151" hidden="1" x14ac:dyDescent="0.15"/>
    <row r="1152" hidden="1" x14ac:dyDescent="0.15"/>
    <row r="1153" hidden="1" x14ac:dyDescent="0.15"/>
    <row r="1154" hidden="1" x14ac:dyDescent="0.15"/>
    <row r="1155" hidden="1" x14ac:dyDescent="0.15"/>
    <row r="1156" hidden="1" x14ac:dyDescent="0.15"/>
    <row r="1157" hidden="1" x14ac:dyDescent="0.15"/>
    <row r="1158" hidden="1" x14ac:dyDescent="0.15"/>
    <row r="1159" hidden="1" x14ac:dyDescent="0.15"/>
    <row r="1160" hidden="1" x14ac:dyDescent="0.15"/>
    <row r="1161" hidden="1" x14ac:dyDescent="0.15"/>
    <row r="1162" hidden="1" x14ac:dyDescent="0.15"/>
    <row r="1163" hidden="1" x14ac:dyDescent="0.15"/>
    <row r="1164" hidden="1" x14ac:dyDescent="0.15"/>
    <row r="1165" hidden="1" x14ac:dyDescent="0.15"/>
    <row r="1166" hidden="1" x14ac:dyDescent="0.15"/>
    <row r="1167" hidden="1" x14ac:dyDescent="0.15"/>
    <row r="1168" hidden="1" x14ac:dyDescent="0.15"/>
    <row r="1169" hidden="1" x14ac:dyDescent="0.15"/>
    <row r="1170" hidden="1" x14ac:dyDescent="0.15"/>
    <row r="1171" hidden="1" x14ac:dyDescent="0.15"/>
    <row r="1172" hidden="1" x14ac:dyDescent="0.15"/>
    <row r="1173" hidden="1" x14ac:dyDescent="0.15"/>
    <row r="1174" hidden="1" x14ac:dyDescent="0.15"/>
    <row r="1175" hidden="1" x14ac:dyDescent="0.15"/>
    <row r="1176" hidden="1" x14ac:dyDescent="0.15"/>
    <row r="1177" hidden="1" x14ac:dyDescent="0.15"/>
    <row r="1178" hidden="1" x14ac:dyDescent="0.15"/>
    <row r="1179" hidden="1" x14ac:dyDescent="0.15"/>
    <row r="1180" hidden="1" x14ac:dyDescent="0.15"/>
    <row r="1181" hidden="1" x14ac:dyDescent="0.15"/>
    <row r="1182" hidden="1" x14ac:dyDescent="0.15"/>
    <row r="1183" hidden="1" x14ac:dyDescent="0.15"/>
    <row r="1184" hidden="1" x14ac:dyDescent="0.15"/>
    <row r="1185" hidden="1" x14ac:dyDescent="0.15"/>
    <row r="1186" hidden="1" x14ac:dyDescent="0.15"/>
    <row r="1187" hidden="1" x14ac:dyDescent="0.15"/>
    <row r="1188" hidden="1" x14ac:dyDescent="0.15"/>
    <row r="1189" hidden="1" x14ac:dyDescent="0.15"/>
    <row r="1190" hidden="1" x14ac:dyDescent="0.15"/>
    <row r="1191" hidden="1" x14ac:dyDescent="0.15"/>
    <row r="1192" hidden="1" x14ac:dyDescent="0.15"/>
    <row r="1193" hidden="1" x14ac:dyDescent="0.15"/>
    <row r="1194" hidden="1" x14ac:dyDescent="0.15"/>
    <row r="1195" hidden="1" x14ac:dyDescent="0.15"/>
    <row r="1196" hidden="1" x14ac:dyDescent="0.15"/>
    <row r="1197" hidden="1" x14ac:dyDescent="0.15"/>
    <row r="1198" hidden="1" x14ac:dyDescent="0.15"/>
    <row r="1199" hidden="1" x14ac:dyDescent="0.15"/>
    <row r="1200" hidden="1" x14ac:dyDescent="0.15"/>
    <row r="1201" hidden="1" x14ac:dyDescent="0.15"/>
    <row r="1202" hidden="1" x14ac:dyDescent="0.15"/>
    <row r="1203" hidden="1" x14ac:dyDescent="0.15"/>
    <row r="1204" hidden="1" x14ac:dyDescent="0.15"/>
    <row r="1205" hidden="1" x14ac:dyDescent="0.15"/>
    <row r="1206" hidden="1" x14ac:dyDescent="0.15"/>
    <row r="1207" hidden="1" x14ac:dyDescent="0.15"/>
    <row r="1208" hidden="1" x14ac:dyDescent="0.15"/>
    <row r="1209" hidden="1" x14ac:dyDescent="0.15"/>
    <row r="1210" hidden="1" x14ac:dyDescent="0.15"/>
    <row r="1211" hidden="1" x14ac:dyDescent="0.15"/>
    <row r="1212" hidden="1" x14ac:dyDescent="0.15"/>
    <row r="1213" hidden="1" x14ac:dyDescent="0.15"/>
    <row r="1214" hidden="1" x14ac:dyDescent="0.15"/>
    <row r="1215" hidden="1" x14ac:dyDescent="0.15"/>
    <row r="1216" hidden="1" x14ac:dyDescent="0.15"/>
    <row r="1217" hidden="1" x14ac:dyDescent="0.15"/>
    <row r="1218" hidden="1" x14ac:dyDescent="0.15"/>
    <row r="1219" hidden="1" x14ac:dyDescent="0.15"/>
    <row r="1220" hidden="1" x14ac:dyDescent="0.15"/>
    <row r="1221" hidden="1" x14ac:dyDescent="0.15"/>
    <row r="1222" hidden="1" x14ac:dyDescent="0.15"/>
    <row r="1223" hidden="1" x14ac:dyDescent="0.15"/>
    <row r="1224" hidden="1" x14ac:dyDescent="0.15"/>
    <row r="1225" hidden="1" x14ac:dyDescent="0.15"/>
    <row r="1226" hidden="1" x14ac:dyDescent="0.15"/>
    <row r="1227" hidden="1" x14ac:dyDescent="0.15"/>
    <row r="1228" hidden="1" x14ac:dyDescent="0.15"/>
    <row r="1229" hidden="1" x14ac:dyDescent="0.15"/>
    <row r="1230" hidden="1" x14ac:dyDescent="0.15"/>
    <row r="1231" hidden="1" x14ac:dyDescent="0.15"/>
    <row r="1232" hidden="1" x14ac:dyDescent="0.15"/>
    <row r="1233" hidden="1" x14ac:dyDescent="0.15"/>
    <row r="1234" hidden="1" x14ac:dyDescent="0.15"/>
    <row r="1235" hidden="1" x14ac:dyDescent="0.15"/>
    <row r="1236" hidden="1" x14ac:dyDescent="0.15"/>
    <row r="1237" hidden="1" x14ac:dyDescent="0.15"/>
    <row r="1238" hidden="1" x14ac:dyDescent="0.15"/>
    <row r="1239" hidden="1" x14ac:dyDescent="0.15"/>
    <row r="1240" hidden="1" x14ac:dyDescent="0.15"/>
    <row r="1241" hidden="1" x14ac:dyDescent="0.15"/>
    <row r="1242" hidden="1" x14ac:dyDescent="0.15"/>
    <row r="1243" hidden="1" x14ac:dyDescent="0.15"/>
    <row r="1244" hidden="1" x14ac:dyDescent="0.15"/>
    <row r="1245" hidden="1" x14ac:dyDescent="0.15"/>
    <row r="1246" hidden="1" x14ac:dyDescent="0.15"/>
    <row r="1247" hidden="1" x14ac:dyDescent="0.15"/>
    <row r="1248" hidden="1" x14ac:dyDescent="0.15"/>
    <row r="1249" hidden="1" x14ac:dyDescent="0.15"/>
    <row r="1250" hidden="1" x14ac:dyDescent="0.15"/>
    <row r="1251" hidden="1" x14ac:dyDescent="0.15"/>
    <row r="1252" hidden="1" x14ac:dyDescent="0.15"/>
    <row r="1253" hidden="1" x14ac:dyDescent="0.15"/>
    <row r="1254" hidden="1" x14ac:dyDescent="0.15"/>
    <row r="1255" hidden="1" x14ac:dyDescent="0.15"/>
    <row r="1256" hidden="1" x14ac:dyDescent="0.15"/>
    <row r="1257" hidden="1" x14ac:dyDescent="0.15"/>
    <row r="1258" hidden="1" x14ac:dyDescent="0.15"/>
    <row r="1259" hidden="1" x14ac:dyDescent="0.15"/>
    <row r="1260" hidden="1" x14ac:dyDescent="0.15"/>
    <row r="1261" hidden="1" x14ac:dyDescent="0.15"/>
    <row r="1262" hidden="1" x14ac:dyDescent="0.15"/>
    <row r="1263" hidden="1" x14ac:dyDescent="0.15"/>
    <row r="1264" hidden="1" x14ac:dyDescent="0.15"/>
    <row r="1265" hidden="1" x14ac:dyDescent="0.15"/>
    <row r="1266" hidden="1" x14ac:dyDescent="0.15"/>
    <row r="1267" hidden="1" x14ac:dyDescent="0.15"/>
    <row r="1268" hidden="1" x14ac:dyDescent="0.15"/>
    <row r="1269" hidden="1" x14ac:dyDescent="0.15"/>
    <row r="1270" hidden="1" x14ac:dyDescent="0.15"/>
    <row r="1271" hidden="1" x14ac:dyDescent="0.15"/>
    <row r="1272" hidden="1" x14ac:dyDescent="0.15"/>
    <row r="1273" hidden="1" x14ac:dyDescent="0.15"/>
    <row r="1274" hidden="1" x14ac:dyDescent="0.15"/>
    <row r="1275" hidden="1" x14ac:dyDescent="0.15"/>
    <row r="1276" hidden="1" x14ac:dyDescent="0.15"/>
    <row r="1277" hidden="1" x14ac:dyDescent="0.15"/>
    <row r="1278" hidden="1" x14ac:dyDescent="0.15"/>
    <row r="1279" hidden="1" x14ac:dyDescent="0.15"/>
    <row r="1280" hidden="1" x14ac:dyDescent="0.15"/>
    <row r="1281" hidden="1" x14ac:dyDescent="0.15"/>
    <row r="1282" hidden="1" x14ac:dyDescent="0.15"/>
    <row r="1283" hidden="1" x14ac:dyDescent="0.15"/>
    <row r="1284" hidden="1" x14ac:dyDescent="0.15"/>
    <row r="1285" hidden="1" x14ac:dyDescent="0.15"/>
    <row r="1286" hidden="1" x14ac:dyDescent="0.15"/>
    <row r="1287" hidden="1" x14ac:dyDescent="0.15"/>
    <row r="1288" hidden="1" x14ac:dyDescent="0.15"/>
    <row r="1289" hidden="1" x14ac:dyDescent="0.15"/>
    <row r="1290" hidden="1" x14ac:dyDescent="0.15"/>
    <row r="1291" hidden="1" x14ac:dyDescent="0.15"/>
    <row r="1292" hidden="1" x14ac:dyDescent="0.15"/>
    <row r="1293" hidden="1" x14ac:dyDescent="0.15"/>
    <row r="1294" hidden="1" x14ac:dyDescent="0.15"/>
    <row r="1295" hidden="1" x14ac:dyDescent="0.15"/>
    <row r="1296" hidden="1" x14ac:dyDescent="0.15"/>
    <row r="1297" hidden="1" x14ac:dyDescent="0.15"/>
    <row r="1298" hidden="1" x14ac:dyDescent="0.15"/>
    <row r="1299" hidden="1" x14ac:dyDescent="0.15"/>
    <row r="1300" hidden="1" x14ac:dyDescent="0.15"/>
    <row r="1301" hidden="1" x14ac:dyDescent="0.15"/>
    <row r="1302" hidden="1" x14ac:dyDescent="0.15"/>
    <row r="1303" hidden="1" x14ac:dyDescent="0.15"/>
    <row r="1304" hidden="1" x14ac:dyDescent="0.15"/>
    <row r="1305" hidden="1" x14ac:dyDescent="0.15"/>
    <row r="1306" hidden="1" x14ac:dyDescent="0.15"/>
    <row r="1307" hidden="1" x14ac:dyDescent="0.15"/>
    <row r="1308" hidden="1" x14ac:dyDescent="0.15"/>
    <row r="1309" hidden="1" x14ac:dyDescent="0.15"/>
    <row r="1310" hidden="1" x14ac:dyDescent="0.15"/>
    <row r="1311" hidden="1" x14ac:dyDescent="0.15"/>
    <row r="1312" hidden="1" x14ac:dyDescent="0.15"/>
    <row r="1313" hidden="1" x14ac:dyDescent="0.15"/>
    <row r="1314" hidden="1" x14ac:dyDescent="0.15"/>
    <row r="1315" hidden="1" x14ac:dyDescent="0.15"/>
    <row r="1316" hidden="1" x14ac:dyDescent="0.15"/>
    <row r="1317" hidden="1" x14ac:dyDescent="0.15"/>
    <row r="1318" hidden="1" x14ac:dyDescent="0.15"/>
    <row r="1319" hidden="1" x14ac:dyDescent="0.15"/>
    <row r="1320" hidden="1" x14ac:dyDescent="0.15"/>
    <row r="1321" hidden="1" x14ac:dyDescent="0.15"/>
    <row r="1322" hidden="1" x14ac:dyDescent="0.15"/>
    <row r="1323" hidden="1" x14ac:dyDescent="0.15"/>
    <row r="1324" hidden="1" x14ac:dyDescent="0.15"/>
    <row r="1325" hidden="1" x14ac:dyDescent="0.15"/>
    <row r="1326" hidden="1" x14ac:dyDescent="0.15"/>
    <row r="1327" hidden="1" x14ac:dyDescent="0.15"/>
    <row r="1328" hidden="1" x14ac:dyDescent="0.15"/>
    <row r="1329" hidden="1" x14ac:dyDescent="0.15"/>
    <row r="1330" hidden="1" x14ac:dyDescent="0.15"/>
    <row r="1331" hidden="1" x14ac:dyDescent="0.15"/>
    <row r="1332" hidden="1" x14ac:dyDescent="0.15"/>
    <row r="1333" hidden="1" x14ac:dyDescent="0.15"/>
    <row r="1334" hidden="1" x14ac:dyDescent="0.15"/>
    <row r="1335" hidden="1" x14ac:dyDescent="0.15"/>
    <row r="1336" hidden="1" x14ac:dyDescent="0.15"/>
    <row r="1337" hidden="1" x14ac:dyDescent="0.15"/>
    <row r="1338" hidden="1" x14ac:dyDescent="0.15"/>
    <row r="1339" hidden="1" x14ac:dyDescent="0.15"/>
    <row r="1340" hidden="1" x14ac:dyDescent="0.15"/>
    <row r="1341" hidden="1" x14ac:dyDescent="0.15"/>
    <row r="1342" hidden="1" x14ac:dyDescent="0.15"/>
    <row r="1343" hidden="1" x14ac:dyDescent="0.15"/>
    <row r="1344" hidden="1" x14ac:dyDescent="0.15"/>
    <row r="1345" hidden="1" x14ac:dyDescent="0.15"/>
    <row r="1346" hidden="1" x14ac:dyDescent="0.15"/>
    <row r="1347" hidden="1" x14ac:dyDescent="0.15"/>
    <row r="1348" hidden="1" x14ac:dyDescent="0.15"/>
    <row r="1349" hidden="1" x14ac:dyDescent="0.15"/>
    <row r="1350" hidden="1" x14ac:dyDescent="0.15"/>
    <row r="1351" hidden="1" x14ac:dyDescent="0.15"/>
    <row r="1352" hidden="1" x14ac:dyDescent="0.15"/>
    <row r="1353" hidden="1" x14ac:dyDescent="0.15"/>
    <row r="1354" hidden="1" x14ac:dyDescent="0.15"/>
    <row r="1355" hidden="1" x14ac:dyDescent="0.15"/>
    <row r="1356" hidden="1" x14ac:dyDescent="0.15"/>
    <row r="1357" hidden="1" x14ac:dyDescent="0.15"/>
    <row r="1358" hidden="1" x14ac:dyDescent="0.15"/>
    <row r="1359" hidden="1" x14ac:dyDescent="0.15"/>
    <row r="1360" hidden="1" x14ac:dyDescent="0.15"/>
    <row r="1361" hidden="1" x14ac:dyDescent="0.15"/>
    <row r="1362" hidden="1" x14ac:dyDescent="0.15"/>
    <row r="1363" hidden="1" x14ac:dyDescent="0.15"/>
    <row r="1364" hidden="1" x14ac:dyDescent="0.15"/>
    <row r="1365" hidden="1" x14ac:dyDescent="0.15"/>
    <row r="1366" hidden="1" x14ac:dyDescent="0.15"/>
    <row r="1367" hidden="1" x14ac:dyDescent="0.15"/>
    <row r="1368" hidden="1" x14ac:dyDescent="0.15"/>
    <row r="1369" hidden="1" x14ac:dyDescent="0.15"/>
    <row r="1370" hidden="1" x14ac:dyDescent="0.15"/>
    <row r="1371" hidden="1" x14ac:dyDescent="0.15"/>
    <row r="1372" hidden="1" x14ac:dyDescent="0.15"/>
    <row r="1373" hidden="1" x14ac:dyDescent="0.15"/>
    <row r="1374" hidden="1" x14ac:dyDescent="0.15"/>
    <row r="1375" hidden="1" x14ac:dyDescent="0.15"/>
    <row r="1376" hidden="1" x14ac:dyDescent="0.15"/>
    <row r="1377" hidden="1" x14ac:dyDescent="0.15"/>
    <row r="1378" hidden="1" x14ac:dyDescent="0.15"/>
    <row r="1379" hidden="1" x14ac:dyDescent="0.15"/>
    <row r="1380" hidden="1" x14ac:dyDescent="0.15"/>
    <row r="1381" hidden="1" x14ac:dyDescent="0.15"/>
    <row r="1382" hidden="1" x14ac:dyDescent="0.15"/>
    <row r="1383" hidden="1" x14ac:dyDescent="0.15"/>
    <row r="1384" hidden="1" x14ac:dyDescent="0.15"/>
    <row r="1385" hidden="1" x14ac:dyDescent="0.15"/>
    <row r="1386" hidden="1" x14ac:dyDescent="0.15"/>
    <row r="1387" hidden="1" x14ac:dyDescent="0.15"/>
    <row r="1388" hidden="1" x14ac:dyDescent="0.15"/>
    <row r="1389" hidden="1" x14ac:dyDescent="0.15"/>
    <row r="1390" hidden="1" x14ac:dyDescent="0.15"/>
    <row r="1391" hidden="1" x14ac:dyDescent="0.15"/>
    <row r="1392" hidden="1" x14ac:dyDescent="0.15"/>
    <row r="1393" hidden="1" x14ac:dyDescent="0.15"/>
    <row r="1394" hidden="1" x14ac:dyDescent="0.15"/>
    <row r="1395" hidden="1" x14ac:dyDescent="0.15"/>
    <row r="1396" hidden="1" x14ac:dyDescent="0.15"/>
    <row r="1397" hidden="1" x14ac:dyDescent="0.15"/>
    <row r="1398" hidden="1" x14ac:dyDescent="0.15"/>
    <row r="1399" hidden="1" x14ac:dyDescent="0.15"/>
    <row r="1400" hidden="1" x14ac:dyDescent="0.15"/>
    <row r="1401" hidden="1" x14ac:dyDescent="0.15"/>
    <row r="1402" hidden="1" x14ac:dyDescent="0.15"/>
    <row r="1403" hidden="1" x14ac:dyDescent="0.15"/>
    <row r="1404" hidden="1" x14ac:dyDescent="0.15"/>
    <row r="1405" hidden="1" x14ac:dyDescent="0.15"/>
    <row r="1406" hidden="1" x14ac:dyDescent="0.15"/>
    <row r="1407" hidden="1" x14ac:dyDescent="0.15"/>
    <row r="1408" hidden="1" x14ac:dyDescent="0.15"/>
    <row r="1409" hidden="1" x14ac:dyDescent="0.15"/>
    <row r="1410" hidden="1" x14ac:dyDescent="0.15"/>
    <row r="1411" hidden="1" x14ac:dyDescent="0.15"/>
    <row r="1412" hidden="1" x14ac:dyDescent="0.15"/>
    <row r="1413" hidden="1" x14ac:dyDescent="0.15"/>
    <row r="1414" hidden="1" x14ac:dyDescent="0.15"/>
    <row r="1415" hidden="1" x14ac:dyDescent="0.15"/>
    <row r="1416" hidden="1" x14ac:dyDescent="0.15"/>
    <row r="1417" hidden="1" x14ac:dyDescent="0.15"/>
    <row r="1418" hidden="1" x14ac:dyDescent="0.15"/>
    <row r="1419" hidden="1" x14ac:dyDescent="0.15"/>
    <row r="1420" hidden="1" x14ac:dyDescent="0.15"/>
    <row r="1421" hidden="1" x14ac:dyDescent="0.15"/>
    <row r="1422" hidden="1" x14ac:dyDescent="0.15"/>
    <row r="1423" hidden="1" x14ac:dyDescent="0.15"/>
    <row r="1424" hidden="1" x14ac:dyDescent="0.15"/>
    <row r="1425" hidden="1" x14ac:dyDescent="0.15"/>
    <row r="1426" hidden="1" x14ac:dyDescent="0.15"/>
    <row r="1427" hidden="1" x14ac:dyDescent="0.15"/>
    <row r="1428" hidden="1" x14ac:dyDescent="0.15"/>
    <row r="1429" hidden="1" x14ac:dyDescent="0.15"/>
    <row r="1430" hidden="1" x14ac:dyDescent="0.15"/>
    <row r="1431" hidden="1" x14ac:dyDescent="0.15"/>
    <row r="1432" hidden="1" x14ac:dyDescent="0.15"/>
    <row r="1433" hidden="1" x14ac:dyDescent="0.15"/>
    <row r="1434" hidden="1" x14ac:dyDescent="0.15"/>
    <row r="1435" hidden="1" x14ac:dyDescent="0.15"/>
    <row r="1436" hidden="1" x14ac:dyDescent="0.15"/>
    <row r="1437" hidden="1" x14ac:dyDescent="0.15"/>
    <row r="1438" hidden="1" x14ac:dyDescent="0.15"/>
    <row r="1439" hidden="1" x14ac:dyDescent="0.15"/>
    <row r="1440" hidden="1" x14ac:dyDescent="0.15"/>
    <row r="1441" hidden="1" x14ac:dyDescent="0.15"/>
    <row r="1442" hidden="1" x14ac:dyDescent="0.15"/>
    <row r="1443" hidden="1" x14ac:dyDescent="0.15"/>
    <row r="1444" hidden="1" x14ac:dyDescent="0.15"/>
    <row r="1445" hidden="1" x14ac:dyDescent="0.15"/>
    <row r="1446" hidden="1" x14ac:dyDescent="0.15"/>
    <row r="1447" hidden="1" x14ac:dyDescent="0.15"/>
    <row r="1448" hidden="1" x14ac:dyDescent="0.15"/>
    <row r="1449" hidden="1" x14ac:dyDescent="0.15"/>
    <row r="1450" hidden="1" x14ac:dyDescent="0.15"/>
    <row r="1451" hidden="1" x14ac:dyDescent="0.15"/>
    <row r="1452" hidden="1" x14ac:dyDescent="0.15"/>
    <row r="1453" hidden="1" x14ac:dyDescent="0.15"/>
    <row r="1454" hidden="1" x14ac:dyDescent="0.15"/>
    <row r="1455" hidden="1" x14ac:dyDescent="0.15"/>
    <row r="1456" hidden="1" x14ac:dyDescent="0.15"/>
    <row r="1457" hidden="1" x14ac:dyDescent="0.15"/>
    <row r="1458" hidden="1" x14ac:dyDescent="0.15"/>
    <row r="1459" hidden="1" x14ac:dyDescent="0.15"/>
    <row r="1460" hidden="1" x14ac:dyDescent="0.15"/>
    <row r="1461" hidden="1" x14ac:dyDescent="0.15"/>
    <row r="1462" hidden="1" x14ac:dyDescent="0.15"/>
    <row r="1463" hidden="1" x14ac:dyDescent="0.15"/>
    <row r="1464" hidden="1" x14ac:dyDescent="0.15"/>
    <row r="1465" hidden="1" x14ac:dyDescent="0.15"/>
    <row r="1466" hidden="1" x14ac:dyDescent="0.15"/>
    <row r="1467" hidden="1" x14ac:dyDescent="0.15"/>
    <row r="1468" hidden="1" x14ac:dyDescent="0.15"/>
    <row r="1469" hidden="1" x14ac:dyDescent="0.15"/>
    <row r="1470" hidden="1" x14ac:dyDescent="0.15"/>
    <row r="1471" hidden="1" x14ac:dyDescent="0.15"/>
    <row r="1472" hidden="1" x14ac:dyDescent="0.15"/>
    <row r="1473" hidden="1" x14ac:dyDescent="0.15"/>
    <row r="1474" hidden="1" x14ac:dyDescent="0.15"/>
    <row r="1475" hidden="1" x14ac:dyDescent="0.15"/>
    <row r="1476" hidden="1" x14ac:dyDescent="0.15"/>
    <row r="1477" hidden="1" x14ac:dyDescent="0.15"/>
    <row r="1478" hidden="1" x14ac:dyDescent="0.15"/>
    <row r="1479" hidden="1" x14ac:dyDescent="0.15"/>
    <row r="1480" hidden="1" x14ac:dyDescent="0.15"/>
    <row r="1481" hidden="1" x14ac:dyDescent="0.15"/>
    <row r="1482" hidden="1" x14ac:dyDescent="0.15"/>
    <row r="1483" hidden="1" x14ac:dyDescent="0.15"/>
    <row r="1484" hidden="1" x14ac:dyDescent="0.15"/>
    <row r="1485" hidden="1" x14ac:dyDescent="0.15"/>
    <row r="1486" hidden="1" x14ac:dyDescent="0.15"/>
    <row r="1487" hidden="1" x14ac:dyDescent="0.15"/>
    <row r="1488" hidden="1" x14ac:dyDescent="0.15"/>
    <row r="1489" hidden="1" x14ac:dyDescent="0.15"/>
    <row r="1490" hidden="1" x14ac:dyDescent="0.15"/>
    <row r="1491" hidden="1" x14ac:dyDescent="0.15"/>
    <row r="1492" hidden="1" x14ac:dyDescent="0.15"/>
    <row r="1493" hidden="1" x14ac:dyDescent="0.15"/>
    <row r="1494" hidden="1" x14ac:dyDescent="0.15"/>
    <row r="1495" hidden="1" x14ac:dyDescent="0.15"/>
    <row r="1496" hidden="1" x14ac:dyDescent="0.15"/>
    <row r="1497" hidden="1" x14ac:dyDescent="0.15"/>
    <row r="1498" hidden="1" x14ac:dyDescent="0.15"/>
    <row r="1499" hidden="1" x14ac:dyDescent="0.15"/>
    <row r="1500" hidden="1" x14ac:dyDescent="0.15"/>
    <row r="1501" hidden="1" x14ac:dyDescent="0.15"/>
    <row r="1502" hidden="1" x14ac:dyDescent="0.15"/>
    <row r="1503" hidden="1" x14ac:dyDescent="0.15"/>
    <row r="1504" hidden="1" x14ac:dyDescent="0.15"/>
    <row r="1505" hidden="1" x14ac:dyDescent="0.15"/>
    <row r="1506" hidden="1" x14ac:dyDescent="0.15"/>
    <row r="1507" hidden="1" x14ac:dyDescent="0.15"/>
    <row r="1508" hidden="1" x14ac:dyDescent="0.15"/>
    <row r="1509" hidden="1" x14ac:dyDescent="0.15"/>
    <row r="1510" hidden="1" x14ac:dyDescent="0.15"/>
    <row r="1511" hidden="1" x14ac:dyDescent="0.15"/>
    <row r="1512" hidden="1" x14ac:dyDescent="0.15"/>
    <row r="1513" hidden="1" x14ac:dyDescent="0.15"/>
    <row r="1514" hidden="1" x14ac:dyDescent="0.15"/>
    <row r="1515" hidden="1" x14ac:dyDescent="0.15"/>
    <row r="1516" hidden="1" x14ac:dyDescent="0.15"/>
    <row r="1517" hidden="1" x14ac:dyDescent="0.15"/>
    <row r="1518" hidden="1" x14ac:dyDescent="0.15"/>
    <row r="1519" hidden="1" x14ac:dyDescent="0.15"/>
    <row r="1520" hidden="1" x14ac:dyDescent="0.15"/>
    <row r="1521" hidden="1" x14ac:dyDescent="0.15"/>
    <row r="1522" hidden="1" x14ac:dyDescent="0.15"/>
    <row r="1523" hidden="1" x14ac:dyDescent="0.15"/>
    <row r="1524" hidden="1" x14ac:dyDescent="0.15"/>
    <row r="1525" hidden="1" x14ac:dyDescent="0.15"/>
    <row r="1526" hidden="1" x14ac:dyDescent="0.15"/>
    <row r="1527" hidden="1" x14ac:dyDescent="0.15"/>
    <row r="1528" hidden="1" x14ac:dyDescent="0.15"/>
    <row r="1529" hidden="1" x14ac:dyDescent="0.15"/>
    <row r="1530" hidden="1" x14ac:dyDescent="0.15"/>
    <row r="1531" hidden="1" x14ac:dyDescent="0.15"/>
    <row r="1532" hidden="1" x14ac:dyDescent="0.15"/>
    <row r="1533" hidden="1" x14ac:dyDescent="0.15"/>
    <row r="1534" hidden="1" x14ac:dyDescent="0.15"/>
    <row r="1535" hidden="1" x14ac:dyDescent="0.15"/>
    <row r="1536" hidden="1" x14ac:dyDescent="0.15"/>
    <row r="1537" hidden="1" x14ac:dyDescent="0.15"/>
    <row r="1538" hidden="1" x14ac:dyDescent="0.15"/>
    <row r="1539" hidden="1" x14ac:dyDescent="0.15"/>
    <row r="1540" hidden="1" x14ac:dyDescent="0.15"/>
    <row r="1541" hidden="1" x14ac:dyDescent="0.15"/>
    <row r="1542" hidden="1" x14ac:dyDescent="0.15"/>
    <row r="1543" hidden="1" x14ac:dyDescent="0.15"/>
    <row r="1544" hidden="1" x14ac:dyDescent="0.15"/>
    <row r="1545" hidden="1" x14ac:dyDescent="0.15"/>
    <row r="1546" hidden="1" x14ac:dyDescent="0.15"/>
    <row r="1547" hidden="1" x14ac:dyDescent="0.15"/>
    <row r="1548" hidden="1" x14ac:dyDescent="0.15"/>
    <row r="1549" hidden="1" x14ac:dyDescent="0.15"/>
    <row r="1550" hidden="1" x14ac:dyDescent="0.15"/>
    <row r="1551" hidden="1" x14ac:dyDescent="0.15"/>
    <row r="1552" hidden="1" x14ac:dyDescent="0.15"/>
    <row r="1553" hidden="1" x14ac:dyDescent="0.15"/>
    <row r="1554" hidden="1" x14ac:dyDescent="0.15"/>
    <row r="1555" hidden="1" x14ac:dyDescent="0.15"/>
    <row r="1556" hidden="1" x14ac:dyDescent="0.15"/>
    <row r="1557" hidden="1" x14ac:dyDescent="0.15"/>
    <row r="1558" hidden="1" x14ac:dyDescent="0.15"/>
    <row r="1559" hidden="1" x14ac:dyDescent="0.15"/>
    <row r="1560" hidden="1" x14ac:dyDescent="0.15"/>
    <row r="1561" hidden="1" x14ac:dyDescent="0.15"/>
    <row r="1562" hidden="1" x14ac:dyDescent="0.15"/>
    <row r="1563" hidden="1" x14ac:dyDescent="0.15"/>
    <row r="1564" hidden="1" x14ac:dyDescent="0.15"/>
    <row r="1565" hidden="1" x14ac:dyDescent="0.15"/>
    <row r="1566" hidden="1" x14ac:dyDescent="0.15"/>
    <row r="1567" hidden="1" x14ac:dyDescent="0.15"/>
    <row r="1568" hidden="1" x14ac:dyDescent="0.15"/>
    <row r="1569" hidden="1" x14ac:dyDescent="0.15"/>
    <row r="1570" hidden="1" x14ac:dyDescent="0.15"/>
    <row r="1571" hidden="1" x14ac:dyDescent="0.15"/>
    <row r="1572" hidden="1" x14ac:dyDescent="0.15"/>
    <row r="1573" hidden="1" x14ac:dyDescent="0.15"/>
    <row r="1574" hidden="1" x14ac:dyDescent="0.15"/>
    <row r="1575" hidden="1" x14ac:dyDescent="0.15"/>
    <row r="1576" hidden="1" x14ac:dyDescent="0.15"/>
    <row r="1577" hidden="1" x14ac:dyDescent="0.15"/>
    <row r="1578" hidden="1" x14ac:dyDescent="0.15"/>
    <row r="1579" hidden="1" x14ac:dyDescent="0.15"/>
    <row r="1580" hidden="1" x14ac:dyDescent="0.15"/>
    <row r="1581" hidden="1" x14ac:dyDescent="0.15"/>
    <row r="1582" hidden="1" x14ac:dyDescent="0.15"/>
    <row r="1583" hidden="1" x14ac:dyDescent="0.15"/>
    <row r="1584" hidden="1" x14ac:dyDescent="0.15"/>
    <row r="1585" hidden="1" x14ac:dyDescent="0.15"/>
    <row r="1586" hidden="1" x14ac:dyDescent="0.15"/>
    <row r="1587" hidden="1" x14ac:dyDescent="0.15"/>
    <row r="1588" hidden="1" x14ac:dyDescent="0.15"/>
    <row r="1589" hidden="1" x14ac:dyDescent="0.15"/>
    <row r="1590" hidden="1" x14ac:dyDescent="0.15"/>
    <row r="1591" hidden="1" x14ac:dyDescent="0.15"/>
    <row r="1592" hidden="1" x14ac:dyDescent="0.15"/>
    <row r="1593" hidden="1" x14ac:dyDescent="0.15"/>
    <row r="1594" hidden="1" x14ac:dyDescent="0.15"/>
    <row r="1595" hidden="1" x14ac:dyDescent="0.15"/>
    <row r="1596" hidden="1" x14ac:dyDescent="0.15"/>
    <row r="1597" hidden="1" x14ac:dyDescent="0.15"/>
    <row r="1598" hidden="1" x14ac:dyDescent="0.15"/>
    <row r="1599" hidden="1" x14ac:dyDescent="0.15"/>
    <row r="1600" hidden="1" x14ac:dyDescent="0.15"/>
    <row r="1601" hidden="1" x14ac:dyDescent="0.15"/>
    <row r="1602" hidden="1" x14ac:dyDescent="0.15"/>
    <row r="1603" hidden="1" x14ac:dyDescent="0.15"/>
    <row r="1604" hidden="1" x14ac:dyDescent="0.15"/>
    <row r="1605" hidden="1" x14ac:dyDescent="0.15"/>
    <row r="1606" hidden="1" x14ac:dyDescent="0.15"/>
    <row r="1607" hidden="1" x14ac:dyDescent="0.15"/>
    <row r="1608" hidden="1" x14ac:dyDescent="0.15"/>
    <row r="1609" hidden="1" x14ac:dyDescent="0.15"/>
    <row r="1610" hidden="1" x14ac:dyDescent="0.15"/>
    <row r="1611" hidden="1" x14ac:dyDescent="0.15"/>
    <row r="1612" hidden="1" x14ac:dyDescent="0.15"/>
    <row r="1613" hidden="1" x14ac:dyDescent="0.15"/>
    <row r="1614" hidden="1" x14ac:dyDescent="0.15"/>
    <row r="1615" hidden="1" x14ac:dyDescent="0.15"/>
    <row r="1616" hidden="1" x14ac:dyDescent="0.15"/>
    <row r="1617" hidden="1" x14ac:dyDescent="0.15"/>
    <row r="1618" hidden="1" x14ac:dyDescent="0.15"/>
    <row r="1619" hidden="1" x14ac:dyDescent="0.15"/>
    <row r="1620" hidden="1" x14ac:dyDescent="0.15"/>
    <row r="1621" hidden="1" x14ac:dyDescent="0.15"/>
    <row r="1622" hidden="1" x14ac:dyDescent="0.15"/>
    <row r="1623" hidden="1" x14ac:dyDescent="0.15"/>
    <row r="1624" hidden="1" x14ac:dyDescent="0.15"/>
    <row r="1625" hidden="1" x14ac:dyDescent="0.15"/>
    <row r="1626" hidden="1" x14ac:dyDescent="0.15"/>
    <row r="1627" hidden="1" x14ac:dyDescent="0.15"/>
    <row r="1628" hidden="1" x14ac:dyDescent="0.15"/>
    <row r="1629" hidden="1" x14ac:dyDescent="0.15"/>
    <row r="1630" hidden="1" x14ac:dyDescent="0.15"/>
    <row r="1631" hidden="1" x14ac:dyDescent="0.15"/>
    <row r="1632" hidden="1" x14ac:dyDescent="0.15"/>
    <row r="1633" hidden="1" x14ac:dyDescent="0.15"/>
    <row r="1634" hidden="1" x14ac:dyDescent="0.15"/>
    <row r="1635" hidden="1" x14ac:dyDescent="0.15"/>
    <row r="1636" hidden="1" x14ac:dyDescent="0.15"/>
    <row r="1637" hidden="1" x14ac:dyDescent="0.15"/>
    <row r="1638" hidden="1" x14ac:dyDescent="0.15"/>
    <row r="1639" hidden="1" x14ac:dyDescent="0.15"/>
    <row r="1640" hidden="1" x14ac:dyDescent="0.15"/>
    <row r="1641" hidden="1" x14ac:dyDescent="0.15"/>
    <row r="1642" hidden="1" x14ac:dyDescent="0.15"/>
    <row r="1643" hidden="1" x14ac:dyDescent="0.15"/>
    <row r="1644" hidden="1" x14ac:dyDescent="0.15"/>
    <row r="1645" hidden="1" x14ac:dyDescent="0.15"/>
    <row r="1646" hidden="1" x14ac:dyDescent="0.15"/>
    <row r="1647" hidden="1" x14ac:dyDescent="0.15"/>
    <row r="1648" hidden="1" x14ac:dyDescent="0.15"/>
    <row r="1649" hidden="1" x14ac:dyDescent="0.15"/>
    <row r="1650" hidden="1" x14ac:dyDescent="0.15"/>
    <row r="1651" hidden="1" x14ac:dyDescent="0.15"/>
    <row r="1652" hidden="1" x14ac:dyDescent="0.15"/>
    <row r="1653" hidden="1" x14ac:dyDescent="0.15"/>
    <row r="1654" hidden="1" x14ac:dyDescent="0.15"/>
    <row r="1655" hidden="1" x14ac:dyDescent="0.15"/>
    <row r="1656" hidden="1" x14ac:dyDescent="0.15"/>
    <row r="1657" hidden="1" x14ac:dyDescent="0.15"/>
    <row r="1658" hidden="1" x14ac:dyDescent="0.15"/>
    <row r="1659" hidden="1" x14ac:dyDescent="0.15"/>
    <row r="1660" hidden="1" x14ac:dyDescent="0.15"/>
    <row r="1661" hidden="1" x14ac:dyDescent="0.15"/>
    <row r="1662" hidden="1" x14ac:dyDescent="0.15"/>
    <row r="1663" hidden="1" x14ac:dyDescent="0.15"/>
    <row r="1664" hidden="1" x14ac:dyDescent="0.15"/>
    <row r="1665" hidden="1" x14ac:dyDescent="0.15"/>
    <row r="1666" hidden="1" x14ac:dyDescent="0.15"/>
    <row r="1667" hidden="1" x14ac:dyDescent="0.15"/>
    <row r="1668" hidden="1" x14ac:dyDescent="0.15"/>
    <row r="1669" hidden="1" x14ac:dyDescent="0.15"/>
    <row r="1670" hidden="1" x14ac:dyDescent="0.15"/>
    <row r="1671" hidden="1" x14ac:dyDescent="0.15"/>
    <row r="1672" hidden="1" x14ac:dyDescent="0.15"/>
    <row r="1673" hidden="1" x14ac:dyDescent="0.15"/>
    <row r="1674" hidden="1" x14ac:dyDescent="0.15"/>
    <row r="1675" hidden="1" x14ac:dyDescent="0.15"/>
    <row r="1676" hidden="1" x14ac:dyDescent="0.15"/>
    <row r="1677" hidden="1" x14ac:dyDescent="0.15"/>
    <row r="1678" hidden="1" x14ac:dyDescent="0.15"/>
    <row r="1679" hidden="1" x14ac:dyDescent="0.15"/>
    <row r="1680" hidden="1" x14ac:dyDescent="0.15"/>
    <row r="1681" hidden="1" x14ac:dyDescent="0.15"/>
    <row r="1682" hidden="1" x14ac:dyDescent="0.15"/>
    <row r="1683" hidden="1" x14ac:dyDescent="0.15"/>
    <row r="1684" hidden="1" x14ac:dyDescent="0.15"/>
    <row r="1685" hidden="1" x14ac:dyDescent="0.15"/>
    <row r="1686" hidden="1" x14ac:dyDescent="0.15"/>
    <row r="1687" hidden="1" x14ac:dyDescent="0.15"/>
    <row r="1688" hidden="1" x14ac:dyDescent="0.15"/>
    <row r="1689" hidden="1" x14ac:dyDescent="0.15"/>
    <row r="1690" hidden="1" x14ac:dyDescent="0.15"/>
    <row r="1691" hidden="1" x14ac:dyDescent="0.15"/>
    <row r="1692" hidden="1" x14ac:dyDescent="0.15"/>
    <row r="1693" hidden="1" x14ac:dyDescent="0.15"/>
    <row r="1694" hidden="1" x14ac:dyDescent="0.15"/>
    <row r="1695" hidden="1" x14ac:dyDescent="0.15"/>
    <row r="1696" hidden="1" x14ac:dyDescent="0.15"/>
    <row r="1697" hidden="1" x14ac:dyDescent="0.15"/>
    <row r="1698" hidden="1" x14ac:dyDescent="0.15"/>
    <row r="1699" hidden="1" x14ac:dyDescent="0.15"/>
    <row r="1700" hidden="1" x14ac:dyDescent="0.15"/>
    <row r="1701" hidden="1" x14ac:dyDescent="0.15"/>
    <row r="1702" hidden="1" x14ac:dyDescent="0.15"/>
    <row r="1703" hidden="1" x14ac:dyDescent="0.15"/>
    <row r="1704" hidden="1" x14ac:dyDescent="0.15"/>
    <row r="1705" hidden="1" x14ac:dyDescent="0.15"/>
    <row r="1706" hidden="1" x14ac:dyDescent="0.15"/>
    <row r="1707" hidden="1" x14ac:dyDescent="0.15"/>
    <row r="1708" hidden="1" x14ac:dyDescent="0.15"/>
    <row r="1709" hidden="1" x14ac:dyDescent="0.15"/>
    <row r="1710" hidden="1" x14ac:dyDescent="0.15"/>
    <row r="1711" hidden="1" x14ac:dyDescent="0.15"/>
    <row r="1712" hidden="1" x14ac:dyDescent="0.15"/>
    <row r="1713" hidden="1" x14ac:dyDescent="0.15"/>
    <row r="1714" hidden="1" x14ac:dyDescent="0.15"/>
    <row r="1715" hidden="1" x14ac:dyDescent="0.15"/>
    <row r="1716" hidden="1" x14ac:dyDescent="0.15"/>
    <row r="1717" hidden="1" x14ac:dyDescent="0.15"/>
    <row r="1718" hidden="1" x14ac:dyDescent="0.15"/>
    <row r="1719" hidden="1" x14ac:dyDescent="0.15"/>
    <row r="1720" hidden="1" x14ac:dyDescent="0.15"/>
    <row r="1721" hidden="1" x14ac:dyDescent="0.15"/>
    <row r="1722" hidden="1" x14ac:dyDescent="0.15"/>
    <row r="1723" hidden="1" x14ac:dyDescent="0.15"/>
    <row r="1724" hidden="1" x14ac:dyDescent="0.15"/>
    <row r="1725" hidden="1" x14ac:dyDescent="0.15"/>
    <row r="1726" hidden="1" x14ac:dyDescent="0.15"/>
    <row r="1727" hidden="1" x14ac:dyDescent="0.15"/>
    <row r="1728" hidden="1" x14ac:dyDescent="0.15"/>
    <row r="1729" hidden="1" x14ac:dyDescent="0.15"/>
    <row r="1730" hidden="1" x14ac:dyDescent="0.15"/>
    <row r="1731" hidden="1" x14ac:dyDescent="0.15"/>
    <row r="1732" hidden="1" x14ac:dyDescent="0.15"/>
    <row r="1733" hidden="1" x14ac:dyDescent="0.15"/>
    <row r="1734" hidden="1" x14ac:dyDescent="0.15"/>
    <row r="1735" hidden="1" x14ac:dyDescent="0.15"/>
    <row r="1736" hidden="1" x14ac:dyDescent="0.15"/>
    <row r="1737" hidden="1" x14ac:dyDescent="0.15"/>
    <row r="1738" hidden="1" x14ac:dyDescent="0.15"/>
    <row r="1739" hidden="1" x14ac:dyDescent="0.15"/>
    <row r="1740" hidden="1" x14ac:dyDescent="0.15"/>
    <row r="1741" hidden="1" x14ac:dyDescent="0.15"/>
    <row r="1742" hidden="1" x14ac:dyDescent="0.15"/>
    <row r="1743" hidden="1" x14ac:dyDescent="0.15"/>
    <row r="1744" hidden="1" x14ac:dyDescent="0.15"/>
    <row r="1745" hidden="1" x14ac:dyDescent="0.15"/>
    <row r="1746" hidden="1" x14ac:dyDescent="0.15"/>
    <row r="1747" hidden="1" x14ac:dyDescent="0.15"/>
    <row r="1748" hidden="1" x14ac:dyDescent="0.15"/>
    <row r="1749" hidden="1" x14ac:dyDescent="0.15"/>
    <row r="1750" hidden="1" x14ac:dyDescent="0.15"/>
    <row r="1751" hidden="1" x14ac:dyDescent="0.15"/>
    <row r="1752" hidden="1" x14ac:dyDescent="0.15"/>
    <row r="1753" hidden="1" x14ac:dyDescent="0.15"/>
    <row r="1754" hidden="1" x14ac:dyDescent="0.15"/>
    <row r="1755" hidden="1" x14ac:dyDescent="0.15"/>
    <row r="1756" hidden="1" x14ac:dyDescent="0.15"/>
    <row r="1757" hidden="1" x14ac:dyDescent="0.15"/>
    <row r="1758" hidden="1" x14ac:dyDescent="0.15"/>
    <row r="1759" hidden="1" x14ac:dyDescent="0.15"/>
    <row r="1760" hidden="1" x14ac:dyDescent="0.15"/>
    <row r="1761" hidden="1" x14ac:dyDescent="0.15"/>
    <row r="1762" hidden="1" x14ac:dyDescent="0.15"/>
    <row r="1763" hidden="1" x14ac:dyDescent="0.15"/>
    <row r="1764" hidden="1" x14ac:dyDescent="0.15"/>
    <row r="1765" hidden="1" x14ac:dyDescent="0.15"/>
    <row r="1766" hidden="1" x14ac:dyDescent="0.15"/>
    <row r="1767" hidden="1" x14ac:dyDescent="0.15"/>
    <row r="1768" hidden="1" x14ac:dyDescent="0.15"/>
    <row r="1769" hidden="1" x14ac:dyDescent="0.15"/>
    <row r="1770" hidden="1" x14ac:dyDescent="0.15"/>
    <row r="1771" hidden="1" x14ac:dyDescent="0.15"/>
    <row r="1772" hidden="1" x14ac:dyDescent="0.15"/>
    <row r="1773" hidden="1" x14ac:dyDescent="0.15"/>
    <row r="1774" hidden="1" x14ac:dyDescent="0.15"/>
    <row r="1775" hidden="1" x14ac:dyDescent="0.15"/>
    <row r="1776" hidden="1" x14ac:dyDescent="0.15"/>
    <row r="1777" hidden="1" x14ac:dyDescent="0.15"/>
    <row r="1778" hidden="1" x14ac:dyDescent="0.15"/>
    <row r="1779" hidden="1" x14ac:dyDescent="0.15"/>
    <row r="1780" hidden="1" x14ac:dyDescent="0.15"/>
    <row r="1781" hidden="1" x14ac:dyDescent="0.15"/>
    <row r="1782" hidden="1" x14ac:dyDescent="0.15"/>
    <row r="1783" hidden="1" x14ac:dyDescent="0.15"/>
    <row r="1784" hidden="1" x14ac:dyDescent="0.15"/>
    <row r="1785" hidden="1" x14ac:dyDescent="0.15"/>
    <row r="1786" hidden="1" x14ac:dyDescent="0.15"/>
    <row r="1787" hidden="1" x14ac:dyDescent="0.15"/>
    <row r="1788" hidden="1" x14ac:dyDescent="0.15"/>
    <row r="1789" hidden="1" x14ac:dyDescent="0.15"/>
    <row r="1790" hidden="1" x14ac:dyDescent="0.15"/>
    <row r="1791" hidden="1" x14ac:dyDescent="0.15"/>
    <row r="1792" hidden="1" x14ac:dyDescent="0.15"/>
    <row r="1793" hidden="1" x14ac:dyDescent="0.15"/>
    <row r="1794" hidden="1" x14ac:dyDescent="0.15"/>
    <row r="1795" hidden="1" x14ac:dyDescent="0.15"/>
    <row r="1796" hidden="1" x14ac:dyDescent="0.15"/>
    <row r="1797" hidden="1" x14ac:dyDescent="0.15"/>
    <row r="1798" hidden="1" x14ac:dyDescent="0.15"/>
    <row r="1799" hidden="1" x14ac:dyDescent="0.15"/>
    <row r="1800" hidden="1" x14ac:dyDescent="0.15"/>
    <row r="1801" hidden="1" x14ac:dyDescent="0.15"/>
    <row r="1802" hidden="1" x14ac:dyDescent="0.15"/>
    <row r="1803" hidden="1" x14ac:dyDescent="0.15"/>
    <row r="1804" hidden="1" x14ac:dyDescent="0.15"/>
    <row r="1805" hidden="1" x14ac:dyDescent="0.15"/>
    <row r="1806" hidden="1" x14ac:dyDescent="0.15"/>
    <row r="1807" hidden="1" x14ac:dyDescent="0.15"/>
    <row r="1808" hidden="1" x14ac:dyDescent="0.15"/>
    <row r="1809" hidden="1" x14ac:dyDescent="0.15"/>
    <row r="1810" hidden="1" x14ac:dyDescent="0.15"/>
    <row r="1811" hidden="1" x14ac:dyDescent="0.15"/>
    <row r="1812" hidden="1" x14ac:dyDescent="0.15"/>
    <row r="1813" hidden="1" x14ac:dyDescent="0.15"/>
    <row r="1814" hidden="1" x14ac:dyDescent="0.15"/>
    <row r="1815" hidden="1" x14ac:dyDescent="0.15"/>
    <row r="1816" hidden="1" x14ac:dyDescent="0.15"/>
    <row r="1817" hidden="1" x14ac:dyDescent="0.15"/>
    <row r="1818" hidden="1" x14ac:dyDescent="0.15"/>
    <row r="1819" hidden="1" x14ac:dyDescent="0.15"/>
    <row r="1820" hidden="1" x14ac:dyDescent="0.15"/>
    <row r="1821" hidden="1" x14ac:dyDescent="0.15"/>
    <row r="1822" hidden="1" x14ac:dyDescent="0.15"/>
    <row r="1823" hidden="1" x14ac:dyDescent="0.15"/>
    <row r="1824" hidden="1" x14ac:dyDescent="0.15"/>
    <row r="1825" hidden="1" x14ac:dyDescent="0.15"/>
    <row r="1826" hidden="1" x14ac:dyDescent="0.15"/>
    <row r="1827" hidden="1" x14ac:dyDescent="0.15"/>
    <row r="1828" hidden="1" x14ac:dyDescent="0.15"/>
    <row r="1829" hidden="1" x14ac:dyDescent="0.15"/>
    <row r="1830" hidden="1" x14ac:dyDescent="0.15"/>
    <row r="1831" hidden="1" x14ac:dyDescent="0.15"/>
    <row r="1832" hidden="1" x14ac:dyDescent="0.15"/>
    <row r="1833" hidden="1" x14ac:dyDescent="0.15"/>
    <row r="1834" hidden="1" x14ac:dyDescent="0.15"/>
    <row r="1835" hidden="1" x14ac:dyDescent="0.15"/>
    <row r="1836" hidden="1" x14ac:dyDescent="0.15"/>
    <row r="1837" hidden="1" x14ac:dyDescent="0.15"/>
    <row r="1838" hidden="1" x14ac:dyDescent="0.15"/>
    <row r="1839" hidden="1" x14ac:dyDescent="0.15"/>
    <row r="1840" hidden="1" x14ac:dyDescent="0.15"/>
    <row r="1841" hidden="1" x14ac:dyDescent="0.15"/>
    <row r="1842" hidden="1" x14ac:dyDescent="0.15"/>
    <row r="1843" hidden="1" x14ac:dyDescent="0.15"/>
    <row r="1844" hidden="1" x14ac:dyDescent="0.15"/>
    <row r="1845" hidden="1" x14ac:dyDescent="0.15"/>
    <row r="1846" hidden="1" x14ac:dyDescent="0.15"/>
    <row r="1847" hidden="1" x14ac:dyDescent="0.15"/>
    <row r="1848" hidden="1" x14ac:dyDescent="0.15"/>
    <row r="1849" hidden="1" x14ac:dyDescent="0.15"/>
    <row r="1850" hidden="1" x14ac:dyDescent="0.15"/>
    <row r="1851" hidden="1" x14ac:dyDescent="0.15"/>
    <row r="1852" hidden="1" x14ac:dyDescent="0.15"/>
    <row r="1853" hidden="1" x14ac:dyDescent="0.15"/>
    <row r="1854" hidden="1" x14ac:dyDescent="0.15"/>
    <row r="1855" hidden="1" x14ac:dyDescent="0.15"/>
    <row r="1856" hidden="1" x14ac:dyDescent="0.15"/>
    <row r="1857" hidden="1" x14ac:dyDescent="0.15"/>
    <row r="1858" hidden="1" x14ac:dyDescent="0.15"/>
    <row r="1859" hidden="1" x14ac:dyDescent="0.15"/>
    <row r="1860" hidden="1" x14ac:dyDescent="0.15"/>
    <row r="1861" hidden="1" x14ac:dyDescent="0.15"/>
    <row r="1862" hidden="1" x14ac:dyDescent="0.15"/>
    <row r="1863" hidden="1" x14ac:dyDescent="0.15"/>
    <row r="1864" hidden="1" x14ac:dyDescent="0.15"/>
    <row r="1865" hidden="1" x14ac:dyDescent="0.15"/>
    <row r="1866" hidden="1" x14ac:dyDescent="0.15"/>
    <row r="1867" hidden="1" x14ac:dyDescent="0.15"/>
    <row r="1868" hidden="1" x14ac:dyDescent="0.15"/>
    <row r="1869" hidden="1" x14ac:dyDescent="0.15"/>
    <row r="1870" hidden="1" x14ac:dyDescent="0.15"/>
    <row r="1871" hidden="1" x14ac:dyDescent="0.15"/>
    <row r="1872" hidden="1" x14ac:dyDescent="0.15"/>
    <row r="1873" hidden="1" x14ac:dyDescent="0.15"/>
    <row r="1874" hidden="1" x14ac:dyDescent="0.15"/>
    <row r="1875" hidden="1" x14ac:dyDescent="0.15"/>
    <row r="1876" hidden="1" x14ac:dyDescent="0.15"/>
    <row r="1877" hidden="1" x14ac:dyDescent="0.15"/>
    <row r="1878" hidden="1" x14ac:dyDescent="0.15"/>
    <row r="1879" hidden="1" x14ac:dyDescent="0.15"/>
    <row r="1880" hidden="1" x14ac:dyDescent="0.15"/>
    <row r="1881" hidden="1" x14ac:dyDescent="0.15"/>
    <row r="1882" hidden="1" x14ac:dyDescent="0.15"/>
    <row r="1883" hidden="1" x14ac:dyDescent="0.15"/>
    <row r="1884" hidden="1" x14ac:dyDescent="0.15"/>
    <row r="1885" hidden="1" x14ac:dyDescent="0.15"/>
    <row r="1886" hidden="1" x14ac:dyDescent="0.15"/>
    <row r="1887" hidden="1" x14ac:dyDescent="0.15"/>
    <row r="1888" hidden="1" x14ac:dyDescent="0.15"/>
    <row r="1889" hidden="1" x14ac:dyDescent="0.15"/>
    <row r="1890" hidden="1" x14ac:dyDescent="0.15"/>
    <row r="1891" hidden="1" x14ac:dyDescent="0.15"/>
    <row r="1892" hidden="1" x14ac:dyDescent="0.15"/>
    <row r="1893" hidden="1" x14ac:dyDescent="0.15"/>
    <row r="1894" hidden="1" x14ac:dyDescent="0.15"/>
    <row r="1895" hidden="1" x14ac:dyDescent="0.15"/>
    <row r="1896" hidden="1" x14ac:dyDescent="0.15"/>
    <row r="1897" hidden="1" x14ac:dyDescent="0.15"/>
    <row r="1898" hidden="1" x14ac:dyDescent="0.15"/>
    <row r="1899" hidden="1" x14ac:dyDescent="0.15"/>
    <row r="1900" hidden="1" x14ac:dyDescent="0.15"/>
    <row r="1901" hidden="1" x14ac:dyDescent="0.15"/>
    <row r="1902" hidden="1" x14ac:dyDescent="0.15"/>
    <row r="1903" hidden="1" x14ac:dyDescent="0.15"/>
    <row r="1904" hidden="1" x14ac:dyDescent="0.15"/>
    <row r="1905" hidden="1" x14ac:dyDescent="0.15"/>
    <row r="1906" hidden="1" x14ac:dyDescent="0.15"/>
    <row r="1907" hidden="1" x14ac:dyDescent="0.15"/>
    <row r="1908" hidden="1" x14ac:dyDescent="0.15"/>
    <row r="1909" hidden="1" x14ac:dyDescent="0.15"/>
    <row r="1910" hidden="1" x14ac:dyDescent="0.15"/>
    <row r="1911" hidden="1" x14ac:dyDescent="0.15"/>
    <row r="1912" hidden="1" x14ac:dyDescent="0.15"/>
    <row r="1913" hidden="1" x14ac:dyDescent="0.15"/>
    <row r="1914" hidden="1" x14ac:dyDescent="0.15"/>
    <row r="1915" hidden="1" x14ac:dyDescent="0.15"/>
    <row r="1916" hidden="1" x14ac:dyDescent="0.15"/>
    <row r="1917" hidden="1" x14ac:dyDescent="0.15"/>
    <row r="1918" hidden="1" x14ac:dyDescent="0.15"/>
    <row r="1919" hidden="1" x14ac:dyDescent="0.15"/>
    <row r="1920" hidden="1" x14ac:dyDescent="0.15"/>
    <row r="1921" hidden="1" x14ac:dyDescent="0.15"/>
    <row r="1922" hidden="1" x14ac:dyDescent="0.15"/>
    <row r="1923" hidden="1" x14ac:dyDescent="0.15"/>
    <row r="1924" hidden="1" x14ac:dyDescent="0.15"/>
    <row r="1925" hidden="1" x14ac:dyDescent="0.15"/>
    <row r="1926" hidden="1" x14ac:dyDescent="0.15"/>
    <row r="1927" hidden="1" x14ac:dyDescent="0.15"/>
    <row r="1928" hidden="1" x14ac:dyDescent="0.15"/>
    <row r="1929" hidden="1" x14ac:dyDescent="0.15"/>
    <row r="1930" hidden="1" x14ac:dyDescent="0.15"/>
    <row r="1931" hidden="1" x14ac:dyDescent="0.15"/>
    <row r="1932" hidden="1" x14ac:dyDescent="0.15"/>
    <row r="1933" hidden="1" x14ac:dyDescent="0.15"/>
    <row r="1934" hidden="1" x14ac:dyDescent="0.15"/>
    <row r="1935" hidden="1" x14ac:dyDescent="0.15"/>
    <row r="1936" hidden="1" x14ac:dyDescent="0.15"/>
    <row r="1937" hidden="1" x14ac:dyDescent="0.15"/>
    <row r="1938" hidden="1" x14ac:dyDescent="0.15"/>
    <row r="1939" hidden="1" x14ac:dyDescent="0.15"/>
    <row r="1940" hidden="1" x14ac:dyDescent="0.15"/>
    <row r="1941" hidden="1" x14ac:dyDescent="0.15"/>
    <row r="1942" hidden="1" x14ac:dyDescent="0.15"/>
    <row r="1943" hidden="1" x14ac:dyDescent="0.15"/>
    <row r="1944" hidden="1" x14ac:dyDescent="0.15"/>
    <row r="1945" hidden="1" x14ac:dyDescent="0.15"/>
    <row r="1946" hidden="1" x14ac:dyDescent="0.15"/>
    <row r="1947" hidden="1" x14ac:dyDescent="0.15"/>
    <row r="1948" hidden="1" x14ac:dyDescent="0.15"/>
    <row r="1949" hidden="1" x14ac:dyDescent="0.15"/>
    <row r="1950" hidden="1" x14ac:dyDescent="0.15"/>
    <row r="1951" hidden="1" x14ac:dyDescent="0.15"/>
    <row r="1952" hidden="1" x14ac:dyDescent="0.15"/>
    <row r="1953" hidden="1" x14ac:dyDescent="0.15"/>
    <row r="1954" hidden="1" x14ac:dyDescent="0.15"/>
    <row r="1955" hidden="1" x14ac:dyDescent="0.15"/>
    <row r="1956" hidden="1" x14ac:dyDescent="0.15"/>
    <row r="1957" hidden="1" x14ac:dyDescent="0.15"/>
    <row r="1958" hidden="1" x14ac:dyDescent="0.15"/>
    <row r="1959" hidden="1" x14ac:dyDescent="0.15"/>
    <row r="1960" hidden="1" x14ac:dyDescent="0.15"/>
    <row r="1961" hidden="1" x14ac:dyDescent="0.15"/>
    <row r="1962" hidden="1" x14ac:dyDescent="0.15"/>
    <row r="1963" hidden="1" x14ac:dyDescent="0.15"/>
    <row r="1964" hidden="1" x14ac:dyDescent="0.15"/>
    <row r="1965" hidden="1" x14ac:dyDescent="0.15"/>
    <row r="1966" hidden="1" x14ac:dyDescent="0.15"/>
    <row r="1967" hidden="1" x14ac:dyDescent="0.15"/>
    <row r="1968" hidden="1" x14ac:dyDescent="0.15"/>
    <row r="1969" hidden="1" x14ac:dyDescent="0.15"/>
    <row r="1970" hidden="1" x14ac:dyDescent="0.15"/>
    <row r="1971" hidden="1" x14ac:dyDescent="0.15"/>
    <row r="1972" hidden="1" x14ac:dyDescent="0.15"/>
    <row r="1973" hidden="1" x14ac:dyDescent="0.15"/>
    <row r="1974" hidden="1" x14ac:dyDescent="0.15"/>
    <row r="1975" hidden="1" x14ac:dyDescent="0.15"/>
    <row r="1976" hidden="1" x14ac:dyDescent="0.15"/>
    <row r="1977" hidden="1" x14ac:dyDescent="0.15"/>
    <row r="1978" hidden="1" x14ac:dyDescent="0.15"/>
    <row r="1979" hidden="1" x14ac:dyDescent="0.15"/>
    <row r="1980" hidden="1" x14ac:dyDescent="0.15"/>
    <row r="1981" hidden="1" x14ac:dyDescent="0.15"/>
    <row r="1982" hidden="1" x14ac:dyDescent="0.15"/>
    <row r="1983" hidden="1" x14ac:dyDescent="0.15"/>
    <row r="1984" hidden="1" x14ac:dyDescent="0.15"/>
    <row r="1985" hidden="1" x14ac:dyDescent="0.15"/>
    <row r="1986" hidden="1" x14ac:dyDescent="0.15"/>
    <row r="1987" hidden="1" x14ac:dyDescent="0.15"/>
    <row r="1988" hidden="1" x14ac:dyDescent="0.15"/>
    <row r="1989" hidden="1" x14ac:dyDescent="0.15"/>
    <row r="1990" hidden="1" x14ac:dyDescent="0.15"/>
    <row r="1991" hidden="1" x14ac:dyDescent="0.15"/>
    <row r="1992" hidden="1" x14ac:dyDescent="0.15"/>
    <row r="1993" hidden="1" x14ac:dyDescent="0.15"/>
    <row r="1994" hidden="1" x14ac:dyDescent="0.15"/>
    <row r="1995" hidden="1" x14ac:dyDescent="0.15"/>
    <row r="1996" hidden="1" x14ac:dyDescent="0.15"/>
    <row r="1997" hidden="1" x14ac:dyDescent="0.15"/>
    <row r="1998" hidden="1" x14ac:dyDescent="0.15"/>
    <row r="1999" hidden="1" x14ac:dyDescent="0.15"/>
    <row r="2000" hidden="1" x14ac:dyDescent="0.15"/>
    <row r="2001" hidden="1" x14ac:dyDescent="0.15"/>
    <row r="2002" hidden="1" x14ac:dyDescent="0.15"/>
    <row r="2003" hidden="1" x14ac:dyDescent="0.15"/>
    <row r="2004" hidden="1" x14ac:dyDescent="0.15"/>
    <row r="2005" hidden="1" x14ac:dyDescent="0.15"/>
    <row r="2006" hidden="1" x14ac:dyDescent="0.15"/>
    <row r="2007" hidden="1" x14ac:dyDescent="0.15"/>
    <row r="2008" hidden="1" x14ac:dyDescent="0.15"/>
    <row r="2009" hidden="1" x14ac:dyDescent="0.15"/>
    <row r="2010" hidden="1" x14ac:dyDescent="0.15"/>
    <row r="2011" hidden="1" x14ac:dyDescent="0.15"/>
    <row r="2012" hidden="1" x14ac:dyDescent="0.15"/>
    <row r="2013" hidden="1" x14ac:dyDescent="0.15"/>
    <row r="2014" hidden="1" x14ac:dyDescent="0.15"/>
    <row r="2015" hidden="1" x14ac:dyDescent="0.15"/>
    <row r="2016" hidden="1" x14ac:dyDescent="0.15"/>
    <row r="2017" hidden="1" x14ac:dyDescent="0.15"/>
    <row r="2018" hidden="1" x14ac:dyDescent="0.15"/>
    <row r="2019" hidden="1" x14ac:dyDescent="0.15"/>
    <row r="2020" hidden="1" x14ac:dyDescent="0.15"/>
    <row r="2021" hidden="1" x14ac:dyDescent="0.15"/>
    <row r="2022" hidden="1" x14ac:dyDescent="0.15"/>
    <row r="2023" hidden="1" x14ac:dyDescent="0.15"/>
    <row r="2024" hidden="1" x14ac:dyDescent="0.15"/>
    <row r="2025" hidden="1" x14ac:dyDescent="0.15"/>
    <row r="2026" hidden="1" x14ac:dyDescent="0.15"/>
    <row r="2027" hidden="1" x14ac:dyDescent="0.15"/>
    <row r="2028" hidden="1" x14ac:dyDescent="0.15"/>
    <row r="2029" hidden="1" x14ac:dyDescent="0.15"/>
    <row r="2030" hidden="1" x14ac:dyDescent="0.15"/>
    <row r="2031" hidden="1" x14ac:dyDescent="0.15"/>
    <row r="2032" hidden="1" x14ac:dyDescent="0.15"/>
    <row r="2033" hidden="1" x14ac:dyDescent="0.15"/>
    <row r="2034" hidden="1" x14ac:dyDescent="0.15"/>
    <row r="2035" hidden="1" x14ac:dyDescent="0.15"/>
    <row r="2036" hidden="1" x14ac:dyDescent="0.15"/>
    <row r="2037" hidden="1" x14ac:dyDescent="0.15"/>
    <row r="2038" hidden="1" x14ac:dyDescent="0.15"/>
    <row r="2039" hidden="1" x14ac:dyDescent="0.15"/>
    <row r="2040" hidden="1" x14ac:dyDescent="0.15"/>
    <row r="2041" hidden="1" x14ac:dyDescent="0.15"/>
    <row r="2042" hidden="1" x14ac:dyDescent="0.15"/>
    <row r="2043" hidden="1" x14ac:dyDescent="0.15"/>
    <row r="2044" hidden="1" x14ac:dyDescent="0.15"/>
    <row r="2045" hidden="1" x14ac:dyDescent="0.15"/>
    <row r="2046" hidden="1" x14ac:dyDescent="0.15"/>
    <row r="2047" hidden="1" x14ac:dyDescent="0.15"/>
    <row r="2048" hidden="1" x14ac:dyDescent="0.15"/>
    <row r="2049" hidden="1" x14ac:dyDescent="0.15"/>
    <row r="2050" hidden="1" x14ac:dyDescent="0.15"/>
    <row r="2051" hidden="1" x14ac:dyDescent="0.15"/>
    <row r="2052" hidden="1" x14ac:dyDescent="0.15"/>
    <row r="2053" hidden="1" x14ac:dyDescent="0.15"/>
    <row r="2054" hidden="1" x14ac:dyDescent="0.15"/>
    <row r="2055" hidden="1" x14ac:dyDescent="0.15"/>
    <row r="2056" hidden="1" x14ac:dyDescent="0.15"/>
    <row r="2057" hidden="1" x14ac:dyDescent="0.15"/>
    <row r="2058" hidden="1" x14ac:dyDescent="0.15"/>
    <row r="2059" hidden="1" x14ac:dyDescent="0.15"/>
    <row r="2060" hidden="1" x14ac:dyDescent="0.15"/>
    <row r="2061" hidden="1" x14ac:dyDescent="0.15"/>
    <row r="2062" hidden="1" x14ac:dyDescent="0.15"/>
    <row r="2063" hidden="1" x14ac:dyDescent="0.15"/>
    <row r="2064" hidden="1" x14ac:dyDescent="0.15"/>
    <row r="2065" hidden="1" x14ac:dyDescent="0.15"/>
    <row r="2066" hidden="1" x14ac:dyDescent="0.15"/>
    <row r="2067" hidden="1" x14ac:dyDescent="0.15"/>
    <row r="2068" hidden="1" x14ac:dyDescent="0.15"/>
    <row r="2069" hidden="1" x14ac:dyDescent="0.15"/>
    <row r="2070" hidden="1" x14ac:dyDescent="0.15"/>
    <row r="2071" hidden="1" x14ac:dyDescent="0.15"/>
    <row r="2072" hidden="1" x14ac:dyDescent="0.15"/>
    <row r="2073" hidden="1" x14ac:dyDescent="0.15"/>
    <row r="2074" hidden="1" x14ac:dyDescent="0.15"/>
    <row r="2075" hidden="1" x14ac:dyDescent="0.15"/>
    <row r="2076" hidden="1" x14ac:dyDescent="0.15"/>
    <row r="2077" hidden="1" x14ac:dyDescent="0.15"/>
    <row r="2078" hidden="1" x14ac:dyDescent="0.15"/>
    <row r="2079" hidden="1" x14ac:dyDescent="0.15"/>
    <row r="2080" hidden="1" x14ac:dyDescent="0.15"/>
    <row r="2081" hidden="1" x14ac:dyDescent="0.15"/>
    <row r="2082" hidden="1" x14ac:dyDescent="0.15"/>
    <row r="2083" hidden="1" x14ac:dyDescent="0.15"/>
    <row r="2084" hidden="1" x14ac:dyDescent="0.15"/>
    <row r="2085" hidden="1" x14ac:dyDescent="0.15"/>
    <row r="2086" hidden="1" x14ac:dyDescent="0.15"/>
    <row r="2087" hidden="1" x14ac:dyDescent="0.15"/>
    <row r="2088" hidden="1" x14ac:dyDescent="0.15"/>
    <row r="2089" hidden="1" x14ac:dyDescent="0.15"/>
    <row r="2090" hidden="1" x14ac:dyDescent="0.15"/>
    <row r="2091" hidden="1" x14ac:dyDescent="0.15"/>
    <row r="2092" hidden="1" x14ac:dyDescent="0.15"/>
    <row r="2093" hidden="1" x14ac:dyDescent="0.15"/>
    <row r="2094" hidden="1" x14ac:dyDescent="0.15"/>
    <row r="2095" hidden="1" x14ac:dyDescent="0.15"/>
    <row r="2096" hidden="1" x14ac:dyDescent="0.15"/>
    <row r="2097" hidden="1" x14ac:dyDescent="0.15"/>
    <row r="2098" hidden="1" x14ac:dyDescent="0.15"/>
    <row r="2099" hidden="1" x14ac:dyDescent="0.15"/>
    <row r="2100" hidden="1" x14ac:dyDescent="0.15"/>
    <row r="2101" hidden="1" x14ac:dyDescent="0.15"/>
    <row r="2102" hidden="1" x14ac:dyDescent="0.15"/>
    <row r="2103" hidden="1" x14ac:dyDescent="0.15"/>
    <row r="2104" hidden="1" x14ac:dyDescent="0.15"/>
    <row r="2105" hidden="1" x14ac:dyDescent="0.15"/>
    <row r="2106" hidden="1" x14ac:dyDescent="0.15"/>
    <row r="2107" hidden="1" x14ac:dyDescent="0.15"/>
    <row r="2108" hidden="1" x14ac:dyDescent="0.15"/>
    <row r="2109" hidden="1" x14ac:dyDescent="0.15"/>
    <row r="2110" hidden="1" x14ac:dyDescent="0.15"/>
    <row r="2111" hidden="1" x14ac:dyDescent="0.15"/>
    <row r="2112" hidden="1" x14ac:dyDescent="0.15"/>
    <row r="2113" hidden="1" x14ac:dyDescent="0.15"/>
    <row r="2114" hidden="1" x14ac:dyDescent="0.15"/>
    <row r="2115" hidden="1" x14ac:dyDescent="0.15"/>
    <row r="2116" hidden="1" x14ac:dyDescent="0.15"/>
    <row r="2117" hidden="1" x14ac:dyDescent="0.15"/>
    <row r="2118" hidden="1" x14ac:dyDescent="0.15"/>
    <row r="2119" hidden="1" x14ac:dyDescent="0.15"/>
    <row r="2120" hidden="1" x14ac:dyDescent="0.15"/>
    <row r="2121" hidden="1" x14ac:dyDescent="0.15"/>
    <row r="2122" hidden="1" x14ac:dyDescent="0.15"/>
    <row r="2123" hidden="1" x14ac:dyDescent="0.15"/>
    <row r="2124" hidden="1" x14ac:dyDescent="0.15"/>
    <row r="2125" hidden="1" x14ac:dyDescent="0.15"/>
    <row r="2126" hidden="1" x14ac:dyDescent="0.15"/>
    <row r="2127" hidden="1" x14ac:dyDescent="0.15"/>
    <row r="2128" hidden="1" x14ac:dyDescent="0.15"/>
    <row r="2129" hidden="1" x14ac:dyDescent="0.15"/>
    <row r="2130" hidden="1" x14ac:dyDescent="0.15"/>
    <row r="2131" hidden="1" x14ac:dyDescent="0.15"/>
    <row r="2132" hidden="1" x14ac:dyDescent="0.15"/>
    <row r="2133" hidden="1" x14ac:dyDescent="0.15"/>
    <row r="2134" hidden="1" x14ac:dyDescent="0.15"/>
    <row r="2135" hidden="1" x14ac:dyDescent="0.15"/>
    <row r="2136" hidden="1" x14ac:dyDescent="0.15"/>
    <row r="2137" hidden="1" x14ac:dyDescent="0.15"/>
    <row r="2138" hidden="1" x14ac:dyDescent="0.15"/>
    <row r="2139" hidden="1" x14ac:dyDescent="0.15"/>
    <row r="2140" hidden="1" x14ac:dyDescent="0.15"/>
    <row r="2141" hidden="1" x14ac:dyDescent="0.15"/>
    <row r="2142" hidden="1" x14ac:dyDescent="0.15"/>
    <row r="2143" hidden="1" x14ac:dyDescent="0.15"/>
    <row r="2144" hidden="1" x14ac:dyDescent="0.15"/>
    <row r="2145" hidden="1" x14ac:dyDescent="0.15"/>
    <row r="2146" hidden="1" x14ac:dyDescent="0.15"/>
    <row r="2147" hidden="1" x14ac:dyDescent="0.15"/>
    <row r="2148" hidden="1" x14ac:dyDescent="0.15"/>
    <row r="2149" hidden="1" x14ac:dyDescent="0.15"/>
    <row r="2150" hidden="1" x14ac:dyDescent="0.15"/>
    <row r="2151" hidden="1" x14ac:dyDescent="0.15"/>
    <row r="2152" hidden="1" x14ac:dyDescent="0.15"/>
    <row r="2153" hidden="1" x14ac:dyDescent="0.15"/>
    <row r="2154" hidden="1" x14ac:dyDescent="0.15"/>
    <row r="2155" hidden="1" x14ac:dyDescent="0.15"/>
    <row r="2156" hidden="1" x14ac:dyDescent="0.15"/>
    <row r="2157" hidden="1" x14ac:dyDescent="0.15"/>
    <row r="2158" hidden="1" x14ac:dyDescent="0.15"/>
    <row r="2159" hidden="1" x14ac:dyDescent="0.15"/>
    <row r="2160" hidden="1" x14ac:dyDescent="0.15"/>
    <row r="2161" hidden="1" x14ac:dyDescent="0.15"/>
    <row r="2162" hidden="1" x14ac:dyDescent="0.15"/>
    <row r="2163" hidden="1" x14ac:dyDescent="0.15"/>
    <row r="2164" hidden="1" x14ac:dyDescent="0.15"/>
    <row r="2165" hidden="1" x14ac:dyDescent="0.15"/>
    <row r="2166" hidden="1" x14ac:dyDescent="0.15"/>
    <row r="2167" hidden="1" x14ac:dyDescent="0.15"/>
    <row r="2168" hidden="1" x14ac:dyDescent="0.15"/>
    <row r="2169" hidden="1" x14ac:dyDescent="0.15"/>
    <row r="2170" hidden="1" x14ac:dyDescent="0.15"/>
    <row r="2171" hidden="1" x14ac:dyDescent="0.15"/>
    <row r="2172" hidden="1" x14ac:dyDescent="0.15"/>
    <row r="2173" hidden="1" x14ac:dyDescent="0.15"/>
    <row r="2174" hidden="1" x14ac:dyDescent="0.15"/>
    <row r="2175" hidden="1" x14ac:dyDescent="0.15"/>
    <row r="2176" hidden="1" x14ac:dyDescent="0.15"/>
    <row r="2177" hidden="1" x14ac:dyDescent="0.15"/>
    <row r="2178" hidden="1" x14ac:dyDescent="0.15"/>
    <row r="2179" hidden="1" x14ac:dyDescent="0.15"/>
    <row r="2180" hidden="1" x14ac:dyDescent="0.15"/>
    <row r="2181" hidden="1" x14ac:dyDescent="0.15"/>
    <row r="2182" hidden="1" x14ac:dyDescent="0.15"/>
    <row r="2183" hidden="1" x14ac:dyDescent="0.15"/>
    <row r="2184" hidden="1" x14ac:dyDescent="0.15"/>
    <row r="2185" hidden="1" x14ac:dyDescent="0.15"/>
    <row r="2186" hidden="1" x14ac:dyDescent="0.15"/>
    <row r="2187" hidden="1" x14ac:dyDescent="0.15"/>
    <row r="2188" hidden="1" x14ac:dyDescent="0.15"/>
    <row r="2189" hidden="1" x14ac:dyDescent="0.15"/>
    <row r="2190" hidden="1" x14ac:dyDescent="0.15"/>
    <row r="2191" hidden="1" x14ac:dyDescent="0.15"/>
    <row r="2192" hidden="1" x14ac:dyDescent="0.15"/>
    <row r="2193" hidden="1" x14ac:dyDescent="0.15"/>
    <row r="2194" hidden="1" x14ac:dyDescent="0.15"/>
    <row r="2195" hidden="1" x14ac:dyDescent="0.15"/>
    <row r="2196" hidden="1" x14ac:dyDescent="0.15"/>
    <row r="2197" hidden="1" x14ac:dyDescent="0.15"/>
    <row r="2198" hidden="1" x14ac:dyDescent="0.15"/>
    <row r="2199" hidden="1" x14ac:dyDescent="0.15"/>
    <row r="2200" hidden="1" x14ac:dyDescent="0.15"/>
    <row r="2201" hidden="1" x14ac:dyDescent="0.15"/>
    <row r="2202" hidden="1" x14ac:dyDescent="0.15"/>
    <row r="2203" hidden="1" x14ac:dyDescent="0.15"/>
    <row r="2204" hidden="1" x14ac:dyDescent="0.15"/>
    <row r="2205" hidden="1" x14ac:dyDescent="0.15"/>
    <row r="2206" hidden="1" x14ac:dyDescent="0.15"/>
    <row r="2207" hidden="1" x14ac:dyDescent="0.15"/>
    <row r="2208" hidden="1" x14ac:dyDescent="0.15"/>
    <row r="2209" hidden="1" x14ac:dyDescent="0.15"/>
    <row r="2210" hidden="1" x14ac:dyDescent="0.15"/>
    <row r="2211" hidden="1" x14ac:dyDescent="0.15"/>
    <row r="2212" hidden="1" x14ac:dyDescent="0.15"/>
    <row r="2213" hidden="1" x14ac:dyDescent="0.15"/>
    <row r="2214" hidden="1" x14ac:dyDescent="0.15"/>
    <row r="2215" hidden="1" x14ac:dyDescent="0.15"/>
    <row r="2216" hidden="1" x14ac:dyDescent="0.15"/>
    <row r="2217" hidden="1" x14ac:dyDescent="0.15"/>
    <row r="2218" hidden="1" x14ac:dyDescent="0.15"/>
    <row r="2219" hidden="1" x14ac:dyDescent="0.15"/>
    <row r="2220" hidden="1" x14ac:dyDescent="0.15"/>
    <row r="2221" hidden="1" x14ac:dyDescent="0.15"/>
    <row r="2222" hidden="1" x14ac:dyDescent="0.15"/>
    <row r="2223" hidden="1" x14ac:dyDescent="0.15"/>
    <row r="2224" hidden="1" x14ac:dyDescent="0.15"/>
    <row r="2225" hidden="1" x14ac:dyDescent="0.15"/>
    <row r="2226" hidden="1" x14ac:dyDescent="0.15"/>
    <row r="2227" hidden="1" x14ac:dyDescent="0.15"/>
    <row r="2228" hidden="1" x14ac:dyDescent="0.15"/>
    <row r="2229" hidden="1" x14ac:dyDescent="0.15"/>
    <row r="2230" hidden="1" x14ac:dyDescent="0.15"/>
    <row r="2231" hidden="1" x14ac:dyDescent="0.15"/>
    <row r="2232" hidden="1" x14ac:dyDescent="0.15"/>
    <row r="2233" hidden="1" x14ac:dyDescent="0.15"/>
    <row r="2234" hidden="1" x14ac:dyDescent="0.15"/>
    <row r="2235" hidden="1" x14ac:dyDescent="0.15"/>
    <row r="2236" hidden="1" x14ac:dyDescent="0.15"/>
    <row r="2237" hidden="1" x14ac:dyDescent="0.15"/>
    <row r="2238" hidden="1" x14ac:dyDescent="0.15"/>
    <row r="2239" hidden="1" x14ac:dyDescent="0.15"/>
    <row r="2240" hidden="1" x14ac:dyDescent="0.15"/>
    <row r="2241" hidden="1" x14ac:dyDescent="0.15"/>
    <row r="2242" hidden="1" x14ac:dyDescent="0.15"/>
    <row r="2243" hidden="1" x14ac:dyDescent="0.15"/>
    <row r="2244" hidden="1" x14ac:dyDescent="0.15"/>
    <row r="2245" hidden="1" x14ac:dyDescent="0.15"/>
    <row r="2246" hidden="1" x14ac:dyDescent="0.15"/>
    <row r="2247" hidden="1" x14ac:dyDescent="0.15"/>
    <row r="2248" hidden="1" x14ac:dyDescent="0.15"/>
    <row r="2249" hidden="1" x14ac:dyDescent="0.15"/>
    <row r="2250" hidden="1" x14ac:dyDescent="0.15"/>
    <row r="2251" hidden="1" x14ac:dyDescent="0.15"/>
    <row r="2252" hidden="1" x14ac:dyDescent="0.15"/>
    <row r="2253" hidden="1" x14ac:dyDescent="0.15"/>
    <row r="2254" hidden="1" x14ac:dyDescent="0.15"/>
    <row r="2255" hidden="1" x14ac:dyDescent="0.15"/>
    <row r="2256" hidden="1" x14ac:dyDescent="0.15"/>
    <row r="2257" hidden="1" x14ac:dyDescent="0.15"/>
    <row r="2258" hidden="1" x14ac:dyDescent="0.15"/>
    <row r="2259" hidden="1" x14ac:dyDescent="0.15"/>
    <row r="2260" hidden="1" x14ac:dyDescent="0.15"/>
    <row r="2261" hidden="1" x14ac:dyDescent="0.15"/>
    <row r="2262" hidden="1" x14ac:dyDescent="0.15"/>
    <row r="2263" hidden="1" x14ac:dyDescent="0.15"/>
    <row r="2264" hidden="1" x14ac:dyDescent="0.15"/>
    <row r="2265" hidden="1" x14ac:dyDescent="0.15"/>
    <row r="2266" hidden="1" x14ac:dyDescent="0.15"/>
    <row r="2267" hidden="1" x14ac:dyDescent="0.15"/>
    <row r="2268" hidden="1" x14ac:dyDescent="0.15"/>
    <row r="2269" hidden="1" x14ac:dyDescent="0.15"/>
    <row r="2270" hidden="1" x14ac:dyDescent="0.15"/>
    <row r="2271" hidden="1" x14ac:dyDescent="0.15"/>
    <row r="2272" hidden="1" x14ac:dyDescent="0.15"/>
    <row r="2273" hidden="1" x14ac:dyDescent="0.15"/>
    <row r="2274" hidden="1" x14ac:dyDescent="0.15"/>
    <row r="2275" hidden="1" x14ac:dyDescent="0.15"/>
    <row r="2276" hidden="1" x14ac:dyDescent="0.15"/>
    <row r="2277" hidden="1" x14ac:dyDescent="0.15"/>
    <row r="2278" hidden="1" x14ac:dyDescent="0.15"/>
    <row r="2279" hidden="1" x14ac:dyDescent="0.15"/>
    <row r="2280" hidden="1" x14ac:dyDescent="0.15"/>
    <row r="2281" hidden="1" x14ac:dyDescent="0.15"/>
    <row r="2282" hidden="1" x14ac:dyDescent="0.15"/>
    <row r="2283" hidden="1" x14ac:dyDescent="0.15"/>
    <row r="2284" hidden="1" x14ac:dyDescent="0.15"/>
    <row r="2285" hidden="1" x14ac:dyDescent="0.15"/>
    <row r="2286" hidden="1" x14ac:dyDescent="0.15"/>
    <row r="2287" hidden="1" x14ac:dyDescent="0.15"/>
    <row r="2288" hidden="1" x14ac:dyDescent="0.15"/>
    <row r="2289" hidden="1" x14ac:dyDescent="0.15"/>
    <row r="2290" hidden="1" x14ac:dyDescent="0.15"/>
    <row r="2291" hidden="1" x14ac:dyDescent="0.15"/>
    <row r="2292" hidden="1" x14ac:dyDescent="0.15"/>
    <row r="2293" hidden="1" x14ac:dyDescent="0.15"/>
    <row r="2294" hidden="1" x14ac:dyDescent="0.15"/>
    <row r="2295" hidden="1" x14ac:dyDescent="0.15"/>
    <row r="2296" hidden="1" x14ac:dyDescent="0.15"/>
    <row r="2297" hidden="1" x14ac:dyDescent="0.15"/>
    <row r="2298" hidden="1" x14ac:dyDescent="0.15"/>
    <row r="2299" hidden="1" x14ac:dyDescent="0.15"/>
    <row r="2300" hidden="1" x14ac:dyDescent="0.15"/>
    <row r="2301" hidden="1" x14ac:dyDescent="0.15"/>
    <row r="2302" hidden="1" x14ac:dyDescent="0.15"/>
    <row r="2303" hidden="1" x14ac:dyDescent="0.15"/>
    <row r="2304" hidden="1" x14ac:dyDescent="0.15"/>
    <row r="2305" hidden="1" x14ac:dyDescent="0.15"/>
    <row r="2306" hidden="1" x14ac:dyDescent="0.15"/>
    <row r="2307" hidden="1" x14ac:dyDescent="0.15"/>
    <row r="2308" hidden="1" x14ac:dyDescent="0.15"/>
    <row r="2309" hidden="1" x14ac:dyDescent="0.15"/>
    <row r="2310" hidden="1" x14ac:dyDescent="0.15"/>
    <row r="2311" hidden="1" x14ac:dyDescent="0.15"/>
    <row r="2312" hidden="1" x14ac:dyDescent="0.15"/>
    <row r="2313" hidden="1" x14ac:dyDescent="0.15"/>
    <row r="2314" hidden="1" x14ac:dyDescent="0.15"/>
    <row r="2315" hidden="1" x14ac:dyDescent="0.15"/>
    <row r="2316" hidden="1" x14ac:dyDescent="0.15"/>
    <row r="2317" hidden="1" x14ac:dyDescent="0.15"/>
    <row r="2318" hidden="1" x14ac:dyDescent="0.15"/>
    <row r="2319" hidden="1" x14ac:dyDescent="0.15"/>
    <row r="2320" hidden="1" x14ac:dyDescent="0.15"/>
    <row r="2321" hidden="1" x14ac:dyDescent="0.15"/>
    <row r="2322" hidden="1" x14ac:dyDescent="0.15"/>
    <row r="2323" hidden="1" x14ac:dyDescent="0.15"/>
    <row r="2324" hidden="1" x14ac:dyDescent="0.15"/>
    <row r="2325" hidden="1" x14ac:dyDescent="0.15"/>
    <row r="2326" hidden="1" x14ac:dyDescent="0.15"/>
    <row r="2327" hidden="1" x14ac:dyDescent="0.15"/>
    <row r="2328" hidden="1" x14ac:dyDescent="0.15"/>
    <row r="2329" hidden="1" x14ac:dyDescent="0.15"/>
    <row r="2330" hidden="1" x14ac:dyDescent="0.15"/>
    <row r="2331" hidden="1" x14ac:dyDescent="0.15"/>
    <row r="2332" hidden="1" x14ac:dyDescent="0.15"/>
    <row r="2333" hidden="1" x14ac:dyDescent="0.15"/>
    <row r="2334" hidden="1" x14ac:dyDescent="0.15"/>
    <row r="2335" hidden="1" x14ac:dyDescent="0.15"/>
    <row r="2336" hidden="1" x14ac:dyDescent="0.15"/>
    <row r="2337" hidden="1" x14ac:dyDescent="0.15"/>
    <row r="2338" hidden="1" x14ac:dyDescent="0.15"/>
    <row r="2339" hidden="1" x14ac:dyDescent="0.15"/>
    <row r="2340" hidden="1" x14ac:dyDescent="0.15"/>
    <row r="2341" hidden="1" x14ac:dyDescent="0.15"/>
    <row r="2342" hidden="1" x14ac:dyDescent="0.15"/>
    <row r="2343" hidden="1" x14ac:dyDescent="0.15"/>
    <row r="2344" hidden="1" x14ac:dyDescent="0.15"/>
    <row r="2345" hidden="1" x14ac:dyDescent="0.15"/>
    <row r="2346" hidden="1" x14ac:dyDescent="0.15"/>
    <row r="2347" hidden="1" x14ac:dyDescent="0.15"/>
    <row r="2348" hidden="1" x14ac:dyDescent="0.15"/>
    <row r="2349" hidden="1" x14ac:dyDescent="0.15"/>
    <row r="2350" hidden="1" x14ac:dyDescent="0.15"/>
    <row r="2351" hidden="1" x14ac:dyDescent="0.15"/>
    <row r="2352" hidden="1" x14ac:dyDescent="0.15"/>
    <row r="2353" hidden="1" x14ac:dyDescent="0.15"/>
    <row r="2354" hidden="1" x14ac:dyDescent="0.15"/>
    <row r="2355" hidden="1" x14ac:dyDescent="0.15"/>
    <row r="2356" hidden="1" x14ac:dyDescent="0.15"/>
    <row r="2357" hidden="1" x14ac:dyDescent="0.15"/>
    <row r="2358" hidden="1" x14ac:dyDescent="0.15"/>
    <row r="2359" hidden="1" x14ac:dyDescent="0.15"/>
    <row r="2360" hidden="1" x14ac:dyDescent="0.15"/>
    <row r="2361" hidden="1" x14ac:dyDescent="0.15"/>
    <row r="2362" hidden="1" x14ac:dyDescent="0.15"/>
    <row r="2363" hidden="1" x14ac:dyDescent="0.15"/>
    <row r="2364" hidden="1" x14ac:dyDescent="0.15"/>
    <row r="2365" hidden="1" x14ac:dyDescent="0.15"/>
    <row r="2366" hidden="1" x14ac:dyDescent="0.15"/>
    <row r="2367" hidden="1" x14ac:dyDescent="0.15"/>
    <row r="2368" hidden="1" x14ac:dyDescent="0.15"/>
    <row r="2369" hidden="1" x14ac:dyDescent="0.15"/>
    <row r="2370" hidden="1" x14ac:dyDescent="0.15"/>
    <row r="2371" hidden="1" x14ac:dyDescent="0.15"/>
    <row r="2372" hidden="1" x14ac:dyDescent="0.15"/>
    <row r="2373" hidden="1" x14ac:dyDescent="0.15"/>
    <row r="2374" hidden="1" x14ac:dyDescent="0.15"/>
    <row r="2375" hidden="1" x14ac:dyDescent="0.15"/>
    <row r="2376" hidden="1" x14ac:dyDescent="0.15"/>
    <row r="2377" hidden="1" x14ac:dyDescent="0.15"/>
    <row r="2378" hidden="1" x14ac:dyDescent="0.15"/>
    <row r="2379" hidden="1" x14ac:dyDescent="0.15"/>
    <row r="2380" hidden="1" x14ac:dyDescent="0.15"/>
    <row r="2381" hidden="1" x14ac:dyDescent="0.15"/>
    <row r="2382" hidden="1" x14ac:dyDescent="0.15"/>
    <row r="2383" hidden="1" x14ac:dyDescent="0.15"/>
    <row r="2384" hidden="1" x14ac:dyDescent="0.15"/>
    <row r="2385" hidden="1" x14ac:dyDescent="0.15"/>
    <row r="2386" hidden="1" x14ac:dyDescent="0.15"/>
    <row r="2387" hidden="1" x14ac:dyDescent="0.15"/>
    <row r="2388" hidden="1" x14ac:dyDescent="0.15"/>
    <row r="2389" hidden="1" x14ac:dyDescent="0.15"/>
    <row r="2390" hidden="1" x14ac:dyDescent="0.15"/>
    <row r="2391" hidden="1" x14ac:dyDescent="0.15"/>
    <row r="2392" hidden="1" x14ac:dyDescent="0.15"/>
    <row r="2393" hidden="1" x14ac:dyDescent="0.15"/>
    <row r="2394" hidden="1" x14ac:dyDescent="0.15"/>
    <row r="2395" hidden="1" x14ac:dyDescent="0.15"/>
    <row r="2396" hidden="1" x14ac:dyDescent="0.15"/>
    <row r="2397" hidden="1" x14ac:dyDescent="0.15"/>
    <row r="2398" hidden="1" x14ac:dyDescent="0.15"/>
    <row r="2399" hidden="1" x14ac:dyDescent="0.15"/>
    <row r="2400" hidden="1" x14ac:dyDescent="0.15"/>
    <row r="2401" hidden="1" x14ac:dyDescent="0.15"/>
    <row r="2402" hidden="1" x14ac:dyDescent="0.15"/>
    <row r="2403" hidden="1" x14ac:dyDescent="0.15"/>
    <row r="2404" hidden="1" x14ac:dyDescent="0.15"/>
    <row r="2405" hidden="1" x14ac:dyDescent="0.15"/>
    <row r="2406" hidden="1" x14ac:dyDescent="0.15"/>
    <row r="2407" hidden="1" x14ac:dyDescent="0.15"/>
    <row r="2408" hidden="1" x14ac:dyDescent="0.15"/>
    <row r="2409" hidden="1" x14ac:dyDescent="0.15"/>
    <row r="2410" hidden="1" x14ac:dyDescent="0.15"/>
    <row r="2411" hidden="1" x14ac:dyDescent="0.15"/>
    <row r="2412" hidden="1" x14ac:dyDescent="0.15"/>
    <row r="2413" hidden="1" x14ac:dyDescent="0.15"/>
    <row r="2414" hidden="1" x14ac:dyDescent="0.15"/>
    <row r="2415" hidden="1" x14ac:dyDescent="0.15"/>
    <row r="2416" hidden="1" x14ac:dyDescent="0.15"/>
    <row r="2417" hidden="1" x14ac:dyDescent="0.15"/>
    <row r="2418" hidden="1" x14ac:dyDescent="0.15"/>
    <row r="2419" hidden="1" x14ac:dyDescent="0.15"/>
    <row r="2420" hidden="1" x14ac:dyDescent="0.15"/>
    <row r="2421" hidden="1" x14ac:dyDescent="0.15"/>
    <row r="2422" hidden="1" x14ac:dyDescent="0.15"/>
    <row r="2423" hidden="1" x14ac:dyDescent="0.15"/>
    <row r="2424" hidden="1" x14ac:dyDescent="0.15"/>
    <row r="2425" hidden="1" x14ac:dyDescent="0.15"/>
    <row r="2426" hidden="1" x14ac:dyDescent="0.15"/>
    <row r="2427" hidden="1" x14ac:dyDescent="0.15"/>
    <row r="2428" hidden="1" x14ac:dyDescent="0.15"/>
    <row r="2429" hidden="1" x14ac:dyDescent="0.15"/>
    <row r="2430" hidden="1" x14ac:dyDescent="0.15"/>
    <row r="2431" hidden="1" x14ac:dyDescent="0.15"/>
    <row r="2432" hidden="1" x14ac:dyDescent="0.15"/>
    <row r="2433" hidden="1" x14ac:dyDescent="0.15"/>
    <row r="2434" hidden="1" x14ac:dyDescent="0.15"/>
    <row r="2435" hidden="1" x14ac:dyDescent="0.15"/>
    <row r="2436" hidden="1" x14ac:dyDescent="0.15"/>
    <row r="2437" hidden="1" x14ac:dyDescent="0.15"/>
    <row r="2438" hidden="1" x14ac:dyDescent="0.15"/>
    <row r="2439" hidden="1" x14ac:dyDescent="0.15"/>
    <row r="2440" hidden="1" x14ac:dyDescent="0.15"/>
    <row r="2441" hidden="1" x14ac:dyDescent="0.15"/>
    <row r="2442" hidden="1" x14ac:dyDescent="0.15"/>
    <row r="2443" hidden="1" x14ac:dyDescent="0.15"/>
    <row r="2444" hidden="1" x14ac:dyDescent="0.15"/>
    <row r="2445" hidden="1" x14ac:dyDescent="0.15"/>
    <row r="2446" hidden="1" x14ac:dyDescent="0.15"/>
    <row r="2447" hidden="1" x14ac:dyDescent="0.15"/>
    <row r="2448" hidden="1" x14ac:dyDescent="0.15"/>
    <row r="2449" hidden="1" x14ac:dyDescent="0.15"/>
    <row r="2450" hidden="1" x14ac:dyDescent="0.15"/>
    <row r="2451" hidden="1" x14ac:dyDescent="0.15"/>
    <row r="2452" hidden="1" x14ac:dyDescent="0.15"/>
    <row r="2453" hidden="1" x14ac:dyDescent="0.15"/>
    <row r="2454" hidden="1" x14ac:dyDescent="0.15"/>
    <row r="2455" hidden="1" x14ac:dyDescent="0.15"/>
    <row r="2456" hidden="1" x14ac:dyDescent="0.15"/>
    <row r="2457" hidden="1" x14ac:dyDescent="0.15"/>
    <row r="2458" hidden="1" x14ac:dyDescent="0.15"/>
    <row r="2459" hidden="1" x14ac:dyDescent="0.15"/>
    <row r="2460" hidden="1" x14ac:dyDescent="0.15"/>
    <row r="2461" hidden="1" x14ac:dyDescent="0.15"/>
    <row r="2462" hidden="1" x14ac:dyDescent="0.15"/>
    <row r="2463" hidden="1" x14ac:dyDescent="0.15"/>
    <row r="2464" hidden="1" x14ac:dyDescent="0.15"/>
    <row r="2465" hidden="1" x14ac:dyDescent="0.15"/>
    <row r="2466" hidden="1" x14ac:dyDescent="0.15"/>
    <row r="2467" hidden="1" x14ac:dyDescent="0.15"/>
    <row r="2468" hidden="1" x14ac:dyDescent="0.15"/>
    <row r="2469" hidden="1" x14ac:dyDescent="0.15"/>
    <row r="2470" hidden="1" x14ac:dyDescent="0.15"/>
    <row r="2471" hidden="1" x14ac:dyDescent="0.15"/>
    <row r="2472" hidden="1" x14ac:dyDescent="0.15"/>
    <row r="2473" hidden="1" x14ac:dyDescent="0.15"/>
    <row r="2474" hidden="1" x14ac:dyDescent="0.15"/>
    <row r="2475" hidden="1" x14ac:dyDescent="0.15"/>
    <row r="2476" hidden="1" x14ac:dyDescent="0.15"/>
    <row r="2477" hidden="1" x14ac:dyDescent="0.15"/>
    <row r="2478" hidden="1" x14ac:dyDescent="0.15"/>
    <row r="2479" hidden="1" x14ac:dyDescent="0.15"/>
    <row r="2480" hidden="1" x14ac:dyDescent="0.15"/>
    <row r="2481" hidden="1" x14ac:dyDescent="0.15"/>
    <row r="2482" hidden="1" x14ac:dyDescent="0.15"/>
    <row r="2483" hidden="1" x14ac:dyDescent="0.15"/>
    <row r="2484" hidden="1" x14ac:dyDescent="0.15"/>
    <row r="2485" hidden="1" x14ac:dyDescent="0.15"/>
    <row r="2486" hidden="1" x14ac:dyDescent="0.15"/>
    <row r="2487" hidden="1" x14ac:dyDescent="0.15"/>
    <row r="2488" hidden="1" x14ac:dyDescent="0.15"/>
    <row r="2489" hidden="1" x14ac:dyDescent="0.15"/>
    <row r="2490" hidden="1" x14ac:dyDescent="0.15"/>
    <row r="2491" hidden="1" x14ac:dyDescent="0.15"/>
    <row r="2492" hidden="1" x14ac:dyDescent="0.15"/>
    <row r="2493" hidden="1" x14ac:dyDescent="0.15"/>
    <row r="2494" hidden="1" x14ac:dyDescent="0.15"/>
    <row r="2495" hidden="1" x14ac:dyDescent="0.15"/>
    <row r="2496" hidden="1" x14ac:dyDescent="0.15"/>
    <row r="2497" hidden="1" x14ac:dyDescent="0.15"/>
    <row r="2498" hidden="1" x14ac:dyDescent="0.15"/>
    <row r="2499" hidden="1" x14ac:dyDescent="0.15"/>
    <row r="2500" hidden="1" x14ac:dyDescent="0.15"/>
    <row r="2501" hidden="1" x14ac:dyDescent="0.15"/>
    <row r="2502" hidden="1" x14ac:dyDescent="0.15"/>
    <row r="2503" hidden="1" x14ac:dyDescent="0.15"/>
    <row r="2504" hidden="1" x14ac:dyDescent="0.15"/>
    <row r="2505" hidden="1" x14ac:dyDescent="0.15"/>
    <row r="2506" hidden="1" x14ac:dyDescent="0.15"/>
    <row r="2507" hidden="1" x14ac:dyDescent="0.15"/>
    <row r="2508" hidden="1" x14ac:dyDescent="0.15"/>
    <row r="2509" hidden="1" x14ac:dyDescent="0.15"/>
    <row r="2510" hidden="1" x14ac:dyDescent="0.15"/>
    <row r="2511" hidden="1" x14ac:dyDescent="0.15"/>
    <row r="2512" hidden="1" x14ac:dyDescent="0.15"/>
    <row r="2513" hidden="1" x14ac:dyDescent="0.15"/>
    <row r="2514" hidden="1" x14ac:dyDescent="0.15"/>
    <row r="2515" hidden="1" x14ac:dyDescent="0.15"/>
    <row r="2516" hidden="1" x14ac:dyDescent="0.15"/>
    <row r="2517" hidden="1" x14ac:dyDescent="0.15"/>
    <row r="2518" hidden="1" x14ac:dyDescent="0.15"/>
    <row r="2519" hidden="1" x14ac:dyDescent="0.15"/>
    <row r="2520" hidden="1" x14ac:dyDescent="0.15"/>
    <row r="2521" hidden="1" x14ac:dyDescent="0.15"/>
    <row r="2522" hidden="1" x14ac:dyDescent="0.15"/>
    <row r="2523" hidden="1" x14ac:dyDescent="0.15"/>
    <row r="2524" hidden="1" x14ac:dyDescent="0.15"/>
    <row r="2525" hidden="1" x14ac:dyDescent="0.15"/>
    <row r="2526" hidden="1" x14ac:dyDescent="0.15"/>
    <row r="2527" hidden="1" x14ac:dyDescent="0.15"/>
    <row r="2528" hidden="1" x14ac:dyDescent="0.15"/>
    <row r="2529" hidden="1" x14ac:dyDescent="0.15"/>
    <row r="2530" hidden="1" x14ac:dyDescent="0.15"/>
    <row r="2531" hidden="1" x14ac:dyDescent="0.15"/>
    <row r="2532" hidden="1" x14ac:dyDescent="0.15"/>
    <row r="2533" hidden="1" x14ac:dyDescent="0.15"/>
    <row r="2534" hidden="1" x14ac:dyDescent="0.15"/>
    <row r="2535" hidden="1" x14ac:dyDescent="0.15"/>
    <row r="2536" hidden="1" x14ac:dyDescent="0.15"/>
    <row r="2537" hidden="1" x14ac:dyDescent="0.15"/>
    <row r="2538" hidden="1" x14ac:dyDescent="0.15"/>
    <row r="2539" hidden="1" x14ac:dyDescent="0.15"/>
    <row r="2540" hidden="1" x14ac:dyDescent="0.15"/>
    <row r="2541" hidden="1" x14ac:dyDescent="0.15"/>
    <row r="2542" hidden="1" x14ac:dyDescent="0.15"/>
    <row r="2543" hidden="1" x14ac:dyDescent="0.15"/>
    <row r="2544" hidden="1" x14ac:dyDescent="0.15"/>
    <row r="2545" hidden="1" x14ac:dyDescent="0.15"/>
    <row r="2546" hidden="1" x14ac:dyDescent="0.15"/>
    <row r="2547" hidden="1" x14ac:dyDescent="0.15"/>
    <row r="2548" hidden="1" x14ac:dyDescent="0.15"/>
    <row r="2549" hidden="1" x14ac:dyDescent="0.15"/>
    <row r="2550" hidden="1" x14ac:dyDescent="0.15"/>
    <row r="2551" hidden="1" x14ac:dyDescent="0.15"/>
    <row r="2552" hidden="1" x14ac:dyDescent="0.15"/>
    <row r="2553" hidden="1" x14ac:dyDescent="0.15"/>
    <row r="2554" hidden="1" x14ac:dyDescent="0.15"/>
    <row r="2555" hidden="1" x14ac:dyDescent="0.15"/>
    <row r="2556" hidden="1" x14ac:dyDescent="0.15"/>
    <row r="2557" hidden="1" x14ac:dyDescent="0.15"/>
    <row r="2558" hidden="1" x14ac:dyDescent="0.15"/>
    <row r="2559" hidden="1" x14ac:dyDescent="0.15"/>
    <row r="2560" hidden="1" x14ac:dyDescent="0.15"/>
    <row r="2561" hidden="1" x14ac:dyDescent="0.15"/>
    <row r="2562" hidden="1" x14ac:dyDescent="0.15"/>
    <row r="2563" hidden="1" x14ac:dyDescent="0.15"/>
    <row r="2564" hidden="1" x14ac:dyDescent="0.15"/>
    <row r="2565" hidden="1" x14ac:dyDescent="0.15"/>
    <row r="2566" hidden="1" x14ac:dyDescent="0.15"/>
    <row r="2567" hidden="1" x14ac:dyDescent="0.15"/>
    <row r="2568" hidden="1" x14ac:dyDescent="0.15"/>
    <row r="2569" hidden="1" x14ac:dyDescent="0.15"/>
    <row r="2570" hidden="1" x14ac:dyDescent="0.15"/>
    <row r="2571" hidden="1" x14ac:dyDescent="0.15"/>
    <row r="2572" hidden="1" x14ac:dyDescent="0.15"/>
    <row r="2573" hidden="1" x14ac:dyDescent="0.15"/>
    <row r="2574" hidden="1" x14ac:dyDescent="0.15"/>
    <row r="2575" hidden="1" x14ac:dyDescent="0.15"/>
    <row r="2576" hidden="1" x14ac:dyDescent="0.15"/>
    <row r="2577" hidden="1" x14ac:dyDescent="0.15"/>
    <row r="2578" hidden="1" x14ac:dyDescent="0.15"/>
    <row r="2579" hidden="1" x14ac:dyDescent="0.15"/>
    <row r="2580" hidden="1" x14ac:dyDescent="0.15"/>
    <row r="2581" hidden="1" x14ac:dyDescent="0.15"/>
    <row r="2582" hidden="1" x14ac:dyDescent="0.15"/>
    <row r="2583" hidden="1" x14ac:dyDescent="0.15"/>
    <row r="2584" hidden="1" x14ac:dyDescent="0.15"/>
    <row r="2585" hidden="1" x14ac:dyDescent="0.15"/>
    <row r="2586" hidden="1" x14ac:dyDescent="0.15"/>
    <row r="2587" hidden="1" x14ac:dyDescent="0.15"/>
    <row r="2588" hidden="1" x14ac:dyDescent="0.15"/>
    <row r="2589" hidden="1" x14ac:dyDescent="0.15"/>
    <row r="2590" hidden="1" x14ac:dyDescent="0.15"/>
    <row r="2591" hidden="1" x14ac:dyDescent="0.15"/>
    <row r="2592" hidden="1" x14ac:dyDescent="0.15"/>
    <row r="2593" hidden="1" x14ac:dyDescent="0.15"/>
    <row r="2594" hidden="1" x14ac:dyDescent="0.15"/>
    <row r="2595" hidden="1" x14ac:dyDescent="0.15"/>
    <row r="2596" hidden="1" x14ac:dyDescent="0.15"/>
    <row r="2597" hidden="1" x14ac:dyDescent="0.15"/>
    <row r="2598" hidden="1" x14ac:dyDescent="0.15"/>
    <row r="2599" hidden="1" x14ac:dyDescent="0.15"/>
    <row r="2600" hidden="1" x14ac:dyDescent="0.15"/>
    <row r="2601" hidden="1" x14ac:dyDescent="0.15"/>
    <row r="2602" hidden="1" x14ac:dyDescent="0.15"/>
    <row r="2603" hidden="1" x14ac:dyDescent="0.15"/>
    <row r="2604" hidden="1" x14ac:dyDescent="0.15"/>
    <row r="2605" hidden="1" x14ac:dyDescent="0.15"/>
    <row r="2606" hidden="1" x14ac:dyDescent="0.15"/>
    <row r="2607" hidden="1" x14ac:dyDescent="0.15"/>
    <row r="2608" hidden="1" x14ac:dyDescent="0.15"/>
    <row r="2609" hidden="1" x14ac:dyDescent="0.15"/>
    <row r="2610" hidden="1" x14ac:dyDescent="0.15"/>
    <row r="2611" hidden="1" x14ac:dyDescent="0.15"/>
    <row r="2612" hidden="1" x14ac:dyDescent="0.15"/>
    <row r="2613" hidden="1" x14ac:dyDescent="0.15"/>
    <row r="2614" hidden="1" x14ac:dyDescent="0.15"/>
    <row r="2615" hidden="1" x14ac:dyDescent="0.15"/>
    <row r="2616" hidden="1" x14ac:dyDescent="0.15"/>
    <row r="2617" hidden="1" x14ac:dyDescent="0.15"/>
    <row r="2618" hidden="1" x14ac:dyDescent="0.15"/>
    <row r="2619" hidden="1" x14ac:dyDescent="0.15"/>
    <row r="2620" hidden="1" x14ac:dyDescent="0.15"/>
    <row r="2621" hidden="1" x14ac:dyDescent="0.15"/>
    <row r="2622" hidden="1" x14ac:dyDescent="0.15"/>
    <row r="2623" hidden="1" x14ac:dyDescent="0.15"/>
    <row r="2624" hidden="1" x14ac:dyDescent="0.15"/>
    <row r="2625" hidden="1" x14ac:dyDescent="0.15"/>
    <row r="2626" hidden="1" x14ac:dyDescent="0.15"/>
    <row r="2627" hidden="1" x14ac:dyDescent="0.15"/>
    <row r="2628" hidden="1" x14ac:dyDescent="0.15"/>
    <row r="2629" hidden="1" x14ac:dyDescent="0.15"/>
    <row r="2630" hidden="1" x14ac:dyDescent="0.15"/>
    <row r="2631" hidden="1" x14ac:dyDescent="0.15"/>
    <row r="2632" hidden="1" x14ac:dyDescent="0.15"/>
    <row r="2633" hidden="1" x14ac:dyDescent="0.15"/>
    <row r="2634" hidden="1" x14ac:dyDescent="0.15"/>
    <row r="2635" hidden="1" x14ac:dyDescent="0.15"/>
    <row r="2636" hidden="1" x14ac:dyDescent="0.15"/>
    <row r="2637" hidden="1" x14ac:dyDescent="0.15"/>
    <row r="2638" hidden="1" x14ac:dyDescent="0.15"/>
    <row r="2639" hidden="1" x14ac:dyDescent="0.15"/>
    <row r="2640" hidden="1" x14ac:dyDescent="0.15"/>
    <row r="2641" hidden="1" x14ac:dyDescent="0.15"/>
    <row r="2642" hidden="1" x14ac:dyDescent="0.15"/>
    <row r="2643" hidden="1" x14ac:dyDescent="0.15"/>
    <row r="2644" hidden="1" x14ac:dyDescent="0.15"/>
    <row r="2645" hidden="1" x14ac:dyDescent="0.15"/>
    <row r="2646" hidden="1" x14ac:dyDescent="0.15"/>
    <row r="2647" hidden="1" x14ac:dyDescent="0.15"/>
    <row r="2648" hidden="1" x14ac:dyDescent="0.15"/>
    <row r="2649" hidden="1" x14ac:dyDescent="0.15"/>
    <row r="2650" hidden="1" x14ac:dyDescent="0.15"/>
    <row r="2651" hidden="1" x14ac:dyDescent="0.15"/>
    <row r="2652" hidden="1" x14ac:dyDescent="0.15"/>
    <row r="2653" hidden="1" x14ac:dyDescent="0.15"/>
    <row r="2654" hidden="1" x14ac:dyDescent="0.15"/>
    <row r="2655" hidden="1" x14ac:dyDescent="0.15"/>
    <row r="2656" hidden="1" x14ac:dyDescent="0.15"/>
    <row r="2657" hidden="1" x14ac:dyDescent="0.15"/>
    <row r="2658" hidden="1" x14ac:dyDescent="0.15"/>
    <row r="2659" hidden="1" x14ac:dyDescent="0.15"/>
    <row r="2660" hidden="1" x14ac:dyDescent="0.15"/>
    <row r="2661" hidden="1" x14ac:dyDescent="0.15"/>
    <row r="2662" hidden="1" x14ac:dyDescent="0.15"/>
    <row r="2663" hidden="1" x14ac:dyDescent="0.15"/>
    <row r="2664" hidden="1" x14ac:dyDescent="0.15"/>
    <row r="2665" hidden="1" x14ac:dyDescent="0.15"/>
    <row r="2666" hidden="1" x14ac:dyDescent="0.15"/>
    <row r="2667" hidden="1" x14ac:dyDescent="0.15"/>
    <row r="2668" hidden="1" x14ac:dyDescent="0.15"/>
    <row r="2669" hidden="1" x14ac:dyDescent="0.15"/>
    <row r="2670" hidden="1" x14ac:dyDescent="0.15"/>
    <row r="2671" hidden="1" x14ac:dyDescent="0.15"/>
    <row r="2672" hidden="1" x14ac:dyDescent="0.15"/>
    <row r="2673" hidden="1" x14ac:dyDescent="0.15"/>
    <row r="2674" hidden="1" x14ac:dyDescent="0.15"/>
    <row r="2675" hidden="1" x14ac:dyDescent="0.15"/>
    <row r="2676" hidden="1" x14ac:dyDescent="0.15"/>
    <row r="2677" hidden="1" x14ac:dyDescent="0.15"/>
    <row r="2678" hidden="1" x14ac:dyDescent="0.15"/>
    <row r="2679" hidden="1" x14ac:dyDescent="0.15"/>
    <row r="2680" hidden="1" x14ac:dyDescent="0.15"/>
    <row r="2681" hidden="1" x14ac:dyDescent="0.15"/>
    <row r="2682" hidden="1" x14ac:dyDescent="0.15"/>
    <row r="2683" hidden="1" x14ac:dyDescent="0.15"/>
    <row r="2684" hidden="1" x14ac:dyDescent="0.15"/>
    <row r="2685" hidden="1" x14ac:dyDescent="0.15"/>
    <row r="2686" hidden="1" x14ac:dyDescent="0.15"/>
    <row r="2687" hidden="1" x14ac:dyDescent="0.15"/>
    <row r="2688" hidden="1" x14ac:dyDescent="0.15"/>
    <row r="2689" hidden="1" x14ac:dyDescent="0.15"/>
    <row r="2690" hidden="1" x14ac:dyDescent="0.15"/>
    <row r="2691" hidden="1" x14ac:dyDescent="0.15"/>
    <row r="2692" hidden="1" x14ac:dyDescent="0.15"/>
    <row r="2693" hidden="1" x14ac:dyDescent="0.15"/>
    <row r="2694" hidden="1" x14ac:dyDescent="0.15"/>
    <row r="2695" hidden="1" x14ac:dyDescent="0.15"/>
    <row r="2696" hidden="1" x14ac:dyDescent="0.15"/>
    <row r="2697" hidden="1" x14ac:dyDescent="0.15"/>
    <row r="2698" hidden="1" x14ac:dyDescent="0.15"/>
    <row r="2699" hidden="1" x14ac:dyDescent="0.15"/>
    <row r="2700" hidden="1" x14ac:dyDescent="0.15"/>
    <row r="2701" hidden="1" x14ac:dyDescent="0.15"/>
    <row r="2702" hidden="1" x14ac:dyDescent="0.15"/>
    <row r="2703" hidden="1" x14ac:dyDescent="0.15"/>
    <row r="2704" hidden="1" x14ac:dyDescent="0.15"/>
    <row r="2705" hidden="1" x14ac:dyDescent="0.15"/>
    <row r="2706" hidden="1" x14ac:dyDescent="0.15"/>
    <row r="2707" hidden="1" x14ac:dyDescent="0.15"/>
    <row r="2708" hidden="1" x14ac:dyDescent="0.15"/>
    <row r="2709" hidden="1" x14ac:dyDescent="0.15"/>
    <row r="2710" hidden="1" x14ac:dyDescent="0.15"/>
    <row r="2711" hidden="1" x14ac:dyDescent="0.15"/>
    <row r="2712" hidden="1" x14ac:dyDescent="0.15"/>
    <row r="2713" hidden="1" x14ac:dyDescent="0.15"/>
    <row r="2714" hidden="1" x14ac:dyDescent="0.15"/>
    <row r="2715" hidden="1" x14ac:dyDescent="0.15"/>
    <row r="2716" hidden="1" x14ac:dyDescent="0.15"/>
    <row r="2717" hidden="1" x14ac:dyDescent="0.15"/>
    <row r="2718" hidden="1" x14ac:dyDescent="0.15"/>
    <row r="2719" hidden="1" x14ac:dyDescent="0.15"/>
    <row r="2720" hidden="1" x14ac:dyDescent="0.15"/>
    <row r="2721" hidden="1" x14ac:dyDescent="0.15"/>
    <row r="2722" hidden="1" x14ac:dyDescent="0.15"/>
    <row r="2723" hidden="1" x14ac:dyDescent="0.15"/>
    <row r="2724" hidden="1" x14ac:dyDescent="0.15"/>
    <row r="2725" hidden="1" x14ac:dyDescent="0.15"/>
    <row r="2726" hidden="1" x14ac:dyDescent="0.15"/>
    <row r="2727" hidden="1" x14ac:dyDescent="0.15"/>
    <row r="2728" hidden="1" x14ac:dyDescent="0.15"/>
    <row r="2729" hidden="1" x14ac:dyDescent="0.15"/>
    <row r="2730" hidden="1" x14ac:dyDescent="0.15"/>
    <row r="2731" hidden="1" x14ac:dyDescent="0.15"/>
    <row r="2732" hidden="1" x14ac:dyDescent="0.15"/>
    <row r="2733" hidden="1" x14ac:dyDescent="0.15"/>
    <row r="2734" hidden="1" x14ac:dyDescent="0.15"/>
    <row r="2735" hidden="1" x14ac:dyDescent="0.15"/>
    <row r="2736" hidden="1" x14ac:dyDescent="0.15"/>
    <row r="2737" hidden="1" x14ac:dyDescent="0.15"/>
    <row r="2738" hidden="1" x14ac:dyDescent="0.15"/>
    <row r="2739" hidden="1" x14ac:dyDescent="0.15"/>
    <row r="2740" hidden="1" x14ac:dyDescent="0.15"/>
    <row r="2741" hidden="1" x14ac:dyDescent="0.15"/>
    <row r="2742" hidden="1" x14ac:dyDescent="0.15"/>
    <row r="2743" hidden="1" x14ac:dyDescent="0.15"/>
    <row r="2744" hidden="1" x14ac:dyDescent="0.15"/>
    <row r="2745" hidden="1" x14ac:dyDescent="0.15"/>
    <row r="2746" hidden="1" x14ac:dyDescent="0.15"/>
    <row r="2747" hidden="1" x14ac:dyDescent="0.15"/>
    <row r="2748" hidden="1" x14ac:dyDescent="0.15"/>
    <row r="2749" hidden="1" x14ac:dyDescent="0.15"/>
    <row r="2750" hidden="1" x14ac:dyDescent="0.15"/>
    <row r="2751" hidden="1" x14ac:dyDescent="0.15"/>
    <row r="2752" hidden="1" x14ac:dyDescent="0.15"/>
    <row r="2753" hidden="1" x14ac:dyDescent="0.15"/>
    <row r="2754" hidden="1" x14ac:dyDescent="0.15"/>
    <row r="2755" hidden="1" x14ac:dyDescent="0.15"/>
    <row r="2756" hidden="1" x14ac:dyDescent="0.15"/>
    <row r="2757" hidden="1" x14ac:dyDescent="0.15"/>
    <row r="2758" hidden="1" x14ac:dyDescent="0.15"/>
    <row r="2759" hidden="1" x14ac:dyDescent="0.15"/>
    <row r="2760" hidden="1" x14ac:dyDescent="0.15"/>
    <row r="2761" hidden="1" x14ac:dyDescent="0.15"/>
    <row r="2762" hidden="1" x14ac:dyDescent="0.15"/>
    <row r="2763" hidden="1" x14ac:dyDescent="0.15"/>
    <row r="2764" hidden="1" x14ac:dyDescent="0.15"/>
    <row r="2765" hidden="1" x14ac:dyDescent="0.15"/>
    <row r="2766" hidden="1" x14ac:dyDescent="0.15"/>
    <row r="2767" hidden="1" x14ac:dyDescent="0.15"/>
    <row r="2768" hidden="1" x14ac:dyDescent="0.15"/>
    <row r="2769" hidden="1" x14ac:dyDescent="0.15"/>
    <row r="2770" hidden="1" x14ac:dyDescent="0.15"/>
    <row r="2771" hidden="1" x14ac:dyDescent="0.15"/>
    <row r="2772" hidden="1" x14ac:dyDescent="0.15"/>
    <row r="2773" hidden="1" x14ac:dyDescent="0.15"/>
    <row r="2774" hidden="1" x14ac:dyDescent="0.15"/>
    <row r="2775" hidden="1" x14ac:dyDescent="0.15"/>
    <row r="2776" hidden="1" x14ac:dyDescent="0.15"/>
    <row r="2777" hidden="1" x14ac:dyDescent="0.15"/>
    <row r="2778" hidden="1" x14ac:dyDescent="0.15"/>
    <row r="2779" hidden="1" x14ac:dyDescent="0.15"/>
    <row r="2780" hidden="1" x14ac:dyDescent="0.15"/>
    <row r="2781" hidden="1" x14ac:dyDescent="0.15"/>
    <row r="2782" hidden="1" x14ac:dyDescent="0.15"/>
    <row r="2783" hidden="1" x14ac:dyDescent="0.15"/>
    <row r="2784" hidden="1" x14ac:dyDescent="0.15"/>
    <row r="2785" hidden="1" x14ac:dyDescent="0.15"/>
    <row r="2786" hidden="1" x14ac:dyDescent="0.15"/>
    <row r="2787" hidden="1" x14ac:dyDescent="0.15"/>
    <row r="2788" hidden="1" x14ac:dyDescent="0.15"/>
    <row r="2789" hidden="1" x14ac:dyDescent="0.15"/>
    <row r="2790" hidden="1" x14ac:dyDescent="0.15"/>
    <row r="2791" hidden="1" x14ac:dyDescent="0.15"/>
    <row r="2792" hidden="1" x14ac:dyDescent="0.15"/>
    <row r="2793" hidden="1" x14ac:dyDescent="0.15"/>
    <row r="2794" hidden="1" x14ac:dyDescent="0.15"/>
    <row r="2795" hidden="1" x14ac:dyDescent="0.15"/>
    <row r="2796" hidden="1" x14ac:dyDescent="0.15"/>
    <row r="2797" hidden="1" x14ac:dyDescent="0.15"/>
    <row r="2798" hidden="1" x14ac:dyDescent="0.15"/>
    <row r="2799" hidden="1" x14ac:dyDescent="0.15"/>
    <row r="2800" hidden="1" x14ac:dyDescent="0.15"/>
    <row r="2801" hidden="1" x14ac:dyDescent="0.15"/>
    <row r="2802" hidden="1" x14ac:dyDescent="0.15"/>
    <row r="2803" hidden="1" x14ac:dyDescent="0.15"/>
    <row r="2804" hidden="1" x14ac:dyDescent="0.15"/>
    <row r="2805" hidden="1" x14ac:dyDescent="0.15"/>
    <row r="2806" hidden="1" x14ac:dyDescent="0.15"/>
    <row r="2807" hidden="1" x14ac:dyDescent="0.15"/>
    <row r="2808" hidden="1" x14ac:dyDescent="0.15"/>
    <row r="2809" hidden="1" x14ac:dyDescent="0.15"/>
    <row r="2810" hidden="1" x14ac:dyDescent="0.15"/>
    <row r="2811" hidden="1" x14ac:dyDescent="0.15"/>
    <row r="2812" hidden="1" x14ac:dyDescent="0.15"/>
    <row r="2813" hidden="1" x14ac:dyDescent="0.15"/>
    <row r="2814" hidden="1" x14ac:dyDescent="0.15"/>
    <row r="2815" hidden="1" x14ac:dyDescent="0.15"/>
    <row r="2816" hidden="1" x14ac:dyDescent="0.15"/>
    <row r="2817" hidden="1" x14ac:dyDescent="0.15"/>
    <row r="2818" hidden="1" x14ac:dyDescent="0.15"/>
    <row r="2819" hidden="1" x14ac:dyDescent="0.15"/>
    <row r="2820" hidden="1" x14ac:dyDescent="0.15"/>
    <row r="2821" hidden="1" x14ac:dyDescent="0.15"/>
    <row r="2822" hidden="1" x14ac:dyDescent="0.15"/>
    <row r="2823" hidden="1" x14ac:dyDescent="0.15"/>
    <row r="2824" hidden="1" x14ac:dyDescent="0.15"/>
    <row r="2825" hidden="1" x14ac:dyDescent="0.15"/>
    <row r="2826" hidden="1" x14ac:dyDescent="0.15"/>
    <row r="2827" hidden="1" x14ac:dyDescent="0.15"/>
    <row r="2828" hidden="1" x14ac:dyDescent="0.15"/>
    <row r="2829" hidden="1" x14ac:dyDescent="0.15"/>
    <row r="2830" hidden="1" x14ac:dyDescent="0.15"/>
    <row r="2831" hidden="1" x14ac:dyDescent="0.15"/>
    <row r="2832" hidden="1" x14ac:dyDescent="0.15"/>
    <row r="2833" hidden="1" x14ac:dyDescent="0.15"/>
    <row r="2834" hidden="1" x14ac:dyDescent="0.15"/>
    <row r="2835" hidden="1" x14ac:dyDescent="0.15"/>
    <row r="2836" hidden="1" x14ac:dyDescent="0.15"/>
    <row r="2837" hidden="1" x14ac:dyDescent="0.15"/>
    <row r="2838" hidden="1" x14ac:dyDescent="0.15"/>
    <row r="2839" hidden="1" x14ac:dyDescent="0.15"/>
    <row r="2840" hidden="1" x14ac:dyDescent="0.15"/>
    <row r="2841" hidden="1" x14ac:dyDescent="0.15"/>
    <row r="2842" hidden="1" x14ac:dyDescent="0.15"/>
    <row r="2843" hidden="1" x14ac:dyDescent="0.15"/>
    <row r="2844" hidden="1" x14ac:dyDescent="0.15"/>
    <row r="2845" hidden="1" x14ac:dyDescent="0.15"/>
    <row r="2846" hidden="1" x14ac:dyDescent="0.15"/>
    <row r="2847" hidden="1" x14ac:dyDescent="0.15"/>
    <row r="2848" hidden="1" x14ac:dyDescent="0.15"/>
    <row r="2849" hidden="1" x14ac:dyDescent="0.15"/>
    <row r="2850" hidden="1" x14ac:dyDescent="0.15"/>
    <row r="2851" hidden="1" x14ac:dyDescent="0.15"/>
    <row r="2852" hidden="1" x14ac:dyDescent="0.15"/>
    <row r="2853" hidden="1" x14ac:dyDescent="0.15"/>
    <row r="2854" hidden="1" x14ac:dyDescent="0.15"/>
    <row r="2855" hidden="1" x14ac:dyDescent="0.15"/>
    <row r="2856" hidden="1" x14ac:dyDescent="0.15"/>
    <row r="2857" hidden="1" x14ac:dyDescent="0.15"/>
    <row r="2858" hidden="1" x14ac:dyDescent="0.15"/>
    <row r="2859" hidden="1" x14ac:dyDescent="0.15"/>
    <row r="2860" hidden="1" x14ac:dyDescent="0.15"/>
    <row r="2861" hidden="1" x14ac:dyDescent="0.15"/>
    <row r="2862" hidden="1" x14ac:dyDescent="0.15"/>
    <row r="2863" hidden="1" x14ac:dyDescent="0.15"/>
    <row r="2864" hidden="1" x14ac:dyDescent="0.15"/>
    <row r="2865" hidden="1" x14ac:dyDescent="0.15"/>
    <row r="2866" hidden="1" x14ac:dyDescent="0.15"/>
    <row r="2867" hidden="1" x14ac:dyDescent="0.15"/>
    <row r="2868" hidden="1" x14ac:dyDescent="0.15"/>
    <row r="2869" hidden="1" x14ac:dyDescent="0.15"/>
    <row r="2870" hidden="1" x14ac:dyDescent="0.15"/>
    <row r="2871" hidden="1" x14ac:dyDescent="0.15"/>
    <row r="2872" hidden="1" x14ac:dyDescent="0.15"/>
    <row r="2873" hidden="1" x14ac:dyDescent="0.15"/>
    <row r="2874" hidden="1" x14ac:dyDescent="0.15"/>
    <row r="2875" hidden="1" x14ac:dyDescent="0.15"/>
    <row r="2876" hidden="1" x14ac:dyDescent="0.15"/>
    <row r="2877" hidden="1" x14ac:dyDescent="0.15"/>
    <row r="2878" hidden="1" x14ac:dyDescent="0.15"/>
    <row r="2879" hidden="1" x14ac:dyDescent="0.15"/>
    <row r="2880" hidden="1" x14ac:dyDescent="0.15"/>
    <row r="2881" hidden="1" x14ac:dyDescent="0.15"/>
    <row r="2882" hidden="1" x14ac:dyDescent="0.15"/>
    <row r="2883" hidden="1" x14ac:dyDescent="0.15"/>
    <row r="2884" hidden="1" x14ac:dyDescent="0.15"/>
    <row r="2885" hidden="1" x14ac:dyDescent="0.15"/>
    <row r="2886" hidden="1" x14ac:dyDescent="0.15"/>
    <row r="2887" hidden="1" x14ac:dyDescent="0.15"/>
    <row r="2888" hidden="1" x14ac:dyDescent="0.15"/>
    <row r="2889" hidden="1" x14ac:dyDescent="0.15"/>
    <row r="2890" hidden="1" x14ac:dyDescent="0.15"/>
    <row r="2891" hidden="1" x14ac:dyDescent="0.15"/>
    <row r="2892" hidden="1" x14ac:dyDescent="0.15"/>
    <row r="2893" hidden="1" x14ac:dyDescent="0.15"/>
    <row r="2894" hidden="1" x14ac:dyDescent="0.15"/>
    <row r="2895" hidden="1" x14ac:dyDescent="0.15"/>
    <row r="2896" hidden="1" x14ac:dyDescent="0.15"/>
    <row r="2897" hidden="1" x14ac:dyDescent="0.15"/>
    <row r="2898" hidden="1" x14ac:dyDescent="0.15"/>
    <row r="2899" hidden="1" x14ac:dyDescent="0.15"/>
    <row r="2900" hidden="1" x14ac:dyDescent="0.15"/>
    <row r="2901" hidden="1" x14ac:dyDescent="0.15"/>
    <row r="2902" hidden="1" x14ac:dyDescent="0.15"/>
    <row r="2903" hidden="1" x14ac:dyDescent="0.15"/>
    <row r="2904" hidden="1" x14ac:dyDescent="0.15"/>
    <row r="2905" hidden="1" x14ac:dyDescent="0.15"/>
    <row r="2906" hidden="1" x14ac:dyDescent="0.15"/>
    <row r="2907" hidden="1" x14ac:dyDescent="0.15"/>
    <row r="2908" hidden="1" x14ac:dyDescent="0.15"/>
    <row r="2909" hidden="1" x14ac:dyDescent="0.15"/>
    <row r="2910" hidden="1" x14ac:dyDescent="0.15"/>
    <row r="2911" hidden="1" x14ac:dyDescent="0.15"/>
    <row r="2912" hidden="1" x14ac:dyDescent="0.15"/>
    <row r="2913" hidden="1" x14ac:dyDescent="0.15"/>
    <row r="2914" hidden="1" x14ac:dyDescent="0.15"/>
    <row r="2915" hidden="1" x14ac:dyDescent="0.15"/>
    <row r="2916" hidden="1" x14ac:dyDescent="0.15"/>
    <row r="2917" hidden="1" x14ac:dyDescent="0.15"/>
    <row r="2918" hidden="1" x14ac:dyDescent="0.15"/>
    <row r="2919" hidden="1" x14ac:dyDescent="0.15"/>
    <row r="2920" hidden="1" x14ac:dyDescent="0.15"/>
    <row r="2921" hidden="1" x14ac:dyDescent="0.15"/>
    <row r="2922" hidden="1" x14ac:dyDescent="0.15"/>
    <row r="2923" hidden="1" x14ac:dyDescent="0.15"/>
    <row r="2924" hidden="1" x14ac:dyDescent="0.15"/>
    <row r="2925" hidden="1" x14ac:dyDescent="0.15"/>
    <row r="2926" hidden="1" x14ac:dyDescent="0.15"/>
    <row r="2927" hidden="1" x14ac:dyDescent="0.15"/>
    <row r="2928" hidden="1" x14ac:dyDescent="0.15"/>
    <row r="2929" hidden="1" x14ac:dyDescent="0.15"/>
    <row r="2930" hidden="1" x14ac:dyDescent="0.15"/>
    <row r="2931" hidden="1" x14ac:dyDescent="0.15"/>
    <row r="2932" hidden="1" x14ac:dyDescent="0.15"/>
    <row r="2933" hidden="1" x14ac:dyDescent="0.15"/>
    <row r="2934" hidden="1" x14ac:dyDescent="0.15"/>
    <row r="2935" hidden="1" x14ac:dyDescent="0.15"/>
    <row r="2936" hidden="1" x14ac:dyDescent="0.15"/>
    <row r="2937" hidden="1" x14ac:dyDescent="0.15"/>
    <row r="2938" hidden="1" x14ac:dyDescent="0.15"/>
    <row r="2939" hidden="1" x14ac:dyDescent="0.15"/>
    <row r="2940" hidden="1" x14ac:dyDescent="0.15"/>
    <row r="2941" hidden="1" x14ac:dyDescent="0.15"/>
    <row r="2942" hidden="1" x14ac:dyDescent="0.15"/>
    <row r="2943" hidden="1" x14ac:dyDescent="0.15"/>
    <row r="2944" hidden="1" x14ac:dyDescent="0.15"/>
    <row r="2945" hidden="1" x14ac:dyDescent="0.15"/>
    <row r="2946" hidden="1" x14ac:dyDescent="0.15"/>
    <row r="2947" hidden="1" x14ac:dyDescent="0.15"/>
    <row r="2948" hidden="1" x14ac:dyDescent="0.15"/>
    <row r="2949" hidden="1" x14ac:dyDescent="0.15"/>
    <row r="2950" hidden="1" x14ac:dyDescent="0.15"/>
    <row r="2951" hidden="1" x14ac:dyDescent="0.15"/>
    <row r="2952" hidden="1" x14ac:dyDescent="0.15"/>
    <row r="2953" hidden="1" x14ac:dyDescent="0.15"/>
    <row r="2954" hidden="1" x14ac:dyDescent="0.15"/>
    <row r="2955" hidden="1" x14ac:dyDescent="0.15"/>
    <row r="2956" hidden="1" x14ac:dyDescent="0.15"/>
    <row r="2957" hidden="1" x14ac:dyDescent="0.15"/>
    <row r="2958" hidden="1" x14ac:dyDescent="0.15"/>
    <row r="2959" hidden="1" x14ac:dyDescent="0.15"/>
    <row r="2960" hidden="1" x14ac:dyDescent="0.15"/>
    <row r="2961" hidden="1" x14ac:dyDescent="0.15"/>
    <row r="2962" hidden="1" x14ac:dyDescent="0.15"/>
    <row r="2963" hidden="1" x14ac:dyDescent="0.15"/>
    <row r="2964" hidden="1" x14ac:dyDescent="0.15"/>
    <row r="2965" hidden="1" x14ac:dyDescent="0.15"/>
    <row r="2966" hidden="1" x14ac:dyDescent="0.15"/>
    <row r="2967" hidden="1" x14ac:dyDescent="0.15"/>
    <row r="2968" hidden="1" x14ac:dyDescent="0.15"/>
    <row r="2969" hidden="1" x14ac:dyDescent="0.15"/>
    <row r="2970" hidden="1" x14ac:dyDescent="0.15"/>
    <row r="2971" hidden="1" x14ac:dyDescent="0.15"/>
    <row r="2972" hidden="1" x14ac:dyDescent="0.15"/>
    <row r="2973" hidden="1" x14ac:dyDescent="0.15"/>
    <row r="2974" hidden="1" x14ac:dyDescent="0.15"/>
    <row r="2975" hidden="1" x14ac:dyDescent="0.15"/>
    <row r="2976" hidden="1" x14ac:dyDescent="0.15"/>
    <row r="2977" hidden="1" x14ac:dyDescent="0.15"/>
    <row r="2978" hidden="1" x14ac:dyDescent="0.15"/>
    <row r="2979" hidden="1" x14ac:dyDescent="0.15"/>
    <row r="2980" hidden="1" x14ac:dyDescent="0.15"/>
    <row r="2981" hidden="1" x14ac:dyDescent="0.15"/>
    <row r="2982" hidden="1" x14ac:dyDescent="0.15"/>
    <row r="2983" hidden="1" x14ac:dyDescent="0.15"/>
    <row r="2984" hidden="1" x14ac:dyDescent="0.15"/>
    <row r="2985" hidden="1" x14ac:dyDescent="0.15"/>
    <row r="2986" hidden="1" x14ac:dyDescent="0.15"/>
    <row r="2987" hidden="1" x14ac:dyDescent="0.15"/>
    <row r="2988" hidden="1" x14ac:dyDescent="0.15"/>
    <row r="2989" hidden="1" x14ac:dyDescent="0.15"/>
    <row r="2990" hidden="1" x14ac:dyDescent="0.15"/>
    <row r="2991" hidden="1" x14ac:dyDescent="0.15"/>
    <row r="2992" hidden="1" x14ac:dyDescent="0.15"/>
    <row r="2993" hidden="1" x14ac:dyDescent="0.15"/>
    <row r="2994" hidden="1" x14ac:dyDescent="0.15"/>
    <row r="2995" hidden="1" x14ac:dyDescent="0.15"/>
    <row r="2996" hidden="1" x14ac:dyDescent="0.15"/>
    <row r="2997" hidden="1" x14ac:dyDescent="0.15"/>
    <row r="2998" hidden="1" x14ac:dyDescent="0.15"/>
    <row r="2999" hidden="1" x14ac:dyDescent="0.15"/>
    <row r="3000" hidden="1" x14ac:dyDescent="0.15"/>
    <row r="3001" hidden="1" x14ac:dyDescent="0.15"/>
    <row r="3002" hidden="1" x14ac:dyDescent="0.15"/>
    <row r="3003" hidden="1" x14ac:dyDescent="0.15"/>
    <row r="3004" hidden="1" x14ac:dyDescent="0.15"/>
    <row r="3005" hidden="1" x14ac:dyDescent="0.15"/>
    <row r="3006" hidden="1" x14ac:dyDescent="0.15"/>
    <row r="3007" hidden="1" x14ac:dyDescent="0.15"/>
    <row r="3008" hidden="1" x14ac:dyDescent="0.15"/>
    <row r="3009" hidden="1" x14ac:dyDescent="0.15"/>
    <row r="3010" hidden="1" x14ac:dyDescent="0.15"/>
    <row r="3011" hidden="1" x14ac:dyDescent="0.15"/>
    <row r="3012" hidden="1" x14ac:dyDescent="0.15"/>
    <row r="3013" hidden="1" x14ac:dyDescent="0.15"/>
    <row r="3014" hidden="1" x14ac:dyDescent="0.15"/>
    <row r="3015" hidden="1" x14ac:dyDescent="0.15"/>
    <row r="3016" hidden="1" x14ac:dyDescent="0.15"/>
    <row r="3017" hidden="1" x14ac:dyDescent="0.15"/>
    <row r="3018" hidden="1" x14ac:dyDescent="0.15"/>
    <row r="3019" hidden="1" x14ac:dyDescent="0.15"/>
    <row r="3020" hidden="1" x14ac:dyDescent="0.15"/>
    <row r="3021" hidden="1" x14ac:dyDescent="0.15"/>
    <row r="3022" hidden="1" x14ac:dyDescent="0.15"/>
    <row r="3023" hidden="1" x14ac:dyDescent="0.15"/>
    <row r="3024" hidden="1" x14ac:dyDescent="0.15"/>
    <row r="3025" hidden="1" x14ac:dyDescent="0.15"/>
    <row r="3026" hidden="1" x14ac:dyDescent="0.15"/>
    <row r="3027" hidden="1" x14ac:dyDescent="0.15"/>
    <row r="3028" hidden="1" x14ac:dyDescent="0.15"/>
    <row r="3029" hidden="1" x14ac:dyDescent="0.15"/>
    <row r="3030" hidden="1" x14ac:dyDescent="0.15"/>
    <row r="3031" hidden="1" x14ac:dyDescent="0.15"/>
    <row r="3032" hidden="1" x14ac:dyDescent="0.15"/>
    <row r="3033" hidden="1" x14ac:dyDescent="0.15"/>
    <row r="3034" hidden="1" x14ac:dyDescent="0.15"/>
    <row r="3035" hidden="1" x14ac:dyDescent="0.15"/>
    <row r="3036" hidden="1" x14ac:dyDescent="0.15"/>
    <row r="3037" hidden="1" x14ac:dyDescent="0.15"/>
    <row r="3038" hidden="1" x14ac:dyDescent="0.15"/>
    <row r="3039" hidden="1" x14ac:dyDescent="0.15"/>
    <row r="3040" hidden="1" x14ac:dyDescent="0.15"/>
    <row r="3041" hidden="1" x14ac:dyDescent="0.15"/>
    <row r="3042" hidden="1" x14ac:dyDescent="0.15"/>
    <row r="3043" hidden="1" x14ac:dyDescent="0.15"/>
    <row r="3044" hidden="1" x14ac:dyDescent="0.15"/>
    <row r="3045" hidden="1" x14ac:dyDescent="0.15"/>
    <row r="3046" hidden="1" x14ac:dyDescent="0.15"/>
    <row r="3047" hidden="1" x14ac:dyDescent="0.15"/>
    <row r="3048" hidden="1" x14ac:dyDescent="0.15"/>
    <row r="3049" hidden="1" x14ac:dyDescent="0.15"/>
    <row r="3050" hidden="1" x14ac:dyDescent="0.15"/>
    <row r="3051" hidden="1" x14ac:dyDescent="0.15"/>
    <row r="3052" hidden="1" x14ac:dyDescent="0.15"/>
    <row r="3053" hidden="1" x14ac:dyDescent="0.15"/>
    <row r="3054" hidden="1" x14ac:dyDescent="0.15"/>
    <row r="3055" hidden="1" x14ac:dyDescent="0.15"/>
    <row r="3056" hidden="1" x14ac:dyDescent="0.15"/>
    <row r="3057" hidden="1" x14ac:dyDescent="0.15"/>
    <row r="3058" hidden="1" x14ac:dyDescent="0.15"/>
    <row r="3059" hidden="1" x14ac:dyDescent="0.15"/>
    <row r="3060" hidden="1" x14ac:dyDescent="0.15"/>
    <row r="3061" hidden="1" x14ac:dyDescent="0.15"/>
    <row r="3062" hidden="1" x14ac:dyDescent="0.15"/>
    <row r="3063" hidden="1" x14ac:dyDescent="0.15"/>
    <row r="3064" hidden="1" x14ac:dyDescent="0.15"/>
    <row r="3065" hidden="1" x14ac:dyDescent="0.15"/>
    <row r="3066" hidden="1" x14ac:dyDescent="0.15"/>
    <row r="3067" hidden="1" x14ac:dyDescent="0.15"/>
    <row r="3068" hidden="1" x14ac:dyDescent="0.15"/>
    <row r="3069" hidden="1" x14ac:dyDescent="0.15"/>
    <row r="3070" hidden="1" x14ac:dyDescent="0.15"/>
    <row r="3071" hidden="1" x14ac:dyDescent="0.15"/>
    <row r="3072" hidden="1" x14ac:dyDescent="0.15"/>
    <row r="3073" hidden="1" x14ac:dyDescent="0.15"/>
    <row r="3074" hidden="1" x14ac:dyDescent="0.15"/>
    <row r="3075" hidden="1" x14ac:dyDescent="0.15"/>
    <row r="3076" hidden="1" x14ac:dyDescent="0.15"/>
    <row r="3077" hidden="1" x14ac:dyDescent="0.15"/>
    <row r="3078" hidden="1" x14ac:dyDescent="0.15"/>
    <row r="3079" hidden="1" x14ac:dyDescent="0.15"/>
    <row r="3080" hidden="1" x14ac:dyDescent="0.15"/>
    <row r="3081" hidden="1" x14ac:dyDescent="0.15"/>
    <row r="3082" hidden="1" x14ac:dyDescent="0.15"/>
    <row r="3083" hidden="1" x14ac:dyDescent="0.15"/>
    <row r="3084" hidden="1" x14ac:dyDescent="0.15"/>
    <row r="3085" hidden="1" x14ac:dyDescent="0.15"/>
    <row r="3086" hidden="1" x14ac:dyDescent="0.15"/>
    <row r="3087" hidden="1" x14ac:dyDescent="0.15"/>
    <row r="3088" hidden="1" x14ac:dyDescent="0.15"/>
    <row r="3089" hidden="1" x14ac:dyDescent="0.15"/>
    <row r="3090" hidden="1" x14ac:dyDescent="0.15"/>
    <row r="3091" hidden="1" x14ac:dyDescent="0.15"/>
    <row r="3092" hidden="1" x14ac:dyDescent="0.15"/>
    <row r="3093" hidden="1" x14ac:dyDescent="0.15"/>
    <row r="3094" hidden="1" x14ac:dyDescent="0.15"/>
    <row r="3095" hidden="1" x14ac:dyDescent="0.15"/>
    <row r="3096" hidden="1" x14ac:dyDescent="0.15"/>
    <row r="3097" hidden="1" x14ac:dyDescent="0.15"/>
    <row r="3098" hidden="1" x14ac:dyDescent="0.15"/>
    <row r="3099" hidden="1" x14ac:dyDescent="0.15"/>
    <row r="3100" hidden="1" x14ac:dyDescent="0.15"/>
    <row r="3101" hidden="1" x14ac:dyDescent="0.15"/>
    <row r="3102" hidden="1" x14ac:dyDescent="0.15"/>
    <row r="3103" hidden="1" x14ac:dyDescent="0.15"/>
    <row r="3104" hidden="1" x14ac:dyDescent="0.15"/>
    <row r="3105" hidden="1" x14ac:dyDescent="0.15"/>
    <row r="3106" hidden="1" x14ac:dyDescent="0.15"/>
    <row r="3107" hidden="1" x14ac:dyDescent="0.15"/>
    <row r="3108" hidden="1" x14ac:dyDescent="0.15"/>
    <row r="3109" hidden="1" x14ac:dyDescent="0.15"/>
    <row r="3110" hidden="1" x14ac:dyDescent="0.15"/>
    <row r="3111" hidden="1" x14ac:dyDescent="0.15"/>
    <row r="3112" hidden="1" x14ac:dyDescent="0.15"/>
    <row r="3113" hidden="1" x14ac:dyDescent="0.15"/>
    <row r="3114" hidden="1" x14ac:dyDescent="0.15"/>
    <row r="3115" hidden="1" x14ac:dyDescent="0.15"/>
    <row r="3116" hidden="1" x14ac:dyDescent="0.15"/>
    <row r="3117" hidden="1" x14ac:dyDescent="0.15"/>
    <row r="3118" hidden="1" x14ac:dyDescent="0.15"/>
    <row r="3119" hidden="1" x14ac:dyDescent="0.15"/>
    <row r="3120" hidden="1" x14ac:dyDescent="0.15"/>
    <row r="3121" hidden="1" x14ac:dyDescent="0.15"/>
    <row r="3122" hidden="1" x14ac:dyDescent="0.15"/>
    <row r="3123" hidden="1" x14ac:dyDescent="0.15"/>
    <row r="3124" hidden="1" x14ac:dyDescent="0.15"/>
    <row r="3125" hidden="1" x14ac:dyDescent="0.15"/>
    <row r="3126" hidden="1" x14ac:dyDescent="0.15"/>
    <row r="3127" hidden="1" x14ac:dyDescent="0.15"/>
    <row r="3128" hidden="1" x14ac:dyDescent="0.15"/>
    <row r="3129" hidden="1" x14ac:dyDescent="0.15"/>
    <row r="3130" hidden="1" x14ac:dyDescent="0.15"/>
    <row r="3131" hidden="1" x14ac:dyDescent="0.15"/>
    <row r="3132" hidden="1" x14ac:dyDescent="0.15"/>
    <row r="3133" hidden="1" x14ac:dyDescent="0.15"/>
    <row r="3134" hidden="1" x14ac:dyDescent="0.15"/>
    <row r="3135" hidden="1" x14ac:dyDescent="0.15"/>
    <row r="3136" hidden="1" x14ac:dyDescent="0.15"/>
    <row r="3137" hidden="1" x14ac:dyDescent="0.15"/>
    <row r="3138" hidden="1" x14ac:dyDescent="0.15"/>
    <row r="3139" hidden="1" x14ac:dyDescent="0.15"/>
    <row r="3140" hidden="1" x14ac:dyDescent="0.15"/>
    <row r="3141" hidden="1" x14ac:dyDescent="0.15"/>
    <row r="3142" hidden="1" x14ac:dyDescent="0.15"/>
    <row r="3143" hidden="1" x14ac:dyDescent="0.15"/>
    <row r="3144" hidden="1" x14ac:dyDescent="0.15"/>
    <row r="3145" hidden="1" x14ac:dyDescent="0.15"/>
    <row r="3146" hidden="1" x14ac:dyDescent="0.15"/>
    <row r="3147" hidden="1" x14ac:dyDescent="0.15"/>
    <row r="3148" hidden="1" x14ac:dyDescent="0.15"/>
    <row r="3149" hidden="1" x14ac:dyDescent="0.15"/>
    <row r="3150" hidden="1" x14ac:dyDescent="0.15"/>
    <row r="3151" hidden="1" x14ac:dyDescent="0.15"/>
    <row r="3152" hidden="1" x14ac:dyDescent="0.15"/>
    <row r="3153" hidden="1" x14ac:dyDescent="0.15"/>
    <row r="3154" hidden="1" x14ac:dyDescent="0.15"/>
    <row r="3155" hidden="1" x14ac:dyDescent="0.15"/>
    <row r="3156" hidden="1" x14ac:dyDescent="0.15"/>
    <row r="3157" hidden="1" x14ac:dyDescent="0.15"/>
    <row r="3158" hidden="1" x14ac:dyDescent="0.15"/>
    <row r="3159" hidden="1" x14ac:dyDescent="0.15"/>
    <row r="3160" hidden="1" x14ac:dyDescent="0.15"/>
    <row r="3161" hidden="1" x14ac:dyDescent="0.15"/>
    <row r="3162" hidden="1" x14ac:dyDescent="0.15"/>
    <row r="3163" hidden="1" x14ac:dyDescent="0.15"/>
    <row r="3164" hidden="1" x14ac:dyDescent="0.15"/>
    <row r="3165" hidden="1" x14ac:dyDescent="0.15"/>
    <row r="3166" hidden="1" x14ac:dyDescent="0.15"/>
    <row r="3167" hidden="1" x14ac:dyDescent="0.15"/>
    <row r="3168" hidden="1" x14ac:dyDescent="0.15"/>
    <row r="3169" hidden="1" x14ac:dyDescent="0.15"/>
    <row r="3170" hidden="1" x14ac:dyDescent="0.15"/>
    <row r="3171" hidden="1" x14ac:dyDescent="0.15"/>
    <row r="3172" hidden="1" x14ac:dyDescent="0.15"/>
    <row r="3173" hidden="1" x14ac:dyDescent="0.15"/>
    <row r="3174" hidden="1" x14ac:dyDescent="0.15"/>
    <row r="3175" hidden="1" x14ac:dyDescent="0.15"/>
    <row r="3176" hidden="1" x14ac:dyDescent="0.15"/>
    <row r="3177" hidden="1" x14ac:dyDescent="0.15"/>
    <row r="3178" hidden="1" x14ac:dyDescent="0.15"/>
    <row r="3179" hidden="1" x14ac:dyDescent="0.15"/>
    <row r="3180" hidden="1" x14ac:dyDescent="0.15"/>
    <row r="3181" hidden="1" x14ac:dyDescent="0.15"/>
    <row r="3182" hidden="1" x14ac:dyDescent="0.15"/>
    <row r="3183" hidden="1" x14ac:dyDescent="0.15"/>
    <row r="3184" hidden="1" x14ac:dyDescent="0.15"/>
    <row r="3185" hidden="1" x14ac:dyDescent="0.15"/>
    <row r="3186" hidden="1" x14ac:dyDescent="0.15"/>
    <row r="3187" hidden="1" x14ac:dyDescent="0.15"/>
    <row r="3188" hidden="1" x14ac:dyDescent="0.15"/>
    <row r="3189" hidden="1" x14ac:dyDescent="0.15"/>
    <row r="3190" hidden="1" x14ac:dyDescent="0.15"/>
    <row r="3191" hidden="1" x14ac:dyDescent="0.15"/>
    <row r="3192" hidden="1" x14ac:dyDescent="0.15"/>
    <row r="3193" hidden="1" x14ac:dyDescent="0.15"/>
    <row r="3194" hidden="1" x14ac:dyDescent="0.15"/>
    <row r="3195" hidden="1" x14ac:dyDescent="0.15"/>
    <row r="3196" hidden="1" x14ac:dyDescent="0.15"/>
    <row r="3197" hidden="1" x14ac:dyDescent="0.15"/>
    <row r="3198" hidden="1" x14ac:dyDescent="0.15"/>
    <row r="3199" hidden="1" x14ac:dyDescent="0.15"/>
    <row r="3200" hidden="1" x14ac:dyDescent="0.15"/>
    <row r="3201" hidden="1" x14ac:dyDescent="0.15"/>
    <row r="3202" hidden="1" x14ac:dyDescent="0.15"/>
    <row r="3203" hidden="1" x14ac:dyDescent="0.15"/>
    <row r="3204" hidden="1" x14ac:dyDescent="0.15"/>
    <row r="3205" hidden="1" x14ac:dyDescent="0.15"/>
    <row r="3206" hidden="1" x14ac:dyDescent="0.15"/>
    <row r="3207" hidden="1" x14ac:dyDescent="0.15"/>
    <row r="3208" hidden="1" x14ac:dyDescent="0.15"/>
    <row r="3209" hidden="1" x14ac:dyDescent="0.15"/>
    <row r="3210" hidden="1" x14ac:dyDescent="0.15"/>
    <row r="3211" hidden="1" x14ac:dyDescent="0.15"/>
    <row r="3212" hidden="1" x14ac:dyDescent="0.15"/>
    <row r="3213" hidden="1" x14ac:dyDescent="0.15"/>
    <row r="3214" hidden="1" x14ac:dyDescent="0.15"/>
    <row r="3215" hidden="1" x14ac:dyDescent="0.15"/>
    <row r="3216" hidden="1" x14ac:dyDescent="0.15"/>
    <row r="3217" hidden="1" x14ac:dyDescent="0.15"/>
    <row r="3218" hidden="1" x14ac:dyDescent="0.15"/>
    <row r="3219" hidden="1" x14ac:dyDescent="0.15"/>
    <row r="3220" hidden="1" x14ac:dyDescent="0.15"/>
    <row r="3221" hidden="1" x14ac:dyDescent="0.15"/>
    <row r="3222" hidden="1" x14ac:dyDescent="0.15"/>
    <row r="3223" hidden="1" x14ac:dyDescent="0.15"/>
    <row r="3224" hidden="1" x14ac:dyDescent="0.15"/>
    <row r="3225" hidden="1" x14ac:dyDescent="0.15"/>
    <row r="3226" hidden="1" x14ac:dyDescent="0.15"/>
    <row r="3227" hidden="1" x14ac:dyDescent="0.15"/>
    <row r="3228" hidden="1" x14ac:dyDescent="0.15"/>
    <row r="3229" hidden="1" x14ac:dyDescent="0.15"/>
    <row r="3230" hidden="1" x14ac:dyDescent="0.15"/>
    <row r="3231" hidden="1" x14ac:dyDescent="0.15"/>
    <row r="3232" hidden="1" x14ac:dyDescent="0.15"/>
    <row r="3233" hidden="1" x14ac:dyDescent="0.15"/>
    <row r="3234" hidden="1" x14ac:dyDescent="0.15"/>
    <row r="3235" hidden="1" x14ac:dyDescent="0.15"/>
    <row r="3236" hidden="1" x14ac:dyDescent="0.15"/>
    <row r="3237" hidden="1" x14ac:dyDescent="0.15"/>
    <row r="3238" hidden="1" x14ac:dyDescent="0.15"/>
    <row r="3239" hidden="1" x14ac:dyDescent="0.15"/>
    <row r="3240" hidden="1" x14ac:dyDescent="0.15"/>
    <row r="3241" hidden="1" x14ac:dyDescent="0.15"/>
    <row r="3242" hidden="1" x14ac:dyDescent="0.15"/>
    <row r="3243" hidden="1" x14ac:dyDescent="0.15"/>
    <row r="3244" hidden="1" x14ac:dyDescent="0.15"/>
    <row r="3245" hidden="1" x14ac:dyDescent="0.15"/>
    <row r="3246" hidden="1" x14ac:dyDescent="0.15"/>
    <row r="3247" hidden="1" x14ac:dyDescent="0.15"/>
    <row r="3248" hidden="1" x14ac:dyDescent="0.15"/>
    <row r="3249" hidden="1" x14ac:dyDescent="0.15"/>
    <row r="3250" hidden="1" x14ac:dyDescent="0.15"/>
    <row r="3251" hidden="1" x14ac:dyDescent="0.15"/>
    <row r="3252" hidden="1" x14ac:dyDescent="0.15"/>
    <row r="3253" hidden="1" x14ac:dyDescent="0.15"/>
    <row r="3254" hidden="1" x14ac:dyDescent="0.15"/>
    <row r="3255" hidden="1" x14ac:dyDescent="0.15"/>
    <row r="3256" hidden="1" x14ac:dyDescent="0.15"/>
    <row r="3257" hidden="1" x14ac:dyDescent="0.15"/>
    <row r="3258" hidden="1" x14ac:dyDescent="0.15"/>
    <row r="3259" hidden="1" x14ac:dyDescent="0.15"/>
    <row r="3260" hidden="1" x14ac:dyDescent="0.15"/>
    <row r="3261" hidden="1" x14ac:dyDescent="0.15"/>
    <row r="3262" hidden="1" x14ac:dyDescent="0.15"/>
    <row r="3263" hidden="1" x14ac:dyDescent="0.15"/>
    <row r="3264" hidden="1" x14ac:dyDescent="0.15"/>
    <row r="3265" hidden="1" x14ac:dyDescent="0.15"/>
    <row r="3266" hidden="1" x14ac:dyDescent="0.15"/>
    <row r="3267" hidden="1" x14ac:dyDescent="0.15"/>
    <row r="3268" hidden="1" x14ac:dyDescent="0.15"/>
    <row r="3269" hidden="1" x14ac:dyDescent="0.15"/>
    <row r="3270" hidden="1" x14ac:dyDescent="0.15"/>
    <row r="3271" hidden="1" x14ac:dyDescent="0.15"/>
    <row r="3272" hidden="1" x14ac:dyDescent="0.15"/>
    <row r="3273" hidden="1" x14ac:dyDescent="0.15"/>
    <row r="3274" hidden="1" x14ac:dyDescent="0.15"/>
    <row r="3275" hidden="1" x14ac:dyDescent="0.15"/>
    <row r="3276" hidden="1" x14ac:dyDescent="0.15"/>
    <row r="3277" hidden="1" x14ac:dyDescent="0.15"/>
    <row r="3278" hidden="1" x14ac:dyDescent="0.15"/>
    <row r="3279" hidden="1" x14ac:dyDescent="0.15"/>
    <row r="3280" hidden="1" x14ac:dyDescent="0.15"/>
    <row r="3281" hidden="1" x14ac:dyDescent="0.15"/>
    <row r="3282" hidden="1" x14ac:dyDescent="0.15"/>
    <row r="3283" hidden="1" x14ac:dyDescent="0.15"/>
    <row r="3284" hidden="1" x14ac:dyDescent="0.15"/>
    <row r="3285" hidden="1" x14ac:dyDescent="0.15"/>
    <row r="3286" hidden="1" x14ac:dyDescent="0.15"/>
    <row r="3287" hidden="1" x14ac:dyDescent="0.15"/>
    <row r="3288" hidden="1" x14ac:dyDescent="0.15"/>
    <row r="3289" hidden="1" x14ac:dyDescent="0.15"/>
    <row r="3290" hidden="1" x14ac:dyDescent="0.15"/>
    <row r="3291" hidden="1" x14ac:dyDescent="0.15"/>
    <row r="3292" hidden="1" x14ac:dyDescent="0.15"/>
    <row r="3293" hidden="1" x14ac:dyDescent="0.15"/>
    <row r="3294" hidden="1" x14ac:dyDescent="0.15"/>
    <row r="3295" hidden="1" x14ac:dyDescent="0.15"/>
    <row r="3296" hidden="1" x14ac:dyDescent="0.15"/>
    <row r="3297" hidden="1" x14ac:dyDescent="0.15"/>
    <row r="3298" hidden="1" x14ac:dyDescent="0.15"/>
    <row r="3299" hidden="1" x14ac:dyDescent="0.15"/>
    <row r="3300" hidden="1" x14ac:dyDescent="0.15"/>
    <row r="3301" hidden="1" x14ac:dyDescent="0.15"/>
    <row r="3302" hidden="1" x14ac:dyDescent="0.15"/>
    <row r="3303" hidden="1" x14ac:dyDescent="0.15"/>
    <row r="3304" hidden="1" x14ac:dyDescent="0.15"/>
    <row r="3305" hidden="1" x14ac:dyDescent="0.15"/>
    <row r="3306" hidden="1" x14ac:dyDescent="0.15"/>
    <row r="3307" hidden="1" x14ac:dyDescent="0.15"/>
    <row r="3308" hidden="1" x14ac:dyDescent="0.15"/>
    <row r="3309" hidden="1" x14ac:dyDescent="0.15"/>
    <row r="3310" hidden="1" x14ac:dyDescent="0.15"/>
    <row r="3311" hidden="1" x14ac:dyDescent="0.15"/>
    <row r="3312" hidden="1" x14ac:dyDescent="0.15"/>
    <row r="3313" hidden="1" x14ac:dyDescent="0.15"/>
    <row r="3314" hidden="1" x14ac:dyDescent="0.15"/>
    <row r="3315" hidden="1" x14ac:dyDescent="0.15"/>
    <row r="3316" hidden="1" x14ac:dyDescent="0.15"/>
    <row r="3317" hidden="1" x14ac:dyDescent="0.15"/>
    <row r="3318" hidden="1" x14ac:dyDescent="0.15"/>
    <row r="3319" hidden="1" x14ac:dyDescent="0.15"/>
    <row r="3320" hidden="1" x14ac:dyDescent="0.15"/>
    <row r="3321" hidden="1" x14ac:dyDescent="0.15"/>
    <row r="3322" hidden="1" x14ac:dyDescent="0.15"/>
    <row r="3323" hidden="1" x14ac:dyDescent="0.15"/>
    <row r="3324" hidden="1" x14ac:dyDescent="0.15"/>
    <row r="3325" hidden="1" x14ac:dyDescent="0.15"/>
    <row r="3326" hidden="1" x14ac:dyDescent="0.15"/>
    <row r="3327" hidden="1" x14ac:dyDescent="0.15"/>
    <row r="3328" hidden="1" x14ac:dyDescent="0.15"/>
    <row r="3329" hidden="1" x14ac:dyDescent="0.15"/>
    <row r="3330" hidden="1" x14ac:dyDescent="0.15"/>
    <row r="3331" hidden="1" x14ac:dyDescent="0.15"/>
    <row r="3332" hidden="1" x14ac:dyDescent="0.15"/>
    <row r="3333" hidden="1" x14ac:dyDescent="0.15"/>
    <row r="3334" hidden="1" x14ac:dyDescent="0.15"/>
    <row r="3335" hidden="1" x14ac:dyDescent="0.15"/>
    <row r="3336" hidden="1" x14ac:dyDescent="0.15"/>
    <row r="3337" hidden="1" x14ac:dyDescent="0.15"/>
    <row r="3338" hidden="1" x14ac:dyDescent="0.15"/>
    <row r="3339" hidden="1" x14ac:dyDescent="0.15"/>
    <row r="3340" hidden="1" x14ac:dyDescent="0.15"/>
    <row r="3341" hidden="1" x14ac:dyDescent="0.15"/>
    <row r="3342" hidden="1" x14ac:dyDescent="0.15"/>
    <row r="3343" hidden="1" x14ac:dyDescent="0.15"/>
    <row r="3344" hidden="1" x14ac:dyDescent="0.15"/>
    <row r="3345" hidden="1" x14ac:dyDescent="0.15"/>
    <row r="3346" hidden="1" x14ac:dyDescent="0.15"/>
    <row r="3347" hidden="1" x14ac:dyDescent="0.15"/>
    <row r="3348" hidden="1" x14ac:dyDescent="0.15"/>
    <row r="3349" hidden="1" x14ac:dyDescent="0.15"/>
    <row r="3350" hidden="1" x14ac:dyDescent="0.15"/>
    <row r="3351" hidden="1" x14ac:dyDescent="0.15"/>
    <row r="3352" hidden="1" x14ac:dyDescent="0.15"/>
    <row r="3353" hidden="1" x14ac:dyDescent="0.15"/>
    <row r="3354" hidden="1" x14ac:dyDescent="0.15"/>
    <row r="3355" hidden="1" x14ac:dyDescent="0.15"/>
    <row r="3356" hidden="1" x14ac:dyDescent="0.15"/>
    <row r="3357" hidden="1" x14ac:dyDescent="0.15"/>
    <row r="3358" hidden="1" x14ac:dyDescent="0.15"/>
    <row r="3359" hidden="1" x14ac:dyDescent="0.15"/>
    <row r="3360" hidden="1" x14ac:dyDescent="0.15"/>
    <row r="3361" hidden="1" x14ac:dyDescent="0.15"/>
    <row r="3362" hidden="1" x14ac:dyDescent="0.15"/>
    <row r="3363" hidden="1" x14ac:dyDescent="0.15"/>
    <row r="3364" hidden="1" x14ac:dyDescent="0.15"/>
    <row r="3365" hidden="1" x14ac:dyDescent="0.15"/>
    <row r="3366" hidden="1" x14ac:dyDescent="0.15"/>
    <row r="3367" hidden="1" x14ac:dyDescent="0.15"/>
    <row r="3368" hidden="1" x14ac:dyDescent="0.15"/>
    <row r="3369" hidden="1" x14ac:dyDescent="0.15"/>
    <row r="3370" hidden="1" x14ac:dyDescent="0.15"/>
    <row r="3371" hidden="1" x14ac:dyDescent="0.15"/>
    <row r="3372" hidden="1" x14ac:dyDescent="0.15"/>
    <row r="3373" hidden="1" x14ac:dyDescent="0.15"/>
    <row r="3374" hidden="1" x14ac:dyDescent="0.15"/>
    <row r="3375" hidden="1" x14ac:dyDescent="0.15"/>
    <row r="3376" hidden="1" x14ac:dyDescent="0.15"/>
    <row r="3377" hidden="1" x14ac:dyDescent="0.15"/>
    <row r="3378" hidden="1" x14ac:dyDescent="0.15"/>
    <row r="3379" hidden="1" x14ac:dyDescent="0.15"/>
    <row r="3380" hidden="1" x14ac:dyDescent="0.15"/>
    <row r="3381" hidden="1" x14ac:dyDescent="0.15"/>
    <row r="3382" hidden="1" x14ac:dyDescent="0.15"/>
    <row r="3383" hidden="1" x14ac:dyDescent="0.15"/>
    <row r="3384" hidden="1" x14ac:dyDescent="0.15"/>
    <row r="3385" hidden="1" x14ac:dyDescent="0.15"/>
    <row r="3386" hidden="1" x14ac:dyDescent="0.15"/>
    <row r="3387" hidden="1" x14ac:dyDescent="0.15"/>
    <row r="3388" hidden="1" x14ac:dyDescent="0.15"/>
    <row r="3389" hidden="1" x14ac:dyDescent="0.15"/>
    <row r="3390" hidden="1" x14ac:dyDescent="0.15"/>
    <row r="3391" hidden="1" x14ac:dyDescent="0.15"/>
    <row r="3392" hidden="1" x14ac:dyDescent="0.15"/>
    <row r="3393" hidden="1" x14ac:dyDescent="0.15"/>
    <row r="3394" hidden="1" x14ac:dyDescent="0.15"/>
    <row r="3395" hidden="1" x14ac:dyDescent="0.15"/>
    <row r="3396" hidden="1" x14ac:dyDescent="0.15"/>
    <row r="3397" hidden="1" x14ac:dyDescent="0.15"/>
    <row r="3398" hidden="1" x14ac:dyDescent="0.15"/>
    <row r="3399" hidden="1" x14ac:dyDescent="0.15"/>
    <row r="3400" hidden="1" x14ac:dyDescent="0.15"/>
    <row r="3401" hidden="1" x14ac:dyDescent="0.15"/>
    <row r="3402" hidden="1" x14ac:dyDescent="0.15"/>
    <row r="3403" hidden="1" x14ac:dyDescent="0.15"/>
    <row r="3404" hidden="1" x14ac:dyDescent="0.15"/>
    <row r="3405" hidden="1" x14ac:dyDescent="0.15"/>
    <row r="3406" hidden="1" x14ac:dyDescent="0.15"/>
    <row r="3407" hidden="1" x14ac:dyDescent="0.15"/>
    <row r="3408" hidden="1" x14ac:dyDescent="0.15"/>
    <row r="3409" hidden="1" x14ac:dyDescent="0.15"/>
    <row r="3410" hidden="1" x14ac:dyDescent="0.15"/>
    <row r="3411" hidden="1" x14ac:dyDescent="0.15"/>
    <row r="3412" hidden="1" x14ac:dyDescent="0.15"/>
    <row r="3413" hidden="1" x14ac:dyDescent="0.15"/>
    <row r="3414" hidden="1" x14ac:dyDescent="0.15"/>
    <row r="3415" hidden="1" x14ac:dyDescent="0.15"/>
    <row r="3416" hidden="1" x14ac:dyDescent="0.15"/>
    <row r="3417" hidden="1" x14ac:dyDescent="0.15"/>
    <row r="3418" hidden="1" x14ac:dyDescent="0.15"/>
    <row r="3419" hidden="1" x14ac:dyDescent="0.15"/>
    <row r="3420" hidden="1" x14ac:dyDescent="0.15"/>
    <row r="3421" hidden="1" x14ac:dyDescent="0.15"/>
    <row r="3422" hidden="1" x14ac:dyDescent="0.15"/>
    <row r="3423" hidden="1" x14ac:dyDescent="0.15"/>
    <row r="3424" hidden="1" x14ac:dyDescent="0.15"/>
    <row r="3425" hidden="1" x14ac:dyDescent="0.15"/>
    <row r="3426" hidden="1" x14ac:dyDescent="0.15"/>
    <row r="3427" hidden="1" x14ac:dyDescent="0.15"/>
    <row r="3428" hidden="1" x14ac:dyDescent="0.15"/>
    <row r="3429" hidden="1" x14ac:dyDescent="0.15"/>
    <row r="3430" hidden="1" x14ac:dyDescent="0.15"/>
    <row r="3431" hidden="1" x14ac:dyDescent="0.15"/>
    <row r="3432" hidden="1" x14ac:dyDescent="0.15"/>
    <row r="3433" hidden="1" x14ac:dyDescent="0.15"/>
    <row r="3434" hidden="1" x14ac:dyDescent="0.15"/>
    <row r="3435" hidden="1" x14ac:dyDescent="0.15"/>
    <row r="3436" hidden="1" x14ac:dyDescent="0.15"/>
    <row r="3437" hidden="1" x14ac:dyDescent="0.15"/>
    <row r="3438" hidden="1" x14ac:dyDescent="0.15"/>
    <row r="3439" hidden="1" x14ac:dyDescent="0.15"/>
    <row r="3440" hidden="1" x14ac:dyDescent="0.15"/>
    <row r="3441" hidden="1" x14ac:dyDescent="0.15"/>
    <row r="3442" hidden="1" x14ac:dyDescent="0.15"/>
    <row r="3443" hidden="1" x14ac:dyDescent="0.15"/>
    <row r="3444" hidden="1" x14ac:dyDescent="0.15"/>
    <row r="3445" hidden="1" x14ac:dyDescent="0.15"/>
    <row r="3446" hidden="1" x14ac:dyDescent="0.15"/>
    <row r="3447" hidden="1" x14ac:dyDescent="0.15"/>
    <row r="3448" hidden="1" x14ac:dyDescent="0.15"/>
    <row r="3449" hidden="1" x14ac:dyDescent="0.15"/>
    <row r="3450" hidden="1" x14ac:dyDescent="0.15"/>
    <row r="3451" hidden="1" x14ac:dyDescent="0.15"/>
    <row r="3452" hidden="1" x14ac:dyDescent="0.15"/>
    <row r="3453" hidden="1" x14ac:dyDescent="0.15"/>
    <row r="3454" hidden="1" x14ac:dyDescent="0.15"/>
    <row r="3455" hidden="1" x14ac:dyDescent="0.15"/>
    <row r="3456" hidden="1" x14ac:dyDescent="0.15"/>
    <row r="3457" hidden="1" x14ac:dyDescent="0.15"/>
    <row r="3458" hidden="1" x14ac:dyDescent="0.15"/>
    <row r="3459" hidden="1" x14ac:dyDescent="0.15"/>
    <row r="3460" hidden="1" x14ac:dyDescent="0.15"/>
    <row r="3461" hidden="1" x14ac:dyDescent="0.15"/>
    <row r="3462" hidden="1" x14ac:dyDescent="0.15"/>
    <row r="3463" hidden="1" x14ac:dyDescent="0.15"/>
    <row r="3464" hidden="1" x14ac:dyDescent="0.15"/>
    <row r="3465" hidden="1" x14ac:dyDescent="0.15"/>
    <row r="3466" hidden="1" x14ac:dyDescent="0.15"/>
    <row r="3467" hidden="1" x14ac:dyDescent="0.15"/>
    <row r="3468" hidden="1" x14ac:dyDescent="0.15"/>
    <row r="3469" hidden="1" x14ac:dyDescent="0.15"/>
    <row r="3470" hidden="1" x14ac:dyDescent="0.15"/>
    <row r="3471" hidden="1" x14ac:dyDescent="0.15"/>
    <row r="3472" hidden="1" x14ac:dyDescent="0.15"/>
    <row r="3473" hidden="1" x14ac:dyDescent="0.15"/>
    <row r="3474" hidden="1" x14ac:dyDescent="0.15"/>
    <row r="3475" hidden="1" x14ac:dyDescent="0.15"/>
    <row r="3476" hidden="1" x14ac:dyDescent="0.15"/>
    <row r="3477" hidden="1" x14ac:dyDescent="0.15"/>
    <row r="3478" hidden="1" x14ac:dyDescent="0.15"/>
    <row r="3479" hidden="1" x14ac:dyDescent="0.15"/>
    <row r="3480" hidden="1" x14ac:dyDescent="0.15"/>
    <row r="3481" hidden="1" x14ac:dyDescent="0.15"/>
    <row r="3482" hidden="1" x14ac:dyDescent="0.15"/>
    <row r="3483" hidden="1" x14ac:dyDescent="0.15"/>
    <row r="3484" hidden="1" x14ac:dyDescent="0.15"/>
    <row r="3485" hidden="1" x14ac:dyDescent="0.15"/>
    <row r="3486" hidden="1" x14ac:dyDescent="0.15"/>
    <row r="3487" hidden="1" x14ac:dyDescent="0.15"/>
    <row r="3488" hidden="1" x14ac:dyDescent="0.15"/>
    <row r="3489" hidden="1" x14ac:dyDescent="0.15"/>
    <row r="3490" hidden="1" x14ac:dyDescent="0.15"/>
    <row r="3491" hidden="1" x14ac:dyDescent="0.15"/>
    <row r="3492" hidden="1" x14ac:dyDescent="0.15"/>
    <row r="3493" hidden="1" x14ac:dyDescent="0.15"/>
    <row r="3494" hidden="1" x14ac:dyDescent="0.15"/>
    <row r="3495" hidden="1" x14ac:dyDescent="0.15"/>
    <row r="3496" hidden="1" x14ac:dyDescent="0.15"/>
    <row r="3497" hidden="1" x14ac:dyDescent="0.15"/>
    <row r="3498" hidden="1" x14ac:dyDescent="0.15"/>
    <row r="3499" hidden="1" x14ac:dyDescent="0.15"/>
    <row r="3500" hidden="1" x14ac:dyDescent="0.15"/>
    <row r="3501" hidden="1" x14ac:dyDescent="0.15"/>
    <row r="3502" hidden="1" x14ac:dyDescent="0.15"/>
    <row r="3503" hidden="1" x14ac:dyDescent="0.15"/>
    <row r="3504" hidden="1" x14ac:dyDescent="0.15"/>
    <row r="3505" hidden="1" x14ac:dyDescent="0.15"/>
    <row r="3506" hidden="1" x14ac:dyDescent="0.15"/>
    <row r="3507" hidden="1" x14ac:dyDescent="0.15"/>
    <row r="3508" hidden="1" x14ac:dyDescent="0.15"/>
    <row r="3509" hidden="1" x14ac:dyDescent="0.15"/>
    <row r="3510" hidden="1" x14ac:dyDescent="0.15"/>
    <row r="3511" hidden="1" x14ac:dyDescent="0.15"/>
    <row r="3512" hidden="1" x14ac:dyDescent="0.15"/>
    <row r="3513" hidden="1" x14ac:dyDescent="0.15"/>
    <row r="3514" hidden="1" x14ac:dyDescent="0.15"/>
    <row r="3515" hidden="1" x14ac:dyDescent="0.15"/>
    <row r="3516" hidden="1" x14ac:dyDescent="0.15"/>
    <row r="3517" hidden="1" x14ac:dyDescent="0.15"/>
    <row r="3518" hidden="1" x14ac:dyDescent="0.15"/>
    <row r="3519" hidden="1" x14ac:dyDescent="0.15"/>
    <row r="3520" hidden="1" x14ac:dyDescent="0.15"/>
    <row r="3521" hidden="1" x14ac:dyDescent="0.15"/>
    <row r="3522" hidden="1" x14ac:dyDescent="0.15"/>
    <row r="3523" hidden="1" x14ac:dyDescent="0.15"/>
    <row r="3524" hidden="1" x14ac:dyDescent="0.15"/>
    <row r="3525" hidden="1" x14ac:dyDescent="0.15"/>
    <row r="3526" hidden="1" x14ac:dyDescent="0.15"/>
    <row r="3527" hidden="1" x14ac:dyDescent="0.15"/>
    <row r="3528" hidden="1" x14ac:dyDescent="0.15"/>
    <row r="3529" hidden="1" x14ac:dyDescent="0.15"/>
    <row r="3530" hidden="1" x14ac:dyDescent="0.15"/>
    <row r="3531" hidden="1" x14ac:dyDescent="0.15"/>
    <row r="3532" hidden="1" x14ac:dyDescent="0.15"/>
    <row r="3533" hidden="1" x14ac:dyDescent="0.15"/>
    <row r="3534" hidden="1" x14ac:dyDescent="0.15"/>
    <row r="3535" hidden="1" x14ac:dyDescent="0.15"/>
    <row r="3536" hidden="1" x14ac:dyDescent="0.15"/>
    <row r="3537" hidden="1" x14ac:dyDescent="0.15"/>
    <row r="3538" hidden="1" x14ac:dyDescent="0.15"/>
    <row r="3539" hidden="1" x14ac:dyDescent="0.15"/>
    <row r="3540" hidden="1" x14ac:dyDescent="0.15"/>
    <row r="3541" hidden="1" x14ac:dyDescent="0.15"/>
    <row r="3542" hidden="1" x14ac:dyDescent="0.15"/>
    <row r="3543" hidden="1" x14ac:dyDescent="0.15"/>
    <row r="3544" hidden="1" x14ac:dyDescent="0.15"/>
    <row r="3545" hidden="1" x14ac:dyDescent="0.15"/>
    <row r="3546" hidden="1" x14ac:dyDescent="0.15"/>
    <row r="3547" hidden="1" x14ac:dyDescent="0.15"/>
    <row r="3548" hidden="1" x14ac:dyDescent="0.15"/>
    <row r="3549" hidden="1" x14ac:dyDescent="0.15"/>
    <row r="3550" hidden="1" x14ac:dyDescent="0.15"/>
    <row r="3551" hidden="1" x14ac:dyDescent="0.15"/>
    <row r="3552" hidden="1" x14ac:dyDescent="0.15"/>
    <row r="3553" hidden="1" x14ac:dyDescent="0.15"/>
    <row r="3554" hidden="1" x14ac:dyDescent="0.15"/>
    <row r="3555" hidden="1" x14ac:dyDescent="0.15"/>
    <row r="3556" hidden="1" x14ac:dyDescent="0.15"/>
    <row r="3557" hidden="1" x14ac:dyDescent="0.15"/>
    <row r="3558" hidden="1" x14ac:dyDescent="0.15"/>
    <row r="3559" hidden="1" x14ac:dyDescent="0.15"/>
    <row r="3560" hidden="1" x14ac:dyDescent="0.15"/>
    <row r="3561" hidden="1" x14ac:dyDescent="0.15"/>
    <row r="3562" hidden="1" x14ac:dyDescent="0.15"/>
    <row r="3563" hidden="1" x14ac:dyDescent="0.15"/>
    <row r="3564" hidden="1" x14ac:dyDescent="0.15"/>
    <row r="3565" hidden="1" x14ac:dyDescent="0.15"/>
    <row r="3566" hidden="1" x14ac:dyDescent="0.15"/>
    <row r="3567" hidden="1" x14ac:dyDescent="0.15"/>
    <row r="3568" hidden="1" x14ac:dyDescent="0.15"/>
    <row r="3569" hidden="1" x14ac:dyDescent="0.15"/>
    <row r="3570" hidden="1" x14ac:dyDescent="0.15"/>
    <row r="3571" hidden="1" x14ac:dyDescent="0.15"/>
    <row r="3572" hidden="1" x14ac:dyDescent="0.15"/>
    <row r="3573" hidden="1" x14ac:dyDescent="0.15"/>
    <row r="3574" hidden="1" x14ac:dyDescent="0.15"/>
    <row r="3575" hidden="1" x14ac:dyDescent="0.15"/>
    <row r="3576" hidden="1" x14ac:dyDescent="0.15"/>
    <row r="3577" hidden="1" x14ac:dyDescent="0.15"/>
    <row r="3578" hidden="1" x14ac:dyDescent="0.15"/>
    <row r="3579" hidden="1" x14ac:dyDescent="0.15"/>
    <row r="3580" hidden="1" x14ac:dyDescent="0.15"/>
    <row r="3581" hidden="1" x14ac:dyDescent="0.15"/>
    <row r="3582" hidden="1" x14ac:dyDescent="0.15"/>
    <row r="3583" hidden="1" x14ac:dyDescent="0.15"/>
    <row r="3584" hidden="1" x14ac:dyDescent="0.15"/>
    <row r="3585" hidden="1" x14ac:dyDescent="0.15"/>
    <row r="3586" hidden="1" x14ac:dyDescent="0.15"/>
    <row r="3587" hidden="1" x14ac:dyDescent="0.15"/>
    <row r="3588" hidden="1" x14ac:dyDescent="0.15"/>
    <row r="3589" hidden="1" x14ac:dyDescent="0.15"/>
    <row r="3590" hidden="1" x14ac:dyDescent="0.15"/>
    <row r="3591" hidden="1" x14ac:dyDescent="0.15"/>
    <row r="3592" hidden="1" x14ac:dyDescent="0.15"/>
    <row r="3593" hidden="1" x14ac:dyDescent="0.15"/>
    <row r="3594" hidden="1" x14ac:dyDescent="0.15"/>
    <row r="3595" hidden="1" x14ac:dyDescent="0.15"/>
    <row r="3596" hidden="1" x14ac:dyDescent="0.15"/>
    <row r="3597" hidden="1" x14ac:dyDescent="0.15"/>
    <row r="3598" hidden="1" x14ac:dyDescent="0.15"/>
    <row r="3599" hidden="1" x14ac:dyDescent="0.15"/>
    <row r="3600" hidden="1" x14ac:dyDescent="0.15"/>
    <row r="3601" hidden="1" x14ac:dyDescent="0.15"/>
    <row r="3602" hidden="1" x14ac:dyDescent="0.15"/>
    <row r="3603" hidden="1" x14ac:dyDescent="0.15"/>
    <row r="3604" hidden="1" x14ac:dyDescent="0.15"/>
    <row r="3605" hidden="1" x14ac:dyDescent="0.15"/>
    <row r="3606" hidden="1" x14ac:dyDescent="0.15"/>
    <row r="3607" hidden="1" x14ac:dyDescent="0.15"/>
    <row r="3608" hidden="1" x14ac:dyDescent="0.15"/>
    <row r="3609" hidden="1" x14ac:dyDescent="0.15"/>
    <row r="3610" hidden="1" x14ac:dyDescent="0.15"/>
    <row r="3611" hidden="1" x14ac:dyDescent="0.15"/>
    <row r="3612" hidden="1" x14ac:dyDescent="0.15"/>
    <row r="3613" hidden="1" x14ac:dyDescent="0.15"/>
    <row r="3614" hidden="1" x14ac:dyDescent="0.15"/>
    <row r="3615" hidden="1" x14ac:dyDescent="0.15"/>
    <row r="3616" hidden="1" x14ac:dyDescent="0.15"/>
    <row r="3617" hidden="1" x14ac:dyDescent="0.15"/>
    <row r="3618" hidden="1" x14ac:dyDescent="0.15"/>
    <row r="3619" hidden="1" x14ac:dyDescent="0.15"/>
    <row r="3620" hidden="1" x14ac:dyDescent="0.15"/>
    <row r="3621" hidden="1" x14ac:dyDescent="0.15"/>
    <row r="3622" hidden="1" x14ac:dyDescent="0.15"/>
    <row r="3623" hidden="1" x14ac:dyDescent="0.15"/>
    <row r="3624" hidden="1" x14ac:dyDescent="0.15"/>
    <row r="3625" hidden="1" x14ac:dyDescent="0.15"/>
    <row r="3626" hidden="1" x14ac:dyDescent="0.15"/>
    <row r="3627" hidden="1" x14ac:dyDescent="0.15"/>
    <row r="3628" hidden="1" x14ac:dyDescent="0.15"/>
    <row r="3629" hidden="1" x14ac:dyDescent="0.15"/>
    <row r="3630" hidden="1" x14ac:dyDescent="0.15"/>
    <row r="3631" hidden="1" x14ac:dyDescent="0.15"/>
    <row r="3632" hidden="1" x14ac:dyDescent="0.15"/>
    <row r="3633" hidden="1" x14ac:dyDescent="0.15"/>
    <row r="3634" hidden="1" x14ac:dyDescent="0.15"/>
    <row r="3635" hidden="1" x14ac:dyDescent="0.15"/>
    <row r="3636" hidden="1" x14ac:dyDescent="0.15"/>
    <row r="3637" hidden="1" x14ac:dyDescent="0.15"/>
    <row r="3638" hidden="1" x14ac:dyDescent="0.15"/>
    <row r="3639" hidden="1" x14ac:dyDescent="0.15"/>
    <row r="3640" hidden="1" x14ac:dyDescent="0.15"/>
    <row r="3641" hidden="1" x14ac:dyDescent="0.15"/>
    <row r="3642" hidden="1" x14ac:dyDescent="0.15"/>
    <row r="3643" hidden="1" x14ac:dyDescent="0.15"/>
    <row r="3644" hidden="1" x14ac:dyDescent="0.15"/>
    <row r="3645" hidden="1" x14ac:dyDescent="0.15"/>
    <row r="3646" hidden="1" x14ac:dyDescent="0.15"/>
    <row r="3647" hidden="1" x14ac:dyDescent="0.15"/>
    <row r="3648" hidden="1" x14ac:dyDescent="0.15"/>
    <row r="3649" hidden="1" x14ac:dyDescent="0.15"/>
    <row r="3650" hidden="1" x14ac:dyDescent="0.15"/>
    <row r="3651" hidden="1" x14ac:dyDescent="0.15"/>
    <row r="3652" hidden="1" x14ac:dyDescent="0.15"/>
    <row r="3653" hidden="1" x14ac:dyDescent="0.15"/>
    <row r="3654" hidden="1" x14ac:dyDescent="0.15"/>
    <row r="3655" hidden="1" x14ac:dyDescent="0.15"/>
    <row r="3656" hidden="1" x14ac:dyDescent="0.15"/>
    <row r="3657" hidden="1" x14ac:dyDescent="0.15"/>
    <row r="3658" hidden="1" x14ac:dyDescent="0.15"/>
    <row r="3659" hidden="1" x14ac:dyDescent="0.15"/>
    <row r="3660" hidden="1" x14ac:dyDescent="0.15"/>
    <row r="3661" hidden="1" x14ac:dyDescent="0.15"/>
    <row r="3662" hidden="1" x14ac:dyDescent="0.15"/>
    <row r="3663" hidden="1" x14ac:dyDescent="0.15"/>
    <row r="3664" hidden="1" x14ac:dyDescent="0.15"/>
    <row r="3665" hidden="1" x14ac:dyDescent="0.15"/>
    <row r="3666" hidden="1" x14ac:dyDescent="0.15"/>
    <row r="3667" hidden="1" x14ac:dyDescent="0.15"/>
    <row r="3668" hidden="1" x14ac:dyDescent="0.15"/>
    <row r="3669" hidden="1" x14ac:dyDescent="0.15"/>
    <row r="3670" hidden="1" x14ac:dyDescent="0.15"/>
    <row r="3671" hidden="1" x14ac:dyDescent="0.15"/>
    <row r="3672" hidden="1" x14ac:dyDescent="0.15"/>
    <row r="3673" hidden="1" x14ac:dyDescent="0.15"/>
    <row r="3674" hidden="1" x14ac:dyDescent="0.15"/>
    <row r="3675" hidden="1" x14ac:dyDescent="0.15"/>
    <row r="3676" hidden="1" x14ac:dyDescent="0.15"/>
    <row r="3677" hidden="1" x14ac:dyDescent="0.15"/>
    <row r="3678" hidden="1" x14ac:dyDescent="0.15"/>
    <row r="3679" hidden="1" x14ac:dyDescent="0.15"/>
    <row r="3680" hidden="1" x14ac:dyDescent="0.15"/>
    <row r="3681" hidden="1" x14ac:dyDescent="0.15"/>
    <row r="3682" hidden="1" x14ac:dyDescent="0.15"/>
    <row r="3683" hidden="1" x14ac:dyDescent="0.15"/>
    <row r="3684" hidden="1" x14ac:dyDescent="0.15"/>
    <row r="3685" hidden="1" x14ac:dyDescent="0.15"/>
    <row r="3686" hidden="1" x14ac:dyDescent="0.15"/>
    <row r="3687" hidden="1" x14ac:dyDescent="0.15"/>
    <row r="3688" hidden="1" x14ac:dyDescent="0.15"/>
    <row r="3689" hidden="1" x14ac:dyDescent="0.15"/>
    <row r="3690" hidden="1" x14ac:dyDescent="0.15"/>
    <row r="3691" hidden="1" x14ac:dyDescent="0.15"/>
    <row r="3692" hidden="1" x14ac:dyDescent="0.15"/>
    <row r="3693" hidden="1" x14ac:dyDescent="0.15"/>
    <row r="3694" hidden="1" x14ac:dyDescent="0.15"/>
    <row r="3695" hidden="1" x14ac:dyDescent="0.15"/>
    <row r="3696" hidden="1" x14ac:dyDescent="0.15"/>
    <row r="3697" hidden="1" x14ac:dyDescent="0.15"/>
    <row r="3698" hidden="1" x14ac:dyDescent="0.15"/>
    <row r="3699" hidden="1" x14ac:dyDescent="0.15"/>
    <row r="3700" hidden="1" x14ac:dyDescent="0.15"/>
    <row r="3701" hidden="1" x14ac:dyDescent="0.15"/>
    <row r="3702" hidden="1" x14ac:dyDescent="0.15"/>
    <row r="3703" hidden="1" x14ac:dyDescent="0.15"/>
    <row r="3704" hidden="1" x14ac:dyDescent="0.15"/>
    <row r="3705" hidden="1" x14ac:dyDescent="0.15"/>
    <row r="3706" hidden="1" x14ac:dyDescent="0.15"/>
    <row r="3707" hidden="1" x14ac:dyDescent="0.15"/>
    <row r="3708" hidden="1" x14ac:dyDescent="0.15"/>
    <row r="3709" hidden="1" x14ac:dyDescent="0.15"/>
    <row r="3710" hidden="1" x14ac:dyDescent="0.15"/>
    <row r="3711" hidden="1" x14ac:dyDescent="0.15"/>
    <row r="3712" hidden="1" x14ac:dyDescent="0.15"/>
    <row r="3713" hidden="1" x14ac:dyDescent="0.15"/>
    <row r="3714" hidden="1" x14ac:dyDescent="0.15"/>
    <row r="3715" hidden="1" x14ac:dyDescent="0.15"/>
    <row r="3716" hidden="1" x14ac:dyDescent="0.15"/>
    <row r="3717" hidden="1" x14ac:dyDescent="0.15"/>
    <row r="3718" hidden="1" x14ac:dyDescent="0.15"/>
    <row r="3719" hidden="1" x14ac:dyDescent="0.15"/>
    <row r="3720" hidden="1" x14ac:dyDescent="0.15"/>
    <row r="3721" hidden="1" x14ac:dyDescent="0.15"/>
    <row r="3722" hidden="1" x14ac:dyDescent="0.15"/>
    <row r="3723" hidden="1" x14ac:dyDescent="0.15"/>
    <row r="3724" hidden="1" x14ac:dyDescent="0.15"/>
    <row r="3725" hidden="1" x14ac:dyDescent="0.15"/>
    <row r="3726" hidden="1" x14ac:dyDescent="0.15"/>
    <row r="3727" hidden="1" x14ac:dyDescent="0.15"/>
    <row r="3728" hidden="1" x14ac:dyDescent="0.15"/>
    <row r="3729" hidden="1" x14ac:dyDescent="0.15"/>
    <row r="3730" hidden="1" x14ac:dyDescent="0.15"/>
    <row r="3731" hidden="1" x14ac:dyDescent="0.15"/>
    <row r="3732" hidden="1" x14ac:dyDescent="0.15"/>
    <row r="3733" hidden="1" x14ac:dyDescent="0.15"/>
    <row r="3734" hidden="1" x14ac:dyDescent="0.15"/>
    <row r="3735" hidden="1" x14ac:dyDescent="0.15"/>
    <row r="3736" hidden="1" x14ac:dyDescent="0.15"/>
    <row r="3737" hidden="1" x14ac:dyDescent="0.15"/>
    <row r="3738" hidden="1" x14ac:dyDescent="0.15"/>
    <row r="3739" hidden="1" x14ac:dyDescent="0.15"/>
    <row r="3740" hidden="1" x14ac:dyDescent="0.15"/>
    <row r="3741" hidden="1" x14ac:dyDescent="0.15"/>
    <row r="3742" hidden="1" x14ac:dyDescent="0.15"/>
    <row r="3743" hidden="1" x14ac:dyDescent="0.15"/>
    <row r="3744" hidden="1" x14ac:dyDescent="0.15"/>
    <row r="3745" hidden="1" x14ac:dyDescent="0.15"/>
    <row r="3746" hidden="1" x14ac:dyDescent="0.15"/>
    <row r="3747" hidden="1" x14ac:dyDescent="0.15"/>
    <row r="3748" hidden="1" x14ac:dyDescent="0.15"/>
    <row r="3749" hidden="1" x14ac:dyDescent="0.15"/>
    <row r="3750" hidden="1" x14ac:dyDescent="0.15"/>
    <row r="3751" hidden="1" x14ac:dyDescent="0.15"/>
    <row r="3752" hidden="1" x14ac:dyDescent="0.15"/>
    <row r="3753" hidden="1" x14ac:dyDescent="0.15"/>
    <row r="3754" hidden="1" x14ac:dyDescent="0.15"/>
    <row r="3755" hidden="1" x14ac:dyDescent="0.15"/>
    <row r="3756" hidden="1" x14ac:dyDescent="0.15"/>
    <row r="3757" hidden="1" x14ac:dyDescent="0.15"/>
    <row r="3758" hidden="1" x14ac:dyDescent="0.15"/>
    <row r="3759" hidden="1" x14ac:dyDescent="0.15"/>
    <row r="3760" hidden="1" x14ac:dyDescent="0.15"/>
    <row r="3761" hidden="1" x14ac:dyDescent="0.15"/>
    <row r="3762" hidden="1" x14ac:dyDescent="0.15"/>
    <row r="3763" hidden="1" x14ac:dyDescent="0.15"/>
    <row r="3764" hidden="1" x14ac:dyDescent="0.15"/>
    <row r="3765" hidden="1" x14ac:dyDescent="0.15"/>
    <row r="3766" hidden="1" x14ac:dyDescent="0.15"/>
    <row r="3767" hidden="1" x14ac:dyDescent="0.15"/>
    <row r="3768" hidden="1" x14ac:dyDescent="0.15"/>
    <row r="3769" hidden="1" x14ac:dyDescent="0.15"/>
    <row r="3770" hidden="1" x14ac:dyDescent="0.15"/>
    <row r="3771" hidden="1" x14ac:dyDescent="0.15"/>
    <row r="3772" hidden="1" x14ac:dyDescent="0.15"/>
    <row r="3773" hidden="1" x14ac:dyDescent="0.15"/>
    <row r="3774" hidden="1" x14ac:dyDescent="0.15"/>
    <row r="3775" hidden="1" x14ac:dyDescent="0.15"/>
    <row r="3776" hidden="1" x14ac:dyDescent="0.15"/>
    <row r="3777" hidden="1" x14ac:dyDescent="0.15"/>
    <row r="3778" hidden="1" x14ac:dyDescent="0.15"/>
    <row r="3779" hidden="1" x14ac:dyDescent="0.15"/>
    <row r="3780" hidden="1" x14ac:dyDescent="0.15"/>
    <row r="3781" hidden="1" x14ac:dyDescent="0.15"/>
    <row r="3782" hidden="1" x14ac:dyDescent="0.15"/>
    <row r="3783" hidden="1" x14ac:dyDescent="0.15"/>
    <row r="3784" hidden="1" x14ac:dyDescent="0.15"/>
    <row r="3785" hidden="1" x14ac:dyDescent="0.15"/>
    <row r="3786" hidden="1" x14ac:dyDescent="0.15"/>
    <row r="3787" hidden="1" x14ac:dyDescent="0.15"/>
    <row r="3788" hidden="1" x14ac:dyDescent="0.15"/>
    <row r="3789" hidden="1" x14ac:dyDescent="0.15"/>
    <row r="3790" hidden="1" x14ac:dyDescent="0.15"/>
    <row r="3791" hidden="1" x14ac:dyDescent="0.15"/>
    <row r="3792" hidden="1" x14ac:dyDescent="0.15"/>
    <row r="3793" hidden="1" x14ac:dyDescent="0.15"/>
    <row r="3794" hidden="1" x14ac:dyDescent="0.15"/>
    <row r="3795" hidden="1" x14ac:dyDescent="0.15"/>
    <row r="3796" hidden="1" x14ac:dyDescent="0.15"/>
    <row r="3797" hidden="1" x14ac:dyDescent="0.15"/>
    <row r="3798" hidden="1" x14ac:dyDescent="0.15"/>
    <row r="3799" hidden="1" x14ac:dyDescent="0.15"/>
    <row r="3800" hidden="1" x14ac:dyDescent="0.15"/>
    <row r="3801" hidden="1" x14ac:dyDescent="0.15"/>
    <row r="3802" hidden="1" x14ac:dyDescent="0.15"/>
    <row r="3803" hidden="1" x14ac:dyDescent="0.15"/>
    <row r="3804" hidden="1" x14ac:dyDescent="0.15"/>
    <row r="3805" hidden="1" x14ac:dyDescent="0.15"/>
    <row r="3806" hidden="1" x14ac:dyDescent="0.15"/>
    <row r="3807" hidden="1" x14ac:dyDescent="0.15"/>
    <row r="3808" hidden="1" x14ac:dyDescent="0.15"/>
    <row r="3809" hidden="1" x14ac:dyDescent="0.15"/>
    <row r="3810" hidden="1" x14ac:dyDescent="0.15"/>
    <row r="3811" hidden="1" x14ac:dyDescent="0.15"/>
    <row r="3812" hidden="1" x14ac:dyDescent="0.15"/>
    <row r="3813" hidden="1" x14ac:dyDescent="0.15"/>
    <row r="3814" hidden="1" x14ac:dyDescent="0.15"/>
    <row r="3815" hidden="1" x14ac:dyDescent="0.15"/>
    <row r="3816" hidden="1" x14ac:dyDescent="0.15"/>
    <row r="3817" hidden="1" x14ac:dyDescent="0.15"/>
    <row r="3818" hidden="1" x14ac:dyDescent="0.15"/>
    <row r="3819" hidden="1" x14ac:dyDescent="0.15"/>
    <row r="3820" hidden="1" x14ac:dyDescent="0.15"/>
    <row r="3821" hidden="1" x14ac:dyDescent="0.15"/>
    <row r="3822" hidden="1" x14ac:dyDescent="0.15"/>
    <row r="3823" hidden="1" x14ac:dyDescent="0.15"/>
    <row r="3824" hidden="1" x14ac:dyDescent="0.15"/>
    <row r="3825" hidden="1" x14ac:dyDescent="0.15"/>
    <row r="3826" hidden="1" x14ac:dyDescent="0.15"/>
    <row r="3827" hidden="1" x14ac:dyDescent="0.15"/>
    <row r="3828" hidden="1" x14ac:dyDescent="0.15"/>
    <row r="3829" hidden="1" x14ac:dyDescent="0.15"/>
    <row r="3830" hidden="1" x14ac:dyDescent="0.15"/>
    <row r="3831" hidden="1" x14ac:dyDescent="0.15"/>
    <row r="3832" hidden="1" x14ac:dyDescent="0.15"/>
    <row r="3833" hidden="1" x14ac:dyDescent="0.15"/>
    <row r="3834" hidden="1" x14ac:dyDescent="0.15"/>
    <row r="3835" hidden="1" x14ac:dyDescent="0.15"/>
    <row r="3836" hidden="1" x14ac:dyDescent="0.15"/>
    <row r="3837" hidden="1" x14ac:dyDescent="0.15"/>
    <row r="3838" hidden="1" x14ac:dyDescent="0.15"/>
    <row r="3839" hidden="1" x14ac:dyDescent="0.15"/>
    <row r="3840" hidden="1" x14ac:dyDescent="0.15"/>
    <row r="3841" hidden="1" x14ac:dyDescent="0.15"/>
    <row r="3842" hidden="1" x14ac:dyDescent="0.15"/>
    <row r="3843" hidden="1" x14ac:dyDescent="0.15"/>
    <row r="3844" hidden="1" x14ac:dyDescent="0.15"/>
    <row r="3845" hidden="1" x14ac:dyDescent="0.15"/>
    <row r="3846" hidden="1" x14ac:dyDescent="0.15"/>
    <row r="3847" hidden="1" x14ac:dyDescent="0.15"/>
    <row r="3848" hidden="1" x14ac:dyDescent="0.15"/>
    <row r="3849" hidden="1" x14ac:dyDescent="0.15"/>
    <row r="3850" hidden="1" x14ac:dyDescent="0.15"/>
    <row r="3851" hidden="1" x14ac:dyDescent="0.15"/>
    <row r="3852" hidden="1" x14ac:dyDescent="0.15"/>
    <row r="3853" hidden="1" x14ac:dyDescent="0.15"/>
    <row r="3854" hidden="1" x14ac:dyDescent="0.15"/>
    <row r="3855" hidden="1" x14ac:dyDescent="0.15"/>
    <row r="3856" hidden="1" x14ac:dyDescent="0.15"/>
    <row r="3857" hidden="1" x14ac:dyDescent="0.15"/>
    <row r="3858" hidden="1" x14ac:dyDescent="0.15"/>
    <row r="3859" hidden="1" x14ac:dyDescent="0.15"/>
    <row r="3860" hidden="1" x14ac:dyDescent="0.15"/>
    <row r="3861" hidden="1" x14ac:dyDescent="0.15"/>
    <row r="3862" hidden="1" x14ac:dyDescent="0.15"/>
    <row r="3863" hidden="1" x14ac:dyDescent="0.15"/>
    <row r="3864" hidden="1" x14ac:dyDescent="0.15"/>
    <row r="3865" hidden="1" x14ac:dyDescent="0.15"/>
    <row r="3866" hidden="1" x14ac:dyDescent="0.15"/>
    <row r="3867" hidden="1" x14ac:dyDescent="0.15"/>
    <row r="3868" hidden="1" x14ac:dyDescent="0.15"/>
    <row r="3869" hidden="1" x14ac:dyDescent="0.15"/>
    <row r="3870" hidden="1" x14ac:dyDescent="0.15"/>
    <row r="3871" hidden="1" x14ac:dyDescent="0.15"/>
    <row r="3872" hidden="1" x14ac:dyDescent="0.15"/>
    <row r="3873" hidden="1" x14ac:dyDescent="0.15"/>
    <row r="3874" hidden="1" x14ac:dyDescent="0.15"/>
    <row r="3875" hidden="1" x14ac:dyDescent="0.15"/>
    <row r="3876" hidden="1" x14ac:dyDescent="0.15"/>
    <row r="3877" hidden="1" x14ac:dyDescent="0.15"/>
    <row r="3878" hidden="1" x14ac:dyDescent="0.15"/>
    <row r="3879" hidden="1" x14ac:dyDescent="0.15"/>
    <row r="3880" hidden="1" x14ac:dyDescent="0.15"/>
    <row r="3881" hidden="1" x14ac:dyDescent="0.15"/>
    <row r="3882" hidden="1" x14ac:dyDescent="0.15"/>
    <row r="3883" hidden="1" x14ac:dyDescent="0.15"/>
    <row r="3884" hidden="1" x14ac:dyDescent="0.15"/>
    <row r="3885" hidden="1" x14ac:dyDescent="0.15"/>
    <row r="3886" hidden="1" x14ac:dyDescent="0.15"/>
    <row r="3887" hidden="1" x14ac:dyDescent="0.15"/>
    <row r="3888" hidden="1" x14ac:dyDescent="0.15"/>
    <row r="3889" hidden="1" x14ac:dyDescent="0.15"/>
    <row r="3890" hidden="1" x14ac:dyDescent="0.15"/>
    <row r="3891" hidden="1" x14ac:dyDescent="0.15"/>
    <row r="3892" hidden="1" x14ac:dyDescent="0.15"/>
    <row r="3893" hidden="1" x14ac:dyDescent="0.15"/>
    <row r="3894" hidden="1" x14ac:dyDescent="0.15"/>
    <row r="3895" hidden="1" x14ac:dyDescent="0.15"/>
    <row r="3896" hidden="1" x14ac:dyDescent="0.15"/>
    <row r="3897" hidden="1" x14ac:dyDescent="0.15"/>
    <row r="3898" hidden="1" x14ac:dyDescent="0.15"/>
    <row r="3899" hidden="1" x14ac:dyDescent="0.15"/>
    <row r="3900" hidden="1" x14ac:dyDescent="0.15"/>
    <row r="3901" hidden="1" x14ac:dyDescent="0.15"/>
    <row r="3902" hidden="1" x14ac:dyDescent="0.15"/>
    <row r="3903" hidden="1" x14ac:dyDescent="0.15"/>
    <row r="3904" hidden="1" x14ac:dyDescent="0.15"/>
    <row r="3905" hidden="1" x14ac:dyDescent="0.15"/>
    <row r="3906" hidden="1" x14ac:dyDescent="0.15"/>
    <row r="3907" hidden="1" x14ac:dyDescent="0.15"/>
    <row r="3908" hidden="1" x14ac:dyDescent="0.15"/>
    <row r="3909" hidden="1" x14ac:dyDescent="0.15"/>
    <row r="3910" hidden="1" x14ac:dyDescent="0.15"/>
    <row r="3911" hidden="1" x14ac:dyDescent="0.15"/>
    <row r="3912" hidden="1" x14ac:dyDescent="0.15"/>
    <row r="3913" hidden="1" x14ac:dyDescent="0.15"/>
    <row r="3914" hidden="1" x14ac:dyDescent="0.15"/>
    <row r="3915" hidden="1" x14ac:dyDescent="0.15"/>
    <row r="3916" hidden="1" x14ac:dyDescent="0.15"/>
    <row r="3917" hidden="1" x14ac:dyDescent="0.15"/>
    <row r="3918" hidden="1" x14ac:dyDescent="0.15"/>
    <row r="3919" hidden="1" x14ac:dyDescent="0.15"/>
    <row r="3920" hidden="1" x14ac:dyDescent="0.15"/>
    <row r="3921" hidden="1" x14ac:dyDescent="0.15"/>
    <row r="3922" hidden="1" x14ac:dyDescent="0.15"/>
    <row r="3923" hidden="1" x14ac:dyDescent="0.15"/>
    <row r="3924" hidden="1" x14ac:dyDescent="0.15"/>
    <row r="3925" hidden="1" x14ac:dyDescent="0.15"/>
    <row r="3926" hidden="1" x14ac:dyDescent="0.15"/>
    <row r="3927" hidden="1" x14ac:dyDescent="0.15"/>
    <row r="3928" hidden="1" x14ac:dyDescent="0.15"/>
    <row r="3929" hidden="1" x14ac:dyDescent="0.15"/>
    <row r="3930" hidden="1" x14ac:dyDescent="0.15"/>
    <row r="3931" hidden="1" x14ac:dyDescent="0.15"/>
    <row r="3932" hidden="1" x14ac:dyDescent="0.15"/>
    <row r="3933" hidden="1" x14ac:dyDescent="0.15"/>
    <row r="3934" hidden="1" x14ac:dyDescent="0.15"/>
    <row r="3935" hidden="1" x14ac:dyDescent="0.15"/>
    <row r="3936" hidden="1" x14ac:dyDescent="0.15"/>
    <row r="3937" hidden="1" x14ac:dyDescent="0.15"/>
    <row r="3938" hidden="1" x14ac:dyDescent="0.15"/>
    <row r="3939" hidden="1" x14ac:dyDescent="0.15"/>
    <row r="3940" hidden="1" x14ac:dyDescent="0.15"/>
    <row r="3941" hidden="1" x14ac:dyDescent="0.15"/>
    <row r="3942" hidden="1" x14ac:dyDescent="0.15"/>
    <row r="3943" hidden="1" x14ac:dyDescent="0.15"/>
    <row r="3944" hidden="1" x14ac:dyDescent="0.15"/>
    <row r="3945" hidden="1" x14ac:dyDescent="0.15"/>
    <row r="3946" hidden="1" x14ac:dyDescent="0.15"/>
    <row r="3947" hidden="1" x14ac:dyDescent="0.15"/>
    <row r="3948" hidden="1" x14ac:dyDescent="0.15"/>
    <row r="3949" hidden="1" x14ac:dyDescent="0.15"/>
    <row r="3950" hidden="1" x14ac:dyDescent="0.15"/>
    <row r="3951" hidden="1" x14ac:dyDescent="0.15"/>
    <row r="3952" hidden="1" x14ac:dyDescent="0.15"/>
    <row r="3953" hidden="1" x14ac:dyDescent="0.15"/>
    <row r="3954" hidden="1" x14ac:dyDescent="0.15"/>
    <row r="3955" hidden="1" x14ac:dyDescent="0.15"/>
    <row r="3956" hidden="1" x14ac:dyDescent="0.15"/>
    <row r="3957" hidden="1" x14ac:dyDescent="0.15"/>
    <row r="3958" hidden="1" x14ac:dyDescent="0.15"/>
    <row r="3959" hidden="1" x14ac:dyDescent="0.15"/>
    <row r="3960" hidden="1" x14ac:dyDescent="0.15"/>
    <row r="3961" hidden="1" x14ac:dyDescent="0.15"/>
    <row r="3962" hidden="1" x14ac:dyDescent="0.15"/>
    <row r="3963" hidden="1" x14ac:dyDescent="0.15"/>
    <row r="3964" hidden="1" x14ac:dyDescent="0.15"/>
    <row r="3965" hidden="1" x14ac:dyDescent="0.15"/>
    <row r="3966" hidden="1" x14ac:dyDescent="0.15"/>
    <row r="3967" hidden="1" x14ac:dyDescent="0.15"/>
    <row r="3968" hidden="1" x14ac:dyDescent="0.15"/>
    <row r="3969" hidden="1" x14ac:dyDescent="0.15"/>
    <row r="3970" hidden="1" x14ac:dyDescent="0.15"/>
    <row r="3971" hidden="1" x14ac:dyDescent="0.15"/>
    <row r="3972" hidden="1" x14ac:dyDescent="0.15"/>
    <row r="3973" hidden="1" x14ac:dyDescent="0.15"/>
    <row r="3974" hidden="1" x14ac:dyDescent="0.15"/>
    <row r="3975" hidden="1" x14ac:dyDescent="0.15"/>
    <row r="3976" hidden="1" x14ac:dyDescent="0.15"/>
    <row r="3977" hidden="1" x14ac:dyDescent="0.15"/>
    <row r="3978" hidden="1" x14ac:dyDescent="0.15"/>
    <row r="3979" hidden="1" x14ac:dyDescent="0.15"/>
    <row r="3980" hidden="1" x14ac:dyDescent="0.15"/>
    <row r="3981" hidden="1" x14ac:dyDescent="0.15"/>
    <row r="3982" hidden="1" x14ac:dyDescent="0.15"/>
    <row r="3983" hidden="1" x14ac:dyDescent="0.15"/>
    <row r="3984" hidden="1" x14ac:dyDescent="0.15"/>
    <row r="3985" hidden="1" x14ac:dyDescent="0.15"/>
    <row r="3986" hidden="1" x14ac:dyDescent="0.15"/>
    <row r="3987" hidden="1" x14ac:dyDescent="0.15"/>
    <row r="3988" hidden="1" x14ac:dyDescent="0.15"/>
    <row r="3989" hidden="1" x14ac:dyDescent="0.15"/>
    <row r="3990" hidden="1" x14ac:dyDescent="0.15"/>
    <row r="3991" hidden="1" x14ac:dyDescent="0.15"/>
    <row r="3992" hidden="1" x14ac:dyDescent="0.15"/>
    <row r="3993" hidden="1" x14ac:dyDescent="0.15"/>
    <row r="3994" hidden="1" x14ac:dyDescent="0.15"/>
    <row r="3995" hidden="1" x14ac:dyDescent="0.15"/>
    <row r="3996" hidden="1" x14ac:dyDescent="0.15"/>
    <row r="3997" hidden="1" x14ac:dyDescent="0.15"/>
    <row r="3998" hidden="1" x14ac:dyDescent="0.15"/>
    <row r="3999" hidden="1" x14ac:dyDescent="0.15"/>
    <row r="4000" hidden="1" x14ac:dyDescent="0.15"/>
    <row r="4001" hidden="1" x14ac:dyDescent="0.15"/>
    <row r="4002" hidden="1" x14ac:dyDescent="0.15"/>
    <row r="4003" hidden="1" x14ac:dyDescent="0.15"/>
    <row r="4004" hidden="1" x14ac:dyDescent="0.15"/>
    <row r="4005" hidden="1" x14ac:dyDescent="0.15"/>
    <row r="4006" hidden="1" x14ac:dyDescent="0.15"/>
    <row r="4007" hidden="1" x14ac:dyDescent="0.15"/>
    <row r="4008" hidden="1" x14ac:dyDescent="0.15"/>
    <row r="4009" hidden="1" x14ac:dyDescent="0.15"/>
    <row r="4010" hidden="1" x14ac:dyDescent="0.15"/>
    <row r="4011" hidden="1" x14ac:dyDescent="0.15"/>
    <row r="4012" hidden="1" x14ac:dyDescent="0.15"/>
    <row r="4013" hidden="1" x14ac:dyDescent="0.15"/>
    <row r="4014" hidden="1" x14ac:dyDescent="0.15"/>
    <row r="4015" hidden="1" x14ac:dyDescent="0.15"/>
    <row r="4016" hidden="1" x14ac:dyDescent="0.15"/>
    <row r="4017" hidden="1" x14ac:dyDescent="0.15"/>
    <row r="4018" hidden="1" x14ac:dyDescent="0.15"/>
    <row r="4019" hidden="1" x14ac:dyDescent="0.15"/>
    <row r="4020" hidden="1" x14ac:dyDescent="0.15"/>
    <row r="4021" hidden="1" x14ac:dyDescent="0.15"/>
    <row r="4022" hidden="1" x14ac:dyDescent="0.15"/>
    <row r="4023" hidden="1" x14ac:dyDescent="0.15"/>
    <row r="4024" hidden="1" x14ac:dyDescent="0.15"/>
    <row r="4025" hidden="1" x14ac:dyDescent="0.15"/>
    <row r="4026" hidden="1" x14ac:dyDescent="0.15"/>
    <row r="4027" hidden="1" x14ac:dyDescent="0.15"/>
    <row r="4028" hidden="1" x14ac:dyDescent="0.15"/>
    <row r="4029" hidden="1" x14ac:dyDescent="0.15"/>
    <row r="4030" hidden="1" x14ac:dyDescent="0.15"/>
    <row r="4031" hidden="1" x14ac:dyDescent="0.15"/>
    <row r="4032" hidden="1" x14ac:dyDescent="0.15"/>
    <row r="4033" hidden="1" x14ac:dyDescent="0.15"/>
    <row r="4034" hidden="1" x14ac:dyDescent="0.15"/>
    <row r="4035" hidden="1" x14ac:dyDescent="0.15"/>
    <row r="4036" hidden="1" x14ac:dyDescent="0.15"/>
    <row r="4037" hidden="1" x14ac:dyDescent="0.15"/>
    <row r="4038" hidden="1" x14ac:dyDescent="0.15"/>
    <row r="4039" hidden="1" x14ac:dyDescent="0.15"/>
    <row r="4040" hidden="1" x14ac:dyDescent="0.15"/>
    <row r="4041" hidden="1" x14ac:dyDescent="0.15"/>
    <row r="4042" hidden="1" x14ac:dyDescent="0.15"/>
    <row r="4043" hidden="1" x14ac:dyDescent="0.15"/>
    <row r="4044" hidden="1" x14ac:dyDescent="0.15"/>
    <row r="4045" hidden="1" x14ac:dyDescent="0.15"/>
    <row r="4046" hidden="1" x14ac:dyDescent="0.15"/>
    <row r="4047" hidden="1" x14ac:dyDescent="0.15"/>
    <row r="4048" hidden="1" x14ac:dyDescent="0.15"/>
    <row r="4049" hidden="1" x14ac:dyDescent="0.15"/>
    <row r="4050" hidden="1" x14ac:dyDescent="0.15"/>
    <row r="4051" hidden="1" x14ac:dyDescent="0.15"/>
    <row r="4052" hidden="1" x14ac:dyDescent="0.15"/>
    <row r="4053" hidden="1" x14ac:dyDescent="0.15"/>
    <row r="4054" hidden="1" x14ac:dyDescent="0.15"/>
    <row r="4055" hidden="1" x14ac:dyDescent="0.15"/>
    <row r="4056" hidden="1" x14ac:dyDescent="0.15"/>
    <row r="4057" hidden="1" x14ac:dyDescent="0.15"/>
    <row r="4058" hidden="1" x14ac:dyDescent="0.15"/>
    <row r="4059" hidden="1" x14ac:dyDescent="0.15"/>
    <row r="4060" hidden="1" x14ac:dyDescent="0.15"/>
    <row r="4061" hidden="1" x14ac:dyDescent="0.15"/>
    <row r="4062" hidden="1" x14ac:dyDescent="0.15"/>
    <row r="4063" hidden="1" x14ac:dyDescent="0.15"/>
    <row r="4064" hidden="1" x14ac:dyDescent="0.15"/>
    <row r="4065" hidden="1" x14ac:dyDescent="0.15"/>
    <row r="4066" hidden="1" x14ac:dyDescent="0.15"/>
    <row r="4067" hidden="1" x14ac:dyDescent="0.15"/>
    <row r="4068" hidden="1" x14ac:dyDescent="0.15"/>
    <row r="4069" hidden="1" x14ac:dyDescent="0.15"/>
    <row r="4070" hidden="1" x14ac:dyDescent="0.15"/>
    <row r="4071" hidden="1" x14ac:dyDescent="0.15"/>
    <row r="4072" hidden="1" x14ac:dyDescent="0.15"/>
    <row r="4073" hidden="1" x14ac:dyDescent="0.15"/>
    <row r="4074" hidden="1" x14ac:dyDescent="0.15"/>
    <row r="4075" hidden="1" x14ac:dyDescent="0.15"/>
    <row r="4076" hidden="1" x14ac:dyDescent="0.15"/>
    <row r="4077" hidden="1" x14ac:dyDescent="0.15"/>
    <row r="4078" hidden="1" x14ac:dyDescent="0.15"/>
    <row r="4079" hidden="1" x14ac:dyDescent="0.15"/>
    <row r="4080" hidden="1" x14ac:dyDescent="0.15"/>
    <row r="4081" hidden="1" x14ac:dyDescent="0.15"/>
    <row r="4082" hidden="1" x14ac:dyDescent="0.15"/>
    <row r="4083" hidden="1" x14ac:dyDescent="0.15"/>
    <row r="4084" hidden="1" x14ac:dyDescent="0.15"/>
    <row r="4085" hidden="1" x14ac:dyDescent="0.15"/>
    <row r="4086" hidden="1" x14ac:dyDescent="0.15"/>
    <row r="4087" hidden="1" x14ac:dyDescent="0.15"/>
    <row r="4088" hidden="1" x14ac:dyDescent="0.15"/>
    <row r="4089" hidden="1" x14ac:dyDescent="0.15"/>
    <row r="4090" hidden="1" x14ac:dyDescent="0.15"/>
    <row r="4091" hidden="1" x14ac:dyDescent="0.15"/>
    <row r="4092" hidden="1" x14ac:dyDescent="0.15"/>
    <row r="4093" hidden="1" x14ac:dyDescent="0.15"/>
    <row r="4094" hidden="1" x14ac:dyDescent="0.15"/>
    <row r="4095" hidden="1" x14ac:dyDescent="0.15"/>
    <row r="4096" hidden="1" x14ac:dyDescent="0.15"/>
    <row r="4097" hidden="1" x14ac:dyDescent="0.15"/>
    <row r="4098" hidden="1" x14ac:dyDescent="0.15"/>
    <row r="4099" hidden="1" x14ac:dyDescent="0.15"/>
    <row r="4100" hidden="1" x14ac:dyDescent="0.15"/>
    <row r="4101" hidden="1" x14ac:dyDescent="0.15"/>
    <row r="4102" hidden="1" x14ac:dyDescent="0.15"/>
    <row r="4103" hidden="1" x14ac:dyDescent="0.15"/>
    <row r="4104" hidden="1" x14ac:dyDescent="0.15"/>
    <row r="4105" hidden="1" x14ac:dyDescent="0.15"/>
    <row r="4106" hidden="1" x14ac:dyDescent="0.15"/>
    <row r="4107" hidden="1" x14ac:dyDescent="0.15"/>
    <row r="4108" hidden="1" x14ac:dyDescent="0.15"/>
    <row r="4109" hidden="1" x14ac:dyDescent="0.15"/>
    <row r="4110" hidden="1" x14ac:dyDescent="0.15"/>
    <row r="4111" hidden="1" x14ac:dyDescent="0.15"/>
    <row r="4112" hidden="1" x14ac:dyDescent="0.15"/>
    <row r="4113" hidden="1" x14ac:dyDescent="0.15"/>
    <row r="4114" hidden="1" x14ac:dyDescent="0.15"/>
    <row r="4115" hidden="1" x14ac:dyDescent="0.15"/>
    <row r="4116" hidden="1" x14ac:dyDescent="0.15"/>
    <row r="4117" hidden="1" x14ac:dyDescent="0.15"/>
    <row r="4118" hidden="1" x14ac:dyDescent="0.15"/>
    <row r="4119" hidden="1" x14ac:dyDescent="0.15"/>
    <row r="4120" hidden="1" x14ac:dyDescent="0.15"/>
    <row r="4121" hidden="1" x14ac:dyDescent="0.15"/>
    <row r="4122" hidden="1" x14ac:dyDescent="0.15"/>
    <row r="4123" hidden="1" x14ac:dyDescent="0.15"/>
    <row r="4124" hidden="1" x14ac:dyDescent="0.15"/>
    <row r="4125" hidden="1" x14ac:dyDescent="0.15"/>
    <row r="4126" hidden="1" x14ac:dyDescent="0.15"/>
    <row r="4127" hidden="1" x14ac:dyDescent="0.15"/>
    <row r="4128" hidden="1" x14ac:dyDescent="0.15"/>
    <row r="4129" hidden="1" x14ac:dyDescent="0.15"/>
    <row r="4130" hidden="1" x14ac:dyDescent="0.15"/>
    <row r="4131" hidden="1" x14ac:dyDescent="0.15"/>
    <row r="4132" hidden="1" x14ac:dyDescent="0.15"/>
    <row r="4133" hidden="1" x14ac:dyDescent="0.15"/>
    <row r="4134" hidden="1" x14ac:dyDescent="0.15"/>
    <row r="4135" hidden="1" x14ac:dyDescent="0.15"/>
    <row r="4136" hidden="1" x14ac:dyDescent="0.15"/>
    <row r="4137" hidden="1" x14ac:dyDescent="0.15"/>
    <row r="4138" hidden="1" x14ac:dyDescent="0.15"/>
    <row r="4139" hidden="1" x14ac:dyDescent="0.15"/>
    <row r="4140" hidden="1" x14ac:dyDescent="0.15"/>
    <row r="4141" hidden="1" x14ac:dyDescent="0.15"/>
    <row r="4142" hidden="1" x14ac:dyDescent="0.15"/>
    <row r="4143" hidden="1" x14ac:dyDescent="0.15"/>
    <row r="4144" hidden="1" x14ac:dyDescent="0.15"/>
    <row r="4145" hidden="1" x14ac:dyDescent="0.15"/>
    <row r="4146" hidden="1" x14ac:dyDescent="0.15"/>
    <row r="4147" hidden="1" x14ac:dyDescent="0.15"/>
    <row r="4148" hidden="1" x14ac:dyDescent="0.15"/>
    <row r="4149" hidden="1" x14ac:dyDescent="0.15"/>
    <row r="4150" hidden="1" x14ac:dyDescent="0.15"/>
    <row r="4151" hidden="1" x14ac:dyDescent="0.15"/>
    <row r="4152" hidden="1" x14ac:dyDescent="0.15"/>
    <row r="4153" hidden="1" x14ac:dyDescent="0.15"/>
    <row r="4154" hidden="1" x14ac:dyDescent="0.15"/>
    <row r="4155" hidden="1" x14ac:dyDescent="0.15"/>
    <row r="4156" hidden="1" x14ac:dyDescent="0.15"/>
    <row r="4157" hidden="1" x14ac:dyDescent="0.15"/>
    <row r="4158" hidden="1" x14ac:dyDescent="0.15"/>
    <row r="4159" hidden="1" x14ac:dyDescent="0.15"/>
    <row r="4160" hidden="1" x14ac:dyDescent="0.15"/>
    <row r="4161" hidden="1" x14ac:dyDescent="0.15"/>
    <row r="4162" hidden="1" x14ac:dyDescent="0.15"/>
    <row r="4163" hidden="1" x14ac:dyDescent="0.15"/>
    <row r="4164" hidden="1" x14ac:dyDescent="0.15"/>
    <row r="4165" hidden="1" x14ac:dyDescent="0.15"/>
    <row r="4166" hidden="1" x14ac:dyDescent="0.15"/>
    <row r="4167" hidden="1" x14ac:dyDescent="0.15"/>
    <row r="4168" hidden="1" x14ac:dyDescent="0.15"/>
    <row r="4169" hidden="1" x14ac:dyDescent="0.15"/>
    <row r="4170" hidden="1" x14ac:dyDescent="0.15"/>
    <row r="4171" hidden="1" x14ac:dyDescent="0.15"/>
    <row r="4172" hidden="1" x14ac:dyDescent="0.15"/>
    <row r="4173" hidden="1" x14ac:dyDescent="0.15"/>
    <row r="4174" hidden="1" x14ac:dyDescent="0.15"/>
    <row r="4175" hidden="1" x14ac:dyDescent="0.15"/>
    <row r="4176" hidden="1" x14ac:dyDescent="0.15"/>
    <row r="4177" hidden="1" x14ac:dyDescent="0.15"/>
    <row r="4178" hidden="1" x14ac:dyDescent="0.15"/>
    <row r="4179" hidden="1" x14ac:dyDescent="0.15"/>
    <row r="4180" hidden="1" x14ac:dyDescent="0.15"/>
    <row r="4181" hidden="1" x14ac:dyDescent="0.15"/>
    <row r="4182" hidden="1" x14ac:dyDescent="0.15"/>
    <row r="4183" hidden="1" x14ac:dyDescent="0.15"/>
    <row r="4184" hidden="1" x14ac:dyDescent="0.15"/>
    <row r="4185" hidden="1" x14ac:dyDescent="0.15"/>
    <row r="4186" hidden="1" x14ac:dyDescent="0.15"/>
    <row r="4187" hidden="1" x14ac:dyDescent="0.15"/>
    <row r="4188" hidden="1" x14ac:dyDescent="0.15"/>
    <row r="4189" hidden="1" x14ac:dyDescent="0.15"/>
    <row r="4190" hidden="1" x14ac:dyDescent="0.15"/>
    <row r="4191" hidden="1" x14ac:dyDescent="0.15"/>
    <row r="4192" hidden="1" x14ac:dyDescent="0.15"/>
    <row r="4193" hidden="1" x14ac:dyDescent="0.15"/>
    <row r="4194" hidden="1" x14ac:dyDescent="0.15"/>
    <row r="4195" hidden="1" x14ac:dyDescent="0.15"/>
    <row r="4196" hidden="1" x14ac:dyDescent="0.15"/>
    <row r="4197" hidden="1" x14ac:dyDescent="0.15"/>
    <row r="4198" hidden="1" x14ac:dyDescent="0.15"/>
    <row r="4199" hidden="1" x14ac:dyDescent="0.15"/>
    <row r="4200" hidden="1" x14ac:dyDescent="0.15"/>
    <row r="4201" hidden="1" x14ac:dyDescent="0.15"/>
    <row r="4202" hidden="1" x14ac:dyDescent="0.15"/>
    <row r="4203" hidden="1" x14ac:dyDescent="0.15"/>
    <row r="4204" hidden="1" x14ac:dyDescent="0.15"/>
    <row r="4205" hidden="1" x14ac:dyDescent="0.15"/>
    <row r="4206" hidden="1" x14ac:dyDescent="0.15"/>
    <row r="4207" hidden="1" x14ac:dyDescent="0.15"/>
    <row r="4208" hidden="1" x14ac:dyDescent="0.15"/>
    <row r="4209" hidden="1" x14ac:dyDescent="0.15"/>
    <row r="4210" hidden="1" x14ac:dyDescent="0.15"/>
    <row r="4211" hidden="1" x14ac:dyDescent="0.15"/>
    <row r="4212" hidden="1" x14ac:dyDescent="0.15"/>
    <row r="4213" hidden="1" x14ac:dyDescent="0.15"/>
    <row r="4214" hidden="1" x14ac:dyDescent="0.15"/>
    <row r="4215" hidden="1" x14ac:dyDescent="0.15"/>
    <row r="4216" hidden="1" x14ac:dyDescent="0.15"/>
    <row r="4217" hidden="1" x14ac:dyDescent="0.15"/>
    <row r="4218" hidden="1" x14ac:dyDescent="0.15"/>
    <row r="4219" hidden="1" x14ac:dyDescent="0.15"/>
    <row r="4220" hidden="1" x14ac:dyDescent="0.15"/>
    <row r="4221" hidden="1" x14ac:dyDescent="0.15"/>
    <row r="4222" hidden="1" x14ac:dyDescent="0.15"/>
    <row r="4223" hidden="1" x14ac:dyDescent="0.15"/>
    <row r="4224" hidden="1" x14ac:dyDescent="0.15"/>
    <row r="4225" hidden="1" x14ac:dyDescent="0.15"/>
    <row r="4226" hidden="1" x14ac:dyDescent="0.15"/>
    <row r="4227" hidden="1" x14ac:dyDescent="0.15"/>
    <row r="4228" hidden="1" x14ac:dyDescent="0.15"/>
    <row r="4229" hidden="1" x14ac:dyDescent="0.15"/>
    <row r="4230" hidden="1" x14ac:dyDescent="0.15"/>
    <row r="4231" hidden="1" x14ac:dyDescent="0.15"/>
    <row r="4232" hidden="1" x14ac:dyDescent="0.15"/>
    <row r="4233" hidden="1" x14ac:dyDescent="0.15"/>
    <row r="4234" hidden="1" x14ac:dyDescent="0.15"/>
    <row r="4235" hidden="1" x14ac:dyDescent="0.15"/>
    <row r="4236" hidden="1" x14ac:dyDescent="0.15"/>
    <row r="4237" hidden="1" x14ac:dyDescent="0.15"/>
    <row r="4238" hidden="1" x14ac:dyDescent="0.15"/>
    <row r="4239" hidden="1" x14ac:dyDescent="0.15"/>
    <row r="4240" hidden="1" x14ac:dyDescent="0.15"/>
    <row r="4241" hidden="1" x14ac:dyDescent="0.15"/>
    <row r="4242" hidden="1" x14ac:dyDescent="0.15"/>
    <row r="4243" hidden="1" x14ac:dyDescent="0.15"/>
    <row r="4244" hidden="1" x14ac:dyDescent="0.15"/>
    <row r="4245" hidden="1" x14ac:dyDescent="0.15"/>
    <row r="4246" hidden="1" x14ac:dyDescent="0.15"/>
    <row r="4247" hidden="1" x14ac:dyDescent="0.15"/>
    <row r="4248" hidden="1" x14ac:dyDescent="0.15"/>
    <row r="4249" hidden="1" x14ac:dyDescent="0.15"/>
    <row r="4250" hidden="1" x14ac:dyDescent="0.15"/>
    <row r="4251" hidden="1" x14ac:dyDescent="0.15"/>
    <row r="4252" hidden="1" x14ac:dyDescent="0.15"/>
    <row r="4253" hidden="1" x14ac:dyDescent="0.15"/>
    <row r="4254" hidden="1" x14ac:dyDescent="0.15"/>
    <row r="4255" hidden="1" x14ac:dyDescent="0.15"/>
    <row r="4256" hidden="1" x14ac:dyDescent="0.15"/>
    <row r="4257" hidden="1" x14ac:dyDescent="0.15"/>
    <row r="4258" hidden="1" x14ac:dyDescent="0.15"/>
    <row r="4259" hidden="1" x14ac:dyDescent="0.15"/>
    <row r="4260" hidden="1" x14ac:dyDescent="0.15"/>
    <row r="4261" hidden="1" x14ac:dyDescent="0.15"/>
    <row r="4262" hidden="1" x14ac:dyDescent="0.15"/>
    <row r="4263" hidden="1" x14ac:dyDescent="0.15"/>
    <row r="4264" hidden="1" x14ac:dyDescent="0.15"/>
    <row r="4265" hidden="1" x14ac:dyDescent="0.15"/>
    <row r="4266" hidden="1" x14ac:dyDescent="0.15"/>
    <row r="4267" hidden="1" x14ac:dyDescent="0.15"/>
    <row r="4268" hidden="1" x14ac:dyDescent="0.15"/>
    <row r="4269" hidden="1" x14ac:dyDescent="0.15"/>
    <row r="4270" hidden="1" x14ac:dyDescent="0.15"/>
    <row r="4271" hidden="1" x14ac:dyDescent="0.15"/>
    <row r="4272" hidden="1" x14ac:dyDescent="0.15"/>
    <row r="4273" hidden="1" x14ac:dyDescent="0.15"/>
    <row r="4274" hidden="1" x14ac:dyDescent="0.15"/>
    <row r="4275" hidden="1" x14ac:dyDescent="0.15"/>
    <row r="4276" hidden="1" x14ac:dyDescent="0.15"/>
    <row r="4277" hidden="1" x14ac:dyDescent="0.15"/>
    <row r="4278" hidden="1" x14ac:dyDescent="0.15"/>
    <row r="4279" hidden="1" x14ac:dyDescent="0.15"/>
    <row r="4280" hidden="1" x14ac:dyDescent="0.15"/>
    <row r="4281" hidden="1" x14ac:dyDescent="0.15"/>
    <row r="4282" hidden="1" x14ac:dyDescent="0.15"/>
    <row r="4283" hidden="1" x14ac:dyDescent="0.15"/>
    <row r="4284" hidden="1" x14ac:dyDescent="0.15"/>
    <row r="4285" hidden="1" x14ac:dyDescent="0.15"/>
    <row r="4286" hidden="1" x14ac:dyDescent="0.15"/>
    <row r="4287" hidden="1" x14ac:dyDescent="0.15"/>
    <row r="4288" hidden="1" x14ac:dyDescent="0.15"/>
    <row r="4289" hidden="1" x14ac:dyDescent="0.15"/>
    <row r="4290" hidden="1" x14ac:dyDescent="0.15"/>
    <row r="4291" hidden="1" x14ac:dyDescent="0.15"/>
    <row r="4292" hidden="1" x14ac:dyDescent="0.15"/>
    <row r="4293" hidden="1" x14ac:dyDescent="0.15"/>
    <row r="4294" hidden="1" x14ac:dyDescent="0.15"/>
    <row r="4295" hidden="1" x14ac:dyDescent="0.15"/>
    <row r="4296" hidden="1" x14ac:dyDescent="0.15"/>
    <row r="4297" hidden="1" x14ac:dyDescent="0.15"/>
    <row r="4298" hidden="1" x14ac:dyDescent="0.15"/>
    <row r="4299" hidden="1" x14ac:dyDescent="0.15"/>
    <row r="4300" hidden="1" x14ac:dyDescent="0.15"/>
    <row r="4301" hidden="1" x14ac:dyDescent="0.15"/>
    <row r="4302" hidden="1" x14ac:dyDescent="0.15"/>
    <row r="4303" hidden="1" x14ac:dyDescent="0.15"/>
    <row r="4304" hidden="1" x14ac:dyDescent="0.15"/>
    <row r="4305" hidden="1" x14ac:dyDescent="0.15"/>
    <row r="4306" hidden="1" x14ac:dyDescent="0.15"/>
    <row r="4307" hidden="1" x14ac:dyDescent="0.15"/>
    <row r="4308" hidden="1" x14ac:dyDescent="0.15"/>
    <row r="4309" hidden="1" x14ac:dyDescent="0.15"/>
    <row r="4310" hidden="1" x14ac:dyDescent="0.15"/>
    <row r="4311" hidden="1" x14ac:dyDescent="0.15"/>
    <row r="4312" hidden="1" x14ac:dyDescent="0.15"/>
    <row r="4313" hidden="1" x14ac:dyDescent="0.15"/>
    <row r="4314" hidden="1" x14ac:dyDescent="0.15"/>
    <row r="4315" hidden="1" x14ac:dyDescent="0.15"/>
    <row r="4316" hidden="1" x14ac:dyDescent="0.15"/>
    <row r="4317" hidden="1" x14ac:dyDescent="0.15"/>
    <row r="4318" hidden="1" x14ac:dyDescent="0.15"/>
    <row r="4319" hidden="1" x14ac:dyDescent="0.15"/>
    <row r="4320" hidden="1" x14ac:dyDescent="0.15"/>
    <row r="4321" hidden="1" x14ac:dyDescent="0.15"/>
    <row r="4322" hidden="1" x14ac:dyDescent="0.15"/>
    <row r="4323" hidden="1" x14ac:dyDescent="0.15"/>
    <row r="4324" hidden="1" x14ac:dyDescent="0.15"/>
    <row r="4325" hidden="1" x14ac:dyDescent="0.15"/>
    <row r="4326" hidden="1" x14ac:dyDescent="0.15"/>
    <row r="4327" hidden="1" x14ac:dyDescent="0.15"/>
    <row r="4328" hidden="1" x14ac:dyDescent="0.15"/>
    <row r="4329" hidden="1" x14ac:dyDescent="0.15"/>
    <row r="4330" hidden="1" x14ac:dyDescent="0.15"/>
    <row r="4331" hidden="1" x14ac:dyDescent="0.15"/>
    <row r="4332" hidden="1" x14ac:dyDescent="0.15"/>
    <row r="4333" hidden="1" x14ac:dyDescent="0.15"/>
    <row r="4334" hidden="1" x14ac:dyDescent="0.15"/>
    <row r="4335" hidden="1" x14ac:dyDescent="0.15"/>
    <row r="4336" hidden="1" x14ac:dyDescent="0.15"/>
    <row r="4337" hidden="1" x14ac:dyDescent="0.15"/>
    <row r="4338" hidden="1" x14ac:dyDescent="0.15"/>
    <row r="4339" hidden="1" x14ac:dyDescent="0.15"/>
    <row r="4340" hidden="1" x14ac:dyDescent="0.15"/>
    <row r="4341" hidden="1" x14ac:dyDescent="0.15"/>
    <row r="4342" hidden="1" x14ac:dyDescent="0.15"/>
    <row r="4343" hidden="1" x14ac:dyDescent="0.15"/>
    <row r="4344" hidden="1" x14ac:dyDescent="0.15"/>
    <row r="4345" hidden="1" x14ac:dyDescent="0.15"/>
    <row r="4346" hidden="1" x14ac:dyDescent="0.15"/>
    <row r="4347" hidden="1" x14ac:dyDescent="0.15"/>
    <row r="4348" hidden="1" x14ac:dyDescent="0.15"/>
    <row r="4349" hidden="1" x14ac:dyDescent="0.15"/>
    <row r="4350" hidden="1" x14ac:dyDescent="0.15"/>
    <row r="4351" hidden="1" x14ac:dyDescent="0.15"/>
    <row r="4352" hidden="1" x14ac:dyDescent="0.15"/>
    <row r="4353" hidden="1" x14ac:dyDescent="0.15"/>
    <row r="4354" hidden="1" x14ac:dyDescent="0.15"/>
    <row r="4355" hidden="1" x14ac:dyDescent="0.15"/>
    <row r="4356" hidden="1" x14ac:dyDescent="0.15"/>
    <row r="4357" hidden="1" x14ac:dyDescent="0.15"/>
    <row r="4358" hidden="1" x14ac:dyDescent="0.15"/>
    <row r="4359" hidden="1" x14ac:dyDescent="0.15"/>
    <row r="4360" hidden="1" x14ac:dyDescent="0.15"/>
    <row r="4361" hidden="1" x14ac:dyDescent="0.15"/>
    <row r="4362" hidden="1" x14ac:dyDescent="0.15"/>
    <row r="4363" hidden="1" x14ac:dyDescent="0.15"/>
    <row r="4364" hidden="1" x14ac:dyDescent="0.15"/>
    <row r="4365" hidden="1" x14ac:dyDescent="0.15"/>
    <row r="4366" hidden="1" x14ac:dyDescent="0.15"/>
    <row r="4367" hidden="1" x14ac:dyDescent="0.15"/>
    <row r="4368" hidden="1" x14ac:dyDescent="0.15"/>
    <row r="4369" hidden="1" x14ac:dyDescent="0.15"/>
    <row r="4370" hidden="1" x14ac:dyDescent="0.15"/>
    <row r="4371" hidden="1" x14ac:dyDescent="0.15"/>
    <row r="4372" hidden="1" x14ac:dyDescent="0.15"/>
    <row r="4373" hidden="1" x14ac:dyDescent="0.15"/>
    <row r="4374" hidden="1" x14ac:dyDescent="0.15"/>
    <row r="4375" hidden="1" x14ac:dyDescent="0.15"/>
    <row r="4376" hidden="1" x14ac:dyDescent="0.15"/>
    <row r="4377" hidden="1" x14ac:dyDescent="0.15"/>
    <row r="4378" hidden="1" x14ac:dyDescent="0.15"/>
    <row r="4379" hidden="1" x14ac:dyDescent="0.15"/>
    <row r="4380" hidden="1" x14ac:dyDescent="0.15"/>
    <row r="4381" hidden="1" x14ac:dyDescent="0.15"/>
    <row r="4382" hidden="1" x14ac:dyDescent="0.15"/>
    <row r="4383" hidden="1" x14ac:dyDescent="0.15"/>
    <row r="4384" hidden="1" x14ac:dyDescent="0.15"/>
    <row r="4385" hidden="1" x14ac:dyDescent="0.15"/>
    <row r="4386" hidden="1" x14ac:dyDescent="0.15"/>
    <row r="4387" hidden="1" x14ac:dyDescent="0.15"/>
    <row r="4388" hidden="1" x14ac:dyDescent="0.15"/>
    <row r="4389" hidden="1" x14ac:dyDescent="0.15"/>
    <row r="4390" hidden="1" x14ac:dyDescent="0.15"/>
    <row r="4391" hidden="1" x14ac:dyDescent="0.15"/>
    <row r="4392" hidden="1" x14ac:dyDescent="0.15"/>
    <row r="4393" hidden="1" x14ac:dyDescent="0.15"/>
    <row r="4394" hidden="1" x14ac:dyDescent="0.15"/>
    <row r="4395" hidden="1" x14ac:dyDescent="0.15"/>
    <row r="4396" hidden="1" x14ac:dyDescent="0.15"/>
    <row r="4397" hidden="1" x14ac:dyDescent="0.15"/>
    <row r="4398" hidden="1" x14ac:dyDescent="0.15"/>
    <row r="4399" hidden="1" x14ac:dyDescent="0.15"/>
    <row r="4400" hidden="1" x14ac:dyDescent="0.15"/>
    <row r="4401" hidden="1" x14ac:dyDescent="0.15"/>
    <row r="4402" hidden="1" x14ac:dyDescent="0.15"/>
    <row r="4403" hidden="1" x14ac:dyDescent="0.15"/>
    <row r="4404" hidden="1" x14ac:dyDescent="0.15"/>
    <row r="4405" hidden="1" x14ac:dyDescent="0.15"/>
    <row r="4406" hidden="1" x14ac:dyDescent="0.15"/>
    <row r="4407" hidden="1" x14ac:dyDescent="0.15"/>
    <row r="4408" hidden="1" x14ac:dyDescent="0.15"/>
    <row r="4409" hidden="1" x14ac:dyDescent="0.15"/>
    <row r="4410" hidden="1" x14ac:dyDescent="0.15"/>
    <row r="4411" hidden="1" x14ac:dyDescent="0.15"/>
    <row r="4412" hidden="1" x14ac:dyDescent="0.15"/>
    <row r="4413" hidden="1" x14ac:dyDescent="0.15"/>
    <row r="4414" hidden="1" x14ac:dyDescent="0.15"/>
    <row r="4415" hidden="1" x14ac:dyDescent="0.15"/>
    <row r="4416" hidden="1" x14ac:dyDescent="0.15"/>
    <row r="4417" hidden="1" x14ac:dyDescent="0.15"/>
    <row r="4418" hidden="1" x14ac:dyDescent="0.15"/>
    <row r="4419" hidden="1" x14ac:dyDescent="0.15"/>
    <row r="4420" hidden="1" x14ac:dyDescent="0.15"/>
    <row r="4421" hidden="1" x14ac:dyDescent="0.15"/>
    <row r="4422" hidden="1" x14ac:dyDescent="0.15"/>
    <row r="4423" hidden="1" x14ac:dyDescent="0.15"/>
    <row r="4424" hidden="1" x14ac:dyDescent="0.15"/>
    <row r="4425" hidden="1" x14ac:dyDescent="0.15"/>
    <row r="4426" hidden="1" x14ac:dyDescent="0.15"/>
    <row r="4427" hidden="1" x14ac:dyDescent="0.15"/>
    <row r="4428" hidden="1" x14ac:dyDescent="0.15"/>
    <row r="4429" hidden="1" x14ac:dyDescent="0.15"/>
    <row r="4430" hidden="1" x14ac:dyDescent="0.15"/>
    <row r="4431" hidden="1" x14ac:dyDescent="0.15"/>
    <row r="4432" hidden="1" x14ac:dyDescent="0.15"/>
    <row r="4433" hidden="1" x14ac:dyDescent="0.15"/>
    <row r="4434" hidden="1" x14ac:dyDescent="0.15"/>
    <row r="4435" hidden="1" x14ac:dyDescent="0.15"/>
    <row r="4436" hidden="1" x14ac:dyDescent="0.15"/>
    <row r="4437" hidden="1" x14ac:dyDescent="0.15"/>
    <row r="4438" hidden="1" x14ac:dyDescent="0.15"/>
    <row r="4439" hidden="1" x14ac:dyDescent="0.15"/>
    <row r="4440" hidden="1" x14ac:dyDescent="0.15"/>
    <row r="4441" hidden="1" x14ac:dyDescent="0.15"/>
    <row r="4442" hidden="1" x14ac:dyDescent="0.15"/>
    <row r="4443" hidden="1" x14ac:dyDescent="0.15"/>
    <row r="4444" hidden="1" x14ac:dyDescent="0.15"/>
    <row r="4445" hidden="1" x14ac:dyDescent="0.15"/>
    <row r="4446" hidden="1" x14ac:dyDescent="0.15"/>
    <row r="4447" hidden="1" x14ac:dyDescent="0.15"/>
    <row r="4448" hidden="1" x14ac:dyDescent="0.15"/>
    <row r="4449" hidden="1" x14ac:dyDescent="0.15"/>
    <row r="4450" hidden="1" x14ac:dyDescent="0.15"/>
    <row r="4451" hidden="1" x14ac:dyDescent="0.15"/>
    <row r="4452" hidden="1" x14ac:dyDescent="0.15"/>
    <row r="4453" hidden="1" x14ac:dyDescent="0.15"/>
    <row r="4454" hidden="1" x14ac:dyDescent="0.15"/>
    <row r="4455" hidden="1" x14ac:dyDescent="0.15"/>
    <row r="4456" hidden="1" x14ac:dyDescent="0.15"/>
    <row r="4457" hidden="1" x14ac:dyDescent="0.15"/>
    <row r="4458" hidden="1" x14ac:dyDescent="0.15"/>
    <row r="4459" hidden="1" x14ac:dyDescent="0.15"/>
    <row r="4460" hidden="1" x14ac:dyDescent="0.15"/>
    <row r="4461" hidden="1" x14ac:dyDescent="0.15"/>
    <row r="4462" hidden="1" x14ac:dyDescent="0.15"/>
    <row r="4463" hidden="1" x14ac:dyDescent="0.15"/>
    <row r="4464" hidden="1" x14ac:dyDescent="0.15"/>
    <row r="4465" hidden="1" x14ac:dyDescent="0.15"/>
    <row r="4466" hidden="1" x14ac:dyDescent="0.15"/>
    <row r="4467" hidden="1" x14ac:dyDescent="0.15"/>
    <row r="4468" hidden="1" x14ac:dyDescent="0.15"/>
    <row r="4469" hidden="1" x14ac:dyDescent="0.15"/>
    <row r="4470" hidden="1" x14ac:dyDescent="0.15"/>
    <row r="4471" hidden="1" x14ac:dyDescent="0.15"/>
    <row r="4472" hidden="1" x14ac:dyDescent="0.15"/>
    <row r="4473" hidden="1" x14ac:dyDescent="0.15"/>
    <row r="4474" hidden="1" x14ac:dyDescent="0.15"/>
    <row r="4475" hidden="1" x14ac:dyDescent="0.15"/>
    <row r="4476" hidden="1" x14ac:dyDescent="0.15"/>
    <row r="4477" hidden="1" x14ac:dyDescent="0.15"/>
    <row r="4478" hidden="1" x14ac:dyDescent="0.15"/>
    <row r="4479" hidden="1" x14ac:dyDescent="0.15"/>
    <row r="4480" hidden="1" x14ac:dyDescent="0.15"/>
    <row r="4481" hidden="1" x14ac:dyDescent="0.15"/>
    <row r="4482" hidden="1" x14ac:dyDescent="0.15"/>
    <row r="4483" hidden="1" x14ac:dyDescent="0.15"/>
    <row r="4484" hidden="1" x14ac:dyDescent="0.15"/>
    <row r="4485" hidden="1" x14ac:dyDescent="0.15"/>
    <row r="4486" hidden="1" x14ac:dyDescent="0.15"/>
    <row r="4487" hidden="1" x14ac:dyDescent="0.15"/>
    <row r="4488" hidden="1" x14ac:dyDescent="0.15"/>
    <row r="4489" hidden="1" x14ac:dyDescent="0.15"/>
    <row r="4490" hidden="1" x14ac:dyDescent="0.15"/>
    <row r="4491" hidden="1" x14ac:dyDescent="0.15"/>
    <row r="4492" hidden="1" x14ac:dyDescent="0.15"/>
    <row r="4493" hidden="1" x14ac:dyDescent="0.15"/>
    <row r="4494" hidden="1" x14ac:dyDescent="0.15"/>
    <row r="4495" hidden="1" x14ac:dyDescent="0.15"/>
    <row r="4496" hidden="1" x14ac:dyDescent="0.15"/>
    <row r="4497" hidden="1" x14ac:dyDescent="0.15"/>
    <row r="4498" hidden="1" x14ac:dyDescent="0.15"/>
    <row r="4499" hidden="1" x14ac:dyDescent="0.15"/>
    <row r="4500" hidden="1" x14ac:dyDescent="0.15"/>
    <row r="4501" hidden="1" x14ac:dyDescent="0.15"/>
    <row r="4502" hidden="1" x14ac:dyDescent="0.15"/>
    <row r="4503" hidden="1" x14ac:dyDescent="0.15"/>
    <row r="4504" hidden="1" x14ac:dyDescent="0.15"/>
    <row r="4505" hidden="1" x14ac:dyDescent="0.15"/>
    <row r="4506" hidden="1" x14ac:dyDescent="0.15"/>
    <row r="4507" hidden="1" x14ac:dyDescent="0.15"/>
    <row r="4508" hidden="1" x14ac:dyDescent="0.15"/>
    <row r="4509" hidden="1" x14ac:dyDescent="0.15"/>
    <row r="4510" hidden="1" x14ac:dyDescent="0.15"/>
    <row r="4511" hidden="1" x14ac:dyDescent="0.15"/>
    <row r="4512" hidden="1" x14ac:dyDescent="0.15"/>
    <row r="4513" hidden="1" x14ac:dyDescent="0.15"/>
    <row r="4514" hidden="1" x14ac:dyDescent="0.15"/>
    <row r="4515" hidden="1" x14ac:dyDescent="0.15"/>
    <row r="4516" hidden="1" x14ac:dyDescent="0.15"/>
    <row r="4517" hidden="1" x14ac:dyDescent="0.15"/>
    <row r="4518" hidden="1" x14ac:dyDescent="0.15"/>
    <row r="4519" hidden="1" x14ac:dyDescent="0.15"/>
    <row r="4520" hidden="1" x14ac:dyDescent="0.15"/>
    <row r="4521" hidden="1" x14ac:dyDescent="0.15"/>
    <row r="4522" hidden="1" x14ac:dyDescent="0.15"/>
    <row r="4523" hidden="1" x14ac:dyDescent="0.15"/>
    <row r="4524" hidden="1" x14ac:dyDescent="0.15"/>
    <row r="4525" hidden="1" x14ac:dyDescent="0.15"/>
    <row r="4526" hidden="1" x14ac:dyDescent="0.15"/>
    <row r="4527" hidden="1" x14ac:dyDescent="0.15"/>
    <row r="4528" hidden="1" x14ac:dyDescent="0.15"/>
    <row r="4529" hidden="1" x14ac:dyDescent="0.15"/>
    <row r="4530" hidden="1" x14ac:dyDescent="0.15"/>
    <row r="4531" hidden="1" x14ac:dyDescent="0.15"/>
    <row r="4532" hidden="1" x14ac:dyDescent="0.15"/>
    <row r="4533" hidden="1" x14ac:dyDescent="0.15"/>
    <row r="4534" hidden="1" x14ac:dyDescent="0.15"/>
    <row r="4535" hidden="1" x14ac:dyDescent="0.15"/>
    <row r="4536" hidden="1" x14ac:dyDescent="0.15"/>
    <row r="4537" hidden="1" x14ac:dyDescent="0.15"/>
    <row r="4538" hidden="1" x14ac:dyDescent="0.15"/>
    <row r="4539" hidden="1" x14ac:dyDescent="0.15"/>
    <row r="4540" hidden="1" x14ac:dyDescent="0.15"/>
    <row r="4541" hidden="1" x14ac:dyDescent="0.15"/>
    <row r="4542" hidden="1" x14ac:dyDescent="0.15"/>
    <row r="4543" hidden="1" x14ac:dyDescent="0.15"/>
    <row r="4544" hidden="1" x14ac:dyDescent="0.15"/>
    <row r="4545" hidden="1" x14ac:dyDescent="0.15"/>
    <row r="4546" hidden="1" x14ac:dyDescent="0.15"/>
    <row r="4547" hidden="1" x14ac:dyDescent="0.15"/>
    <row r="4548" hidden="1" x14ac:dyDescent="0.15"/>
    <row r="4549" hidden="1" x14ac:dyDescent="0.15"/>
    <row r="4550" hidden="1" x14ac:dyDescent="0.15"/>
    <row r="4551" hidden="1" x14ac:dyDescent="0.15"/>
    <row r="4552" hidden="1" x14ac:dyDescent="0.15"/>
    <row r="4553" hidden="1" x14ac:dyDescent="0.15"/>
    <row r="4554" hidden="1" x14ac:dyDescent="0.15"/>
    <row r="4555" hidden="1" x14ac:dyDescent="0.15"/>
    <row r="4556" hidden="1" x14ac:dyDescent="0.15"/>
    <row r="4557" hidden="1" x14ac:dyDescent="0.15"/>
    <row r="4558" hidden="1" x14ac:dyDescent="0.15"/>
    <row r="4559" hidden="1" x14ac:dyDescent="0.15"/>
    <row r="4560" hidden="1" x14ac:dyDescent="0.15"/>
    <row r="4561" hidden="1" x14ac:dyDescent="0.15"/>
    <row r="4562" hidden="1" x14ac:dyDescent="0.15"/>
    <row r="4563" hidden="1" x14ac:dyDescent="0.15"/>
    <row r="4564" hidden="1" x14ac:dyDescent="0.15"/>
    <row r="4565" hidden="1" x14ac:dyDescent="0.15"/>
    <row r="4566" hidden="1" x14ac:dyDescent="0.15"/>
    <row r="4567" hidden="1" x14ac:dyDescent="0.15"/>
    <row r="4568" hidden="1" x14ac:dyDescent="0.15"/>
    <row r="4569" hidden="1" x14ac:dyDescent="0.15"/>
    <row r="4570" hidden="1" x14ac:dyDescent="0.15"/>
    <row r="4571" hidden="1" x14ac:dyDescent="0.15"/>
    <row r="4572" hidden="1" x14ac:dyDescent="0.15"/>
    <row r="4573" hidden="1" x14ac:dyDescent="0.15"/>
    <row r="4574" hidden="1" x14ac:dyDescent="0.15"/>
    <row r="4575" hidden="1" x14ac:dyDescent="0.15"/>
    <row r="4576" hidden="1" x14ac:dyDescent="0.15"/>
    <row r="4577" hidden="1" x14ac:dyDescent="0.15"/>
    <row r="4578" hidden="1" x14ac:dyDescent="0.15"/>
    <row r="4579" hidden="1" x14ac:dyDescent="0.15"/>
    <row r="4580" hidden="1" x14ac:dyDescent="0.15"/>
    <row r="4581" hidden="1" x14ac:dyDescent="0.15"/>
    <row r="4582" hidden="1" x14ac:dyDescent="0.15"/>
    <row r="4583" hidden="1" x14ac:dyDescent="0.15"/>
    <row r="4584" hidden="1" x14ac:dyDescent="0.15"/>
    <row r="4585" hidden="1" x14ac:dyDescent="0.15"/>
    <row r="4586" hidden="1" x14ac:dyDescent="0.15"/>
    <row r="4587" hidden="1" x14ac:dyDescent="0.15"/>
    <row r="4588" hidden="1" x14ac:dyDescent="0.15"/>
    <row r="4589" hidden="1" x14ac:dyDescent="0.15"/>
    <row r="4590" hidden="1" x14ac:dyDescent="0.15"/>
    <row r="4591" hidden="1" x14ac:dyDescent="0.15"/>
    <row r="4592" hidden="1" x14ac:dyDescent="0.15"/>
    <row r="4593" hidden="1" x14ac:dyDescent="0.15"/>
    <row r="4594" hidden="1" x14ac:dyDescent="0.15"/>
    <row r="4595" hidden="1" x14ac:dyDescent="0.15"/>
    <row r="4596" hidden="1" x14ac:dyDescent="0.15"/>
    <row r="4597" hidden="1" x14ac:dyDescent="0.15"/>
    <row r="4598" hidden="1" x14ac:dyDescent="0.15"/>
    <row r="4599" hidden="1" x14ac:dyDescent="0.15"/>
    <row r="4600" hidden="1" x14ac:dyDescent="0.15"/>
    <row r="4601" hidden="1" x14ac:dyDescent="0.15"/>
    <row r="4602" hidden="1" x14ac:dyDescent="0.15"/>
    <row r="4603" hidden="1" x14ac:dyDescent="0.15"/>
    <row r="4604" hidden="1" x14ac:dyDescent="0.15"/>
    <row r="4605" hidden="1" x14ac:dyDescent="0.15"/>
    <row r="4606" hidden="1" x14ac:dyDescent="0.15"/>
    <row r="4607" hidden="1" x14ac:dyDescent="0.15"/>
    <row r="4608" hidden="1" x14ac:dyDescent="0.15"/>
    <row r="4609" hidden="1" x14ac:dyDescent="0.15"/>
    <row r="4610" hidden="1" x14ac:dyDescent="0.15"/>
    <row r="4611" hidden="1" x14ac:dyDescent="0.15"/>
    <row r="4612" hidden="1" x14ac:dyDescent="0.15"/>
    <row r="4613" hidden="1" x14ac:dyDescent="0.15"/>
    <row r="4614" hidden="1" x14ac:dyDescent="0.15"/>
    <row r="4615" hidden="1" x14ac:dyDescent="0.15"/>
    <row r="4616" hidden="1" x14ac:dyDescent="0.15"/>
    <row r="4617" hidden="1" x14ac:dyDescent="0.15"/>
    <row r="4618" hidden="1" x14ac:dyDescent="0.15"/>
    <row r="4619" hidden="1" x14ac:dyDescent="0.15"/>
    <row r="4620" hidden="1" x14ac:dyDescent="0.15"/>
    <row r="4621" hidden="1" x14ac:dyDescent="0.15"/>
    <row r="4622" hidden="1" x14ac:dyDescent="0.15"/>
    <row r="4623" hidden="1" x14ac:dyDescent="0.15"/>
    <row r="4624" hidden="1" x14ac:dyDescent="0.15"/>
    <row r="4625" hidden="1" x14ac:dyDescent="0.15"/>
    <row r="4626" hidden="1" x14ac:dyDescent="0.15"/>
    <row r="4627" hidden="1" x14ac:dyDescent="0.15"/>
    <row r="4628" hidden="1" x14ac:dyDescent="0.15"/>
    <row r="4629" hidden="1" x14ac:dyDescent="0.15"/>
    <row r="4630" hidden="1" x14ac:dyDescent="0.15"/>
    <row r="4631" hidden="1" x14ac:dyDescent="0.15"/>
    <row r="4632" hidden="1" x14ac:dyDescent="0.15"/>
    <row r="4633" hidden="1" x14ac:dyDescent="0.15"/>
    <row r="4634" hidden="1" x14ac:dyDescent="0.15"/>
    <row r="4635" hidden="1" x14ac:dyDescent="0.15"/>
    <row r="4636" hidden="1" x14ac:dyDescent="0.15"/>
    <row r="4637" hidden="1" x14ac:dyDescent="0.15"/>
    <row r="4638" hidden="1" x14ac:dyDescent="0.15"/>
    <row r="4639" hidden="1" x14ac:dyDescent="0.15"/>
    <row r="4640" hidden="1" x14ac:dyDescent="0.15"/>
    <row r="4641" hidden="1" x14ac:dyDescent="0.15"/>
    <row r="4642" hidden="1" x14ac:dyDescent="0.15"/>
    <row r="4643" hidden="1" x14ac:dyDescent="0.15"/>
    <row r="4644" hidden="1" x14ac:dyDescent="0.15"/>
    <row r="4645" hidden="1" x14ac:dyDescent="0.15"/>
    <row r="4646" hidden="1" x14ac:dyDescent="0.15"/>
    <row r="4647" hidden="1" x14ac:dyDescent="0.15"/>
    <row r="4648" hidden="1" x14ac:dyDescent="0.15"/>
    <row r="4649" hidden="1" x14ac:dyDescent="0.15"/>
    <row r="4650" hidden="1" x14ac:dyDescent="0.15"/>
    <row r="4651" hidden="1" x14ac:dyDescent="0.15"/>
    <row r="4652" hidden="1" x14ac:dyDescent="0.15"/>
    <row r="4653" hidden="1" x14ac:dyDescent="0.15"/>
    <row r="4654" hidden="1" x14ac:dyDescent="0.15"/>
    <row r="4655" hidden="1" x14ac:dyDescent="0.15"/>
    <row r="4656" hidden="1" x14ac:dyDescent="0.15"/>
    <row r="4657" hidden="1" x14ac:dyDescent="0.15"/>
    <row r="4658" hidden="1" x14ac:dyDescent="0.15"/>
    <row r="4659" hidden="1" x14ac:dyDescent="0.15"/>
    <row r="4660" hidden="1" x14ac:dyDescent="0.15"/>
    <row r="4661" hidden="1" x14ac:dyDescent="0.15"/>
    <row r="4662" hidden="1" x14ac:dyDescent="0.15"/>
    <row r="4663" hidden="1" x14ac:dyDescent="0.15"/>
    <row r="4664" hidden="1" x14ac:dyDescent="0.15"/>
    <row r="4665" hidden="1" x14ac:dyDescent="0.15"/>
    <row r="4666" hidden="1" x14ac:dyDescent="0.15"/>
    <row r="4667" hidden="1" x14ac:dyDescent="0.15"/>
    <row r="4668" hidden="1" x14ac:dyDescent="0.15"/>
    <row r="4669" hidden="1" x14ac:dyDescent="0.15"/>
    <row r="4670" hidden="1" x14ac:dyDescent="0.15"/>
    <row r="4671" hidden="1" x14ac:dyDescent="0.15"/>
    <row r="4672" hidden="1" x14ac:dyDescent="0.15"/>
    <row r="4673" hidden="1" x14ac:dyDescent="0.15"/>
    <row r="4674" hidden="1" x14ac:dyDescent="0.15"/>
    <row r="4675" hidden="1" x14ac:dyDescent="0.15"/>
    <row r="4676" hidden="1" x14ac:dyDescent="0.15"/>
    <row r="4677" hidden="1" x14ac:dyDescent="0.15"/>
    <row r="4678" hidden="1" x14ac:dyDescent="0.15"/>
    <row r="4679" hidden="1" x14ac:dyDescent="0.15"/>
    <row r="4680" hidden="1" x14ac:dyDescent="0.15"/>
    <row r="4681" hidden="1" x14ac:dyDescent="0.15"/>
    <row r="4682" hidden="1" x14ac:dyDescent="0.15"/>
    <row r="4683" hidden="1" x14ac:dyDescent="0.15"/>
    <row r="4684" hidden="1" x14ac:dyDescent="0.15"/>
    <row r="4685" hidden="1" x14ac:dyDescent="0.15"/>
    <row r="4686" hidden="1" x14ac:dyDescent="0.15"/>
    <row r="4687" hidden="1" x14ac:dyDescent="0.15"/>
    <row r="4688" hidden="1" x14ac:dyDescent="0.15"/>
    <row r="4689" hidden="1" x14ac:dyDescent="0.15"/>
    <row r="4690" hidden="1" x14ac:dyDescent="0.15"/>
    <row r="4691" hidden="1" x14ac:dyDescent="0.15"/>
    <row r="4692" hidden="1" x14ac:dyDescent="0.15"/>
    <row r="4693" hidden="1" x14ac:dyDescent="0.15"/>
    <row r="4694" hidden="1" x14ac:dyDescent="0.15"/>
    <row r="4695" hidden="1" x14ac:dyDescent="0.15"/>
    <row r="4696" hidden="1" x14ac:dyDescent="0.15"/>
    <row r="4697" hidden="1" x14ac:dyDescent="0.15"/>
    <row r="4698" hidden="1" x14ac:dyDescent="0.15"/>
    <row r="4699" hidden="1" x14ac:dyDescent="0.15"/>
    <row r="4700" hidden="1" x14ac:dyDescent="0.15"/>
    <row r="4701" hidden="1" x14ac:dyDescent="0.15"/>
    <row r="4702" hidden="1" x14ac:dyDescent="0.15"/>
    <row r="4703" hidden="1" x14ac:dyDescent="0.15"/>
    <row r="4704" hidden="1" x14ac:dyDescent="0.15"/>
    <row r="4705" hidden="1" x14ac:dyDescent="0.15"/>
    <row r="4706" hidden="1" x14ac:dyDescent="0.15"/>
    <row r="4707" hidden="1" x14ac:dyDescent="0.15"/>
    <row r="4708" hidden="1" x14ac:dyDescent="0.15"/>
    <row r="4709" hidden="1" x14ac:dyDescent="0.15"/>
    <row r="4710" hidden="1" x14ac:dyDescent="0.15"/>
    <row r="4711" hidden="1" x14ac:dyDescent="0.15"/>
    <row r="4712" hidden="1" x14ac:dyDescent="0.15"/>
    <row r="4713" hidden="1" x14ac:dyDescent="0.15"/>
    <row r="4714" hidden="1" x14ac:dyDescent="0.15"/>
    <row r="4715" hidden="1" x14ac:dyDescent="0.15"/>
    <row r="4716" hidden="1" x14ac:dyDescent="0.15"/>
    <row r="4717" hidden="1" x14ac:dyDescent="0.15"/>
    <row r="4718" hidden="1" x14ac:dyDescent="0.15"/>
    <row r="4719" hidden="1" x14ac:dyDescent="0.15"/>
    <row r="4720" hidden="1" x14ac:dyDescent="0.15"/>
    <row r="4721" hidden="1" x14ac:dyDescent="0.15"/>
    <row r="4722" hidden="1" x14ac:dyDescent="0.15"/>
    <row r="4723" hidden="1" x14ac:dyDescent="0.15"/>
    <row r="4724" hidden="1" x14ac:dyDescent="0.15"/>
    <row r="4725" hidden="1" x14ac:dyDescent="0.15"/>
    <row r="4726" hidden="1" x14ac:dyDescent="0.15"/>
    <row r="4727" hidden="1" x14ac:dyDescent="0.15"/>
    <row r="4728" hidden="1" x14ac:dyDescent="0.15"/>
    <row r="4729" hidden="1" x14ac:dyDescent="0.15"/>
    <row r="4730" hidden="1" x14ac:dyDescent="0.15"/>
    <row r="4731" hidden="1" x14ac:dyDescent="0.15"/>
    <row r="4732" hidden="1" x14ac:dyDescent="0.15"/>
    <row r="4733" hidden="1" x14ac:dyDescent="0.15"/>
    <row r="4734" hidden="1" x14ac:dyDescent="0.15"/>
    <row r="4735" hidden="1" x14ac:dyDescent="0.15"/>
    <row r="4736" hidden="1" x14ac:dyDescent="0.15"/>
    <row r="4737" hidden="1" x14ac:dyDescent="0.15"/>
    <row r="4738" hidden="1" x14ac:dyDescent="0.15"/>
    <row r="4739" hidden="1" x14ac:dyDescent="0.15"/>
    <row r="4740" hidden="1" x14ac:dyDescent="0.15"/>
    <row r="4741" hidden="1" x14ac:dyDescent="0.15"/>
    <row r="4742" hidden="1" x14ac:dyDescent="0.15"/>
    <row r="4743" hidden="1" x14ac:dyDescent="0.15"/>
    <row r="4744" hidden="1" x14ac:dyDescent="0.15"/>
    <row r="4745" hidden="1" x14ac:dyDescent="0.15"/>
    <row r="4746" hidden="1" x14ac:dyDescent="0.15"/>
    <row r="4747" hidden="1" x14ac:dyDescent="0.15"/>
    <row r="4748" hidden="1" x14ac:dyDescent="0.15"/>
    <row r="4749" hidden="1" x14ac:dyDescent="0.15"/>
    <row r="4750" hidden="1" x14ac:dyDescent="0.15"/>
    <row r="4751" hidden="1" x14ac:dyDescent="0.15"/>
    <row r="4752" hidden="1" x14ac:dyDescent="0.15"/>
    <row r="4753" hidden="1" x14ac:dyDescent="0.15"/>
    <row r="4754" hidden="1" x14ac:dyDescent="0.15"/>
    <row r="4755" hidden="1" x14ac:dyDescent="0.15"/>
    <row r="4756" hidden="1" x14ac:dyDescent="0.15"/>
    <row r="4757" hidden="1" x14ac:dyDescent="0.15"/>
    <row r="4758" hidden="1" x14ac:dyDescent="0.15"/>
    <row r="4759" hidden="1" x14ac:dyDescent="0.15"/>
    <row r="4760" hidden="1" x14ac:dyDescent="0.15"/>
    <row r="4761" hidden="1" x14ac:dyDescent="0.15"/>
    <row r="4762" hidden="1" x14ac:dyDescent="0.15"/>
    <row r="4763" hidden="1" x14ac:dyDescent="0.15"/>
    <row r="4764" hidden="1" x14ac:dyDescent="0.15"/>
    <row r="4765" hidden="1" x14ac:dyDescent="0.15"/>
    <row r="4766" hidden="1" x14ac:dyDescent="0.15"/>
    <row r="4767" hidden="1" x14ac:dyDescent="0.15"/>
    <row r="4768" hidden="1" x14ac:dyDescent="0.15"/>
    <row r="4769" hidden="1" x14ac:dyDescent="0.15"/>
    <row r="4770" hidden="1" x14ac:dyDescent="0.15"/>
    <row r="4771" hidden="1" x14ac:dyDescent="0.15"/>
    <row r="4772" hidden="1" x14ac:dyDescent="0.15"/>
    <row r="4773" hidden="1" x14ac:dyDescent="0.15"/>
    <row r="4774" hidden="1" x14ac:dyDescent="0.15"/>
    <row r="4775" hidden="1" x14ac:dyDescent="0.15"/>
    <row r="4776" hidden="1" x14ac:dyDescent="0.15"/>
    <row r="4777" hidden="1" x14ac:dyDescent="0.15"/>
    <row r="4778" hidden="1" x14ac:dyDescent="0.15"/>
    <row r="4779" hidden="1" x14ac:dyDescent="0.15"/>
    <row r="4780" hidden="1" x14ac:dyDescent="0.15"/>
    <row r="4781" hidden="1" x14ac:dyDescent="0.15"/>
    <row r="4782" hidden="1" x14ac:dyDescent="0.15"/>
    <row r="4783" hidden="1" x14ac:dyDescent="0.15"/>
    <row r="4784" hidden="1" x14ac:dyDescent="0.15"/>
    <row r="4785" hidden="1" x14ac:dyDescent="0.15"/>
    <row r="4786" hidden="1" x14ac:dyDescent="0.15"/>
    <row r="4787" hidden="1" x14ac:dyDescent="0.15"/>
    <row r="4788" hidden="1" x14ac:dyDescent="0.15"/>
    <row r="4789" hidden="1" x14ac:dyDescent="0.15"/>
    <row r="4790" hidden="1" x14ac:dyDescent="0.15"/>
    <row r="4791" hidden="1" x14ac:dyDescent="0.15"/>
    <row r="4792" hidden="1" x14ac:dyDescent="0.15"/>
    <row r="4793" hidden="1" x14ac:dyDescent="0.15"/>
    <row r="4794" hidden="1" x14ac:dyDescent="0.15"/>
    <row r="4795" hidden="1" x14ac:dyDescent="0.15"/>
    <row r="4796" hidden="1" x14ac:dyDescent="0.15"/>
    <row r="4797" hidden="1" x14ac:dyDescent="0.15"/>
    <row r="4798" hidden="1" x14ac:dyDescent="0.15"/>
    <row r="4799" hidden="1" x14ac:dyDescent="0.15"/>
    <row r="4800" hidden="1" x14ac:dyDescent="0.15"/>
    <row r="4801" hidden="1" x14ac:dyDescent="0.15"/>
    <row r="4802" hidden="1" x14ac:dyDescent="0.15"/>
    <row r="4803" hidden="1" x14ac:dyDescent="0.15"/>
    <row r="4804" hidden="1" x14ac:dyDescent="0.15"/>
    <row r="4805" hidden="1" x14ac:dyDescent="0.15"/>
    <row r="4806" hidden="1" x14ac:dyDescent="0.15"/>
    <row r="4807" hidden="1" x14ac:dyDescent="0.15"/>
    <row r="4808" hidden="1" x14ac:dyDescent="0.15"/>
    <row r="4809" hidden="1" x14ac:dyDescent="0.15"/>
    <row r="4810" hidden="1" x14ac:dyDescent="0.15"/>
    <row r="4811" hidden="1" x14ac:dyDescent="0.15"/>
    <row r="4812" hidden="1" x14ac:dyDescent="0.15"/>
    <row r="4813" hidden="1" x14ac:dyDescent="0.15"/>
    <row r="4814" hidden="1" x14ac:dyDescent="0.15"/>
    <row r="4815" hidden="1" x14ac:dyDescent="0.15"/>
    <row r="4816" hidden="1" x14ac:dyDescent="0.15"/>
    <row r="4817" hidden="1" x14ac:dyDescent="0.15"/>
    <row r="4818" hidden="1" x14ac:dyDescent="0.15"/>
    <row r="4819" hidden="1" x14ac:dyDescent="0.15"/>
    <row r="4820" hidden="1" x14ac:dyDescent="0.15"/>
    <row r="4821" hidden="1" x14ac:dyDescent="0.15"/>
    <row r="4822" hidden="1" x14ac:dyDescent="0.15"/>
    <row r="4823" hidden="1" x14ac:dyDescent="0.15"/>
    <row r="4824" hidden="1" x14ac:dyDescent="0.15"/>
    <row r="4825" hidden="1" x14ac:dyDescent="0.15"/>
    <row r="4826" hidden="1" x14ac:dyDescent="0.15"/>
    <row r="4827" hidden="1" x14ac:dyDescent="0.15"/>
    <row r="4828" hidden="1" x14ac:dyDescent="0.15"/>
    <row r="4829" hidden="1" x14ac:dyDescent="0.15"/>
    <row r="4830" hidden="1" x14ac:dyDescent="0.15"/>
    <row r="4831" hidden="1" x14ac:dyDescent="0.15"/>
    <row r="4832" hidden="1" x14ac:dyDescent="0.15"/>
    <row r="4833" hidden="1" x14ac:dyDescent="0.15"/>
    <row r="4834" hidden="1" x14ac:dyDescent="0.15"/>
    <row r="4835" hidden="1" x14ac:dyDescent="0.15"/>
    <row r="4836" hidden="1" x14ac:dyDescent="0.15"/>
    <row r="4837" hidden="1" x14ac:dyDescent="0.15"/>
    <row r="4838" hidden="1" x14ac:dyDescent="0.15"/>
    <row r="4839" hidden="1" x14ac:dyDescent="0.15"/>
    <row r="4840" hidden="1" x14ac:dyDescent="0.15"/>
    <row r="4841" hidden="1" x14ac:dyDescent="0.15"/>
    <row r="4842" hidden="1" x14ac:dyDescent="0.15"/>
    <row r="4843" hidden="1" x14ac:dyDescent="0.15"/>
    <row r="4844" hidden="1" x14ac:dyDescent="0.15"/>
    <row r="4845" hidden="1" x14ac:dyDescent="0.15"/>
    <row r="4846" hidden="1" x14ac:dyDescent="0.15"/>
    <row r="4847" hidden="1" x14ac:dyDescent="0.15"/>
    <row r="4848" hidden="1" x14ac:dyDescent="0.15"/>
    <row r="4849" hidden="1" x14ac:dyDescent="0.15"/>
    <row r="4850" hidden="1" x14ac:dyDescent="0.15"/>
    <row r="4851" hidden="1" x14ac:dyDescent="0.15"/>
    <row r="4852" hidden="1" x14ac:dyDescent="0.15"/>
    <row r="4853" hidden="1" x14ac:dyDescent="0.15"/>
    <row r="4854" hidden="1" x14ac:dyDescent="0.15"/>
    <row r="4855" hidden="1" x14ac:dyDescent="0.15"/>
    <row r="4856" hidden="1" x14ac:dyDescent="0.15"/>
    <row r="4857" hidden="1" x14ac:dyDescent="0.15"/>
    <row r="4858" hidden="1" x14ac:dyDescent="0.15"/>
    <row r="4859" hidden="1" x14ac:dyDescent="0.15"/>
    <row r="4860" hidden="1" x14ac:dyDescent="0.15"/>
    <row r="4861" hidden="1" x14ac:dyDescent="0.15"/>
    <row r="4862" hidden="1" x14ac:dyDescent="0.15"/>
    <row r="4863" hidden="1" x14ac:dyDescent="0.15"/>
    <row r="4864" hidden="1" x14ac:dyDescent="0.15"/>
    <row r="4865" hidden="1" x14ac:dyDescent="0.15"/>
    <row r="4866" hidden="1" x14ac:dyDescent="0.15"/>
    <row r="4867" hidden="1" x14ac:dyDescent="0.15"/>
    <row r="4868" hidden="1" x14ac:dyDescent="0.15"/>
    <row r="4869" hidden="1" x14ac:dyDescent="0.15"/>
    <row r="4870" hidden="1" x14ac:dyDescent="0.15"/>
    <row r="4871" hidden="1" x14ac:dyDescent="0.15"/>
    <row r="4872" hidden="1" x14ac:dyDescent="0.15"/>
    <row r="4873" hidden="1" x14ac:dyDescent="0.15"/>
    <row r="4874" hidden="1" x14ac:dyDescent="0.15"/>
    <row r="4875" hidden="1" x14ac:dyDescent="0.15"/>
    <row r="4876" hidden="1" x14ac:dyDescent="0.15"/>
    <row r="4877" hidden="1" x14ac:dyDescent="0.15"/>
    <row r="4878" hidden="1" x14ac:dyDescent="0.15"/>
    <row r="4879" hidden="1" x14ac:dyDescent="0.15"/>
    <row r="4880" hidden="1" x14ac:dyDescent="0.15"/>
    <row r="4881" hidden="1" x14ac:dyDescent="0.15"/>
    <row r="4882" hidden="1" x14ac:dyDescent="0.15"/>
    <row r="4883" hidden="1" x14ac:dyDescent="0.15"/>
    <row r="4884" hidden="1" x14ac:dyDescent="0.15"/>
    <row r="4885" hidden="1" x14ac:dyDescent="0.15"/>
    <row r="4886" hidden="1" x14ac:dyDescent="0.15"/>
    <row r="4887" hidden="1" x14ac:dyDescent="0.15"/>
    <row r="4888" hidden="1" x14ac:dyDescent="0.15"/>
    <row r="4889" hidden="1" x14ac:dyDescent="0.15"/>
    <row r="4890" hidden="1" x14ac:dyDescent="0.15"/>
    <row r="4891" hidden="1" x14ac:dyDescent="0.15"/>
    <row r="4892" hidden="1" x14ac:dyDescent="0.15"/>
    <row r="4893" hidden="1" x14ac:dyDescent="0.15"/>
    <row r="4894" hidden="1" x14ac:dyDescent="0.15"/>
    <row r="4895" hidden="1" x14ac:dyDescent="0.15"/>
    <row r="4896" hidden="1" x14ac:dyDescent="0.15"/>
    <row r="4897" hidden="1" x14ac:dyDescent="0.15"/>
    <row r="4898" hidden="1" x14ac:dyDescent="0.15"/>
    <row r="4899" hidden="1" x14ac:dyDescent="0.15"/>
    <row r="4900" hidden="1" x14ac:dyDescent="0.15"/>
    <row r="4901" hidden="1" x14ac:dyDescent="0.15"/>
    <row r="4902" hidden="1" x14ac:dyDescent="0.15"/>
    <row r="4903" hidden="1" x14ac:dyDescent="0.15"/>
    <row r="4904" hidden="1" x14ac:dyDescent="0.15"/>
    <row r="4905" hidden="1" x14ac:dyDescent="0.15"/>
    <row r="4906" hidden="1" x14ac:dyDescent="0.15"/>
    <row r="4907" hidden="1" x14ac:dyDescent="0.15"/>
    <row r="4908" hidden="1" x14ac:dyDescent="0.15"/>
    <row r="4909" hidden="1" x14ac:dyDescent="0.15"/>
    <row r="4910" hidden="1" x14ac:dyDescent="0.15"/>
    <row r="4911" hidden="1" x14ac:dyDescent="0.15"/>
    <row r="4912" hidden="1" x14ac:dyDescent="0.15"/>
    <row r="4913" hidden="1" x14ac:dyDescent="0.15"/>
    <row r="4914" hidden="1" x14ac:dyDescent="0.15"/>
    <row r="4915" hidden="1" x14ac:dyDescent="0.15"/>
    <row r="4916" hidden="1" x14ac:dyDescent="0.15"/>
    <row r="4917" hidden="1" x14ac:dyDescent="0.15"/>
    <row r="4918" hidden="1" x14ac:dyDescent="0.15"/>
    <row r="4919" hidden="1" x14ac:dyDescent="0.15"/>
    <row r="4920" hidden="1" x14ac:dyDescent="0.15"/>
    <row r="4921" hidden="1" x14ac:dyDescent="0.15"/>
    <row r="4922" hidden="1" x14ac:dyDescent="0.15"/>
    <row r="4923" hidden="1" x14ac:dyDescent="0.15"/>
    <row r="4924" hidden="1" x14ac:dyDescent="0.15"/>
    <row r="4925" hidden="1" x14ac:dyDescent="0.15"/>
    <row r="4926" hidden="1" x14ac:dyDescent="0.15"/>
    <row r="4927" hidden="1" x14ac:dyDescent="0.15"/>
    <row r="4928" hidden="1" x14ac:dyDescent="0.15"/>
    <row r="4929" hidden="1" x14ac:dyDescent="0.15"/>
    <row r="4930" hidden="1" x14ac:dyDescent="0.15"/>
    <row r="4931" hidden="1" x14ac:dyDescent="0.15"/>
    <row r="4932" hidden="1" x14ac:dyDescent="0.15"/>
    <row r="4933" hidden="1" x14ac:dyDescent="0.15"/>
    <row r="4934" hidden="1" x14ac:dyDescent="0.15"/>
    <row r="4935" hidden="1" x14ac:dyDescent="0.15"/>
    <row r="4936" hidden="1" x14ac:dyDescent="0.15"/>
    <row r="4937" hidden="1" x14ac:dyDescent="0.15"/>
    <row r="4938" hidden="1" x14ac:dyDescent="0.15"/>
    <row r="4939" hidden="1" x14ac:dyDescent="0.15"/>
    <row r="4940" hidden="1" x14ac:dyDescent="0.15"/>
    <row r="4941" hidden="1" x14ac:dyDescent="0.15"/>
    <row r="4942" hidden="1" x14ac:dyDescent="0.15"/>
    <row r="4943" hidden="1" x14ac:dyDescent="0.15"/>
    <row r="4944" hidden="1" x14ac:dyDescent="0.15"/>
    <row r="4945" hidden="1" x14ac:dyDescent="0.15"/>
    <row r="4946" hidden="1" x14ac:dyDescent="0.15"/>
    <row r="4947" hidden="1" x14ac:dyDescent="0.15"/>
    <row r="4948" hidden="1" x14ac:dyDescent="0.15"/>
    <row r="4949" hidden="1" x14ac:dyDescent="0.15"/>
    <row r="4950" hidden="1" x14ac:dyDescent="0.15"/>
    <row r="4951" hidden="1" x14ac:dyDescent="0.15"/>
    <row r="4952" hidden="1" x14ac:dyDescent="0.15"/>
    <row r="4953" hidden="1" x14ac:dyDescent="0.15"/>
    <row r="4954" hidden="1" x14ac:dyDescent="0.15"/>
    <row r="4955" hidden="1" x14ac:dyDescent="0.15"/>
    <row r="4956" hidden="1" x14ac:dyDescent="0.15"/>
    <row r="4957" hidden="1" x14ac:dyDescent="0.15"/>
    <row r="4958" hidden="1" x14ac:dyDescent="0.15"/>
    <row r="4959" hidden="1" x14ac:dyDescent="0.15"/>
    <row r="4960" hidden="1" x14ac:dyDescent="0.15"/>
    <row r="4961" hidden="1" x14ac:dyDescent="0.15"/>
    <row r="4962" hidden="1" x14ac:dyDescent="0.15"/>
    <row r="4963" hidden="1" x14ac:dyDescent="0.15"/>
    <row r="4964" hidden="1" x14ac:dyDescent="0.15"/>
    <row r="4965" hidden="1" x14ac:dyDescent="0.15"/>
    <row r="4966" hidden="1" x14ac:dyDescent="0.15"/>
    <row r="4967" hidden="1" x14ac:dyDescent="0.15"/>
    <row r="4968" hidden="1" x14ac:dyDescent="0.15"/>
    <row r="4969" hidden="1" x14ac:dyDescent="0.15"/>
    <row r="4970" hidden="1" x14ac:dyDescent="0.15"/>
    <row r="4971" hidden="1" x14ac:dyDescent="0.15"/>
    <row r="4972" hidden="1" x14ac:dyDescent="0.15"/>
    <row r="4973" hidden="1" x14ac:dyDescent="0.15"/>
    <row r="4974" hidden="1" x14ac:dyDescent="0.15"/>
    <row r="4975" hidden="1" x14ac:dyDescent="0.15"/>
    <row r="4976" hidden="1" x14ac:dyDescent="0.15"/>
    <row r="4977" hidden="1" x14ac:dyDescent="0.15"/>
    <row r="4978" hidden="1" x14ac:dyDescent="0.15"/>
    <row r="4979" hidden="1" x14ac:dyDescent="0.15"/>
    <row r="4980" hidden="1" x14ac:dyDescent="0.15"/>
    <row r="4981" hidden="1" x14ac:dyDescent="0.15"/>
    <row r="4982" hidden="1" x14ac:dyDescent="0.15"/>
    <row r="4983" hidden="1" x14ac:dyDescent="0.15"/>
    <row r="4984" hidden="1" x14ac:dyDescent="0.15"/>
    <row r="4985" hidden="1" x14ac:dyDescent="0.15"/>
    <row r="4986" hidden="1" x14ac:dyDescent="0.15"/>
    <row r="4987" hidden="1" x14ac:dyDescent="0.15"/>
    <row r="4988" hidden="1" x14ac:dyDescent="0.15"/>
    <row r="4989" hidden="1" x14ac:dyDescent="0.15"/>
    <row r="4990" hidden="1" x14ac:dyDescent="0.15"/>
    <row r="4991" hidden="1" x14ac:dyDescent="0.15"/>
    <row r="4992" hidden="1" x14ac:dyDescent="0.15"/>
    <row r="4993" hidden="1" x14ac:dyDescent="0.15"/>
    <row r="4994" hidden="1" x14ac:dyDescent="0.15"/>
    <row r="4995" hidden="1" x14ac:dyDescent="0.15"/>
    <row r="4996" hidden="1" x14ac:dyDescent="0.15"/>
    <row r="4997" hidden="1" x14ac:dyDescent="0.15"/>
    <row r="4998" hidden="1" x14ac:dyDescent="0.15"/>
    <row r="4999" hidden="1" x14ac:dyDescent="0.15"/>
    <row r="5000" hidden="1" x14ac:dyDescent="0.15"/>
    <row r="5001" hidden="1" x14ac:dyDescent="0.15"/>
    <row r="5002" hidden="1" x14ac:dyDescent="0.15"/>
    <row r="5003" hidden="1" x14ac:dyDescent="0.15"/>
    <row r="5004" hidden="1" x14ac:dyDescent="0.15"/>
    <row r="5005" hidden="1" x14ac:dyDescent="0.15"/>
    <row r="5006" hidden="1" x14ac:dyDescent="0.15"/>
    <row r="5007" hidden="1" x14ac:dyDescent="0.15"/>
    <row r="5008" hidden="1" x14ac:dyDescent="0.15"/>
    <row r="5009" hidden="1" x14ac:dyDescent="0.15"/>
    <row r="5010" hidden="1" x14ac:dyDescent="0.15"/>
    <row r="5011" hidden="1" x14ac:dyDescent="0.15"/>
    <row r="5012" hidden="1" x14ac:dyDescent="0.15"/>
    <row r="5013" hidden="1" x14ac:dyDescent="0.15"/>
    <row r="5014" hidden="1" x14ac:dyDescent="0.15"/>
    <row r="5015" hidden="1" x14ac:dyDescent="0.15"/>
    <row r="5016" hidden="1" x14ac:dyDescent="0.15"/>
    <row r="5017" hidden="1" x14ac:dyDescent="0.15"/>
    <row r="5018" hidden="1" x14ac:dyDescent="0.15"/>
    <row r="5019" hidden="1" x14ac:dyDescent="0.15"/>
    <row r="5020" hidden="1" x14ac:dyDescent="0.15"/>
    <row r="5021" hidden="1" x14ac:dyDescent="0.15"/>
    <row r="5022" hidden="1" x14ac:dyDescent="0.15"/>
    <row r="5023" hidden="1" x14ac:dyDescent="0.15"/>
    <row r="5024" hidden="1" x14ac:dyDescent="0.15"/>
    <row r="5025" hidden="1" x14ac:dyDescent="0.15"/>
    <row r="5026" hidden="1" x14ac:dyDescent="0.15"/>
    <row r="5027" hidden="1" x14ac:dyDescent="0.15"/>
    <row r="5028" hidden="1" x14ac:dyDescent="0.15"/>
    <row r="5029" hidden="1" x14ac:dyDescent="0.15"/>
    <row r="5030" hidden="1" x14ac:dyDescent="0.15"/>
    <row r="5031" hidden="1" x14ac:dyDescent="0.15"/>
    <row r="5032" hidden="1" x14ac:dyDescent="0.15"/>
    <row r="5033" hidden="1" x14ac:dyDescent="0.15"/>
    <row r="5034" hidden="1" x14ac:dyDescent="0.15"/>
    <row r="5035" hidden="1" x14ac:dyDescent="0.15"/>
    <row r="5036" hidden="1" x14ac:dyDescent="0.15"/>
    <row r="5037" hidden="1" x14ac:dyDescent="0.15"/>
    <row r="5038" hidden="1" x14ac:dyDescent="0.15"/>
    <row r="5039" hidden="1" x14ac:dyDescent="0.15"/>
    <row r="5040" hidden="1" x14ac:dyDescent="0.15"/>
    <row r="5041" hidden="1" x14ac:dyDescent="0.15"/>
    <row r="5042" hidden="1" x14ac:dyDescent="0.15"/>
    <row r="5043" hidden="1" x14ac:dyDescent="0.15"/>
    <row r="5044" hidden="1" x14ac:dyDescent="0.15"/>
    <row r="5045" hidden="1" x14ac:dyDescent="0.15"/>
    <row r="5046" hidden="1" x14ac:dyDescent="0.15"/>
    <row r="5047" hidden="1" x14ac:dyDescent="0.15"/>
    <row r="5048" hidden="1" x14ac:dyDescent="0.15"/>
    <row r="5049" hidden="1" x14ac:dyDescent="0.15"/>
    <row r="5050" hidden="1" x14ac:dyDescent="0.15"/>
    <row r="5051" hidden="1" x14ac:dyDescent="0.15"/>
    <row r="5052" hidden="1" x14ac:dyDescent="0.15"/>
    <row r="5053" hidden="1" x14ac:dyDescent="0.15"/>
    <row r="5054" hidden="1" x14ac:dyDescent="0.15"/>
    <row r="5055" hidden="1" x14ac:dyDescent="0.15"/>
    <row r="5056" hidden="1" x14ac:dyDescent="0.15"/>
    <row r="5057" hidden="1" x14ac:dyDescent="0.15"/>
    <row r="5058" hidden="1" x14ac:dyDescent="0.15"/>
    <row r="5059" hidden="1" x14ac:dyDescent="0.15"/>
    <row r="5060" hidden="1" x14ac:dyDescent="0.15"/>
    <row r="5061" hidden="1" x14ac:dyDescent="0.15"/>
    <row r="5062" hidden="1" x14ac:dyDescent="0.15"/>
    <row r="5063" hidden="1" x14ac:dyDescent="0.15"/>
    <row r="5064" hidden="1" x14ac:dyDescent="0.15"/>
    <row r="5065" hidden="1" x14ac:dyDescent="0.15"/>
    <row r="5066" hidden="1" x14ac:dyDescent="0.15"/>
    <row r="5067" hidden="1" x14ac:dyDescent="0.15"/>
    <row r="5068" hidden="1" x14ac:dyDescent="0.15"/>
    <row r="5069" hidden="1" x14ac:dyDescent="0.15"/>
    <row r="5070" hidden="1" x14ac:dyDescent="0.15"/>
    <row r="5071" hidden="1" x14ac:dyDescent="0.15"/>
    <row r="5072" hidden="1" x14ac:dyDescent="0.15"/>
    <row r="5073" hidden="1" x14ac:dyDescent="0.15"/>
    <row r="5074" hidden="1" x14ac:dyDescent="0.15"/>
    <row r="5075" hidden="1" x14ac:dyDescent="0.15"/>
    <row r="5076" hidden="1" x14ac:dyDescent="0.15"/>
    <row r="5077" hidden="1" x14ac:dyDescent="0.15"/>
    <row r="5078" hidden="1" x14ac:dyDescent="0.15"/>
    <row r="5079" hidden="1" x14ac:dyDescent="0.15"/>
    <row r="5080" hidden="1" x14ac:dyDescent="0.15"/>
    <row r="5081" hidden="1" x14ac:dyDescent="0.15"/>
    <row r="5082" hidden="1" x14ac:dyDescent="0.15"/>
    <row r="5083" hidden="1" x14ac:dyDescent="0.15"/>
    <row r="5084" hidden="1" x14ac:dyDescent="0.15"/>
    <row r="5085" hidden="1" x14ac:dyDescent="0.15"/>
    <row r="5086" hidden="1" x14ac:dyDescent="0.15"/>
    <row r="5087" hidden="1" x14ac:dyDescent="0.15"/>
    <row r="5088" hidden="1" x14ac:dyDescent="0.15"/>
    <row r="5089" hidden="1" x14ac:dyDescent="0.15"/>
    <row r="5090" hidden="1" x14ac:dyDescent="0.15"/>
    <row r="5091" hidden="1" x14ac:dyDescent="0.15"/>
    <row r="5092" hidden="1" x14ac:dyDescent="0.15"/>
    <row r="5093" hidden="1" x14ac:dyDescent="0.15"/>
    <row r="5094" hidden="1" x14ac:dyDescent="0.15"/>
    <row r="5095" hidden="1" x14ac:dyDescent="0.15"/>
    <row r="5096" hidden="1" x14ac:dyDescent="0.15"/>
    <row r="5097" hidden="1" x14ac:dyDescent="0.15"/>
    <row r="5098" hidden="1" x14ac:dyDescent="0.15"/>
    <row r="5099" hidden="1" x14ac:dyDescent="0.15"/>
    <row r="5100" hidden="1" x14ac:dyDescent="0.15"/>
    <row r="5101" hidden="1" x14ac:dyDescent="0.15"/>
    <row r="5102" hidden="1" x14ac:dyDescent="0.15"/>
    <row r="5103" hidden="1" x14ac:dyDescent="0.15"/>
    <row r="5104" hidden="1" x14ac:dyDescent="0.15"/>
    <row r="5105" hidden="1" x14ac:dyDescent="0.15"/>
    <row r="5106" hidden="1" x14ac:dyDescent="0.15"/>
    <row r="5107" hidden="1" x14ac:dyDescent="0.15"/>
    <row r="5108" hidden="1" x14ac:dyDescent="0.15"/>
    <row r="5109" hidden="1" x14ac:dyDescent="0.15"/>
    <row r="5110" hidden="1" x14ac:dyDescent="0.15"/>
    <row r="5111" hidden="1" x14ac:dyDescent="0.15"/>
    <row r="5112" hidden="1" x14ac:dyDescent="0.15"/>
    <row r="5113" hidden="1" x14ac:dyDescent="0.15"/>
    <row r="5114" hidden="1" x14ac:dyDescent="0.15"/>
    <row r="5115" hidden="1" x14ac:dyDescent="0.15"/>
    <row r="5116" hidden="1" x14ac:dyDescent="0.15"/>
    <row r="5117" hidden="1" x14ac:dyDescent="0.15"/>
    <row r="5118" hidden="1" x14ac:dyDescent="0.15"/>
    <row r="5119" hidden="1" x14ac:dyDescent="0.15"/>
    <row r="5120" hidden="1" x14ac:dyDescent="0.15"/>
    <row r="5121" hidden="1" x14ac:dyDescent="0.15"/>
    <row r="5122" hidden="1" x14ac:dyDescent="0.15"/>
    <row r="5123" hidden="1" x14ac:dyDescent="0.15"/>
    <row r="5124" hidden="1" x14ac:dyDescent="0.15"/>
    <row r="5125" hidden="1" x14ac:dyDescent="0.15"/>
    <row r="5126" hidden="1" x14ac:dyDescent="0.15"/>
    <row r="5127" hidden="1" x14ac:dyDescent="0.15"/>
    <row r="5128" hidden="1" x14ac:dyDescent="0.15"/>
    <row r="5129" hidden="1" x14ac:dyDescent="0.15"/>
    <row r="5130" hidden="1" x14ac:dyDescent="0.15"/>
    <row r="5131" hidden="1" x14ac:dyDescent="0.15"/>
    <row r="5132" hidden="1" x14ac:dyDescent="0.15"/>
    <row r="5133" hidden="1" x14ac:dyDescent="0.15"/>
    <row r="5134" hidden="1" x14ac:dyDescent="0.15"/>
    <row r="5135" hidden="1" x14ac:dyDescent="0.15"/>
    <row r="5136" hidden="1" x14ac:dyDescent="0.15"/>
    <row r="5137" hidden="1" x14ac:dyDescent="0.15"/>
    <row r="5138" hidden="1" x14ac:dyDescent="0.15"/>
    <row r="5139" hidden="1" x14ac:dyDescent="0.15"/>
    <row r="5140" hidden="1" x14ac:dyDescent="0.15"/>
    <row r="5141" hidden="1" x14ac:dyDescent="0.15"/>
    <row r="5142" hidden="1" x14ac:dyDescent="0.15"/>
    <row r="5143" hidden="1" x14ac:dyDescent="0.15"/>
    <row r="5144" hidden="1" x14ac:dyDescent="0.15"/>
    <row r="5145" hidden="1" x14ac:dyDescent="0.15"/>
    <row r="5146" hidden="1" x14ac:dyDescent="0.15"/>
    <row r="5147" hidden="1" x14ac:dyDescent="0.15"/>
    <row r="5148" hidden="1" x14ac:dyDescent="0.15"/>
    <row r="5149" hidden="1" x14ac:dyDescent="0.15"/>
    <row r="5150" hidden="1" x14ac:dyDescent="0.15"/>
    <row r="5151" hidden="1" x14ac:dyDescent="0.15"/>
    <row r="5152" hidden="1" x14ac:dyDescent="0.15"/>
    <row r="5153" hidden="1" x14ac:dyDescent="0.15"/>
    <row r="5154" hidden="1" x14ac:dyDescent="0.15"/>
    <row r="5155" hidden="1" x14ac:dyDescent="0.15"/>
    <row r="5156" hidden="1" x14ac:dyDescent="0.15"/>
    <row r="5157" hidden="1" x14ac:dyDescent="0.15"/>
    <row r="5158" hidden="1" x14ac:dyDescent="0.15"/>
    <row r="5159" hidden="1" x14ac:dyDescent="0.15"/>
    <row r="5160" hidden="1" x14ac:dyDescent="0.15"/>
    <row r="5161" hidden="1" x14ac:dyDescent="0.15"/>
    <row r="5162" hidden="1" x14ac:dyDescent="0.15"/>
    <row r="5163" hidden="1" x14ac:dyDescent="0.15"/>
    <row r="5164" hidden="1" x14ac:dyDescent="0.15"/>
    <row r="5165" hidden="1" x14ac:dyDescent="0.15"/>
    <row r="5166" hidden="1" x14ac:dyDescent="0.15"/>
    <row r="5167" hidden="1" x14ac:dyDescent="0.15"/>
    <row r="5168" hidden="1" x14ac:dyDescent="0.15"/>
    <row r="5169" hidden="1" x14ac:dyDescent="0.15"/>
    <row r="5170" hidden="1" x14ac:dyDescent="0.15"/>
    <row r="5171" hidden="1" x14ac:dyDescent="0.15"/>
    <row r="5172" hidden="1" x14ac:dyDescent="0.15"/>
    <row r="5173" hidden="1" x14ac:dyDescent="0.15"/>
    <row r="5174" hidden="1" x14ac:dyDescent="0.15"/>
    <row r="5175" hidden="1" x14ac:dyDescent="0.15"/>
    <row r="5176" hidden="1" x14ac:dyDescent="0.15"/>
    <row r="5177" hidden="1" x14ac:dyDescent="0.15"/>
    <row r="5178" hidden="1" x14ac:dyDescent="0.15"/>
    <row r="5179" hidden="1" x14ac:dyDescent="0.15"/>
    <row r="5180" hidden="1" x14ac:dyDescent="0.15"/>
    <row r="5181" hidden="1" x14ac:dyDescent="0.15"/>
    <row r="5182" hidden="1" x14ac:dyDescent="0.15"/>
    <row r="5183" hidden="1" x14ac:dyDescent="0.15"/>
    <row r="5184" hidden="1" x14ac:dyDescent="0.15"/>
    <row r="5185" hidden="1" x14ac:dyDescent="0.15"/>
    <row r="5186" hidden="1" x14ac:dyDescent="0.15"/>
    <row r="5187" hidden="1" x14ac:dyDescent="0.15"/>
    <row r="5188" hidden="1" x14ac:dyDescent="0.15"/>
    <row r="5189" hidden="1" x14ac:dyDescent="0.15"/>
    <row r="5190" hidden="1" x14ac:dyDescent="0.15"/>
    <row r="5191" hidden="1" x14ac:dyDescent="0.15"/>
    <row r="5192" hidden="1" x14ac:dyDescent="0.15"/>
    <row r="5193" hidden="1" x14ac:dyDescent="0.15"/>
    <row r="5194" hidden="1" x14ac:dyDescent="0.15"/>
    <row r="5195" hidden="1" x14ac:dyDescent="0.15"/>
    <row r="5196" hidden="1" x14ac:dyDescent="0.15"/>
    <row r="5197" hidden="1" x14ac:dyDescent="0.15"/>
    <row r="5198" hidden="1" x14ac:dyDescent="0.15"/>
    <row r="5199" hidden="1" x14ac:dyDescent="0.15"/>
    <row r="5200" hidden="1" x14ac:dyDescent="0.15"/>
    <row r="5201" hidden="1" x14ac:dyDescent="0.15"/>
    <row r="5202" hidden="1" x14ac:dyDescent="0.15"/>
    <row r="5203" hidden="1" x14ac:dyDescent="0.15"/>
    <row r="5204" hidden="1" x14ac:dyDescent="0.15"/>
    <row r="5205" hidden="1" x14ac:dyDescent="0.15"/>
    <row r="5206" hidden="1" x14ac:dyDescent="0.15"/>
    <row r="5207" hidden="1" x14ac:dyDescent="0.15"/>
    <row r="5208" hidden="1" x14ac:dyDescent="0.15"/>
    <row r="5209" hidden="1" x14ac:dyDescent="0.15"/>
    <row r="5210" hidden="1" x14ac:dyDescent="0.15"/>
    <row r="5211" hidden="1" x14ac:dyDescent="0.15"/>
    <row r="5212" hidden="1" x14ac:dyDescent="0.15"/>
    <row r="5213" hidden="1" x14ac:dyDescent="0.15"/>
    <row r="5214" hidden="1" x14ac:dyDescent="0.15"/>
    <row r="5215" hidden="1" x14ac:dyDescent="0.15"/>
    <row r="5216" hidden="1" x14ac:dyDescent="0.15"/>
    <row r="5217" hidden="1" x14ac:dyDescent="0.15"/>
    <row r="5218" hidden="1" x14ac:dyDescent="0.15"/>
    <row r="5219" hidden="1" x14ac:dyDescent="0.15"/>
    <row r="5220" hidden="1" x14ac:dyDescent="0.15"/>
    <row r="5221" hidden="1" x14ac:dyDescent="0.15"/>
    <row r="5222" hidden="1" x14ac:dyDescent="0.15"/>
    <row r="5223" hidden="1" x14ac:dyDescent="0.15"/>
    <row r="5224" hidden="1" x14ac:dyDescent="0.15"/>
    <row r="5225" hidden="1" x14ac:dyDescent="0.15"/>
    <row r="5226" hidden="1" x14ac:dyDescent="0.15"/>
    <row r="5227" hidden="1" x14ac:dyDescent="0.15"/>
    <row r="5228" hidden="1" x14ac:dyDescent="0.15"/>
    <row r="5229" hidden="1" x14ac:dyDescent="0.15"/>
    <row r="5230" hidden="1" x14ac:dyDescent="0.15"/>
    <row r="5231" hidden="1" x14ac:dyDescent="0.15"/>
    <row r="5232" hidden="1" x14ac:dyDescent="0.15"/>
    <row r="5233" hidden="1" x14ac:dyDescent="0.15"/>
    <row r="5234" hidden="1" x14ac:dyDescent="0.15"/>
    <row r="5235" hidden="1" x14ac:dyDescent="0.15"/>
    <row r="5236" hidden="1" x14ac:dyDescent="0.15"/>
    <row r="5237" hidden="1" x14ac:dyDescent="0.15"/>
    <row r="5238" hidden="1" x14ac:dyDescent="0.15"/>
    <row r="5239" hidden="1" x14ac:dyDescent="0.15"/>
    <row r="5240" hidden="1" x14ac:dyDescent="0.15"/>
    <row r="5241" hidden="1" x14ac:dyDescent="0.15"/>
    <row r="5242" hidden="1" x14ac:dyDescent="0.15"/>
    <row r="5243" hidden="1" x14ac:dyDescent="0.15"/>
    <row r="5244" hidden="1" x14ac:dyDescent="0.15"/>
    <row r="5245" hidden="1" x14ac:dyDescent="0.15"/>
    <row r="5246" hidden="1" x14ac:dyDescent="0.15"/>
    <row r="5247" hidden="1" x14ac:dyDescent="0.15"/>
    <row r="5248" hidden="1" x14ac:dyDescent="0.15"/>
    <row r="5249" hidden="1" x14ac:dyDescent="0.15"/>
    <row r="5250" hidden="1" x14ac:dyDescent="0.15"/>
    <row r="5251" hidden="1" x14ac:dyDescent="0.15"/>
    <row r="5252" hidden="1" x14ac:dyDescent="0.15"/>
    <row r="5253" hidden="1" x14ac:dyDescent="0.15"/>
    <row r="5254" hidden="1" x14ac:dyDescent="0.15"/>
    <row r="5255" hidden="1" x14ac:dyDescent="0.15"/>
    <row r="5256" hidden="1" x14ac:dyDescent="0.15"/>
    <row r="5257" hidden="1" x14ac:dyDescent="0.15"/>
    <row r="5258" hidden="1" x14ac:dyDescent="0.15"/>
    <row r="5259" hidden="1" x14ac:dyDescent="0.15"/>
    <row r="5260" hidden="1" x14ac:dyDescent="0.15"/>
    <row r="5261" hidden="1" x14ac:dyDescent="0.15"/>
    <row r="5262" hidden="1" x14ac:dyDescent="0.15"/>
    <row r="5263" hidden="1" x14ac:dyDescent="0.15"/>
    <row r="5264" hidden="1" x14ac:dyDescent="0.15"/>
    <row r="5265" hidden="1" x14ac:dyDescent="0.15"/>
    <row r="5266" hidden="1" x14ac:dyDescent="0.15"/>
    <row r="5267" hidden="1" x14ac:dyDescent="0.15"/>
    <row r="5268" hidden="1" x14ac:dyDescent="0.15"/>
    <row r="5269" hidden="1" x14ac:dyDescent="0.15"/>
    <row r="5270" hidden="1" x14ac:dyDescent="0.15"/>
    <row r="5271" hidden="1" x14ac:dyDescent="0.15"/>
    <row r="5272" hidden="1" x14ac:dyDescent="0.15"/>
    <row r="5273" hidden="1" x14ac:dyDescent="0.15"/>
    <row r="5274" hidden="1" x14ac:dyDescent="0.15"/>
    <row r="5275" hidden="1" x14ac:dyDescent="0.15"/>
    <row r="5276" hidden="1" x14ac:dyDescent="0.15"/>
    <row r="5277" hidden="1" x14ac:dyDescent="0.15"/>
    <row r="5278" hidden="1" x14ac:dyDescent="0.15"/>
    <row r="5279" hidden="1" x14ac:dyDescent="0.15"/>
    <row r="5280" hidden="1" x14ac:dyDescent="0.15"/>
    <row r="5281" hidden="1" x14ac:dyDescent="0.15"/>
    <row r="5282" hidden="1" x14ac:dyDescent="0.15"/>
    <row r="5283" hidden="1" x14ac:dyDescent="0.15"/>
    <row r="5284" hidden="1" x14ac:dyDescent="0.15"/>
    <row r="5285" hidden="1" x14ac:dyDescent="0.15"/>
    <row r="5286" hidden="1" x14ac:dyDescent="0.15"/>
    <row r="5287" hidden="1" x14ac:dyDescent="0.15"/>
    <row r="5288" hidden="1" x14ac:dyDescent="0.15"/>
    <row r="5289" hidden="1" x14ac:dyDescent="0.15"/>
    <row r="5290" hidden="1" x14ac:dyDescent="0.15"/>
    <row r="5291" hidden="1" x14ac:dyDescent="0.15"/>
    <row r="5292" hidden="1" x14ac:dyDescent="0.15"/>
    <row r="5293" hidden="1" x14ac:dyDescent="0.15"/>
    <row r="5294" hidden="1" x14ac:dyDescent="0.15"/>
    <row r="5295" hidden="1" x14ac:dyDescent="0.15"/>
    <row r="5296" hidden="1" x14ac:dyDescent="0.15"/>
    <row r="5297" hidden="1" x14ac:dyDescent="0.15"/>
    <row r="5298" hidden="1" x14ac:dyDescent="0.15"/>
    <row r="5299" hidden="1" x14ac:dyDescent="0.15"/>
    <row r="5300" hidden="1" x14ac:dyDescent="0.15"/>
    <row r="5301" hidden="1" x14ac:dyDescent="0.15"/>
    <row r="5302" hidden="1" x14ac:dyDescent="0.15"/>
    <row r="5303" hidden="1" x14ac:dyDescent="0.15"/>
    <row r="5304" hidden="1" x14ac:dyDescent="0.15"/>
    <row r="5305" hidden="1" x14ac:dyDescent="0.15"/>
    <row r="5306" hidden="1" x14ac:dyDescent="0.15"/>
    <row r="5307" hidden="1" x14ac:dyDescent="0.15"/>
    <row r="5308" hidden="1" x14ac:dyDescent="0.15"/>
    <row r="5309" hidden="1" x14ac:dyDescent="0.15"/>
    <row r="5310" hidden="1" x14ac:dyDescent="0.15"/>
    <row r="5311" hidden="1" x14ac:dyDescent="0.15"/>
    <row r="5312" hidden="1" x14ac:dyDescent="0.15"/>
    <row r="5313" hidden="1" x14ac:dyDescent="0.15"/>
    <row r="5314" hidden="1" x14ac:dyDescent="0.15"/>
    <row r="5315" hidden="1" x14ac:dyDescent="0.15"/>
    <row r="5316" hidden="1" x14ac:dyDescent="0.15"/>
    <row r="5317" hidden="1" x14ac:dyDescent="0.15"/>
    <row r="5318" hidden="1" x14ac:dyDescent="0.15"/>
    <row r="5319" hidden="1" x14ac:dyDescent="0.15"/>
    <row r="5320" hidden="1" x14ac:dyDescent="0.15"/>
    <row r="5321" hidden="1" x14ac:dyDescent="0.15"/>
    <row r="5322" hidden="1" x14ac:dyDescent="0.15"/>
    <row r="5323" hidden="1" x14ac:dyDescent="0.15"/>
    <row r="5324" hidden="1" x14ac:dyDescent="0.15"/>
    <row r="5325" hidden="1" x14ac:dyDescent="0.15"/>
    <row r="5326" hidden="1" x14ac:dyDescent="0.15"/>
    <row r="5327" hidden="1" x14ac:dyDescent="0.15"/>
    <row r="5328" hidden="1" x14ac:dyDescent="0.15"/>
    <row r="5329" hidden="1" x14ac:dyDescent="0.15"/>
    <row r="5330" hidden="1" x14ac:dyDescent="0.15"/>
    <row r="5331" hidden="1" x14ac:dyDescent="0.15"/>
    <row r="5332" hidden="1" x14ac:dyDescent="0.15"/>
    <row r="5333" hidden="1" x14ac:dyDescent="0.15"/>
    <row r="5334" hidden="1" x14ac:dyDescent="0.15"/>
    <row r="5335" hidden="1" x14ac:dyDescent="0.15"/>
    <row r="5336" hidden="1" x14ac:dyDescent="0.15"/>
    <row r="5337" hidden="1" x14ac:dyDescent="0.15"/>
    <row r="5338" hidden="1" x14ac:dyDescent="0.15"/>
    <row r="5339" hidden="1" x14ac:dyDescent="0.15"/>
    <row r="5340" hidden="1" x14ac:dyDescent="0.15"/>
    <row r="5341" hidden="1" x14ac:dyDescent="0.15"/>
    <row r="5342" hidden="1" x14ac:dyDescent="0.15"/>
    <row r="5343" hidden="1" x14ac:dyDescent="0.15"/>
    <row r="5344" hidden="1" x14ac:dyDescent="0.15"/>
    <row r="5345" hidden="1" x14ac:dyDescent="0.15"/>
    <row r="5346" hidden="1" x14ac:dyDescent="0.15"/>
    <row r="5347" hidden="1" x14ac:dyDescent="0.15"/>
    <row r="5348" hidden="1" x14ac:dyDescent="0.15"/>
    <row r="5349" hidden="1" x14ac:dyDescent="0.15"/>
    <row r="5350" hidden="1" x14ac:dyDescent="0.15"/>
    <row r="5351" hidden="1" x14ac:dyDescent="0.15"/>
    <row r="5352" hidden="1" x14ac:dyDescent="0.15"/>
    <row r="5353" hidden="1" x14ac:dyDescent="0.15"/>
    <row r="5354" hidden="1" x14ac:dyDescent="0.15"/>
    <row r="5355" hidden="1" x14ac:dyDescent="0.15"/>
    <row r="5356" hidden="1" x14ac:dyDescent="0.15"/>
    <row r="5357" hidden="1" x14ac:dyDescent="0.15"/>
    <row r="5358" hidden="1" x14ac:dyDescent="0.15"/>
    <row r="5359" hidden="1" x14ac:dyDescent="0.15"/>
    <row r="5360" hidden="1" x14ac:dyDescent="0.15"/>
    <row r="5361" hidden="1" x14ac:dyDescent="0.15"/>
    <row r="5362" hidden="1" x14ac:dyDescent="0.15"/>
    <row r="5363" hidden="1" x14ac:dyDescent="0.15"/>
    <row r="5364" hidden="1" x14ac:dyDescent="0.15"/>
    <row r="5365" hidden="1" x14ac:dyDescent="0.15"/>
    <row r="5366" hidden="1" x14ac:dyDescent="0.15"/>
    <row r="5367" hidden="1" x14ac:dyDescent="0.15"/>
    <row r="5368" hidden="1" x14ac:dyDescent="0.15"/>
    <row r="5369" hidden="1" x14ac:dyDescent="0.15"/>
    <row r="5370" hidden="1" x14ac:dyDescent="0.15"/>
    <row r="5371" hidden="1" x14ac:dyDescent="0.15"/>
    <row r="5372" hidden="1" x14ac:dyDescent="0.15"/>
    <row r="5373" hidden="1" x14ac:dyDescent="0.15"/>
    <row r="5374" hidden="1" x14ac:dyDescent="0.15"/>
    <row r="5375" hidden="1" x14ac:dyDescent="0.15"/>
    <row r="5376" hidden="1" x14ac:dyDescent="0.15"/>
    <row r="5377" hidden="1" x14ac:dyDescent="0.15"/>
    <row r="5378" hidden="1" x14ac:dyDescent="0.15"/>
    <row r="5379" hidden="1" x14ac:dyDescent="0.15"/>
    <row r="5380" hidden="1" x14ac:dyDescent="0.15"/>
    <row r="5381" hidden="1" x14ac:dyDescent="0.15"/>
    <row r="5382" hidden="1" x14ac:dyDescent="0.15"/>
    <row r="5383" hidden="1" x14ac:dyDescent="0.15"/>
    <row r="5384" hidden="1" x14ac:dyDescent="0.15"/>
    <row r="5385" hidden="1" x14ac:dyDescent="0.15"/>
    <row r="5386" hidden="1" x14ac:dyDescent="0.15"/>
    <row r="5387" hidden="1" x14ac:dyDescent="0.15"/>
    <row r="5388" hidden="1" x14ac:dyDescent="0.15"/>
    <row r="5389" hidden="1" x14ac:dyDescent="0.15"/>
    <row r="5390" hidden="1" x14ac:dyDescent="0.15"/>
    <row r="5391" hidden="1" x14ac:dyDescent="0.15"/>
    <row r="5392" hidden="1" x14ac:dyDescent="0.15"/>
    <row r="5393" hidden="1" x14ac:dyDescent="0.15"/>
    <row r="5394" hidden="1" x14ac:dyDescent="0.15"/>
    <row r="5395" hidden="1" x14ac:dyDescent="0.15"/>
    <row r="5396" hidden="1" x14ac:dyDescent="0.15"/>
    <row r="5397" hidden="1" x14ac:dyDescent="0.15"/>
    <row r="5398" hidden="1" x14ac:dyDescent="0.15"/>
    <row r="5399" hidden="1" x14ac:dyDescent="0.15"/>
    <row r="5400" hidden="1" x14ac:dyDescent="0.15"/>
    <row r="5401" hidden="1" x14ac:dyDescent="0.15"/>
    <row r="5402" hidden="1" x14ac:dyDescent="0.15"/>
    <row r="5403" hidden="1" x14ac:dyDescent="0.15"/>
    <row r="5404" hidden="1" x14ac:dyDescent="0.15"/>
    <row r="5405" hidden="1" x14ac:dyDescent="0.15"/>
    <row r="5406" hidden="1" x14ac:dyDescent="0.15"/>
    <row r="5407" hidden="1" x14ac:dyDescent="0.15"/>
    <row r="5408" hidden="1" x14ac:dyDescent="0.15"/>
    <row r="5409" hidden="1" x14ac:dyDescent="0.15"/>
    <row r="5410" hidden="1" x14ac:dyDescent="0.15"/>
    <row r="5411" hidden="1" x14ac:dyDescent="0.15"/>
    <row r="5412" hidden="1" x14ac:dyDescent="0.15"/>
    <row r="5413" hidden="1" x14ac:dyDescent="0.15"/>
    <row r="5414" hidden="1" x14ac:dyDescent="0.15"/>
    <row r="5415" hidden="1" x14ac:dyDescent="0.15"/>
    <row r="5416" hidden="1" x14ac:dyDescent="0.15"/>
    <row r="5417" hidden="1" x14ac:dyDescent="0.15"/>
    <row r="5418" hidden="1" x14ac:dyDescent="0.15"/>
    <row r="5419" hidden="1" x14ac:dyDescent="0.15"/>
    <row r="5420" hidden="1" x14ac:dyDescent="0.15"/>
    <row r="5421" hidden="1" x14ac:dyDescent="0.15"/>
    <row r="5422" hidden="1" x14ac:dyDescent="0.15"/>
    <row r="5423" hidden="1" x14ac:dyDescent="0.15"/>
    <row r="5424" hidden="1" x14ac:dyDescent="0.15"/>
    <row r="5425" hidden="1" x14ac:dyDescent="0.15"/>
    <row r="5426" hidden="1" x14ac:dyDescent="0.15"/>
    <row r="5427" hidden="1" x14ac:dyDescent="0.15"/>
    <row r="5428" hidden="1" x14ac:dyDescent="0.15"/>
    <row r="5429" hidden="1" x14ac:dyDescent="0.15"/>
    <row r="5430" hidden="1" x14ac:dyDescent="0.15"/>
    <row r="5431" hidden="1" x14ac:dyDescent="0.15"/>
    <row r="5432" hidden="1" x14ac:dyDescent="0.15"/>
    <row r="5433" hidden="1" x14ac:dyDescent="0.15"/>
    <row r="5434" hidden="1" x14ac:dyDescent="0.15"/>
    <row r="5435" hidden="1" x14ac:dyDescent="0.15"/>
    <row r="5436" hidden="1" x14ac:dyDescent="0.15"/>
    <row r="5437" hidden="1" x14ac:dyDescent="0.15"/>
    <row r="5438" hidden="1" x14ac:dyDescent="0.15"/>
    <row r="5439" hidden="1" x14ac:dyDescent="0.15"/>
    <row r="5440" hidden="1" x14ac:dyDescent="0.15"/>
    <row r="5441" hidden="1" x14ac:dyDescent="0.15"/>
    <row r="5442" hidden="1" x14ac:dyDescent="0.15"/>
    <row r="5443" hidden="1" x14ac:dyDescent="0.15"/>
    <row r="5444" hidden="1" x14ac:dyDescent="0.15"/>
    <row r="5445" hidden="1" x14ac:dyDescent="0.15"/>
    <row r="5446" hidden="1" x14ac:dyDescent="0.15"/>
    <row r="5447" hidden="1" x14ac:dyDescent="0.15"/>
    <row r="5448" hidden="1" x14ac:dyDescent="0.15"/>
    <row r="5449" hidden="1" x14ac:dyDescent="0.15"/>
    <row r="5450" hidden="1" x14ac:dyDescent="0.15"/>
    <row r="5451" hidden="1" x14ac:dyDescent="0.15"/>
    <row r="5452" hidden="1" x14ac:dyDescent="0.15"/>
    <row r="5453" hidden="1" x14ac:dyDescent="0.15"/>
    <row r="5454" hidden="1" x14ac:dyDescent="0.15"/>
    <row r="5455" hidden="1" x14ac:dyDescent="0.15"/>
    <row r="5456" hidden="1" x14ac:dyDescent="0.15"/>
    <row r="5457" hidden="1" x14ac:dyDescent="0.15"/>
    <row r="5458" hidden="1" x14ac:dyDescent="0.15"/>
    <row r="5459" hidden="1" x14ac:dyDescent="0.15"/>
    <row r="5460" hidden="1" x14ac:dyDescent="0.15"/>
    <row r="5461" hidden="1" x14ac:dyDescent="0.15"/>
    <row r="5462" hidden="1" x14ac:dyDescent="0.15"/>
    <row r="5463" hidden="1" x14ac:dyDescent="0.15"/>
    <row r="5464" hidden="1" x14ac:dyDescent="0.15"/>
    <row r="5465" hidden="1" x14ac:dyDescent="0.15"/>
    <row r="5466" hidden="1" x14ac:dyDescent="0.15"/>
    <row r="5467" hidden="1" x14ac:dyDescent="0.15"/>
    <row r="5468" hidden="1" x14ac:dyDescent="0.15"/>
    <row r="5469" hidden="1" x14ac:dyDescent="0.15"/>
    <row r="5470" hidden="1" x14ac:dyDescent="0.15"/>
    <row r="5471" hidden="1" x14ac:dyDescent="0.15"/>
    <row r="5472" hidden="1" x14ac:dyDescent="0.15"/>
    <row r="5473" hidden="1" x14ac:dyDescent="0.15"/>
    <row r="5474" hidden="1" x14ac:dyDescent="0.15"/>
    <row r="5475" hidden="1" x14ac:dyDescent="0.15"/>
    <row r="5476" hidden="1" x14ac:dyDescent="0.15"/>
    <row r="5477" hidden="1" x14ac:dyDescent="0.15"/>
    <row r="5478" hidden="1" x14ac:dyDescent="0.15"/>
    <row r="5479" hidden="1" x14ac:dyDescent="0.15"/>
    <row r="5480" hidden="1" x14ac:dyDescent="0.15"/>
    <row r="5481" hidden="1" x14ac:dyDescent="0.15"/>
    <row r="5482" hidden="1" x14ac:dyDescent="0.15"/>
    <row r="5483" hidden="1" x14ac:dyDescent="0.15"/>
    <row r="5484" hidden="1" x14ac:dyDescent="0.15"/>
    <row r="5485" hidden="1" x14ac:dyDescent="0.15"/>
    <row r="5486" hidden="1" x14ac:dyDescent="0.15"/>
    <row r="5487" hidden="1" x14ac:dyDescent="0.15"/>
    <row r="5488" hidden="1" x14ac:dyDescent="0.15"/>
    <row r="5489" hidden="1" x14ac:dyDescent="0.15"/>
    <row r="5490" hidden="1" x14ac:dyDescent="0.15"/>
    <row r="5491" hidden="1" x14ac:dyDescent="0.15"/>
    <row r="5492" hidden="1" x14ac:dyDescent="0.15"/>
    <row r="5493" hidden="1" x14ac:dyDescent="0.15"/>
    <row r="5494" hidden="1" x14ac:dyDescent="0.15"/>
    <row r="5495" hidden="1" x14ac:dyDescent="0.15"/>
    <row r="5496" hidden="1" x14ac:dyDescent="0.15"/>
    <row r="5497" hidden="1" x14ac:dyDescent="0.15"/>
    <row r="5498" hidden="1" x14ac:dyDescent="0.15"/>
    <row r="5499" hidden="1" x14ac:dyDescent="0.15"/>
    <row r="5500" hidden="1" x14ac:dyDescent="0.15"/>
    <row r="5501" hidden="1" x14ac:dyDescent="0.15"/>
    <row r="5502" hidden="1" x14ac:dyDescent="0.15"/>
    <row r="5503" hidden="1" x14ac:dyDescent="0.15"/>
    <row r="5504" hidden="1" x14ac:dyDescent="0.15"/>
    <row r="5505" hidden="1" x14ac:dyDescent="0.15"/>
    <row r="5506" hidden="1" x14ac:dyDescent="0.15"/>
    <row r="5507" hidden="1" x14ac:dyDescent="0.15"/>
    <row r="5508" hidden="1" x14ac:dyDescent="0.15"/>
    <row r="5509" hidden="1" x14ac:dyDescent="0.15"/>
    <row r="5510" hidden="1" x14ac:dyDescent="0.15"/>
    <row r="5511" hidden="1" x14ac:dyDescent="0.15"/>
    <row r="5512" hidden="1" x14ac:dyDescent="0.15"/>
    <row r="5513" hidden="1" x14ac:dyDescent="0.15"/>
    <row r="5514" hidden="1" x14ac:dyDescent="0.15"/>
    <row r="5515" hidden="1" x14ac:dyDescent="0.15"/>
    <row r="5516" hidden="1" x14ac:dyDescent="0.15"/>
    <row r="5517" hidden="1" x14ac:dyDescent="0.15"/>
    <row r="5518" hidden="1" x14ac:dyDescent="0.15"/>
    <row r="5519" hidden="1" x14ac:dyDescent="0.15"/>
    <row r="5520" hidden="1" x14ac:dyDescent="0.15"/>
    <row r="5521" hidden="1" x14ac:dyDescent="0.15"/>
    <row r="5522" hidden="1" x14ac:dyDescent="0.15"/>
    <row r="5523" hidden="1" x14ac:dyDescent="0.15"/>
    <row r="5524" hidden="1" x14ac:dyDescent="0.15"/>
    <row r="5525" hidden="1" x14ac:dyDescent="0.15"/>
    <row r="5526" hidden="1" x14ac:dyDescent="0.15"/>
    <row r="5527" hidden="1" x14ac:dyDescent="0.15"/>
    <row r="5528" hidden="1" x14ac:dyDescent="0.15"/>
    <row r="5529" hidden="1" x14ac:dyDescent="0.15"/>
    <row r="5530" hidden="1" x14ac:dyDescent="0.15"/>
    <row r="5531" hidden="1" x14ac:dyDescent="0.15"/>
    <row r="5532" hidden="1" x14ac:dyDescent="0.15"/>
    <row r="5533" hidden="1" x14ac:dyDescent="0.15"/>
    <row r="5534" hidden="1" x14ac:dyDescent="0.15"/>
    <row r="5535" hidden="1" x14ac:dyDescent="0.15"/>
    <row r="5536" hidden="1" x14ac:dyDescent="0.15"/>
    <row r="5537" hidden="1" x14ac:dyDescent="0.15"/>
    <row r="5538" hidden="1" x14ac:dyDescent="0.15"/>
    <row r="5539" hidden="1" x14ac:dyDescent="0.15"/>
    <row r="5540" hidden="1" x14ac:dyDescent="0.15"/>
    <row r="5541" hidden="1" x14ac:dyDescent="0.15"/>
    <row r="5542" hidden="1" x14ac:dyDescent="0.15"/>
    <row r="5543" hidden="1" x14ac:dyDescent="0.15"/>
    <row r="5544" hidden="1" x14ac:dyDescent="0.15"/>
    <row r="5545" hidden="1" x14ac:dyDescent="0.15"/>
    <row r="5546" hidden="1" x14ac:dyDescent="0.15"/>
    <row r="5547" hidden="1" x14ac:dyDescent="0.15"/>
    <row r="5548" hidden="1" x14ac:dyDescent="0.15"/>
    <row r="5549" hidden="1" x14ac:dyDescent="0.15"/>
    <row r="5550" hidden="1" x14ac:dyDescent="0.15"/>
    <row r="5551" hidden="1" x14ac:dyDescent="0.15"/>
    <row r="5552" hidden="1" x14ac:dyDescent="0.15"/>
    <row r="5553" hidden="1" x14ac:dyDescent="0.15"/>
    <row r="5554" hidden="1" x14ac:dyDescent="0.15"/>
    <row r="5555" hidden="1" x14ac:dyDescent="0.15"/>
    <row r="5556" hidden="1" x14ac:dyDescent="0.15"/>
    <row r="5557" hidden="1" x14ac:dyDescent="0.15"/>
    <row r="5558" hidden="1" x14ac:dyDescent="0.15"/>
    <row r="5559" hidden="1" x14ac:dyDescent="0.15"/>
    <row r="5560" hidden="1" x14ac:dyDescent="0.15"/>
    <row r="5561" hidden="1" x14ac:dyDescent="0.15"/>
    <row r="5562" hidden="1" x14ac:dyDescent="0.15"/>
    <row r="5563" hidden="1" x14ac:dyDescent="0.15"/>
    <row r="5564" hidden="1" x14ac:dyDescent="0.15"/>
    <row r="5565" hidden="1" x14ac:dyDescent="0.15"/>
    <row r="5566" hidden="1" x14ac:dyDescent="0.15"/>
    <row r="5567" hidden="1" x14ac:dyDescent="0.15"/>
    <row r="5568" hidden="1" x14ac:dyDescent="0.15"/>
    <row r="5569" hidden="1" x14ac:dyDescent="0.15"/>
    <row r="5570" hidden="1" x14ac:dyDescent="0.15"/>
    <row r="5571" hidden="1" x14ac:dyDescent="0.15"/>
    <row r="5572" hidden="1" x14ac:dyDescent="0.15"/>
    <row r="5573" hidden="1" x14ac:dyDescent="0.15"/>
    <row r="5574" hidden="1" x14ac:dyDescent="0.15"/>
    <row r="5575" hidden="1" x14ac:dyDescent="0.15"/>
    <row r="5576" hidden="1" x14ac:dyDescent="0.15"/>
    <row r="5577" hidden="1" x14ac:dyDescent="0.15"/>
    <row r="5578" hidden="1" x14ac:dyDescent="0.15"/>
    <row r="5579" hidden="1" x14ac:dyDescent="0.15"/>
    <row r="5580" hidden="1" x14ac:dyDescent="0.15"/>
    <row r="5581" hidden="1" x14ac:dyDescent="0.15"/>
    <row r="5582" hidden="1" x14ac:dyDescent="0.15"/>
    <row r="5583" hidden="1" x14ac:dyDescent="0.15"/>
    <row r="5584" hidden="1" x14ac:dyDescent="0.15"/>
    <row r="5585" hidden="1" x14ac:dyDescent="0.15"/>
    <row r="5586" hidden="1" x14ac:dyDescent="0.15"/>
    <row r="5587" hidden="1" x14ac:dyDescent="0.15"/>
    <row r="5588" hidden="1" x14ac:dyDescent="0.15"/>
    <row r="5589" hidden="1" x14ac:dyDescent="0.15"/>
    <row r="5590" hidden="1" x14ac:dyDescent="0.15"/>
    <row r="5591" hidden="1" x14ac:dyDescent="0.15"/>
    <row r="5592" hidden="1" x14ac:dyDescent="0.15"/>
    <row r="5593" hidden="1" x14ac:dyDescent="0.15"/>
    <row r="5594" hidden="1" x14ac:dyDescent="0.15"/>
    <row r="5595" hidden="1" x14ac:dyDescent="0.15"/>
    <row r="5596" hidden="1" x14ac:dyDescent="0.15"/>
    <row r="5597" hidden="1" x14ac:dyDescent="0.15"/>
    <row r="5598" hidden="1" x14ac:dyDescent="0.15"/>
    <row r="5599" hidden="1" x14ac:dyDescent="0.15"/>
    <row r="5600" hidden="1" x14ac:dyDescent="0.15"/>
    <row r="5601" hidden="1" x14ac:dyDescent="0.15"/>
    <row r="5602" hidden="1" x14ac:dyDescent="0.15"/>
    <row r="5603" hidden="1" x14ac:dyDescent="0.15"/>
    <row r="5604" hidden="1" x14ac:dyDescent="0.15"/>
    <row r="5605" hidden="1" x14ac:dyDescent="0.15"/>
    <row r="5606" hidden="1" x14ac:dyDescent="0.15"/>
    <row r="5607" hidden="1" x14ac:dyDescent="0.15"/>
    <row r="5608" hidden="1" x14ac:dyDescent="0.15"/>
    <row r="5609" hidden="1" x14ac:dyDescent="0.15"/>
    <row r="5610" hidden="1" x14ac:dyDescent="0.15"/>
    <row r="5611" hidden="1" x14ac:dyDescent="0.15"/>
    <row r="5612" hidden="1" x14ac:dyDescent="0.15"/>
    <row r="5613" hidden="1" x14ac:dyDescent="0.15"/>
    <row r="5614" hidden="1" x14ac:dyDescent="0.15"/>
    <row r="5615" hidden="1" x14ac:dyDescent="0.15"/>
    <row r="5616" hidden="1" x14ac:dyDescent="0.15"/>
    <row r="5617" hidden="1" x14ac:dyDescent="0.15"/>
    <row r="5618" hidden="1" x14ac:dyDescent="0.15"/>
    <row r="5619" hidden="1" x14ac:dyDescent="0.15"/>
    <row r="5620" hidden="1" x14ac:dyDescent="0.15"/>
    <row r="5621" hidden="1" x14ac:dyDescent="0.15"/>
    <row r="5622" hidden="1" x14ac:dyDescent="0.15"/>
    <row r="5623" hidden="1" x14ac:dyDescent="0.15"/>
    <row r="5624" hidden="1" x14ac:dyDescent="0.15"/>
    <row r="5625" hidden="1" x14ac:dyDescent="0.15"/>
    <row r="5626" hidden="1" x14ac:dyDescent="0.15"/>
    <row r="5627" hidden="1" x14ac:dyDescent="0.15"/>
    <row r="5628" hidden="1" x14ac:dyDescent="0.15"/>
    <row r="5629" hidden="1" x14ac:dyDescent="0.15"/>
    <row r="5630" hidden="1" x14ac:dyDescent="0.15"/>
    <row r="5631" hidden="1" x14ac:dyDescent="0.15"/>
    <row r="5632" hidden="1" x14ac:dyDescent="0.15"/>
    <row r="5633" hidden="1" x14ac:dyDescent="0.15"/>
    <row r="5634" hidden="1" x14ac:dyDescent="0.15"/>
    <row r="5635" hidden="1" x14ac:dyDescent="0.15"/>
    <row r="5636" hidden="1" x14ac:dyDescent="0.15"/>
    <row r="5637" hidden="1" x14ac:dyDescent="0.15"/>
    <row r="5638" hidden="1" x14ac:dyDescent="0.15"/>
    <row r="5639" hidden="1" x14ac:dyDescent="0.15"/>
    <row r="5640" hidden="1" x14ac:dyDescent="0.15"/>
    <row r="5641" hidden="1" x14ac:dyDescent="0.15"/>
    <row r="5642" hidden="1" x14ac:dyDescent="0.15"/>
    <row r="5643" hidden="1" x14ac:dyDescent="0.15"/>
    <row r="5644" hidden="1" x14ac:dyDescent="0.15"/>
    <row r="5645" hidden="1" x14ac:dyDescent="0.15"/>
    <row r="5646" hidden="1" x14ac:dyDescent="0.15"/>
    <row r="5647" hidden="1" x14ac:dyDescent="0.15"/>
    <row r="5648" hidden="1" x14ac:dyDescent="0.15"/>
    <row r="5649" hidden="1" x14ac:dyDescent="0.15"/>
    <row r="5650" hidden="1" x14ac:dyDescent="0.15"/>
    <row r="5651" hidden="1" x14ac:dyDescent="0.15"/>
    <row r="5652" hidden="1" x14ac:dyDescent="0.15"/>
    <row r="5653" hidden="1" x14ac:dyDescent="0.15"/>
    <row r="5654" hidden="1" x14ac:dyDescent="0.15"/>
    <row r="5655" hidden="1" x14ac:dyDescent="0.15"/>
    <row r="5656" hidden="1" x14ac:dyDescent="0.15"/>
    <row r="5657" hidden="1" x14ac:dyDescent="0.15"/>
    <row r="5658" hidden="1" x14ac:dyDescent="0.15"/>
    <row r="5659" hidden="1" x14ac:dyDescent="0.15"/>
    <row r="5660" hidden="1" x14ac:dyDescent="0.15"/>
    <row r="5661" hidden="1" x14ac:dyDescent="0.15"/>
    <row r="5662" hidden="1" x14ac:dyDescent="0.15"/>
    <row r="5663" hidden="1" x14ac:dyDescent="0.15"/>
    <row r="5664" hidden="1" x14ac:dyDescent="0.15"/>
    <row r="5665" hidden="1" x14ac:dyDescent="0.15"/>
    <row r="5666" hidden="1" x14ac:dyDescent="0.15"/>
    <row r="5667" hidden="1" x14ac:dyDescent="0.15"/>
    <row r="5668" hidden="1" x14ac:dyDescent="0.15"/>
    <row r="5669" hidden="1" x14ac:dyDescent="0.15"/>
    <row r="5670" hidden="1" x14ac:dyDescent="0.15"/>
    <row r="5671" hidden="1" x14ac:dyDescent="0.15"/>
    <row r="5672" hidden="1" x14ac:dyDescent="0.15"/>
    <row r="5673" hidden="1" x14ac:dyDescent="0.15"/>
    <row r="5674" hidden="1" x14ac:dyDescent="0.15"/>
    <row r="5675" hidden="1" x14ac:dyDescent="0.15"/>
    <row r="5676" hidden="1" x14ac:dyDescent="0.15"/>
    <row r="5677" hidden="1" x14ac:dyDescent="0.15"/>
    <row r="5678" hidden="1" x14ac:dyDescent="0.15"/>
    <row r="5679" hidden="1" x14ac:dyDescent="0.15"/>
    <row r="5680" hidden="1" x14ac:dyDescent="0.15"/>
    <row r="5681" hidden="1" x14ac:dyDescent="0.15"/>
    <row r="5682" hidden="1" x14ac:dyDescent="0.15"/>
    <row r="5683" hidden="1" x14ac:dyDescent="0.15"/>
    <row r="5684" hidden="1" x14ac:dyDescent="0.15"/>
    <row r="5685" hidden="1" x14ac:dyDescent="0.15"/>
    <row r="5686" hidden="1" x14ac:dyDescent="0.15"/>
    <row r="5687" hidden="1" x14ac:dyDescent="0.15"/>
    <row r="5688" hidden="1" x14ac:dyDescent="0.15"/>
    <row r="5689" hidden="1" x14ac:dyDescent="0.15"/>
    <row r="5690" hidden="1" x14ac:dyDescent="0.15"/>
    <row r="5691" hidden="1" x14ac:dyDescent="0.15"/>
    <row r="5692" hidden="1" x14ac:dyDescent="0.15"/>
    <row r="5693" hidden="1" x14ac:dyDescent="0.15"/>
    <row r="5694" hidden="1" x14ac:dyDescent="0.15"/>
    <row r="5695" hidden="1" x14ac:dyDescent="0.15"/>
    <row r="5696" hidden="1" x14ac:dyDescent="0.15"/>
    <row r="5697" hidden="1" x14ac:dyDescent="0.15"/>
    <row r="5698" hidden="1" x14ac:dyDescent="0.15"/>
    <row r="5699" hidden="1" x14ac:dyDescent="0.15"/>
    <row r="5700" hidden="1" x14ac:dyDescent="0.15"/>
    <row r="5701" hidden="1" x14ac:dyDescent="0.15"/>
    <row r="5702" hidden="1" x14ac:dyDescent="0.15"/>
    <row r="5703" hidden="1" x14ac:dyDescent="0.15"/>
    <row r="5704" hidden="1" x14ac:dyDescent="0.15"/>
    <row r="5705" hidden="1" x14ac:dyDescent="0.15"/>
    <row r="5706" hidden="1" x14ac:dyDescent="0.15"/>
    <row r="5707" hidden="1" x14ac:dyDescent="0.15"/>
    <row r="5708" hidden="1" x14ac:dyDescent="0.15"/>
    <row r="5709" hidden="1" x14ac:dyDescent="0.15"/>
    <row r="5710" hidden="1" x14ac:dyDescent="0.15"/>
    <row r="5711" hidden="1" x14ac:dyDescent="0.15"/>
    <row r="5712" hidden="1" x14ac:dyDescent="0.15"/>
    <row r="5713" hidden="1" x14ac:dyDescent="0.15"/>
    <row r="5714" hidden="1" x14ac:dyDescent="0.15"/>
    <row r="5715" hidden="1" x14ac:dyDescent="0.15"/>
    <row r="5716" hidden="1" x14ac:dyDescent="0.15"/>
    <row r="5717" hidden="1" x14ac:dyDescent="0.15"/>
    <row r="5718" hidden="1" x14ac:dyDescent="0.15"/>
    <row r="5719" hidden="1" x14ac:dyDescent="0.15"/>
    <row r="5720" hidden="1" x14ac:dyDescent="0.15"/>
    <row r="5721" hidden="1" x14ac:dyDescent="0.15"/>
    <row r="5722" hidden="1" x14ac:dyDescent="0.15"/>
    <row r="5723" hidden="1" x14ac:dyDescent="0.15"/>
    <row r="5724" hidden="1" x14ac:dyDescent="0.15"/>
    <row r="5725" hidden="1" x14ac:dyDescent="0.15"/>
    <row r="5726" hidden="1" x14ac:dyDescent="0.15"/>
    <row r="5727" hidden="1" x14ac:dyDescent="0.15"/>
    <row r="5728" hidden="1" x14ac:dyDescent="0.15"/>
    <row r="5729" hidden="1" x14ac:dyDescent="0.15"/>
    <row r="5730" hidden="1" x14ac:dyDescent="0.15"/>
    <row r="5731" hidden="1" x14ac:dyDescent="0.15"/>
    <row r="5732" hidden="1" x14ac:dyDescent="0.15"/>
    <row r="5733" hidden="1" x14ac:dyDescent="0.15"/>
    <row r="5734" hidden="1" x14ac:dyDescent="0.15"/>
    <row r="5735" hidden="1" x14ac:dyDescent="0.15"/>
    <row r="5736" hidden="1" x14ac:dyDescent="0.15"/>
    <row r="5737" hidden="1" x14ac:dyDescent="0.15"/>
    <row r="5738" hidden="1" x14ac:dyDescent="0.15"/>
    <row r="5739" hidden="1" x14ac:dyDescent="0.15"/>
    <row r="5740" hidden="1" x14ac:dyDescent="0.15"/>
    <row r="5741" hidden="1" x14ac:dyDescent="0.15"/>
    <row r="5742" hidden="1" x14ac:dyDescent="0.15"/>
    <row r="5743" hidden="1" x14ac:dyDescent="0.15"/>
    <row r="5744" hidden="1" x14ac:dyDescent="0.15"/>
    <row r="5745" hidden="1" x14ac:dyDescent="0.15"/>
    <row r="5746" hidden="1" x14ac:dyDescent="0.15"/>
    <row r="5747" hidden="1" x14ac:dyDescent="0.15"/>
    <row r="5748" hidden="1" x14ac:dyDescent="0.15"/>
    <row r="5749" hidden="1" x14ac:dyDescent="0.15"/>
    <row r="5750" hidden="1" x14ac:dyDescent="0.15"/>
    <row r="5751" hidden="1" x14ac:dyDescent="0.15"/>
    <row r="5752" hidden="1" x14ac:dyDescent="0.15"/>
    <row r="5753" hidden="1" x14ac:dyDescent="0.15"/>
    <row r="5754" hidden="1" x14ac:dyDescent="0.15"/>
    <row r="5755" hidden="1" x14ac:dyDescent="0.15"/>
    <row r="5756" hidden="1" x14ac:dyDescent="0.15"/>
    <row r="5757" hidden="1" x14ac:dyDescent="0.15"/>
    <row r="5758" hidden="1" x14ac:dyDescent="0.15"/>
    <row r="5759" hidden="1" x14ac:dyDescent="0.15"/>
    <row r="5760" hidden="1" x14ac:dyDescent="0.15"/>
    <row r="5761" hidden="1" x14ac:dyDescent="0.15"/>
    <row r="5762" hidden="1" x14ac:dyDescent="0.15"/>
    <row r="5763" hidden="1" x14ac:dyDescent="0.15"/>
    <row r="5764" hidden="1" x14ac:dyDescent="0.15"/>
    <row r="5765" hidden="1" x14ac:dyDescent="0.15"/>
    <row r="5766" hidden="1" x14ac:dyDescent="0.15"/>
    <row r="5767" hidden="1" x14ac:dyDescent="0.15"/>
    <row r="5768" hidden="1" x14ac:dyDescent="0.15"/>
    <row r="5769" hidden="1" x14ac:dyDescent="0.15"/>
    <row r="5770" hidden="1" x14ac:dyDescent="0.15"/>
    <row r="5771" hidden="1" x14ac:dyDescent="0.15"/>
    <row r="5772" hidden="1" x14ac:dyDescent="0.15"/>
    <row r="5773" hidden="1" x14ac:dyDescent="0.15"/>
    <row r="5774" hidden="1" x14ac:dyDescent="0.15"/>
    <row r="5775" hidden="1" x14ac:dyDescent="0.15"/>
    <row r="5776" hidden="1" x14ac:dyDescent="0.15"/>
    <row r="5777" hidden="1" x14ac:dyDescent="0.15"/>
    <row r="5778" hidden="1" x14ac:dyDescent="0.15"/>
    <row r="5779" hidden="1" x14ac:dyDescent="0.15"/>
    <row r="5780" hidden="1" x14ac:dyDescent="0.15"/>
    <row r="5781" hidden="1" x14ac:dyDescent="0.15"/>
    <row r="5782" hidden="1" x14ac:dyDescent="0.15"/>
    <row r="5783" hidden="1" x14ac:dyDescent="0.15"/>
    <row r="5784" hidden="1" x14ac:dyDescent="0.15"/>
    <row r="5785" hidden="1" x14ac:dyDescent="0.15"/>
    <row r="5786" hidden="1" x14ac:dyDescent="0.15"/>
    <row r="5787" hidden="1" x14ac:dyDescent="0.15"/>
    <row r="5788" hidden="1" x14ac:dyDescent="0.15"/>
    <row r="5789" hidden="1" x14ac:dyDescent="0.15"/>
    <row r="5790" hidden="1" x14ac:dyDescent="0.15"/>
    <row r="5791" hidden="1" x14ac:dyDescent="0.15"/>
    <row r="5792" hidden="1" x14ac:dyDescent="0.15"/>
    <row r="5793" hidden="1" x14ac:dyDescent="0.15"/>
    <row r="5794" hidden="1" x14ac:dyDescent="0.15"/>
    <row r="5795" hidden="1" x14ac:dyDescent="0.15"/>
    <row r="5796" hidden="1" x14ac:dyDescent="0.15"/>
    <row r="5797" hidden="1" x14ac:dyDescent="0.15"/>
    <row r="5798" hidden="1" x14ac:dyDescent="0.15"/>
    <row r="5799" hidden="1" x14ac:dyDescent="0.15"/>
    <row r="5800" hidden="1" x14ac:dyDescent="0.15"/>
    <row r="5801" hidden="1" x14ac:dyDescent="0.15"/>
    <row r="5802" hidden="1" x14ac:dyDescent="0.15"/>
    <row r="5803" hidden="1" x14ac:dyDescent="0.15"/>
    <row r="5804" hidden="1" x14ac:dyDescent="0.15"/>
    <row r="5805" hidden="1" x14ac:dyDescent="0.15"/>
    <row r="5806" hidden="1" x14ac:dyDescent="0.15"/>
    <row r="5807" hidden="1" x14ac:dyDescent="0.15"/>
    <row r="5808" hidden="1" x14ac:dyDescent="0.15"/>
    <row r="5809" hidden="1" x14ac:dyDescent="0.15"/>
    <row r="5810" hidden="1" x14ac:dyDescent="0.15"/>
    <row r="5811" hidden="1" x14ac:dyDescent="0.15"/>
    <row r="5812" hidden="1" x14ac:dyDescent="0.15"/>
    <row r="5813" hidden="1" x14ac:dyDescent="0.15"/>
    <row r="5814" hidden="1" x14ac:dyDescent="0.15"/>
    <row r="5815" hidden="1" x14ac:dyDescent="0.15"/>
    <row r="5816" hidden="1" x14ac:dyDescent="0.15"/>
    <row r="5817" hidden="1" x14ac:dyDescent="0.15"/>
    <row r="5818" hidden="1" x14ac:dyDescent="0.15"/>
    <row r="5819" hidden="1" x14ac:dyDescent="0.15"/>
    <row r="5820" hidden="1" x14ac:dyDescent="0.15"/>
    <row r="5821" hidden="1" x14ac:dyDescent="0.15"/>
    <row r="5822" hidden="1" x14ac:dyDescent="0.15"/>
    <row r="5823" hidden="1" x14ac:dyDescent="0.15"/>
    <row r="5824" hidden="1" x14ac:dyDescent="0.15"/>
    <row r="5825" hidden="1" x14ac:dyDescent="0.15"/>
    <row r="5826" hidden="1" x14ac:dyDescent="0.15"/>
    <row r="5827" hidden="1" x14ac:dyDescent="0.15"/>
    <row r="5828" hidden="1" x14ac:dyDescent="0.15"/>
    <row r="5829" hidden="1" x14ac:dyDescent="0.15"/>
    <row r="5830" hidden="1" x14ac:dyDescent="0.15"/>
    <row r="5831" hidden="1" x14ac:dyDescent="0.15"/>
    <row r="5832" hidden="1" x14ac:dyDescent="0.15"/>
    <row r="5833" hidden="1" x14ac:dyDescent="0.15"/>
    <row r="5834" hidden="1" x14ac:dyDescent="0.15"/>
    <row r="5835" hidden="1" x14ac:dyDescent="0.15"/>
    <row r="5836" hidden="1" x14ac:dyDescent="0.15"/>
    <row r="5837" hidden="1" x14ac:dyDescent="0.15"/>
    <row r="5838" hidden="1" x14ac:dyDescent="0.15"/>
    <row r="5839" hidden="1" x14ac:dyDescent="0.15"/>
    <row r="5840" hidden="1" x14ac:dyDescent="0.15"/>
    <row r="5841" hidden="1" x14ac:dyDescent="0.15"/>
    <row r="5842" hidden="1" x14ac:dyDescent="0.15"/>
    <row r="5843" hidden="1" x14ac:dyDescent="0.15"/>
    <row r="5844" hidden="1" x14ac:dyDescent="0.15"/>
    <row r="5845" hidden="1" x14ac:dyDescent="0.15"/>
    <row r="5846" hidden="1" x14ac:dyDescent="0.15"/>
    <row r="5847" hidden="1" x14ac:dyDescent="0.15"/>
    <row r="5848" hidden="1" x14ac:dyDescent="0.15"/>
    <row r="5849" hidden="1" x14ac:dyDescent="0.15"/>
    <row r="5850" hidden="1" x14ac:dyDescent="0.15"/>
    <row r="5851" hidden="1" x14ac:dyDescent="0.15"/>
    <row r="5852" hidden="1" x14ac:dyDescent="0.15"/>
    <row r="5853" hidden="1" x14ac:dyDescent="0.15"/>
    <row r="5854" hidden="1" x14ac:dyDescent="0.15"/>
    <row r="5855" hidden="1" x14ac:dyDescent="0.15"/>
    <row r="5856" hidden="1" x14ac:dyDescent="0.15"/>
    <row r="5857" hidden="1" x14ac:dyDescent="0.15"/>
    <row r="5858" hidden="1" x14ac:dyDescent="0.15"/>
    <row r="5859" hidden="1" x14ac:dyDescent="0.15"/>
    <row r="5860" hidden="1" x14ac:dyDescent="0.15"/>
    <row r="5861" hidden="1" x14ac:dyDescent="0.15"/>
    <row r="5862" hidden="1" x14ac:dyDescent="0.15"/>
    <row r="5863" hidden="1" x14ac:dyDescent="0.15"/>
    <row r="5864" hidden="1" x14ac:dyDescent="0.15"/>
    <row r="5865" hidden="1" x14ac:dyDescent="0.15"/>
    <row r="5866" hidden="1" x14ac:dyDescent="0.15"/>
    <row r="5867" hidden="1" x14ac:dyDescent="0.15"/>
    <row r="5868" hidden="1" x14ac:dyDescent="0.15"/>
    <row r="5869" hidden="1" x14ac:dyDescent="0.15"/>
    <row r="5870" hidden="1" x14ac:dyDescent="0.15"/>
    <row r="5871" hidden="1" x14ac:dyDescent="0.15"/>
    <row r="5872" hidden="1" x14ac:dyDescent="0.15"/>
    <row r="5873" hidden="1" x14ac:dyDescent="0.15"/>
    <row r="5874" hidden="1" x14ac:dyDescent="0.15"/>
    <row r="5875" hidden="1" x14ac:dyDescent="0.15"/>
    <row r="5876" hidden="1" x14ac:dyDescent="0.15"/>
    <row r="5877" hidden="1" x14ac:dyDescent="0.15"/>
    <row r="5878" hidden="1" x14ac:dyDescent="0.15"/>
    <row r="5879" hidden="1" x14ac:dyDescent="0.15"/>
    <row r="5880" hidden="1" x14ac:dyDescent="0.15"/>
    <row r="5881" hidden="1" x14ac:dyDescent="0.15"/>
    <row r="5882" hidden="1" x14ac:dyDescent="0.15"/>
    <row r="5883" hidden="1" x14ac:dyDescent="0.15"/>
    <row r="5884" hidden="1" x14ac:dyDescent="0.15"/>
    <row r="5885" hidden="1" x14ac:dyDescent="0.15"/>
    <row r="5886" hidden="1" x14ac:dyDescent="0.15"/>
    <row r="5887" hidden="1" x14ac:dyDescent="0.15"/>
    <row r="5888" hidden="1" x14ac:dyDescent="0.15"/>
    <row r="5889" hidden="1" x14ac:dyDescent="0.15"/>
    <row r="5890" hidden="1" x14ac:dyDescent="0.15"/>
    <row r="5891" hidden="1" x14ac:dyDescent="0.15"/>
    <row r="5892" hidden="1" x14ac:dyDescent="0.15"/>
    <row r="5893" hidden="1" x14ac:dyDescent="0.15"/>
    <row r="5894" hidden="1" x14ac:dyDescent="0.15"/>
    <row r="5895" hidden="1" x14ac:dyDescent="0.15"/>
    <row r="5896" hidden="1" x14ac:dyDescent="0.15"/>
    <row r="5897" hidden="1" x14ac:dyDescent="0.15"/>
    <row r="5898" hidden="1" x14ac:dyDescent="0.15"/>
    <row r="5899" hidden="1" x14ac:dyDescent="0.15"/>
    <row r="5900" hidden="1" x14ac:dyDescent="0.15"/>
    <row r="5901" hidden="1" x14ac:dyDescent="0.15"/>
    <row r="5902" hidden="1" x14ac:dyDescent="0.15"/>
    <row r="5903" hidden="1" x14ac:dyDescent="0.15"/>
    <row r="5904" hidden="1" x14ac:dyDescent="0.15"/>
    <row r="5905" hidden="1" x14ac:dyDescent="0.15"/>
    <row r="5906" hidden="1" x14ac:dyDescent="0.15"/>
    <row r="5907" hidden="1" x14ac:dyDescent="0.15"/>
    <row r="5908" hidden="1" x14ac:dyDescent="0.15"/>
    <row r="5909" hidden="1" x14ac:dyDescent="0.15"/>
    <row r="5910" hidden="1" x14ac:dyDescent="0.15"/>
    <row r="5911" hidden="1" x14ac:dyDescent="0.15"/>
    <row r="5912" hidden="1" x14ac:dyDescent="0.15"/>
    <row r="5913" hidden="1" x14ac:dyDescent="0.15"/>
    <row r="5914" hidden="1" x14ac:dyDescent="0.15"/>
    <row r="5915" hidden="1" x14ac:dyDescent="0.15"/>
    <row r="5916" hidden="1" x14ac:dyDescent="0.15"/>
    <row r="5917" hidden="1" x14ac:dyDescent="0.15"/>
    <row r="5918" hidden="1" x14ac:dyDescent="0.15"/>
    <row r="5919" hidden="1" x14ac:dyDescent="0.15"/>
    <row r="5920" hidden="1" x14ac:dyDescent="0.15"/>
    <row r="5921" hidden="1" x14ac:dyDescent="0.15"/>
    <row r="5922" hidden="1" x14ac:dyDescent="0.15"/>
    <row r="5923" hidden="1" x14ac:dyDescent="0.15"/>
    <row r="5924" hidden="1" x14ac:dyDescent="0.15"/>
    <row r="5925" hidden="1" x14ac:dyDescent="0.15"/>
    <row r="5926" hidden="1" x14ac:dyDescent="0.15"/>
    <row r="5927" hidden="1" x14ac:dyDescent="0.15"/>
    <row r="5928" hidden="1" x14ac:dyDescent="0.15"/>
    <row r="5929" hidden="1" x14ac:dyDescent="0.15"/>
    <row r="5930" hidden="1" x14ac:dyDescent="0.15"/>
    <row r="5931" hidden="1" x14ac:dyDescent="0.15"/>
    <row r="5932" hidden="1" x14ac:dyDescent="0.15"/>
    <row r="5933" hidden="1" x14ac:dyDescent="0.15"/>
    <row r="5934" hidden="1" x14ac:dyDescent="0.15"/>
    <row r="5935" hidden="1" x14ac:dyDescent="0.15"/>
    <row r="5936" hidden="1" x14ac:dyDescent="0.15"/>
    <row r="5937" hidden="1" x14ac:dyDescent="0.15"/>
    <row r="5938" hidden="1" x14ac:dyDescent="0.15"/>
    <row r="5939" hidden="1" x14ac:dyDescent="0.15"/>
    <row r="5940" hidden="1" x14ac:dyDescent="0.15"/>
    <row r="5941" hidden="1" x14ac:dyDescent="0.15"/>
    <row r="5942" hidden="1" x14ac:dyDescent="0.15"/>
    <row r="5943" hidden="1" x14ac:dyDescent="0.15"/>
    <row r="5944" hidden="1" x14ac:dyDescent="0.15"/>
    <row r="5945" hidden="1" x14ac:dyDescent="0.15"/>
    <row r="5946" hidden="1" x14ac:dyDescent="0.15"/>
    <row r="5947" hidden="1" x14ac:dyDescent="0.15"/>
    <row r="5948" hidden="1" x14ac:dyDescent="0.15"/>
    <row r="5949" hidden="1" x14ac:dyDescent="0.15"/>
    <row r="5950" hidden="1" x14ac:dyDescent="0.15"/>
    <row r="5951" hidden="1" x14ac:dyDescent="0.15"/>
    <row r="5952" hidden="1" x14ac:dyDescent="0.15"/>
    <row r="5953" hidden="1" x14ac:dyDescent="0.15"/>
    <row r="5954" hidden="1" x14ac:dyDescent="0.15"/>
    <row r="5955" hidden="1" x14ac:dyDescent="0.15"/>
    <row r="5956" hidden="1" x14ac:dyDescent="0.15"/>
    <row r="5957" hidden="1" x14ac:dyDescent="0.15"/>
    <row r="5958" hidden="1" x14ac:dyDescent="0.15"/>
    <row r="5959" hidden="1" x14ac:dyDescent="0.15"/>
    <row r="5960" hidden="1" x14ac:dyDescent="0.15"/>
    <row r="5961" hidden="1" x14ac:dyDescent="0.15"/>
    <row r="5962" hidden="1" x14ac:dyDescent="0.15"/>
    <row r="5963" hidden="1" x14ac:dyDescent="0.15"/>
    <row r="5964" hidden="1" x14ac:dyDescent="0.15"/>
    <row r="5965" hidden="1" x14ac:dyDescent="0.15"/>
    <row r="5966" hidden="1" x14ac:dyDescent="0.15"/>
    <row r="5967" hidden="1" x14ac:dyDescent="0.15"/>
    <row r="5968" hidden="1" x14ac:dyDescent="0.15"/>
    <row r="5969" hidden="1" x14ac:dyDescent="0.15"/>
    <row r="5970" hidden="1" x14ac:dyDescent="0.15"/>
    <row r="5971" hidden="1" x14ac:dyDescent="0.15"/>
    <row r="5972" hidden="1" x14ac:dyDescent="0.15"/>
    <row r="5973" hidden="1" x14ac:dyDescent="0.15"/>
    <row r="5974" hidden="1" x14ac:dyDescent="0.15"/>
    <row r="5975" hidden="1" x14ac:dyDescent="0.15"/>
    <row r="5976" hidden="1" x14ac:dyDescent="0.15"/>
    <row r="5977" hidden="1" x14ac:dyDescent="0.15"/>
    <row r="5978" hidden="1" x14ac:dyDescent="0.15"/>
    <row r="5979" hidden="1" x14ac:dyDescent="0.15"/>
    <row r="5980" hidden="1" x14ac:dyDescent="0.15"/>
    <row r="5981" hidden="1" x14ac:dyDescent="0.15"/>
    <row r="5982" hidden="1" x14ac:dyDescent="0.15"/>
    <row r="5983" hidden="1" x14ac:dyDescent="0.15"/>
    <row r="5984" hidden="1" x14ac:dyDescent="0.15"/>
    <row r="5985" hidden="1" x14ac:dyDescent="0.15"/>
    <row r="5986" hidden="1" x14ac:dyDescent="0.15"/>
    <row r="5987" hidden="1" x14ac:dyDescent="0.15"/>
    <row r="5988" hidden="1" x14ac:dyDescent="0.15"/>
    <row r="5989" hidden="1" x14ac:dyDescent="0.15"/>
    <row r="5990" hidden="1" x14ac:dyDescent="0.15"/>
    <row r="5991" hidden="1" x14ac:dyDescent="0.15"/>
    <row r="5992" hidden="1" x14ac:dyDescent="0.15"/>
    <row r="5993" hidden="1" x14ac:dyDescent="0.15"/>
    <row r="5994" hidden="1" x14ac:dyDescent="0.15"/>
    <row r="5995" hidden="1" x14ac:dyDescent="0.15"/>
    <row r="5996" hidden="1" x14ac:dyDescent="0.15"/>
    <row r="5997" hidden="1" x14ac:dyDescent="0.15"/>
    <row r="5998" hidden="1" x14ac:dyDescent="0.15"/>
    <row r="5999" hidden="1" x14ac:dyDescent="0.15"/>
    <row r="6000" hidden="1" x14ac:dyDescent="0.15"/>
    <row r="6001" hidden="1" x14ac:dyDescent="0.15"/>
    <row r="6002" hidden="1" x14ac:dyDescent="0.15"/>
    <row r="6003" hidden="1" x14ac:dyDescent="0.15"/>
    <row r="6004" hidden="1" x14ac:dyDescent="0.15"/>
    <row r="6005" hidden="1" x14ac:dyDescent="0.15"/>
    <row r="6006" hidden="1" x14ac:dyDescent="0.15"/>
    <row r="6007" hidden="1" x14ac:dyDescent="0.15"/>
    <row r="6008" hidden="1" x14ac:dyDescent="0.15"/>
    <row r="6009" hidden="1" x14ac:dyDescent="0.15"/>
    <row r="6010" hidden="1" x14ac:dyDescent="0.15"/>
    <row r="6011" hidden="1" x14ac:dyDescent="0.15"/>
    <row r="6012" hidden="1" x14ac:dyDescent="0.15"/>
    <row r="6013" hidden="1" x14ac:dyDescent="0.15"/>
    <row r="6014" hidden="1" x14ac:dyDescent="0.15"/>
    <row r="6015" hidden="1" x14ac:dyDescent="0.15"/>
    <row r="6016" hidden="1" x14ac:dyDescent="0.15"/>
    <row r="6017" hidden="1" x14ac:dyDescent="0.15"/>
    <row r="6018" hidden="1" x14ac:dyDescent="0.15"/>
    <row r="6019" hidden="1" x14ac:dyDescent="0.15"/>
    <row r="6020" hidden="1" x14ac:dyDescent="0.15"/>
    <row r="6021" hidden="1" x14ac:dyDescent="0.15"/>
    <row r="6022" hidden="1" x14ac:dyDescent="0.15"/>
    <row r="6023" hidden="1" x14ac:dyDescent="0.15"/>
    <row r="6024" hidden="1" x14ac:dyDescent="0.15"/>
    <row r="6025" hidden="1" x14ac:dyDescent="0.15"/>
    <row r="6026" hidden="1" x14ac:dyDescent="0.15"/>
    <row r="6027" hidden="1" x14ac:dyDescent="0.15"/>
    <row r="6028" hidden="1" x14ac:dyDescent="0.15"/>
    <row r="6029" hidden="1" x14ac:dyDescent="0.15"/>
    <row r="6030" hidden="1" x14ac:dyDescent="0.15"/>
    <row r="6031" hidden="1" x14ac:dyDescent="0.15"/>
    <row r="6032" hidden="1" x14ac:dyDescent="0.15"/>
    <row r="6033" hidden="1" x14ac:dyDescent="0.15"/>
    <row r="6034" hidden="1" x14ac:dyDescent="0.15"/>
    <row r="6035" hidden="1" x14ac:dyDescent="0.15"/>
    <row r="6036" hidden="1" x14ac:dyDescent="0.15"/>
    <row r="6037" hidden="1" x14ac:dyDescent="0.15"/>
    <row r="6038" hidden="1" x14ac:dyDescent="0.15"/>
    <row r="6039" hidden="1" x14ac:dyDescent="0.15"/>
    <row r="6040" hidden="1" x14ac:dyDescent="0.15"/>
    <row r="6041" hidden="1" x14ac:dyDescent="0.15"/>
    <row r="6042" hidden="1" x14ac:dyDescent="0.15"/>
    <row r="6043" hidden="1" x14ac:dyDescent="0.15"/>
    <row r="6044" hidden="1" x14ac:dyDescent="0.15"/>
    <row r="6045" hidden="1" x14ac:dyDescent="0.15"/>
    <row r="6046" hidden="1" x14ac:dyDescent="0.15"/>
    <row r="6047" hidden="1" x14ac:dyDescent="0.15"/>
    <row r="6048" hidden="1" x14ac:dyDescent="0.15"/>
    <row r="6049" hidden="1" x14ac:dyDescent="0.15"/>
    <row r="6050" hidden="1" x14ac:dyDescent="0.15"/>
    <row r="6051" hidden="1" x14ac:dyDescent="0.15"/>
    <row r="6052" hidden="1" x14ac:dyDescent="0.15"/>
    <row r="6053" hidden="1" x14ac:dyDescent="0.15"/>
    <row r="6054" hidden="1" x14ac:dyDescent="0.15"/>
    <row r="6055" hidden="1" x14ac:dyDescent="0.15"/>
    <row r="6056" hidden="1" x14ac:dyDescent="0.15"/>
    <row r="6057" hidden="1" x14ac:dyDescent="0.15"/>
    <row r="6058" hidden="1" x14ac:dyDescent="0.15"/>
    <row r="6059" hidden="1" x14ac:dyDescent="0.15"/>
    <row r="6060" hidden="1" x14ac:dyDescent="0.15"/>
    <row r="6061" hidden="1" x14ac:dyDescent="0.15"/>
    <row r="6062" hidden="1" x14ac:dyDescent="0.15"/>
    <row r="6063" hidden="1" x14ac:dyDescent="0.15"/>
    <row r="6064" hidden="1" x14ac:dyDescent="0.15"/>
    <row r="6065" hidden="1" x14ac:dyDescent="0.15"/>
    <row r="6066" hidden="1" x14ac:dyDescent="0.15"/>
    <row r="6067" hidden="1" x14ac:dyDescent="0.15"/>
    <row r="6068" hidden="1" x14ac:dyDescent="0.15"/>
    <row r="6069" hidden="1" x14ac:dyDescent="0.15"/>
    <row r="6070" hidden="1" x14ac:dyDescent="0.15"/>
    <row r="6071" hidden="1" x14ac:dyDescent="0.15"/>
    <row r="6072" hidden="1" x14ac:dyDescent="0.15"/>
    <row r="6073" hidden="1" x14ac:dyDescent="0.15"/>
    <row r="6074" hidden="1" x14ac:dyDescent="0.15"/>
    <row r="6075" hidden="1" x14ac:dyDescent="0.15"/>
    <row r="6076" hidden="1" x14ac:dyDescent="0.15"/>
    <row r="6077" hidden="1" x14ac:dyDescent="0.15"/>
    <row r="6078" hidden="1" x14ac:dyDescent="0.15"/>
    <row r="6079" hidden="1" x14ac:dyDescent="0.15"/>
    <row r="6080" hidden="1" x14ac:dyDescent="0.15"/>
    <row r="6081" hidden="1" x14ac:dyDescent="0.15"/>
    <row r="6082" hidden="1" x14ac:dyDescent="0.15"/>
    <row r="6083" hidden="1" x14ac:dyDescent="0.15"/>
    <row r="6084" hidden="1" x14ac:dyDescent="0.15"/>
    <row r="6085" hidden="1" x14ac:dyDescent="0.15"/>
    <row r="6086" hidden="1" x14ac:dyDescent="0.15"/>
    <row r="6087" hidden="1" x14ac:dyDescent="0.15"/>
    <row r="6088" hidden="1" x14ac:dyDescent="0.15"/>
    <row r="6089" hidden="1" x14ac:dyDescent="0.15"/>
    <row r="6090" hidden="1" x14ac:dyDescent="0.15"/>
    <row r="6091" hidden="1" x14ac:dyDescent="0.15"/>
    <row r="6092" hidden="1" x14ac:dyDescent="0.15"/>
    <row r="6093" hidden="1" x14ac:dyDescent="0.15"/>
    <row r="6094" hidden="1" x14ac:dyDescent="0.15"/>
    <row r="6095" hidden="1" x14ac:dyDescent="0.15"/>
    <row r="6096" hidden="1" x14ac:dyDescent="0.15"/>
    <row r="6097" hidden="1" x14ac:dyDescent="0.15"/>
    <row r="6098" hidden="1" x14ac:dyDescent="0.15"/>
    <row r="6099" hidden="1" x14ac:dyDescent="0.15"/>
    <row r="6100" hidden="1" x14ac:dyDescent="0.15"/>
    <row r="6101" hidden="1" x14ac:dyDescent="0.15"/>
    <row r="6102" hidden="1" x14ac:dyDescent="0.15"/>
    <row r="6103" hidden="1" x14ac:dyDescent="0.15"/>
    <row r="6104" hidden="1" x14ac:dyDescent="0.15"/>
    <row r="6105" hidden="1" x14ac:dyDescent="0.15"/>
    <row r="6106" hidden="1" x14ac:dyDescent="0.15"/>
    <row r="6107" hidden="1" x14ac:dyDescent="0.15"/>
    <row r="6108" hidden="1" x14ac:dyDescent="0.15"/>
    <row r="6109" hidden="1" x14ac:dyDescent="0.15"/>
    <row r="6110" hidden="1" x14ac:dyDescent="0.15"/>
    <row r="6111" hidden="1" x14ac:dyDescent="0.15"/>
    <row r="6112" hidden="1" x14ac:dyDescent="0.15"/>
    <row r="6113" hidden="1" x14ac:dyDescent="0.15"/>
    <row r="6114" hidden="1" x14ac:dyDescent="0.15"/>
    <row r="6115" hidden="1" x14ac:dyDescent="0.15"/>
    <row r="6116" hidden="1" x14ac:dyDescent="0.15"/>
    <row r="6117" hidden="1" x14ac:dyDescent="0.15"/>
    <row r="6118" hidden="1" x14ac:dyDescent="0.15"/>
    <row r="6119" hidden="1" x14ac:dyDescent="0.15"/>
    <row r="6120" hidden="1" x14ac:dyDescent="0.15"/>
    <row r="6121" hidden="1" x14ac:dyDescent="0.15"/>
    <row r="6122" hidden="1" x14ac:dyDescent="0.15"/>
    <row r="6123" hidden="1" x14ac:dyDescent="0.15"/>
    <row r="6124" hidden="1" x14ac:dyDescent="0.15"/>
    <row r="6125" hidden="1" x14ac:dyDescent="0.15"/>
    <row r="6126" hidden="1" x14ac:dyDescent="0.15"/>
    <row r="6127" hidden="1" x14ac:dyDescent="0.15"/>
    <row r="6128" hidden="1" x14ac:dyDescent="0.15"/>
    <row r="6129" hidden="1" x14ac:dyDescent="0.15"/>
    <row r="6130" hidden="1" x14ac:dyDescent="0.15"/>
    <row r="6131" hidden="1" x14ac:dyDescent="0.15"/>
    <row r="6132" hidden="1" x14ac:dyDescent="0.15"/>
    <row r="6133" hidden="1" x14ac:dyDescent="0.15"/>
    <row r="6134" hidden="1" x14ac:dyDescent="0.15"/>
    <row r="6135" hidden="1" x14ac:dyDescent="0.15"/>
    <row r="6136" hidden="1" x14ac:dyDescent="0.15"/>
    <row r="6137" hidden="1" x14ac:dyDescent="0.15"/>
    <row r="6138" hidden="1" x14ac:dyDescent="0.15"/>
    <row r="6139" hidden="1" x14ac:dyDescent="0.15"/>
    <row r="6140" hidden="1" x14ac:dyDescent="0.15"/>
    <row r="6141" hidden="1" x14ac:dyDescent="0.15"/>
    <row r="6142" hidden="1" x14ac:dyDescent="0.15"/>
    <row r="6143" hidden="1" x14ac:dyDescent="0.15"/>
    <row r="6144" hidden="1" x14ac:dyDescent="0.15"/>
    <row r="6145" hidden="1" x14ac:dyDescent="0.15"/>
    <row r="6146" hidden="1" x14ac:dyDescent="0.15"/>
    <row r="6147" hidden="1" x14ac:dyDescent="0.15"/>
    <row r="6148" hidden="1" x14ac:dyDescent="0.15"/>
    <row r="6149" hidden="1" x14ac:dyDescent="0.15"/>
    <row r="6150" hidden="1" x14ac:dyDescent="0.15"/>
    <row r="6151" hidden="1" x14ac:dyDescent="0.15"/>
    <row r="6152" hidden="1" x14ac:dyDescent="0.15"/>
    <row r="6153" hidden="1" x14ac:dyDescent="0.15"/>
    <row r="6154" hidden="1" x14ac:dyDescent="0.15"/>
    <row r="6155" hidden="1" x14ac:dyDescent="0.15"/>
    <row r="6156" hidden="1" x14ac:dyDescent="0.15"/>
    <row r="6157" hidden="1" x14ac:dyDescent="0.15"/>
    <row r="6158" hidden="1" x14ac:dyDescent="0.15"/>
    <row r="6159" hidden="1" x14ac:dyDescent="0.15"/>
    <row r="6160" hidden="1" x14ac:dyDescent="0.15"/>
    <row r="6161" hidden="1" x14ac:dyDescent="0.15"/>
    <row r="6162" hidden="1" x14ac:dyDescent="0.15"/>
    <row r="6163" hidden="1" x14ac:dyDescent="0.15"/>
    <row r="6164" hidden="1" x14ac:dyDescent="0.15"/>
    <row r="6165" hidden="1" x14ac:dyDescent="0.15"/>
    <row r="6166" hidden="1" x14ac:dyDescent="0.15"/>
    <row r="6167" hidden="1" x14ac:dyDescent="0.15"/>
    <row r="6168" hidden="1" x14ac:dyDescent="0.15"/>
    <row r="6169" hidden="1" x14ac:dyDescent="0.15"/>
    <row r="6170" hidden="1" x14ac:dyDescent="0.15"/>
    <row r="6171" hidden="1" x14ac:dyDescent="0.15"/>
    <row r="6172" hidden="1" x14ac:dyDescent="0.15"/>
    <row r="6173" hidden="1" x14ac:dyDescent="0.15"/>
    <row r="6174" hidden="1" x14ac:dyDescent="0.15"/>
    <row r="6175" hidden="1" x14ac:dyDescent="0.15"/>
    <row r="6176" hidden="1" x14ac:dyDescent="0.15"/>
    <row r="6177" hidden="1" x14ac:dyDescent="0.15"/>
    <row r="6178" hidden="1" x14ac:dyDescent="0.15"/>
    <row r="6179" hidden="1" x14ac:dyDescent="0.15"/>
    <row r="6180" hidden="1" x14ac:dyDescent="0.15"/>
    <row r="6181" hidden="1" x14ac:dyDescent="0.15"/>
    <row r="6182" hidden="1" x14ac:dyDescent="0.15"/>
    <row r="6183" hidden="1" x14ac:dyDescent="0.15"/>
    <row r="6184" hidden="1" x14ac:dyDescent="0.15"/>
    <row r="6185" hidden="1" x14ac:dyDescent="0.15"/>
    <row r="6186" hidden="1" x14ac:dyDescent="0.15"/>
    <row r="6187" hidden="1" x14ac:dyDescent="0.15"/>
    <row r="6188" hidden="1" x14ac:dyDescent="0.15"/>
    <row r="6189" hidden="1" x14ac:dyDescent="0.15"/>
    <row r="6190" hidden="1" x14ac:dyDescent="0.15"/>
    <row r="6191" hidden="1" x14ac:dyDescent="0.15"/>
    <row r="6192" hidden="1" x14ac:dyDescent="0.15"/>
    <row r="6193" hidden="1" x14ac:dyDescent="0.15"/>
    <row r="6194" hidden="1" x14ac:dyDescent="0.15"/>
    <row r="6195" hidden="1" x14ac:dyDescent="0.15"/>
    <row r="6196" hidden="1" x14ac:dyDescent="0.15"/>
    <row r="6197" hidden="1" x14ac:dyDescent="0.15"/>
    <row r="6198" hidden="1" x14ac:dyDescent="0.15"/>
    <row r="6199" hidden="1" x14ac:dyDescent="0.15"/>
    <row r="6200" hidden="1" x14ac:dyDescent="0.15"/>
    <row r="6201" hidden="1" x14ac:dyDescent="0.15"/>
    <row r="6202" hidden="1" x14ac:dyDescent="0.15"/>
    <row r="6203" hidden="1" x14ac:dyDescent="0.15"/>
    <row r="6204" hidden="1" x14ac:dyDescent="0.15"/>
    <row r="6205" hidden="1" x14ac:dyDescent="0.15"/>
    <row r="6206" hidden="1" x14ac:dyDescent="0.15"/>
    <row r="6207" hidden="1" x14ac:dyDescent="0.15"/>
    <row r="6208" hidden="1" x14ac:dyDescent="0.15"/>
    <row r="6209" hidden="1" x14ac:dyDescent="0.15"/>
    <row r="6210" hidden="1" x14ac:dyDescent="0.15"/>
    <row r="6211" hidden="1" x14ac:dyDescent="0.15"/>
    <row r="6212" hidden="1" x14ac:dyDescent="0.15"/>
    <row r="6213" hidden="1" x14ac:dyDescent="0.15"/>
    <row r="6214" hidden="1" x14ac:dyDescent="0.15"/>
    <row r="6215" hidden="1" x14ac:dyDescent="0.15"/>
    <row r="6216" hidden="1" x14ac:dyDescent="0.15"/>
    <row r="6217" hidden="1" x14ac:dyDescent="0.15"/>
    <row r="6218" hidden="1" x14ac:dyDescent="0.15"/>
    <row r="6219" hidden="1" x14ac:dyDescent="0.15"/>
    <row r="6220" hidden="1" x14ac:dyDescent="0.15"/>
    <row r="6221" hidden="1" x14ac:dyDescent="0.15"/>
    <row r="6222" hidden="1" x14ac:dyDescent="0.15"/>
    <row r="6223" hidden="1" x14ac:dyDescent="0.15"/>
    <row r="6224" hidden="1" x14ac:dyDescent="0.15"/>
    <row r="6225" hidden="1" x14ac:dyDescent="0.15"/>
    <row r="6226" hidden="1" x14ac:dyDescent="0.15"/>
    <row r="6227" hidden="1" x14ac:dyDescent="0.15"/>
    <row r="6228" hidden="1" x14ac:dyDescent="0.15"/>
    <row r="6229" hidden="1" x14ac:dyDescent="0.15"/>
    <row r="6230" hidden="1" x14ac:dyDescent="0.15"/>
    <row r="6231" hidden="1" x14ac:dyDescent="0.15"/>
    <row r="6232" hidden="1" x14ac:dyDescent="0.15"/>
    <row r="6233" hidden="1" x14ac:dyDescent="0.15"/>
    <row r="6234" hidden="1" x14ac:dyDescent="0.15"/>
    <row r="6235" hidden="1" x14ac:dyDescent="0.15"/>
    <row r="6236" hidden="1" x14ac:dyDescent="0.15"/>
    <row r="6237" hidden="1" x14ac:dyDescent="0.15"/>
    <row r="6238" hidden="1" x14ac:dyDescent="0.15"/>
    <row r="6239" hidden="1" x14ac:dyDescent="0.15"/>
    <row r="6240" hidden="1" x14ac:dyDescent="0.15"/>
    <row r="6241" hidden="1" x14ac:dyDescent="0.15"/>
    <row r="6242" hidden="1" x14ac:dyDescent="0.15"/>
    <row r="6243" hidden="1" x14ac:dyDescent="0.15"/>
    <row r="6244" hidden="1" x14ac:dyDescent="0.15"/>
    <row r="6245" hidden="1" x14ac:dyDescent="0.15"/>
    <row r="6246" hidden="1" x14ac:dyDescent="0.15"/>
    <row r="6247" hidden="1" x14ac:dyDescent="0.15"/>
    <row r="6248" hidden="1" x14ac:dyDescent="0.15"/>
    <row r="6249" hidden="1" x14ac:dyDescent="0.15"/>
    <row r="6250" hidden="1" x14ac:dyDescent="0.15"/>
    <row r="6251" hidden="1" x14ac:dyDescent="0.15"/>
    <row r="6252" hidden="1" x14ac:dyDescent="0.15"/>
    <row r="6253" hidden="1" x14ac:dyDescent="0.15"/>
    <row r="6254" hidden="1" x14ac:dyDescent="0.15"/>
    <row r="6255" hidden="1" x14ac:dyDescent="0.15"/>
    <row r="6256" hidden="1" x14ac:dyDescent="0.15"/>
    <row r="6257" hidden="1" x14ac:dyDescent="0.15"/>
    <row r="6258" hidden="1" x14ac:dyDescent="0.15"/>
    <row r="6259" hidden="1" x14ac:dyDescent="0.15"/>
    <row r="6260" hidden="1" x14ac:dyDescent="0.15"/>
    <row r="6261" hidden="1" x14ac:dyDescent="0.15"/>
    <row r="6262" hidden="1" x14ac:dyDescent="0.15"/>
    <row r="6263" hidden="1" x14ac:dyDescent="0.15"/>
    <row r="6264" hidden="1" x14ac:dyDescent="0.15"/>
    <row r="6265" hidden="1" x14ac:dyDescent="0.15"/>
    <row r="6266" hidden="1" x14ac:dyDescent="0.15"/>
    <row r="6267" hidden="1" x14ac:dyDescent="0.15"/>
    <row r="6268" hidden="1" x14ac:dyDescent="0.15"/>
    <row r="6269" hidden="1" x14ac:dyDescent="0.15"/>
    <row r="6270" hidden="1" x14ac:dyDescent="0.15"/>
    <row r="6271" hidden="1" x14ac:dyDescent="0.15"/>
    <row r="6272" hidden="1" x14ac:dyDescent="0.15"/>
    <row r="6273" hidden="1" x14ac:dyDescent="0.15"/>
    <row r="6274" hidden="1" x14ac:dyDescent="0.15"/>
    <row r="6275" hidden="1" x14ac:dyDescent="0.15"/>
    <row r="6276" hidden="1" x14ac:dyDescent="0.15"/>
    <row r="6277" hidden="1" x14ac:dyDescent="0.15"/>
    <row r="6278" hidden="1" x14ac:dyDescent="0.15"/>
    <row r="6279" hidden="1" x14ac:dyDescent="0.15"/>
    <row r="6280" hidden="1" x14ac:dyDescent="0.15"/>
    <row r="6281" hidden="1" x14ac:dyDescent="0.15"/>
    <row r="6282" hidden="1" x14ac:dyDescent="0.15"/>
    <row r="6283" hidden="1" x14ac:dyDescent="0.15"/>
    <row r="6284" hidden="1" x14ac:dyDescent="0.15"/>
    <row r="6285" hidden="1" x14ac:dyDescent="0.15"/>
    <row r="6286" hidden="1" x14ac:dyDescent="0.15"/>
    <row r="6287" hidden="1" x14ac:dyDescent="0.15"/>
    <row r="6288" hidden="1" x14ac:dyDescent="0.15"/>
    <row r="6289" hidden="1" x14ac:dyDescent="0.15"/>
    <row r="6290" hidden="1" x14ac:dyDescent="0.15"/>
    <row r="6291" hidden="1" x14ac:dyDescent="0.15"/>
    <row r="6292" hidden="1" x14ac:dyDescent="0.15"/>
    <row r="6293" hidden="1" x14ac:dyDescent="0.15"/>
    <row r="6294" hidden="1" x14ac:dyDescent="0.15"/>
    <row r="6295" hidden="1" x14ac:dyDescent="0.15"/>
    <row r="6296" hidden="1" x14ac:dyDescent="0.15"/>
    <row r="6297" hidden="1" x14ac:dyDescent="0.15"/>
    <row r="6298" hidden="1" x14ac:dyDescent="0.15"/>
    <row r="6299" hidden="1" x14ac:dyDescent="0.15"/>
    <row r="6300" hidden="1" x14ac:dyDescent="0.15"/>
    <row r="6301" hidden="1" x14ac:dyDescent="0.15"/>
    <row r="6302" hidden="1" x14ac:dyDescent="0.15"/>
    <row r="6303" hidden="1" x14ac:dyDescent="0.15"/>
    <row r="6304" hidden="1" x14ac:dyDescent="0.15"/>
    <row r="6305" hidden="1" x14ac:dyDescent="0.15"/>
    <row r="6306" hidden="1" x14ac:dyDescent="0.15"/>
    <row r="6307" hidden="1" x14ac:dyDescent="0.15"/>
    <row r="6308" hidden="1" x14ac:dyDescent="0.15"/>
    <row r="6309" hidden="1" x14ac:dyDescent="0.15"/>
    <row r="6310" hidden="1" x14ac:dyDescent="0.15"/>
    <row r="6311" hidden="1" x14ac:dyDescent="0.15"/>
    <row r="6312" hidden="1" x14ac:dyDescent="0.15"/>
    <row r="6313" hidden="1" x14ac:dyDescent="0.15"/>
    <row r="6314" hidden="1" x14ac:dyDescent="0.15"/>
    <row r="6315" hidden="1" x14ac:dyDescent="0.15"/>
    <row r="6316" hidden="1" x14ac:dyDescent="0.15"/>
    <row r="6317" hidden="1" x14ac:dyDescent="0.15"/>
    <row r="6318" hidden="1" x14ac:dyDescent="0.15"/>
    <row r="6319" hidden="1" x14ac:dyDescent="0.15"/>
    <row r="6320" hidden="1" x14ac:dyDescent="0.15"/>
    <row r="6321" hidden="1" x14ac:dyDescent="0.15"/>
    <row r="6322" hidden="1" x14ac:dyDescent="0.15"/>
    <row r="6323" hidden="1" x14ac:dyDescent="0.15"/>
    <row r="6324" hidden="1" x14ac:dyDescent="0.15"/>
    <row r="6325" hidden="1" x14ac:dyDescent="0.15"/>
    <row r="6326" hidden="1" x14ac:dyDescent="0.15"/>
    <row r="6327" hidden="1" x14ac:dyDescent="0.15"/>
    <row r="6328" hidden="1" x14ac:dyDescent="0.15"/>
    <row r="6329" hidden="1" x14ac:dyDescent="0.15"/>
    <row r="6330" hidden="1" x14ac:dyDescent="0.15"/>
    <row r="6331" hidden="1" x14ac:dyDescent="0.15"/>
    <row r="6332" hidden="1" x14ac:dyDescent="0.15"/>
    <row r="6333" hidden="1" x14ac:dyDescent="0.15"/>
    <row r="6334" hidden="1" x14ac:dyDescent="0.15"/>
    <row r="6335" hidden="1" x14ac:dyDescent="0.15"/>
    <row r="6336" hidden="1" x14ac:dyDescent="0.15"/>
    <row r="6337" hidden="1" x14ac:dyDescent="0.15"/>
    <row r="6338" hidden="1" x14ac:dyDescent="0.15"/>
    <row r="6339" hidden="1" x14ac:dyDescent="0.15"/>
    <row r="6340" hidden="1" x14ac:dyDescent="0.15"/>
    <row r="6341" hidden="1" x14ac:dyDescent="0.15"/>
    <row r="6342" hidden="1" x14ac:dyDescent="0.15"/>
    <row r="6343" hidden="1" x14ac:dyDescent="0.15"/>
    <row r="6344" hidden="1" x14ac:dyDescent="0.15"/>
    <row r="6345" hidden="1" x14ac:dyDescent="0.15"/>
    <row r="6346" hidden="1" x14ac:dyDescent="0.15"/>
    <row r="6347" hidden="1" x14ac:dyDescent="0.15"/>
    <row r="6348" hidden="1" x14ac:dyDescent="0.15"/>
    <row r="6349" hidden="1" x14ac:dyDescent="0.15"/>
    <row r="6350" hidden="1" x14ac:dyDescent="0.15"/>
    <row r="6351" hidden="1" x14ac:dyDescent="0.15"/>
    <row r="6352" hidden="1" x14ac:dyDescent="0.15"/>
    <row r="6353" hidden="1" x14ac:dyDescent="0.15"/>
    <row r="6354" hidden="1" x14ac:dyDescent="0.15"/>
    <row r="6355" hidden="1" x14ac:dyDescent="0.15"/>
    <row r="6356" hidden="1" x14ac:dyDescent="0.15"/>
    <row r="6357" hidden="1" x14ac:dyDescent="0.15"/>
    <row r="6358" hidden="1" x14ac:dyDescent="0.15"/>
    <row r="6359" hidden="1" x14ac:dyDescent="0.15"/>
    <row r="6360" hidden="1" x14ac:dyDescent="0.15"/>
    <row r="6361" hidden="1" x14ac:dyDescent="0.15"/>
    <row r="6362" hidden="1" x14ac:dyDescent="0.15"/>
    <row r="6363" hidden="1" x14ac:dyDescent="0.15"/>
    <row r="6364" hidden="1" x14ac:dyDescent="0.15"/>
    <row r="6365" hidden="1" x14ac:dyDescent="0.15"/>
    <row r="6366" hidden="1" x14ac:dyDescent="0.15"/>
    <row r="6367" hidden="1" x14ac:dyDescent="0.15"/>
    <row r="6368" hidden="1" x14ac:dyDescent="0.15"/>
    <row r="6369" hidden="1" x14ac:dyDescent="0.15"/>
    <row r="6370" hidden="1" x14ac:dyDescent="0.15"/>
    <row r="6371" hidden="1" x14ac:dyDescent="0.15"/>
    <row r="6372" hidden="1" x14ac:dyDescent="0.15"/>
    <row r="6373" hidden="1" x14ac:dyDescent="0.15"/>
    <row r="6374" hidden="1" x14ac:dyDescent="0.15"/>
    <row r="6375" hidden="1" x14ac:dyDescent="0.15"/>
    <row r="6376" hidden="1" x14ac:dyDescent="0.15"/>
    <row r="6377" hidden="1" x14ac:dyDescent="0.15"/>
    <row r="6378" hidden="1" x14ac:dyDescent="0.15"/>
    <row r="6379" hidden="1" x14ac:dyDescent="0.15"/>
    <row r="6380" hidden="1" x14ac:dyDescent="0.15"/>
    <row r="6381" hidden="1" x14ac:dyDescent="0.15"/>
    <row r="6382" hidden="1" x14ac:dyDescent="0.15"/>
    <row r="6383" hidden="1" x14ac:dyDescent="0.15"/>
    <row r="6384" hidden="1" x14ac:dyDescent="0.15"/>
    <row r="6385" hidden="1" x14ac:dyDescent="0.15"/>
    <row r="6386" hidden="1" x14ac:dyDescent="0.15"/>
    <row r="6387" hidden="1" x14ac:dyDescent="0.15"/>
    <row r="6388" hidden="1" x14ac:dyDescent="0.15"/>
    <row r="6389" hidden="1" x14ac:dyDescent="0.15"/>
    <row r="6390" hidden="1" x14ac:dyDescent="0.15"/>
    <row r="6391" hidden="1" x14ac:dyDescent="0.15"/>
    <row r="6392" hidden="1" x14ac:dyDescent="0.15"/>
    <row r="6393" hidden="1" x14ac:dyDescent="0.15"/>
    <row r="6394" hidden="1" x14ac:dyDescent="0.15"/>
    <row r="6395" hidden="1" x14ac:dyDescent="0.15"/>
    <row r="6396" hidden="1" x14ac:dyDescent="0.15"/>
    <row r="6397" hidden="1" x14ac:dyDescent="0.15"/>
    <row r="6398" hidden="1" x14ac:dyDescent="0.15"/>
    <row r="6399" hidden="1" x14ac:dyDescent="0.15"/>
    <row r="6400" hidden="1" x14ac:dyDescent="0.15"/>
    <row r="6401" hidden="1" x14ac:dyDescent="0.15"/>
    <row r="6402" hidden="1" x14ac:dyDescent="0.15"/>
    <row r="6403" hidden="1" x14ac:dyDescent="0.15"/>
    <row r="6404" hidden="1" x14ac:dyDescent="0.15"/>
    <row r="6405" hidden="1" x14ac:dyDescent="0.15"/>
    <row r="6406" hidden="1" x14ac:dyDescent="0.15"/>
    <row r="6407" hidden="1" x14ac:dyDescent="0.15"/>
    <row r="6408" hidden="1" x14ac:dyDescent="0.15"/>
    <row r="6409" hidden="1" x14ac:dyDescent="0.15"/>
    <row r="6410" hidden="1" x14ac:dyDescent="0.15"/>
    <row r="6411" hidden="1" x14ac:dyDescent="0.15"/>
    <row r="6412" hidden="1" x14ac:dyDescent="0.15"/>
    <row r="6413" hidden="1" x14ac:dyDescent="0.15"/>
    <row r="6414" hidden="1" x14ac:dyDescent="0.15"/>
    <row r="6415" hidden="1" x14ac:dyDescent="0.15"/>
    <row r="6416" hidden="1" x14ac:dyDescent="0.15"/>
    <row r="6417" hidden="1" x14ac:dyDescent="0.15"/>
    <row r="6418" hidden="1" x14ac:dyDescent="0.15"/>
    <row r="6419" hidden="1" x14ac:dyDescent="0.15"/>
    <row r="6420" hidden="1" x14ac:dyDescent="0.15"/>
    <row r="6421" hidden="1" x14ac:dyDescent="0.15"/>
    <row r="6422" hidden="1" x14ac:dyDescent="0.15"/>
    <row r="6423" hidden="1" x14ac:dyDescent="0.15"/>
    <row r="6424" hidden="1" x14ac:dyDescent="0.15"/>
    <row r="6425" hidden="1" x14ac:dyDescent="0.15"/>
    <row r="6426" hidden="1" x14ac:dyDescent="0.15"/>
    <row r="6427" hidden="1" x14ac:dyDescent="0.15"/>
    <row r="6428" hidden="1" x14ac:dyDescent="0.15"/>
    <row r="6429" hidden="1" x14ac:dyDescent="0.15"/>
    <row r="6430" hidden="1" x14ac:dyDescent="0.15"/>
    <row r="6431" hidden="1" x14ac:dyDescent="0.15"/>
    <row r="6432" hidden="1" x14ac:dyDescent="0.15"/>
    <row r="6433" hidden="1" x14ac:dyDescent="0.15"/>
    <row r="6434" hidden="1" x14ac:dyDescent="0.15"/>
    <row r="6435" hidden="1" x14ac:dyDescent="0.15"/>
    <row r="6436" hidden="1" x14ac:dyDescent="0.15"/>
    <row r="6437" hidden="1" x14ac:dyDescent="0.15"/>
    <row r="6438" hidden="1" x14ac:dyDescent="0.15"/>
    <row r="6439" hidden="1" x14ac:dyDescent="0.15"/>
    <row r="6440" hidden="1" x14ac:dyDescent="0.15"/>
    <row r="6441" hidden="1" x14ac:dyDescent="0.15"/>
    <row r="6442" hidden="1" x14ac:dyDescent="0.15"/>
    <row r="6443" hidden="1" x14ac:dyDescent="0.15"/>
    <row r="6444" hidden="1" x14ac:dyDescent="0.15"/>
    <row r="6445" hidden="1" x14ac:dyDescent="0.15"/>
    <row r="6446" hidden="1" x14ac:dyDescent="0.15"/>
    <row r="6447" hidden="1" x14ac:dyDescent="0.15"/>
    <row r="6448" hidden="1" x14ac:dyDescent="0.15"/>
    <row r="6449" hidden="1" x14ac:dyDescent="0.15"/>
    <row r="6450" hidden="1" x14ac:dyDescent="0.15"/>
    <row r="6451" hidden="1" x14ac:dyDescent="0.15"/>
    <row r="6452" hidden="1" x14ac:dyDescent="0.15"/>
    <row r="6453" hidden="1" x14ac:dyDescent="0.15"/>
    <row r="6454" hidden="1" x14ac:dyDescent="0.15"/>
    <row r="6455" hidden="1" x14ac:dyDescent="0.15"/>
    <row r="6456" hidden="1" x14ac:dyDescent="0.15"/>
    <row r="6457" hidden="1" x14ac:dyDescent="0.15"/>
    <row r="6458" hidden="1" x14ac:dyDescent="0.15"/>
    <row r="6459" hidden="1" x14ac:dyDescent="0.15"/>
    <row r="6460" hidden="1" x14ac:dyDescent="0.15"/>
    <row r="6461" hidden="1" x14ac:dyDescent="0.15"/>
    <row r="6462" hidden="1" x14ac:dyDescent="0.15"/>
    <row r="6463" hidden="1" x14ac:dyDescent="0.15"/>
    <row r="6464" hidden="1" x14ac:dyDescent="0.15"/>
    <row r="6465" hidden="1" x14ac:dyDescent="0.15"/>
    <row r="6466" hidden="1" x14ac:dyDescent="0.15"/>
    <row r="6467" hidden="1" x14ac:dyDescent="0.15"/>
    <row r="6468" hidden="1" x14ac:dyDescent="0.15"/>
    <row r="6469" hidden="1" x14ac:dyDescent="0.15"/>
    <row r="6470" hidden="1" x14ac:dyDescent="0.15"/>
    <row r="6471" hidden="1" x14ac:dyDescent="0.15"/>
    <row r="6472" hidden="1" x14ac:dyDescent="0.15"/>
    <row r="6473" hidden="1" x14ac:dyDescent="0.15"/>
    <row r="6474" hidden="1" x14ac:dyDescent="0.15"/>
    <row r="6475" hidden="1" x14ac:dyDescent="0.15"/>
    <row r="6476" hidden="1" x14ac:dyDescent="0.15"/>
    <row r="6477" hidden="1" x14ac:dyDescent="0.15"/>
    <row r="6478" hidden="1" x14ac:dyDescent="0.15"/>
    <row r="6479" hidden="1" x14ac:dyDescent="0.15"/>
    <row r="6480" hidden="1" x14ac:dyDescent="0.15"/>
    <row r="6481" hidden="1" x14ac:dyDescent="0.15"/>
    <row r="6482" hidden="1" x14ac:dyDescent="0.15"/>
    <row r="6483" hidden="1" x14ac:dyDescent="0.15"/>
    <row r="6484" hidden="1" x14ac:dyDescent="0.15"/>
    <row r="6485" hidden="1" x14ac:dyDescent="0.15"/>
    <row r="6486" hidden="1" x14ac:dyDescent="0.15"/>
    <row r="6487" hidden="1" x14ac:dyDescent="0.15"/>
    <row r="6488" hidden="1" x14ac:dyDescent="0.15"/>
    <row r="6489" hidden="1" x14ac:dyDescent="0.15"/>
    <row r="6490" hidden="1" x14ac:dyDescent="0.15"/>
    <row r="6491" hidden="1" x14ac:dyDescent="0.15"/>
    <row r="6492" hidden="1" x14ac:dyDescent="0.15"/>
    <row r="6493" hidden="1" x14ac:dyDescent="0.15"/>
    <row r="6494" hidden="1" x14ac:dyDescent="0.15"/>
    <row r="6495" hidden="1" x14ac:dyDescent="0.15"/>
    <row r="6496" hidden="1" x14ac:dyDescent="0.15"/>
    <row r="6497" hidden="1" x14ac:dyDescent="0.15"/>
    <row r="6498" hidden="1" x14ac:dyDescent="0.15"/>
    <row r="6499" hidden="1" x14ac:dyDescent="0.15"/>
    <row r="6500" hidden="1" x14ac:dyDescent="0.15"/>
    <row r="6501" hidden="1" x14ac:dyDescent="0.15"/>
    <row r="6502" hidden="1" x14ac:dyDescent="0.15"/>
    <row r="6503" hidden="1" x14ac:dyDescent="0.15"/>
    <row r="6504" hidden="1" x14ac:dyDescent="0.15"/>
    <row r="6505" hidden="1" x14ac:dyDescent="0.15"/>
    <row r="6506" hidden="1" x14ac:dyDescent="0.15"/>
    <row r="6507" hidden="1" x14ac:dyDescent="0.15"/>
    <row r="6508" hidden="1" x14ac:dyDescent="0.15"/>
    <row r="6509" hidden="1" x14ac:dyDescent="0.15"/>
    <row r="6510" hidden="1" x14ac:dyDescent="0.15"/>
    <row r="6511" hidden="1" x14ac:dyDescent="0.15"/>
    <row r="6512" hidden="1" x14ac:dyDescent="0.15"/>
    <row r="6513" hidden="1" x14ac:dyDescent="0.15"/>
    <row r="6514" hidden="1" x14ac:dyDescent="0.15"/>
    <row r="6515" hidden="1" x14ac:dyDescent="0.15"/>
    <row r="6516" hidden="1" x14ac:dyDescent="0.15"/>
    <row r="6517" hidden="1" x14ac:dyDescent="0.15"/>
    <row r="6518" hidden="1" x14ac:dyDescent="0.15"/>
    <row r="6519" hidden="1" x14ac:dyDescent="0.15"/>
    <row r="6520" hidden="1" x14ac:dyDescent="0.15"/>
    <row r="6521" hidden="1" x14ac:dyDescent="0.15"/>
    <row r="6522" hidden="1" x14ac:dyDescent="0.15"/>
    <row r="6523" hidden="1" x14ac:dyDescent="0.15"/>
    <row r="6524" hidden="1" x14ac:dyDescent="0.15"/>
    <row r="6525" hidden="1" x14ac:dyDescent="0.15"/>
    <row r="6526" hidden="1" x14ac:dyDescent="0.15"/>
    <row r="6527" hidden="1" x14ac:dyDescent="0.15"/>
    <row r="6528" hidden="1" x14ac:dyDescent="0.15"/>
    <row r="6529" hidden="1" x14ac:dyDescent="0.15"/>
    <row r="6530" hidden="1" x14ac:dyDescent="0.15"/>
    <row r="6531" hidden="1" x14ac:dyDescent="0.15"/>
    <row r="6532" hidden="1" x14ac:dyDescent="0.15"/>
    <row r="6533" hidden="1" x14ac:dyDescent="0.15"/>
    <row r="6534" hidden="1" x14ac:dyDescent="0.15"/>
    <row r="6535" hidden="1" x14ac:dyDescent="0.15"/>
    <row r="6536" hidden="1" x14ac:dyDescent="0.15"/>
    <row r="6537" hidden="1" x14ac:dyDescent="0.15"/>
    <row r="6538" hidden="1" x14ac:dyDescent="0.15"/>
    <row r="6539" hidden="1" x14ac:dyDescent="0.15"/>
    <row r="6540" hidden="1" x14ac:dyDescent="0.15"/>
    <row r="6541" hidden="1" x14ac:dyDescent="0.15"/>
    <row r="6542" hidden="1" x14ac:dyDescent="0.15"/>
    <row r="6543" hidden="1" x14ac:dyDescent="0.15"/>
    <row r="6544" hidden="1" x14ac:dyDescent="0.15"/>
    <row r="6545" hidden="1" x14ac:dyDescent="0.15"/>
    <row r="6546" hidden="1" x14ac:dyDescent="0.15"/>
    <row r="6547" hidden="1" x14ac:dyDescent="0.15"/>
    <row r="6548" hidden="1" x14ac:dyDescent="0.15"/>
    <row r="6549" hidden="1" x14ac:dyDescent="0.15"/>
    <row r="6550" hidden="1" x14ac:dyDescent="0.15"/>
    <row r="6551" hidden="1" x14ac:dyDescent="0.15"/>
    <row r="6552" hidden="1" x14ac:dyDescent="0.15"/>
    <row r="6553" hidden="1" x14ac:dyDescent="0.15"/>
    <row r="6554" hidden="1" x14ac:dyDescent="0.15"/>
    <row r="6555" hidden="1" x14ac:dyDescent="0.15"/>
    <row r="6556" hidden="1" x14ac:dyDescent="0.15"/>
    <row r="6557" hidden="1" x14ac:dyDescent="0.15"/>
    <row r="6558" hidden="1" x14ac:dyDescent="0.15"/>
    <row r="6559" hidden="1" x14ac:dyDescent="0.15"/>
    <row r="6560" hidden="1" x14ac:dyDescent="0.15"/>
    <row r="6561" hidden="1" x14ac:dyDescent="0.15"/>
    <row r="6562" hidden="1" x14ac:dyDescent="0.15"/>
    <row r="6563" hidden="1" x14ac:dyDescent="0.15"/>
    <row r="6564" hidden="1" x14ac:dyDescent="0.15"/>
    <row r="6565" hidden="1" x14ac:dyDescent="0.15"/>
    <row r="6566" hidden="1" x14ac:dyDescent="0.15"/>
    <row r="6567" hidden="1" x14ac:dyDescent="0.15"/>
    <row r="6568" hidden="1" x14ac:dyDescent="0.15"/>
    <row r="6569" hidden="1" x14ac:dyDescent="0.15"/>
    <row r="6570" hidden="1" x14ac:dyDescent="0.15"/>
    <row r="6571" hidden="1" x14ac:dyDescent="0.15"/>
    <row r="6572" hidden="1" x14ac:dyDescent="0.15"/>
    <row r="6573" hidden="1" x14ac:dyDescent="0.15"/>
    <row r="6574" hidden="1" x14ac:dyDescent="0.15"/>
    <row r="6575" hidden="1" x14ac:dyDescent="0.15"/>
    <row r="6576" hidden="1" x14ac:dyDescent="0.15"/>
    <row r="6577" hidden="1" x14ac:dyDescent="0.15"/>
    <row r="6578" hidden="1" x14ac:dyDescent="0.15"/>
    <row r="6579" hidden="1" x14ac:dyDescent="0.15"/>
    <row r="6580" hidden="1" x14ac:dyDescent="0.15"/>
    <row r="6581" hidden="1" x14ac:dyDescent="0.15"/>
    <row r="6582" hidden="1" x14ac:dyDescent="0.15"/>
    <row r="6583" hidden="1" x14ac:dyDescent="0.15"/>
    <row r="6584" hidden="1" x14ac:dyDescent="0.15"/>
    <row r="6585" hidden="1" x14ac:dyDescent="0.15"/>
    <row r="6586" hidden="1" x14ac:dyDescent="0.15"/>
    <row r="6587" hidden="1" x14ac:dyDescent="0.15"/>
    <row r="6588" hidden="1" x14ac:dyDescent="0.15"/>
    <row r="6589" hidden="1" x14ac:dyDescent="0.15"/>
    <row r="6590" hidden="1" x14ac:dyDescent="0.15"/>
    <row r="6591" hidden="1" x14ac:dyDescent="0.15"/>
    <row r="6592" hidden="1" x14ac:dyDescent="0.15"/>
    <row r="6593" hidden="1" x14ac:dyDescent="0.15"/>
    <row r="6594" hidden="1" x14ac:dyDescent="0.15"/>
    <row r="6595" hidden="1" x14ac:dyDescent="0.15"/>
    <row r="6596" hidden="1" x14ac:dyDescent="0.15"/>
    <row r="6597" hidden="1" x14ac:dyDescent="0.15"/>
    <row r="6598" hidden="1" x14ac:dyDescent="0.15"/>
    <row r="6599" hidden="1" x14ac:dyDescent="0.15"/>
    <row r="6600" hidden="1" x14ac:dyDescent="0.15"/>
    <row r="6601" hidden="1" x14ac:dyDescent="0.15"/>
    <row r="6602" hidden="1" x14ac:dyDescent="0.15"/>
    <row r="6603" hidden="1" x14ac:dyDescent="0.15"/>
    <row r="6604" hidden="1" x14ac:dyDescent="0.15"/>
    <row r="6605" hidden="1" x14ac:dyDescent="0.15"/>
    <row r="6606" hidden="1" x14ac:dyDescent="0.15"/>
    <row r="6607" hidden="1" x14ac:dyDescent="0.15"/>
    <row r="6608" hidden="1" x14ac:dyDescent="0.15"/>
    <row r="6609" hidden="1" x14ac:dyDescent="0.15"/>
    <row r="6610" hidden="1" x14ac:dyDescent="0.15"/>
    <row r="6611" hidden="1" x14ac:dyDescent="0.15"/>
    <row r="6612" hidden="1" x14ac:dyDescent="0.15"/>
    <row r="6613" hidden="1" x14ac:dyDescent="0.15"/>
    <row r="6614" hidden="1" x14ac:dyDescent="0.15"/>
    <row r="6615" hidden="1" x14ac:dyDescent="0.15"/>
    <row r="6616" hidden="1" x14ac:dyDescent="0.15"/>
    <row r="6617" hidden="1" x14ac:dyDescent="0.15"/>
    <row r="6618" hidden="1" x14ac:dyDescent="0.15"/>
    <row r="6619" hidden="1" x14ac:dyDescent="0.15"/>
    <row r="6620" hidden="1" x14ac:dyDescent="0.15"/>
    <row r="6621" hidden="1" x14ac:dyDescent="0.15"/>
    <row r="6622" hidden="1" x14ac:dyDescent="0.15"/>
    <row r="6623" hidden="1" x14ac:dyDescent="0.15"/>
    <row r="6624" hidden="1" x14ac:dyDescent="0.15"/>
    <row r="6625" hidden="1" x14ac:dyDescent="0.15"/>
    <row r="6626" hidden="1" x14ac:dyDescent="0.15"/>
    <row r="6627" hidden="1" x14ac:dyDescent="0.15"/>
    <row r="6628" hidden="1" x14ac:dyDescent="0.15"/>
    <row r="6629" hidden="1" x14ac:dyDescent="0.15"/>
    <row r="6630" hidden="1" x14ac:dyDescent="0.15"/>
    <row r="6631" hidden="1" x14ac:dyDescent="0.15"/>
    <row r="6632" hidden="1" x14ac:dyDescent="0.15"/>
    <row r="6633" hidden="1" x14ac:dyDescent="0.15"/>
    <row r="6634" hidden="1" x14ac:dyDescent="0.15"/>
    <row r="6635" hidden="1" x14ac:dyDescent="0.15"/>
    <row r="6636" hidden="1" x14ac:dyDescent="0.15"/>
    <row r="6637" hidden="1" x14ac:dyDescent="0.15"/>
    <row r="6638" hidden="1" x14ac:dyDescent="0.15"/>
    <row r="6639" hidden="1" x14ac:dyDescent="0.15"/>
    <row r="6640" hidden="1" x14ac:dyDescent="0.15"/>
    <row r="6641" hidden="1" x14ac:dyDescent="0.15"/>
    <row r="6642" hidden="1" x14ac:dyDescent="0.15"/>
    <row r="6643" hidden="1" x14ac:dyDescent="0.15"/>
    <row r="6644" hidden="1" x14ac:dyDescent="0.15"/>
    <row r="6645" hidden="1" x14ac:dyDescent="0.15"/>
    <row r="6646" hidden="1" x14ac:dyDescent="0.15"/>
    <row r="6647" hidden="1" x14ac:dyDescent="0.15"/>
    <row r="6648" hidden="1" x14ac:dyDescent="0.15"/>
    <row r="6649" hidden="1" x14ac:dyDescent="0.15"/>
    <row r="6650" hidden="1" x14ac:dyDescent="0.15"/>
    <row r="6651" hidden="1" x14ac:dyDescent="0.15"/>
    <row r="6652" hidden="1" x14ac:dyDescent="0.15"/>
    <row r="6653" hidden="1" x14ac:dyDescent="0.15"/>
    <row r="6654" hidden="1" x14ac:dyDescent="0.15"/>
    <row r="6655" hidden="1" x14ac:dyDescent="0.15"/>
    <row r="6656" hidden="1" x14ac:dyDescent="0.15"/>
    <row r="6657" hidden="1" x14ac:dyDescent="0.15"/>
    <row r="6658" hidden="1" x14ac:dyDescent="0.15"/>
    <row r="6659" hidden="1" x14ac:dyDescent="0.15"/>
    <row r="6660" hidden="1" x14ac:dyDescent="0.15"/>
    <row r="6661" hidden="1" x14ac:dyDescent="0.15"/>
    <row r="6662" hidden="1" x14ac:dyDescent="0.15"/>
    <row r="6663" hidden="1" x14ac:dyDescent="0.15"/>
    <row r="6664" hidden="1" x14ac:dyDescent="0.15"/>
    <row r="6665" hidden="1" x14ac:dyDescent="0.15"/>
    <row r="6666" hidden="1" x14ac:dyDescent="0.15"/>
    <row r="6667" hidden="1" x14ac:dyDescent="0.15"/>
    <row r="6668" hidden="1" x14ac:dyDescent="0.15"/>
    <row r="6669" hidden="1" x14ac:dyDescent="0.15"/>
    <row r="6670" hidden="1" x14ac:dyDescent="0.15"/>
    <row r="6671" hidden="1" x14ac:dyDescent="0.15"/>
    <row r="6672" hidden="1" x14ac:dyDescent="0.15"/>
    <row r="6673" hidden="1" x14ac:dyDescent="0.15"/>
    <row r="6674" hidden="1" x14ac:dyDescent="0.15"/>
    <row r="6675" hidden="1" x14ac:dyDescent="0.15"/>
    <row r="6676" hidden="1" x14ac:dyDescent="0.15"/>
    <row r="6677" hidden="1" x14ac:dyDescent="0.15"/>
    <row r="6678" hidden="1" x14ac:dyDescent="0.15"/>
    <row r="6679" hidden="1" x14ac:dyDescent="0.15"/>
    <row r="6680" hidden="1" x14ac:dyDescent="0.15"/>
    <row r="6681" hidden="1" x14ac:dyDescent="0.15"/>
    <row r="6682" hidden="1" x14ac:dyDescent="0.15"/>
    <row r="6683" hidden="1" x14ac:dyDescent="0.15"/>
    <row r="6684" hidden="1" x14ac:dyDescent="0.15"/>
    <row r="6685" hidden="1" x14ac:dyDescent="0.15"/>
    <row r="6686" hidden="1" x14ac:dyDescent="0.15"/>
    <row r="6687" hidden="1" x14ac:dyDescent="0.15"/>
    <row r="6688" hidden="1" x14ac:dyDescent="0.15"/>
    <row r="6689" hidden="1" x14ac:dyDescent="0.15"/>
    <row r="6690" hidden="1" x14ac:dyDescent="0.15"/>
    <row r="6691" hidden="1" x14ac:dyDescent="0.15"/>
    <row r="6692" hidden="1" x14ac:dyDescent="0.15"/>
    <row r="6693" hidden="1" x14ac:dyDescent="0.15"/>
    <row r="6694" hidden="1" x14ac:dyDescent="0.15"/>
    <row r="6695" hidden="1" x14ac:dyDescent="0.15"/>
    <row r="6696" hidden="1" x14ac:dyDescent="0.15"/>
    <row r="6697" hidden="1" x14ac:dyDescent="0.15"/>
    <row r="6698" hidden="1" x14ac:dyDescent="0.15"/>
    <row r="6699" hidden="1" x14ac:dyDescent="0.15"/>
    <row r="6700" hidden="1" x14ac:dyDescent="0.15"/>
    <row r="6701" hidden="1" x14ac:dyDescent="0.15"/>
    <row r="6702" hidden="1" x14ac:dyDescent="0.15"/>
    <row r="6703" hidden="1" x14ac:dyDescent="0.15"/>
    <row r="6704" hidden="1" x14ac:dyDescent="0.15"/>
    <row r="6705" hidden="1" x14ac:dyDescent="0.15"/>
    <row r="6706" hidden="1" x14ac:dyDescent="0.15"/>
    <row r="6707" hidden="1" x14ac:dyDescent="0.15"/>
    <row r="6708" hidden="1" x14ac:dyDescent="0.15"/>
    <row r="6709" hidden="1" x14ac:dyDescent="0.15"/>
    <row r="6710" hidden="1" x14ac:dyDescent="0.15"/>
    <row r="6711" hidden="1" x14ac:dyDescent="0.15"/>
    <row r="6712" hidden="1" x14ac:dyDescent="0.15"/>
    <row r="6713" hidden="1" x14ac:dyDescent="0.15"/>
    <row r="6714" hidden="1" x14ac:dyDescent="0.15"/>
    <row r="6715" hidden="1" x14ac:dyDescent="0.15"/>
    <row r="6716" hidden="1" x14ac:dyDescent="0.15"/>
    <row r="6717" hidden="1" x14ac:dyDescent="0.15"/>
    <row r="6718" hidden="1" x14ac:dyDescent="0.15"/>
    <row r="6719" hidden="1" x14ac:dyDescent="0.15"/>
    <row r="6720" hidden="1" x14ac:dyDescent="0.15"/>
    <row r="6721" hidden="1" x14ac:dyDescent="0.15"/>
    <row r="6722" hidden="1" x14ac:dyDescent="0.15"/>
    <row r="6723" hidden="1" x14ac:dyDescent="0.15"/>
    <row r="6724" hidden="1" x14ac:dyDescent="0.15"/>
    <row r="6725" hidden="1" x14ac:dyDescent="0.15"/>
    <row r="6726" hidden="1" x14ac:dyDescent="0.15"/>
    <row r="6727" hidden="1" x14ac:dyDescent="0.15"/>
    <row r="6728" hidden="1" x14ac:dyDescent="0.15"/>
    <row r="6729" hidden="1" x14ac:dyDescent="0.15"/>
    <row r="6730" hidden="1" x14ac:dyDescent="0.15"/>
    <row r="6731" hidden="1" x14ac:dyDescent="0.15"/>
    <row r="6732" hidden="1" x14ac:dyDescent="0.15"/>
    <row r="6733" hidden="1" x14ac:dyDescent="0.15"/>
    <row r="6734" hidden="1" x14ac:dyDescent="0.15"/>
    <row r="6735" hidden="1" x14ac:dyDescent="0.15"/>
    <row r="6736" hidden="1" x14ac:dyDescent="0.15"/>
    <row r="6737" hidden="1" x14ac:dyDescent="0.15"/>
    <row r="6738" hidden="1" x14ac:dyDescent="0.15"/>
    <row r="6739" hidden="1" x14ac:dyDescent="0.15"/>
    <row r="6740" hidden="1" x14ac:dyDescent="0.15"/>
    <row r="6741" hidden="1" x14ac:dyDescent="0.15"/>
    <row r="6742" hidden="1" x14ac:dyDescent="0.15"/>
    <row r="6743" hidden="1" x14ac:dyDescent="0.15"/>
    <row r="6744" hidden="1" x14ac:dyDescent="0.15"/>
    <row r="6745" hidden="1" x14ac:dyDescent="0.15"/>
    <row r="6746" hidden="1" x14ac:dyDescent="0.15"/>
    <row r="6747" hidden="1" x14ac:dyDescent="0.15"/>
    <row r="6748" hidden="1" x14ac:dyDescent="0.15"/>
    <row r="6749" hidden="1" x14ac:dyDescent="0.15"/>
    <row r="6750" hidden="1" x14ac:dyDescent="0.15"/>
    <row r="6751" hidden="1" x14ac:dyDescent="0.15"/>
    <row r="6752" hidden="1" x14ac:dyDescent="0.15"/>
    <row r="6753" hidden="1" x14ac:dyDescent="0.15"/>
    <row r="6754" hidden="1" x14ac:dyDescent="0.15"/>
    <row r="6755" hidden="1" x14ac:dyDescent="0.15"/>
    <row r="6756" hidden="1" x14ac:dyDescent="0.15"/>
    <row r="6757" hidden="1" x14ac:dyDescent="0.15"/>
    <row r="6758" hidden="1" x14ac:dyDescent="0.15"/>
    <row r="6759" hidden="1" x14ac:dyDescent="0.15"/>
    <row r="6760" hidden="1" x14ac:dyDescent="0.15"/>
    <row r="6761" hidden="1" x14ac:dyDescent="0.15"/>
    <row r="6762" hidden="1" x14ac:dyDescent="0.15"/>
    <row r="6763" hidden="1" x14ac:dyDescent="0.15"/>
    <row r="6764" hidden="1" x14ac:dyDescent="0.15"/>
    <row r="6765" hidden="1" x14ac:dyDescent="0.15"/>
    <row r="6766" hidden="1" x14ac:dyDescent="0.15"/>
    <row r="6767" hidden="1" x14ac:dyDescent="0.15"/>
    <row r="6768" hidden="1" x14ac:dyDescent="0.15"/>
    <row r="6769" hidden="1" x14ac:dyDescent="0.15"/>
    <row r="6770" hidden="1" x14ac:dyDescent="0.15"/>
    <row r="6771" hidden="1" x14ac:dyDescent="0.15"/>
    <row r="6772" hidden="1" x14ac:dyDescent="0.15"/>
    <row r="6773" hidden="1" x14ac:dyDescent="0.15"/>
    <row r="6774" hidden="1" x14ac:dyDescent="0.15"/>
    <row r="6775" hidden="1" x14ac:dyDescent="0.15"/>
    <row r="6776" hidden="1" x14ac:dyDescent="0.15"/>
    <row r="6777" hidden="1" x14ac:dyDescent="0.15"/>
    <row r="6778" hidden="1" x14ac:dyDescent="0.15"/>
    <row r="6779" hidden="1" x14ac:dyDescent="0.15"/>
    <row r="6780" hidden="1" x14ac:dyDescent="0.15"/>
    <row r="6781" hidden="1" x14ac:dyDescent="0.15"/>
    <row r="6782" hidden="1" x14ac:dyDescent="0.15"/>
    <row r="6783" hidden="1" x14ac:dyDescent="0.15"/>
    <row r="6784" hidden="1" x14ac:dyDescent="0.15"/>
    <row r="6785" hidden="1" x14ac:dyDescent="0.15"/>
    <row r="6786" hidden="1" x14ac:dyDescent="0.15"/>
    <row r="6787" hidden="1" x14ac:dyDescent="0.15"/>
    <row r="6788" hidden="1" x14ac:dyDescent="0.15"/>
    <row r="6789" hidden="1" x14ac:dyDescent="0.15"/>
    <row r="6790" hidden="1" x14ac:dyDescent="0.15"/>
    <row r="6791" hidden="1" x14ac:dyDescent="0.15"/>
    <row r="6792" hidden="1" x14ac:dyDescent="0.15"/>
    <row r="6793" hidden="1" x14ac:dyDescent="0.15"/>
    <row r="6794" hidden="1" x14ac:dyDescent="0.15"/>
    <row r="6795" hidden="1" x14ac:dyDescent="0.15"/>
    <row r="6796" hidden="1" x14ac:dyDescent="0.15"/>
    <row r="6797" hidden="1" x14ac:dyDescent="0.15"/>
    <row r="6798" hidden="1" x14ac:dyDescent="0.15"/>
    <row r="6799" hidden="1" x14ac:dyDescent="0.15"/>
    <row r="6800" hidden="1" x14ac:dyDescent="0.15"/>
    <row r="6801" hidden="1" x14ac:dyDescent="0.15"/>
    <row r="6802" hidden="1" x14ac:dyDescent="0.15"/>
    <row r="6803" hidden="1" x14ac:dyDescent="0.15"/>
    <row r="6804" hidden="1" x14ac:dyDescent="0.15"/>
    <row r="6805" hidden="1" x14ac:dyDescent="0.15"/>
    <row r="6806" hidden="1" x14ac:dyDescent="0.15"/>
    <row r="6807" hidden="1" x14ac:dyDescent="0.15"/>
    <row r="6808" hidden="1" x14ac:dyDescent="0.15"/>
    <row r="6809" hidden="1" x14ac:dyDescent="0.15"/>
    <row r="6810" hidden="1" x14ac:dyDescent="0.15"/>
    <row r="6811" hidden="1" x14ac:dyDescent="0.15"/>
    <row r="6812" hidden="1" x14ac:dyDescent="0.15"/>
    <row r="6813" hidden="1" x14ac:dyDescent="0.15"/>
    <row r="6814" hidden="1" x14ac:dyDescent="0.15"/>
    <row r="6815" hidden="1" x14ac:dyDescent="0.15"/>
    <row r="6816" hidden="1" x14ac:dyDescent="0.15"/>
    <row r="6817" hidden="1" x14ac:dyDescent="0.15"/>
    <row r="6818" hidden="1" x14ac:dyDescent="0.15"/>
    <row r="6819" hidden="1" x14ac:dyDescent="0.15"/>
    <row r="6820" hidden="1" x14ac:dyDescent="0.15"/>
    <row r="6821" hidden="1" x14ac:dyDescent="0.15"/>
    <row r="6822" hidden="1" x14ac:dyDescent="0.15"/>
    <row r="6823" hidden="1" x14ac:dyDescent="0.15"/>
    <row r="6824" hidden="1" x14ac:dyDescent="0.15"/>
    <row r="6825" hidden="1" x14ac:dyDescent="0.15"/>
    <row r="6826" hidden="1" x14ac:dyDescent="0.15"/>
    <row r="6827" hidden="1" x14ac:dyDescent="0.15"/>
    <row r="6828" hidden="1" x14ac:dyDescent="0.15"/>
    <row r="6829" hidden="1" x14ac:dyDescent="0.15"/>
    <row r="6830" hidden="1" x14ac:dyDescent="0.15"/>
    <row r="6831" hidden="1" x14ac:dyDescent="0.15"/>
    <row r="6832" hidden="1" x14ac:dyDescent="0.15"/>
    <row r="6833" hidden="1" x14ac:dyDescent="0.15"/>
    <row r="6834" hidden="1" x14ac:dyDescent="0.15"/>
    <row r="6835" hidden="1" x14ac:dyDescent="0.15"/>
    <row r="6836" hidden="1" x14ac:dyDescent="0.15"/>
    <row r="6837" hidden="1" x14ac:dyDescent="0.15"/>
    <row r="6838" hidden="1" x14ac:dyDescent="0.15"/>
    <row r="6839" hidden="1" x14ac:dyDescent="0.15"/>
    <row r="6840" hidden="1" x14ac:dyDescent="0.15"/>
    <row r="6841" hidden="1" x14ac:dyDescent="0.15"/>
    <row r="6842" hidden="1" x14ac:dyDescent="0.15"/>
    <row r="6843" hidden="1" x14ac:dyDescent="0.15"/>
    <row r="6844" hidden="1" x14ac:dyDescent="0.15"/>
    <row r="6845" hidden="1" x14ac:dyDescent="0.15"/>
    <row r="6846" hidden="1" x14ac:dyDescent="0.15"/>
    <row r="6847" hidden="1" x14ac:dyDescent="0.15"/>
    <row r="6848" hidden="1" x14ac:dyDescent="0.15"/>
    <row r="6849" hidden="1" x14ac:dyDescent="0.15"/>
    <row r="6850" hidden="1" x14ac:dyDescent="0.15"/>
    <row r="6851" hidden="1" x14ac:dyDescent="0.15"/>
    <row r="6852" hidden="1" x14ac:dyDescent="0.15"/>
    <row r="6853" hidden="1" x14ac:dyDescent="0.15"/>
    <row r="6854" hidden="1" x14ac:dyDescent="0.15"/>
    <row r="6855" hidden="1" x14ac:dyDescent="0.15"/>
    <row r="6856" hidden="1" x14ac:dyDescent="0.15"/>
    <row r="6857" hidden="1" x14ac:dyDescent="0.15"/>
    <row r="6858" hidden="1" x14ac:dyDescent="0.15"/>
    <row r="6859" hidden="1" x14ac:dyDescent="0.15"/>
    <row r="6860" hidden="1" x14ac:dyDescent="0.15"/>
    <row r="6861" hidden="1" x14ac:dyDescent="0.15"/>
    <row r="6862" hidden="1" x14ac:dyDescent="0.15"/>
    <row r="6863" hidden="1" x14ac:dyDescent="0.15"/>
    <row r="6864" hidden="1" x14ac:dyDescent="0.15"/>
    <row r="6865" hidden="1" x14ac:dyDescent="0.15"/>
    <row r="6866" hidden="1" x14ac:dyDescent="0.15"/>
    <row r="6867" hidden="1" x14ac:dyDescent="0.15"/>
    <row r="6868" hidden="1" x14ac:dyDescent="0.15"/>
    <row r="6869" hidden="1" x14ac:dyDescent="0.15"/>
    <row r="6870" hidden="1" x14ac:dyDescent="0.15"/>
    <row r="6871" hidden="1" x14ac:dyDescent="0.15"/>
    <row r="6872" hidden="1" x14ac:dyDescent="0.15"/>
    <row r="6873" hidden="1" x14ac:dyDescent="0.15"/>
    <row r="6874" hidden="1" x14ac:dyDescent="0.15"/>
    <row r="6875" hidden="1" x14ac:dyDescent="0.15"/>
    <row r="6876" hidden="1" x14ac:dyDescent="0.15"/>
    <row r="6877" hidden="1" x14ac:dyDescent="0.15"/>
    <row r="6878" hidden="1" x14ac:dyDescent="0.15"/>
    <row r="6879" hidden="1" x14ac:dyDescent="0.15"/>
    <row r="6880" hidden="1" x14ac:dyDescent="0.15"/>
    <row r="6881" hidden="1" x14ac:dyDescent="0.15"/>
    <row r="6882" hidden="1" x14ac:dyDescent="0.15"/>
    <row r="6883" hidden="1" x14ac:dyDescent="0.15"/>
    <row r="6884" hidden="1" x14ac:dyDescent="0.15"/>
    <row r="6885" hidden="1" x14ac:dyDescent="0.15"/>
    <row r="6886" hidden="1" x14ac:dyDescent="0.15"/>
    <row r="6887" hidden="1" x14ac:dyDescent="0.15"/>
    <row r="6888" hidden="1" x14ac:dyDescent="0.15"/>
    <row r="6889" hidden="1" x14ac:dyDescent="0.15"/>
    <row r="6890" hidden="1" x14ac:dyDescent="0.15"/>
    <row r="6891" hidden="1" x14ac:dyDescent="0.15"/>
    <row r="6892" hidden="1" x14ac:dyDescent="0.15"/>
    <row r="6893" hidden="1" x14ac:dyDescent="0.15"/>
    <row r="6894" hidden="1" x14ac:dyDescent="0.15"/>
    <row r="6895" hidden="1" x14ac:dyDescent="0.15"/>
    <row r="6896" hidden="1" x14ac:dyDescent="0.15"/>
    <row r="6897" hidden="1" x14ac:dyDescent="0.15"/>
    <row r="6898" hidden="1" x14ac:dyDescent="0.15"/>
    <row r="6899" hidden="1" x14ac:dyDescent="0.15"/>
    <row r="6900" hidden="1" x14ac:dyDescent="0.15"/>
    <row r="6901" hidden="1" x14ac:dyDescent="0.15"/>
    <row r="6902" hidden="1" x14ac:dyDescent="0.15"/>
    <row r="6903" hidden="1" x14ac:dyDescent="0.15"/>
    <row r="6904" hidden="1" x14ac:dyDescent="0.15"/>
    <row r="6905" hidden="1" x14ac:dyDescent="0.15"/>
    <row r="6906" hidden="1" x14ac:dyDescent="0.15"/>
    <row r="6907" hidden="1" x14ac:dyDescent="0.15"/>
    <row r="6908" hidden="1" x14ac:dyDescent="0.15"/>
    <row r="6909" hidden="1" x14ac:dyDescent="0.15"/>
    <row r="6910" hidden="1" x14ac:dyDescent="0.15"/>
    <row r="6911" hidden="1" x14ac:dyDescent="0.15"/>
    <row r="6912" hidden="1" x14ac:dyDescent="0.15"/>
    <row r="6913" hidden="1" x14ac:dyDescent="0.15"/>
    <row r="6914" hidden="1" x14ac:dyDescent="0.15"/>
    <row r="6915" hidden="1" x14ac:dyDescent="0.15"/>
    <row r="6916" hidden="1" x14ac:dyDescent="0.15"/>
    <row r="6917" hidden="1" x14ac:dyDescent="0.15"/>
    <row r="6918" hidden="1" x14ac:dyDescent="0.15"/>
    <row r="6919" hidden="1" x14ac:dyDescent="0.15"/>
    <row r="6920" hidden="1" x14ac:dyDescent="0.15"/>
    <row r="6921" hidden="1" x14ac:dyDescent="0.15"/>
    <row r="6922" hidden="1" x14ac:dyDescent="0.15"/>
    <row r="6923" hidden="1" x14ac:dyDescent="0.15"/>
    <row r="6924" hidden="1" x14ac:dyDescent="0.15"/>
    <row r="6925" hidden="1" x14ac:dyDescent="0.15"/>
    <row r="6926" hidden="1" x14ac:dyDescent="0.15"/>
    <row r="6927" hidden="1" x14ac:dyDescent="0.15"/>
    <row r="6928" hidden="1" x14ac:dyDescent="0.15"/>
    <row r="6929" hidden="1" x14ac:dyDescent="0.15"/>
    <row r="6930" hidden="1" x14ac:dyDescent="0.15"/>
    <row r="6931" hidden="1" x14ac:dyDescent="0.15"/>
    <row r="6932" hidden="1" x14ac:dyDescent="0.15"/>
    <row r="6933" hidden="1" x14ac:dyDescent="0.15"/>
    <row r="6934" hidden="1" x14ac:dyDescent="0.15"/>
    <row r="6935" hidden="1" x14ac:dyDescent="0.15"/>
    <row r="6936" hidden="1" x14ac:dyDescent="0.15"/>
    <row r="6937" hidden="1" x14ac:dyDescent="0.15"/>
    <row r="6938" hidden="1" x14ac:dyDescent="0.15"/>
    <row r="6939" hidden="1" x14ac:dyDescent="0.15"/>
    <row r="6940" hidden="1" x14ac:dyDescent="0.15"/>
    <row r="6941" hidden="1" x14ac:dyDescent="0.15"/>
    <row r="6942" hidden="1" x14ac:dyDescent="0.15"/>
    <row r="6943" hidden="1" x14ac:dyDescent="0.15"/>
    <row r="6944" hidden="1" x14ac:dyDescent="0.15"/>
    <row r="6945" hidden="1" x14ac:dyDescent="0.15"/>
    <row r="6946" hidden="1" x14ac:dyDescent="0.15"/>
    <row r="6947" hidden="1" x14ac:dyDescent="0.15"/>
    <row r="6948" hidden="1" x14ac:dyDescent="0.15"/>
    <row r="6949" hidden="1" x14ac:dyDescent="0.15"/>
    <row r="6950" hidden="1" x14ac:dyDescent="0.15"/>
    <row r="6951" hidden="1" x14ac:dyDescent="0.15"/>
    <row r="6952" hidden="1" x14ac:dyDescent="0.15"/>
    <row r="6953" hidden="1" x14ac:dyDescent="0.15"/>
    <row r="6954" hidden="1" x14ac:dyDescent="0.15"/>
    <row r="6955" hidden="1" x14ac:dyDescent="0.15"/>
    <row r="6956" hidden="1" x14ac:dyDescent="0.15"/>
    <row r="6957" hidden="1" x14ac:dyDescent="0.15"/>
    <row r="6958" hidden="1" x14ac:dyDescent="0.15"/>
    <row r="6959" hidden="1" x14ac:dyDescent="0.15"/>
    <row r="6960" hidden="1" x14ac:dyDescent="0.15"/>
    <row r="6961" hidden="1" x14ac:dyDescent="0.15"/>
    <row r="6962" hidden="1" x14ac:dyDescent="0.15"/>
    <row r="6963" hidden="1" x14ac:dyDescent="0.15"/>
    <row r="6964" hidden="1" x14ac:dyDescent="0.15"/>
    <row r="6965" hidden="1" x14ac:dyDescent="0.15"/>
    <row r="6966" hidden="1" x14ac:dyDescent="0.15"/>
    <row r="6967" hidden="1" x14ac:dyDescent="0.15"/>
    <row r="6968" hidden="1" x14ac:dyDescent="0.15"/>
    <row r="6969" hidden="1" x14ac:dyDescent="0.15"/>
    <row r="6970" hidden="1" x14ac:dyDescent="0.15"/>
    <row r="6971" hidden="1" x14ac:dyDescent="0.15"/>
    <row r="6972" hidden="1" x14ac:dyDescent="0.15"/>
    <row r="6973" hidden="1" x14ac:dyDescent="0.15"/>
    <row r="6974" hidden="1" x14ac:dyDescent="0.15"/>
    <row r="6975" hidden="1" x14ac:dyDescent="0.15"/>
    <row r="6976" hidden="1" x14ac:dyDescent="0.15"/>
    <row r="6977" hidden="1" x14ac:dyDescent="0.15"/>
    <row r="6978" hidden="1" x14ac:dyDescent="0.15"/>
    <row r="6979" hidden="1" x14ac:dyDescent="0.15"/>
    <row r="6980" hidden="1" x14ac:dyDescent="0.15"/>
    <row r="6981" hidden="1" x14ac:dyDescent="0.15"/>
    <row r="6982" hidden="1" x14ac:dyDescent="0.15"/>
    <row r="6983" hidden="1" x14ac:dyDescent="0.15"/>
    <row r="6984" hidden="1" x14ac:dyDescent="0.15"/>
    <row r="6985" hidden="1" x14ac:dyDescent="0.15"/>
    <row r="6986" hidden="1" x14ac:dyDescent="0.15"/>
    <row r="6987" hidden="1" x14ac:dyDescent="0.15"/>
    <row r="6988" hidden="1" x14ac:dyDescent="0.15"/>
    <row r="6989" hidden="1" x14ac:dyDescent="0.15"/>
    <row r="6990" hidden="1" x14ac:dyDescent="0.15"/>
    <row r="6991" hidden="1" x14ac:dyDescent="0.15"/>
    <row r="6992" hidden="1" x14ac:dyDescent="0.15"/>
    <row r="6993" hidden="1" x14ac:dyDescent="0.15"/>
    <row r="6994" hidden="1" x14ac:dyDescent="0.15"/>
    <row r="6995" hidden="1" x14ac:dyDescent="0.15"/>
    <row r="6996" hidden="1" x14ac:dyDescent="0.15"/>
    <row r="6997" hidden="1" x14ac:dyDescent="0.15"/>
    <row r="6998" hidden="1" x14ac:dyDescent="0.15"/>
    <row r="6999" hidden="1" x14ac:dyDescent="0.15"/>
    <row r="7000" hidden="1" x14ac:dyDescent="0.15"/>
    <row r="7001" hidden="1" x14ac:dyDescent="0.15"/>
    <row r="7002" hidden="1" x14ac:dyDescent="0.15"/>
    <row r="7003" hidden="1" x14ac:dyDescent="0.15"/>
    <row r="7004" hidden="1" x14ac:dyDescent="0.15"/>
    <row r="7005" hidden="1" x14ac:dyDescent="0.15"/>
    <row r="7006" hidden="1" x14ac:dyDescent="0.15"/>
    <row r="7007" hidden="1" x14ac:dyDescent="0.15"/>
    <row r="7008" hidden="1" x14ac:dyDescent="0.15"/>
    <row r="7009" hidden="1" x14ac:dyDescent="0.15"/>
    <row r="7010" hidden="1" x14ac:dyDescent="0.15"/>
    <row r="7011" hidden="1" x14ac:dyDescent="0.15"/>
    <row r="7012" hidden="1" x14ac:dyDescent="0.15"/>
    <row r="7013" hidden="1" x14ac:dyDescent="0.15"/>
    <row r="7014" hidden="1" x14ac:dyDescent="0.15"/>
    <row r="7015" hidden="1" x14ac:dyDescent="0.15"/>
    <row r="7016" hidden="1" x14ac:dyDescent="0.15"/>
    <row r="7017" hidden="1" x14ac:dyDescent="0.15"/>
    <row r="7018" hidden="1" x14ac:dyDescent="0.15"/>
    <row r="7019" hidden="1" x14ac:dyDescent="0.15"/>
    <row r="7020" hidden="1" x14ac:dyDescent="0.15"/>
    <row r="7021" hidden="1" x14ac:dyDescent="0.15"/>
    <row r="7022" hidden="1" x14ac:dyDescent="0.15"/>
    <row r="7023" hidden="1" x14ac:dyDescent="0.15"/>
    <row r="7024" hidden="1" x14ac:dyDescent="0.15"/>
    <row r="7025" hidden="1" x14ac:dyDescent="0.15"/>
    <row r="7026" hidden="1" x14ac:dyDescent="0.15"/>
    <row r="7027" hidden="1" x14ac:dyDescent="0.15"/>
    <row r="7028" hidden="1" x14ac:dyDescent="0.15"/>
    <row r="7029" hidden="1" x14ac:dyDescent="0.15"/>
    <row r="7030" hidden="1" x14ac:dyDescent="0.15"/>
    <row r="7031" hidden="1" x14ac:dyDescent="0.15"/>
    <row r="7032" hidden="1" x14ac:dyDescent="0.15"/>
    <row r="7033" hidden="1" x14ac:dyDescent="0.15"/>
    <row r="7034" hidden="1" x14ac:dyDescent="0.15"/>
    <row r="7035" hidden="1" x14ac:dyDescent="0.15"/>
    <row r="7036" hidden="1" x14ac:dyDescent="0.15"/>
    <row r="7037" hidden="1" x14ac:dyDescent="0.15"/>
    <row r="7038" hidden="1" x14ac:dyDescent="0.15"/>
    <row r="7039" hidden="1" x14ac:dyDescent="0.15"/>
    <row r="7040" hidden="1" x14ac:dyDescent="0.15"/>
    <row r="7041" hidden="1" x14ac:dyDescent="0.15"/>
    <row r="7042" hidden="1" x14ac:dyDescent="0.15"/>
    <row r="7043" hidden="1" x14ac:dyDescent="0.15"/>
    <row r="7044" hidden="1" x14ac:dyDescent="0.15"/>
    <row r="7045" hidden="1" x14ac:dyDescent="0.15"/>
    <row r="7046" hidden="1" x14ac:dyDescent="0.15"/>
    <row r="7047" hidden="1" x14ac:dyDescent="0.15"/>
    <row r="7048" hidden="1" x14ac:dyDescent="0.15"/>
    <row r="7049" hidden="1" x14ac:dyDescent="0.15"/>
    <row r="7050" hidden="1" x14ac:dyDescent="0.15"/>
    <row r="7051" hidden="1" x14ac:dyDescent="0.15"/>
    <row r="7052" hidden="1" x14ac:dyDescent="0.15"/>
    <row r="7053" hidden="1" x14ac:dyDescent="0.15"/>
    <row r="7054" hidden="1" x14ac:dyDescent="0.15"/>
    <row r="7055" hidden="1" x14ac:dyDescent="0.15"/>
    <row r="7056" hidden="1" x14ac:dyDescent="0.15"/>
    <row r="7057" hidden="1" x14ac:dyDescent="0.15"/>
    <row r="7058" hidden="1" x14ac:dyDescent="0.15"/>
    <row r="7059" hidden="1" x14ac:dyDescent="0.15"/>
    <row r="7060" hidden="1" x14ac:dyDescent="0.15"/>
    <row r="7061" hidden="1" x14ac:dyDescent="0.15"/>
    <row r="7062" hidden="1" x14ac:dyDescent="0.15"/>
    <row r="7063" hidden="1" x14ac:dyDescent="0.15"/>
    <row r="7064" hidden="1" x14ac:dyDescent="0.15"/>
    <row r="7065" hidden="1" x14ac:dyDescent="0.15"/>
    <row r="7066" hidden="1" x14ac:dyDescent="0.15"/>
    <row r="7067" hidden="1" x14ac:dyDescent="0.15"/>
    <row r="7068" hidden="1" x14ac:dyDescent="0.15"/>
    <row r="7069" hidden="1" x14ac:dyDescent="0.15"/>
    <row r="7070" hidden="1" x14ac:dyDescent="0.15"/>
    <row r="7071" hidden="1" x14ac:dyDescent="0.15"/>
    <row r="7072" hidden="1" x14ac:dyDescent="0.15"/>
    <row r="7073" hidden="1" x14ac:dyDescent="0.15"/>
    <row r="7074" hidden="1" x14ac:dyDescent="0.15"/>
    <row r="7075" hidden="1" x14ac:dyDescent="0.15"/>
    <row r="7076" hidden="1" x14ac:dyDescent="0.15"/>
    <row r="7077" hidden="1" x14ac:dyDescent="0.15"/>
    <row r="7078" hidden="1" x14ac:dyDescent="0.15"/>
    <row r="7079" hidden="1" x14ac:dyDescent="0.15"/>
    <row r="7080" hidden="1" x14ac:dyDescent="0.15"/>
    <row r="7081" hidden="1" x14ac:dyDescent="0.15"/>
    <row r="7082" hidden="1" x14ac:dyDescent="0.15"/>
    <row r="7083" hidden="1" x14ac:dyDescent="0.15"/>
    <row r="7084" hidden="1" x14ac:dyDescent="0.15"/>
    <row r="7085" hidden="1" x14ac:dyDescent="0.15"/>
    <row r="7086" hidden="1" x14ac:dyDescent="0.15"/>
    <row r="7087" hidden="1" x14ac:dyDescent="0.15"/>
    <row r="7088" hidden="1" x14ac:dyDescent="0.15"/>
    <row r="7089" hidden="1" x14ac:dyDescent="0.15"/>
    <row r="7090" hidden="1" x14ac:dyDescent="0.15"/>
    <row r="7091" hidden="1" x14ac:dyDescent="0.15"/>
    <row r="7092" hidden="1" x14ac:dyDescent="0.15"/>
    <row r="7093" hidden="1" x14ac:dyDescent="0.15"/>
    <row r="7094" hidden="1" x14ac:dyDescent="0.15"/>
    <row r="7095" hidden="1" x14ac:dyDescent="0.15"/>
    <row r="7096" hidden="1" x14ac:dyDescent="0.15"/>
    <row r="7097" hidden="1" x14ac:dyDescent="0.15"/>
    <row r="7098" hidden="1" x14ac:dyDescent="0.15"/>
    <row r="7099" hidden="1" x14ac:dyDescent="0.15"/>
    <row r="7100" hidden="1" x14ac:dyDescent="0.15"/>
    <row r="7101" hidden="1" x14ac:dyDescent="0.15"/>
    <row r="7102" hidden="1" x14ac:dyDescent="0.15"/>
    <row r="7103" hidden="1" x14ac:dyDescent="0.15"/>
    <row r="7104" hidden="1" x14ac:dyDescent="0.15"/>
    <row r="7105" hidden="1" x14ac:dyDescent="0.15"/>
    <row r="7106" hidden="1" x14ac:dyDescent="0.15"/>
    <row r="7107" hidden="1" x14ac:dyDescent="0.15"/>
    <row r="7108" hidden="1" x14ac:dyDescent="0.15"/>
    <row r="7109" hidden="1" x14ac:dyDescent="0.15"/>
    <row r="7110" hidden="1" x14ac:dyDescent="0.15"/>
    <row r="7111" hidden="1" x14ac:dyDescent="0.15"/>
    <row r="7112" hidden="1" x14ac:dyDescent="0.15"/>
    <row r="7113" hidden="1" x14ac:dyDescent="0.15"/>
    <row r="7114" hidden="1" x14ac:dyDescent="0.15"/>
    <row r="7115" hidden="1" x14ac:dyDescent="0.15"/>
    <row r="7116" hidden="1" x14ac:dyDescent="0.15"/>
    <row r="7117" hidden="1" x14ac:dyDescent="0.15"/>
    <row r="7118" hidden="1" x14ac:dyDescent="0.15"/>
    <row r="7119" hidden="1" x14ac:dyDescent="0.15"/>
    <row r="7120" hidden="1" x14ac:dyDescent="0.15"/>
    <row r="7121" hidden="1" x14ac:dyDescent="0.15"/>
    <row r="7122" hidden="1" x14ac:dyDescent="0.15"/>
    <row r="7123" hidden="1" x14ac:dyDescent="0.15"/>
    <row r="7124" hidden="1" x14ac:dyDescent="0.15"/>
    <row r="7125" hidden="1" x14ac:dyDescent="0.15"/>
    <row r="7126" hidden="1" x14ac:dyDescent="0.15"/>
    <row r="7127" hidden="1" x14ac:dyDescent="0.15"/>
    <row r="7128" hidden="1" x14ac:dyDescent="0.15"/>
    <row r="7129" hidden="1" x14ac:dyDescent="0.15"/>
    <row r="7130" hidden="1" x14ac:dyDescent="0.15"/>
    <row r="7131" hidden="1" x14ac:dyDescent="0.15"/>
    <row r="7132" hidden="1" x14ac:dyDescent="0.15"/>
    <row r="7133" hidden="1" x14ac:dyDescent="0.15"/>
    <row r="7134" hidden="1" x14ac:dyDescent="0.15"/>
    <row r="7135" hidden="1" x14ac:dyDescent="0.15"/>
    <row r="7136" hidden="1" x14ac:dyDescent="0.15"/>
    <row r="7137" hidden="1" x14ac:dyDescent="0.15"/>
    <row r="7138" hidden="1" x14ac:dyDescent="0.15"/>
    <row r="7139" hidden="1" x14ac:dyDescent="0.15"/>
    <row r="7140" hidden="1" x14ac:dyDescent="0.15"/>
    <row r="7141" hidden="1" x14ac:dyDescent="0.15"/>
    <row r="7142" hidden="1" x14ac:dyDescent="0.15"/>
    <row r="7143" hidden="1" x14ac:dyDescent="0.15"/>
    <row r="7144" hidden="1" x14ac:dyDescent="0.15"/>
    <row r="7145" hidden="1" x14ac:dyDescent="0.15"/>
    <row r="7146" hidden="1" x14ac:dyDescent="0.15"/>
    <row r="7147" hidden="1" x14ac:dyDescent="0.15"/>
    <row r="7148" hidden="1" x14ac:dyDescent="0.15"/>
    <row r="7149" hidden="1" x14ac:dyDescent="0.15"/>
    <row r="7150" hidden="1" x14ac:dyDescent="0.15"/>
    <row r="7151" hidden="1" x14ac:dyDescent="0.15"/>
    <row r="7152" hidden="1" x14ac:dyDescent="0.15"/>
    <row r="7153" hidden="1" x14ac:dyDescent="0.15"/>
    <row r="7154" hidden="1" x14ac:dyDescent="0.15"/>
    <row r="7155" hidden="1" x14ac:dyDescent="0.15"/>
    <row r="7156" hidden="1" x14ac:dyDescent="0.15"/>
    <row r="7157" hidden="1" x14ac:dyDescent="0.15"/>
    <row r="7158" hidden="1" x14ac:dyDescent="0.15"/>
    <row r="7159" hidden="1" x14ac:dyDescent="0.15"/>
    <row r="7160" hidden="1" x14ac:dyDescent="0.15"/>
    <row r="7161" hidden="1" x14ac:dyDescent="0.15"/>
    <row r="7162" hidden="1" x14ac:dyDescent="0.15"/>
    <row r="7163" hidden="1" x14ac:dyDescent="0.15"/>
    <row r="7164" hidden="1" x14ac:dyDescent="0.15"/>
    <row r="7165" hidden="1" x14ac:dyDescent="0.15"/>
    <row r="7166" hidden="1" x14ac:dyDescent="0.15"/>
    <row r="7167" hidden="1" x14ac:dyDescent="0.15"/>
    <row r="7168" hidden="1" x14ac:dyDescent="0.15"/>
    <row r="7169" hidden="1" x14ac:dyDescent="0.15"/>
    <row r="7170" hidden="1" x14ac:dyDescent="0.15"/>
    <row r="7171" hidden="1" x14ac:dyDescent="0.15"/>
    <row r="7172" hidden="1" x14ac:dyDescent="0.15"/>
    <row r="7173" hidden="1" x14ac:dyDescent="0.15"/>
    <row r="7174" hidden="1" x14ac:dyDescent="0.15"/>
    <row r="7175" hidden="1" x14ac:dyDescent="0.15"/>
    <row r="7176" hidden="1" x14ac:dyDescent="0.15"/>
    <row r="7177" hidden="1" x14ac:dyDescent="0.15"/>
    <row r="7178" hidden="1" x14ac:dyDescent="0.15"/>
    <row r="7179" hidden="1" x14ac:dyDescent="0.15"/>
    <row r="7180" hidden="1" x14ac:dyDescent="0.15"/>
    <row r="7181" hidden="1" x14ac:dyDescent="0.15"/>
    <row r="7182" hidden="1" x14ac:dyDescent="0.15"/>
    <row r="7183" hidden="1" x14ac:dyDescent="0.15"/>
    <row r="7184" hidden="1" x14ac:dyDescent="0.15"/>
    <row r="7185" hidden="1" x14ac:dyDescent="0.15"/>
    <row r="7186" hidden="1" x14ac:dyDescent="0.15"/>
    <row r="7187" hidden="1" x14ac:dyDescent="0.15"/>
    <row r="7188" hidden="1" x14ac:dyDescent="0.15"/>
    <row r="7189" hidden="1" x14ac:dyDescent="0.15"/>
    <row r="7190" hidden="1" x14ac:dyDescent="0.15"/>
    <row r="7191" hidden="1" x14ac:dyDescent="0.15"/>
    <row r="7192" hidden="1" x14ac:dyDescent="0.15"/>
    <row r="7193" hidden="1" x14ac:dyDescent="0.15"/>
    <row r="7194" hidden="1" x14ac:dyDescent="0.15"/>
    <row r="7195" hidden="1" x14ac:dyDescent="0.15"/>
    <row r="7196" hidden="1" x14ac:dyDescent="0.15"/>
    <row r="7197" hidden="1" x14ac:dyDescent="0.15"/>
    <row r="7198" hidden="1" x14ac:dyDescent="0.15"/>
    <row r="7199" hidden="1" x14ac:dyDescent="0.15"/>
    <row r="7200" hidden="1" x14ac:dyDescent="0.15"/>
    <row r="7201" hidden="1" x14ac:dyDescent="0.15"/>
    <row r="7202" hidden="1" x14ac:dyDescent="0.15"/>
    <row r="7203" hidden="1" x14ac:dyDescent="0.15"/>
    <row r="7204" hidden="1" x14ac:dyDescent="0.15"/>
    <row r="7205" hidden="1" x14ac:dyDescent="0.15"/>
    <row r="7206" hidden="1" x14ac:dyDescent="0.15"/>
    <row r="7207" hidden="1" x14ac:dyDescent="0.15"/>
    <row r="7208" hidden="1" x14ac:dyDescent="0.15"/>
    <row r="7209" hidden="1" x14ac:dyDescent="0.15"/>
    <row r="7210" hidden="1" x14ac:dyDescent="0.15"/>
    <row r="7211" hidden="1" x14ac:dyDescent="0.15"/>
    <row r="7212" hidden="1" x14ac:dyDescent="0.15"/>
    <row r="7213" hidden="1" x14ac:dyDescent="0.15"/>
    <row r="7214" hidden="1" x14ac:dyDescent="0.15"/>
    <row r="7215" hidden="1" x14ac:dyDescent="0.15"/>
    <row r="7216" hidden="1" x14ac:dyDescent="0.15"/>
    <row r="7217" hidden="1" x14ac:dyDescent="0.15"/>
    <row r="7218" hidden="1" x14ac:dyDescent="0.15"/>
    <row r="7219" hidden="1" x14ac:dyDescent="0.15"/>
    <row r="7220" hidden="1" x14ac:dyDescent="0.15"/>
    <row r="7221" hidden="1" x14ac:dyDescent="0.15"/>
    <row r="7222" hidden="1" x14ac:dyDescent="0.15"/>
    <row r="7223" hidden="1" x14ac:dyDescent="0.15"/>
    <row r="7224" hidden="1" x14ac:dyDescent="0.15"/>
    <row r="7225" hidden="1" x14ac:dyDescent="0.15"/>
    <row r="7226" hidden="1" x14ac:dyDescent="0.15"/>
    <row r="7227" hidden="1" x14ac:dyDescent="0.15"/>
    <row r="7228" hidden="1" x14ac:dyDescent="0.15"/>
    <row r="7229" hidden="1" x14ac:dyDescent="0.15"/>
    <row r="7230" hidden="1" x14ac:dyDescent="0.15"/>
    <row r="7231" hidden="1" x14ac:dyDescent="0.15"/>
    <row r="7232" hidden="1" x14ac:dyDescent="0.15"/>
    <row r="7233" hidden="1" x14ac:dyDescent="0.15"/>
    <row r="7234" hidden="1" x14ac:dyDescent="0.15"/>
    <row r="7235" hidden="1" x14ac:dyDescent="0.15"/>
    <row r="7236" hidden="1" x14ac:dyDescent="0.15"/>
    <row r="7237" hidden="1" x14ac:dyDescent="0.15"/>
    <row r="7238" hidden="1" x14ac:dyDescent="0.15"/>
    <row r="7239" hidden="1" x14ac:dyDescent="0.15"/>
    <row r="7240" hidden="1" x14ac:dyDescent="0.15"/>
    <row r="7241" hidden="1" x14ac:dyDescent="0.15"/>
    <row r="7242" hidden="1" x14ac:dyDescent="0.15"/>
    <row r="7243" hidden="1" x14ac:dyDescent="0.15"/>
    <row r="7244" hidden="1" x14ac:dyDescent="0.15"/>
    <row r="7245" hidden="1" x14ac:dyDescent="0.15"/>
    <row r="7246" hidden="1" x14ac:dyDescent="0.15"/>
    <row r="7247" hidden="1" x14ac:dyDescent="0.15"/>
    <row r="7248" hidden="1" x14ac:dyDescent="0.15"/>
    <row r="7249" hidden="1" x14ac:dyDescent="0.15"/>
    <row r="7250" hidden="1" x14ac:dyDescent="0.15"/>
    <row r="7251" hidden="1" x14ac:dyDescent="0.15"/>
    <row r="7252" hidden="1" x14ac:dyDescent="0.15"/>
    <row r="7253" hidden="1" x14ac:dyDescent="0.15"/>
    <row r="7254" hidden="1" x14ac:dyDescent="0.15"/>
    <row r="7255" hidden="1" x14ac:dyDescent="0.15"/>
    <row r="7256" hidden="1" x14ac:dyDescent="0.15"/>
    <row r="7257" hidden="1" x14ac:dyDescent="0.15"/>
    <row r="7258" hidden="1" x14ac:dyDescent="0.15"/>
    <row r="7259" hidden="1" x14ac:dyDescent="0.15"/>
    <row r="7260" hidden="1" x14ac:dyDescent="0.15"/>
    <row r="7261" hidden="1" x14ac:dyDescent="0.15"/>
    <row r="7262" hidden="1" x14ac:dyDescent="0.15"/>
    <row r="7263" hidden="1" x14ac:dyDescent="0.15"/>
    <row r="7264" hidden="1" x14ac:dyDescent="0.15"/>
    <row r="7265" hidden="1" x14ac:dyDescent="0.15"/>
    <row r="7266" hidden="1" x14ac:dyDescent="0.15"/>
    <row r="7267" hidden="1" x14ac:dyDescent="0.15"/>
    <row r="7268" hidden="1" x14ac:dyDescent="0.15"/>
    <row r="7269" hidden="1" x14ac:dyDescent="0.15"/>
    <row r="7270" hidden="1" x14ac:dyDescent="0.15"/>
    <row r="7271" hidden="1" x14ac:dyDescent="0.15"/>
    <row r="7272" hidden="1" x14ac:dyDescent="0.15"/>
    <row r="7273" hidden="1" x14ac:dyDescent="0.15"/>
    <row r="7274" hidden="1" x14ac:dyDescent="0.15"/>
    <row r="7275" hidden="1" x14ac:dyDescent="0.15"/>
    <row r="7276" hidden="1" x14ac:dyDescent="0.15"/>
    <row r="7277" hidden="1" x14ac:dyDescent="0.15"/>
    <row r="7278" hidden="1" x14ac:dyDescent="0.15"/>
    <row r="7279" hidden="1" x14ac:dyDescent="0.15"/>
    <row r="7280" hidden="1" x14ac:dyDescent="0.15"/>
    <row r="7281" hidden="1" x14ac:dyDescent="0.15"/>
    <row r="7282" hidden="1" x14ac:dyDescent="0.15"/>
    <row r="7283" hidden="1" x14ac:dyDescent="0.15"/>
    <row r="7284" hidden="1" x14ac:dyDescent="0.15"/>
    <row r="7285" hidden="1" x14ac:dyDescent="0.15"/>
    <row r="7286" hidden="1" x14ac:dyDescent="0.15"/>
    <row r="7287" hidden="1" x14ac:dyDescent="0.15"/>
    <row r="7288" hidden="1" x14ac:dyDescent="0.15"/>
    <row r="7289" hidden="1" x14ac:dyDescent="0.15"/>
    <row r="7290" hidden="1" x14ac:dyDescent="0.15"/>
    <row r="7291" hidden="1" x14ac:dyDescent="0.15"/>
    <row r="7292" hidden="1" x14ac:dyDescent="0.15"/>
    <row r="7293" hidden="1" x14ac:dyDescent="0.15"/>
    <row r="7294" hidden="1" x14ac:dyDescent="0.15"/>
    <row r="7295" hidden="1" x14ac:dyDescent="0.15"/>
    <row r="7296" hidden="1" x14ac:dyDescent="0.15"/>
    <row r="7297" hidden="1" x14ac:dyDescent="0.15"/>
    <row r="7298" hidden="1" x14ac:dyDescent="0.15"/>
    <row r="7299" hidden="1" x14ac:dyDescent="0.15"/>
    <row r="7300" hidden="1" x14ac:dyDescent="0.15"/>
    <row r="7301" hidden="1" x14ac:dyDescent="0.15"/>
    <row r="7302" hidden="1" x14ac:dyDescent="0.15"/>
    <row r="7303" hidden="1" x14ac:dyDescent="0.15"/>
    <row r="7304" hidden="1" x14ac:dyDescent="0.15"/>
    <row r="7305" hidden="1" x14ac:dyDescent="0.15"/>
    <row r="7306" hidden="1" x14ac:dyDescent="0.15"/>
    <row r="7307" hidden="1" x14ac:dyDescent="0.15"/>
    <row r="7308" hidden="1" x14ac:dyDescent="0.15"/>
    <row r="7309" hidden="1" x14ac:dyDescent="0.15"/>
    <row r="7310" hidden="1" x14ac:dyDescent="0.15"/>
    <row r="7311" hidden="1" x14ac:dyDescent="0.15"/>
    <row r="7312" hidden="1" x14ac:dyDescent="0.15"/>
    <row r="7313" hidden="1" x14ac:dyDescent="0.15"/>
    <row r="7314" hidden="1" x14ac:dyDescent="0.15"/>
    <row r="7315" hidden="1" x14ac:dyDescent="0.15"/>
    <row r="7316" hidden="1" x14ac:dyDescent="0.15"/>
    <row r="7317" hidden="1" x14ac:dyDescent="0.15"/>
    <row r="7318" hidden="1" x14ac:dyDescent="0.15"/>
    <row r="7319" hidden="1" x14ac:dyDescent="0.15"/>
    <row r="7320" hidden="1" x14ac:dyDescent="0.15"/>
    <row r="7321" hidden="1" x14ac:dyDescent="0.15"/>
    <row r="7322" hidden="1" x14ac:dyDescent="0.15"/>
    <row r="7323" hidden="1" x14ac:dyDescent="0.15"/>
    <row r="7324" hidden="1" x14ac:dyDescent="0.15"/>
    <row r="7325" hidden="1" x14ac:dyDescent="0.15"/>
    <row r="7326" hidden="1" x14ac:dyDescent="0.15"/>
    <row r="7327" hidden="1" x14ac:dyDescent="0.15"/>
    <row r="7328" hidden="1" x14ac:dyDescent="0.15"/>
    <row r="7329" hidden="1" x14ac:dyDescent="0.15"/>
    <row r="7330" hidden="1" x14ac:dyDescent="0.15"/>
    <row r="7331" hidden="1" x14ac:dyDescent="0.15"/>
    <row r="7332" hidden="1" x14ac:dyDescent="0.15"/>
    <row r="7333" hidden="1" x14ac:dyDescent="0.15"/>
    <row r="7334" hidden="1" x14ac:dyDescent="0.15"/>
    <row r="7335" hidden="1" x14ac:dyDescent="0.15"/>
    <row r="7336" hidden="1" x14ac:dyDescent="0.15"/>
    <row r="7337" hidden="1" x14ac:dyDescent="0.15"/>
    <row r="7338" hidden="1" x14ac:dyDescent="0.15"/>
    <row r="7339" hidden="1" x14ac:dyDescent="0.15"/>
    <row r="7340" hidden="1" x14ac:dyDescent="0.15"/>
    <row r="7341" hidden="1" x14ac:dyDescent="0.15"/>
    <row r="7342" hidden="1" x14ac:dyDescent="0.15"/>
    <row r="7343" hidden="1" x14ac:dyDescent="0.15"/>
    <row r="7344" hidden="1" x14ac:dyDescent="0.15"/>
    <row r="7345" hidden="1" x14ac:dyDescent="0.15"/>
    <row r="7346" hidden="1" x14ac:dyDescent="0.15"/>
    <row r="7347" hidden="1" x14ac:dyDescent="0.15"/>
    <row r="7348" hidden="1" x14ac:dyDescent="0.15"/>
    <row r="7349" hidden="1" x14ac:dyDescent="0.15"/>
    <row r="7350" hidden="1" x14ac:dyDescent="0.15"/>
    <row r="7351" hidden="1" x14ac:dyDescent="0.15"/>
    <row r="7352" hidden="1" x14ac:dyDescent="0.15"/>
    <row r="7353" hidden="1" x14ac:dyDescent="0.15"/>
    <row r="7354" hidden="1" x14ac:dyDescent="0.15"/>
    <row r="7355" hidden="1" x14ac:dyDescent="0.15"/>
    <row r="7356" hidden="1" x14ac:dyDescent="0.15"/>
    <row r="7357" hidden="1" x14ac:dyDescent="0.15"/>
    <row r="7358" hidden="1" x14ac:dyDescent="0.15"/>
    <row r="7359" hidden="1" x14ac:dyDescent="0.15"/>
    <row r="7360" hidden="1" x14ac:dyDescent="0.15"/>
    <row r="7361" hidden="1" x14ac:dyDescent="0.15"/>
    <row r="7362" hidden="1" x14ac:dyDescent="0.15"/>
    <row r="7363" hidden="1" x14ac:dyDescent="0.15"/>
    <row r="7364" hidden="1" x14ac:dyDescent="0.15"/>
    <row r="7365" hidden="1" x14ac:dyDescent="0.15"/>
    <row r="7366" hidden="1" x14ac:dyDescent="0.15"/>
    <row r="7367" hidden="1" x14ac:dyDescent="0.15"/>
    <row r="7368" hidden="1" x14ac:dyDescent="0.15"/>
    <row r="7369" hidden="1" x14ac:dyDescent="0.15"/>
    <row r="7370" hidden="1" x14ac:dyDescent="0.15"/>
    <row r="7371" hidden="1" x14ac:dyDescent="0.15"/>
    <row r="7372" hidden="1" x14ac:dyDescent="0.15"/>
    <row r="7373" hidden="1" x14ac:dyDescent="0.15"/>
    <row r="7374" hidden="1" x14ac:dyDescent="0.15"/>
    <row r="7375" hidden="1" x14ac:dyDescent="0.15"/>
    <row r="7376" hidden="1" x14ac:dyDescent="0.15"/>
    <row r="7377" hidden="1" x14ac:dyDescent="0.15"/>
    <row r="7378" hidden="1" x14ac:dyDescent="0.15"/>
    <row r="7379" hidden="1" x14ac:dyDescent="0.15"/>
    <row r="7380" hidden="1" x14ac:dyDescent="0.15"/>
    <row r="7381" hidden="1" x14ac:dyDescent="0.15"/>
    <row r="7382" hidden="1" x14ac:dyDescent="0.15"/>
    <row r="7383" hidden="1" x14ac:dyDescent="0.15"/>
    <row r="7384" hidden="1" x14ac:dyDescent="0.15"/>
    <row r="7385" hidden="1" x14ac:dyDescent="0.15"/>
    <row r="7386" hidden="1" x14ac:dyDescent="0.15"/>
    <row r="7387" hidden="1" x14ac:dyDescent="0.15"/>
    <row r="7388" hidden="1" x14ac:dyDescent="0.15"/>
    <row r="7389" hidden="1" x14ac:dyDescent="0.15"/>
    <row r="7390" hidden="1" x14ac:dyDescent="0.15"/>
    <row r="7391" hidden="1" x14ac:dyDescent="0.15"/>
    <row r="7392" hidden="1" x14ac:dyDescent="0.15"/>
    <row r="7393" hidden="1" x14ac:dyDescent="0.15"/>
    <row r="7394" hidden="1" x14ac:dyDescent="0.15"/>
    <row r="7395" hidden="1" x14ac:dyDescent="0.15"/>
    <row r="7396" hidden="1" x14ac:dyDescent="0.15"/>
    <row r="7397" hidden="1" x14ac:dyDescent="0.15"/>
    <row r="7398" hidden="1" x14ac:dyDescent="0.15"/>
    <row r="7399" hidden="1" x14ac:dyDescent="0.15"/>
    <row r="7400" hidden="1" x14ac:dyDescent="0.15"/>
    <row r="7401" hidden="1" x14ac:dyDescent="0.15"/>
    <row r="7402" hidden="1" x14ac:dyDescent="0.15"/>
    <row r="7403" hidden="1" x14ac:dyDescent="0.15"/>
    <row r="7404" hidden="1" x14ac:dyDescent="0.15"/>
    <row r="7405" hidden="1" x14ac:dyDescent="0.15"/>
    <row r="7406" hidden="1" x14ac:dyDescent="0.15"/>
    <row r="7407" hidden="1" x14ac:dyDescent="0.15"/>
    <row r="7408" hidden="1" x14ac:dyDescent="0.15"/>
    <row r="7409" hidden="1" x14ac:dyDescent="0.15"/>
    <row r="7410" hidden="1" x14ac:dyDescent="0.15"/>
    <row r="7411" hidden="1" x14ac:dyDescent="0.15"/>
    <row r="7412" hidden="1" x14ac:dyDescent="0.15"/>
    <row r="7413" hidden="1" x14ac:dyDescent="0.15"/>
    <row r="7414" hidden="1" x14ac:dyDescent="0.15"/>
    <row r="7415" hidden="1" x14ac:dyDescent="0.15"/>
    <row r="7416" hidden="1" x14ac:dyDescent="0.15"/>
    <row r="7417" hidden="1" x14ac:dyDescent="0.15"/>
    <row r="7418" hidden="1" x14ac:dyDescent="0.15"/>
    <row r="7419" hidden="1" x14ac:dyDescent="0.15"/>
    <row r="7420" hidden="1" x14ac:dyDescent="0.15"/>
    <row r="7421" hidden="1" x14ac:dyDescent="0.15"/>
    <row r="7422" hidden="1" x14ac:dyDescent="0.15"/>
    <row r="7423" hidden="1" x14ac:dyDescent="0.15"/>
    <row r="7424" hidden="1" x14ac:dyDescent="0.15"/>
    <row r="7425" hidden="1" x14ac:dyDescent="0.15"/>
    <row r="7426" hidden="1" x14ac:dyDescent="0.15"/>
    <row r="7427" hidden="1" x14ac:dyDescent="0.15"/>
    <row r="7428" hidden="1" x14ac:dyDescent="0.15"/>
    <row r="7429" hidden="1" x14ac:dyDescent="0.15"/>
    <row r="7430" hidden="1" x14ac:dyDescent="0.15"/>
    <row r="7431" hidden="1" x14ac:dyDescent="0.15"/>
    <row r="7432" hidden="1" x14ac:dyDescent="0.15"/>
    <row r="7433" hidden="1" x14ac:dyDescent="0.15"/>
    <row r="7434" hidden="1" x14ac:dyDescent="0.15"/>
    <row r="7435" hidden="1" x14ac:dyDescent="0.15"/>
    <row r="7436" hidden="1" x14ac:dyDescent="0.15"/>
    <row r="7437" hidden="1" x14ac:dyDescent="0.15"/>
    <row r="7438" hidden="1" x14ac:dyDescent="0.15"/>
    <row r="7439" hidden="1" x14ac:dyDescent="0.15"/>
    <row r="7440" hidden="1" x14ac:dyDescent="0.15"/>
    <row r="7441" hidden="1" x14ac:dyDescent="0.15"/>
    <row r="7442" hidden="1" x14ac:dyDescent="0.15"/>
    <row r="7443" hidden="1" x14ac:dyDescent="0.15"/>
    <row r="7444" hidden="1" x14ac:dyDescent="0.15"/>
    <row r="7445" hidden="1" x14ac:dyDescent="0.15"/>
    <row r="7446" hidden="1" x14ac:dyDescent="0.15"/>
    <row r="7447" hidden="1" x14ac:dyDescent="0.15"/>
    <row r="7448" hidden="1" x14ac:dyDescent="0.15"/>
    <row r="7449" hidden="1" x14ac:dyDescent="0.15"/>
    <row r="7450" hidden="1" x14ac:dyDescent="0.15"/>
    <row r="7451" hidden="1" x14ac:dyDescent="0.15"/>
    <row r="7452" hidden="1" x14ac:dyDescent="0.15"/>
    <row r="7453" hidden="1" x14ac:dyDescent="0.15"/>
    <row r="7454" hidden="1" x14ac:dyDescent="0.15"/>
    <row r="7455" hidden="1" x14ac:dyDescent="0.15"/>
    <row r="7456" hidden="1" x14ac:dyDescent="0.15"/>
    <row r="7457" hidden="1" x14ac:dyDescent="0.15"/>
    <row r="7458" hidden="1" x14ac:dyDescent="0.15"/>
    <row r="7459" hidden="1" x14ac:dyDescent="0.15"/>
    <row r="7460" hidden="1" x14ac:dyDescent="0.15"/>
    <row r="7461" hidden="1" x14ac:dyDescent="0.15"/>
    <row r="7462" hidden="1" x14ac:dyDescent="0.15"/>
    <row r="7463" hidden="1" x14ac:dyDescent="0.15"/>
    <row r="7464" hidden="1" x14ac:dyDescent="0.15"/>
    <row r="7465" hidden="1" x14ac:dyDescent="0.15"/>
    <row r="7466" hidden="1" x14ac:dyDescent="0.15"/>
    <row r="7467" hidden="1" x14ac:dyDescent="0.15"/>
    <row r="7468" hidden="1" x14ac:dyDescent="0.15"/>
    <row r="7469" hidden="1" x14ac:dyDescent="0.15"/>
    <row r="7470" hidden="1" x14ac:dyDescent="0.15"/>
    <row r="7471" hidden="1" x14ac:dyDescent="0.15"/>
    <row r="7472" hidden="1" x14ac:dyDescent="0.15"/>
    <row r="7473" hidden="1" x14ac:dyDescent="0.15"/>
    <row r="7474" hidden="1" x14ac:dyDescent="0.15"/>
    <row r="7475" hidden="1" x14ac:dyDescent="0.15"/>
    <row r="7476" hidden="1" x14ac:dyDescent="0.15"/>
    <row r="7477" hidden="1" x14ac:dyDescent="0.15"/>
    <row r="7478" hidden="1" x14ac:dyDescent="0.15"/>
    <row r="7479" hidden="1" x14ac:dyDescent="0.15"/>
    <row r="7480" hidden="1" x14ac:dyDescent="0.15"/>
    <row r="7481" hidden="1" x14ac:dyDescent="0.15"/>
    <row r="7482" hidden="1" x14ac:dyDescent="0.15"/>
    <row r="7483" hidden="1" x14ac:dyDescent="0.15"/>
    <row r="7484" hidden="1" x14ac:dyDescent="0.15"/>
    <row r="7485" hidden="1" x14ac:dyDescent="0.15"/>
    <row r="7486" hidden="1" x14ac:dyDescent="0.15"/>
    <row r="7487" hidden="1" x14ac:dyDescent="0.15"/>
    <row r="7488" hidden="1" x14ac:dyDescent="0.15"/>
    <row r="7489" hidden="1" x14ac:dyDescent="0.15"/>
    <row r="7490" hidden="1" x14ac:dyDescent="0.15"/>
    <row r="7491" hidden="1" x14ac:dyDescent="0.15"/>
    <row r="7492" hidden="1" x14ac:dyDescent="0.15"/>
    <row r="7493" hidden="1" x14ac:dyDescent="0.15"/>
    <row r="7494" hidden="1" x14ac:dyDescent="0.15"/>
    <row r="7495" hidden="1" x14ac:dyDescent="0.15"/>
    <row r="7496" hidden="1" x14ac:dyDescent="0.15"/>
    <row r="7497" hidden="1" x14ac:dyDescent="0.15"/>
    <row r="7498" hidden="1" x14ac:dyDescent="0.15"/>
    <row r="7499" hidden="1" x14ac:dyDescent="0.15"/>
    <row r="7500" hidden="1" x14ac:dyDescent="0.15"/>
    <row r="7501" hidden="1" x14ac:dyDescent="0.15"/>
    <row r="7502" hidden="1" x14ac:dyDescent="0.15"/>
    <row r="7503" hidden="1" x14ac:dyDescent="0.15"/>
    <row r="7504" hidden="1" x14ac:dyDescent="0.15"/>
    <row r="7505" hidden="1" x14ac:dyDescent="0.15"/>
    <row r="7506" hidden="1" x14ac:dyDescent="0.15"/>
    <row r="7507" hidden="1" x14ac:dyDescent="0.15"/>
    <row r="7508" hidden="1" x14ac:dyDescent="0.15"/>
    <row r="7509" hidden="1" x14ac:dyDescent="0.15"/>
    <row r="7510" hidden="1" x14ac:dyDescent="0.15"/>
    <row r="7511" hidden="1" x14ac:dyDescent="0.15"/>
    <row r="7512" hidden="1" x14ac:dyDescent="0.15"/>
    <row r="7513" hidden="1" x14ac:dyDescent="0.15"/>
    <row r="7514" hidden="1" x14ac:dyDescent="0.15"/>
    <row r="7515" hidden="1" x14ac:dyDescent="0.15"/>
    <row r="7516" hidden="1" x14ac:dyDescent="0.15"/>
    <row r="7517" hidden="1" x14ac:dyDescent="0.15"/>
    <row r="7518" hidden="1" x14ac:dyDescent="0.15"/>
    <row r="7519" hidden="1" x14ac:dyDescent="0.15"/>
    <row r="7520" hidden="1" x14ac:dyDescent="0.15"/>
    <row r="7521" hidden="1" x14ac:dyDescent="0.15"/>
    <row r="7522" hidden="1" x14ac:dyDescent="0.15"/>
    <row r="7523" hidden="1" x14ac:dyDescent="0.15"/>
    <row r="7524" hidden="1" x14ac:dyDescent="0.15"/>
    <row r="7525" hidden="1" x14ac:dyDescent="0.15"/>
    <row r="7526" hidden="1" x14ac:dyDescent="0.15"/>
    <row r="7527" hidden="1" x14ac:dyDescent="0.15"/>
    <row r="7528" hidden="1" x14ac:dyDescent="0.15"/>
    <row r="7529" hidden="1" x14ac:dyDescent="0.15"/>
    <row r="7530" hidden="1" x14ac:dyDescent="0.15"/>
    <row r="7531" hidden="1" x14ac:dyDescent="0.15"/>
    <row r="7532" hidden="1" x14ac:dyDescent="0.15"/>
    <row r="7533" hidden="1" x14ac:dyDescent="0.15"/>
    <row r="7534" hidden="1" x14ac:dyDescent="0.15"/>
    <row r="7535" hidden="1" x14ac:dyDescent="0.15"/>
    <row r="7536" hidden="1" x14ac:dyDescent="0.15"/>
    <row r="7537" hidden="1" x14ac:dyDescent="0.15"/>
    <row r="7538" hidden="1" x14ac:dyDescent="0.15"/>
    <row r="7539" hidden="1" x14ac:dyDescent="0.15"/>
    <row r="7540" hidden="1" x14ac:dyDescent="0.15"/>
    <row r="7541" hidden="1" x14ac:dyDescent="0.15"/>
    <row r="7542" hidden="1" x14ac:dyDescent="0.15"/>
    <row r="7543" hidden="1" x14ac:dyDescent="0.15"/>
    <row r="7544" hidden="1" x14ac:dyDescent="0.15"/>
    <row r="7545" hidden="1" x14ac:dyDescent="0.15"/>
    <row r="7546" hidden="1" x14ac:dyDescent="0.15"/>
    <row r="7547" hidden="1" x14ac:dyDescent="0.15"/>
    <row r="7548" hidden="1" x14ac:dyDescent="0.15"/>
    <row r="7549" hidden="1" x14ac:dyDescent="0.15"/>
    <row r="7550" hidden="1" x14ac:dyDescent="0.15"/>
    <row r="7551" hidden="1" x14ac:dyDescent="0.15"/>
    <row r="7552" hidden="1" x14ac:dyDescent="0.15"/>
    <row r="7553" hidden="1" x14ac:dyDescent="0.15"/>
    <row r="7554" hidden="1" x14ac:dyDescent="0.15"/>
    <row r="7555" hidden="1" x14ac:dyDescent="0.15"/>
    <row r="7556" hidden="1" x14ac:dyDescent="0.15"/>
    <row r="7557" hidden="1" x14ac:dyDescent="0.15"/>
    <row r="7558" hidden="1" x14ac:dyDescent="0.15"/>
    <row r="7559" hidden="1" x14ac:dyDescent="0.15"/>
    <row r="7560" hidden="1" x14ac:dyDescent="0.15"/>
    <row r="7561" hidden="1" x14ac:dyDescent="0.15"/>
    <row r="7562" hidden="1" x14ac:dyDescent="0.15"/>
    <row r="7563" hidden="1" x14ac:dyDescent="0.15"/>
    <row r="7564" hidden="1" x14ac:dyDescent="0.15"/>
    <row r="7565" hidden="1" x14ac:dyDescent="0.15"/>
    <row r="7566" hidden="1" x14ac:dyDescent="0.15"/>
    <row r="7567" hidden="1" x14ac:dyDescent="0.15"/>
    <row r="7568" hidden="1" x14ac:dyDescent="0.15"/>
    <row r="7569" hidden="1" x14ac:dyDescent="0.15"/>
    <row r="7570" hidden="1" x14ac:dyDescent="0.15"/>
    <row r="7571" hidden="1" x14ac:dyDescent="0.15"/>
    <row r="7572" hidden="1" x14ac:dyDescent="0.15"/>
    <row r="7573" hidden="1" x14ac:dyDescent="0.15"/>
    <row r="7574" hidden="1" x14ac:dyDescent="0.15"/>
    <row r="7575" hidden="1" x14ac:dyDescent="0.15"/>
    <row r="7576" hidden="1" x14ac:dyDescent="0.15"/>
    <row r="7577" hidden="1" x14ac:dyDescent="0.15"/>
    <row r="7578" hidden="1" x14ac:dyDescent="0.15"/>
    <row r="7579" hidden="1" x14ac:dyDescent="0.15"/>
    <row r="7580" hidden="1" x14ac:dyDescent="0.15"/>
    <row r="7581" hidden="1" x14ac:dyDescent="0.15"/>
    <row r="7582" hidden="1" x14ac:dyDescent="0.15"/>
    <row r="7583" hidden="1" x14ac:dyDescent="0.15"/>
    <row r="7584" hidden="1" x14ac:dyDescent="0.15"/>
    <row r="7585" hidden="1" x14ac:dyDescent="0.15"/>
    <row r="7586" hidden="1" x14ac:dyDescent="0.15"/>
    <row r="7587" hidden="1" x14ac:dyDescent="0.15"/>
    <row r="7588" hidden="1" x14ac:dyDescent="0.15"/>
    <row r="7589" hidden="1" x14ac:dyDescent="0.15"/>
    <row r="7590" hidden="1" x14ac:dyDescent="0.15"/>
    <row r="7591" hidden="1" x14ac:dyDescent="0.15"/>
    <row r="7592" hidden="1" x14ac:dyDescent="0.15"/>
    <row r="7593" hidden="1" x14ac:dyDescent="0.15"/>
    <row r="7594" hidden="1" x14ac:dyDescent="0.15"/>
    <row r="7595" hidden="1" x14ac:dyDescent="0.15"/>
    <row r="7596" hidden="1" x14ac:dyDescent="0.15"/>
    <row r="7597" hidden="1" x14ac:dyDescent="0.15"/>
    <row r="7598" hidden="1" x14ac:dyDescent="0.15"/>
    <row r="7599" hidden="1" x14ac:dyDescent="0.15"/>
    <row r="7600" hidden="1" x14ac:dyDescent="0.15"/>
    <row r="7601" hidden="1" x14ac:dyDescent="0.15"/>
    <row r="7602" hidden="1" x14ac:dyDescent="0.15"/>
    <row r="7603" hidden="1" x14ac:dyDescent="0.15"/>
    <row r="7604" hidden="1" x14ac:dyDescent="0.15"/>
    <row r="7605" hidden="1" x14ac:dyDescent="0.15"/>
    <row r="7606" hidden="1" x14ac:dyDescent="0.15"/>
    <row r="7607" hidden="1" x14ac:dyDescent="0.15"/>
    <row r="7608" hidden="1" x14ac:dyDescent="0.15"/>
    <row r="7609" hidden="1" x14ac:dyDescent="0.15"/>
    <row r="7610" hidden="1" x14ac:dyDescent="0.15"/>
    <row r="7611" hidden="1" x14ac:dyDescent="0.15"/>
    <row r="7612" hidden="1" x14ac:dyDescent="0.15"/>
    <row r="7613" hidden="1" x14ac:dyDescent="0.15"/>
    <row r="7614" hidden="1" x14ac:dyDescent="0.15"/>
    <row r="7615" hidden="1" x14ac:dyDescent="0.15"/>
    <row r="7616" hidden="1" x14ac:dyDescent="0.15"/>
    <row r="7617" hidden="1" x14ac:dyDescent="0.15"/>
    <row r="7618" hidden="1" x14ac:dyDescent="0.15"/>
    <row r="7619" hidden="1" x14ac:dyDescent="0.15"/>
    <row r="7620" hidden="1" x14ac:dyDescent="0.15"/>
    <row r="7621" hidden="1" x14ac:dyDescent="0.15"/>
    <row r="7622" hidden="1" x14ac:dyDescent="0.15"/>
    <row r="7623" hidden="1" x14ac:dyDescent="0.15"/>
    <row r="7624" hidden="1" x14ac:dyDescent="0.15"/>
    <row r="7625" hidden="1" x14ac:dyDescent="0.15"/>
    <row r="7626" hidden="1" x14ac:dyDescent="0.15"/>
    <row r="7627" hidden="1" x14ac:dyDescent="0.15"/>
    <row r="7628" hidden="1" x14ac:dyDescent="0.15"/>
    <row r="7629" hidden="1" x14ac:dyDescent="0.15"/>
    <row r="7630" hidden="1" x14ac:dyDescent="0.15"/>
    <row r="7631" hidden="1" x14ac:dyDescent="0.15"/>
    <row r="7632" hidden="1" x14ac:dyDescent="0.15"/>
    <row r="7633" hidden="1" x14ac:dyDescent="0.15"/>
    <row r="7634" hidden="1" x14ac:dyDescent="0.15"/>
    <row r="7635" hidden="1" x14ac:dyDescent="0.15"/>
    <row r="7636" hidden="1" x14ac:dyDescent="0.15"/>
    <row r="7637" hidden="1" x14ac:dyDescent="0.15"/>
    <row r="7638" hidden="1" x14ac:dyDescent="0.15"/>
    <row r="7639" hidden="1" x14ac:dyDescent="0.15"/>
    <row r="7640" hidden="1" x14ac:dyDescent="0.15"/>
    <row r="7641" hidden="1" x14ac:dyDescent="0.15"/>
    <row r="7642" hidden="1" x14ac:dyDescent="0.15"/>
    <row r="7643" hidden="1" x14ac:dyDescent="0.15"/>
    <row r="7644" hidden="1" x14ac:dyDescent="0.15"/>
    <row r="7645" hidden="1" x14ac:dyDescent="0.15"/>
    <row r="7646" hidden="1" x14ac:dyDescent="0.15"/>
    <row r="7647" hidden="1" x14ac:dyDescent="0.15"/>
    <row r="7648" hidden="1" x14ac:dyDescent="0.15"/>
    <row r="7649" hidden="1" x14ac:dyDescent="0.15"/>
    <row r="7650" hidden="1" x14ac:dyDescent="0.15"/>
    <row r="7651" hidden="1" x14ac:dyDescent="0.15"/>
    <row r="7652" hidden="1" x14ac:dyDescent="0.15"/>
    <row r="7653" hidden="1" x14ac:dyDescent="0.15"/>
    <row r="7654" hidden="1" x14ac:dyDescent="0.15"/>
    <row r="7655" hidden="1" x14ac:dyDescent="0.15"/>
    <row r="7656" hidden="1" x14ac:dyDescent="0.15"/>
    <row r="7657" hidden="1" x14ac:dyDescent="0.15"/>
    <row r="7658" hidden="1" x14ac:dyDescent="0.15"/>
    <row r="7659" hidden="1" x14ac:dyDescent="0.15"/>
    <row r="7660" hidden="1" x14ac:dyDescent="0.15"/>
    <row r="7661" hidden="1" x14ac:dyDescent="0.15"/>
    <row r="7662" hidden="1" x14ac:dyDescent="0.15"/>
    <row r="7663" hidden="1" x14ac:dyDescent="0.15"/>
    <row r="7664" hidden="1" x14ac:dyDescent="0.15"/>
    <row r="7665" hidden="1" x14ac:dyDescent="0.15"/>
    <row r="7666" hidden="1" x14ac:dyDescent="0.15"/>
    <row r="7667" hidden="1" x14ac:dyDescent="0.15"/>
    <row r="7668" hidden="1" x14ac:dyDescent="0.15"/>
    <row r="7669" hidden="1" x14ac:dyDescent="0.15"/>
    <row r="7670" hidden="1" x14ac:dyDescent="0.15"/>
    <row r="7671" hidden="1" x14ac:dyDescent="0.15"/>
    <row r="7672" hidden="1" x14ac:dyDescent="0.15"/>
    <row r="7673" hidden="1" x14ac:dyDescent="0.15"/>
    <row r="7674" hidden="1" x14ac:dyDescent="0.15"/>
    <row r="7675" hidden="1" x14ac:dyDescent="0.15"/>
    <row r="7676" hidden="1" x14ac:dyDescent="0.15"/>
    <row r="7677" hidden="1" x14ac:dyDescent="0.15"/>
    <row r="7678" hidden="1" x14ac:dyDescent="0.15"/>
    <row r="7679" hidden="1" x14ac:dyDescent="0.15"/>
    <row r="7680" hidden="1" x14ac:dyDescent="0.15"/>
    <row r="7681" hidden="1" x14ac:dyDescent="0.15"/>
    <row r="7682" hidden="1" x14ac:dyDescent="0.15"/>
    <row r="7683" hidden="1" x14ac:dyDescent="0.15"/>
    <row r="7684" hidden="1" x14ac:dyDescent="0.15"/>
    <row r="7685" hidden="1" x14ac:dyDescent="0.15"/>
    <row r="7686" hidden="1" x14ac:dyDescent="0.15"/>
    <row r="7687" hidden="1" x14ac:dyDescent="0.15"/>
    <row r="7688" hidden="1" x14ac:dyDescent="0.15"/>
    <row r="7689" hidden="1" x14ac:dyDescent="0.15"/>
    <row r="7690" hidden="1" x14ac:dyDescent="0.15"/>
    <row r="7691" hidden="1" x14ac:dyDescent="0.15"/>
    <row r="7692" hidden="1" x14ac:dyDescent="0.15"/>
    <row r="7693" hidden="1" x14ac:dyDescent="0.15"/>
    <row r="7694" hidden="1" x14ac:dyDescent="0.15"/>
    <row r="7695" hidden="1" x14ac:dyDescent="0.15"/>
    <row r="7696" hidden="1" x14ac:dyDescent="0.15"/>
    <row r="7697" hidden="1" x14ac:dyDescent="0.15"/>
    <row r="7698" hidden="1" x14ac:dyDescent="0.15"/>
    <row r="7699" hidden="1" x14ac:dyDescent="0.15"/>
    <row r="7700" hidden="1" x14ac:dyDescent="0.15"/>
    <row r="7701" hidden="1" x14ac:dyDescent="0.15"/>
    <row r="7702" hidden="1" x14ac:dyDescent="0.15"/>
    <row r="7703" hidden="1" x14ac:dyDescent="0.15"/>
    <row r="7704" hidden="1" x14ac:dyDescent="0.15"/>
    <row r="7705" hidden="1" x14ac:dyDescent="0.15"/>
    <row r="7706" hidden="1" x14ac:dyDescent="0.15"/>
    <row r="7707" hidden="1" x14ac:dyDescent="0.15"/>
    <row r="7708" hidden="1" x14ac:dyDescent="0.15"/>
    <row r="7709" hidden="1" x14ac:dyDescent="0.15"/>
    <row r="7710" hidden="1" x14ac:dyDescent="0.15"/>
    <row r="7711" hidden="1" x14ac:dyDescent="0.15"/>
    <row r="7712" hidden="1" x14ac:dyDescent="0.15"/>
    <row r="7713" hidden="1" x14ac:dyDescent="0.15"/>
    <row r="7714" hidden="1" x14ac:dyDescent="0.15"/>
    <row r="7715" hidden="1" x14ac:dyDescent="0.15"/>
    <row r="7716" hidden="1" x14ac:dyDescent="0.15"/>
    <row r="7717" hidden="1" x14ac:dyDescent="0.15"/>
    <row r="7718" hidden="1" x14ac:dyDescent="0.15"/>
    <row r="7719" hidden="1" x14ac:dyDescent="0.15"/>
    <row r="7720" hidden="1" x14ac:dyDescent="0.15"/>
    <row r="7721" hidden="1" x14ac:dyDescent="0.15"/>
    <row r="7722" hidden="1" x14ac:dyDescent="0.15"/>
    <row r="7723" hidden="1" x14ac:dyDescent="0.15"/>
    <row r="7724" hidden="1" x14ac:dyDescent="0.15"/>
    <row r="7725" hidden="1" x14ac:dyDescent="0.15"/>
    <row r="7726" hidden="1" x14ac:dyDescent="0.15"/>
    <row r="7727" hidden="1" x14ac:dyDescent="0.15"/>
    <row r="7728" hidden="1" x14ac:dyDescent="0.15"/>
    <row r="7729" hidden="1" x14ac:dyDescent="0.15"/>
    <row r="7730" hidden="1" x14ac:dyDescent="0.15"/>
    <row r="7731" hidden="1" x14ac:dyDescent="0.15"/>
    <row r="7732" hidden="1" x14ac:dyDescent="0.15"/>
    <row r="7733" hidden="1" x14ac:dyDescent="0.15"/>
    <row r="7734" hidden="1" x14ac:dyDescent="0.15"/>
    <row r="7735" hidden="1" x14ac:dyDescent="0.15"/>
    <row r="7736" hidden="1" x14ac:dyDescent="0.15"/>
    <row r="7737" hidden="1" x14ac:dyDescent="0.15"/>
    <row r="7738" hidden="1" x14ac:dyDescent="0.15"/>
    <row r="7739" hidden="1" x14ac:dyDescent="0.15"/>
    <row r="7740" hidden="1" x14ac:dyDescent="0.15"/>
    <row r="7741" hidden="1" x14ac:dyDescent="0.15"/>
    <row r="7742" hidden="1" x14ac:dyDescent="0.15"/>
    <row r="7743" hidden="1" x14ac:dyDescent="0.15"/>
    <row r="7744" hidden="1" x14ac:dyDescent="0.15"/>
    <row r="7745" hidden="1" x14ac:dyDescent="0.15"/>
    <row r="7746" hidden="1" x14ac:dyDescent="0.15"/>
    <row r="7747" hidden="1" x14ac:dyDescent="0.15"/>
    <row r="7748" hidden="1" x14ac:dyDescent="0.15"/>
    <row r="7749" hidden="1" x14ac:dyDescent="0.15"/>
    <row r="7750" hidden="1" x14ac:dyDescent="0.15"/>
    <row r="7751" hidden="1" x14ac:dyDescent="0.15"/>
    <row r="7752" hidden="1" x14ac:dyDescent="0.15"/>
    <row r="7753" hidden="1" x14ac:dyDescent="0.15"/>
    <row r="7754" hidden="1" x14ac:dyDescent="0.15"/>
    <row r="7755" hidden="1" x14ac:dyDescent="0.15"/>
    <row r="7756" hidden="1" x14ac:dyDescent="0.15"/>
    <row r="7757" hidden="1" x14ac:dyDescent="0.15"/>
    <row r="7758" hidden="1" x14ac:dyDescent="0.15"/>
    <row r="7759" hidden="1" x14ac:dyDescent="0.15"/>
    <row r="7760" hidden="1" x14ac:dyDescent="0.15"/>
    <row r="7761" hidden="1" x14ac:dyDescent="0.15"/>
    <row r="7762" hidden="1" x14ac:dyDescent="0.15"/>
    <row r="7763" hidden="1" x14ac:dyDescent="0.15"/>
    <row r="7764" hidden="1" x14ac:dyDescent="0.15"/>
    <row r="7765" hidden="1" x14ac:dyDescent="0.15"/>
    <row r="7766" hidden="1" x14ac:dyDescent="0.15"/>
    <row r="7767" hidden="1" x14ac:dyDescent="0.15"/>
    <row r="7768" hidden="1" x14ac:dyDescent="0.15"/>
    <row r="7769" hidden="1" x14ac:dyDescent="0.15"/>
    <row r="7770" hidden="1" x14ac:dyDescent="0.15"/>
    <row r="7771" hidden="1" x14ac:dyDescent="0.15"/>
    <row r="7772" hidden="1" x14ac:dyDescent="0.15"/>
    <row r="7773" hidden="1" x14ac:dyDescent="0.15"/>
    <row r="7774" hidden="1" x14ac:dyDescent="0.15"/>
    <row r="7775" hidden="1" x14ac:dyDescent="0.15"/>
    <row r="7776" hidden="1" x14ac:dyDescent="0.15"/>
    <row r="7777" hidden="1" x14ac:dyDescent="0.15"/>
    <row r="7778" hidden="1" x14ac:dyDescent="0.15"/>
    <row r="7779" hidden="1" x14ac:dyDescent="0.15"/>
    <row r="7780" hidden="1" x14ac:dyDescent="0.15"/>
    <row r="7781" hidden="1" x14ac:dyDescent="0.15"/>
    <row r="7782" hidden="1" x14ac:dyDescent="0.15"/>
    <row r="7783" hidden="1" x14ac:dyDescent="0.15"/>
    <row r="7784" hidden="1" x14ac:dyDescent="0.15"/>
    <row r="7785" hidden="1" x14ac:dyDescent="0.15"/>
    <row r="7786" hidden="1" x14ac:dyDescent="0.15"/>
    <row r="7787" hidden="1" x14ac:dyDescent="0.15"/>
    <row r="7788" hidden="1" x14ac:dyDescent="0.15"/>
    <row r="7789" hidden="1" x14ac:dyDescent="0.15"/>
    <row r="7790" hidden="1" x14ac:dyDescent="0.15"/>
    <row r="7791" hidden="1" x14ac:dyDescent="0.15"/>
    <row r="7792" hidden="1" x14ac:dyDescent="0.15"/>
    <row r="7793" hidden="1" x14ac:dyDescent="0.15"/>
    <row r="7794" hidden="1" x14ac:dyDescent="0.15"/>
    <row r="7795" hidden="1" x14ac:dyDescent="0.15"/>
    <row r="7796" hidden="1" x14ac:dyDescent="0.15"/>
    <row r="7797" hidden="1" x14ac:dyDescent="0.15"/>
    <row r="7798" hidden="1" x14ac:dyDescent="0.15"/>
    <row r="7799" hidden="1" x14ac:dyDescent="0.15"/>
    <row r="7800" hidden="1" x14ac:dyDescent="0.15"/>
    <row r="7801" hidden="1" x14ac:dyDescent="0.15"/>
    <row r="7802" hidden="1" x14ac:dyDescent="0.15"/>
    <row r="7803" hidden="1" x14ac:dyDescent="0.15"/>
    <row r="7804" hidden="1" x14ac:dyDescent="0.15"/>
    <row r="7805" hidden="1" x14ac:dyDescent="0.15"/>
    <row r="7806" hidden="1" x14ac:dyDescent="0.15"/>
    <row r="7807" hidden="1" x14ac:dyDescent="0.15"/>
    <row r="7808" hidden="1" x14ac:dyDescent="0.15"/>
    <row r="7809" hidden="1" x14ac:dyDescent="0.15"/>
    <row r="7810" hidden="1" x14ac:dyDescent="0.15"/>
    <row r="7811" hidden="1" x14ac:dyDescent="0.15"/>
    <row r="7812" hidden="1" x14ac:dyDescent="0.15"/>
    <row r="7813" hidden="1" x14ac:dyDescent="0.15"/>
    <row r="7814" hidden="1" x14ac:dyDescent="0.15"/>
    <row r="7815" hidden="1" x14ac:dyDescent="0.15"/>
    <row r="7816" hidden="1" x14ac:dyDescent="0.15"/>
    <row r="7817" hidden="1" x14ac:dyDescent="0.15"/>
    <row r="7818" hidden="1" x14ac:dyDescent="0.15"/>
    <row r="7819" hidden="1" x14ac:dyDescent="0.15"/>
    <row r="7820" hidden="1" x14ac:dyDescent="0.15"/>
    <row r="7821" hidden="1" x14ac:dyDescent="0.15"/>
    <row r="7822" hidden="1" x14ac:dyDescent="0.15"/>
    <row r="7823" hidden="1" x14ac:dyDescent="0.15"/>
    <row r="7824" hidden="1" x14ac:dyDescent="0.15"/>
    <row r="7825" hidden="1" x14ac:dyDescent="0.15"/>
    <row r="7826" hidden="1" x14ac:dyDescent="0.15"/>
    <row r="7827" hidden="1" x14ac:dyDescent="0.15"/>
    <row r="7828" hidden="1" x14ac:dyDescent="0.15"/>
    <row r="7829" hidden="1" x14ac:dyDescent="0.15"/>
    <row r="7830" hidden="1" x14ac:dyDescent="0.15"/>
    <row r="7831" hidden="1" x14ac:dyDescent="0.15"/>
    <row r="7832" hidden="1" x14ac:dyDescent="0.15"/>
    <row r="7833" hidden="1" x14ac:dyDescent="0.15"/>
    <row r="7834" hidden="1" x14ac:dyDescent="0.15"/>
    <row r="7835" hidden="1" x14ac:dyDescent="0.15"/>
    <row r="7836" hidden="1" x14ac:dyDescent="0.15"/>
    <row r="7837" hidden="1" x14ac:dyDescent="0.15"/>
    <row r="7838" hidden="1" x14ac:dyDescent="0.15"/>
    <row r="7839" hidden="1" x14ac:dyDescent="0.15"/>
    <row r="7840" hidden="1" x14ac:dyDescent="0.15"/>
    <row r="7841" hidden="1" x14ac:dyDescent="0.15"/>
    <row r="7842" hidden="1" x14ac:dyDescent="0.15"/>
    <row r="7843" hidden="1" x14ac:dyDescent="0.15"/>
    <row r="7844" hidden="1" x14ac:dyDescent="0.15"/>
    <row r="7845" hidden="1" x14ac:dyDescent="0.15"/>
    <row r="7846" hidden="1" x14ac:dyDescent="0.15"/>
    <row r="7847" hidden="1" x14ac:dyDescent="0.15"/>
    <row r="7848" hidden="1" x14ac:dyDescent="0.15"/>
    <row r="7849" hidden="1" x14ac:dyDescent="0.15"/>
    <row r="7850" hidden="1" x14ac:dyDescent="0.15"/>
    <row r="7851" hidden="1" x14ac:dyDescent="0.15"/>
    <row r="7852" hidden="1" x14ac:dyDescent="0.15"/>
    <row r="7853" hidden="1" x14ac:dyDescent="0.15"/>
    <row r="7854" hidden="1" x14ac:dyDescent="0.15"/>
    <row r="7855" hidden="1" x14ac:dyDescent="0.15"/>
    <row r="7856" hidden="1" x14ac:dyDescent="0.15"/>
    <row r="7857" hidden="1" x14ac:dyDescent="0.15"/>
    <row r="7858" hidden="1" x14ac:dyDescent="0.15"/>
    <row r="7859" hidden="1" x14ac:dyDescent="0.15"/>
    <row r="7860" hidden="1" x14ac:dyDescent="0.15"/>
    <row r="7861" hidden="1" x14ac:dyDescent="0.15"/>
    <row r="7862" hidden="1" x14ac:dyDescent="0.15"/>
    <row r="7863" hidden="1" x14ac:dyDescent="0.15"/>
    <row r="7864" hidden="1" x14ac:dyDescent="0.15"/>
    <row r="7865" hidden="1" x14ac:dyDescent="0.15"/>
    <row r="7866" hidden="1" x14ac:dyDescent="0.15"/>
    <row r="7867" hidden="1" x14ac:dyDescent="0.15"/>
    <row r="7868" hidden="1" x14ac:dyDescent="0.15"/>
    <row r="7869" hidden="1" x14ac:dyDescent="0.15"/>
    <row r="7870" hidden="1" x14ac:dyDescent="0.15"/>
    <row r="7871" hidden="1" x14ac:dyDescent="0.15"/>
    <row r="7872" hidden="1" x14ac:dyDescent="0.15"/>
    <row r="7873" hidden="1" x14ac:dyDescent="0.15"/>
    <row r="7874" hidden="1" x14ac:dyDescent="0.15"/>
    <row r="7875" hidden="1" x14ac:dyDescent="0.15"/>
    <row r="7876" hidden="1" x14ac:dyDescent="0.15"/>
    <row r="7877" hidden="1" x14ac:dyDescent="0.15"/>
    <row r="7878" hidden="1" x14ac:dyDescent="0.15"/>
    <row r="7879" hidden="1" x14ac:dyDescent="0.15"/>
    <row r="7880" hidden="1" x14ac:dyDescent="0.15"/>
    <row r="7881" hidden="1" x14ac:dyDescent="0.15"/>
    <row r="7882" hidden="1" x14ac:dyDescent="0.15"/>
    <row r="7883" hidden="1" x14ac:dyDescent="0.15"/>
    <row r="7884" hidden="1" x14ac:dyDescent="0.15"/>
    <row r="7885" hidden="1" x14ac:dyDescent="0.15"/>
    <row r="7886" hidden="1" x14ac:dyDescent="0.15"/>
    <row r="7887" hidden="1" x14ac:dyDescent="0.15"/>
    <row r="7888" hidden="1" x14ac:dyDescent="0.15"/>
    <row r="7889" hidden="1" x14ac:dyDescent="0.15"/>
    <row r="7890" hidden="1" x14ac:dyDescent="0.15"/>
    <row r="7891" hidden="1" x14ac:dyDescent="0.15"/>
    <row r="7892" hidden="1" x14ac:dyDescent="0.15"/>
    <row r="7893" hidden="1" x14ac:dyDescent="0.15"/>
    <row r="7894" hidden="1" x14ac:dyDescent="0.15"/>
    <row r="7895" hidden="1" x14ac:dyDescent="0.15"/>
    <row r="7896" hidden="1" x14ac:dyDescent="0.15"/>
    <row r="7897" hidden="1" x14ac:dyDescent="0.15"/>
    <row r="7898" hidden="1" x14ac:dyDescent="0.15"/>
    <row r="7899" hidden="1" x14ac:dyDescent="0.15"/>
    <row r="7900" hidden="1" x14ac:dyDescent="0.15"/>
    <row r="7901" hidden="1" x14ac:dyDescent="0.15"/>
    <row r="7902" hidden="1" x14ac:dyDescent="0.15"/>
    <row r="7903" hidden="1" x14ac:dyDescent="0.15"/>
    <row r="7904" hidden="1" x14ac:dyDescent="0.15"/>
    <row r="7905" hidden="1" x14ac:dyDescent="0.15"/>
    <row r="7906" hidden="1" x14ac:dyDescent="0.15"/>
    <row r="7907" hidden="1" x14ac:dyDescent="0.15"/>
    <row r="7908" hidden="1" x14ac:dyDescent="0.15"/>
    <row r="7909" hidden="1" x14ac:dyDescent="0.15"/>
    <row r="7910" hidden="1" x14ac:dyDescent="0.15"/>
    <row r="7911" hidden="1" x14ac:dyDescent="0.15"/>
    <row r="7912" hidden="1" x14ac:dyDescent="0.15"/>
    <row r="7913" hidden="1" x14ac:dyDescent="0.15"/>
    <row r="7914" hidden="1" x14ac:dyDescent="0.15"/>
    <row r="7915" hidden="1" x14ac:dyDescent="0.15"/>
    <row r="7916" hidden="1" x14ac:dyDescent="0.15"/>
    <row r="7917" hidden="1" x14ac:dyDescent="0.15"/>
    <row r="7918" hidden="1" x14ac:dyDescent="0.15"/>
    <row r="7919" hidden="1" x14ac:dyDescent="0.15"/>
    <row r="7920" hidden="1" x14ac:dyDescent="0.15"/>
    <row r="7921" hidden="1" x14ac:dyDescent="0.15"/>
    <row r="7922" hidden="1" x14ac:dyDescent="0.15"/>
    <row r="7923" hidden="1" x14ac:dyDescent="0.15"/>
    <row r="7924" hidden="1" x14ac:dyDescent="0.15"/>
    <row r="7925" hidden="1" x14ac:dyDescent="0.15"/>
    <row r="7926" hidden="1" x14ac:dyDescent="0.15"/>
    <row r="7927" hidden="1" x14ac:dyDescent="0.15"/>
    <row r="7928" hidden="1" x14ac:dyDescent="0.15"/>
    <row r="7929" hidden="1" x14ac:dyDescent="0.15"/>
    <row r="7930" hidden="1" x14ac:dyDescent="0.15"/>
    <row r="7931" hidden="1" x14ac:dyDescent="0.15"/>
    <row r="7932" hidden="1" x14ac:dyDescent="0.15"/>
    <row r="7933" hidden="1" x14ac:dyDescent="0.15"/>
    <row r="7934" hidden="1" x14ac:dyDescent="0.15"/>
    <row r="7935" hidden="1" x14ac:dyDescent="0.15"/>
    <row r="7936" hidden="1" x14ac:dyDescent="0.15"/>
    <row r="7937" hidden="1" x14ac:dyDescent="0.15"/>
    <row r="7938" hidden="1" x14ac:dyDescent="0.15"/>
    <row r="7939" hidden="1" x14ac:dyDescent="0.15"/>
    <row r="7940" hidden="1" x14ac:dyDescent="0.15"/>
    <row r="7941" hidden="1" x14ac:dyDescent="0.15"/>
    <row r="7942" hidden="1" x14ac:dyDescent="0.15"/>
    <row r="7943" hidden="1" x14ac:dyDescent="0.15"/>
    <row r="7944" hidden="1" x14ac:dyDescent="0.15"/>
    <row r="7945" hidden="1" x14ac:dyDescent="0.15"/>
    <row r="7946" hidden="1" x14ac:dyDescent="0.15"/>
    <row r="7947" hidden="1" x14ac:dyDescent="0.15"/>
    <row r="7948" hidden="1" x14ac:dyDescent="0.15"/>
    <row r="7949" hidden="1" x14ac:dyDescent="0.15"/>
    <row r="7950" hidden="1" x14ac:dyDescent="0.15"/>
    <row r="7951" hidden="1" x14ac:dyDescent="0.15"/>
    <row r="7952" hidden="1" x14ac:dyDescent="0.15"/>
    <row r="7953" hidden="1" x14ac:dyDescent="0.15"/>
    <row r="7954" hidden="1" x14ac:dyDescent="0.15"/>
    <row r="7955" hidden="1" x14ac:dyDescent="0.15"/>
    <row r="7956" hidden="1" x14ac:dyDescent="0.15"/>
    <row r="7957" hidden="1" x14ac:dyDescent="0.15"/>
    <row r="7958" hidden="1" x14ac:dyDescent="0.15"/>
    <row r="7959" hidden="1" x14ac:dyDescent="0.15"/>
    <row r="7960" hidden="1" x14ac:dyDescent="0.15"/>
    <row r="7961" hidden="1" x14ac:dyDescent="0.15"/>
    <row r="7962" hidden="1" x14ac:dyDescent="0.15"/>
    <row r="7963" hidden="1" x14ac:dyDescent="0.15"/>
    <row r="7964" hidden="1" x14ac:dyDescent="0.15"/>
    <row r="7965" hidden="1" x14ac:dyDescent="0.15"/>
    <row r="7966" hidden="1" x14ac:dyDescent="0.15"/>
    <row r="7967" hidden="1" x14ac:dyDescent="0.15"/>
    <row r="7968" hidden="1" x14ac:dyDescent="0.15"/>
    <row r="7969" hidden="1" x14ac:dyDescent="0.15"/>
    <row r="7970" hidden="1" x14ac:dyDescent="0.15"/>
    <row r="7971" hidden="1" x14ac:dyDescent="0.15"/>
    <row r="7972" hidden="1" x14ac:dyDescent="0.15"/>
    <row r="7973" hidden="1" x14ac:dyDescent="0.15"/>
    <row r="7974" hidden="1" x14ac:dyDescent="0.15"/>
    <row r="7975" hidden="1" x14ac:dyDescent="0.15"/>
    <row r="7976" hidden="1" x14ac:dyDescent="0.15"/>
    <row r="7977" hidden="1" x14ac:dyDescent="0.15"/>
    <row r="7978" hidden="1" x14ac:dyDescent="0.15"/>
    <row r="7979" hidden="1" x14ac:dyDescent="0.15"/>
    <row r="7980" hidden="1" x14ac:dyDescent="0.15"/>
    <row r="7981" hidden="1" x14ac:dyDescent="0.15"/>
    <row r="7982" hidden="1" x14ac:dyDescent="0.15"/>
    <row r="7983" hidden="1" x14ac:dyDescent="0.15"/>
    <row r="7984" hidden="1" x14ac:dyDescent="0.15"/>
    <row r="7985" hidden="1" x14ac:dyDescent="0.15"/>
    <row r="7986" hidden="1" x14ac:dyDescent="0.15"/>
    <row r="7987" hidden="1" x14ac:dyDescent="0.15"/>
    <row r="7988" hidden="1" x14ac:dyDescent="0.15"/>
    <row r="7989" hidden="1" x14ac:dyDescent="0.15"/>
    <row r="7990" hidden="1" x14ac:dyDescent="0.15"/>
    <row r="7991" hidden="1" x14ac:dyDescent="0.15"/>
    <row r="7992" hidden="1" x14ac:dyDescent="0.15"/>
    <row r="7993" hidden="1" x14ac:dyDescent="0.15"/>
    <row r="7994" hidden="1" x14ac:dyDescent="0.15"/>
    <row r="7995" hidden="1" x14ac:dyDescent="0.15"/>
    <row r="7996" hidden="1" x14ac:dyDescent="0.15"/>
    <row r="7997" hidden="1" x14ac:dyDescent="0.15"/>
    <row r="7998" hidden="1" x14ac:dyDescent="0.15"/>
    <row r="7999" hidden="1" x14ac:dyDescent="0.15"/>
    <row r="8000" hidden="1" x14ac:dyDescent="0.15"/>
    <row r="8001" hidden="1" x14ac:dyDescent="0.15"/>
    <row r="8002" hidden="1" x14ac:dyDescent="0.15"/>
    <row r="8003" hidden="1" x14ac:dyDescent="0.15"/>
    <row r="8004" hidden="1" x14ac:dyDescent="0.15"/>
    <row r="8005" hidden="1" x14ac:dyDescent="0.15"/>
    <row r="8006" hidden="1" x14ac:dyDescent="0.15"/>
    <row r="8007" hidden="1" x14ac:dyDescent="0.15"/>
    <row r="8008" hidden="1" x14ac:dyDescent="0.15"/>
    <row r="8009" hidden="1" x14ac:dyDescent="0.15"/>
    <row r="8010" hidden="1" x14ac:dyDescent="0.15"/>
    <row r="8011" hidden="1" x14ac:dyDescent="0.15"/>
    <row r="8012" hidden="1" x14ac:dyDescent="0.15"/>
    <row r="8013" hidden="1" x14ac:dyDescent="0.15"/>
    <row r="8014" hidden="1" x14ac:dyDescent="0.15"/>
    <row r="8015" hidden="1" x14ac:dyDescent="0.15"/>
    <row r="8016" hidden="1" x14ac:dyDescent="0.15"/>
    <row r="8017" hidden="1" x14ac:dyDescent="0.15"/>
    <row r="8018" hidden="1" x14ac:dyDescent="0.15"/>
    <row r="8019" hidden="1" x14ac:dyDescent="0.15"/>
    <row r="8020" hidden="1" x14ac:dyDescent="0.15"/>
    <row r="8021" hidden="1" x14ac:dyDescent="0.15"/>
    <row r="8022" hidden="1" x14ac:dyDescent="0.15"/>
    <row r="8023" hidden="1" x14ac:dyDescent="0.15"/>
    <row r="8024" hidden="1" x14ac:dyDescent="0.15"/>
    <row r="8025" hidden="1" x14ac:dyDescent="0.15"/>
    <row r="8026" hidden="1" x14ac:dyDescent="0.15"/>
    <row r="8027" hidden="1" x14ac:dyDescent="0.15"/>
    <row r="8028" hidden="1" x14ac:dyDescent="0.15"/>
    <row r="8029" hidden="1" x14ac:dyDescent="0.15"/>
    <row r="8030" hidden="1" x14ac:dyDescent="0.15"/>
    <row r="8031" hidden="1" x14ac:dyDescent="0.15"/>
    <row r="8032" hidden="1" x14ac:dyDescent="0.15"/>
    <row r="8033" hidden="1" x14ac:dyDescent="0.15"/>
    <row r="8034" hidden="1" x14ac:dyDescent="0.15"/>
    <row r="8035" hidden="1" x14ac:dyDescent="0.15"/>
    <row r="8036" hidden="1" x14ac:dyDescent="0.15"/>
    <row r="8037" hidden="1" x14ac:dyDescent="0.15"/>
    <row r="8038" hidden="1" x14ac:dyDescent="0.15"/>
    <row r="8039" hidden="1" x14ac:dyDescent="0.15"/>
    <row r="8040" hidden="1" x14ac:dyDescent="0.15"/>
    <row r="8041" hidden="1" x14ac:dyDescent="0.15"/>
    <row r="8042" hidden="1" x14ac:dyDescent="0.15"/>
    <row r="8043" hidden="1" x14ac:dyDescent="0.15"/>
    <row r="8044" hidden="1" x14ac:dyDescent="0.15"/>
    <row r="8045" hidden="1" x14ac:dyDescent="0.15"/>
    <row r="8046" hidden="1" x14ac:dyDescent="0.15"/>
    <row r="8047" hidden="1" x14ac:dyDescent="0.15"/>
    <row r="8048" hidden="1" x14ac:dyDescent="0.15"/>
    <row r="8049" hidden="1" x14ac:dyDescent="0.15"/>
    <row r="8050" hidden="1" x14ac:dyDescent="0.15"/>
    <row r="8051" hidden="1" x14ac:dyDescent="0.15"/>
    <row r="8052" hidden="1" x14ac:dyDescent="0.15"/>
    <row r="8053" hidden="1" x14ac:dyDescent="0.15"/>
    <row r="8054" hidden="1" x14ac:dyDescent="0.15"/>
    <row r="8055" hidden="1" x14ac:dyDescent="0.15"/>
    <row r="8056" hidden="1" x14ac:dyDescent="0.15"/>
    <row r="8057" hidden="1" x14ac:dyDescent="0.15"/>
    <row r="8058" hidden="1" x14ac:dyDescent="0.15"/>
    <row r="8059" hidden="1" x14ac:dyDescent="0.15"/>
    <row r="8060" hidden="1" x14ac:dyDescent="0.15"/>
    <row r="8061" hidden="1" x14ac:dyDescent="0.15"/>
    <row r="8062" hidden="1" x14ac:dyDescent="0.15"/>
    <row r="8063" hidden="1" x14ac:dyDescent="0.15"/>
    <row r="8064" hidden="1" x14ac:dyDescent="0.15"/>
    <row r="8065" hidden="1" x14ac:dyDescent="0.15"/>
    <row r="8066" hidden="1" x14ac:dyDescent="0.15"/>
    <row r="8067" hidden="1" x14ac:dyDescent="0.15"/>
    <row r="8068" hidden="1" x14ac:dyDescent="0.15"/>
    <row r="8069" hidden="1" x14ac:dyDescent="0.15"/>
    <row r="8070" hidden="1" x14ac:dyDescent="0.15"/>
    <row r="8071" hidden="1" x14ac:dyDescent="0.15"/>
    <row r="8072" hidden="1" x14ac:dyDescent="0.15"/>
    <row r="8073" hidden="1" x14ac:dyDescent="0.15"/>
    <row r="8074" hidden="1" x14ac:dyDescent="0.15"/>
    <row r="8075" hidden="1" x14ac:dyDescent="0.15"/>
    <row r="8076" hidden="1" x14ac:dyDescent="0.15"/>
    <row r="8077" hidden="1" x14ac:dyDescent="0.15"/>
    <row r="8078" hidden="1" x14ac:dyDescent="0.15"/>
    <row r="8079" hidden="1" x14ac:dyDescent="0.15"/>
    <row r="8080" hidden="1" x14ac:dyDescent="0.15"/>
    <row r="8081" hidden="1" x14ac:dyDescent="0.15"/>
    <row r="8082" hidden="1" x14ac:dyDescent="0.15"/>
    <row r="8083" hidden="1" x14ac:dyDescent="0.15"/>
    <row r="8084" hidden="1" x14ac:dyDescent="0.15"/>
    <row r="8085" hidden="1" x14ac:dyDescent="0.15"/>
    <row r="8086" hidden="1" x14ac:dyDescent="0.15"/>
    <row r="8087" hidden="1" x14ac:dyDescent="0.15"/>
    <row r="8088" hidden="1" x14ac:dyDescent="0.15"/>
    <row r="8089" hidden="1" x14ac:dyDescent="0.15"/>
    <row r="8090" hidden="1" x14ac:dyDescent="0.15"/>
    <row r="8091" hidden="1" x14ac:dyDescent="0.15"/>
    <row r="8092" hidden="1" x14ac:dyDescent="0.15"/>
    <row r="8093" hidden="1" x14ac:dyDescent="0.15"/>
    <row r="8094" hidden="1" x14ac:dyDescent="0.15"/>
    <row r="8095" hidden="1" x14ac:dyDescent="0.15"/>
    <row r="8096" hidden="1" x14ac:dyDescent="0.15"/>
    <row r="8097" hidden="1" x14ac:dyDescent="0.15"/>
    <row r="8098" hidden="1" x14ac:dyDescent="0.15"/>
    <row r="8099" hidden="1" x14ac:dyDescent="0.15"/>
    <row r="8100" hidden="1" x14ac:dyDescent="0.15"/>
    <row r="8101" hidden="1" x14ac:dyDescent="0.15"/>
    <row r="8102" hidden="1" x14ac:dyDescent="0.15"/>
    <row r="8103" hidden="1" x14ac:dyDescent="0.15"/>
    <row r="8104" hidden="1" x14ac:dyDescent="0.15"/>
    <row r="8105" hidden="1" x14ac:dyDescent="0.15"/>
    <row r="8106" hidden="1" x14ac:dyDescent="0.15"/>
    <row r="8107" hidden="1" x14ac:dyDescent="0.15"/>
    <row r="8108" hidden="1" x14ac:dyDescent="0.15"/>
    <row r="8109" hidden="1" x14ac:dyDescent="0.15"/>
    <row r="8110" hidden="1" x14ac:dyDescent="0.15"/>
    <row r="8111" hidden="1" x14ac:dyDescent="0.15"/>
    <row r="8112" hidden="1" x14ac:dyDescent="0.15"/>
    <row r="8113" hidden="1" x14ac:dyDescent="0.15"/>
    <row r="8114" hidden="1" x14ac:dyDescent="0.15"/>
    <row r="8115" hidden="1" x14ac:dyDescent="0.15"/>
    <row r="8116" hidden="1" x14ac:dyDescent="0.15"/>
    <row r="8117" hidden="1" x14ac:dyDescent="0.15"/>
    <row r="8118" hidden="1" x14ac:dyDescent="0.15"/>
    <row r="8119" hidden="1" x14ac:dyDescent="0.15"/>
    <row r="8120" hidden="1" x14ac:dyDescent="0.15"/>
    <row r="8121" hidden="1" x14ac:dyDescent="0.15"/>
    <row r="8122" hidden="1" x14ac:dyDescent="0.15"/>
    <row r="8123" hidden="1" x14ac:dyDescent="0.15"/>
    <row r="8124" hidden="1" x14ac:dyDescent="0.15"/>
    <row r="8125" hidden="1" x14ac:dyDescent="0.15"/>
    <row r="8126" hidden="1" x14ac:dyDescent="0.15"/>
    <row r="8127" hidden="1" x14ac:dyDescent="0.15"/>
    <row r="8128" hidden="1" x14ac:dyDescent="0.15"/>
    <row r="8129" hidden="1" x14ac:dyDescent="0.15"/>
    <row r="8130" hidden="1" x14ac:dyDescent="0.15"/>
    <row r="8131" hidden="1" x14ac:dyDescent="0.15"/>
    <row r="8132" hidden="1" x14ac:dyDescent="0.15"/>
    <row r="8133" hidden="1" x14ac:dyDescent="0.15"/>
    <row r="8134" hidden="1" x14ac:dyDescent="0.15"/>
    <row r="8135" hidden="1" x14ac:dyDescent="0.15"/>
    <row r="8136" hidden="1" x14ac:dyDescent="0.15"/>
    <row r="8137" hidden="1" x14ac:dyDescent="0.15"/>
    <row r="8138" hidden="1" x14ac:dyDescent="0.15"/>
    <row r="8139" hidden="1" x14ac:dyDescent="0.15"/>
    <row r="8140" hidden="1" x14ac:dyDescent="0.15"/>
    <row r="8141" hidden="1" x14ac:dyDescent="0.15"/>
    <row r="8142" hidden="1" x14ac:dyDescent="0.15"/>
    <row r="8143" hidden="1" x14ac:dyDescent="0.15"/>
    <row r="8144" hidden="1" x14ac:dyDescent="0.15"/>
    <row r="8145" hidden="1" x14ac:dyDescent="0.15"/>
    <row r="8146" hidden="1" x14ac:dyDescent="0.15"/>
    <row r="8147" hidden="1" x14ac:dyDescent="0.15"/>
    <row r="8148" hidden="1" x14ac:dyDescent="0.15"/>
    <row r="8149" hidden="1" x14ac:dyDescent="0.15"/>
    <row r="8150" hidden="1" x14ac:dyDescent="0.15"/>
    <row r="8151" hidden="1" x14ac:dyDescent="0.15"/>
    <row r="8152" hidden="1" x14ac:dyDescent="0.15"/>
    <row r="8153" hidden="1" x14ac:dyDescent="0.15"/>
    <row r="8154" hidden="1" x14ac:dyDescent="0.15"/>
    <row r="8155" hidden="1" x14ac:dyDescent="0.15"/>
    <row r="8156" hidden="1" x14ac:dyDescent="0.15"/>
    <row r="8157" hidden="1" x14ac:dyDescent="0.15"/>
    <row r="8158" hidden="1" x14ac:dyDescent="0.15"/>
    <row r="8159" hidden="1" x14ac:dyDescent="0.15"/>
    <row r="8160" hidden="1" x14ac:dyDescent="0.15"/>
    <row r="8161" hidden="1" x14ac:dyDescent="0.15"/>
    <row r="8162" hidden="1" x14ac:dyDescent="0.15"/>
    <row r="8163" hidden="1" x14ac:dyDescent="0.15"/>
    <row r="8164" hidden="1" x14ac:dyDescent="0.15"/>
    <row r="8165" hidden="1" x14ac:dyDescent="0.15"/>
    <row r="8166" hidden="1" x14ac:dyDescent="0.15"/>
    <row r="8167" hidden="1" x14ac:dyDescent="0.15"/>
    <row r="8168" hidden="1" x14ac:dyDescent="0.15"/>
    <row r="8169" hidden="1" x14ac:dyDescent="0.15"/>
    <row r="8170" hidden="1" x14ac:dyDescent="0.15"/>
    <row r="8171" hidden="1" x14ac:dyDescent="0.15"/>
    <row r="8172" hidden="1" x14ac:dyDescent="0.15"/>
    <row r="8173" hidden="1" x14ac:dyDescent="0.15"/>
    <row r="8174" hidden="1" x14ac:dyDescent="0.15"/>
    <row r="8175" hidden="1" x14ac:dyDescent="0.15"/>
    <row r="8176" hidden="1" x14ac:dyDescent="0.15"/>
    <row r="8177" hidden="1" x14ac:dyDescent="0.15"/>
    <row r="8178" hidden="1" x14ac:dyDescent="0.15"/>
    <row r="8179" hidden="1" x14ac:dyDescent="0.15"/>
    <row r="8180" hidden="1" x14ac:dyDescent="0.15"/>
    <row r="8181" hidden="1" x14ac:dyDescent="0.15"/>
    <row r="8182" hidden="1" x14ac:dyDescent="0.15"/>
    <row r="8183" hidden="1" x14ac:dyDescent="0.15"/>
    <row r="8184" hidden="1" x14ac:dyDescent="0.15"/>
    <row r="8185" hidden="1" x14ac:dyDescent="0.15"/>
    <row r="8186" hidden="1" x14ac:dyDescent="0.15"/>
    <row r="8187" hidden="1" x14ac:dyDescent="0.15"/>
    <row r="8188" hidden="1" x14ac:dyDescent="0.15"/>
    <row r="8189" hidden="1" x14ac:dyDescent="0.15"/>
    <row r="8190" hidden="1" x14ac:dyDescent="0.15"/>
    <row r="8191" hidden="1" x14ac:dyDescent="0.15"/>
    <row r="8192" hidden="1" x14ac:dyDescent="0.15"/>
    <row r="8193" hidden="1" x14ac:dyDescent="0.15"/>
    <row r="8194" hidden="1" x14ac:dyDescent="0.15"/>
    <row r="8195" hidden="1" x14ac:dyDescent="0.15"/>
    <row r="8196" hidden="1" x14ac:dyDescent="0.15"/>
    <row r="8197" hidden="1" x14ac:dyDescent="0.15"/>
    <row r="8198" hidden="1" x14ac:dyDescent="0.15"/>
    <row r="8199" hidden="1" x14ac:dyDescent="0.15"/>
    <row r="8200" hidden="1" x14ac:dyDescent="0.15"/>
    <row r="8201" hidden="1" x14ac:dyDescent="0.15"/>
    <row r="8202" hidden="1" x14ac:dyDescent="0.15"/>
    <row r="8203" hidden="1" x14ac:dyDescent="0.15"/>
    <row r="8204" hidden="1" x14ac:dyDescent="0.15"/>
    <row r="8205" hidden="1" x14ac:dyDescent="0.15"/>
    <row r="8206" hidden="1" x14ac:dyDescent="0.15"/>
    <row r="8207" hidden="1" x14ac:dyDescent="0.15"/>
    <row r="8208" hidden="1" x14ac:dyDescent="0.15"/>
    <row r="8209" hidden="1" x14ac:dyDescent="0.15"/>
    <row r="8210" hidden="1" x14ac:dyDescent="0.15"/>
    <row r="8211" hidden="1" x14ac:dyDescent="0.15"/>
    <row r="8212" hidden="1" x14ac:dyDescent="0.15"/>
    <row r="8213" hidden="1" x14ac:dyDescent="0.15"/>
    <row r="8214" hidden="1" x14ac:dyDescent="0.15"/>
    <row r="8215" hidden="1" x14ac:dyDescent="0.15"/>
    <row r="8216" hidden="1" x14ac:dyDescent="0.15"/>
    <row r="8217" hidden="1" x14ac:dyDescent="0.15"/>
    <row r="8218" hidden="1" x14ac:dyDescent="0.15"/>
    <row r="8219" hidden="1" x14ac:dyDescent="0.15"/>
    <row r="8220" hidden="1" x14ac:dyDescent="0.15"/>
    <row r="8221" hidden="1" x14ac:dyDescent="0.15"/>
    <row r="8222" hidden="1" x14ac:dyDescent="0.15"/>
    <row r="8223" hidden="1" x14ac:dyDescent="0.15"/>
    <row r="8224" hidden="1" x14ac:dyDescent="0.15"/>
    <row r="8225" hidden="1" x14ac:dyDescent="0.15"/>
    <row r="8226" hidden="1" x14ac:dyDescent="0.15"/>
    <row r="8227" hidden="1" x14ac:dyDescent="0.15"/>
    <row r="8228" hidden="1" x14ac:dyDescent="0.15"/>
    <row r="8229" hidden="1" x14ac:dyDescent="0.15"/>
    <row r="8230" hidden="1" x14ac:dyDescent="0.15"/>
    <row r="8231" hidden="1" x14ac:dyDescent="0.15"/>
    <row r="8232" hidden="1" x14ac:dyDescent="0.15"/>
    <row r="8233" hidden="1" x14ac:dyDescent="0.15"/>
    <row r="8234" hidden="1" x14ac:dyDescent="0.15"/>
    <row r="8235" hidden="1" x14ac:dyDescent="0.15"/>
    <row r="8236" hidden="1" x14ac:dyDescent="0.15"/>
    <row r="8237" hidden="1" x14ac:dyDescent="0.15"/>
    <row r="8238" hidden="1" x14ac:dyDescent="0.15"/>
    <row r="8239" hidden="1" x14ac:dyDescent="0.15"/>
    <row r="8240" hidden="1" x14ac:dyDescent="0.15"/>
    <row r="8241" hidden="1" x14ac:dyDescent="0.15"/>
    <row r="8242" hidden="1" x14ac:dyDescent="0.15"/>
    <row r="8243" hidden="1" x14ac:dyDescent="0.15"/>
    <row r="8244" hidden="1" x14ac:dyDescent="0.15"/>
    <row r="8245" hidden="1" x14ac:dyDescent="0.15"/>
    <row r="8246" hidden="1" x14ac:dyDescent="0.15"/>
    <row r="8247" hidden="1" x14ac:dyDescent="0.15"/>
    <row r="8248" hidden="1" x14ac:dyDescent="0.15"/>
    <row r="8249" hidden="1" x14ac:dyDescent="0.15"/>
    <row r="8250" hidden="1" x14ac:dyDescent="0.15"/>
    <row r="8251" hidden="1" x14ac:dyDescent="0.15"/>
    <row r="8252" hidden="1" x14ac:dyDescent="0.15"/>
    <row r="8253" hidden="1" x14ac:dyDescent="0.15"/>
    <row r="8254" hidden="1" x14ac:dyDescent="0.15"/>
    <row r="8255" hidden="1" x14ac:dyDescent="0.15"/>
    <row r="8256" hidden="1" x14ac:dyDescent="0.15"/>
    <row r="8257" hidden="1" x14ac:dyDescent="0.15"/>
    <row r="8258" hidden="1" x14ac:dyDescent="0.15"/>
    <row r="8259" hidden="1" x14ac:dyDescent="0.15"/>
    <row r="8260" hidden="1" x14ac:dyDescent="0.15"/>
    <row r="8261" hidden="1" x14ac:dyDescent="0.15"/>
    <row r="8262" hidden="1" x14ac:dyDescent="0.15"/>
    <row r="8263" hidden="1" x14ac:dyDescent="0.15"/>
    <row r="8264" hidden="1" x14ac:dyDescent="0.15"/>
    <row r="8265" hidden="1" x14ac:dyDescent="0.15"/>
    <row r="8266" hidden="1" x14ac:dyDescent="0.15"/>
    <row r="8267" hidden="1" x14ac:dyDescent="0.15"/>
    <row r="8268" hidden="1" x14ac:dyDescent="0.15"/>
    <row r="8269" hidden="1" x14ac:dyDescent="0.15"/>
    <row r="8270" hidden="1" x14ac:dyDescent="0.15"/>
    <row r="8271" hidden="1" x14ac:dyDescent="0.15"/>
    <row r="8272" hidden="1" x14ac:dyDescent="0.15"/>
    <row r="8273" hidden="1" x14ac:dyDescent="0.15"/>
    <row r="8274" hidden="1" x14ac:dyDescent="0.15"/>
    <row r="8275" hidden="1" x14ac:dyDescent="0.15"/>
    <row r="8276" hidden="1" x14ac:dyDescent="0.15"/>
    <row r="8277" hidden="1" x14ac:dyDescent="0.15"/>
    <row r="8278" hidden="1" x14ac:dyDescent="0.15"/>
    <row r="8279" hidden="1" x14ac:dyDescent="0.15"/>
    <row r="8280" hidden="1" x14ac:dyDescent="0.15"/>
    <row r="8281" hidden="1" x14ac:dyDescent="0.15"/>
    <row r="8282" hidden="1" x14ac:dyDescent="0.15"/>
    <row r="8283" hidden="1" x14ac:dyDescent="0.15"/>
    <row r="8284" hidden="1" x14ac:dyDescent="0.15"/>
    <row r="8285" hidden="1" x14ac:dyDescent="0.15"/>
    <row r="8286" hidden="1" x14ac:dyDescent="0.15"/>
    <row r="8287" hidden="1" x14ac:dyDescent="0.15"/>
    <row r="8288" hidden="1" x14ac:dyDescent="0.15"/>
    <row r="8289" hidden="1" x14ac:dyDescent="0.15"/>
    <row r="8290" hidden="1" x14ac:dyDescent="0.15"/>
    <row r="8291" hidden="1" x14ac:dyDescent="0.15"/>
    <row r="8292" hidden="1" x14ac:dyDescent="0.15"/>
    <row r="8293" hidden="1" x14ac:dyDescent="0.15"/>
    <row r="8294" hidden="1" x14ac:dyDescent="0.15"/>
    <row r="8295" hidden="1" x14ac:dyDescent="0.15"/>
    <row r="8296" hidden="1" x14ac:dyDescent="0.15"/>
    <row r="8297" hidden="1" x14ac:dyDescent="0.15"/>
    <row r="8298" hidden="1" x14ac:dyDescent="0.15"/>
    <row r="8299" hidden="1" x14ac:dyDescent="0.15"/>
    <row r="8300" hidden="1" x14ac:dyDescent="0.15"/>
    <row r="8301" hidden="1" x14ac:dyDescent="0.15"/>
    <row r="8302" hidden="1" x14ac:dyDescent="0.15"/>
    <row r="8303" hidden="1" x14ac:dyDescent="0.15"/>
    <row r="8304" hidden="1" x14ac:dyDescent="0.15"/>
    <row r="8305" hidden="1" x14ac:dyDescent="0.15"/>
    <row r="8306" hidden="1" x14ac:dyDescent="0.15"/>
    <row r="8307" hidden="1" x14ac:dyDescent="0.15"/>
    <row r="8308" hidden="1" x14ac:dyDescent="0.15"/>
    <row r="8309" hidden="1" x14ac:dyDescent="0.15"/>
    <row r="8310" hidden="1" x14ac:dyDescent="0.15"/>
    <row r="8311" hidden="1" x14ac:dyDescent="0.15"/>
    <row r="8312" hidden="1" x14ac:dyDescent="0.15"/>
    <row r="8313" hidden="1" x14ac:dyDescent="0.15"/>
    <row r="8314" hidden="1" x14ac:dyDescent="0.15"/>
    <row r="8315" hidden="1" x14ac:dyDescent="0.15"/>
    <row r="8316" hidden="1" x14ac:dyDescent="0.15"/>
    <row r="8317" hidden="1" x14ac:dyDescent="0.15"/>
    <row r="8318" hidden="1" x14ac:dyDescent="0.15"/>
    <row r="8319" hidden="1" x14ac:dyDescent="0.15"/>
    <row r="8320" hidden="1" x14ac:dyDescent="0.15"/>
    <row r="8321" hidden="1" x14ac:dyDescent="0.15"/>
    <row r="8322" hidden="1" x14ac:dyDescent="0.15"/>
    <row r="8323" hidden="1" x14ac:dyDescent="0.15"/>
    <row r="8324" hidden="1" x14ac:dyDescent="0.15"/>
    <row r="8325" hidden="1" x14ac:dyDescent="0.15"/>
    <row r="8326" hidden="1" x14ac:dyDescent="0.15"/>
    <row r="8327" hidden="1" x14ac:dyDescent="0.15"/>
    <row r="8328" hidden="1" x14ac:dyDescent="0.15"/>
    <row r="8329" hidden="1" x14ac:dyDescent="0.15"/>
    <row r="8330" hidden="1" x14ac:dyDescent="0.15"/>
    <row r="8331" hidden="1" x14ac:dyDescent="0.15"/>
    <row r="8332" hidden="1" x14ac:dyDescent="0.15"/>
    <row r="8333" hidden="1" x14ac:dyDescent="0.15"/>
    <row r="8334" hidden="1" x14ac:dyDescent="0.15"/>
    <row r="8335" hidden="1" x14ac:dyDescent="0.15"/>
    <row r="8336" hidden="1" x14ac:dyDescent="0.15"/>
    <row r="8337" hidden="1" x14ac:dyDescent="0.15"/>
    <row r="8338" hidden="1" x14ac:dyDescent="0.15"/>
    <row r="8339" hidden="1" x14ac:dyDescent="0.15"/>
    <row r="8340" hidden="1" x14ac:dyDescent="0.15"/>
    <row r="8341" hidden="1" x14ac:dyDescent="0.15"/>
    <row r="8342" hidden="1" x14ac:dyDescent="0.15"/>
    <row r="8343" hidden="1" x14ac:dyDescent="0.15"/>
    <row r="8344" hidden="1" x14ac:dyDescent="0.15"/>
    <row r="8345" hidden="1" x14ac:dyDescent="0.15"/>
    <row r="8346" hidden="1" x14ac:dyDescent="0.15"/>
    <row r="8347" hidden="1" x14ac:dyDescent="0.15"/>
    <row r="8348" hidden="1" x14ac:dyDescent="0.15"/>
    <row r="8349" hidden="1" x14ac:dyDescent="0.15"/>
    <row r="8350" hidden="1" x14ac:dyDescent="0.15"/>
    <row r="8351" hidden="1" x14ac:dyDescent="0.15"/>
    <row r="8352" hidden="1" x14ac:dyDescent="0.15"/>
    <row r="8353" hidden="1" x14ac:dyDescent="0.15"/>
    <row r="8354" hidden="1" x14ac:dyDescent="0.15"/>
    <row r="8355" hidden="1" x14ac:dyDescent="0.15"/>
    <row r="8356" hidden="1" x14ac:dyDescent="0.15"/>
    <row r="8357" hidden="1" x14ac:dyDescent="0.15"/>
    <row r="8358" hidden="1" x14ac:dyDescent="0.15"/>
    <row r="8359" hidden="1" x14ac:dyDescent="0.15"/>
    <row r="8360" hidden="1" x14ac:dyDescent="0.15"/>
    <row r="8361" hidden="1" x14ac:dyDescent="0.15"/>
    <row r="8362" hidden="1" x14ac:dyDescent="0.15"/>
    <row r="8363" hidden="1" x14ac:dyDescent="0.15"/>
    <row r="8364" hidden="1" x14ac:dyDescent="0.15"/>
    <row r="8365" hidden="1" x14ac:dyDescent="0.15"/>
    <row r="8366" hidden="1" x14ac:dyDescent="0.15"/>
    <row r="8367" hidden="1" x14ac:dyDescent="0.15"/>
    <row r="8368" hidden="1" x14ac:dyDescent="0.15"/>
    <row r="8369" hidden="1" x14ac:dyDescent="0.15"/>
    <row r="8370" hidden="1" x14ac:dyDescent="0.15"/>
    <row r="8371" hidden="1" x14ac:dyDescent="0.15"/>
    <row r="8372" hidden="1" x14ac:dyDescent="0.15"/>
    <row r="8373" hidden="1" x14ac:dyDescent="0.15"/>
    <row r="8374" hidden="1" x14ac:dyDescent="0.15"/>
    <row r="8375" hidden="1" x14ac:dyDescent="0.15"/>
    <row r="8376" hidden="1" x14ac:dyDescent="0.15"/>
    <row r="8377" hidden="1" x14ac:dyDescent="0.15"/>
    <row r="8378" hidden="1" x14ac:dyDescent="0.15"/>
    <row r="8379" hidden="1" x14ac:dyDescent="0.15"/>
    <row r="8380" hidden="1" x14ac:dyDescent="0.15"/>
    <row r="8381" hidden="1" x14ac:dyDescent="0.15"/>
    <row r="8382" hidden="1" x14ac:dyDescent="0.15"/>
    <row r="8383" hidden="1" x14ac:dyDescent="0.15"/>
    <row r="8384" hidden="1" x14ac:dyDescent="0.15"/>
    <row r="8385" hidden="1" x14ac:dyDescent="0.15"/>
    <row r="8386" hidden="1" x14ac:dyDescent="0.15"/>
    <row r="8387" hidden="1" x14ac:dyDescent="0.15"/>
    <row r="8388" hidden="1" x14ac:dyDescent="0.15"/>
    <row r="8389" hidden="1" x14ac:dyDescent="0.15"/>
    <row r="8390" hidden="1" x14ac:dyDescent="0.15"/>
    <row r="8391" hidden="1" x14ac:dyDescent="0.15"/>
    <row r="8392" hidden="1" x14ac:dyDescent="0.15"/>
    <row r="8393" hidden="1" x14ac:dyDescent="0.15"/>
    <row r="8394" hidden="1" x14ac:dyDescent="0.15"/>
    <row r="8395" hidden="1" x14ac:dyDescent="0.15"/>
    <row r="8396" hidden="1" x14ac:dyDescent="0.15"/>
    <row r="8397" hidden="1" x14ac:dyDescent="0.15"/>
    <row r="8398" hidden="1" x14ac:dyDescent="0.15"/>
    <row r="8399" hidden="1" x14ac:dyDescent="0.15"/>
    <row r="8400" hidden="1" x14ac:dyDescent="0.15"/>
    <row r="8401" hidden="1" x14ac:dyDescent="0.15"/>
    <row r="8402" hidden="1" x14ac:dyDescent="0.15"/>
    <row r="8403" hidden="1" x14ac:dyDescent="0.15"/>
    <row r="8404" hidden="1" x14ac:dyDescent="0.15"/>
    <row r="8405" hidden="1" x14ac:dyDescent="0.15"/>
    <row r="8406" hidden="1" x14ac:dyDescent="0.15"/>
    <row r="8407" hidden="1" x14ac:dyDescent="0.15"/>
    <row r="8408" hidden="1" x14ac:dyDescent="0.15"/>
    <row r="8409" hidden="1" x14ac:dyDescent="0.15"/>
    <row r="8410" hidden="1" x14ac:dyDescent="0.15"/>
    <row r="8411" hidden="1" x14ac:dyDescent="0.15"/>
    <row r="8412" hidden="1" x14ac:dyDescent="0.15"/>
    <row r="8413" hidden="1" x14ac:dyDescent="0.15"/>
    <row r="8414" hidden="1" x14ac:dyDescent="0.15"/>
    <row r="8415" hidden="1" x14ac:dyDescent="0.15"/>
    <row r="8416" hidden="1" x14ac:dyDescent="0.15"/>
    <row r="8417" hidden="1" x14ac:dyDescent="0.15"/>
    <row r="8418" hidden="1" x14ac:dyDescent="0.15"/>
    <row r="8419" hidden="1" x14ac:dyDescent="0.15"/>
    <row r="8420" hidden="1" x14ac:dyDescent="0.15"/>
    <row r="8421" hidden="1" x14ac:dyDescent="0.15"/>
    <row r="8422" hidden="1" x14ac:dyDescent="0.15"/>
    <row r="8423" hidden="1" x14ac:dyDescent="0.15"/>
    <row r="8424" hidden="1" x14ac:dyDescent="0.15"/>
    <row r="8425" hidden="1" x14ac:dyDescent="0.15"/>
    <row r="8426" hidden="1" x14ac:dyDescent="0.15"/>
    <row r="8427" hidden="1" x14ac:dyDescent="0.15"/>
    <row r="8428" hidden="1" x14ac:dyDescent="0.15"/>
    <row r="8429" hidden="1" x14ac:dyDescent="0.15"/>
    <row r="8430" hidden="1" x14ac:dyDescent="0.15"/>
    <row r="8431" hidden="1" x14ac:dyDescent="0.15"/>
    <row r="8432" hidden="1" x14ac:dyDescent="0.15"/>
    <row r="8433" hidden="1" x14ac:dyDescent="0.15"/>
    <row r="8434" hidden="1" x14ac:dyDescent="0.15"/>
    <row r="8435" hidden="1" x14ac:dyDescent="0.15"/>
    <row r="8436" hidden="1" x14ac:dyDescent="0.15"/>
    <row r="8437" hidden="1" x14ac:dyDescent="0.15"/>
    <row r="8438" hidden="1" x14ac:dyDescent="0.15"/>
    <row r="8439" hidden="1" x14ac:dyDescent="0.15"/>
    <row r="8440" hidden="1" x14ac:dyDescent="0.15"/>
    <row r="8441" hidden="1" x14ac:dyDescent="0.15"/>
    <row r="8442" hidden="1" x14ac:dyDescent="0.15"/>
    <row r="8443" hidden="1" x14ac:dyDescent="0.15"/>
    <row r="8444" hidden="1" x14ac:dyDescent="0.15"/>
    <row r="8445" hidden="1" x14ac:dyDescent="0.15"/>
    <row r="8446" hidden="1" x14ac:dyDescent="0.15"/>
    <row r="8447" hidden="1" x14ac:dyDescent="0.15"/>
    <row r="8448" hidden="1" x14ac:dyDescent="0.15"/>
    <row r="8449" hidden="1" x14ac:dyDescent="0.15"/>
    <row r="8450" hidden="1" x14ac:dyDescent="0.15"/>
    <row r="8451" hidden="1" x14ac:dyDescent="0.15"/>
    <row r="8452" hidden="1" x14ac:dyDescent="0.15"/>
    <row r="8453" hidden="1" x14ac:dyDescent="0.15"/>
    <row r="8454" hidden="1" x14ac:dyDescent="0.15"/>
    <row r="8455" hidden="1" x14ac:dyDescent="0.15"/>
    <row r="8456" hidden="1" x14ac:dyDescent="0.15"/>
    <row r="8457" hidden="1" x14ac:dyDescent="0.15"/>
    <row r="8458" hidden="1" x14ac:dyDescent="0.15"/>
    <row r="8459" hidden="1" x14ac:dyDescent="0.15"/>
    <row r="8460" hidden="1" x14ac:dyDescent="0.15"/>
    <row r="8461" hidden="1" x14ac:dyDescent="0.15"/>
    <row r="8462" hidden="1" x14ac:dyDescent="0.15"/>
    <row r="8463" hidden="1" x14ac:dyDescent="0.15"/>
    <row r="8464" hidden="1" x14ac:dyDescent="0.15"/>
    <row r="8465" hidden="1" x14ac:dyDescent="0.15"/>
    <row r="8466" hidden="1" x14ac:dyDescent="0.15"/>
    <row r="8467" hidden="1" x14ac:dyDescent="0.15"/>
    <row r="8468" hidden="1" x14ac:dyDescent="0.15"/>
    <row r="8469" hidden="1" x14ac:dyDescent="0.15"/>
    <row r="8470" hidden="1" x14ac:dyDescent="0.15"/>
    <row r="8471" hidden="1" x14ac:dyDescent="0.15"/>
    <row r="8472" hidden="1" x14ac:dyDescent="0.15"/>
    <row r="8473" hidden="1" x14ac:dyDescent="0.15"/>
    <row r="8474" hidden="1" x14ac:dyDescent="0.15"/>
    <row r="8475" hidden="1" x14ac:dyDescent="0.15"/>
    <row r="8476" hidden="1" x14ac:dyDescent="0.15"/>
    <row r="8477" hidden="1" x14ac:dyDescent="0.15"/>
    <row r="8478" hidden="1" x14ac:dyDescent="0.15"/>
    <row r="8479" hidden="1" x14ac:dyDescent="0.15"/>
    <row r="8480" hidden="1" x14ac:dyDescent="0.15"/>
    <row r="8481" hidden="1" x14ac:dyDescent="0.15"/>
    <row r="8482" hidden="1" x14ac:dyDescent="0.15"/>
    <row r="8483" hidden="1" x14ac:dyDescent="0.15"/>
    <row r="8484" hidden="1" x14ac:dyDescent="0.15"/>
    <row r="8485" hidden="1" x14ac:dyDescent="0.15"/>
    <row r="8486" hidden="1" x14ac:dyDescent="0.15"/>
    <row r="8487" hidden="1" x14ac:dyDescent="0.15"/>
    <row r="8488" hidden="1" x14ac:dyDescent="0.15"/>
    <row r="8489" hidden="1" x14ac:dyDescent="0.15"/>
    <row r="8490" hidden="1" x14ac:dyDescent="0.15"/>
    <row r="8491" hidden="1" x14ac:dyDescent="0.15"/>
    <row r="8492" hidden="1" x14ac:dyDescent="0.15"/>
    <row r="8493" hidden="1" x14ac:dyDescent="0.15"/>
    <row r="8494" hidden="1" x14ac:dyDescent="0.15"/>
    <row r="8495" hidden="1" x14ac:dyDescent="0.15"/>
    <row r="8496" hidden="1" x14ac:dyDescent="0.15"/>
    <row r="8497" hidden="1" x14ac:dyDescent="0.15"/>
    <row r="8498" hidden="1" x14ac:dyDescent="0.15"/>
    <row r="8499" hidden="1" x14ac:dyDescent="0.15"/>
    <row r="8500" hidden="1" x14ac:dyDescent="0.15"/>
    <row r="8501" hidden="1" x14ac:dyDescent="0.15"/>
    <row r="8502" hidden="1" x14ac:dyDescent="0.15"/>
    <row r="8503" hidden="1" x14ac:dyDescent="0.15"/>
    <row r="8504" hidden="1" x14ac:dyDescent="0.15"/>
    <row r="8505" hidden="1" x14ac:dyDescent="0.15"/>
    <row r="8506" hidden="1" x14ac:dyDescent="0.15"/>
    <row r="8507" hidden="1" x14ac:dyDescent="0.15"/>
    <row r="8508" hidden="1" x14ac:dyDescent="0.15"/>
    <row r="8509" hidden="1" x14ac:dyDescent="0.15"/>
    <row r="8510" hidden="1" x14ac:dyDescent="0.15"/>
    <row r="8511" hidden="1" x14ac:dyDescent="0.15"/>
    <row r="8512" hidden="1" x14ac:dyDescent="0.15"/>
    <row r="8513" hidden="1" x14ac:dyDescent="0.15"/>
    <row r="8514" hidden="1" x14ac:dyDescent="0.15"/>
    <row r="8515" hidden="1" x14ac:dyDescent="0.15"/>
    <row r="8516" hidden="1" x14ac:dyDescent="0.15"/>
    <row r="8517" hidden="1" x14ac:dyDescent="0.15"/>
    <row r="8518" hidden="1" x14ac:dyDescent="0.15"/>
    <row r="8519" hidden="1" x14ac:dyDescent="0.15"/>
    <row r="8520" hidden="1" x14ac:dyDescent="0.15"/>
    <row r="8521" hidden="1" x14ac:dyDescent="0.15"/>
    <row r="8522" hidden="1" x14ac:dyDescent="0.15"/>
    <row r="8523" hidden="1" x14ac:dyDescent="0.15"/>
    <row r="8524" hidden="1" x14ac:dyDescent="0.15"/>
    <row r="8525" hidden="1" x14ac:dyDescent="0.15"/>
    <row r="8526" hidden="1" x14ac:dyDescent="0.15"/>
    <row r="8527" hidden="1" x14ac:dyDescent="0.15"/>
    <row r="8528" hidden="1" x14ac:dyDescent="0.15"/>
    <row r="8529" hidden="1" x14ac:dyDescent="0.15"/>
    <row r="8530" hidden="1" x14ac:dyDescent="0.15"/>
    <row r="8531" hidden="1" x14ac:dyDescent="0.15"/>
    <row r="8532" hidden="1" x14ac:dyDescent="0.15"/>
    <row r="8533" hidden="1" x14ac:dyDescent="0.15"/>
    <row r="8534" hidden="1" x14ac:dyDescent="0.15"/>
    <row r="8535" hidden="1" x14ac:dyDescent="0.15"/>
    <row r="8536" hidden="1" x14ac:dyDescent="0.15"/>
    <row r="8537" hidden="1" x14ac:dyDescent="0.15"/>
    <row r="8538" hidden="1" x14ac:dyDescent="0.15"/>
    <row r="8539" hidden="1" x14ac:dyDescent="0.15"/>
    <row r="8540" hidden="1" x14ac:dyDescent="0.15"/>
    <row r="8541" hidden="1" x14ac:dyDescent="0.15"/>
    <row r="8542" hidden="1" x14ac:dyDescent="0.15"/>
    <row r="8543" hidden="1" x14ac:dyDescent="0.15"/>
    <row r="8544" hidden="1" x14ac:dyDescent="0.15"/>
    <row r="8545" hidden="1" x14ac:dyDescent="0.15"/>
    <row r="8546" hidden="1" x14ac:dyDescent="0.15"/>
    <row r="8547" hidden="1" x14ac:dyDescent="0.15"/>
    <row r="8548" hidden="1" x14ac:dyDescent="0.15"/>
    <row r="8549" hidden="1" x14ac:dyDescent="0.15"/>
    <row r="8550" hidden="1" x14ac:dyDescent="0.15"/>
    <row r="8551" hidden="1" x14ac:dyDescent="0.15"/>
    <row r="8552" hidden="1" x14ac:dyDescent="0.15"/>
    <row r="8553" hidden="1" x14ac:dyDescent="0.15"/>
    <row r="8554" hidden="1" x14ac:dyDescent="0.15"/>
    <row r="8555" hidden="1" x14ac:dyDescent="0.15"/>
    <row r="8556" hidden="1" x14ac:dyDescent="0.15"/>
    <row r="8557" hidden="1" x14ac:dyDescent="0.15"/>
    <row r="8558" hidden="1" x14ac:dyDescent="0.15"/>
    <row r="8559" hidden="1" x14ac:dyDescent="0.15"/>
    <row r="8560" hidden="1" x14ac:dyDescent="0.15"/>
    <row r="8561" hidden="1" x14ac:dyDescent="0.15"/>
    <row r="8562" hidden="1" x14ac:dyDescent="0.15"/>
    <row r="8563" hidden="1" x14ac:dyDescent="0.15"/>
    <row r="8564" hidden="1" x14ac:dyDescent="0.15"/>
    <row r="8565" hidden="1" x14ac:dyDescent="0.15"/>
    <row r="8566" hidden="1" x14ac:dyDescent="0.15"/>
    <row r="8567" hidden="1" x14ac:dyDescent="0.15"/>
    <row r="8568" hidden="1" x14ac:dyDescent="0.15"/>
    <row r="8569" hidden="1" x14ac:dyDescent="0.15"/>
    <row r="8570" hidden="1" x14ac:dyDescent="0.15"/>
    <row r="8571" hidden="1" x14ac:dyDescent="0.15"/>
    <row r="8572" hidden="1" x14ac:dyDescent="0.15"/>
    <row r="8573" hidden="1" x14ac:dyDescent="0.15"/>
    <row r="8574" hidden="1" x14ac:dyDescent="0.15"/>
    <row r="8575" hidden="1" x14ac:dyDescent="0.15"/>
    <row r="8576" hidden="1" x14ac:dyDescent="0.15"/>
    <row r="8577" hidden="1" x14ac:dyDescent="0.15"/>
    <row r="8578" hidden="1" x14ac:dyDescent="0.15"/>
    <row r="8579" hidden="1" x14ac:dyDescent="0.15"/>
    <row r="8580" hidden="1" x14ac:dyDescent="0.15"/>
    <row r="8581" hidden="1" x14ac:dyDescent="0.15"/>
    <row r="8582" hidden="1" x14ac:dyDescent="0.15"/>
    <row r="8583" hidden="1" x14ac:dyDescent="0.15"/>
    <row r="8584" hidden="1" x14ac:dyDescent="0.15"/>
    <row r="8585" hidden="1" x14ac:dyDescent="0.15"/>
    <row r="8586" hidden="1" x14ac:dyDescent="0.15"/>
    <row r="8587" hidden="1" x14ac:dyDescent="0.15"/>
    <row r="8588" hidden="1" x14ac:dyDescent="0.15"/>
    <row r="8589" hidden="1" x14ac:dyDescent="0.15"/>
    <row r="8590" hidden="1" x14ac:dyDescent="0.15"/>
    <row r="8591" hidden="1" x14ac:dyDescent="0.15"/>
    <row r="8592" hidden="1" x14ac:dyDescent="0.15"/>
    <row r="8593" hidden="1" x14ac:dyDescent="0.15"/>
    <row r="8594" hidden="1" x14ac:dyDescent="0.15"/>
    <row r="8595" hidden="1" x14ac:dyDescent="0.15"/>
    <row r="8596" hidden="1" x14ac:dyDescent="0.15"/>
    <row r="8597" hidden="1" x14ac:dyDescent="0.15"/>
    <row r="8598" hidden="1" x14ac:dyDescent="0.15"/>
    <row r="8599" hidden="1" x14ac:dyDescent="0.15"/>
    <row r="8600" hidden="1" x14ac:dyDescent="0.15"/>
    <row r="8601" hidden="1" x14ac:dyDescent="0.15"/>
    <row r="8602" hidden="1" x14ac:dyDescent="0.15"/>
    <row r="8603" hidden="1" x14ac:dyDescent="0.15"/>
    <row r="8604" hidden="1" x14ac:dyDescent="0.15"/>
    <row r="8605" hidden="1" x14ac:dyDescent="0.15"/>
    <row r="8606" hidden="1" x14ac:dyDescent="0.15"/>
    <row r="8607" hidden="1" x14ac:dyDescent="0.15"/>
    <row r="8608" hidden="1" x14ac:dyDescent="0.15"/>
    <row r="8609" hidden="1" x14ac:dyDescent="0.15"/>
    <row r="8610" hidden="1" x14ac:dyDescent="0.15"/>
    <row r="8611" hidden="1" x14ac:dyDescent="0.15"/>
    <row r="8612" hidden="1" x14ac:dyDescent="0.15"/>
    <row r="8613" hidden="1" x14ac:dyDescent="0.15"/>
    <row r="8614" hidden="1" x14ac:dyDescent="0.15"/>
    <row r="8615" hidden="1" x14ac:dyDescent="0.15"/>
    <row r="8616" hidden="1" x14ac:dyDescent="0.15"/>
    <row r="8617" hidden="1" x14ac:dyDescent="0.15"/>
    <row r="8618" hidden="1" x14ac:dyDescent="0.15"/>
    <row r="8619" hidden="1" x14ac:dyDescent="0.15"/>
    <row r="8620" hidden="1" x14ac:dyDescent="0.15"/>
    <row r="8621" hidden="1" x14ac:dyDescent="0.15"/>
    <row r="8622" hidden="1" x14ac:dyDescent="0.15"/>
    <row r="8623" hidden="1" x14ac:dyDescent="0.15"/>
    <row r="8624" hidden="1" x14ac:dyDescent="0.15"/>
    <row r="8625" hidden="1" x14ac:dyDescent="0.15"/>
    <row r="8626" hidden="1" x14ac:dyDescent="0.15"/>
    <row r="8627" hidden="1" x14ac:dyDescent="0.15"/>
    <row r="8628" hidden="1" x14ac:dyDescent="0.15"/>
    <row r="8629" hidden="1" x14ac:dyDescent="0.15"/>
    <row r="8630" hidden="1" x14ac:dyDescent="0.15"/>
    <row r="8631" hidden="1" x14ac:dyDescent="0.15"/>
    <row r="8632" hidden="1" x14ac:dyDescent="0.15"/>
    <row r="8633" hidden="1" x14ac:dyDescent="0.15"/>
    <row r="8634" hidden="1" x14ac:dyDescent="0.15"/>
    <row r="8635" hidden="1" x14ac:dyDescent="0.15"/>
    <row r="8636" hidden="1" x14ac:dyDescent="0.15"/>
    <row r="8637" hidden="1" x14ac:dyDescent="0.15"/>
    <row r="8638" hidden="1" x14ac:dyDescent="0.15"/>
    <row r="8639" hidden="1" x14ac:dyDescent="0.15"/>
    <row r="8640" hidden="1" x14ac:dyDescent="0.15"/>
    <row r="8641" hidden="1" x14ac:dyDescent="0.15"/>
    <row r="8642" hidden="1" x14ac:dyDescent="0.15"/>
    <row r="8643" hidden="1" x14ac:dyDescent="0.15"/>
    <row r="8644" hidden="1" x14ac:dyDescent="0.15"/>
    <row r="8645" hidden="1" x14ac:dyDescent="0.15"/>
    <row r="8646" hidden="1" x14ac:dyDescent="0.15"/>
    <row r="8647" hidden="1" x14ac:dyDescent="0.15"/>
    <row r="8648" hidden="1" x14ac:dyDescent="0.15"/>
    <row r="8649" hidden="1" x14ac:dyDescent="0.15"/>
    <row r="8650" hidden="1" x14ac:dyDescent="0.15"/>
    <row r="8651" hidden="1" x14ac:dyDescent="0.15"/>
    <row r="8652" hidden="1" x14ac:dyDescent="0.15"/>
    <row r="8653" hidden="1" x14ac:dyDescent="0.15"/>
    <row r="8654" hidden="1" x14ac:dyDescent="0.15"/>
    <row r="8655" hidden="1" x14ac:dyDescent="0.15"/>
    <row r="8656" hidden="1" x14ac:dyDescent="0.15"/>
    <row r="8657" hidden="1" x14ac:dyDescent="0.15"/>
    <row r="8658" hidden="1" x14ac:dyDescent="0.15"/>
    <row r="8659" hidden="1" x14ac:dyDescent="0.15"/>
    <row r="8660" hidden="1" x14ac:dyDescent="0.15"/>
    <row r="8661" hidden="1" x14ac:dyDescent="0.15"/>
    <row r="8662" hidden="1" x14ac:dyDescent="0.15"/>
    <row r="8663" hidden="1" x14ac:dyDescent="0.15"/>
    <row r="8664" hidden="1" x14ac:dyDescent="0.15"/>
    <row r="8665" hidden="1" x14ac:dyDescent="0.15"/>
    <row r="8666" hidden="1" x14ac:dyDescent="0.15"/>
    <row r="8667" hidden="1" x14ac:dyDescent="0.15"/>
    <row r="8668" hidden="1" x14ac:dyDescent="0.15"/>
    <row r="8669" hidden="1" x14ac:dyDescent="0.15"/>
    <row r="8670" hidden="1" x14ac:dyDescent="0.15"/>
    <row r="8671" hidden="1" x14ac:dyDescent="0.15"/>
    <row r="8672" hidden="1" x14ac:dyDescent="0.15"/>
    <row r="8673" hidden="1" x14ac:dyDescent="0.15"/>
    <row r="8674" hidden="1" x14ac:dyDescent="0.15"/>
    <row r="8675" hidden="1" x14ac:dyDescent="0.15"/>
    <row r="8676" hidden="1" x14ac:dyDescent="0.15"/>
    <row r="8677" hidden="1" x14ac:dyDescent="0.15"/>
    <row r="8678" hidden="1" x14ac:dyDescent="0.15"/>
    <row r="8679" hidden="1" x14ac:dyDescent="0.15"/>
    <row r="8680" hidden="1" x14ac:dyDescent="0.15"/>
    <row r="8681" hidden="1" x14ac:dyDescent="0.15"/>
    <row r="8682" hidden="1" x14ac:dyDescent="0.15"/>
    <row r="8683" hidden="1" x14ac:dyDescent="0.15"/>
    <row r="8684" hidden="1" x14ac:dyDescent="0.15"/>
    <row r="8685" hidden="1" x14ac:dyDescent="0.15"/>
    <row r="8686" hidden="1" x14ac:dyDescent="0.15"/>
    <row r="8687" hidden="1" x14ac:dyDescent="0.15"/>
    <row r="8688" hidden="1" x14ac:dyDescent="0.15"/>
    <row r="8689" hidden="1" x14ac:dyDescent="0.15"/>
    <row r="8690" hidden="1" x14ac:dyDescent="0.15"/>
    <row r="8691" hidden="1" x14ac:dyDescent="0.15"/>
    <row r="8692" hidden="1" x14ac:dyDescent="0.15"/>
    <row r="8693" hidden="1" x14ac:dyDescent="0.15"/>
    <row r="8694" hidden="1" x14ac:dyDescent="0.15"/>
    <row r="8695" hidden="1" x14ac:dyDescent="0.15"/>
    <row r="8696" hidden="1" x14ac:dyDescent="0.15"/>
    <row r="8697" hidden="1" x14ac:dyDescent="0.15"/>
    <row r="8698" hidden="1" x14ac:dyDescent="0.15"/>
    <row r="8699" hidden="1" x14ac:dyDescent="0.15"/>
    <row r="8700" hidden="1" x14ac:dyDescent="0.15"/>
    <row r="8701" hidden="1" x14ac:dyDescent="0.15"/>
    <row r="8702" hidden="1" x14ac:dyDescent="0.15"/>
    <row r="8703" hidden="1" x14ac:dyDescent="0.15"/>
    <row r="8704" hidden="1" x14ac:dyDescent="0.15"/>
    <row r="8705" hidden="1" x14ac:dyDescent="0.15"/>
    <row r="8706" hidden="1" x14ac:dyDescent="0.15"/>
    <row r="8707" hidden="1" x14ac:dyDescent="0.15"/>
    <row r="8708" hidden="1" x14ac:dyDescent="0.15"/>
    <row r="8709" hidden="1" x14ac:dyDescent="0.15"/>
    <row r="8710" hidden="1" x14ac:dyDescent="0.15"/>
    <row r="8711" hidden="1" x14ac:dyDescent="0.15"/>
    <row r="8712" hidden="1" x14ac:dyDescent="0.15"/>
    <row r="8713" hidden="1" x14ac:dyDescent="0.15"/>
    <row r="8714" hidden="1" x14ac:dyDescent="0.15"/>
    <row r="8715" hidden="1" x14ac:dyDescent="0.15"/>
    <row r="8716" hidden="1" x14ac:dyDescent="0.15"/>
    <row r="8717" hidden="1" x14ac:dyDescent="0.15"/>
    <row r="8718" hidden="1" x14ac:dyDescent="0.15"/>
    <row r="8719" hidden="1" x14ac:dyDescent="0.15"/>
    <row r="8720" hidden="1" x14ac:dyDescent="0.15"/>
    <row r="8721" hidden="1" x14ac:dyDescent="0.15"/>
    <row r="8722" hidden="1" x14ac:dyDescent="0.15"/>
    <row r="8723" hidden="1" x14ac:dyDescent="0.15"/>
    <row r="8724" hidden="1" x14ac:dyDescent="0.15"/>
    <row r="8725" hidden="1" x14ac:dyDescent="0.15"/>
    <row r="8726" hidden="1" x14ac:dyDescent="0.15"/>
    <row r="8727" hidden="1" x14ac:dyDescent="0.15"/>
    <row r="8728" hidden="1" x14ac:dyDescent="0.15"/>
    <row r="8729" hidden="1" x14ac:dyDescent="0.15"/>
    <row r="8730" hidden="1" x14ac:dyDescent="0.15"/>
    <row r="8731" hidden="1" x14ac:dyDescent="0.15"/>
    <row r="8732" hidden="1" x14ac:dyDescent="0.15"/>
    <row r="8733" hidden="1" x14ac:dyDescent="0.15"/>
    <row r="8734" hidden="1" x14ac:dyDescent="0.15"/>
    <row r="8735" hidden="1" x14ac:dyDescent="0.15"/>
    <row r="8736" hidden="1" x14ac:dyDescent="0.15"/>
    <row r="8737" hidden="1" x14ac:dyDescent="0.15"/>
    <row r="8738" hidden="1" x14ac:dyDescent="0.15"/>
    <row r="8739" hidden="1" x14ac:dyDescent="0.15"/>
    <row r="8740" hidden="1" x14ac:dyDescent="0.15"/>
    <row r="8741" hidden="1" x14ac:dyDescent="0.15"/>
    <row r="8742" hidden="1" x14ac:dyDescent="0.15"/>
    <row r="8743" hidden="1" x14ac:dyDescent="0.15"/>
    <row r="8744" hidden="1" x14ac:dyDescent="0.15"/>
    <row r="8745" hidden="1" x14ac:dyDescent="0.15"/>
    <row r="8746" hidden="1" x14ac:dyDescent="0.15"/>
    <row r="8747" hidden="1" x14ac:dyDescent="0.15"/>
    <row r="8748" hidden="1" x14ac:dyDescent="0.15"/>
    <row r="8749" hidden="1" x14ac:dyDescent="0.15"/>
    <row r="8750" hidden="1" x14ac:dyDescent="0.15"/>
    <row r="8751" hidden="1" x14ac:dyDescent="0.15"/>
    <row r="8752" hidden="1" x14ac:dyDescent="0.15"/>
    <row r="8753" hidden="1" x14ac:dyDescent="0.15"/>
    <row r="8754" hidden="1" x14ac:dyDescent="0.15"/>
    <row r="8755" hidden="1" x14ac:dyDescent="0.15"/>
    <row r="8756" hidden="1" x14ac:dyDescent="0.15"/>
    <row r="8757" hidden="1" x14ac:dyDescent="0.15"/>
    <row r="8758" hidden="1" x14ac:dyDescent="0.15"/>
    <row r="8759" hidden="1" x14ac:dyDescent="0.15"/>
    <row r="8760" hidden="1" x14ac:dyDescent="0.15"/>
    <row r="8761" hidden="1" x14ac:dyDescent="0.15"/>
    <row r="8762" hidden="1" x14ac:dyDescent="0.15"/>
    <row r="8763" hidden="1" x14ac:dyDescent="0.15"/>
    <row r="8764" hidden="1" x14ac:dyDescent="0.15"/>
    <row r="8765" hidden="1" x14ac:dyDescent="0.15"/>
    <row r="8766" hidden="1" x14ac:dyDescent="0.15"/>
    <row r="8767" hidden="1" x14ac:dyDescent="0.15"/>
    <row r="8768" hidden="1" x14ac:dyDescent="0.15"/>
    <row r="8769" hidden="1" x14ac:dyDescent="0.15"/>
    <row r="8770" hidden="1" x14ac:dyDescent="0.15"/>
    <row r="8771" hidden="1" x14ac:dyDescent="0.15"/>
    <row r="8772" hidden="1" x14ac:dyDescent="0.15"/>
    <row r="8773" hidden="1" x14ac:dyDescent="0.15"/>
    <row r="8774" hidden="1" x14ac:dyDescent="0.15"/>
    <row r="8775" hidden="1" x14ac:dyDescent="0.15"/>
    <row r="8776" hidden="1" x14ac:dyDescent="0.15"/>
    <row r="8777" hidden="1" x14ac:dyDescent="0.15"/>
    <row r="8778" hidden="1" x14ac:dyDescent="0.15"/>
    <row r="8779" hidden="1" x14ac:dyDescent="0.15"/>
    <row r="8780" hidden="1" x14ac:dyDescent="0.15"/>
    <row r="8781" hidden="1" x14ac:dyDescent="0.15"/>
    <row r="8782" hidden="1" x14ac:dyDescent="0.15"/>
    <row r="8783" hidden="1" x14ac:dyDescent="0.15"/>
    <row r="8784" hidden="1" x14ac:dyDescent="0.15"/>
    <row r="8785" hidden="1" x14ac:dyDescent="0.15"/>
    <row r="8786" hidden="1" x14ac:dyDescent="0.15"/>
    <row r="8787" hidden="1" x14ac:dyDescent="0.15"/>
    <row r="8788" hidden="1" x14ac:dyDescent="0.15"/>
    <row r="8789" hidden="1" x14ac:dyDescent="0.15"/>
    <row r="8790" hidden="1" x14ac:dyDescent="0.15"/>
    <row r="8791" hidden="1" x14ac:dyDescent="0.15"/>
    <row r="8792" hidden="1" x14ac:dyDescent="0.15"/>
    <row r="8793" hidden="1" x14ac:dyDescent="0.15"/>
    <row r="8794" hidden="1" x14ac:dyDescent="0.15"/>
    <row r="8795" hidden="1" x14ac:dyDescent="0.15"/>
    <row r="8796" hidden="1" x14ac:dyDescent="0.15"/>
    <row r="8797" hidden="1" x14ac:dyDescent="0.15"/>
    <row r="8798" hidden="1" x14ac:dyDescent="0.15"/>
    <row r="8799" hidden="1" x14ac:dyDescent="0.15"/>
    <row r="8800" hidden="1" x14ac:dyDescent="0.15"/>
    <row r="8801" hidden="1" x14ac:dyDescent="0.15"/>
    <row r="8802" hidden="1" x14ac:dyDescent="0.15"/>
    <row r="8803" hidden="1" x14ac:dyDescent="0.15"/>
    <row r="8804" hidden="1" x14ac:dyDescent="0.15"/>
    <row r="8805" hidden="1" x14ac:dyDescent="0.15"/>
    <row r="8806" hidden="1" x14ac:dyDescent="0.15"/>
    <row r="8807" hidden="1" x14ac:dyDescent="0.15"/>
    <row r="8808" hidden="1" x14ac:dyDescent="0.15"/>
    <row r="8809" hidden="1" x14ac:dyDescent="0.15"/>
    <row r="8810" hidden="1" x14ac:dyDescent="0.15"/>
    <row r="8811" hidden="1" x14ac:dyDescent="0.15"/>
    <row r="8812" hidden="1" x14ac:dyDescent="0.15"/>
    <row r="8813" hidden="1" x14ac:dyDescent="0.15"/>
    <row r="8814" hidden="1" x14ac:dyDescent="0.15"/>
    <row r="8815" hidden="1" x14ac:dyDescent="0.15"/>
    <row r="8816" hidden="1" x14ac:dyDescent="0.15"/>
    <row r="8817" hidden="1" x14ac:dyDescent="0.15"/>
    <row r="8818" hidden="1" x14ac:dyDescent="0.15"/>
    <row r="8819" hidden="1" x14ac:dyDescent="0.15"/>
    <row r="8820" hidden="1" x14ac:dyDescent="0.15"/>
    <row r="8821" hidden="1" x14ac:dyDescent="0.15"/>
    <row r="8822" hidden="1" x14ac:dyDescent="0.15"/>
    <row r="8823" hidden="1" x14ac:dyDescent="0.15"/>
    <row r="8824" hidden="1" x14ac:dyDescent="0.15"/>
    <row r="8825" hidden="1" x14ac:dyDescent="0.15"/>
    <row r="8826" hidden="1" x14ac:dyDescent="0.15"/>
    <row r="8827" hidden="1" x14ac:dyDescent="0.15"/>
    <row r="8828" hidden="1" x14ac:dyDescent="0.15"/>
    <row r="8829" hidden="1" x14ac:dyDescent="0.15"/>
    <row r="8830" hidden="1" x14ac:dyDescent="0.15"/>
    <row r="8831" hidden="1" x14ac:dyDescent="0.15"/>
    <row r="8832" hidden="1" x14ac:dyDescent="0.15"/>
    <row r="8833" hidden="1" x14ac:dyDescent="0.15"/>
    <row r="8834" hidden="1" x14ac:dyDescent="0.15"/>
    <row r="8835" hidden="1" x14ac:dyDescent="0.15"/>
    <row r="8836" hidden="1" x14ac:dyDescent="0.15"/>
    <row r="8837" hidden="1" x14ac:dyDescent="0.15"/>
    <row r="8838" hidden="1" x14ac:dyDescent="0.15"/>
    <row r="8839" hidden="1" x14ac:dyDescent="0.15"/>
    <row r="8840" hidden="1" x14ac:dyDescent="0.15"/>
    <row r="8841" hidden="1" x14ac:dyDescent="0.15"/>
    <row r="8842" hidden="1" x14ac:dyDescent="0.15"/>
    <row r="8843" hidden="1" x14ac:dyDescent="0.15"/>
    <row r="8844" hidden="1" x14ac:dyDescent="0.15"/>
    <row r="8845" hidden="1" x14ac:dyDescent="0.15"/>
    <row r="8846" hidden="1" x14ac:dyDescent="0.15"/>
    <row r="8847" hidden="1" x14ac:dyDescent="0.15"/>
    <row r="8848" hidden="1" x14ac:dyDescent="0.15"/>
    <row r="8849" hidden="1" x14ac:dyDescent="0.15"/>
    <row r="8850" hidden="1" x14ac:dyDescent="0.15"/>
    <row r="8851" hidden="1" x14ac:dyDescent="0.15"/>
    <row r="8852" hidden="1" x14ac:dyDescent="0.15"/>
    <row r="8853" hidden="1" x14ac:dyDescent="0.15"/>
    <row r="8854" hidden="1" x14ac:dyDescent="0.15"/>
    <row r="8855" hidden="1" x14ac:dyDescent="0.15"/>
    <row r="8856" hidden="1" x14ac:dyDescent="0.15"/>
    <row r="8857" hidden="1" x14ac:dyDescent="0.15"/>
    <row r="8858" hidden="1" x14ac:dyDescent="0.15"/>
    <row r="8859" hidden="1" x14ac:dyDescent="0.15"/>
    <row r="8860" hidden="1" x14ac:dyDescent="0.15"/>
    <row r="8861" hidden="1" x14ac:dyDescent="0.15"/>
    <row r="8862" hidden="1" x14ac:dyDescent="0.15"/>
    <row r="8863" hidden="1" x14ac:dyDescent="0.15"/>
    <row r="8864" hidden="1" x14ac:dyDescent="0.15"/>
    <row r="8865" hidden="1" x14ac:dyDescent="0.15"/>
    <row r="8866" hidden="1" x14ac:dyDescent="0.15"/>
    <row r="8867" hidden="1" x14ac:dyDescent="0.15"/>
    <row r="8868" hidden="1" x14ac:dyDescent="0.15"/>
    <row r="8869" hidden="1" x14ac:dyDescent="0.15"/>
    <row r="8870" hidden="1" x14ac:dyDescent="0.15"/>
    <row r="8871" hidden="1" x14ac:dyDescent="0.15"/>
    <row r="8872" hidden="1" x14ac:dyDescent="0.15"/>
    <row r="8873" hidden="1" x14ac:dyDescent="0.15"/>
    <row r="8874" hidden="1" x14ac:dyDescent="0.15"/>
    <row r="8875" hidden="1" x14ac:dyDescent="0.15"/>
    <row r="8876" hidden="1" x14ac:dyDescent="0.15"/>
    <row r="8877" hidden="1" x14ac:dyDescent="0.15"/>
    <row r="8878" hidden="1" x14ac:dyDescent="0.15"/>
    <row r="8879" hidden="1" x14ac:dyDescent="0.15"/>
    <row r="8880" hidden="1" x14ac:dyDescent="0.15"/>
    <row r="8881" hidden="1" x14ac:dyDescent="0.15"/>
    <row r="8882" hidden="1" x14ac:dyDescent="0.15"/>
    <row r="8883" hidden="1" x14ac:dyDescent="0.15"/>
    <row r="8884" hidden="1" x14ac:dyDescent="0.15"/>
    <row r="8885" hidden="1" x14ac:dyDescent="0.15"/>
    <row r="8886" hidden="1" x14ac:dyDescent="0.15"/>
    <row r="8887" hidden="1" x14ac:dyDescent="0.15"/>
    <row r="8888" hidden="1" x14ac:dyDescent="0.15"/>
    <row r="8889" hidden="1" x14ac:dyDescent="0.15"/>
    <row r="8890" hidden="1" x14ac:dyDescent="0.15"/>
    <row r="8891" hidden="1" x14ac:dyDescent="0.15"/>
    <row r="8892" hidden="1" x14ac:dyDescent="0.15"/>
    <row r="8893" hidden="1" x14ac:dyDescent="0.15"/>
    <row r="8894" hidden="1" x14ac:dyDescent="0.15"/>
    <row r="8895" hidden="1" x14ac:dyDescent="0.15"/>
    <row r="8896" hidden="1" x14ac:dyDescent="0.15"/>
    <row r="8897" hidden="1" x14ac:dyDescent="0.15"/>
    <row r="8898" hidden="1" x14ac:dyDescent="0.15"/>
    <row r="8899" hidden="1" x14ac:dyDescent="0.15"/>
    <row r="8900" hidden="1" x14ac:dyDescent="0.15"/>
    <row r="8901" hidden="1" x14ac:dyDescent="0.15"/>
    <row r="8902" hidden="1" x14ac:dyDescent="0.15"/>
    <row r="8903" hidden="1" x14ac:dyDescent="0.15"/>
    <row r="8904" hidden="1" x14ac:dyDescent="0.15"/>
    <row r="8905" hidden="1" x14ac:dyDescent="0.15"/>
    <row r="8906" hidden="1" x14ac:dyDescent="0.15"/>
    <row r="8907" hidden="1" x14ac:dyDescent="0.15"/>
    <row r="8908" hidden="1" x14ac:dyDescent="0.15"/>
    <row r="8909" hidden="1" x14ac:dyDescent="0.15"/>
    <row r="8910" hidden="1" x14ac:dyDescent="0.15"/>
    <row r="8911" hidden="1" x14ac:dyDescent="0.15"/>
    <row r="8912" hidden="1" x14ac:dyDescent="0.15"/>
    <row r="8913" hidden="1" x14ac:dyDescent="0.15"/>
    <row r="8914" hidden="1" x14ac:dyDescent="0.15"/>
    <row r="8915" hidden="1" x14ac:dyDescent="0.15"/>
    <row r="8916" hidden="1" x14ac:dyDescent="0.15"/>
    <row r="8917" hidden="1" x14ac:dyDescent="0.15"/>
    <row r="8918" hidden="1" x14ac:dyDescent="0.15"/>
    <row r="8919" hidden="1" x14ac:dyDescent="0.15"/>
    <row r="8920" hidden="1" x14ac:dyDescent="0.15"/>
    <row r="8921" hidden="1" x14ac:dyDescent="0.15"/>
    <row r="8922" hidden="1" x14ac:dyDescent="0.15"/>
    <row r="8923" hidden="1" x14ac:dyDescent="0.15"/>
    <row r="8924" hidden="1" x14ac:dyDescent="0.15"/>
    <row r="8925" hidden="1" x14ac:dyDescent="0.15"/>
    <row r="8926" hidden="1" x14ac:dyDescent="0.15"/>
    <row r="8927" hidden="1" x14ac:dyDescent="0.15"/>
    <row r="8928" hidden="1" x14ac:dyDescent="0.15"/>
    <row r="8929" hidden="1" x14ac:dyDescent="0.15"/>
    <row r="8930" hidden="1" x14ac:dyDescent="0.15"/>
    <row r="8931" hidden="1" x14ac:dyDescent="0.15"/>
    <row r="8932" hidden="1" x14ac:dyDescent="0.15"/>
    <row r="8933" hidden="1" x14ac:dyDescent="0.15"/>
    <row r="8934" hidden="1" x14ac:dyDescent="0.15"/>
    <row r="8935" hidden="1" x14ac:dyDescent="0.15"/>
    <row r="8936" hidden="1" x14ac:dyDescent="0.15"/>
    <row r="8937" hidden="1" x14ac:dyDescent="0.15"/>
    <row r="8938" hidden="1" x14ac:dyDescent="0.15"/>
    <row r="8939" hidden="1" x14ac:dyDescent="0.15"/>
    <row r="8940" hidden="1" x14ac:dyDescent="0.15"/>
    <row r="8941" hidden="1" x14ac:dyDescent="0.15"/>
    <row r="8942" hidden="1" x14ac:dyDescent="0.15"/>
    <row r="8943" hidden="1" x14ac:dyDescent="0.15"/>
    <row r="8944" hidden="1" x14ac:dyDescent="0.15"/>
    <row r="8945" hidden="1" x14ac:dyDescent="0.15"/>
    <row r="8946" hidden="1" x14ac:dyDescent="0.15"/>
    <row r="8947" hidden="1" x14ac:dyDescent="0.15"/>
    <row r="8948" hidden="1" x14ac:dyDescent="0.15"/>
    <row r="8949" hidden="1" x14ac:dyDescent="0.15"/>
    <row r="8950" hidden="1" x14ac:dyDescent="0.15"/>
    <row r="8951" hidden="1" x14ac:dyDescent="0.15"/>
    <row r="8952" hidden="1" x14ac:dyDescent="0.15"/>
    <row r="8953" hidden="1" x14ac:dyDescent="0.15"/>
    <row r="8954" hidden="1" x14ac:dyDescent="0.15"/>
    <row r="8955" hidden="1" x14ac:dyDescent="0.15"/>
    <row r="8956" hidden="1" x14ac:dyDescent="0.15"/>
    <row r="8957" hidden="1" x14ac:dyDescent="0.15"/>
    <row r="8958" hidden="1" x14ac:dyDescent="0.15"/>
    <row r="8959" hidden="1" x14ac:dyDescent="0.15"/>
    <row r="8960" hidden="1" x14ac:dyDescent="0.15"/>
    <row r="8961" hidden="1" x14ac:dyDescent="0.15"/>
    <row r="8962" hidden="1" x14ac:dyDescent="0.15"/>
    <row r="8963" hidden="1" x14ac:dyDescent="0.15"/>
    <row r="8964" hidden="1" x14ac:dyDescent="0.15"/>
    <row r="8965" hidden="1" x14ac:dyDescent="0.15"/>
    <row r="8966" hidden="1" x14ac:dyDescent="0.15"/>
    <row r="8967" hidden="1" x14ac:dyDescent="0.15"/>
    <row r="8968" hidden="1" x14ac:dyDescent="0.15"/>
    <row r="8969" hidden="1" x14ac:dyDescent="0.15"/>
    <row r="8970" hidden="1" x14ac:dyDescent="0.15"/>
    <row r="8971" hidden="1" x14ac:dyDescent="0.15"/>
    <row r="8972" hidden="1" x14ac:dyDescent="0.15"/>
    <row r="8973" hidden="1" x14ac:dyDescent="0.15"/>
    <row r="8974" hidden="1" x14ac:dyDescent="0.15"/>
    <row r="8975" hidden="1" x14ac:dyDescent="0.15"/>
    <row r="8976" hidden="1" x14ac:dyDescent="0.15"/>
    <row r="8977" hidden="1" x14ac:dyDescent="0.15"/>
    <row r="8978" hidden="1" x14ac:dyDescent="0.15"/>
    <row r="8979" hidden="1" x14ac:dyDescent="0.15"/>
    <row r="8980" hidden="1" x14ac:dyDescent="0.15"/>
    <row r="8981" hidden="1" x14ac:dyDescent="0.15"/>
    <row r="8982" hidden="1" x14ac:dyDescent="0.15"/>
    <row r="8983" hidden="1" x14ac:dyDescent="0.15"/>
    <row r="8984" hidden="1" x14ac:dyDescent="0.15"/>
    <row r="8985" hidden="1" x14ac:dyDescent="0.15"/>
    <row r="8986" hidden="1" x14ac:dyDescent="0.15"/>
    <row r="8987" hidden="1" x14ac:dyDescent="0.15"/>
    <row r="8988" hidden="1" x14ac:dyDescent="0.15"/>
    <row r="8989" hidden="1" x14ac:dyDescent="0.15"/>
    <row r="8990" hidden="1" x14ac:dyDescent="0.15"/>
    <row r="8991" hidden="1" x14ac:dyDescent="0.15"/>
    <row r="8992" hidden="1" x14ac:dyDescent="0.15"/>
    <row r="8993" hidden="1" x14ac:dyDescent="0.15"/>
    <row r="8994" hidden="1" x14ac:dyDescent="0.15"/>
    <row r="8995" hidden="1" x14ac:dyDescent="0.15"/>
    <row r="8996" hidden="1" x14ac:dyDescent="0.15"/>
    <row r="8997" hidden="1" x14ac:dyDescent="0.15"/>
    <row r="8998" hidden="1" x14ac:dyDescent="0.15"/>
    <row r="8999" hidden="1" x14ac:dyDescent="0.15"/>
    <row r="9000" hidden="1" x14ac:dyDescent="0.15"/>
    <row r="9001" hidden="1" x14ac:dyDescent="0.15"/>
    <row r="9002" hidden="1" x14ac:dyDescent="0.15"/>
    <row r="9003" hidden="1" x14ac:dyDescent="0.15"/>
    <row r="9004" hidden="1" x14ac:dyDescent="0.15"/>
    <row r="9005" hidden="1" x14ac:dyDescent="0.15"/>
    <row r="9006" hidden="1" x14ac:dyDescent="0.15"/>
    <row r="9007" hidden="1" x14ac:dyDescent="0.15"/>
    <row r="9008" hidden="1" x14ac:dyDescent="0.15"/>
    <row r="9009" hidden="1" x14ac:dyDescent="0.15"/>
    <row r="9010" hidden="1" x14ac:dyDescent="0.15"/>
    <row r="9011" hidden="1" x14ac:dyDescent="0.15"/>
    <row r="9012" hidden="1" x14ac:dyDescent="0.15"/>
    <row r="9013" hidden="1" x14ac:dyDescent="0.15"/>
    <row r="9014" hidden="1" x14ac:dyDescent="0.15"/>
    <row r="9015" hidden="1" x14ac:dyDescent="0.15"/>
    <row r="9016" hidden="1" x14ac:dyDescent="0.15"/>
    <row r="9017" hidden="1" x14ac:dyDescent="0.15"/>
    <row r="9018" hidden="1" x14ac:dyDescent="0.15"/>
    <row r="9019" hidden="1" x14ac:dyDescent="0.15"/>
    <row r="9020" hidden="1" x14ac:dyDescent="0.15"/>
    <row r="9021" hidden="1" x14ac:dyDescent="0.15"/>
    <row r="9022" hidden="1" x14ac:dyDescent="0.15"/>
    <row r="9023" hidden="1" x14ac:dyDescent="0.15"/>
    <row r="9024" hidden="1" x14ac:dyDescent="0.15"/>
    <row r="9025" hidden="1" x14ac:dyDescent="0.15"/>
    <row r="9026" hidden="1" x14ac:dyDescent="0.15"/>
    <row r="9027" hidden="1" x14ac:dyDescent="0.15"/>
    <row r="9028" hidden="1" x14ac:dyDescent="0.15"/>
    <row r="9029" hidden="1" x14ac:dyDescent="0.15"/>
    <row r="9030" hidden="1" x14ac:dyDescent="0.15"/>
    <row r="9031" hidden="1" x14ac:dyDescent="0.15"/>
    <row r="9032" hidden="1" x14ac:dyDescent="0.15"/>
    <row r="9033" hidden="1" x14ac:dyDescent="0.15"/>
    <row r="9034" hidden="1" x14ac:dyDescent="0.15"/>
    <row r="9035" hidden="1" x14ac:dyDescent="0.15"/>
    <row r="9036" hidden="1" x14ac:dyDescent="0.15"/>
    <row r="9037" hidden="1" x14ac:dyDescent="0.15"/>
    <row r="9038" hidden="1" x14ac:dyDescent="0.15"/>
    <row r="9039" hidden="1" x14ac:dyDescent="0.15"/>
    <row r="9040" hidden="1" x14ac:dyDescent="0.15"/>
    <row r="9041" hidden="1" x14ac:dyDescent="0.15"/>
    <row r="9042" hidden="1" x14ac:dyDescent="0.15"/>
    <row r="9043" hidden="1" x14ac:dyDescent="0.15"/>
    <row r="9044" hidden="1" x14ac:dyDescent="0.15"/>
    <row r="9045" hidden="1" x14ac:dyDescent="0.15"/>
    <row r="9046" hidden="1" x14ac:dyDescent="0.15"/>
    <row r="9047" hidden="1" x14ac:dyDescent="0.15"/>
    <row r="9048" hidden="1" x14ac:dyDescent="0.15"/>
    <row r="9049" hidden="1" x14ac:dyDescent="0.15"/>
    <row r="9050" hidden="1" x14ac:dyDescent="0.15"/>
    <row r="9051" hidden="1" x14ac:dyDescent="0.15"/>
    <row r="9052" hidden="1" x14ac:dyDescent="0.15"/>
    <row r="9053" hidden="1" x14ac:dyDescent="0.15"/>
    <row r="9054" hidden="1" x14ac:dyDescent="0.15"/>
    <row r="9055" hidden="1" x14ac:dyDescent="0.15"/>
    <row r="9056" hidden="1" x14ac:dyDescent="0.15"/>
    <row r="9057" hidden="1" x14ac:dyDescent="0.15"/>
    <row r="9058" hidden="1" x14ac:dyDescent="0.15"/>
    <row r="9059" hidden="1" x14ac:dyDescent="0.15"/>
    <row r="9060" hidden="1" x14ac:dyDescent="0.15"/>
    <row r="9061" hidden="1" x14ac:dyDescent="0.15"/>
    <row r="9062" hidden="1" x14ac:dyDescent="0.15"/>
    <row r="9063" hidden="1" x14ac:dyDescent="0.15"/>
    <row r="9064" hidden="1" x14ac:dyDescent="0.15"/>
    <row r="9065" hidden="1" x14ac:dyDescent="0.15"/>
    <row r="9066" hidden="1" x14ac:dyDescent="0.15"/>
    <row r="9067" hidden="1" x14ac:dyDescent="0.15"/>
    <row r="9068" hidden="1" x14ac:dyDescent="0.15"/>
    <row r="9069" hidden="1" x14ac:dyDescent="0.15"/>
    <row r="9070" hidden="1" x14ac:dyDescent="0.15"/>
    <row r="9071" hidden="1" x14ac:dyDescent="0.15"/>
    <row r="9072" hidden="1" x14ac:dyDescent="0.15"/>
    <row r="9073" hidden="1" x14ac:dyDescent="0.15"/>
    <row r="9074" hidden="1" x14ac:dyDescent="0.15"/>
    <row r="9075" hidden="1" x14ac:dyDescent="0.15"/>
    <row r="9076" hidden="1" x14ac:dyDescent="0.15"/>
    <row r="9077" hidden="1" x14ac:dyDescent="0.15"/>
    <row r="9078" hidden="1" x14ac:dyDescent="0.15"/>
    <row r="9079" hidden="1" x14ac:dyDescent="0.15"/>
    <row r="9080" hidden="1" x14ac:dyDescent="0.15"/>
    <row r="9081" hidden="1" x14ac:dyDescent="0.15"/>
    <row r="9082" hidden="1" x14ac:dyDescent="0.15"/>
    <row r="9083" hidden="1" x14ac:dyDescent="0.15"/>
    <row r="9084" hidden="1" x14ac:dyDescent="0.15"/>
    <row r="9085" hidden="1" x14ac:dyDescent="0.15"/>
    <row r="9086" hidden="1" x14ac:dyDescent="0.15"/>
    <row r="9087" hidden="1" x14ac:dyDescent="0.15"/>
    <row r="9088" hidden="1" x14ac:dyDescent="0.15"/>
    <row r="9089" hidden="1" x14ac:dyDescent="0.15"/>
    <row r="9090" hidden="1" x14ac:dyDescent="0.15"/>
    <row r="9091" hidden="1" x14ac:dyDescent="0.15"/>
    <row r="9092" hidden="1" x14ac:dyDescent="0.15"/>
    <row r="9093" hidden="1" x14ac:dyDescent="0.15"/>
    <row r="9094" hidden="1" x14ac:dyDescent="0.15"/>
    <row r="9095" hidden="1" x14ac:dyDescent="0.15"/>
    <row r="9096" hidden="1" x14ac:dyDescent="0.15"/>
    <row r="9097" hidden="1" x14ac:dyDescent="0.15"/>
    <row r="9098" hidden="1" x14ac:dyDescent="0.15"/>
    <row r="9099" hidden="1" x14ac:dyDescent="0.15"/>
    <row r="9100" hidden="1" x14ac:dyDescent="0.15"/>
    <row r="9101" hidden="1" x14ac:dyDescent="0.15"/>
    <row r="9102" hidden="1" x14ac:dyDescent="0.15"/>
    <row r="9103" hidden="1" x14ac:dyDescent="0.15"/>
    <row r="9104" hidden="1" x14ac:dyDescent="0.15"/>
    <row r="9105" hidden="1" x14ac:dyDescent="0.15"/>
    <row r="9106" hidden="1" x14ac:dyDescent="0.15"/>
    <row r="9107" hidden="1" x14ac:dyDescent="0.15"/>
    <row r="9108" hidden="1" x14ac:dyDescent="0.15"/>
    <row r="9109" hidden="1" x14ac:dyDescent="0.15"/>
    <row r="9110" hidden="1" x14ac:dyDescent="0.15"/>
    <row r="9111" hidden="1" x14ac:dyDescent="0.15"/>
    <row r="9112" hidden="1" x14ac:dyDescent="0.15"/>
    <row r="9113" hidden="1" x14ac:dyDescent="0.15"/>
    <row r="9114" hidden="1" x14ac:dyDescent="0.15"/>
    <row r="9115" hidden="1" x14ac:dyDescent="0.15"/>
    <row r="9116" hidden="1" x14ac:dyDescent="0.15"/>
    <row r="9117" hidden="1" x14ac:dyDescent="0.15"/>
    <row r="9118" hidden="1" x14ac:dyDescent="0.15"/>
    <row r="9119" hidden="1" x14ac:dyDescent="0.15"/>
    <row r="9120" hidden="1" x14ac:dyDescent="0.15"/>
    <row r="9121" hidden="1" x14ac:dyDescent="0.15"/>
    <row r="9122" hidden="1" x14ac:dyDescent="0.15"/>
    <row r="9123" hidden="1" x14ac:dyDescent="0.15"/>
    <row r="9124" hidden="1" x14ac:dyDescent="0.15"/>
    <row r="9125" hidden="1" x14ac:dyDescent="0.15"/>
    <row r="9126" hidden="1" x14ac:dyDescent="0.15"/>
    <row r="9127" hidden="1" x14ac:dyDescent="0.15"/>
    <row r="9128" hidden="1" x14ac:dyDescent="0.15"/>
    <row r="9129" hidden="1" x14ac:dyDescent="0.15"/>
    <row r="9130" hidden="1" x14ac:dyDescent="0.15"/>
    <row r="9131" hidden="1" x14ac:dyDescent="0.15"/>
    <row r="9132" hidden="1" x14ac:dyDescent="0.15"/>
    <row r="9133" hidden="1" x14ac:dyDescent="0.15"/>
    <row r="9134" hidden="1" x14ac:dyDescent="0.15"/>
    <row r="9135" hidden="1" x14ac:dyDescent="0.15"/>
    <row r="9136" hidden="1" x14ac:dyDescent="0.15"/>
    <row r="9137" hidden="1" x14ac:dyDescent="0.15"/>
    <row r="9138" hidden="1" x14ac:dyDescent="0.15"/>
    <row r="9139" hidden="1" x14ac:dyDescent="0.15"/>
    <row r="9140" hidden="1" x14ac:dyDescent="0.15"/>
    <row r="9141" hidden="1" x14ac:dyDescent="0.15"/>
    <row r="9142" hidden="1" x14ac:dyDescent="0.15"/>
    <row r="9143" hidden="1" x14ac:dyDescent="0.15"/>
    <row r="9144" hidden="1" x14ac:dyDescent="0.15"/>
    <row r="9145" hidden="1" x14ac:dyDescent="0.15"/>
    <row r="9146" hidden="1" x14ac:dyDescent="0.15"/>
    <row r="9147" hidden="1" x14ac:dyDescent="0.15"/>
    <row r="9148" hidden="1" x14ac:dyDescent="0.15"/>
    <row r="9149" hidden="1" x14ac:dyDescent="0.15"/>
    <row r="9150" hidden="1" x14ac:dyDescent="0.15"/>
    <row r="9151" hidden="1" x14ac:dyDescent="0.15"/>
    <row r="9152" hidden="1" x14ac:dyDescent="0.15"/>
    <row r="9153" hidden="1" x14ac:dyDescent="0.15"/>
    <row r="9154" hidden="1" x14ac:dyDescent="0.15"/>
    <row r="9155" hidden="1" x14ac:dyDescent="0.15"/>
    <row r="9156" hidden="1" x14ac:dyDescent="0.15"/>
    <row r="9157" hidden="1" x14ac:dyDescent="0.15"/>
    <row r="9158" hidden="1" x14ac:dyDescent="0.15"/>
    <row r="9159" hidden="1" x14ac:dyDescent="0.15"/>
    <row r="9160" hidden="1" x14ac:dyDescent="0.15"/>
    <row r="9161" hidden="1" x14ac:dyDescent="0.15"/>
    <row r="9162" hidden="1" x14ac:dyDescent="0.15"/>
    <row r="9163" hidden="1" x14ac:dyDescent="0.15"/>
    <row r="9164" hidden="1" x14ac:dyDescent="0.15"/>
    <row r="9165" hidden="1" x14ac:dyDescent="0.15"/>
    <row r="9166" hidden="1" x14ac:dyDescent="0.15"/>
    <row r="9167" hidden="1" x14ac:dyDescent="0.15"/>
    <row r="9168" hidden="1" x14ac:dyDescent="0.15"/>
    <row r="9169" hidden="1" x14ac:dyDescent="0.15"/>
    <row r="9170" hidden="1" x14ac:dyDescent="0.15"/>
    <row r="9171" hidden="1" x14ac:dyDescent="0.15"/>
    <row r="9172" hidden="1" x14ac:dyDescent="0.15"/>
    <row r="9173" hidden="1" x14ac:dyDescent="0.15"/>
    <row r="9174" hidden="1" x14ac:dyDescent="0.15"/>
    <row r="9175" hidden="1" x14ac:dyDescent="0.15"/>
    <row r="9176" hidden="1" x14ac:dyDescent="0.15"/>
    <row r="9177" hidden="1" x14ac:dyDescent="0.15"/>
    <row r="9178" hidden="1" x14ac:dyDescent="0.15"/>
    <row r="9179" hidden="1" x14ac:dyDescent="0.15"/>
    <row r="9180" hidden="1" x14ac:dyDescent="0.15"/>
    <row r="9181" hidden="1" x14ac:dyDescent="0.15"/>
    <row r="9182" hidden="1" x14ac:dyDescent="0.15"/>
    <row r="9183" hidden="1" x14ac:dyDescent="0.15"/>
    <row r="9184" hidden="1" x14ac:dyDescent="0.15"/>
    <row r="9185" hidden="1" x14ac:dyDescent="0.15"/>
    <row r="9186" hidden="1" x14ac:dyDescent="0.15"/>
    <row r="9187" hidden="1" x14ac:dyDescent="0.15"/>
    <row r="9188" hidden="1" x14ac:dyDescent="0.15"/>
    <row r="9189" hidden="1" x14ac:dyDescent="0.15"/>
    <row r="9190" hidden="1" x14ac:dyDescent="0.15"/>
    <row r="9191" hidden="1" x14ac:dyDescent="0.15"/>
    <row r="9192" hidden="1" x14ac:dyDescent="0.15"/>
    <row r="9193" hidden="1" x14ac:dyDescent="0.15"/>
    <row r="9194" hidden="1" x14ac:dyDescent="0.15"/>
    <row r="9195" hidden="1" x14ac:dyDescent="0.15"/>
    <row r="9196" hidden="1" x14ac:dyDescent="0.15"/>
    <row r="9197" hidden="1" x14ac:dyDescent="0.15"/>
    <row r="9198" hidden="1" x14ac:dyDescent="0.15"/>
    <row r="9199" hidden="1" x14ac:dyDescent="0.15"/>
    <row r="9200" hidden="1" x14ac:dyDescent="0.15"/>
    <row r="9201" hidden="1" x14ac:dyDescent="0.15"/>
    <row r="9202" hidden="1" x14ac:dyDescent="0.15"/>
    <row r="9203" hidden="1" x14ac:dyDescent="0.15"/>
    <row r="9204" hidden="1" x14ac:dyDescent="0.15"/>
    <row r="9205" hidden="1" x14ac:dyDescent="0.15"/>
    <row r="9206" hidden="1" x14ac:dyDescent="0.15"/>
    <row r="9207" hidden="1" x14ac:dyDescent="0.15"/>
    <row r="9208" hidden="1" x14ac:dyDescent="0.15"/>
    <row r="9209" hidden="1" x14ac:dyDescent="0.15"/>
    <row r="9210" hidden="1" x14ac:dyDescent="0.15"/>
    <row r="9211" hidden="1" x14ac:dyDescent="0.15"/>
    <row r="9212" hidden="1" x14ac:dyDescent="0.15"/>
    <row r="9213" hidden="1" x14ac:dyDescent="0.15"/>
    <row r="9214" hidden="1" x14ac:dyDescent="0.15"/>
    <row r="9215" hidden="1" x14ac:dyDescent="0.15"/>
    <row r="9216" hidden="1" x14ac:dyDescent="0.15"/>
    <row r="9217" hidden="1" x14ac:dyDescent="0.15"/>
    <row r="9218" hidden="1" x14ac:dyDescent="0.15"/>
    <row r="9219" hidden="1" x14ac:dyDescent="0.15"/>
    <row r="9220" hidden="1" x14ac:dyDescent="0.15"/>
    <row r="9221" hidden="1" x14ac:dyDescent="0.15"/>
    <row r="9222" hidden="1" x14ac:dyDescent="0.15"/>
    <row r="9223" hidden="1" x14ac:dyDescent="0.15"/>
    <row r="9224" hidden="1" x14ac:dyDescent="0.15"/>
    <row r="9225" hidden="1" x14ac:dyDescent="0.15"/>
    <row r="9226" hidden="1" x14ac:dyDescent="0.15"/>
    <row r="9227" hidden="1" x14ac:dyDescent="0.15"/>
    <row r="9228" hidden="1" x14ac:dyDescent="0.15"/>
    <row r="9229" hidden="1" x14ac:dyDescent="0.15"/>
    <row r="9230" hidden="1" x14ac:dyDescent="0.15"/>
    <row r="9231" hidden="1" x14ac:dyDescent="0.15"/>
    <row r="9232" hidden="1" x14ac:dyDescent="0.15"/>
    <row r="9233" hidden="1" x14ac:dyDescent="0.15"/>
    <row r="9234" hidden="1" x14ac:dyDescent="0.15"/>
    <row r="9235" hidden="1" x14ac:dyDescent="0.15"/>
    <row r="9236" hidden="1" x14ac:dyDescent="0.15"/>
    <row r="9237" hidden="1" x14ac:dyDescent="0.15"/>
    <row r="9238" hidden="1" x14ac:dyDescent="0.15"/>
    <row r="9239" hidden="1" x14ac:dyDescent="0.15"/>
    <row r="9240" hidden="1" x14ac:dyDescent="0.15"/>
    <row r="9241" hidden="1" x14ac:dyDescent="0.15"/>
    <row r="9242" hidden="1" x14ac:dyDescent="0.15"/>
    <row r="9243" hidden="1" x14ac:dyDescent="0.15"/>
    <row r="9244" hidden="1" x14ac:dyDescent="0.15"/>
    <row r="9245" hidden="1" x14ac:dyDescent="0.15"/>
    <row r="9246" hidden="1" x14ac:dyDescent="0.15"/>
    <row r="9247" hidden="1" x14ac:dyDescent="0.15"/>
    <row r="9248" hidden="1" x14ac:dyDescent="0.15"/>
    <row r="9249" hidden="1" x14ac:dyDescent="0.15"/>
    <row r="9250" hidden="1" x14ac:dyDescent="0.15"/>
    <row r="9251" hidden="1" x14ac:dyDescent="0.15"/>
    <row r="9252" hidden="1" x14ac:dyDescent="0.15"/>
    <row r="9253" hidden="1" x14ac:dyDescent="0.15"/>
    <row r="9254" hidden="1" x14ac:dyDescent="0.15"/>
    <row r="9255" hidden="1" x14ac:dyDescent="0.15"/>
    <row r="9256" hidden="1" x14ac:dyDescent="0.15"/>
    <row r="9257" hidden="1" x14ac:dyDescent="0.15"/>
    <row r="9258" hidden="1" x14ac:dyDescent="0.15"/>
    <row r="9259" hidden="1" x14ac:dyDescent="0.15"/>
    <row r="9260" hidden="1" x14ac:dyDescent="0.15"/>
    <row r="9261" hidden="1" x14ac:dyDescent="0.15"/>
    <row r="9262" hidden="1" x14ac:dyDescent="0.15"/>
    <row r="9263" hidden="1" x14ac:dyDescent="0.15"/>
    <row r="9264" hidden="1" x14ac:dyDescent="0.15"/>
    <row r="9265" hidden="1" x14ac:dyDescent="0.15"/>
    <row r="9266" hidden="1" x14ac:dyDescent="0.15"/>
    <row r="9267" hidden="1" x14ac:dyDescent="0.15"/>
    <row r="9268" hidden="1" x14ac:dyDescent="0.15"/>
    <row r="9269" hidden="1" x14ac:dyDescent="0.15"/>
    <row r="9270" hidden="1" x14ac:dyDescent="0.15"/>
    <row r="9271" hidden="1" x14ac:dyDescent="0.15"/>
    <row r="9272" hidden="1" x14ac:dyDescent="0.15"/>
    <row r="9273" hidden="1" x14ac:dyDescent="0.15"/>
    <row r="9274" hidden="1" x14ac:dyDescent="0.15"/>
    <row r="9275" hidden="1" x14ac:dyDescent="0.15"/>
    <row r="9276" hidden="1" x14ac:dyDescent="0.15"/>
    <row r="9277" hidden="1" x14ac:dyDescent="0.15"/>
    <row r="9278" hidden="1" x14ac:dyDescent="0.15"/>
    <row r="9279" hidden="1" x14ac:dyDescent="0.15"/>
    <row r="9280" hidden="1" x14ac:dyDescent="0.15"/>
    <row r="9281" hidden="1" x14ac:dyDescent="0.15"/>
    <row r="9282" hidden="1" x14ac:dyDescent="0.15"/>
    <row r="9283" hidden="1" x14ac:dyDescent="0.15"/>
    <row r="9284" hidden="1" x14ac:dyDescent="0.15"/>
    <row r="9285" hidden="1" x14ac:dyDescent="0.15"/>
    <row r="9286" hidden="1" x14ac:dyDescent="0.15"/>
    <row r="9287" hidden="1" x14ac:dyDescent="0.15"/>
    <row r="9288" hidden="1" x14ac:dyDescent="0.15"/>
    <row r="9289" hidden="1" x14ac:dyDescent="0.15"/>
    <row r="9290" hidden="1" x14ac:dyDescent="0.15"/>
    <row r="9291" hidden="1" x14ac:dyDescent="0.15"/>
    <row r="9292" hidden="1" x14ac:dyDescent="0.15"/>
    <row r="9293" hidden="1" x14ac:dyDescent="0.15"/>
    <row r="9294" hidden="1" x14ac:dyDescent="0.15"/>
    <row r="9295" hidden="1" x14ac:dyDescent="0.15"/>
    <row r="9296" hidden="1" x14ac:dyDescent="0.15"/>
    <row r="9297" hidden="1" x14ac:dyDescent="0.15"/>
    <row r="9298" hidden="1" x14ac:dyDescent="0.15"/>
    <row r="9299" hidden="1" x14ac:dyDescent="0.15"/>
    <row r="9300" hidden="1" x14ac:dyDescent="0.15"/>
    <row r="9301" hidden="1" x14ac:dyDescent="0.15"/>
    <row r="9302" hidden="1" x14ac:dyDescent="0.15"/>
    <row r="9303" hidden="1" x14ac:dyDescent="0.15"/>
    <row r="9304" hidden="1" x14ac:dyDescent="0.15"/>
    <row r="9305" hidden="1" x14ac:dyDescent="0.15"/>
    <row r="9306" hidden="1" x14ac:dyDescent="0.15"/>
    <row r="9307" hidden="1" x14ac:dyDescent="0.15"/>
    <row r="9308" hidden="1" x14ac:dyDescent="0.15"/>
    <row r="9309" hidden="1" x14ac:dyDescent="0.15"/>
    <row r="9310" hidden="1" x14ac:dyDescent="0.15"/>
    <row r="9311" hidden="1" x14ac:dyDescent="0.15"/>
    <row r="9312" hidden="1" x14ac:dyDescent="0.15"/>
    <row r="9313" hidden="1" x14ac:dyDescent="0.15"/>
    <row r="9314" hidden="1" x14ac:dyDescent="0.15"/>
    <row r="9315" hidden="1" x14ac:dyDescent="0.15"/>
    <row r="9316" hidden="1" x14ac:dyDescent="0.15"/>
    <row r="9317" hidden="1" x14ac:dyDescent="0.15"/>
    <row r="9318" hidden="1" x14ac:dyDescent="0.15"/>
    <row r="9319" hidden="1" x14ac:dyDescent="0.15"/>
    <row r="9320" hidden="1" x14ac:dyDescent="0.15"/>
    <row r="9321" hidden="1" x14ac:dyDescent="0.15"/>
    <row r="9322" hidden="1" x14ac:dyDescent="0.15"/>
    <row r="9323" hidden="1" x14ac:dyDescent="0.15"/>
    <row r="9324" hidden="1" x14ac:dyDescent="0.15"/>
    <row r="9325" hidden="1" x14ac:dyDescent="0.15"/>
    <row r="9326" hidden="1" x14ac:dyDescent="0.15"/>
    <row r="9327" hidden="1" x14ac:dyDescent="0.15"/>
    <row r="9328" hidden="1" x14ac:dyDescent="0.15"/>
    <row r="9329" hidden="1" x14ac:dyDescent="0.15"/>
    <row r="9330" hidden="1" x14ac:dyDescent="0.15"/>
    <row r="9331" hidden="1" x14ac:dyDescent="0.15"/>
    <row r="9332" hidden="1" x14ac:dyDescent="0.15"/>
    <row r="9333" hidden="1" x14ac:dyDescent="0.15"/>
    <row r="9334" hidden="1" x14ac:dyDescent="0.15"/>
    <row r="9335" hidden="1" x14ac:dyDescent="0.15"/>
    <row r="9336" hidden="1" x14ac:dyDescent="0.15"/>
    <row r="9337" hidden="1" x14ac:dyDescent="0.15"/>
    <row r="9338" hidden="1" x14ac:dyDescent="0.15"/>
    <row r="9339" hidden="1" x14ac:dyDescent="0.15"/>
    <row r="9340" hidden="1" x14ac:dyDescent="0.15"/>
    <row r="9341" hidden="1" x14ac:dyDescent="0.15"/>
    <row r="9342" hidden="1" x14ac:dyDescent="0.15"/>
    <row r="9343" hidden="1" x14ac:dyDescent="0.15"/>
    <row r="9344" hidden="1" x14ac:dyDescent="0.15"/>
    <row r="9345" hidden="1" x14ac:dyDescent="0.15"/>
    <row r="9346" hidden="1" x14ac:dyDescent="0.15"/>
    <row r="9347" hidden="1" x14ac:dyDescent="0.15"/>
    <row r="9348" hidden="1" x14ac:dyDescent="0.15"/>
    <row r="9349" hidden="1" x14ac:dyDescent="0.15"/>
    <row r="9350" hidden="1" x14ac:dyDescent="0.15"/>
    <row r="9351" hidden="1" x14ac:dyDescent="0.15"/>
    <row r="9352" hidden="1" x14ac:dyDescent="0.15"/>
    <row r="9353" hidden="1" x14ac:dyDescent="0.15"/>
    <row r="9354" hidden="1" x14ac:dyDescent="0.15"/>
    <row r="9355" hidden="1" x14ac:dyDescent="0.15"/>
    <row r="9356" hidden="1" x14ac:dyDescent="0.15"/>
    <row r="9357" hidden="1" x14ac:dyDescent="0.15"/>
    <row r="9358" hidden="1" x14ac:dyDescent="0.15"/>
    <row r="9359" hidden="1" x14ac:dyDescent="0.15"/>
    <row r="9360" hidden="1" x14ac:dyDescent="0.15"/>
    <row r="9361" hidden="1" x14ac:dyDescent="0.15"/>
    <row r="9362" hidden="1" x14ac:dyDescent="0.15"/>
    <row r="9363" hidden="1" x14ac:dyDescent="0.15"/>
    <row r="9364" hidden="1" x14ac:dyDescent="0.15"/>
    <row r="9365" hidden="1" x14ac:dyDescent="0.15"/>
    <row r="9366" hidden="1" x14ac:dyDescent="0.15"/>
    <row r="9367" hidden="1" x14ac:dyDescent="0.15"/>
    <row r="9368" hidden="1" x14ac:dyDescent="0.15"/>
    <row r="9369" hidden="1" x14ac:dyDescent="0.15"/>
    <row r="9370" hidden="1" x14ac:dyDescent="0.15"/>
    <row r="9371" hidden="1" x14ac:dyDescent="0.15"/>
    <row r="9372" hidden="1" x14ac:dyDescent="0.15"/>
    <row r="9373" hidden="1" x14ac:dyDescent="0.15"/>
    <row r="9374" hidden="1" x14ac:dyDescent="0.15"/>
    <row r="9375" hidden="1" x14ac:dyDescent="0.15"/>
    <row r="9376" hidden="1" x14ac:dyDescent="0.15"/>
    <row r="9377" hidden="1" x14ac:dyDescent="0.15"/>
    <row r="9378" hidden="1" x14ac:dyDescent="0.15"/>
    <row r="9379" hidden="1" x14ac:dyDescent="0.15"/>
    <row r="9380" hidden="1" x14ac:dyDescent="0.15"/>
    <row r="9381" hidden="1" x14ac:dyDescent="0.15"/>
    <row r="9382" hidden="1" x14ac:dyDescent="0.15"/>
    <row r="9383" hidden="1" x14ac:dyDescent="0.15"/>
    <row r="9384" hidden="1" x14ac:dyDescent="0.15"/>
    <row r="9385" hidden="1" x14ac:dyDescent="0.15"/>
    <row r="9386" hidden="1" x14ac:dyDescent="0.15"/>
    <row r="9387" hidden="1" x14ac:dyDescent="0.15"/>
    <row r="9388" hidden="1" x14ac:dyDescent="0.15"/>
    <row r="9389" hidden="1" x14ac:dyDescent="0.15"/>
    <row r="9390" hidden="1" x14ac:dyDescent="0.15"/>
    <row r="9391" hidden="1" x14ac:dyDescent="0.15"/>
    <row r="9392" hidden="1" x14ac:dyDescent="0.15"/>
    <row r="9393" hidden="1" x14ac:dyDescent="0.15"/>
    <row r="9394" hidden="1" x14ac:dyDescent="0.15"/>
    <row r="9395" hidden="1" x14ac:dyDescent="0.15"/>
    <row r="9396" hidden="1" x14ac:dyDescent="0.15"/>
    <row r="9397" hidden="1" x14ac:dyDescent="0.15"/>
    <row r="9398" hidden="1" x14ac:dyDescent="0.15"/>
    <row r="9399" hidden="1" x14ac:dyDescent="0.15"/>
    <row r="9400" hidden="1" x14ac:dyDescent="0.15"/>
    <row r="9401" hidden="1" x14ac:dyDescent="0.15"/>
    <row r="9402" hidden="1" x14ac:dyDescent="0.15"/>
    <row r="9403" hidden="1" x14ac:dyDescent="0.15"/>
    <row r="9404" hidden="1" x14ac:dyDescent="0.15"/>
    <row r="9405" hidden="1" x14ac:dyDescent="0.15"/>
    <row r="9406" hidden="1" x14ac:dyDescent="0.15"/>
    <row r="9407" hidden="1" x14ac:dyDescent="0.15"/>
    <row r="9408" hidden="1" x14ac:dyDescent="0.15"/>
    <row r="9409" hidden="1" x14ac:dyDescent="0.15"/>
    <row r="9410" hidden="1" x14ac:dyDescent="0.15"/>
    <row r="9411" hidden="1" x14ac:dyDescent="0.15"/>
    <row r="9412" hidden="1" x14ac:dyDescent="0.15"/>
    <row r="9413" hidden="1" x14ac:dyDescent="0.15"/>
    <row r="9414" hidden="1" x14ac:dyDescent="0.15"/>
    <row r="9415" hidden="1" x14ac:dyDescent="0.15"/>
    <row r="9416" hidden="1" x14ac:dyDescent="0.15"/>
    <row r="9417" hidden="1" x14ac:dyDescent="0.15"/>
    <row r="9418" hidden="1" x14ac:dyDescent="0.15"/>
    <row r="9419" hidden="1" x14ac:dyDescent="0.15"/>
    <row r="9420" hidden="1" x14ac:dyDescent="0.15"/>
    <row r="9421" hidden="1" x14ac:dyDescent="0.15"/>
    <row r="9422" hidden="1" x14ac:dyDescent="0.15"/>
    <row r="9423" hidden="1" x14ac:dyDescent="0.15"/>
    <row r="9424" hidden="1" x14ac:dyDescent="0.15"/>
    <row r="9425" hidden="1" x14ac:dyDescent="0.15"/>
    <row r="9426" hidden="1" x14ac:dyDescent="0.15"/>
    <row r="9427" hidden="1" x14ac:dyDescent="0.15"/>
    <row r="9428" hidden="1" x14ac:dyDescent="0.15"/>
    <row r="9429" hidden="1" x14ac:dyDescent="0.15"/>
    <row r="9430" hidden="1" x14ac:dyDescent="0.15"/>
    <row r="9431" hidden="1" x14ac:dyDescent="0.15"/>
    <row r="9432" hidden="1" x14ac:dyDescent="0.15"/>
    <row r="9433" hidden="1" x14ac:dyDescent="0.15"/>
    <row r="9434" hidden="1" x14ac:dyDescent="0.15"/>
    <row r="9435" hidden="1" x14ac:dyDescent="0.15"/>
    <row r="9436" hidden="1" x14ac:dyDescent="0.15"/>
    <row r="9437" hidden="1" x14ac:dyDescent="0.15"/>
    <row r="9438" hidden="1" x14ac:dyDescent="0.15"/>
    <row r="9439" hidden="1" x14ac:dyDescent="0.15"/>
    <row r="9440" hidden="1" x14ac:dyDescent="0.15"/>
    <row r="9441" hidden="1" x14ac:dyDescent="0.15"/>
    <row r="9442" hidden="1" x14ac:dyDescent="0.15"/>
    <row r="9443" hidden="1" x14ac:dyDescent="0.15"/>
    <row r="9444" hidden="1" x14ac:dyDescent="0.15"/>
    <row r="9445" hidden="1" x14ac:dyDescent="0.15"/>
    <row r="9446" hidden="1" x14ac:dyDescent="0.15"/>
    <row r="9447" hidden="1" x14ac:dyDescent="0.15"/>
    <row r="9448" hidden="1" x14ac:dyDescent="0.15"/>
    <row r="9449" hidden="1" x14ac:dyDescent="0.15"/>
    <row r="9450" hidden="1" x14ac:dyDescent="0.15"/>
    <row r="9451" hidden="1" x14ac:dyDescent="0.15"/>
    <row r="9452" hidden="1" x14ac:dyDescent="0.15"/>
    <row r="9453" hidden="1" x14ac:dyDescent="0.15"/>
    <row r="9454" hidden="1" x14ac:dyDescent="0.15"/>
    <row r="9455" hidden="1" x14ac:dyDescent="0.15"/>
    <row r="9456" hidden="1" x14ac:dyDescent="0.15"/>
    <row r="9457" hidden="1" x14ac:dyDescent="0.15"/>
    <row r="9458" hidden="1" x14ac:dyDescent="0.15"/>
    <row r="9459" hidden="1" x14ac:dyDescent="0.15"/>
    <row r="9460" hidden="1" x14ac:dyDescent="0.15"/>
    <row r="9461" hidden="1" x14ac:dyDescent="0.15"/>
    <row r="9462" hidden="1" x14ac:dyDescent="0.15"/>
    <row r="9463" hidden="1" x14ac:dyDescent="0.15"/>
    <row r="9464" hidden="1" x14ac:dyDescent="0.15"/>
    <row r="9465" hidden="1" x14ac:dyDescent="0.15"/>
    <row r="9466" hidden="1" x14ac:dyDescent="0.15"/>
    <row r="9467" hidden="1" x14ac:dyDescent="0.15"/>
    <row r="9468" hidden="1" x14ac:dyDescent="0.15"/>
    <row r="9469" hidden="1" x14ac:dyDescent="0.15"/>
    <row r="9470" hidden="1" x14ac:dyDescent="0.15"/>
    <row r="9471" hidden="1" x14ac:dyDescent="0.15"/>
    <row r="9472" hidden="1" x14ac:dyDescent="0.15"/>
    <row r="9473" hidden="1" x14ac:dyDescent="0.15"/>
    <row r="9474" hidden="1" x14ac:dyDescent="0.15"/>
    <row r="9475" hidden="1" x14ac:dyDescent="0.15"/>
    <row r="9476" hidden="1" x14ac:dyDescent="0.15"/>
    <row r="9477" hidden="1" x14ac:dyDescent="0.15"/>
    <row r="9478" hidden="1" x14ac:dyDescent="0.15"/>
    <row r="9479" hidden="1" x14ac:dyDescent="0.15"/>
    <row r="9480" hidden="1" x14ac:dyDescent="0.15"/>
    <row r="9481" hidden="1" x14ac:dyDescent="0.15"/>
    <row r="9482" hidden="1" x14ac:dyDescent="0.15"/>
    <row r="9483" hidden="1" x14ac:dyDescent="0.15"/>
    <row r="9484" hidden="1" x14ac:dyDescent="0.15"/>
    <row r="9485" hidden="1" x14ac:dyDescent="0.15"/>
    <row r="9486" hidden="1" x14ac:dyDescent="0.15"/>
    <row r="9487" hidden="1" x14ac:dyDescent="0.15"/>
    <row r="9488" hidden="1" x14ac:dyDescent="0.15"/>
    <row r="9489" hidden="1" x14ac:dyDescent="0.15"/>
    <row r="9490" hidden="1" x14ac:dyDescent="0.15"/>
    <row r="9491" hidden="1" x14ac:dyDescent="0.15"/>
    <row r="9492" hidden="1" x14ac:dyDescent="0.15"/>
    <row r="9493" hidden="1" x14ac:dyDescent="0.15"/>
    <row r="9494" hidden="1" x14ac:dyDescent="0.15"/>
    <row r="9495" hidden="1" x14ac:dyDescent="0.15"/>
    <row r="9496" hidden="1" x14ac:dyDescent="0.15"/>
    <row r="9497" hidden="1" x14ac:dyDescent="0.15"/>
    <row r="9498" hidden="1" x14ac:dyDescent="0.15"/>
    <row r="9499" hidden="1" x14ac:dyDescent="0.15"/>
    <row r="9500" hidden="1" x14ac:dyDescent="0.15"/>
    <row r="9501" hidden="1" x14ac:dyDescent="0.15"/>
    <row r="9502" hidden="1" x14ac:dyDescent="0.15"/>
    <row r="9503" hidden="1" x14ac:dyDescent="0.15"/>
    <row r="9504" hidden="1" x14ac:dyDescent="0.15"/>
    <row r="9505" hidden="1" x14ac:dyDescent="0.15"/>
    <row r="9506" hidden="1" x14ac:dyDescent="0.15"/>
    <row r="9507" hidden="1" x14ac:dyDescent="0.15"/>
    <row r="9508" hidden="1" x14ac:dyDescent="0.15"/>
    <row r="9509" hidden="1" x14ac:dyDescent="0.15"/>
    <row r="9510" hidden="1" x14ac:dyDescent="0.15"/>
    <row r="9511" hidden="1" x14ac:dyDescent="0.15"/>
    <row r="9512" hidden="1" x14ac:dyDescent="0.15"/>
    <row r="9513" hidden="1" x14ac:dyDescent="0.15"/>
    <row r="9514" hidden="1" x14ac:dyDescent="0.15"/>
    <row r="9515" hidden="1" x14ac:dyDescent="0.15"/>
    <row r="9516" hidden="1" x14ac:dyDescent="0.15"/>
    <row r="9517" hidden="1" x14ac:dyDescent="0.15"/>
    <row r="9518" hidden="1" x14ac:dyDescent="0.15"/>
    <row r="9519" hidden="1" x14ac:dyDescent="0.15"/>
    <row r="9520" hidden="1" x14ac:dyDescent="0.15"/>
    <row r="9521" hidden="1" x14ac:dyDescent="0.15"/>
    <row r="9522" hidden="1" x14ac:dyDescent="0.15"/>
    <row r="9523" hidden="1" x14ac:dyDescent="0.15"/>
    <row r="9524" hidden="1" x14ac:dyDescent="0.15"/>
    <row r="9525" hidden="1" x14ac:dyDescent="0.15"/>
    <row r="9526" hidden="1" x14ac:dyDescent="0.15"/>
    <row r="9527" hidden="1" x14ac:dyDescent="0.15"/>
    <row r="9528" hidden="1" x14ac:dyDescent="0.15"/>
    <row r="9529" hidden="1" x14ac:dyDescent="0.15"/>
    <row r="9530" hidden="1" x14ac:dyDescent="0.15"/>
    <row r="9531" hidden="1" x14ac:dyDescent="0.15"/>
    <row r="9532" hidden="1" x14ac:dyDescent="0.15"/>
    <row r="9533" hidden="1" x14ac:dyDescent="0.15"/>
    <row r="9534" hidden="1" x14ac:dyDescent="0.15"/>
    <row r="9535" hidden="1" x14ac:dyDescent="0.15"/>
    <row r="9536" hidden="1" x14ac:dyDescent="0.15"/>
    <row r="9537" hidden="1" x14ac:dyDescent="0.15"/>
    <row r="9538" hidden="1" x14ac:dyDescent="0.15"/>
    <row r="9539" hidden="1" x14ac:dyDescent="0.15"/>
    <row r="9540" hidden="1" x14ac:dyDescent="0.15"/>
    <row r="9541" hidden="1" x14ac:dyDescent="0.15"/>
    <row r="9542" hidden="1" x14ac:dyDescent="0.15"/>
    <row r="9543" hidden="1" x14ac:dyDescent="0.15"/>
    <row r="9544" hidden="1" x14ac:dyDescent="0.15"/>
    <row r="9545" hidden="1" x14ac:dyDescent="0.15"/>
    <row r="9546" hidden="1" x14ac:dyDescent="0.15"/>
    <row r="9547" hidden="1" x14ac:dyDescent="0.15"/>
    <row r="9548" hidden="1" x14ac:dyDescent="0.15"/>
    <row r="9549" hidden="1" x14ac:dyDescent="0.15"/>
    <row r="9550" hidden="1" x14ac:dyDescent="0.15"/>
    <row r="9551" hidden="1" x14ac:dyDescent="0.15"/>
    <row r="9552" hidden="1" x14ac:dyDescent="0.15"/>
    <row r="9553" hidden="1" x14ac:dyDescent="0.15"/>
    <row r="9554" hidden="1" x14ac:dyDescent="0.15"/>
    <row r="9555" hidden="1" x14ac:dyDescent="0.15"/>
    <row r="9556" hidden="1" x14ac:dyDescent="0.15"/>
    <row r="9557" hidden="1" x14ac:dyDescent="0.15"/>
    <row r="9558" hidden="1" x14ac:dyDescent="0.15"/>
    <row r="9559" hidden="1" x14ac:dyDescent="0.15"/>
    <row r="9560" hidden="1" x14ac:dyDescent="0.15"/>
    <row r="9561" hidden="1" x14ac:dyDescent="0.15"/>
    <row r="9562" hidden="1" x14ac:dyDescent="0.15"/>
    <row r="9563" hidden="1" x14ac:dyDescent="0.15"/>
    <row r="9564" hidden="1" x14ac:dyDescent="0.15"/>
    <row r="9565" hidden="1" x14ac:dyDescent="0.15"/>
    <row r="9566" hidden="1" x14ac:dyDescent="0.15"/>
    <row r="9567" hidden="1" x14ac:dyDescent="0.15"/>
    <row r="9568" hidden="1" x14ac:dyDescent="0.15"/>
    <row r="9569" hidden="1" x14ac:dyDescent="0.15"/>
    <row r="9570" hidden="1" x14ac:dyDescent="0.15"/>
    <row r="9571" hidden="1" x14ac:dyDescent="0.15"/>
    <row r="9572" hidden="1" x14ac:dyDescent="0.15"/>
    <row r="9573" hidden="1" x14ac:dyDescent="0.15"/>
    <row r="9574" hidden="1" x14ac:dyDescent="0.15"/>
    <row r="9575" hidden="1" x14ac:dyDescent="0.15"/>
    <row r="9576" hidden="1" x14ac:dyDescent="0.15"/>
    <row r="9577" hidden="1" x14ac:dyDescent="0.15"/>
    <row r="9578" hidden="1" x14ac:dyDescent="0.15"/>
    <row r="9579" hidden="1" x14ac:dyDescent="0.15"/>
    <row r="9580" hidden="1" x14ac:dyDescent="0.15"/>
    <row r="9581" hidden="1" x14ac:dyDescent="0.15"/>
    <row r="9582" hidden="1" x14ac:dyDescent="0.15"/>
    <row r="9583" hidden="1" x14ac:dyDescent="0.15"/>
    <row r="9584" hidden="1" x14ac:dyDescent="0.15"/>
    <row r="9585" hidden="1" x14ac:dyDescent="0.15"/>
    <row r="9586" hidden="1" x14ac:dyDescent="0.15"/>
    <row r="9587" hidden="1" x14ac:dyDescent="0.15"/>
    <row r="9588" hidden="1" x14ac:dyDescent="0.15"/>
    <row r="9589" hidden="1" x14ac:dyDescent="0.15"/>
    <row r="9590" hidden="1" x14ac:dyDescent="0.15"/>
    <row r="9591" hidden="1" x14ac:dyDescent="0.15"/>
    <row r="9592" hidden="1" x14ac:dyDescent="0.15"/>
    <row r="9593" hidden="1" x14ac:dyDescent="0.15"/>
    <row r="9594" hidden="1" x14ac:dyDescent="0.15"/>
    <row r="9595" hidden="1" x14ac:dyDescent="0.15"/>
    <row r="9596" hidden="1" x14ac:dyDescent="0.15"/>
    <row r="9597" hidden="1" x14ac:dyDescent="0.15"/>
    <row r="9598" hidden="1" x14ac:dyDescent="0.15"/>
    <row r="9599" hidden="1" x14ac:dyDescent="0.15"/>
    <row r="9600" hidden="1" x14ac:dyDescent="0.15"/>
    <row r="9601" hidden="1" x14ac:dyDescent="0.15"/>
    <row r="9602" hidden="1" x14ac:dyDescent="0.15"/>
    <row r="9603" hidden="1" x14ac:dyDescent="0.15"/>
    <row r="9604" hidden="1" x14ac:dyDescent="0.15"/>
    <row r="9605" hidden="1" x14ac:dyDescent="0.15"/>
    <row r="9606" hidden="1" x14ac:dyDescent="0.15"/>
    <row r="9607" hidden="1" x14ac:dyDescent="0.15"/>
    <row r="9608" hidden="1" x14ac:dyDescent="0.15"/>
    <row r="9609" hidden="1" x14ac:dyDescent="0.15"/>
    <row r="9610" hidden="1" x14ac:dyDescent="0.15"/>
    <row r="9611" hidden="1" x14ac:dyDescent="0.15"/>
    <row r="9612" hidden="1" x14ac:dyDescent="0.15"/>
    <row r="9613" hidden="1" x14ac:dyDescent="0.15"/>
    <row r="9614" hidden="1" x14ac:dyDescent="0.15"/>
    <row r="9615" hidden="1" x14ac:dyDescent="0.15"/>
    <row r="9616" hidden="1" x14ac:dyDescent="0.15"/>
    <row r="9617" hidden="1" x14ac:dyDescent="0.15"/>
    <row r="9618" hidden="1" x14ac:dyDescent="0.15"/>
    <row r="9619" hidden="1" x14ac:dyDescent="0.15"/>
    <row r="9620" hidden="1" x14ac:dyDescent="0.15"/>
    <row r="9621" hidden="1" x14ac:dyDescent="0.15"/>
    <row r="9622" hidden="1" x14ac:dyDescent="0.15"/>
    <row r="9623" hidden="1" x14ac:dyDescent="0.15"/>
    <row r="9624" hidden="1" x14ac:dyDescent="0.15"/>
    <row r="9625" hidden="1" x14ac:dyDescent="0.15"/>
    <row r="9626" hidden="1" x14ac:dyDescent="0.15"/>
    <row r="9627" hidden="1" x14ac:dyDescent="0.15"/>
    <row r="9628" hidden="1" x14ac:dyDescent="0.15"/>
    <row r="9629" hidden="1" x14ac:dyDescent="0.15"/>
    <row r="9630" hidden="1" x14ac:dyDescent="0.15"/>
    <row r="9631" hidden="1" x14ac:dyDescent="0.15"/>
    <row r="9632" hidden="1" x14ac:dyDescent="0.15"/>
    <row r="9633" hidden="1" x14ac:dyDescent="0.15"/>
    <row r="9634" hidden="1" x14ac:dyDescent="0.15"/>
    <row r="9635" hidden="1" x14ac:dyDescent="0.15"/>
    <row r="9636" hidden="1" x14ac:dyDescent="0.15"/>
    <row r="9637" hidden="1" x14ac:dyDescent="0.15"/>
    <row r="9638" hidden="1" x14ac:dyDescent="0.15"/>
    <row r="9639" hidden="1" x14ac:dyDescent="0.15"/>
    <row r="9640" hidden="1" x14ac:dyDescent="0.15"/>
    <row r="9641" hidden="1" x14ac:dyDescent="0.15"/>
    <row r="9642" hidden="1" x14ac:dyDescent="0.15"/>
    <row r="9643" hidden="1" x14ac:dyDescent="0.15"/>
    <row r="9644" hidden="1" x14ac:dyDescent="0.15"/>
    <row r="9645" hidden="1" x14ac:dyDescent="0.15"/>
    <row r="9646" hidden="1" x14ac:dyDescent="0.15"/>
    <row r="9647" hidden="1" x14ac:dyDescent="0.15"/>
    <row r="9648" hidden="1" x14ac:dyDescent="0.15"/>
    <row r="9649" hidden="1" x14ac:dyDescent="0.15"/>
    <row r="9650" hidden="1" x14ac:dyDescent="0.15"/>
    <row r="9651" hidden="1" x14ac:dyDescent="0.15"/>
    <row r="9652" hidden="1" x14ac:dyDescent="0.15"/>
    <row r="9653" hidden="1" x14ac:dyDescent="0.15"/>
    <row r="9654" hidden="1" x14ac:dyDescent="0.15"/>
    <row r="9655" hidden="1" x14ac:dyDescent="0.15"/>
    <row r="9656" hidden="1" x14ac:dyDescent="0.15"/>
    <row r="9657" hidden="1" x14ac:dyDescent="0.15"/>
    <row r="9658" hidden="1" x14ac:dyDescent="0.15"/>
    <row r="9659" hidden="1" x14ac:dyDescent="0.15"/>
    <row r="9660" hidden="1" x14ac:dyDescent="0.15"/>
    <row r="9661" hidden="1" x14ac:dyDescent="0.15"/>
    <row r="9662" hidden="1" x14ac:dyDescent="0.15"/>
    <row r="9663" hidden="1" x14ac:dyDescent="0.15"/>
    <row r="9664" hidden="1" x14ac:dyDescent="0.15"/>
    <row r="9665" hidden="1" x14ac:dyDescent="0.15"/>
    <row r="9666" hidden="1" x14ac:dyDescent="0.15"/>
    <row r="9667" hidden="1" x14ac:dyDescent="0.15"/>
    <row r="9668" hidden="1" x14ac:dyDescent="0.15"/>
    <row r="9669" hidden="1" x14ac:dyDescent="0.15"/>
    <row r="9670" hidden="1" x14ac:dyDescent="0.15"/>
    <row r="9671" hidden="1" x14ac:dyDescent="0.15"/>
    <row r="9672" hidden="1" x14ac:dyDescent="0.15"/>
    <row r="9673" hidden="1" x14ac:dyDescent="0.15"/>
    <row r="9674" hidden="1" x14ac:dyDescent="0.15"/>
    <row r="9675" hidden="1" x14ac:dyDescent="0.15"/>
    <row r="9676" hidden="1" x14ac:dyDescent="0.15"/>
    <row r="9677" hidden="1" x14ac:dyDescent="0.15"/>
    <row r="9678" hidden="1" x14ac:dyDescent="0.15"/>
    <row r="9679" hidden="1" x14ac:dyDescent="0.15"/>
    <row r="9680" hidden="1" x14ac:dyDescent="0.15"/>
    <row r="9681" hidden="1" x14ac:dyDescent="0.15"/>
    <row r="9682" hidden="1" x14ac:dyDescent="0.15"/>
    <row r="9683" hidden="1" x14ac:dyDescent="0.15"/>
    <row r="9684" hidden="1" x14ac:dyDescent="0.15"/>
    <row r="9685" hidden="1" x14ac:dyDescent="0.15"/>
    <row r="9686" hidden="1" x14ac:dyDescent="0.15"/>
    <row r="9687" hidden="1" x14ac:dyDescent="0.15"/>
    <row r="9688" hidden="1" x14ac:dyDescent="0.15"/>
    <row r="9689" hidden="1" x14ac:dyDescent="0.15"/>
    <row r="9690" hidden="1" x14ac:dyDescent="0.15"/>
    <row r="9691" hidden="1" x14ac:dyDescent="0.15"/>
    <row r="9692" hidden="1" x14ac:dyDescent="0.15"/>
    <row r="9693" hidden="1" x14ac:dyDescent="0.15"/>
    <row r="9694" hidden="1" x14ac:dyDescent="0.15"/>
    <row r="9695" hidden="1" x14ac:dyDescent="0.15"/>
    <row r="9696" hidden="1" x14ac:dyDescent="0.15"/>
    <row r="9697" hidden="1" x14ac:dyDescent="0.15"/>
    <row r="9698" hidden="1" x14ac:dyDescent="0.15"/>
    <row r="9699" hidden="1" x14ac:dyDescent="0.15"/>
    <row r="9700" hidden="1" x14ac:dyDescent="0.15"/>
    <row r="9701" hidden="1" x14ac:dyDescent="0.15"/>
    <row r="9702" hidden="1" x14ac:dyDescent="0.15"/>
    <row r="9703" hidden="1" x14ac:dyDescent="0.15"/>
    <row r="9704" hidden="1" x14ac:dyDescent="0.15"/>
    <row r="9705" hidden="1" x14ac:dyDescent="0.15"/>
    <row r="9706" hidden="1" x14ac:dyDescent="0.15"/>
    <row r="9707" hidden="1" x14ac:dyDescent="0.15"/>
    <row r="9708" hidden="1" x14ac:dyDescent="0.15"/>
    <row r="9709" hidden="1" x14ac:dyDescent="0.15"/>
    <row r="9710" hidden="1" x14ac:dyDescent="0.15"/>
    <row r="9711" hidden="1" x14ac:dyDescent="0.15"/>
    <row r="9712" hidden="1" x14ac:dyDescent="0.15"/>
    <row r="9713" hidden="1" x14ac:dyDescent="0.15"/>
    <row r="9714" hidden="1" x14ac:dyDescent="0.15"/>
    <row r="9715" hidden="1" x14ac:dyDescent="0.15"/>
    <row r="9716" hidden="1" x14ac:dyDescent="0.15"/>
    <row r="9717" hidden="1" x14ac:dyDescent="0.15"/>
    <row r="9718" hidden="1" x14ac:dyDescent="0.15"/>
    <row r="9719" hidden="1" x14ac:dyDescent="0.15"/>
    <row r="9720" hidden="1" x14ac:dyDescent="0.15"/>
    <row r="9721" hidden="1" x14ac:dyDescent="0.15"/>
    <row r="9722" hidden="1" x14ac:dyDescent="0.15"/>
    <row r="9723" hidden="1" x14ac:dyDescent="0.15"/>
    <row r="9724" hidden="1" x14ac:dyDescent="0.15"/>
    <row r="9725" hidden="1" x14ac:dyDescent="0.15"/>
    <row r="9726" hidden="1" x14ac:dyDescent="0.15"/>
    <row r="9727" hidden="1" x14ac:dyDescent="0.15"/>
    <row r="9728" hidden="1" x14ac:dyDescent="0.15"/>
    <row r="9729" hidden="1" x14ac:dyDescent="0.15"/>
    <row r="9730" hidden="1" x14ac:dyDescent="0.15"/>
    <row r="9731" hidden="1" x14ac:dyDescent="0.15"/>
    <row r="9732" hidden="1" x14ac:dyDescent="0.15"/>
    <row r="9733" hidden="1" x14ac:dyDescent="0.15"/>
    <row r="9734" hidden="1" x14ac:dyDescent="0.15"/>
    <row r="9735" hidden="1" x14ac:dyDescent="0.15"/>
    <row r="9736" hidden="1" x14ac:dyDescent="0.15"/>
    <row r="9737" hidden="1" x14ac:dyDescent="0.15"/>
    <row r="9738" hidden="1" x14ac:dyDescent="0.15"/>
    <row r="9739" hidden="1" x14ac:dyDescent="0.15"/>
    <row r="9740" hidden="1" x14ac:dyDescent="0.15"/>
    <row r="9741" hidden="1" x14ac:dyDescent="0.15"/>
    <row r="9742" hidden="1" x14ac:dyDescent="0.15"/>
    <row r="9743" hidden="1" x14ac:dyDescent="0.15"/>
    <row r="9744" hidden="1" x14ac:dyDescent="0.15"/>
    <row r="9745" hidden="1" x14ac:dyDescent="0.15"/>
    <row r="9746" hidden="1" x14ac:dyDescent="0.15"/>
    <row r="9747" hidden="1" x14ac:dyDescent="0.15"/>
    <row r="9748" hidden="1" x14ac:dyDescent="0.15"/>
    <row r="9749" hidden="1" x14ac:dyDescent="0.15"/>
    <row r="9750" hidden="1" x14ac:dyDescent="0.15"/>
    <row r="9751" hidden="1" x14ac:dyDescent="0.15"/>
    <row r="9752" hidden="1" x14ac:dyDescent="0.15"/>
    <row r="9753" hidden="1" x14ac:dyDescent="0.15"/>
    <row r="9754" hidden="1" x14ac:dyDescent="0.15"/>
    <row r="9755" hidden="1" x14ac:dyDescent="0.15"/>
    <row r="9756" hidden="1" x14ac:dyDescent="0.15"/>
    <row r="9757" hidden="1" x14ac:dyDescent="0.15"/>
    <row r="9758" hidden="1" x14ac:dyDescent="0.15"/>
    <row r="9759" hidden="1" x14ac:dyDescent="0.15"/>
    <row r="9760" hidden="1" x14ac:dyDescent="0.15"/>
    <row r="9761" hidden="1" x14ac:dyDescent="0.15"/>
    <row r="9762" hidden="1" x14ac:dyDescent="0.15"/>
    <row r="9763" hidden="1" x14ac:dyDescent="0.15"/>
    <row r="9764" hidden="1" x14ac:dyDescent="0.15"/>
    <row r="9765" hidden="1" x14ac:dyDescent="0.15"/>
    <row r="9766" hidden="1" x14ac:dyDescent="0.15"/>
    <row r="9767" hidden="1" x14ac:dyDescent="0.15"/>
    <row r="9768" hidden="1" x14ac:dyDescent="0.15"/>
    <row r="9769" hidden="1" x14ac:dyDescent="0.15"/>
    <row r="9770" hidden="1" x14ac:dyDescent="0.15"/>
    <row r="9771" hidden="1" x14ac:dyDescent="0.15"/>
    <row r="9772" hidden="1" x14ac:dyDescent="0.15"/>
    <row r="9773" hidden="1" x14ac:dyDescent="0.15"/>
    <row r="9774" hidden="1" x14ac:dyDescent="0.15"/>
    <row r="9775" hidden="1" x14ac:dyDescent="0.15"/>
    <row r="9776" hidden="1" x14ac:dyDescent="0.15"/>
    <row r="9777" hidden="1" x14ac:dyDescent="0.15"/>
    <row r="9778" hidden="1" x14ac:dyDescent="0.15"/>
    <row r="9779" hidden="1" x14ac:dyDescent="0.15"/>
    <row r="9780" hidden="1" x14ac:dyDescent="0.15"/>
    <row r="9781" hidden="1" x14ac:dyDescent="0.15"/>
    <row r="9782" hidden="1" x14ac:dyDescent="0.15"/>
    <row r="9783" hidden="1" x14ac:dyDescent="0.15"/>
    <row r="9784" hidden="1" x14ac:dyDescent="0.15"/>
    <row r="9785" hidden="1" x14ac:dyDescent="0.15"/>
    <row r="9786" hidden="1" x14ac:dyDescent="0.15"/>
    <row r="9787" hidden="1" x14ac:dyDescent="0.15"/>
    <row r="9788" hidden="1" x14ac:dyDescent="0.15"/>
    <row r="9789" hidden="1" x14ac:dyDescent="0.15"/>
    <row r="9790" hidden="1" x14ac:dyDescent="0.15"/>
    <row r="9791" hidden="1" x14ac:dyDescent="0.15"/>
    <row r="9792" hidden="1" x14ac:dyDescent="0.15"/>
    <row r="9793" hidden="1" x14ac:dyDescent="0.15"/>
    <row r="9794" hidden="1" x14ac:dyDescent="0.15"/>
    <row r="9795" hidden="1" x14ac:dyDescent="0.15"/>
    <row r="9796" hidden="1" x14ac:dyDescent="0.15"/>
    <row r="9797" hidden="1" x14ac:dyDescent="0.15"/>
    <row r="9798" hidden="1" x14ac:dyDescent="0.15"/>
    <row r="9799" hidden="1" x14ac:dyDescent="0.15"/>
    <row r="9800" hidden="1" x14ac:dyDescent="0.15"/>
    <row r="9801" hidden="1" x14ac:dyDescent="0.15"/>
    <row r="9802" hidden="1" x14ac:dyDescent="0.15"/>
    <row r="9803" hidden="1" x14ac:dyDescent="0.15"/>
    <row r="9804" hidden="1" x14ac:dyDescent="0.15"/>
    <row r="9805" hidden="1" x14ac:dyDescent="0.15"/>
    <row r="9806" hidden="1" x14ac:dyDescent="0.15"/>
    <row r="9807" hidden="1" x14ac:dyDescent="0.15"/>
    <row r="9808" hidden="1" x14ac:dyDescent="0.15"/>
    <row r="9809" hidden="1" x14ac:dyDescent="0.15"/>
    <row r="9810" hidden="1" x14ac:dyDescent="0.15"/>
    <row r="9811" hidden="1" x14ac:dyDescent="0.15"/>
    <row r="9812" hidden="1" x14ac:dyDescent="0.15"/>
    <row r="9813" hidden="1" x14ac:dyDescent="0.15"/>
    <row r="9814" hidden="1" x14ac:dyDescent="0.15"/>
    <row r="9815" hidden="1" x14ac:dyDescent="0.15"/>
    <row r="9816" hidden="1" x14ac:dyDescent="0.15"/>
    <row r="9817" hidden="1" x14ac:dyDescent="0.15"/>
    <row r="9818" hidden="1" x14ac:dyDescent="0.15"/>
    <row r="9819" hidden="1" x14ac:dyDescent="0.15"/>
    <row r="9820" hidden="1" x14ac:dyDescent="0.15"/>
    <row r="9821" hidden="1" x14ac:dyDescent="0.15"/>
    <row r="9822" hidden="1" x14ac:dyDescent="0.15"/>
    <row r="9823" hidden="1" x14ac:dyDescent="0.15"/>
    <row r="9824" hidden="1" x14ac:dyDescent="0.15"/>
    <row r="9825" hidden="1" x14ac:dyDescent="0.15"/>
    <row r="9826" hidden="1" x14ac:dyDescent="0.15"/>
    <row r="9827" hidden="1" x14ac:dyDescent="0.15"/>
    <row r="9828" hidden="1" x14ac:dyDescent="0.15"/>
    <row r="9829" hidden="1" x14ac:dyDescent="0.15"/>
    <row r="9830" hidden="1" x14ac:dyDescent="0.15"/>
    <row r="9831" hidden="1" x14ac:dyDescent="0.15"/>
    <row r="9832" hidden="1" x14ac:dyDescent="0.15"/>
    <row r="9833" hidden="1" x14ac:dyDescent="0.15"/>
    <row r="9834" hidden="1" x14ac:dyDescent="0.15"/>
    <row r="9835" hidden="1" x14ac:dyDescent="0.15"/>
    <row r="9836" hidden="1" x14ac:dyDescent="0.15"/>
    <row r="9837" hidden="1" x14ac:dyDescent="0.15"/>
    <row r="9838" hidden="1" x14ac:dyDescent="0.15"/>
    <row r="9839" hidden="1" x14ac:dyDescent="0.15"/>
    <row r="9840" hidden="1" x14ac:dyDescent="0.15"/>
    <row r="9841" hidden="1" x14ac:dyDescent="0.15"/>
    <row r="9842" hidden="1" x14ac:dyDescent="0.15"/>
    <row r="9843" hidden="1" x14ac:dyDescent="0.15"/>
    <row r="9844" hidden="1" x14ac:dyDescent="0.15"/>
    <row r="9845" hidden="1" x14ac:dyDescent="0.15"/>
    <row r="9846" hidden="1" x14ac:dyDescent="0.15"/>
    <row r="9847" hidden="1" x14ac:dyDescent="0.15"/>
    <row r="9848" hidden="1" x14ac:dyDescent="0.15"/>
    <row r="9849" hidden="1" x14ac:dyDescent="0.15"/>
    <row r="9850" hidden="1" x14ac:dyDescent="0.15"/>
    <row r="9851" hidden="1" x14ac:dyDescent="0.15"/>
    <row r="9852" hidden="1" x14ac:dyDescent="0.15"/>
    <row r="9853" hidden="1" x14ac:dyDescent="0.15"/>
    <row r="9854" hidden="1" x14ac:dyDescent="0.15"/>
    <row r="9855" hidden="1" x14ac:dyDescent="0.15"/>
    <row r="9856" hidden="1" x14ac:dyDescent="0.15"/>
    <row r="9857" hidden="1" x14ac:dyDescent="0.15"/>
    <row r="9858" hidden="1" x14ac:dyDescent="0.15"/>
    <row r="9859" hidden="1" x14ac:dyDescent="0.15"/>
    <row r="9860" hidden="1" x14ac:dyDescent="0.15"/>
    <row r="9861" hidden="1" x14ac:dyDescent="0.15"/>
    <row r="9862" hidden="1" x14ac:dyDescent="0.15"/>
    <row r="9863" hidden="1" x14ac:dyDescent="0.15"/>
    <row r="9864" hidden="1" x14ac:dyDescent="0.15"/>
    <row r="9865" hidden="1" x14ac:dyDescent="0.15"/>
    <row r="9866" hidden="1" x14ac:dyDescent="0.15"/>
    <row r="9867" hidden="1" x14ac:dyDescent="0.15"/>
    <row r="9868" hidden="1" x14ac:dyDescent="0.15"/>
    <row r="9869" hidden="1" x14ac:dyDescent="0.15"/>
    <row r="9870" hidden="1" x14ac:dyDescent="0.15"/>
    <row r="9871" hidden="1" x14ac:dyDescent="0.15"/>
    <row r="9872" hidden="1" x14ac:dyDescent="0.15"/>
    <row r="9873" hidden="1" x14ac:dyDescent="0.15"/>
    <row r="9874" hidden="1" x14ac:dyDescent="0.15"/>
    <row r="9875" hidden="1" x14ac:dyDescent="0.15"/>
    <row r="9876" hidden="1" x14ac:dyDescent="0.15"/>
    <row r="9877" hidden="1" x14ac:dyDescent="0.15"/>
    <row r="9878" hidden="1" x14ac:dyDescent="0.15"/>
    <row r="9879" hidden="1" x14ac:dyDescent="0.15"/>
    <row r="9880" hidden="1" x14ac:dyDescent="0.15"/>
    <row r="9881" hidden="1" x14ac:dyDescent="0.15"/>
    <row r="9882" hidden="1" x14ac:dyDescent="0.15"/>
    <row r="9883" hidden="1" x14ac:dyDescent="0.15"/>
    <row r="9884" hidden="1" x14ac:dyDescent="0.15"/>
    <row r="9885" hidden="1" x14ac:dyDescent="0.15"/>
    <row r="9886" hidden="1" x14ac:dyDescent="0.15"/>
    <row r="9887" hidden="1" x14ac:dyDescent="0.15"/>
    <row r="9888" hidden="1" x14ac:dyDescent="0.15"/>
    <row r="9889" hidden="1" x14ac:dyDescent="0.15"/>
    <row r="9890" hidden="1" x14ac:dyDescent="0.15"/>
    <row r="9891" hidden="1" x14ac:dyDescent="0.15"/>
    <row r="9892" hidden="1" x14ac:dyDescent="0.15"/>
    <row r="9893" hidden="1" x14ac:dyDescent="0.15"/>
    <row r="9894" hidden="1" x14ac:dyDescent="0.15"/>
    <row r="9895" hidden="1" x14ac:dyDescent="0.15"/>
    <row r="9896" hidden="1" x14ac:dyDescent="0.15"/>
    <row r="9897" hidden="1" x14ac:dyDescent="0.15"/>
    <row r="9898" hidden="1" x14ac:dyDescent="0.15"/>
    <row r="9899" hidden="1" x14ac:dyDescent="0.15"/>
    <row r="9900" hidden="1" x14ac:dyDescent="0.15"/>
    <row r="9901" hidden="1" x14ac:dyDescent="0.15"/>
    <row r="9902" hidden="1" x14ac:dyDescent="0.15"/>
    <row r="9903" hidden="1" x14ac:dyDescent="0.15"/>
    <row r="9904" hidden="1" x14ac:dyDescent="0.15"/>
    <row r="9905" hidden="1" x14ac:dyDescent="0.15"/>
    <row r="9906" hidden="1" x14ac:dyDescent="0.15"/>
    <row r="9907" hidden="1" x14ac:dyDescent="0.15"/>
    <row r="9908" hidden="1" x14ac:dyDescent="0.15"/>
    <row r="9909" hidden="1" x14ac:dyDescent="0.15"/>
    <row r="9910" hidden="1" x14ac:dyDescent="0.15"/>
    <row r="9911" hidden="1" x14ac:dyDescent="0.15"/>
    <row r="9912" hidden="1" x14ac:dyDescent="0.15"/>
    <row r="9913" hidden="1" x14ac:dyDescent="0.15"/>
    <row r="9914" hidden="1" x14ac:dyDescent="0.15"/>
    <row r="9915" hidden="1" x14ac:dyDescent="0.15"/>
    <row r="9916" hidden="1" x14ac:dyDescent="0.15"/>
    <row r="9917" hidden="1" x14ac:dyDescent="0.15"/>
    <row r="9918" hidden="1" x14ac:dyDescent="0.15"/>
    <row r="9919" hidden="1" x14ac:dyDescent="0.15"/>
    <row r="9920" hidden="1" x14ac:dyDescent="0.15"/>
    <row r="9921" hidden="1" x14ac:dyDescent="0.15"/>
    <row r="9922" hidden="1" x14ac:dyDescent="0.15"/>
    <row r="9923" hidden="1" x14ac:dyDescent="0.15"/>
    <row r="9924" hidden="1" x14ac:dyDescent="0.15"/>
    <row r="9925" hidden="1" x14ac:dyDescent="0.15"/>
    <row r="9926" hidden="1" x14ac:dyDescent="0.15"/>
    <row r="9927" hidden="1" x14ac:dyDescent="0.15"/>
    <row r="9928" hidden="1" x14ac:dyDescent="0.15"/>
    <row r="9929" hidden="1" x14ac:dyDescent="0.15"/>
    <row r="9930" hidden="1" x14ac:dyDescent="0.15"/>
    <row r="9931" hidden="1" x14ac:dyDescent="0.15"/>
    <row r="9932" hidden="1" x14ac:dyDescent="0.15"/>
    <row r="9933" hidden="1" x14ac:dyDescent="0.15"/>
    <row r="9934" hidden="1" x14ac:dyDescent="0.15"/>
    <row r="9935" hidden="1" x14ac:dyDescent="0.15"/>
    <row r="9936" hidden="1" x14ac:dyDescent="0.15"/>
    <row r="9937" hidden="1" x14ac:dyDescent="0.15"/>
    <row r="9938" hidden="1" x14ac:dyDescent="0.15"/>
    <row r="9939" hidden="1" x14ac:dyDescent="0.15"/>
    <row r="9940" hidden="1" x14ac:dyDescent="0.15"/>
    <row r="9941" hidden="1" x14ac:dyDescent="0.15"/>
    <row r="9942" hidden="1" x14ac:dyDescent="0.15"/>
    <row r="9943" hidden="1" x14ac:dyDescent="0.15"/>
    <row r="9944" hidden="1" x14ac:dyDescent="0.15"/>
    <row r="9945" hidden="1" x14ac:dyDescent="0.15"/>
    <row r="9946" hidden="1" x14ac:dyDescent="0.15"/>
    <row r="9947" hidden="1" x14ac:dyDescent="0.15"/>
    <row r="9948" hidden="1" x14ac:dyDescent="0.15"/>
    <row r="9949" hidden="1" x14ac:dyDescent="0.15"/>
    <row r="9950" hidden="1" x14ac:dyDescent="0.15"/>
    <row r="9951" hidden="1" x14ac:dyDescent="0.15"/>
    <row r="9952" hidden="1" x14ac:dyDescent="0.15"/>
    <row r="9953" hidden="1" x14ac:dyDescent="0.15"/>
    <row r="9954" hidden="1" x14ac:dyDescent="0.15"/>
    <row r="9955" hidden="1" x14ac:dyDescent="0.15"/>
    <row r="9956" hidden="1" x14ac:dyDescent="0.15"/>
    <row r="9957" hidden="1" x14ac:dyDescent="0.15"/>
    <row r="9958" hidden="1" x14ac:dyDescent="0.15"/>
    <row r="9959" hidden="1" x14ac:dyDescent="0.15"/>
    <row r="9960" hidden="1" x14ac:dyDescent="0.15"/>
    <row r="9961" hidden="1" x14ac:dyDescent="0.15"/>
    <row r="9962" hidden="1" x14ac:dyDescent="0.15"/>
    <row r="9963" hidden="1" x14ac:dyDescent="0.15"/>
    <row r="9964" hidden="1" x14ac:dyDescent="0.15"/>
    <row r="9965" hidden="1" x14ac:dyDescent="0.15"/>
    <row r="9966" hidden="1" x14ac:dyDescent="0.15"/>
    <row r="9967" hidden="1" x14ac:dyDescent="0.15"/>
    <row r="9968" hidden="1" x14ac:dyDescent="0.15"/>
    <row r="9969" hidden="1" x14ac:dyDescent="0.15"/>
    <row r="9970" hidden="1" x14ac:dyDescent="0.15"/>
    <row r="9971" hidden="1" x14ac:dyDescent="0.15"/>
    <row r="9972" hidden="1" x14ac:dyDescent="0.15"/>
    <row r="9973" hidden="1" x14ac:dyDescent="0.15"/>
    <row r="9974" hidden="1" x14ac:dyDescent="0.15"/>
    <row r="9975" hidden="1" x14ac:dyDescent="0.15"/>
    <row r="9976" hidden="1" x14ac:dyDescent="0.15"/>
    <row r="9977" hidden="1" x14ac:dyDescent="0.15"/>
    <row r="9978" hidden="1" x14ac:dyDescent="0.15"/>
    <row r="9979" hidden="1" x14ac:dyDescent="0.15"/>
    <row r="9980" hidden="1" x14ac:dyDescent="0.15"/>
    <row r="9981" hidden="1" x14ac:dyDescent="0.15"/>
    <row r="9982" hidden="1" x14ac:dyDescent="0.15"/>
    <row r="9983" hidden="1" x14ac:dyDescent="0.15"/>
    <row r="9984" hidden="1" x14ac:dyDescent="0.15"/>
    <row r="9985" hidden="1" x14ac:dyDescent="0.15"/>
    <row r="9986" hidden="1" x14ac:dyDescent="0.15"/>
    <row r="9987" hidden="1" x14ac:dyDescent="0.15"/>
    <row r="9988" hidden="1" x14ac:dyDescent="0.15"/>
    <row r="9989" hidden="1" x14ac:dyDescent="0.15"/>
    <row r="9990" hidden="1" x14ac:dyDescent="0.15"/>
    <row r="9991" hidden="1" x14ac:dyDescent="0.15"/>
    <row r="9992" hidden="1" x14ac:dyDescent="0.15"/>
    <row r="9993" hidden="1" x14ac:dyDescent="0.15"/>
    <row r="9994" hidden="1" x14ac:dyDescent="0.15"/>
    <row r="9995" hidden="1" x14ac:dyDescent="0.15"/>
    <row r="9996" hidden="1" x14ac:dyDescent="0.15"/>
    <row r="9997" hidden="1" x14ac:dyDescent="0.15"/>
    <row r="9998" hidden="1" x14ac:dyDescent="0.15"/>
    <row r="9999" hidden="1" x14ac:dyDescent="0.15"/>
    <row r="10000" hidden="1" x14ac:dyDescent="0.15"/>
    <row r="10001" hidden="1" x14ac:dyDescent="0.15"/>
    <row r="10002" hidden="1" x14ac:dyDescent="0.15"/>
    <row r="10003" hidden="1" x14ac:dyDescent="0.15"/>
    <row r="10004" hidden="1" x14ac:dyDescent="0.15"/>
    <row r="10005" hidden="1" x14ac:dyDescent="0.15"/>
    <row r="10006" hidden="1" x14ac:dyDescent="0.15"/>
    <row r="10007" hidden="1" x14ac:dyDescent="0.15"/>
    <row r="10008" hidden="1" x14ac:dyDescent="0.15"/>
    <row r="10009" hidden="1" x14ac:dyDescent="0.15"/>
    <row r="10010" hidden="1" x14ac:dyDescent="0.15"/>
    <row r="10011" hidden="1" x14ac:dyDescent="0.15"/>
    <row r="10012" hidden="1" x14ac:dyDescent="0.15"/>
    <row r="10013" hidden="1" x14ac:dyDescent="0.15"/>
    <row r="10014" hidden="1" x14ac:dyDescent="0.15"/>
    <row r="10015" hidden="1" x14ac:dyDescent="0.15"/>
    <row r="10016" hidden="1" x14ac:dyDescent="0.15"/>
    <row r="10017" hidden="1" x14ac:dyDescent="0.15"/>
    <row r="10018" hidden="1" x14ac:dyDescent="0.15"/>
    <row r="10019" hidden="1" x14ac:dyDescent="0.15"/>
    <row r="10020" hidden="1" x14ac:dyDescent="0.15"/>
    <row r="10021" hidden="1" x14ac:dyDescent="0.15"/>
    <row r="10022" hidden="1" x14ac:dyDescent="0.15"/>
    <row r="10023" hidden="1" x14ac:dyDescent="0.15"/>
    <row r="10024" hidden="1" x14ac:dyDescent="0.15"/>
    <row r="10025" hidden="1" x14ac:dyDescent="0.15"/>
    <row r="10026" hidden="1" x14ac:dyDescent="0.15"/>
    <row r="10027" hidden="1" x14ac:dyDescent="0.15"/>
    <row r="10028" hidden="1" x14ac:dyDescent="0.15"/>
    <row r="10029" hidden="1" x14ac:dyDescent="0.15"/>
    <row r="10030" hidden="1" x14ac:dyDescent="0.15"/>
    <row r="10031" hidden="1" x14ac:dyDescent="0.15"/>
    <row r="10032" hidden="1" x14ac:dyDescent="0.15"/>
    <row r="10033" hidden="1" x14ac:dyDescent="0.15"/>
    <row r="10034" hidden="1" x14ac:dyDescent="0.15"/>
    <row r="10035" hidden="1" x14ac:dyDescent="0.15"/>
    <row r="10036" hidden="1" x14ac:dyDescent="0.15"/>
    <row r="10037" hidden="1" x14ac:dyDescent="0.15"/>
    <row r="10038" hidden="1" x14ac:dyDescent="0.15"/>
    <row r="10039" hidden="1" x14ac:dyDescent="0.15"/>
    <row r="10040" hidden="1" x14ac:dyDescent="0.15"/>
    <row r="10041" hidden="1" x14ac:dyDescent="0.15"/>
    <row r="10042" hidden="1" x14ac:dyDescent="0.15"/>
    <row r="10043" hidden="1" x14ac:dyDescent="0.15"/>
    <row r="10044" hidden="1" x14ac:dyDescent="0.15"/>
    <row r="10045" hidden="1" x14ac:dyDescent="0.15"/>
    <row r="10046" hidden="1" x14ac:dyDescent="0.15"/>
    <row r="10047" hidden="1" x14ac:dyDescent="0.15"/>
    <row r="10048" hidden="1" x14ac:dyDescent="0.15"/>
    <row r="10049" hidden="1" x14ac:dyDescent="0.15"/>
    <row r="10050" hidden="1" x14ac:dyDescent="0.15"/>
    <row r="10051" hidden="1" x14ac:dyDescent="0.15"/>
    <row r="10052" hidden="1" x14ac:dyDescent="0.15"/>
    <row r="10053" hidden="1" x14ac:dyDescent="0.15"/>
    <row r="10054" hidden="1" x14ac:dyDescent="0.15"/>
    <row r="10055" hidden="1" x14ac:dyDescent="0.15"/>
    <row r="10056" hidden="1" x14ac:dyDescent="0.15"/>
    <row r="10057" hidden="1" x14ac:dyDescent="0.15"/>
    <row r="10058" hidden="1" x14ac:dyDescent="0.15"/>
    <row r="10059" hidden="1" x14ac:dyDescent="0.15"/>
    <row r="10060" hidden="1" x14ac:dyDescent="0.15"/>
    <row r="10061" hidden="1" x14ac:dyDescent="0.15"/>
    <row r="10062" hidden="1" x14ac:dyDescent="0.15"/>
    <row r="10063" hidden="1" x14ac:dyDescent="0.15"/>
    <row r="10064" hidden="1" x14ac:dyDescent="0.15"/>
    <row r="10065" hidden="1" x14ac:dyDescent="0.15"/>
    <row r="10066" hidden="1" x14ac:dyDescent="0.15"/>
    <row r="10067" hidden="1" x14ac:dyDescent="0.15"/>
    <row r="10068" hidden="1" x14ac:dyDescent="0.15"/>
    <row r="10069" hidden="1" x14ac:dyDescent="0.15"/>
    <row r="10070" hidden="1" x14ac:dyDescent="0.15"/>
    <row r="10071" hidden="1" x14ac:dyDescent="0.15"/>
    <row r="10072" hidden="1" x14ac:dyDescent="0.15"/>
    <row r="10073" hidden="1" x14ac:dyDescent="0.15"/>
    <row r="10074" hidden="1" x14ac:dyDescent="0.15"/>
    <row r="10075" hidden="1" x14ac:dyDescent="0.15"/>
    <row r="10076" hidden="1" x14ac:dyDescent="0.15"/>
    <row r="10077" hidden="1" x14ac:dyDescent="0.15"/>
    <row r="10078" hidden="1" x14ac:dyDescent="0.15"/>
    <row r="10079" hidden="1" x14ac:dyDescent="0.15"/>
    <row r="10080" hidden="1" x14ac:dyDescent="0.15"/>
    <row r="10081" hidden="1" x14ac:dyDescent="0.15"/>
    <row r="10082" hidden="1" x14ac:dyDescent="0.15"/>
    <row r="10083" hidden="1" x14ac:dyDescent="0.15"/>
    <row r="10084" hidden="1" x14ac:dyDescent="0.15"/>
    <row r="10085" hidden="1" x14ac:dyDescent="0.15"/>
    <row r="10086" hidden="1" x14ac:dyDescent="0.15"/>
    <row r="10087" hidden="1" x14ac:dyDescent="0.15"/>
    <row r="10088" hidden="1" x14ac:dyDescent="0.15"/>
    <row r="10089" hidden="1" x14ac:dyDescent="0.15"/>
    <row r="10090" hidden="1" x14ac:dyDescent="0.15"/>
    <row r="10091" hidden="1" x14ac:dyDescent="0.15"/>
    <row r="10092" hidden="1" x14ac:dyDescent="0.15"/>
    <row r="10093" hidden="1" x14ac:dyDescent="0.15"/>
    <row r="10094" hidden="1" x14ac:dyDescent="0.15"/>
    <row r="10095" hidden="1" x14ac:dyDescent="0.15"/>
    <row r="10096" hidden="1" x14ac:dyDescent="0.15"/>
    <row r="10097" hidden="1" x14ac:dyDescent="0.15"/>
    <row r="10098" hidden="1" x14ac:dyDescent="0.15"/>
    <row r="10099" hidden="1" x14ac:dyDescent="0.15"/>
    <row r="10100" hidden="1" x14ac:dyDescent="0.15"/>
    <row r="10101" hidden="1" x14ac:dyDescent="0.15"/>
    <row r="10102" hidden="1" x14ac:dyDescent="0.15"/>
    <row r="10103" hidden="1" x14ac:dyDescent="0.15"/>
    <row r="10104" hidden="1" x14ac:dyDescent="0.15"/>
    <row r="10105" hidden="1" x14ac:dyDescent="0.15"/>
    <row r="10106" hidden="1" x14ac:dyDescent="0.15"/>
    <row r="10107" hidden="1" x14ac:dyDescent="0.15"/>
    <row r="10108" hidden="1" x14ac:dyDescent="0.15"/>
    <row r="10109" hidden="1" x14ac:dyDescent="0.15"/>
    <row r="10110" hidden="1" x14ac:dyDescent="0.15"/>
    <row r="10111" hidden="1" x14ac:dyDescent="0.15"/>
    <row r="10112" hidden="1" x14ac:dyDescent="0.15"/>
    <row r="10113" hidden="1" x14ac:dyDescent="0.15"/>
    <row r="10114" hidden="1" x14ac:dyDescent="0.15"/>
    <row r="10115" hidden="1" x14ac:dyDescent="0.15"/>
    <row r="10116" hidden="1" x14ac:dyDescent="0.15"/>
    <row r="10117" hidden="1" x14ac:dyDescent="0.15"/>
    <row r="10118" hidden="1" x14ac:dyDescent="0.15"/>
    <row r="10119" hidden="1" x14ac:dyDescent="0.15"/>
    <row r="10120" hidden="1" x14ac:dyDescent="0.15"/>
    <row r="10121" hidden="1" x14ac:dyDescent="0.15"/>
    <row r="10122" hidden="1" x14ac:dyDescent="0.15"/>
    <row r="10123" hidden="1" x14ac:dyDescent="0.15"/>
    <row r="10124" hidden="1" x14ac:dyDescent="0.15"/>
    <row r="10125" hidden="1" x14ac:dyDescent="0.15"/>
    <row r="10126" hidden="1" x14ac:dyDescent="0.15"/>
    <row r="10127" hidden="1" x14ac:dyDescent="0.15"/>
    <row r="10128" hidden="1" x14ac:dyDescent="0.15"/>
    <row r="10129" hidden="1" x14ac:dyDescent="0.15"/>
    <row r="10130" hidden="1" x14ac:dyDescent="0.15"/>
    <row r="10131" hidden="1" x14ac:dyDescent="0.15"/>
    <row r="10132" hidden="1" x14ac:dyDescent="0.15"/>
    <row r="10133" hidden="1" x14ac:dyDescent="0.15"/>
    <row r="10134" hidden="1" x14ac:dyDescent="0.15"/>
    <row r="10135" hidden="1" x14ac:dyDescent="0.15"/>
    <row r="10136" hidden="1" x14ac:dyDescent="0.15"/>
    <row r="10137" hidden="1" x14ac:dyDescent="0.15"/>
    <row r="10138" hidden="1" x14ac:dyDescent="0.15"/>
    <row r="10139" hidden="1" x14ac:dyDescent="0.15"/>
    <row r="10140" hidden="1" x14ac:dyDescent="0.15"/>
    <row r="10141" hidden="1" x14ac:dyDescent="0.15"/>
    <row r="10142" hidden="1" x14ac:dyDescent="0.15"/>
    <row r="10143" hidden="1" x14ac:dyDescent="0.15"/>
    <row r="10144" hidden="1" x14ac:dyDescent="0.15"/>
    <row r="10145" hidden="1" x14ac:dyDescent="0.15"/>
    <row r="10146" hidden="1" x14ac:dyDescent="0.15"/>
    <row r="10147" hidden="1" x14ac:dyDescent="0.15"/>
    <row r="10148" hidden="1" x14ac:dyDescent="0.15"/>
    <row r="10149" hidden="1" x14ac:dyDescent="0.15"/>
    <row r="10150" hidden="1" x14ac:dyDescent="0.15"/>
    <row r="10151" hidden="1" x14ac:dyDescent="0.15"/>
    <row r="10152" hidden="1" x14ac:dyDescent="0.15"/>
    <row r="10153" hidden="1" x14ac:dyDescent="0.15"/>
    <row r="10154" hidden="1" x14ac:dyDescent="0.15"/>
    <row r="10155" hidden="1" x14ac:dyDescent="0.15"/>
    <row r="10156" hidden="1" x14ac:dyDescent="0.15"/>
    <row r="10157" hidden="1" x14ac:dyDescent="0.15"/>
    <row r="10158" hidden="1" x14ac:dyDescent="0.15"/>
    <row r="10159" hidden="1" x14ac:dyDescent="0.15"/>
    <row r="10160" hidden="1" x14ac:dyDescent="0.15"/>
    <row r="10161" hidden="1" x14ac:dyDescent="0.15"/>
    <row r="10162" hidden="1" x14ac:dyDescent="0.15"/>
    <row r="10163" hidden="1" x14ac:dyDescent="0.15"/>
    <row r="10164" hidden="1" x14ac:dyDescent="0.15"/>
    <row r="10165" hidden="1" x14ac:dyDescent="0.15"/>
    <row r="10166" hidden="1" x14ac:dyDescent="0.15"/>
    <row r="10167" hidden="1" x14ac:dyDescent="0.15"/>
    <row r="10168" hidden="1" x14ac:dyDescent="0.15"/>
    <row r="10169" hidden="1" x14ac:dyDescent="0.15"/>
    <row r="10170" hidden="1" x14ac:dyDescent="0.15"/>
    <row r="10171" hidden="1" x14ac:dyDescent="0.15"/>
    <row r="10172" hidden="1" x14ac:dyDescent="0.15"/>
    <row r="10173" hidden="1" x14ac:dyDescent="0.15"/>
    <row r="10174" hidden="1" x14ac:dyDescent="0.15"/>
    <row r="10175" hidden="1" x14ac:dyDescent="0.15"/>
    <row r="10176" hidden="1" x14ac:dyDescent="0.15"/>
    <row r="10177" hidden="1" x14ac:dyDescent="0.15"/>
    <row r="10178" hidden="1" x14ac:dyDescent="0.15"/>
    <row r="10179" hidden="1" x14ac:dyDescent="0.15"/>
    <row r="10180" hidden="1" x14ac:dyDescent="0.15"/>
    <row r="10181" hidden="1" x14ac:dyDescent="0.15"/>
    <row r="10182" hidden="1" x14ac:dyDescent="0.15"/>
    <row r="10183" hidden="1" x14ac:dyDescent="0.15"/>
    <row r="10184" hidden="1" x14ac:dyDescent="0.15"/>
    <row r="10185" hidden="1" x14ac:dyDescent="0.15"/>
    <row r="10186" hidden="1" x14ac:dyDescent="0.15"/>
    <row r="10187" hidden="1" x14ac:dyDescent="0.15"/>
    <row r="10188" hidden="1" x14ac:dyDescent="0.15"/>
    <row r="10189" hidden="1" x14ac:dyDescent="0.15"/>
    <row r="10190" hidden="1" x14ac:dyDescent="0.15"/>
    <row r="10191" hidden="1" x14ac:dyDescent="0.15"/>
    <row r="10192" hidden="1" x14ac:dyDescent="0.15"/>
    <row r="10193" hidden="1" x14ac:dyDescent="0.15"/>
    <row r="10194" hidden="1" x14ac:dyDescent="0.15"/>
    <row r="10195" hidden="1" x14ac:dyDescent="0.15"/>
    <row r="10196" hidden="1" x14ac:dyDescent="0.15"/>
    <row r="10197" hidden="1" x14ac:dyDescent="0.15"/>
    <row r="10198" hidden="1" x14ac:dyDescent="0.15"/>
    <row r="10199" hidden="1" x14ac:dyDescent="0.15"/>
    <row r="10200" hidden="1" x14ac:dyDescent="0.15"/>
    <row r="10201" hidden="1" x14ac:dyDescent="0.15"/>
    <row r="10202" hidden="1" x14ac:dyDescent="0.15"/>
    <row r="10203" hidden="1" x14ac:dyDescent="0.15"/>
    <row r="10204" hidden="1" x14ac:dyDescent="0.15"/>
    <row r="10205" hidden="1" x14ac:dyDescent="0.15"/>
    <row r="10206" hidden="1" x14ac:dyDescent="0.15"/>
    <row r="10207" hidden="1" x14ac:dyDescent="0.15"/>
    <row r="10208" hidden="1" x14ac:dyDescent="0.15"/>
    <row r="10209" hidden="1" x14ac:dyDescent="0.15"/>
    <row r="10210" hidden="1" x14ac:dyDescent="0.15"/>
    <row r="10211" hidden="1" x14ac:dyDescent="0.15"/>
    <row r="10212" hidden="1" x14ac:dyDescent="0.15"/>
    <row r="10213" hidden="1" x14ac:dyDescent="0.15"/>
    <row r="10214" hidden="1" x14ac:dyDescent="0.15"/>
    <row r="10215" hidden="1" x14ac:dyDescent="0.15"/>
    <row r="10216" hidden="1" x14ac:dyDescent="0.15"/>
    <row r="10217" hidden="1" x14ac:dyDescent="0.15"/>
    <row r="10218" hidden="1" x14ac:dyDescent="0.15"/>
    <row r="10219" hidden="1" x14ac:dyDescent="0.15"/>
    <row r="10220" hidden="1" x14ac:dyDescent="0.15"/>
    <row r="10221" hidden="1" x14ac:dyDescent="0.15"/>
    <row r="10222" hidden="1" x14ac:dyDescent="0.15"/>
    <row r="10223" hidden="1" x14ac:dyDescent="0.15"/>
    <row r="10224" hidden="1" x14ac:dyDescent="0.15"/>
    <row r="10225" hidden="1" x14ac:dyDescent="0.15"/>
    <row r="10226" hidden="1" x14ac:dyDescent="0.15"/>
    <row r="10227" hidden="1" x14ac:dyDescent="0.15"/>
    <row r="10228" hidden="1" x14ac:dyDescent="0.15"/>
    <row r="10229" hidden="1" x14ac:dyDescent="0.15"/>
    <row r="10230" hidden="1" x14ac:dyDescent="0.15"/>
    <row r="10231" hidden="1" x14ac:dyDescent="0.15"/>
    <row r="10232" hidden="1" x14ac:dyDescent="0.15"/>
    <row r="10233" hidden="1" x14ac:dyDescent="0.15"/>
    <row r="10234" hidden="1" x14ac:dyDescent="0.15"/>
    <row r="10235" hidden="1" x14ac:dyDescent="0.15"/>
    <row r="10236" hidden="1" x14ac:dyDescent="0.15"/>
    <row r="10237" hidden="1" x14ac:dyDescent="0.15"/>
    <row r="10238" hidden="1" x14ac:dyDescent="0.15"/>
    <row r="10239" hidden="1" x14ac:dyDescent="0.15"/>
    <row r="10240" hidden="1" x14ac:dyDescent="0.15"/>
    <row r="10241" hidden="1" x14ac:dyDescent="0.15"/>
    <row r="10242" hidden="1" x14ac:dyDescent="0.15"/>
    <row r="10243" hidden="1" x14ac:dyDescent="0.15"/>
    <row r="10244" hidden="1" x14ac:dyDescent="0.15"/>
    <row r="10245" hidden="1" x14ac:dyDescent="0.15"/>
    <row r="10246" hidden="1" x14ac:dyDescent="0.15"/>
    <row r="10247" hidden="1" x14ac:dyDescent="0.15"/>
    <row r="10248" hidden="1" x14ac:dyDescent="0.15"/>
    <row r="10249" hidden="1" x14ac:dyDescent="0.15"/>
    <row r="10250" hidden="1" x14ac:dyDescent="0.15"/>
    <row r="10251" hidden="1" x14ac:dyDescent="0.15"/>
    <row r="10252" hidden="1" x14ac:dyDescent="0.15"/>
    <row r="10253" hidden="1" x14ac:dyDescent="0.15"/>
    <row r="10254" hidden="1" x14ac:dyDescent="0.15"/>
    <row r="10255" hidden="1" x14ac:dyDescent="0.15"/>
    <row r="10256" hidden="1" x14ac:dyDescent="0.15"/>
    <row r="10257" hidden="1" x14ac:dyDescent="0.15"/>
    <row r="10258" hidden="1" x14ac:dyDescent="0.15"/>
    <row r="10259" hidden="1" x14ac:dyDescent="0.15"/>
    <row r="10260" hidden="1" x14ac:dyDescent="0.15"/>
    <row r="10261" hidden="1" x14ac:dyDescent="0.15"/>
    <row r="10262" hidden="1" x14ac:dyDescent="0.15"/>
    <row r="10263" hidden="1" x14ac:dyDescent="0.15"/>
    <row r="10264" hidden="1" x14ac:dyDescent="0.15"/>
    <row r="10265" hidden="1" x14ac:dyDescent="0.15"/>
    <row r="10266" hidden="1" x14ac:dyDescent="0.15"/>
    <row r="10267" hidden="1" x14ac:dyDescent="0.15"/>
    <row r="10268" hidden="1" x14ac:dyDescent="0.15"/>
    <row r="10269" hidden="1" x14ac:dyDescent="0.15"/>
    <row r="10270" hidden="1" x14ac:dyDescent="0.15"/>
    <row r="10271" hidden="1" x14ac:dyDescent="0.15"/>
    <row r="10272" hidden="1" x14ac:dyDescent="0.15"/>
    <row r="10273" hidden="1" x14ac:dyDescent="0.15"/>
    <row r="10274" hidden="1" x14ac:dyDescent="0.15"/>
    <row r="10275" hidden="1" x14ac:dyDescent="0.15"/>
    <row r="10276" hidden="1" x14ac:dyDescent="0.15"/>
    <row r="10277" hidden="1" x14ac:dyDescent="0.15"/>
    <row r="10278" hidden="1" x14ac:dyDescent="0.15"/>
    <row r="10279" hidden="1" x14ac:dyDescent="0.15"/>
    <row r="10280" hidden="1" x14ac:dyDescent="0.15"/>
    <row r="10281" hidden="1" x14ac:dyDescent="0.15"/>
    <row r="10282" hidden="1" x14ac:dyDescent="0.15"/>
    <row r="10283" hidden="1" x14ac:dyDescent="0.15"/>
    <row r="10284" hidden="1" x14ac:dyDescent="0.15"/>
    <row r="10285" hidden="1" x14ac:dyDescent="0.15"/>
    <row r="10286" hidden="1" x14ac:dyDescent="0.15"/>
    <row r="10287" hidden="1" x14ac:dyDescent="0.15"/>
    <row r="10288" hidden="1" x14ac:dyDescent="0.15"/>
    <row r="10289" hidden="1" x14ac:dyDescent="0.15"/>
    <row r="10290" hidden="1" x14ac:dyDescent="0.15"/>
    <row r="10291" hidden="1" x14ac:dyDescent="0.15"/>
    <row r="10292" hidden="1" x14ac:dyDescent="0.15"/>
    <row r="10293" hidden="1" x14ac:dyDescent="0.15"/>
    <row r="10294" hidden="1" x14ac:dyDescent="0.15"/>
    <row r="10295" hidden="1" x14ac:dyDescent="0.15"/>
    <row r="10296" hidden="1" x14ac:dyDescent="0.15"/>
    <row r="10297" hidden="1" x14ac:dyDescent="0.15"/>
    <row r="10298" hidden="1" x14ac:dyDescent="0.15"/>
    <row r="10299" hidden="1" x14ac:dyDescent="0.15"/>
    <row r="10300" hidden="1" x14ac:dyDescent="0.15"/>
    <row r="10301" hidden="1" x14ac:dyDescent="0.15"/>
    <row r="10302" hidden="1" x14ac:dyDescent="0.15"/>
    <row r="10303" hidden="1" x14ac:dyDescent="0.15"/>
    <row r="10304" hidden="1" x14ac:dyDescent="0.15"/>
    <row r="10305" hidden="1" x14ac:dyDescent="0.15"/>
    <row r="10306" hidden="1" x14ac:dyDescent="0.15"/>
    <row r="10307" hidden="1" x14ac:dyDescent="0.15"/>
    <row r="10308" hidden="1" x14ac:dyDescent="0.15"/>
    <row r="10309" hidden="1" x14ac:dyDescent="0.15"/>
    <row r="10310" hidden="1" x14ac:dyDescent="0.15"/>
    <row r="10311" hidden="1" x14ac:dyDescent="0.15"/>
    <row r="10312" hidden="1" x14ac:dyDescent="0.15"/>
    <row r="10313" hidden="1" x14ac:dyDescent="0.15"/>
    <row r="10314" hidden="1" x14ac:dyDescent="0.15"/>
    <row r="10315" hidden="1" x14ac:dyDescent="0.15"/>
    <row r="10316" hidden="1" x14ac:dyDescent="0.15"/>
    <row r="10317" hidden="1" x14ac:dyDescent="0.15"/>
    <row r="10318" hidden="1" x14ac:dyDescent="0.15"/>
    <row r="10319" hidden="1" x14ac:dyDescent="0.15"/>
    <row r="10320" hidden="1" x14ac:dyDescent="0.15"/>
    <row r="10321" hidden="1" x14ac:dyDescent="0.15"/>
    <row r="10322" hidden="1" x14ac:dyDescent="0.15"/>
    <row r="10323" hidden="1" x14ac:dyDescent="0.15"/>
    <row r="10324" hidden="1" x14ac:dyDescent="0.15"/>
    <row r="10325" hidden="1" x14ac:dyDescent="0.15"/>
    <row r="10326" hidden="1" x14ac:dyDescent="0.15"/>
    <row r="10327" hidden="1" x14ac:dyDescent="0.15"/>
    <row r="10328" hidden="1" x14ac:dyDescent="0.15"/>
    <row r="10329" hidden="1" x14ac:dyDescent="0.15"/>
    <row r="10330" hidden="1" x14ac:dyDescent="0.15"/>
    <row r="10331" hidden="1" x14ac:dyDescent="0.15"/>
    <row r="10332" hidden="1" x14ac:dyDescent="0.15"/>
    <row r="10333" hidden="1" x14ac:dyDescent="0.15"/>
    <row r="10334" hidden="1" x14ac:dyDescent="0.15"/>
    <row r="10335" hidden="1" x14ac:dyDescent="0.15"/>
    <row r="10336" hidden="1" x14ac:dyDescent="0.15"/>
    <row r="10337" hidden="1" x14ac:dyDescent="0.15"/>
    <row r="10338" hidden="1" x14ac:dyDescent="0.15"/>
    <row r="10339" hidden="1" x14ac:dyDescent="0.15"/>
    <row r="10340" hidden="1" x14ac:dyDescent="0.15"/>
    <row r="10341" hidden="1" x14ac:dyDescent="0.15"/>
    <row r="10342" hidden="1" x14ac:dyDescent="0.15"/>
    <row r="10343" hidden="1" x14ac:dyDescent="0.15"/>
    <row r="10344" hidden="1" x14ac:dyDescent="0.15"/>
    <row r="10345" hidden="1" x14ac:dyDescent="0.15"/>
    <row r="10346" hidden="1" x14ac:dyDescent="0.15"/>
    <row r="10347" hidden="1" x14ac:dyDescent="0.15"/>
    <row r="10348" hidden="1" x14ac:dyDescent="0.15"/>
    <row r="10349" hidden="1" x14ac:dyDescent="0.15"/>
    <row r="10350" hidden="1" x14ac:dyDescent="0.15"/>
    <row r="10351" hidden="1" x14ac:dyDescent="0.15"/>
    <row r="10352" hidden="1" x14ac:dyDescent="0.15"/>
    <row r="10353" hidden="1" x14ac:dyDescent="0.15"/>
    <row r="10354" hidden="1" x14ac:dyDescent="0.15"/>
    <row r="10355" hidden="1" x14ac:dyDescent="0.15"/>
    <row r="10356" hidden="1" x14ac:dyDescent="0.15"/>
    <row r="10357" hidden="1" x14ac:dyDescent="0.15"/>
    <row r="10358" hidden="1" x14ac:dyDescent="0.15"/>
    <row r="10359" hidden="1" x14ac:dyDescent="0.15"/>
    <row r="10360" hidden="1" x14ac:dyDescent="0.15"/>
    <row r="10361" hidden="1" x14ac:dyDescent="0.15"/>
    <row r="10362" hidden="1" x14ac:dyDescent="0.15"/>
    <row r="10363" hidden="1" x14ac:dyDescent="0.15"/>
    <row r="10364" hidden="1" x14ac:dyDescent="0.15"/>
    <row r="10365" hidden="1" x14ac:dyDescent="0.15"/>
    <row r="10366" hidden="1" x14ac:dyDescent="0.15"/>
    <row r="10367" hidden="1" x14ac:dyDescent="0.15"/>
    <row r="10368" hidden="1" x14ac:dyDescent="0.15"/>
    <row r="10369" hidden="1" x14ac:dyDescent="0.15"/>
    <row r="10370" hidden="1" x14ac:dyDescent="0.15"/>
    <row r="10371" hidden="1" x14ac:dyDescent="0.15"/>
    <row r="10372" hidden="1" x14ac:dyDescent="0.15"/>
    <row r="10373" hidden="1" x14ac:dyDescent="0.15"/>
    <row r="10374" hidden="1" x14ac:dyDescent="0.15"/>
    <row r="10375" hidden="1" x14ac:dyDescent="0.15"/>
    <row r="10376" hidden="1" x14ac:dyDescent="0.15"/>
    <row r="10377" hidden="1" x14ac:dyDescent="0.15"/>
    <row r="10378" hidden="1" x14ac:dyDescent="0.15"/>
    <row r="10379" hidden="1" x14ac:dyDescent="0.15"/>
    <row r="10380" hidden="1" x14ac:dyDescent="0.15"/>
    <row r="10381" hidden="1" x14ac:dyDescent="0.15"/>
    <row r="10382" hidden="1" x14ac:dyDescent="0.15"/>
    <row r="10383" hidden="1" x14ac:dyDescent="0.15"/>
    <row r="10384" hidden="1" x14ac:dyDescent="0.15"/>
    <row r="10385" hidden="1" x14ac:dyDescent="0.15"/>
    <row r="10386" hidden="1" x14ac:dyDescent="0.15"/>
    <row r="10387" hidden="1" x14ac:dyDescent="0.15"/>
    <row r="10388" hidden="1" x14ac:dyDescent="0.15"/>
    <row r="10389" hidden="1" x14ac:dyDescent="0.15"/>
    <row r="10390" hidden="1" x14ac:dyDescent="0.15"/>
    <row r="10391" hidden="1" x14ac:dyDescent="0.15"/>
    <row r="10392" hidden="1" x14ac:dyDescent="0.15"/>
    <row r="10393" hidden="1" x14ac:dyDescent="0.15"/>
    <row r="10394" hidden="1" x14ac:dyDescent="0.15"/>
    <row r="10395" hidden="1" x14ac:dyDescent="0.15"/>
    <row r="10396" hidden="1" x14ac:dyDescent="0.15"/>
    <row r="10397" hidden="1" x14ac:dyDescent="0.15"/>
    <row r="10398" hidden="1" x14ac:dyDescent="0.15"/>
    <row r="10399" hidden="1" x14ac:dyDescent="0.15"/>
    <row r="10400" hidden="1" x14ac:dyDescent="0.15"/>
    <row r="10401" hidden="1" x14ac:dyDescent="0.15"/>
    <row r="10402" hidden="1" x14ac:dyDescent="0.15"/>
    <row r="10403" hidden="1" x14ac:dyDescent="0.15"/>
    <row r="10404" hidden="1" x14ac:dyDescent="0.15"/>
    <row r="10405" hidden="1" x14ac:dyDescent="0.15"/>
    <row r="10406" hidden="1" x14ac:dyDescent="0.15"/>
    <row r="10407" hidden="1" x14ac:dyDescent="0.15"/>
    <row r="10408" hidden="1" x14ac:dyDescent="0.15"/>
    <row r="10409" hidden="1" x14ac:dyDescent="0.15"/>
    <row r="10410" hidden="1" x14ac:dyDescent="0.15"/>
    <row r="10411" hidden="1" x14ac:dyDescent="0.15"/>
    <row r="10412" hidden="1" x14ac:dyDescent="0.15"/>
    <row r="10413" hidden="1" x14ac:dyDescent="0.15"/>
    <row r="10414" hidden="1" x14ac:dyDescent="0.15"/>
    <row r="10415" hidden="1" x14ac:dyDescent="0.15"/>
    <row r="10416" hidden="1" x14ac:dyDescent="0.15"/>
    <row r="10417" hidden="1" x14ac:dyDescent="0.15"/>
    <row r="10418" hidden="1" x14ac:dyDescent="0.15"/>
    <row r="10419" hidden="1" x14ac:dyDescent="0.15"/>
    <row r="10420" hidden="1" x14ac:dyDescent="0.15"/>
    <row r="10421" hidden="1" x14ac:dyDescent="0.15"/>
    <row r="10422" hidden="1" x14ac:dyDescent="0.15"/>
    <row r="10423" hidden="1" x14ac:dyDescent="0.15"/>
    <row r="10424" hidden="1" x14ac:dyDescent="0.15"/>
    <row r="10425" hidden="1" x14ac:dyDescent="0.15"/>
    <row r="10426" hidden="1" x14ac:dyDescent="0.15"/>
    <row r="10427" hidden="1" x14ac:dyDescent="0.15"/>
    <row r="10428" hidden="1" x14ac:dyDescent="0.15"/>
    <row r="10429" hidden="1" x14ac:dyDescent="0.15"/>
    <row r="10430" hidden="1" x14ac:dyDescent="0.15"/>
    <row r="10431" hidden="1" x14ac:dyDescent="0.15"/>
    <row r="10432" hidden="1" x14ac:dyDescent="0.15"/>
    <row r="10433" hidden="1" x14ac:dyDescent="0.15"/>
    <row r="10434" hidden="1" x14ac:dyDescent="0.15"/>
    <row r="10435" hidden="1" x14ac:dyDescent="0.15"/>
    <row r="10436" hidden="1" x14ac:dyDescent="0.15"/>
    <row r="10437" hidden="1" x14ac:dyDescent="0.15"/>
    <row r="10438" hidden="1" x14ac:dyDescent="0.15"/>
    <row r="10439" hidden="1" x14ac:dyDescent="0.15"/>
    <row r="10440" hidden="1" x14ac:dyDescent="0.15"/>
    <row r="10441" hidden="1" x14ac:dyDescent="0.15"/>
    <row r="10442" hidden="1" x14ac:dyDescent="0.15"/>
    <row r="10443" hidden="1" x14ac:dyDescent="0.15"/>
    <row r="10444" hidden="1" x14ac:dyDescent="0.15"/>
    <row r="10445" hidden="1" x14ac:dyDescent="0.15"/>
    <row r="10446" hidden="1" x14ac:dyDescent="0.15"/>
    <row r="10447" hidden="1" x14ac:dyDescent="0.15"/>
    <row r="10448" hidden="1" x14ac:dyDescent="0.15"/>
    <row r="10449" hidden="1" x14ac:dyDescent="0.15"/>
    <row r="10450" hidden="1" x14ac:dyDescent="0.15"/>
    <row r="10451" hidden="1" x14ac:dyDescent="0.15"/>
    <row r="10452" hidden="1" x14ac:dyDescent="0.15"/>
    <row r="10453" hidden="1" x14ac:dyDescent="0.15"/>
    <row r="10454" hidden="1" x14ac:dyDescent="0.15"/>
    <row r="10455" hidden="1" x14ac:dyDescent="0.15"/>
    <row r="10456" hidden="1" x14ac:dyDescent="0.15"/>
    <row r="10457" hidden="1" x14ac:dyDescent="0.15"/>
    <row r="10458" hidden="1" x14ac:dyDescent="0.15"/>
    <row r="10459" hidden="1" x14ac:dyDescent="0.15"/>
    <row r="10460" hidden="1" x14ac:dyDescent="0.15"/>
    <row r="10461" hidden="1" x14ac:dyDescent="0.15"/>
    <row r="10462" hidden="1" x14ac:dyDescent="0.15"/>
    <row r="10463" hidden="1" x14ac:dyDescent="0.15"/>
    <row r="10464" hidden="1" x14ac:dyDescent="0.15"/>
    <row r="10465" hidden="1" x14ac:dyDescent="0.15"/>
    <row r="10466" hidden="1" x14ac:dyDescent="0.15"/>
    <row r="10467" hidden="1" x14ac:dyDescent="0.15"/>
    <row r="10468" hidden="1" x14ac:dyDescent="0.15"/>
    <row r="10469" hidden="1" x14ac:dyDescent="0.15"/>
    <row r="10470" hidden="1" x14ac:dyDescent="0.15"/>
    <row r="10471" hidden="1" x14ac:dyDescent="0.15"/>
    <row r="10472" hidden="1" x14ac:dyDescent="0.15"/>
    <row r="10473" hidden="1" x14ac:dyDescent="0.15"/>
    <row r="10474" hidden="1" x14ac:dyDescent="0.15"/>
    <row r="10475" hidden="1" x14ac:dyDescent="0.15"/>
    <row r="10476" hidden="1" x14ac:dyDescent="0.15"/>
    <row r="10477" hidden="1" x14ac:dyDescent="0.15"/>
    <row r="10478" hidden="1" x14ac:dyDescent="0.15"/>
    <row r="10479" hidden="1" x14ac:dyDescent="0.15"/>
    <row r="10480" hidden="1" x14ac:dyDescent="0.15"/>
    <row r="10481" hidden="1" x14ac:dyDescent="0.15"/>
    <row r="10482" hidden="1" x14ac:dyDescent="0.15"/>
    <row r="10483" hidden="1" x14ac:dyDescent="0.15"/>
    <row r="10484" hidden="1" x14ac:dyDescent="0.15"/>
    <row r="10485" hidden="1" x14ac:dyDescent="0.15"/>
    <row r="10486" hidden="1" x14ac:dyDescent="0.15"/>
    <row r="10487" hidden="1" x14ac:dyDescent="0.15"/>
    <row r="10488" hidden="1" x14ac:dyDescent="0.15"/>
    <row r="10489" hidden="1" x14ac:dyDescent="0.15"/>
    <row r="10490" hidden="1" x14ac:dyDescent="0.15"/>
    <row r="10491" hidden="1" x14ac:dyDescent="0.15"/>
    <row r="10492" hidden="1" x14ac:dyDescent="0.15"/>
    <row r="10493" hidden="1" x14ac:dyDescent="0.15"/>
    <row r="10494" hidden="1" x14ac:dyDescent="0.15"/>
    <row r="10495" hidden="1" x14ac:dyDescent="0.15"/>
    <row r="10496" hidden="1" x14ac:dyDescent="0.15"/>
    <row r="10497" hidden="1" x14ac:dyDescent="0.15"/>
    <row r="10498" hidden="1" x14ac:dyDescent="0.15"/>
    <row r="10499" hidden="1" x14ac:dyDescent="0.15"/>
    <row r="10500" hidden="1" x14ac:dyDescent="0.15"/>
    <row r="10501" hidden="1" x14ac:dyDescent="0.15"/>
    <row r="10502" hidden="1" x14ac:dyDescent="0.15"/>
    <row r="10503" hidden="1" x14ac:dyDescent="0.15"/>
    <row r="10504" hidden="1" x14ac:dyDescent="0.15"/>
    <row r="10505" hidden="1" x14ac:dyDescent="0.15"/>
    <row r="10506" hidden="1" x14ac:dyDescent="0.15"/>
    <row r="10507" hidden="1" x14ac:dyDescent="0.15"/>
    <row r="10508" hidden="1" x14ac:dyDescent="0.15"/>
    <row r="10509" hidden="1" x14ac:dyDescent="0.15"/>
    <row r="10510" hidden="1" x14ac:dyDescent="0.15"/>
    <row r="10511" hidden="1" x14ac:dyDescent="0.15"/>
    <row r="10512" hidden="1" x14ac:dyDescent="0.15"/>
    <row r="10513" hidden="1" x14ac:dyDescent="0.15"/>
    <row r="10514" hidden="1" x14ac:dyDescent="0.15"/>
    <row r="10515" hidden="1" x14ac:dyDescent="0.15"/>
    <row r="10516" hidden="1" x14ac:dyDescent="0.15"/>
    <row r="10517" hidden="1" x14ac:dyDescent="0.15"/>
    <row r="10518" hidden="1" x14ac:dyDescent="0.15"/>
    <row r="10519" hidden="1" x14ac:dyDescent="0.15"/>
    <row r="10520" hidden="1" x14ac:dyDescent="0.15"/>
    <row r="10521" hidden="1" x14ac:dyDescent="0.15"/>
    <row r="10522" hidden="1" x14ac:dyDescent="0.15"/>
    <row r="10523" hidden="1" x14ac:dyDescent="0.15"/>
    <row r="10524" hidden="1" x14ac:dyDescent="0.15"/>
    <row r="10525" hidden="1" x14ac:dyDescent="0.15"/>
    <row r="10526" hidden="1" x14ac:dyDescent="0.15"/>
    <row r="10527" hidden="1" x14ac:dyDescent="0.15"/>
    <row r="10528" hidden="1" x14ac:dyDescent="0.15"/>
    <row r="10529" hidden="1" x14ac:dyDescent="0.15"/>
    <row r="10530" hidden="1" x14ac:dyDescent="0.15"/>
    <row r="10531" hidden="1" x14ac:dyDescent="0.15"/>
    <row r="10532" hidden="1" x14ac:dyDescent="0.15"/>
    <row r="10533" hidden="1" x14ac:dyDescent="0.15"/>
    <row r="10534" hidden="1" x14ac:dyDescent="0.15"/>
    <row r="10535" hidden="1" x14ac:dyDescent="0.15"/>
    <row r="10536" hidden="1" x14ac:dyDescent="0.15"/>
    <row r="10537" hidden="1" x14ac:dyDescent="0.15"/>
    <row r="10538" hidden="1" x14ac:dyDescent="0.15"/>
    <row r="10539" hidden="1" x14ac:dyDescent="0.15"/>
    <row r="10540" hidden="1" x14ac:dyDescent="0.15"/>
    <row r="10541" hidden="1" x14ac:dyDescent="0.15"/>
    <row r="10542" hidden="1" x14ac:dyDescent="0.15"/>
    <row r="10543" hidden="1" x14ac:dyDescent="0.15"/>
    <row r="10544" hidden="1" x14ac:dyDescent="0.15"/>
    <row r="10545" hidden="1" x14ac:dyDescent="0.15"/>
    <row r="10546" hidden="1" x14ac:dyDescent="0.15"/>
    <row r="10547" hidden="1" x14ac:dyDescent="0.15"/>
    <row r="10548" hidden="1" x14ac:dyDescent="0.15"/>
    <row r="10549" hidden="1" x14ac:dyDescent="0.15"/>
    <row r="10550" hidden="1" x14ac:dyDescent="0.15"/>
    <row r="10551" hidden="1" x14ac:dyDescent="0.15"/>
    <row r="10552" hidden="1" x14ac:dyDescent="0.15"/>
    <row r="10553" hidden="1" x14ac:dyDescent="0.15"/>
    <row r="10554" hidden="1" x14ac:dyDescent="0.15"/>
    <row r="10555" hidden="1" x14ac:dyDescent="0.15"/>
    <row r="10556" hidden="1" x14ac:dyDescent="0.15"/>
    <row r="10557" hidden="1" x14ac:dyDescent="0.15"/>
    <row r="10558" hidden="1" x14ac:dyDescent="0.15"/>
    <row r="10559" hidden="1" x14ac:dyDescent="0.15"/>
    <row r="10560" hidden="1" x14ac:dyDescent="0.15"/>
    <row r="10561" hidden="1" x14ac:dyDescent="0.15"/>
    <row r="10562" hidden="1" x14ac:dyDescent="0.15"/>
    <row r="10563" hidden="1" x14ac:dyDescent="0.15"/>
    <row r="10564" hidden="1" x14ac:dyDescent="0.15"/>
    <row r="10565" hidden="1" x14ac:dyDescent="0.15"/>
    <row r="10566" hidden="1" x14ac:dyDescent="0.15"/>
    <row r="10567" hidden="1" x14ac:dyDescent="0.15"/>
    <row r="10568" hidden="1" x14ac:dyDescent="0.15"/>
    <row r="10569" hidden="1" x14ac:dyDescent="0.15"/>
    <row r="10570" hidden="1" x14ac:dyDescent="0.15"/>
    <row r="10571" hidden="1" x14ac:dyDescent="0.15"/>
    <row r="10572" hidden="1" x14ac:dyDescent="0.15"/>
    <row r="10573" hidden="1" x14ac:dyDescent="0.15"/>
    <row r="10574" hidden="1" x14ac:dyDescent="0.15"/>
    <row r="10575" hidden="1" x14ac:dyDescent="0.15"/>
    <row r="10576" hidden="1" x14ac:dyDescent="0.15"/>
    <row r="10577" hidden="1" x14ac:dyDescent="0.15"/>
    <row r="10578" hidden="1" x14ac:dyDescent="0.15"/>
    <row r="10579" hidden="1" x14ac:dyDescent="0.15"/>
    <row r="10580" hidden="1" x14ac:dyDescent="0.15"/>
    <row r="10581" hidden="1" x14ac:dyDescent="0.15"/>
    <row r="10582" hidden="1" x14ac:dyDescent="0.15"/>
    <row r="10583" hidden="1" x14ac:dyDescent="0.15"/>
    <row r="10584" hidden="1" x14ac:dyDescent="0.15"/>
    <row r="10585" hidden="1" x14ac:dyDescent="0.15"/>
    <row r="10586" hidden="1" x14ac:dyDescent="0.15"/>
    <row r="10587" hidden="1" x14ac:dyDescent="0.15"/>
    <row r="10588" hidden="1" x14ac:dyDescent="0.15"/>
    <row r="10589" hidden="1" x14ac:dyDescent="0.15"/>
    <row r="10590" hidden="1" x14ac:dyDescent="0.15"/>
    <row r="10591" hidden="1" x14ac:dyDescent="0.15"/>
    <row r="10592" hidden="1" x14ac:dyDescent="0.15"/>
    <row r="10593" hidden="1" x14ac:dyDescent="0.15"/>
    <row r="10594" hidden="1" x14ac:dyDescent="0.15"/>
    <row r="10595" hidden="1" x14ac:dyDescent="0.15"/>
    <row r="10596" hidden="1" x14ac:dyDescent="0.15"/>
    <row r="10597" hidden="1" x14ac:dyDescent="0.15"/>
    <row r="10598" hidden="1" x14ac:dyDescent="0.15"/>
    <row r="10599" hidden="1" x14ac:dyDescent="0.15"/>
    <row r="10600" hidden="1" x14ac:dyDescent="0.15"/>
    <row r="10601" hidden="1" x14ac:dyDescent="0.15"/>
    <row r="10602" hidden="1" x14ac:dyDescent="0.15"/>
    <row r="10603" hidden="1" x14ac:dyDescent="0.15"/>
    <row r="10604" hidden="1" x14ac:dyDescent="0.15"/>
    <row r="10605" hidden="1" x14ac:dyDescent="0.15"/>
    <row r="10606" hidden="1" x14ac:dyDescent="0.15"/>
    <row r="10607" hidden="1" x14ac:dyDescent="0.15"/>
    <row r="10608" hidden="1" x14ac:dyDescent="0.15"/>
    <row r="10609" hidden="1" x14ac:dyDescent="0.15"/>
    <row r="10610" hidden="1" x14ac:dyDescent="0.15"/>
    <row r="10611" hidden="1" x14ac:dyDescent="0.15"/>
    <row r="10612" hidden="1" x14ac:dyDescent="0.15"/>
    <row r="10613" hidden="1" x14ac:dyDescent="0.15"/>
    <row r="10614" hidden="1" x14ac:dyDescent="0.15"/>
    <row r="10615" hidden="1" x14ac:dyDescent="0.15"/>
    <row r="10616" hidden="1" x14ac:dyDescent="0.15"/>
    <row r="10617" hidden="1" x14ac:dyDescent="0.15"/>
    <row r="10618" hidden="1" x14ac:dyDescent="0.15"/>
    <row r="10619" hidden="1" x14ac:dyDescent="0.15"/>
    <row r="10620" hidden="1" x14ac:dyDescent="0.15"/>
    <row r="10621" hidden="1" x14ac:dyDescent="0.15"/>
    <row r="10622" hidden="1" x14ac:dyDescent="0.15"/>
    <row r="10623" hidden="1" x14ac:dyDescent="0.15"/>
    <row r="10624" hidden="1" x14ac:dyDescent="0.15"/>
    <row r="10625" hidden="1" x14ac:dyDescent="0.15"/>
    <row r="10626" hidden="1" x14ac:dyDescent="0.15"/>
    <row r="10627" hidden="1" x14ac:dyDescent="0.15"/>
    <row r="10628" hidden="1" x14ac:dyDescent="0.15"/>
    <row r="10629" hidden="1" x14ac:dyDescent="0.15"/>
    <row r="10630" hidden="1" x14ac:dyDescent="0.15"/>
    <row r="10631" hidden="1" x14ac:dyDescent="0.15"/>
    <row r="10632" hidden="1" x14ac:dyDescent="0.15"/>
    <row r="10633" hidden="1" x14ac:dyDescent="0.15"/>
    <row r="10634" hidden="1" x14ac:dyDescent="0.15"/>
    <row r="10635" hidden="1" x14ac:dyDescent="0.15"/>
    <row r="10636" hidden="1" x14ac:dyDescent="0.15"/>
    <row r="10637" hidden="1" x14ac:dyDescent="0.15"/>
    <row r="10638" hidden="1" x14ac:dyDescent="0.15"/>
    <row r="10639" hidden="1" x14ac:dyDescent="0.15"/>
    <row r="10640" hidden="1" x14ac:dyDescent="0.15"/>
    <row r="10641" hidden="1" x14ac:dyDescent="0.15"/>
    <row r="10642" hidden="1" x14ac:dyDescent="0.15"/>
    <row r="10643" hidden="1" x14ac:dyDescent="0.15"/>
    <row r="10644" hidden="1" x14ac:dyDescent="0.15"/>
    <row r="10645" hidden="1" x14ac:dyDescent="0.15"/>
    <row r="10646" hidden="1" x14ac:dyDescent="0.15"/>
    <row r="10647" hidden="1" x14ac:dyDescent="0.15"/>
    <row r="10648" hidden="1" x14ac:dyDescent="0.15"/>
    <row r="10649" hidden="1" x14ac:dyDescent="0.15"/>
    <row r="10650" hidden="1" x14ac:dyDescent="0.15"/>
    <row r="10651" hidden="1" x14ac:dyDescent="0.15"/>
    <row r="10652" hidden="1" x14ac:dyDescent="0.15"/>
    <row r="10653" hidden="1" x14ac:dyDescent="0.15"/>
    <row r="10654" hidden="1" x14ac:dyDescent="0.15"/>
    <row r="10655" hidden="1" x14ac:dyDescent="0.15"/>
    <row r="10656" hidden="1" x14ac:dyDescent="0.15"/>
    <row r="10657" hidden="1" x14ac:dyDescent="0.15"/>
    <row r="10658" hidden="1" x14ac:dyDescent="0.15"/>
    <row r="10659" hidden="1" x14ac:dyDescent="0.15"/>
    <row r="10660" hidden="1" x14ac:dyDescent="0.15"/>
    <row r="10661" hidden="1" x14ac:dyDescent="0.15"/>
    <row r="10662" hidden="1" x14ac:dyDescent="0.15"/>
    <row r="10663" hidden="1" x14ac:dyDescent="0.15"/>
    <row r="10664" hidden="1" x14ac:dyDescent="0.15"/>
    <row r="10665" hidden="1" x14ac:dyDescent="0.15"/>
    <row r="10666" hidden="1" x14ac:dyDescent="0.15"/>
    <row r="10667" hidden="1" x14ac:dyDescent="0.15"/>
    <row r="10668" hidden="1" x14ac:dyDescent="0.15"/>
    <row r="10669" hidden="1" x14ac:dyDescent="0.15"/>
    <row r="10670" hidden="1" x14ac:dyDescent="0.15"/>
    <row r="10671" hidden="1" x14ac:dyDescent="0.15"/>
    <row r="10672" hidden="1" x14ac:dyDescent="0.15"/>
    <row r="10673" hidden="1" x14ac:dyDescent="0.15"/>
    <row r="10674" hidden="1" x14ac:dyDescent="0.15"/>
    <row r="10675" hidden="1" x14ac:dyDescent="0.15"/>
    <row r="10676" hidden="1" x14ac:dyDescent="0.15"/>
    <row r="10677" hidden="1" x14ac:dyDescent="0.15"/>
    <row r="10678" hidden="1" x14ac:dyDescent="0.15"/>
    <row r="10679" hidden="1" x14ac:dyDescent="0.15"/>
    <row r="10680" hidden="1" x14ac:dyDescent="0.15"/>
    <row r="10681" hidden="1" x14ac:dyDescent="0.15"/>
    <row r="10682" hidden="1" x14ac:dyDescent="0.15"/>
    <row r="10683" hidden="1" x14ac:dyDescent="0.15"/>
    <row r="10684" hidden="1" x14ac:dyDescent="0.15"/>
    <row r="10685" hidden="1" x14ac:dyDescent="0.15"/>
    <row r="10686" hidden="1" x14ac:dyDescent="0.15"/>
    <row r="10687" hidden="1" x14ac:dyDescent="0.15"/>
    <row r="10688" hidden="1" x14ac:dyDescent="0.15"/>
    <row r="10689" hidden="1" x14ac:dyDescent="0.15"/>
    <row r="10690" hidden="1" x14ac:dyDescent="0.15"/>
    <row r="10691" hidden="1" x14ac:dyDescent="0.15"/>
    <row r="10692" hidden="1" x14ac:dyDescent="0.15"/>
    <row r="10693" hidden="1" x14ac:dyDescent="0.15"/>
    <row r="10694" hidden="1" x14ac:dyDescent="0.15"/>
    <row r="10695" hidden="1" x14ac:dyDescent="0.15"/>
    <row r="10696" hidden="1" x14ac:dyDescent="0.15"/>
    <row r="10697" hidden="1" x14ac:dyDescent="0.15"/>
    <row r="10698" hidden="1" x14ac:dyDescent="0.15"/>
    <row r="10699" hidden="1" x14ac:dyDescent="0.15"/>
    <row r="10700" hidden="1" x14ac:dyDescent="0.15"/>
    <row r="10701" hidden="1" x14ac:dyDescent="0.15"/>
    <row r="10702" hidden="1" x14ac:dyDescent="0.15"/>
    <row r="10703" hidden="1" x14ac:dyDescent="0.15"/>
    <row r="10704" hidden="1" x14ac:dyDescent="0.15"/>
    <row r="10705" hidden="1" x14ac:dyDescent="0.15"/>
    <row r="10706" hidden="1" x14ac:dyDescent="0.15"/>
    <row r="10707" hidden="1" x14ac:dyDescent="0.15"/>
    <row r="10708" hidden="1" x14ac:dyDescent="0.15"/>
    <row r="10709" hidden="1" x14ac:dyDescent="0.15"/>
    <row r="10710" hidden="1" x14ac:dyDescent="0.15"/>
    <row r="10711" hidden="1" x14ac:dyDescent="0.15"/>
    <row r="10712" hidden="1" x14ac:dyDescent="0.15"/>
    <row r="10713" hidden="1" x14ac:dyDescent="0.15"/>
    <row r="10714" hidden="1" x14ac:dyDescent="0.15"/>
    <row r="10715" hidden="1" x14ac:dyDescent="0.15"/>
    <row r="10716" hidden="1" x14ac:dyDescent="0.15"/>
    <row r="10717" hidden="1" x14ac:dyDescent="0.15"/>
    <row r="10718" hidden="1" x14ac:dyDescent="0.15"/>
    <row r="10719" hidden="1" x14ac:dyDescent="0.15"/>
    <row r="10720" hidden="1" x14ac:dyDescent="0.15"/>
    <row r="10721" hidden="1" x14ac:dyDescent="0.15"/>
    <row r="10722" hidden="1" x14ac:dyDescent="0.15"/>
    <row r="10723" hidden="1" x14ac:dyDescent="0.15"/>
    <row r="10724" hidden="1" x14ac:dyDescent="0.15"/>
    <row r="10725" hidden="1" x14ac:dyDescent="0.15"/>
    <row r="10726" hidden="1" x14ac:dyDescent="0.15"/>
    <row r="10727" hidden="1" x14ac:dyDescent="0.15"/>
    <row r="10728" hidden="1" x14ac:dyDescent="0.15"/>
    <row r="10729" hidden="1" x14ac:dyDescent="0.15"/>
    <row r="10730" hidden="1" x14ac:dyDescent="0.15"/>
    <row r="10731" hidden="1" x14ac:dyDescent="0.15"/>
    <row r="10732" hidden="1" x14ac:dyDescent="0.15"/>
    <row r="10733" hidden="1" x14ac:dyDescent="0.15"/>
    <row r="10734" hidden="1" x14ac:dyDescent="0.15"/>
    <row r="10735" hidden="1" x14ac:dyDescent="0.15"/>
    <row r="10736" hidden="1" x14ac:dyDescent="0.15"/>
    <row r="10737" hidden="1" x14ac:dyDescent="0.15"/>
    <row r="10738" hidden="1" x14ac:dyDescent="0.15"/>
    <row r="10739" hidden="1" x14ac:dyDescent="0.15"/>
    <row r="10740" hidden="1" x14ac:dyDescent="0.15"/>
    <row r="10741" hidden="1" x14ac:dyDescent="0.15"/>
    <row r="10742" hidden="1" x14ac:dyDescent="0.15"/>
    <row r="10743" hidden="1" x14ac:dyDescent="0.15"/>
    <row r="10744" hidden="1" x14ac:dyDescent="0.15"/>
    <row r="10745" hidden="1" x14ac:dyDescent="0.15"/>
    <row r="10746" hidden="1" x14ac:dyDescent="0.15"/>
    <row r="10747" hidden="1" x14ac:dyDescent="0.15"/>
    <row r="10748" hidden="1" x14ac:dyDescent="0.15"/>
    <row r="10749" hidden="1" x14ac:dyDescent="0.15"/>
    <row r="10750" hidden="1" x14ac:dyDescent="0.15"/>
    <row r="10751" hidden="1" x14ac:dyDescent="0.15"/>
    <row r="10752" hidden="1" x14ac:dyDescent="0.15"/>
    <row r="10753" hidden="1" x14ac:dyDescent="0.15"/>
    <row r="10754" hidden="1" x14ac:dyDescent="0.15"/>
    <row r="10755" hidden="1" x14ac:dyDescent="0.15"/>
    <row r="10756" hidden="1" x14ac:dyDescent="0.15"/>
    <row r="10757" hidden="1" x14ac:dyDescent="0.15"/>
    <row r="10758" hidden="1" x14ac:dyDescent="0.15"/>
    <row r="10759" hidden="1" x14ac:dyDescent="0.15"/>
    <row r="10760" hidden="1" x14ac:dyDescent="0.15"/>
    <row r="10761" hidden="1" x14ac:dyDescent="0.15"/>
    <row r="10762" hidden="1" x14ac:dyDescent="0.15"/>
    <row r="10763" hidden="1" x14ac:dyDescent="0.15"/>
    <row r="10764" hidden="1" x14ac:dyDescent="0.15"/>
    <row r="10765" hidden="1" x14ac:dyDescent="0.15"/>
    <row r="10766" hidden="1" x14ac:dyDescent="0.15"/>
    <row r="10767" hidden="1" x14ac:dyDescent="0.15"/>
    <row r="10768" hidden="1" x14ac:dyDescent="0.15"/>
    <row r="10769" hidden="1" x14ac:dyDescent="0.15"/>
    <row r="10770" hidden="1" x14ac:dyDescent="0.15"/>
    <row r="10771" hidden="1" x14ac:dyDescent="0.15"/>
    <row r="10772" hidden="1" x14ac:dyDescent="0.15"/>
    <row r="10773" hidden="1" x14ac:dyDescent="0.15"/>
    <row r="10774" hidden="1" x14ac:dyDescent="0.15"/>
    <row r="10775" hidden="1" x14ac:dyDescent="0.15"/>
    <row r="10776" hidden="1" x14ac:dyDescent="0.15"/>
    <row r="10777" hidden="1" x14ac:dyDescent="0.15"/>
    <row r="10778" hidden="1" x14ac:dyDescent="0.15"/>
    <row r="10779" hidden="1" x14ac:dyDescent="0.15"/>
    <row r="10780" hidden="1" x14ac:dyDescent="0.15"/>
    <row r="10781" hidden="1" x14ac:dyDescent="0.15"/>
    <row r="10782" hidden="1" x14ac:dyDescent="0.15"/>
    <row r="10783" hidden="1" x14ac:dyDescent="0.15"/>
    <row r="10784" hidden="1" x14ac:dyDescent="0.15"/>
    <row r="10785" hidden="1" x14ac:dyDescent="0.15"/>
    <row r="10786" hidden="1" x14ac:dyDescent="0.15"/>
    <row r="10787" hidden="1" x14ac:dyDescent="0.15"/>
    <row r="10788" hidden="1" x14ac:dyDescent="0.15"/>
    <row r="10789" hidden="1" x14ac:dyDescent="0.15"/>
    <row r="10790" hidden="1" x14ac:dyDescent="0.15"/>
    <row r="10791" hidden="1" x14ac:dyDescent="0.15"/>
    <row r="10792" hidden="1" x14ac:dyDescent="0.15"/>
    <row r="10793" hidden="1" x14ac:dyDescent="0.15"/>
    <row r="10794" hidden="1" x14ac:dyDescent="0.15"/>
    <row r="10795" hidden="1" x14ac:dyDescent="0.15"/>
    <row r="10796" hidden="1" x14ac:dyDescent="0.15"/>
    <row r="10797" hidden="1" x14ac:dyDescent="0.15"/>
    <row r="10798" hidden="1" x14ac:dyDescent="0.15"/>
    <row r="10799" hidden="1" x14ac:dyDescent="0.15"/>
    <row r="10800" hidden="1" x14ac:dyDescent="0.15"/>
    <row r="10801" hidden="1" x14ac:dyDescent="0.15"/>
    <row r="10802" hidden="1" x14ac:dyDescent="0.15"/>
    <row r="10803" hidden="1" x14ac:dyDescent="0.15"/>
    <row r="10804" hidden="1" x14ac:dyDescent="0.15"/>
    <row r="10805" hidden="1" x14ac:dyDescent="0.15"/>
    <row r="10806" hidden="1" x14ac:dyDescent="0.15"/>
    <row r="10807" hidden="1" x14ac:dyDescent="0.15"/>
    <row r="10808" hidden="1" x14ac:dyDescent="0.15"/>
    <row r="10809" hidden="1" x14ac:dyDescent="0.15"/>
    <row r="10810" hidden="1" x14ac:dyDescent="0.15"/>
    <row r="10811" hidden="1" x14ac:dyDescent="0.15"/>
    <row r="10812" hidden="1" x14ac:dyDescent="0.15"/>
    <row r="10813" hidden="1" x14ac:dyDescent="0.15"/>
    <row r="10814" hidden="1" x14ac:dyDescent="0.15"/>
    <row r="10815" hidden="1" x14ac:dyDescent="0.15"/>
    <row r="10816" hidden="1" x14ac:dyDescent="0.15"/>
    <row r="10817" hidden="1" x14ac:dyDescent="0.15"/>
    <row r="10818" hidden="1" x14ac:dyDescent="0.15"/>
    <row r="10819" hidden="1" x14ac:dyDescent="0.15"/>
    <row r="10820" hidden="1" x14ac:dyDescent="0.15"/>
    <row r="10821" hidden="1" x14ac:dyDescent="0.15"/>
    <row r="10822" hidden="1" x14ac:dyDescent="0.15"/>
    <row r="10823" hidden="1" x14ac:dyDescent="0.15"/>
    <row r="10824" hidden="1" x14ac:dyDescent="0.15"/>
    <row r="10825" hidden="1" x14ac:dyDescent="0.15"/>
    <row r="10826" hidden="1" x14ac:dyDescent="0.15"/>
    <row r="10827" hidden="1" x14ac:dyDescent="0.15"/>
    <row r="10828" hidden="1" x14ac:dyDescent="0.15"/>
    <row r="10829" hidden="1" x14ac:dyDescent="0.15"/>
    <row r="10830" hidden="1" x14ac:dyDescent="0.15"/>
    <row r="10831" hidden="1" x14ac:dyDescent="0.15"/>
    <row r="10832" hidden="1" x14ac:dyDescent="0.15"/>
    <row r="10833" hidden="1" x14ac:dyDescent="0.15"/>
    <row r="10834" hidden="1" x14ac:dyDescent="0.15"/>
    <row r="10835" hidden="1" x14ac:dyDescent="0.15"/>
    <row r="10836" hidden="1" x14ac:dyDescent="0.15"/>
    <row r="10837" hidden="1" x14ac:dyDescent="0.15"/>
    <row r="10838" hidden="1" x14ac:dyDescent="0.15"/>
    <row r="10839" hidden="1" x14ac:dyDescent="0.15"/>
    <row r="10840" hidden="1" x14ac:dyDescent="0.15"/>
    <row r="10841" hidden="1" x14ac:dyDescent="0.15"/>
    <row r="10842" hidden="1" x14ac:dyDescent="0.15"/>
    <row r="10843" hidden="1" x14ac:dyDescent="0.15"/>
    <row r="10844" hidden="1" x14ac:dyDescent="0.15"/>
    <row r="10845" hidden="1" x14ac:dyDescent="0.15"/>
    <row r="10846" hidden="1" x14ac:dyDescent="0.15"/>
    <row r="10847" hidden="1" x14ac:dyDescent="0.15"/>
    <row r="10848" hidden="1" x14ac:dyDescent="0.15"/>
    <row r="10849" hidden="1" x14ac:dyDescent="0.15"/>
    <row r="10850" hidden="1" x14ac:dyDescent="0.15"/>
    <row r="10851" hidden="1" x14ac:dyDescent="0.15"/>
    <row r="10852" hidden="1" x14ac:dyDescent="0.15"/>
    <row r="10853" hidden="1" x14ac:dyDescent="0.15"/>
    <row r="10854" hidden="1" x14ac:dyDescent="0.15"/>
    <row r="10855" hidden="1" x14ac:dyDescent="0.15"/>
    <row r="10856" hidden="1" x14ac:dyDescent="0.15"/>
    <row r="10857" hidden="1" x14ac:dyDescent="0.15"/>
    <row r="10858" hidden="1" x14ac:dyDescent="0.15"/>
    <row r="10859" hidden="1" x14ac:dyDescent="0.15"/>
    <row r="10860" hidden="1" x14ac:dyDescent="0.15"/>
    <row r="10861" hidden="1" x14ac:dyDescent="0.15"/>
    <row r="10862" hidden="1" x14ac:dyDescent="0.15"/>
    <row r="10863" hidden="1" x14ac:dyDescent="0.15"/>
    <row r="10864" hidden="1" x14ac:dyDescent="0.15"/>
    <row r="10865" hidden="1" x14ac:dyDescent="0.15"/>
    <row r="10866" hidden="1" x14ac:dyDescent="0.15"/>
    <row r="10867" hidden="1" x14ac:dyDescent="0.15"/>
    <row r="10868" hidden="1" x14ac:dyDescent="0.15"/>
    <row r="10869" hidden="1" x14ac:dyDescent="0.15"/>
    <row r="10870" hidden="1" x14ac:dyDescent="0.15"/>
    <row r="10871" hidden="1" x14ac:dyDescent="0.15"/>
    <row r="10872" hidden="1" x14ac:dyDescent="0.15"/>
    <row r="10873" hidden="1" x14ac:dyDescent="0.15"/>
    <row r="10874" hidden="1" x14ac:dyDescent="0.15"/>
    <row r="10875" hidden="1" x14ac:dyDescent="0.15"/>
    <row r="10876" hidden="1" x14ac:dyDescent="0.15"/>
    <row r="10877" hidden="1" x14ac:dyDescent="0.15"/>
    <row r="10878" hidden="1" x14ac:dyDescent="0.15"/>
    <row r="10879" hidden="1" x14ac:dyDescent="0.15"/>
    <row r="10880" hidden="1" x14ac:dyDescent="0.15"/>
    <row r="10881" hidden="1" x14ac:dyDescent="0.15"/>
    <row r="10882" hidden="1" x14ac:dyDescent="0.15"/>
    <row r="10883" hidden="1" x14ac:dyDescent="0.15"/>
    <row r="10884" hidden="1" x14ac:dyDescent="0.15"/>
    <row r="10885" hidden="1" x14ac:dyDescent="0.15"/>
    <row r="10886" hidden="1" x14ac:dyDescent="0.15"/>
    <row r="10887" hidden="1" x14ac:dyDescent="0.15"/>
    <row r="10888" hidden="1" x14ac:dyDescent="0.15"/>
    <row r="10889" hidden="1" x14ac:dyDescent="0.15"/>
    <row r="10890" hidden="1" x14ac:dyDescent="0.15"/>
    <row r="10891" hidden="1" x14ac:dyDescent="0.15"/>
    <row r="10892" hidden="1" x14ac:dyDescent="0.15"/>
    <row r="10893" hidden="1" x14ac:dyDescent="0.15"/>
    <row r="10894" hidden="1" x14ac:dyDescent="0.15"/>
    <row r="10895" hidden="1" x14ac:dyDescent="0.15"/>
    <row r="10896" hidden="1" x14ac:dyDescent="0.15"/>
    <row r="10897" hidden="1" x14ac:dyDescent="0.15"/>
    <row r="10898" hidden="1" x14ac:dyDescent="0.15"/>
    <row r="10899" hidden="1" x14ac:dyDescent="0.15"/>
    <row r="10900" hidden="1" x14ac:dyDescent="0.15"/>
    <row r="10901" hidden="1" x14ac:dyDescent="0.15"/>
    <row r="10902" hidden="1" x14ac:dyDescent="0.15"/>
    <row r="10903" hidden="1" x14ac:dyDescent="0.15"/>
    <row r="10904" hidden="1" x14ac:dyDescent="0.15"/>
    <row r="10905" hidden="1" x14ac:dyDescent="0.15"/>
    <row r="10906" hidden="1" x14ac:dyDescent="0.15"/>
    <row r="10907" hidden="1" x14ac:dyDescent="0.15"/>
    <row r="10908" hidden="1" x14ac:dyDescent="0.15"/>
    <row r="10909" hidden="1" x14ac:dyDescent="0.15"/>
    <row r="10910" hidden="1" x14ac:dyDescent="0.15"/>
    <row r="10911" hidden="1" x14ac:dyDescent="0.15"/>
    <row r="10912" hidden="1" x14ac:dyDescent="0.15"/>
    <row r="10913" hidden="1" x14ac:dyDescent="0.15"/>
    <row r="10914" hidden="1" x14ac:dyDescent="0.15"/>
    <row r="10915" hidden="1" x14ac:dyDescent="0.15"/>
    <row r="10916" hidden="1" x14ac:dyDescent="0.15"/>
    <row r="10917" hidden="1" x14ac:dyDescent="0.15"/>
    <row r="10918" hidden="1" x14ac:dyDescent="0.15"/>
    <row r="10919" hidden="1" x14ac:dyDescent="0.15"/>
    <row r="10920" hidden="1" x14ac:dyDescent="0.15"/>
    <row r="10921" hidden="1" x14ac:dyDescent="0.15"/>
    <row r="10922" hidden="1" x14ac:dyDescent="0.15"/>
    <row r="10923" hidden="1" x14ac:dyDescent="0.15"/>
    <row r="10924" hidden="1" x14ac:dyDescent="0.15"/>
    <row r="10925" hidden="1" x14ac:dyDescent="0.15"/>
    <row r="10926" hidden="1" x14ac:dyDescent="0.15"/>
    <row r="10927" hidden="1" x14ac:dyDescent="0.15"/>
    <row r="10928" hidden="1" x14ac:dyDescent="0.15"/>
    <row r="10929" hidden="1" x14ac:dyDescent="0.15"/>
    <row r="10930" hidden="1" x14ac:dyDescent="0.15"/>
    <row r="10931" hidden="1" x14ac:dyDescent="0.15"/>
    <row r="10932" hidden="1" x14ac:dyDescent="0.15"/>
    <row r="10933" hidden="1" x14ac:dyDescent="0.15"/>
    <row r="10934" hidden="1" x14ac:dyDescent="0.15"/>
    <row r="10935" hidden="1" x14ac:dyDescent="0.15"/>
    <row r="10936" hidden="1" x14ac:dyDescent="0.15"/>
    <row r="10937" hidden="1" x14ac:dyDescent="0.15"/>
    <row r="10938" hidden="1" x14ac:dyDescent="0.15"/>
    <row r="10939" hidden="1" x14ac:dyDescent="0.15"/>
    <row r="10940" hidden="1" x14ac:dyDescent="0.15"/>
    <row r="10941" hidden="1" x14ac:dyDescent="0.15"/>
    <row r="10942" hidden="1" x14ac:dyDescent="0.15"/>
    <row r="10943" hidden="1" x14ac:dyDescent="0.15"/>
    <row r="10944" hidden="1" x14ac:dyDescent="0.15"/>
    <row r="10945" hidden="1" x14ac:dyDescent="0.15"/>
    <row r="10946" hidden="1" x14ac:dyDescent="0.15"/>
    <row r="10947" hidden="1" x14ac:dyDescent="0.15"/>
    <row r="10948" hidden="1" x14ac:dyDescent="0.15"/>
    <row r="10949" hidden="1" x14ac:dyDescent="0.15"/>
    <row r="10950" hidden="1" x14ac:dyDescent="0.15"/>
    <row r="10951" hidden="1" x14ac:dyDescent="0.15"/>
    <row r="10952" hidden="1" x14ac:dyDescent="0.15"/>
    <row r="10953" hidden="1" x14ac:dyDescent="0.15"/>
    <row r="10954" hidden="1" x14ac:dyDescent="0.15"/>
    <row r="10955" hidden="1" x14ac:dyDescent="0.15"/>
    <row r="10956" hidden="1" x14ac:dyDescent="0.15"/>
    <row r="10957" hidden="1" x14ac:dyDescent="0.15"/>
    <row r="10958" hidden="1" x14ac:dyDescent="0.15"/>
    <row r="10959" hidden="1" x14ac:dyDescent="0.15"/>
    <row r="10960" hidden="1" x14ac:dyDescent="0.15"/>
    <row r="10961" hidden="1" x14ac:dyDescent="0.15"/>
    <row r="10962" hidden="1" x14ac:dyDescent="0.15"/>
    <row r="10963" hidden="1" x14ac:dyDescent="0.15"/>
    <row r="10964" hidden="1" x14ac:dyDescent="0.15"/>
    <row r="10965" hidden="1" x14ac:dyDescent="0.15"/>
    <row r="10966" hidden="1" x14ac:dyDescent="0.15"/>
    <row r="10967" hidden="1" x14ac:dyDescent="0.15"/>
    <row r="10968" hidden="1" x14ac:dyDescent="0.15"/>
    <row r="10969" hidden="1" x14ac:dyDescent="0.15"/>
    <row r="10970" hidden="1" x14ac:dyDescent="0.15"/>
    <row r="10971" hidden="1" x14ac:dyDescent="0.15"/>
    <row r="10972" hidden="1" x14ac:dyDescent="0.15"/>
    <row r="10973" hidden="1" x14ac:dyDescent="0.15"/>
    <row r="10974" hidden="1" x14ac:dyDescent="0.15"/>
    <row r="10975" hidden="1" x14ac:dyDescent="0.15"/>
    <row r="10976" hidden="1" x14ac:dyDescent="0.15"/>
    <row r="10977" hidden="1" x14ac:dyDescent="0.15"/>
    <row r="10978" hidden="1" x14ac:dyDescent="0.15"/>
    <row r="10979" hidden="1" x14ac:dyDescent="0.15"/>
    <row r="10980" hidden="1" x14ac:dyDescent="0.15"/>
    <row r="10981" hidden="1" x14ac:dyDescent="0.15"/>
    <row r="10982" hidden="1" x14ac:dyDescent="0.15"/>
    <row r="10983" hidden="1" x14ac:dyDescent="0.15"/>
    <row r="10984" hidden="1" x14ac:dyDescent="0.15"/>
    <row r="10985" hidden="1" x14ac:dyDescent="0.15"/>
    <row r="10986" hidden="1" x14ac:dyDescent="0.15"/>
    <row r="10987" hidden="1" x14ac:dyDescent="0.15"/>
    <row r="10988" hidden="1" x14ac:dyDescent="0.15"/>
    <row r="10989" hidden="1" x14ac:dyDescent="0.15"/>
    <row r="10990" hidden="1" x14ac:dyDescent="0.15"/>
    <row r="10991" hidden="1" x14ac:dyDescent="0.15"/>
    <row r="10992" hidden="1" x14ac:dyDescent="0.15"/>
    <row r="10993" hidden="1" x14ac:dyDescent="0.15"/>
    <row r="10994" hidden="1" x14ac:dyDescent="0.15"/>
    <row r="10995" hidden="1" x14ac:dyDescent="0.15"/>
    <row r="10996" hidden="1" x14ac:dyDescent="0.15"/>
    <row r="10997" hidden="1" x14ac:dyDescent="0.15"/>
    <row r="10998" hidden="1" x14ac:dyDescent="0.15"/>
    <row r="10999" hidden="1" x14ac:dyDescent="0.15"/>
    <row r="11000" hidden="1" x14ac:dyDescent="0.15"/>
    <row r="11001" hidden="1" x14ac:dyDescent="0.15"/>
    <row r="11002" hidden="1" x14ac:dyDescent="0.15"/>
    <row r="11003" hidden="1" x14ac:dyDescent="0.15"/>
    <row r="11004" hidden="1" x14ac:dyDescent="0.15"/>
    <row r="11005" hidden="1" x14ac:dyDescent="0.15"/>
    <row r="11006" hidden="1" x14ac:dyDescent="0.15"/>
    <row r="11007" hidden="1" x14ac:dyDescent="0.15"/>
    <row r="11008" hidden="1" x14ac:dyDescent="0.15"/>
    <row r="11009" hidden="1" x14ac:dyDescent="0.15"/>
    <row r="11010" hidden="1" x14ac:dyDescent="0.15"/>
    <row r="11011" hidden="1" x14ac:dyDescent="0.15"/>
    <row r="11012" hidden="1" x14ac:dyDescent="0.15"/>
    <row r="11013" hidden="1" x14ac:dyDescent="0.15"/>
    <row r="11014" hidden="1" x14ac:dyDescent="0.15"/>
    <row r="11015" hidden="1" x14ac:dyDescent="0.15"/>
    <row r="11016" hidden="1" x14ac:dyDescent="0.15"/>
    <row r="11017" hidden="1" x14ac:dyDescent="0.15"/>
    <row r="11018" hidden="1" x14ac:dyDescent="0.15"/>
    <row r="11019" hidden="1" x14ac:dyDescent="0.15"/>
    <row r="11020" hidden="1" x14ac:dyDescent="0.15"/>
    <row r="11021" hidden="1" x14ac:dyDescent="0.15"/>
    <row r="11022" hidden="1" x14ac:dyDescent="0.15"/>
    <row r="11023" hidden="1" x14ac:dyDescent="0.15"/>
    <row r="11024" hidden="1" x14ac:dyDescent="0.15"/>
    <row r="11025" hidden="1" x14ac:dyDescent="0.15"/>
    <row r="11026" hidden="1" x14ac:dyDescent="0.15"/>
    <row r="11027" hidden="1" x14ac:dyDescent="0.15"/>
    <row r="11028" hidden="1" x14ac:dyDescent="0.15"/>
    <row r="11029" hidden="1" x14ac:dyDescent="0.15"/>
    <row r="11030" hidden="1" x14ac:dyDescent="0.15"/>
    <row r="11031" hidden="1" x14ac:dyDescent="0.15"/>
    <row r="11032" hidden="1" x14ac:dyDescent="0.15"/>
    <row r="11033" hidden="1" x14ac:dyDescent="0.15"/>
    <row r="11034" hidden="1" x14ac:dyDescent="0.15"/>
    <row r="11035" hidden="1" x14ac:dyDescent="0.15"/>
    <row r="11036" hidden="1" x14ac:dyDescent="0.15"/>
    <row r="11037" hidden="1" x14ac:dyDescent="0.15"/>
    <row r="11038" hidden="1" x14ac:dyDescent="0.15"/>
    <row r="11039" hidden="1" x14ac:dyDescent="0.15"/>
    <row r="11040" hidden="1" x14ac:dyDescent="0.15"/>
    <row r="11041" hidden="1" x14ac:dyDescent="0.15"/>
    <row r="11042" hidden="1" x14ac:dyDescent="0.15"/>
    <row r="11043" hidden="1" x14ac:dyDescent="0.15"/>
    <row r="11044" hidden="1" x14ac:dyDescent="0.15"/>
    <row r="11045" hidden="1" x14ac:dyDescent="0.15"/>
    <row r="11046" hidden="1" x14ac:dyDescent="0.15"/>
    <row r="11047" hidden="1" x14ac:dyDescent="0.15"/>
    <row r="11048" hidden="1" x14ac:dyDescent="0.15"/>
    <row r="11049" hidden="1" x14ac:dyDescent="0.15"/>
    <row r="11050" hidden="1" x14ac:dyDescent="0.15"/>
    <row r="11051" hidden="1" x14ac:dyDescent="0.15"/>
    <row r="11052" hidden="1" x14ac:dyDescent="0.15"/>
    <row r="11053" hidden="1" x14ac:dyDescent="0.15"/>
    <row r="11054" hidden="1" x14ac:dyDescent="0.15"/>
    <row r="11055" hidden="1" x14ac:dyDescent="0.15"/>
    <row r="11056" hidden="1" x14ac:dyDescent="0.15"/>
    <row r="11057" hidden="1" x14ac:dyDescent="0.15"/>
    <row r="11058" hidden="1" x14ac:dyDescent="0.15"/>
    <row r="11059" hidden="1" x14ac:dyDescent="0.15"/>
    <row r="11060" hidden="1" x14ac:dyDescent="0.15"/>
    <row r="11061" hidden="1" x14ac:dyDescent="0.15"/>
    <row r="11062" hidden="1" x14ac:dyDescent="0.15"/>
    <row r="11063" hidden="1" x14ac:dyDescent="0.15"/>
    <row r="11064" hidden="1" x14ac:dyDescent="0.15"/>
    <row r="11065" hidden="1" x14ac:dyDescent="0.15"/>
    <row r="11066" hidden="1" x14ac:dyDescent="0.15"/>
    <row r="11067" hidden="1" x14ac:dyDescent="0.15"/>
    <row r="11068" hidden="1" x14ac:dyDescent="0.15"/>
    <row r="11069" hidden="1" x14ac:dyDescent="0.15"/>
    <row r="11070" hidden="1" x14ac:dyDescent="0.15"/>
    <row r="11071" hidden="1" x14ac:dyDescent="0.15"/>
    <row r="11072" hidden="1" x14ac:dyDescent="0.15"/>
    <row r="11073" hidden="1" x14ac:dyDescent="0.15"/>
    <row r="11074" hidden="1" x14ac:dyDescent="0.15"/>
    <row r="11075" hidden="1" x14ac:dyDescent="0.15"/>
    <row r="11076" hidden="1" x14ac:dyDescent="0.15"/>
    <row r="11077" hidden="1" x14ac:dyDescent="0.15"/>
    <row r="11078" hidden="1" x14ac:dyDescent="0.15"/>
    <row r="11079" hidden="1" x14ac:dyDescent="0.15"/>
    <row r="11080" hidden="1" x14ac:dyDescent="0.15"/>
    <row r="11081" hidden="1" x14ac:dyDescent="0.15"/>
    <row r="11082" hidden="1" x14ac:dyDescent="0.15"/>
    <row r="11083" hidden="1" x14ac:dyDescent="0.15"/>
    <row r="11084" hidden="1" x14ac:dyDescent="0.15"/>
    <row r="11085" hidden="1" x14ac:dyDescent="0.15"/>
    <row r="11086" hidden="1" x14ac:dyDescent="0.15"/>
    <row r="11087" hidden="1" x14ac:dyDescent="0.15"/>
    <row r="11088" hidden="1" x14ac:dyDescent="0.15"/>
    <row r="11089" hidden="1" x14ac:dyDescent="0.15"/>
    <row r="11090" hidden="1" x14ac:dyDescent="0.15"/>
    <row r="11091" hidden="1" x14ac:dyDescent="0.15"/>
    <row r="11092" hidden="1" x14ac:dyDescent="0.15"/>
    <row r="11093" hidden="1" x14ac:dyDescent="0.15"/>
    <row r="11094" hidden="1" x14ac:dyDescent="0.15"/>
    <row r="11095" hidden="1" x14ac:dyDescent="0.15"/>
    <row r="11096" hidden="1" x14ac:dyDescent="0.15"/>
    <row r="11097" hidden="1" x14ac:dyDescent="0.15"/>
    <row r="11098" hidden="1" x14ac:dyDescent="0.15"/>
    <row r="11099" hidden="1" x14ac:dyDescent="0.15"/>
    <row r="11100" hidden="1" x14ac:dyDescent="0.15"/>
    <row r="11101" hidden="1" x14ac:dyDescent="0.15"/>
    <row r="11102" hidden="1" x14ac:dyDescent="0.15"/>
    <row r="11103" hidden="1" x14ac:dyDescent="0.15"/>
    <row r="11104" hidden="1" x14ac:dyDescent="0.15"/>
    <row r="11105" hidden="1" x14ac:dyDescent="0.15"/>
    <row r="11106" hidden="1" x14ac:dyDescent="0.15"/>
    <row r="11107" hidden="1" x14ac:dyDescent="0.15"/>
    <row r="11108" hidden="1" x14ac:dyDescent="0.15"/>
    <row r="11109" hidden="1" x14ac:dyDescent="0.15"/>
    <row r="11110" hidden="1" x14ac:dyDescent="0.15"/>
    <row r="11111" hidden="1" x14ac:dyDescent="0.15"/>
    <row r="11112" hidden="1" x14ac:dyDescent="0.15"/>
    <row r="11113" hidden="1" x14ac:dyDescent="0.15"/>
    <row r="11114" hidden="1" x14ac:dyDescent="0.15"/>
    <row r="11115" hidden="1" x14ac:dyDescent="0.15"/>
    <row r="11116" hidden="1" x14ac:dyDescent="0.15"/>
    <row r="11117" hidden="1" x14ac:dyDescent="0.15"/>
    <row r="11118" hidden="1" x14ac:dyDescent="0.15"/>
    <row r="11119" hidden="1" x14ac:dyDescent="0.15"/>
    <row r="11120" hidden="1" x14ac:dyDescent="0.15"/>
    <row r="11121" hidden="1" x14ac:dyDescent="0.15"/>
    <row r="11122" hidden="1" x14ac:dyDescent="0.15"/>
    <row r="11123" hidden="1" x14ac:dyDescent="0.15"/>
    <row r="11124" hidden="1" x14ac:dyDescent="0.15"/>
    <row r="11125" hidden="1" x14ac:dyDescent="0.15"/>
    <row r="11126" hidden="1" x14ac:dyDescent="0.15"/>
    <row r="11127" hidden="1" x14ac:dyDescent="0.15"/>
    <row r="11128" hidden="1" x14ac:dyDescent="0.15"/>
    <row r="11129" hidden="1" x14ac:dyDescent="0.15"/>
    <row r="11130" hidden="1" x14ac:dyDescent="0.15"/>
    <row r="11131" hidden="1" x14ac:dyDescent="0.15"/>
    <row r="11132" hidden="1" x14ac:dyDescent="0.15"/>
    <row r="11133" hidden="1" x14ac:dyDescent="0.15"/>
    <row r="11134" hidden="1" x14ac:dyDescent="0.15"/>
    <row r="11135" hidden="1" x14ac:dyDescent="0.15"/>
    <row r="11136" hidden="1" x14ac:dyDescent="0.15"/>
    <row r="11137" hidden="1" x14ac:dyDescent="0.15"/>
    <row r="11138" hidden="1" x14ac:dyDescent="0.15"/>
    <row r="11139" hidden="1" x14ac:dyDescent="0.15"/>
    <row r="11140" hidden="1" x14ac:dyDescent="0.15"/>
    <row r="11141" hidden="1" x14ac:dyDescent="0.15"/>
    <row r="11142" hidden="1" x14ac:dyDescent="0.15"/>
    <row r="11143" hidden="1" x14ac:dyDescent="0.15"/>
    <row r="11144" hidden="1" x14ac:dyDescent="0.15"/>
    <row r="11145" hidden="1" x14ac:dyDescent="0.15"/>
    <row r="11146" hidden="1" x14ac:dyDescent="0.15"/>
    <row r="11147" hidden="1" x14ac:dyDescent="0.15"/>
    <row r="11148" hidden="1" x14ac:dyDescent="0.15"/>
    <row r="11149" hidden="1" x14ac:dyDescent="0.15"/>
    <row r="11150" hidden="1" x14ac:dyDescent="0.15"/>
    <row r="11151" hidden="1" x14ac:dyDescent="0.15"/>
    <row r="11152" hidden="1" x14ac:dyDescent="0.15"/>
    <row r="11153" hidden="1" x14ac:dyDescent="0.15"/>
    <row r="11154" hidden="1" x14ac:dyDescent="0.15"/>
    <row r="11155" hidden="1" x14ac:dyDescent="0.15"/>
    <row r="11156" hidden="1" x14ac:dyDescent="0.15"/>
    <row r="11157" hidden="1" x14ac:dyDescent="0.15"/>
    <row r="11158" hidden="1" x14ac:dyDescent="0.15"/>
    <row r="11159" hidden="1" x14ac:dyDescent="0.15"/>
    <row r="11160" hidden="1" x14ac:dyDescent="0.15"/>
    <row r="11161" hidden="1" x14ac:dyDescent="0.15"/>
    <row r="11162" hidden="1" x14ac:dyDescent="0.15"/>
    <row r="11163" hidden="1" x14ac:dyDescent="0.15"/>
    <row r="11164" hidden="1" x14ac:dyDescent="0.15"/>
    <row r="11165" hidden="1" x14ac:dyDescent="0.15"/>
    <row r="11166" hidden="1" x14ac:dyDescent="0.15"/>
    <row r="11167" hidden="1" x14ac:dyDescent="0.15"/>
    <row r="11168" hidden="1" x14ac:dyDescent="0.15"/>
    <row r="11169" hidden="1" x14ac:dyDescent="0.15"/>
    <row r="11170" hidden="1" x14ac:dyDescent="0.15"/>
    <row r="11171" hidden="1" x14ac:dyDescent="0.15"/>
    <row r="11172" hidden="1" x14ac:dyDescent="0.15"/>
    <row r="11173" hidden="1" x14ac:dyDescent="0.15"/>
    <row r="11174" hidden="1" x14ac:dyDescent="0.15"/>
    <row r="11175" hidden="1" x14ac:dyDescent="0.15"/>
    <row r="11176" hidden="1" x14ac:dyDescent="0.15"/>
    <row r="11177" hidden="1" x14ac:dyDescent="0.15"/>
    <row r="11178" hidden="1" x14ac:dyDescent="0.15"/>
    <row r="11179" hidden="1" x14ac:dyDescent="0.15"/>
    <row r="11180" hidden="1" x14ac:dyDescent="0.15"/>
    <row r="11181" hidden="1" x14ac:dyDescent="0.15"/>
    <row r="11182" hidden="1" x14ac:dyDescent="0.15"/>
    <row r="11183" hidden="1" x14ac:dyDescent="0.15"/>
    <row r="11184" hidden="1" x14ac:dyDescent="0.15"/>
    <row r="11185" hidden="1" x14ac:dyDescent="0.15"/>
    <row r="11186" hidden="1" x14ac:dyDescent="0.15"/>
    <row r="11187" hidden="1" x14ac:dyDescent="0.15"/>
    <row r="11188" hidden="1" x14ac:dyDescent="0.15"/>
    <row r="11189" hidden="1" x14ac:dyDescent="0.15"/>
    <row r="11190" hidden="1" x14ac:dyDescent="0.15"/>
    <row r="11191" hidden="1" x14ac:dyDescent="0.15"/>
    <row r="11192" hidden="1" x14ac:dyDescent="0.15"/>
    <row r="11193" hidden="1" x14ac:dyDescent="0.15"/>
    <row r="11194" hidden="1" x14ac:dyDescent="0.15"/>
    <row r="11195" hidden="1" x14ac:dyDescent="0.15"/>
    <row r="11196" hidden="1" x14ac:dyDescent="0.15"/>
    <row r="11197" hidden="1" x14ac:dyDescent="0.15"/>
    <row r="11198" hidden="1" x14ac:dyDescent="0.15"/>
    <row r="11199" hidden="1" x14ac:dyDescent="0.15"/>
    <row r="11200" hidden="1" x14ac:dyDescent="0.15"/>
    <row r="11201" hidden="1" x14ac:dyDescent="0.15"/>
    <row r="11202" hidden="1" x14ac:dyDescent="0.15"/>
    <row r="11203" hidden="1" x14ac:dyDescent="0.15"/>
    <row r="11204" hidden="1" x14ac:dyDescent="0.15"/>
    <row r="11205" hidden="1" x14ac:dyDescent="0.15"/>
    <row r="11206" hidden="1" x14ac:dyDescent="0.15"/>
    <row r="11207" hidden="1" x14ac:dyDescent="0.15"/>
    <row r="11208" hidden="1" x14ac:dyDescent="0.15"/>
    <row r="11209" hidden="1" x14ac:dyDescent="0.15"/>
    <row r="11210" hidden="1" x14ac:dyDescent="0.15"/>
    <row r="11211" hidden="1" x14ac:dyDescent="0.15"/>
    <row r="11212" hidden="1" x14ac:dyDescent="0.15"/>
    <row r="11213" hidden="1" x14ac:dyDescent="0.15"/>
    <row r="11214" hidden="1" x14ac:dyDescent="0.15"/>
    <row r="11215" hidden="1" x14ac:dyDescent="0.15"/>
    <row r="11216" hidden="1" x14ac:dyDescent="0.15"/>
    <row r="11217" hidden="1" x14ac:dyDescent="0.15"/>
    <row r="11218" hidden="1" x14ac:dyDescent="0.15"/>
    <row r="11219" hidden="1" x14ac:dyDescent="0.15"/>
    <row r="11220" hidden="1" x14ac:dyDescent="0.15"/>
    <row r="11221" hidden="1" x14ac:dyDescent="0.15"/>
    <row r="11222" hidden="1" x14ac:dyDescent="0.15"/>
    <row r="11223" hidden="1" x14ac:dyDescent="0.15"/>
    <row r="11224" hidden="1" x14ac:dyDescent="0.15"/>
    <row r="11225" hidden="1" x14ac:dyDescent="0.15"/>
    <row r="11226" hidden="1" x14ac:dyDescent="0.15"/>
    <row r="11227" hidden="1" x14ac:dyDescent="0.15"/>
    <row r="11228" hidden="1" x14ac:dyDescent="0.15"/>
    <row r="11229" hidden="1" x14ac:dyDescent="0.15"/>
    <row r="11230" hidden="1" x14ac:dyDescent="0.15"/>
    <row r="11231" hidden="1" x14ac:dyDescent="0.15"/>
    <row r="11232" hidden="1" x14ac:dyDescent="0.15"/>
    <row r="11233" hidden="1" x14ac:dyDescent="0.15"/>
    <row r="11234" hidden="1" x14ac:dyDescent="0.15"/>
    <row r="11235" hidden="1" x14ac:dyDescent="0.15"/>
    <row r="11236" hidden="1" x14ac:dyDescent="0.15"/>
    <row r="11237" hidden="1" x14ac:dyDescent="0.15"/>
    <row r="11238" hidden="1" x14ac:dyDescent="0.15"/>
    <row r="11239" hidden="1" x14ac:dyDescent="0.15"/>
    <row r="11240" hidden="1" x14ac:dyDescent="0.15"/>
    <row r="11241" hidden="1" x14ac:dyDescent="0.15"/>
    <row r="11242" hidden="1" x14ac:dyDescent="0.15"/>
    <row r="11243" hidden="1" x14ac:dyDescent="0.15"/>
    <row r="11244" hidden="1" x14ac:dyDescent="0.15"/>
    <row r="11245" hidden="1" x14ac:dyDescent="0.15"/>
    <row r="11246" hidden="1" x14ac:dyDescent="0.15"/>
    <row r="11247" hidden="1" x14ac:dyDescent="0.15"/>
    <row r="11248" hidden="1" x14ac:dyDescent="0.15"/>
    <row r="11249" hidden="1" x14ac:dyDescent="0.15"/>
    <row r="11250" hidden="1" x14ac:dyDescent="0.15"/>
    <row r="11251" hidden="1" x14ac:dyDescent="0.15"/>
    <row r="11252" hidden="1" x14ac:dyDescent="0.15"/>
    <row r="11253" hidden="1" x14ac:dyDescent="0.15"/>
    <row r="11254" hidden="1" x14ac:dyDescent="0.15"/>
    <row r="11255" hidden="1" x14ac:dyDescent="0.15"/>
    <row r="11256" hidden="1" x14ac:dyDescent="0.15"/>
    <row r="11257" hidden="1" x14ac:dyDescent="0.15"/>
    <row r="11258" hidden="1" x14ac:dyDescent="0.15"/>
    <row r="11259" hidden="1" x14ac:dyDescent="0.15"/>
    <row r="11260" hidden="1" x14ac:dyDescent="0.15"/>
    <row r="11261" hidden="1" x14ac:dyDescent="0.15"/>
    <row r="11262" hidden="1" x14ac:dyDescent="0.15"/>
    <row r="11263" hidden="1" x14ac:dyDescent="0.15"/>
    <row r="11264" hidden="1" x14ac:dyDescent="0.15"/>
    <row r="11265" hidden="1" x14ac:dyDescent="0.15"/>
    <row r="11266" hidden="1" x14ac:dyDescent="0.15"/>
    <row r="11267" hidden="1" x14ac:dyDescent="0.15"/>
    <row r="11268" hidden="1" x14ac:dyDescent="0.15"/>
    <row r="11269" hidden="1" x14ac:dyDescent="0.15"/>
    <row r="11270" hidden="1" x14ac:dyDescent="0.15"/>
    <row r="11271" hidden="1" x14ac:dyDescent="0.15"/>
    <row r="11272" hidden="1" x14ac:dyDescent="0.15"/>
    <row r="11273" hidden="1" x14ac:dyDescent="0.15"/>
    <row r="11274" hidden="1" x14ac:dyDescent="0.15"/>
    <row r="11275" hidden="1" x14ac:dyDescent="0.15"/>
    <row r="11276" hidden="1" x14ac:dyDescent="0.15"/>
    <row r="11277" hidden="1" x14ac:dyDescent="0.15"/>
    <row r="11278" hidden="1" x14ac:dyDescent="0.15"/>
    <row r="11279" hidden="1" x14ac:dyDescent="0.15"/>
    <row r="11280" hidden="1" x14ac:dyDescent="0.15"/>
    <row r="11281" hidden="1" x14ac:dyDescent="0.15"/>
    <row r="11282" hidden="1" x14ac:dyDescent="0.15"/>
    <row r="11283" hidden="1" x14ac:dyDescent="0.15"/>
    <row r="11284" hidden="1" x14ac:dyDescent="0.15"/>
    <row r="11285" hidden="1" x14ac:dyDescent="0.15"/>
    <row r="11286" hidden="1" x14ac:dyDescent="0.15"/>
    <row r="11287" hidden="1" x14ac:dyDescent="0.15"/>
    <row r="11288" hidden="1" x14ac:dyDescent="0.15"/>
    <row r="11289" hidden="1" x14ac:dyDescent="0.15"/>
    <row r="11290" hidden="1" x14ac:dyDescent="0.15"/>
    <row r="11291" hidden="1" x14ac:dyDescent="0.15"/>
    <row r="11292" hidden="1" x14ac:dyDescent="0.15"/>
    <row r="11293" hidden="1" x14ac:dyDescent="0.15"/>
    <row r="11294" hidden="1" x14ac:dyDescent="0.15"/>
    <row r="11295" hidden="1" x14ac:dyDescent="0.15"/>
    <row r="11296" hidden="1" x14ac:dyDescent="0.15"/>
    <row r="11297" hidden="1" x14ac:dyDescent="0.15"/>
    <row r="11298" hidden="1" x14ac:dyDescent="0.15"/>
    <row r="11299" hidden="1" x14ac:dyDescent="0.15"/>
    <row r="11300" hidden="1" x14ac:dyDescent="0.15"/>
    <row r="11301" hidden="1" x14ac:dyDescent="0.15"/>
    <row r="11302" hidden="1" x14ac:dyDescent="0.15"/>
    <row r="11303" hidden="1" x14ac:dyDescent="0.15"/>
    <row r="11304" hidden="1" x14ac:dyDescent="0.15"/>
    <row r="11305" hidden="1" x14ac:dyDescent="0.15"/>
    <row r="11306" hidden="1" x14ac:dyDescent="0.15"/>
    <row r="11307" hidden="1" x14ac:dyDescent="0.15"/>
    <row r="11308" hidden="1" x14ac:dyDescent="0.15"/>
    <row r="11309" hidden="1" x14ac:dyDescent="0.15"/>
    <row r="11310" hidden="1" x14ac:dyDescent="0.15"/>
    <row r="11311" hidden="1" x14ac:dyDescent="0.15"/>
    <row r="11312" hidden="1" x14ac:dyDescent="0.15"/>
    <row r="11313" hidden="1" x14ac:dyDescent="0.15"/>
    <row r="11314" hidden="1" x14ac:dyDescent="0.15"/>
    <row r="11315" hidden="1" x14ac:dyDescent="0.15"/>
    <row r="11316" hidden="1" x14ac:dyDescent="0.15"/>
    <row r="11317" hidden="1" x14ac:dyDescent="0.15"/>
    <row r="11318" hidden="1" x14ac:dyDescent="0.15"/>
    <row r="11319" hidden="1" x14ac:dyDescent="0.15"/>
    <row r="11320" hidden="1" x14ac:dyDescent="0.15"/>
    <row r="11321" hidden="1" x14ac:dyDescent="0.15"/>
    <row r="11322" hidden="1" x14ac:dyDescent="0.15"/>
    <row r="11323" hidden="1" x14ac:dyDescent="0.15"/>
    <row r="11324" hidden="1" x14ac:dyDescent="0.15"/>
    <row r="11325" hidden="1" x14ac:dyDescent="0.15"/>
    <row r="11326" hidden="1" x14ac:dyDescent="0.15"/>
    <row r="11327" hidden="1" x14ac:dyDescent="0.15"/>
    <row r="11328" hidden="1" x14ac:dyDescent="0.15"/>
    <row r="11329" hidden="1" x14ac:dyDescent="0.15"/>
    <row r="11330" hidden="1" x14ac:dyDescent="0.15"/>
    <row r="11331" hidden="1" x14ac:dyDescent="0.15"/>
    <row r="11332" hidden="1" x14ac:dyDescent="0.15"/>
    <row r="11333" hidden="1" x14ac:dyDescent="0.15"/>
    <row r="11334" hidden="1" x14ac:dyDescent="0.15"/>
    <row r="11335" hidden="1" x14ac:dyDescent="0.15"/>
    <row r="11336" hidden="1" x14ac:dyDescent="0.15"/>
    <row r="11337" hidden="1" x14ac:dyDescent="0.15"/>
    <row r="11338" hidden="1" x14ac:dyDescent="0.15"/>
    <row r="11339" hidden="1" x14ac:dyDescent="0.15"/>
    <row r="11340" hidden="1" x14ac:dyDescent="0.15"/>
    <row r="11341" hidden="1" x14ac:dyDescent="0.15"/>
    <row r="11342" hidden="1" x14ac:dyDescent="0.15"/>
    <row r="11343" hidden="1" x14ac:dyDescent="0.15"/>
    <row r="11344" hidden="1" x14ac:dyDescent="0.15"/>
    <row r="11345" hidden="1" x14ac:dyDescent="0.15"/>
    <row r="11346" hidden="1" x14ac:dyDescent="0.15"/>
    <row r="11347" hidden="1" x14ac:dyDescent="0.15"/>
    <row r="11348" hidden="1" x14ac:dyDescent="0.15"/>
    <row r="11349" hidden="1" x14ac:dyDescent="0.15"/>
    <row r="11350" hidden="1" x14ac:dyDescent="0.15"/>
    <row r="11351" hidden="1" x14ac:dyDescent="0.15"/>
    <row r="11352" hidden="1" x14ac:dyDescent="0.15"/>
    <row r="11353" hidden="1" x14ac:dyDescent="0.15"/>
    <row r="11354" hidden="1" x14ac:dyDescent="0.15"/>
    <row r="11355" hidden="1" x14ac:dyDescent="0.15"/>
    <row r="11356" hidden="1" x14ac:dyDescent="0.15"/>
    <row r="11357" hidden="1" x14ac:dyDescent="0.15"/>
    <row r="11358" hidden="1" x14ac:dyDescent="0.15"/>
    <row r="11359" hidden="1" x14ac:dyDescent="0.15"/>
    <row r="11360" hidden="1" x14ac:dyDescent="0.15"/>
    <row r="11361" hidden="1" x14ac:dyDescent="0.15"/>
    <row r="11362" hidden="1" x14ac:dyDescent="0.15"/>
    <row r="11363" hidden="1" x14ac:dyDescent="0.15"/>
    <row r="11364" hidden="1" x14ac:dyDescent="0.15"/>
    <row r="11365" hidden="1" x14ac:dyDescent="0.15"/>
    <row r="11366" hidden="1" x14ac:dyDescent="0.15"/>
    <row r="11367" hidden="1" x14ac:dyDescent="0.15"/>
    <row r="11368" hidden="1" x14ac:dyDescent="0.15"/>
    <row r="11369" hidden="1" x14ac:dyDescent="0.15"/>
    <row r="11370" hidden="1" x14ac:dyDescent="0.15"/>
    <row r="11371" hidden="1" x14ac:dyDescent="0.15"/>
    <row r="11372" hidden="1" x14ac:dyDescent="0.15"/>
    <row r="11373" hidden="1" x14ac:dyDescent="0.15"/>
    <row r="11374" hidden="1" x14ac:dyDescent="0.15"/>
    <row r="11375" hidden="1" x14ac:dyDescent="0.15"/>
    <row r="11376" hidden="1" x14ac:dyDescent="0.15"/>
    <row r="11377" hidden="1" x14ac:dyDescent="0.15"/>
    <row r="11378" hidden="1" x14ac:dyDescent="0.15"/>
    <row r="11379" hidden="1" x14ac:dyDescent="0.15"/>
    <row r="11380" hidden="1" x14ac:dyDescent="0.15"/>
    <row r="11381" hidden="1" x14ac:dyDescent="0.15"/>
    <row r="11382" hidden="1" x14ac:dyDescent="0.15"/>
    <row r="11383" hidden="1" x14ac:dyDescent="0.15"/>
    <row r="11384" hidden="1" x14ac:dyDescent="0.15"/>
    <row r="11385" hidden="1" x14ac:dyDescent="0.15"/>
    <row r="11386" hidden="1" x14ac:dyDescent="0.15"/>
    <row r="11387" hidden="1" x14ac:dyDescent="0.15"/>
    <row r="11388" hidden="1" x14ac:dyDescent="0.15"/>
    <row r="11389" hidden="1" x14ac:dyDescent="0.15"/>
    <row r="11390" hidden="1" x14ac:dyDescent="0.15"/>
    <row r="11391" hidden="1" x14ac:dyDescent="0.15"/>
    <row r="11392" hidden="1" x14ac:dyDescent="0.15"/>
    <row r="11393" hidden="1" x14ac:dyDescent="0.15"/>
    <row r="11394" hidden="1" x14ac:dyDescent="0.15"/>
    <row r="11395" hidden="1" x14ac:dyDescent="0.15"/>
    <row r="11396" hidden="1" x14ac:dyDescent="0.15"/>
    <row r="11397" hidden="1" x14ac:dyDescent="0.15"/>
    <row r="11398" hidden="1" x14ac:dyDescent="0.15"/>
    <row r="11399" hidden="1" x14ac:dyDescent="0.15"/>
    <row r="11400" hidden="1" x14ac:dyDescent="0.15"/>
    <row r="11401" hidden="1" x14ac:dyDescent="0.15"/>
    <row r="11402" hidden="1" x14ac:dyDescent="0.15"/>
    <row r="11403" hidden="1" x14ac:dyDescent="0.15"/>
    <row r="11404" hidden="1" x14ac:dyDescent="0.15"/>
    <row r="11405" hidden="1" x14ac:dyDescent="0.15"/>
    <row r="11406" hidden="1" x14ac:dyDescent="0.15"/>
    <row r="11407" hidden="1" x14ac:dyDescent="0.15"/>
    <row r="11408" hidden="1" x14ac:dyDescent="0.15"/>
    <row r="11409" hidden="1" x14ac:dyDescent="0.15"/>
    <row r="11410" hidden="1" x14ac:dyDescent="0.15"/>
    <row r="11411" hidden="1" x14ac:dyDescent="0.15"/>
    <row r="11412" hidden="1" x14ac:dyDescent="0.15"/>
    <row r="11413" hidden="1" x14ac:dyDescent="0.15"/>
    <row r="11414" hidden="1" x14ac:dyDescent="0.15"/>
    <row r="11415" hidden="1" x14ac:dyDescent="0.15"/>
    <row r="11416" hidden="1" x14ac:dyDescent="0.15"/>
    <row r="11417" hidden="1" x14ac:dyDescent="0.15"/>
    <row r="11418" hidden="1" x14ac:dyDescent="0.15"/>
    <row r="11419" hidden="1" x14ac:dyDescent="0.15"/>
    <row r="11420" hidden="1" x14ac:dyDescent="0.15"/>
    <row r="11421" hidden="1" x14ac:dyDescent="0.15"/>
    <row r="11422" hidden="1" x14ac:dyDescent="0.15"/>
    <row r="11423" hidden="1" x14ac:dyDescent="0.15"/>
    <row r="11424" hidden="1" x14ac:dyDescent="0.15"/>
    <row r="11425" hidden="1" x14ac:dyDescent="0.15"/>
    <row r="11426" hidden="1" x14ac:dyDescent="0.15"/>
    <row r="11427" hidden="1" x14ac:dyDescent="0.15"/>
    <row r="11428" hidden="1" x14ac:dyDescent="0.15"/>
    <row r="11429" hidden="1" x14ac:dyDescent="0.15"/>
    <row r="11430" hidden="1" x14ac:dyDescent="0.15"/>
    <row r="11431" hidden="1" x14ac:dyDescent="0.15"/>
    <row r="11432" hidden="1" x14ac:dyDescent="0.15"/>
    <row r="11433" hidden="1" x14ac:dyDescent="0.15"/>
    <row r="11434" hidden="1" x14ac:dyDescent="0.15"/>
    <row r="11435" hidden="1" x14ac:dyDescent="0.15"/>
    <row r="11436" hidden="1" x14ac:dyDescent="0.15"/>
    <row r="11437" hidden="1" x14ac:dyDescent="0.15"/>
    <row r="11438" hidden="1" x14ac:dyDescent="0.15"/>
    <row r="11439" hidden="1" x14ac:dyDescent="0.15"/>
    <row r="11440" hidden="1" x14ac:dyDescent="0.15"/>
    <row r="11441" hidden="1" x14ac:dyDescent="0.15"/>
    <row r="11442" hidden="1" x14ac:dyDescent="0.15"/>
    <row r="11443" hidden="1" x14ac:dyDescent="0.15"/>
    <row r="11444" hidden="1" x14ac:dyDescent="0.15"/>
    <row r="11445" hidden="1" x14ac:dyDescent="0.15"/>
    <row r="11446" hidden="1" x14ac:dyDescent="0.15"/>
    <row r="11447" hidden="1" x14ac:dyDescent="0.15"/>
    <row r="11448" hidden="1" x14ac:dyDescent="0.15"/>
    <row r="11449" hidden="1" x14ac:dyDescent="0.15"/>
    <row r="11450" hidden="1" x14ac:dyDescent="0.15"/>
    <row r="11451" hidden="1" x14ac:dyDescent="0.15"/>
    <row r="11452" hidden="1" x14ac:dyDescent="0.15"/>
    <row r="11453" hidden="1" x14ac:dyDescent="0.15"/>
    <row r="11454" hidden="1" x14ac:dyDescent="0.15"/>
    <row r="11455" hidden="1" x14ac:dyDescent="0.15"/>
    <row r="11456" hidden="1" x14ac:dyDescent="0.15"/>
    <row r="11457" hidden="1" x14ac:dyDescent="0.15"/>
    <row r="11458" hidden="1" x14ac:dyDescent="0.15"/>
    <row r="11459" hidden="1" x14ac:dyDescent="0.15"/>
    <row r="11460" hidden="1" x14ac:dyDescent="0.15"/>
    <row r="11461" hidden="1" x14ac:dyDescent="0.15"/>
    <row r="11462" hidden="1" x14ac:dyDescent="0.15"/>
    <row r="11463" hidden="1" x14ac:dyDescent="0.15"/>
    <row r="11464" hidden="1" x14ac:dyDescent="0.15"/>
    <row r="11465" hidden="1" x14ac:dyDescent="0.15"/>
    <row r="11466" hidden="1" x14ac:dyDescent="0.15"/>
    <row r="11467" hidden="1" x14ac:dyDescent="0.15"/>
    <row r="11468" hidden="1" x14ac:dyDescent="0.15"/>
    <row r="11469" hidden="1" x14ac:dyDescent="0.15"/>
    <row r="11470" hidden="1" x14ac:dyDescent="0.15"/>
    <row r="11471" hidden="1" x14ac:dyDescent="0.15"/>
    <row r="11472" hidden="1" x14ac:dyDescent="0.15"/>
    <row r="11473" hidden="1" x14ac:dyDescent="0.15"/>
    <row r="11474" hidden="1" x14ac:dyDescent="0.15"/>
    <row r="11475" hidden="1" x14ac:dyDescent="0.15"/>
    <row r="11476" hidden="1" x14ac:dyDescent="0.15"/>
    <row r="11477" hidden="1" x14ac:dyDescent="0.15"/>
    <row r="11478" hidden="1" x14ac:dyDescent="0.15"/>
    <row r="11479" hidden="1" x14ac:dyDescent="0.15"/>
    <row r="11480" hidden="1" x14ac:dyDescent="0.15"/>
    <row r="11481" hidden="1" x14ac:dyDescent="0.15"/>
    <row r="11482" hidden="1" x14ac:dyDescent="0.15"/>
    <row r="11483" hidden="1" x14ac:dyDescent="0.15"/>
    <row r="11484" hidden="1" x14ac:dyDescent="0.15"/>
    <row r="11485" hidden="1" x14ac:dyDescent="0.15"/>
    <row r="11486" hidden="1" x14ac:dyDescent="0.15"/>
    <row r="11487" hidden="1" x14ac:dyDescent="0.15"/>
    <row r="11488" hidden="1" x14ac:dyDescent="0.15"/>
    <row r="11489" hidden="1" x14ac:dyDescent="0.15"/>
    <row r="11490" hidden="1" x14ac:dyDescent="0.15"/>
    <row r="11491" hidden="1" x14ac:dyDescent="0.15"/>
    <row r="11492" hidden="1" x14ac:dyDescent="0.15"/>
    <row r="11493" hidden="1" x14ac:dyDescent="0.15"/>
    <row r="11494" hidden="1" x14ac:dyDescent="0.15"/>
    <row r="11495" hidden="1" x14ac:dyDescent="0.15"/>
    <row r="11496" hidden="1" x14ac:dyDescent="0.15"/>
    <row r="11497" hidden="1" x14ac:dyDescent="0.15"/>
    <row r="11498" hidden="1" x14ac:dyDescent="0.15"/>
    <row r="11499" hidden="1" x14ac:dyDescent="0.15"/>
    <row r="11500" hidden="1" x14ac:dyDescent="0.15"/>
    <row r="11501" hidden="1" x14ac:dyDescent="0.15"/>
    <row r="11502" hidden="1" x14ac:dyDescent="0.15"/>
    <row r="11503" hidden="1" x14ac:dyDescent="0.15"/>
    <row r="11504" hidden="1" x14ac:dyDescent="0.15"/>
    <row r="11505" hidden="1" x14ac:dyDescent="0.15"/>
    <row r="11506" hidden="1" x14ac:dyDescent="0.15"/>
    <row r="11507" hidden="1" x14ac:dyDescent="0.15"/>
    <row r="11508" hidden="1" x14ac:dyDescent="0.15"/>
    <row r="11509" hidden="1" x14ac:dyDescent="0.15"/>
    <row r="11510" hidden="1" x14ac:dyDescent="0.15"/>
    <row r="11511" hidden="1" x14ac:dyDescent="0.15"/>
    <row r="11512" hidden="1" x14ac:dyDescent="0.15"/>
    <row r="11513" hidden="1" x14ac:dyDescent="0.15"/>
    <row r="11514" hidden="1" x14ac:dyDescent="0.15"/>
    <row r="11515" hidden="1" x14ac:dyDescent="0.15"/>
    <row r="11516" hidden="1" x14ac:dyDescent="0.15"/>
    <row r="11517" hidden="1" x14ac:dyDescent="0.15"/>
    <row r="11518" hidden="1" x14ac:dyDescent="0.15"/>
    <row r="11519" hidden="1" x14ac:dyDescent="0.15"/>
    <row r="11520" hidden="1" x14ac:dyDescent="0.15"/>
    <row r="11521" hidden="1" x14ac:dyDescent="0.15"/>
    <row r="11522" hidden="1" x14ac:dyDescent="0.15"/>
    <row r="11523" hidden="1" x14ac:dyDescent="0.15"/>
    <row r="11524" hidden="1" x14ac:dyDescent="0.15"/>
    <row r="11525" hidden="1" x14ac:dyDescent="0.15"/>
    <row r="11526" hidden="1" x14ac:dyDescent="0.15"/>
    <row r="11527" hidden="1" x14ac:dyDescent="0.15"/>
    <row r="11528" hidden="1" x14ac:dyDescent="0.15"/>
    <row r="11529" hidden="1" x14ac:dyDescent="0.15"/>
    <row r="11530" hidden="1" x14ac:dyDescent="0.15"/>
    <row r="11531" hidden="1" x14ac:dyDescent="0.15"/>
    <row r="11532" hidden="1" x14ac:dyDescent="0.15"/>
    <row r="11533" hidden="1" x14ac:dyDescent="0.15"/>
    <row r="11534" hidden="1" x14ac:dyDescent="0.15"/>
    <row r="11535" hidden="1" x14ac:dyDescent="0.15"/>
    <row r="11536" hidden="1" x14ac:dyDescent="0.15"/>
    <row r="11537" hidden="1" x14ac:dyDescent="0.15"/>
    <row r="11538" hidden="1" x14ac:dyDescent="0.15"/>
    <row r="11539" hidden="1" x14ac:dyDescent="0.15"/>
    <row r="11540" hidden="1" x14ac:dyDescent="0.15"/>
    <row r="11541" hidden="1" x14ac:dyDescent="0.15"/>
    <row r="11542" hidden="1" x14ac:dyDescent="0.15"/>
    <row r="11543" hidden="1" x14ac:dyDescent="0.15"/>
    <row r="11544" hidden="1" x14ac:dyDescent="0.15"/>
    <row r="11545" hidden="1" x14ac:dyDescent="0.15"/>
    <row r="11546" hidden="1" x14ac:dyDescent="0.15"/>
    <row r="11547" hidden="1" x14ac:dyDescent="0.15"/>
    <row r="11548" hidden="1" x14ac:dyDescent="0.15"/>
    <row r="11549" hidden="1" x14ac:dyDescent="0.15"/>
    <row r="11550" hidden="1" x14ac:dyDescent="0.15"/>
    <row r="11551" hidden="1" x14ac:dyDescent="0.15"/>
    <row r="11552" hidden="1" x14ac:dyDescent="0.15"/>
    <row r="11553" hidden="1" x14ac:dyDescent="0.15"/>
    <row r="11554" hidden="1" x14ac:dyDescent="0.15"/>
    <row r="11555" hidden="1" x14ac:dyDescent="0.15"/>
    <row r="11556" hidden="1" x14ac:dyDescent="0.15"/>
    <row r="11557" hidden="1" x14ac:dyDescent="0.15"/>
    <row r="11558" hidden="1" x14ac:dyDescent="0.15"/>
    <row r="11559" hidden="1" x14ac:dyDescent="0.15"/>
    <row r="11560" hidden="1" x14ac:dyDescent="0.15"/>
    <row r="11561" hidden="1" x14ac:dyDescent="0.15"/>
    <row r="11562" hidden="1" x14ac:dyDescent="0.15"/>
    <row r="11563" hidden="1" x14ac:dyDescent="0.15"/>
    <row r="11564" hidden="1" x14ac:dyDescent="0.15"/>
    <row r="11565" hidden="1" x14ac:dyDescent="0.15"/>
    <row r="11566" hidden="1" x14ac:dyDescent="0.15"/>
    <row r="11567" hidden="1" x14ac:dyDescent="0.15"/>
    <row r="11568" hidden="1" x14ac:dyDescent="0.15"/>
    <row r="11569" hidden="1" x14ac:dyDescent="0.15"/>
    <row r="11570" hidden="1" x14ac:dyDescent="0.15"/>
    <row r="11571" hidden="1" x14ac:dyDescent="0.15"/>
    <row r="11572" hidden="1" x14ac:dyDescent="0.15"/>
    <row r="11573" hidden="1" x14ac:dyDescent="0.15"/>
    <row r="11574" hidden="1" x14ac:dyDescent="0.15"/>
    <row r="11575" hidden="1" x14ac:dyDescent="0.15"/>
    <row r="11576" hidden="1" x14ac:dyDescent="0.15"/>
    <row r="11577" hidden="1" x14ac:dyDescent="0.15"/>
    <row r="11578" hidden="1" x14ac:dyDescent="0.15"/>
    <row r="11579" hidden="1" x14ac:dyDescent="0.15"/>
    <row r="11580" hidden="1" x14ac:dyDescent="0.15"/>
    <row r="11581" hidden="1" x14ac:dyDescent="0.15"/>
    <row r="11582" hidden="1" x14ac:dyDescent="0.15"/>
    <row r="11583" hidden="1" x14ac:dyDescent="0.15"/>
    <row r="11584" hidden="1" x14ac:dyDescent="0.15"/>
    <row r="11585" hidden="1" x14ac:dyDescent="0.15"/>
    <row r="11586" hidden="1" x14ac:dyDescent="0.15"/>
    <row r="11587" hidden="1" x14ac:dyDescent="0.15"/>
    <row r="11588" hidden="1" x14ac:dyDescent="0.15"/>
    <row r="11589" hidden="1" x14ac:dyDescent="0.15"/>
    <row r="11590" hidden="1" x14ac:dyDescent="0.15"/>
    <row r="11591" hidden="1" x14ac:dyDescent="0.15"/>
    <row r="11592" hidden="1" x14ac:dyDescent="0.15"/>
    <row r="11593" hidden="1" x14ac:dyDescent="0.15"/>
    <row r="11594" hidden="1" x14ac:dyDescent="0.15"/>
    <row r="11595" hidden="1" x14ac:dyDescent="0.15"/>
    <row r="11596" hidden="1" x14ac:dyDescent="0.15"/>
    <row r="11597" hidden="1" x14ac:dyDescent="0.15"/>
    <row r="11598" hidden="1" x14ac:dyDescent="0.15"/>
    <row r="11599" hidden="1" x14ac:dyDescent="0.15"/>
    <row r="11600" hidden="1" x14ac:dyDescent="0.15"/>
    <row r="11601" hidden="1" x14ac:dyDescent="0.15"/>
    <row r="11602" hidden="1" x14ac:dyDescent="0.15"/>
    <row r="11603" hidden="1" x14ac:dyDescent="0.15"/>
    <row r="11604" hidden="1" x14ac:dyDescent="0.15"/>
    <row r="11605" hidden="1" x14ac:dyDescent="0.15"/>
    <row r="11606" hidden="1" x14ac:dyDescent="0.15"/>
    <row r="11607" hidden="1" x14ac:dyDescent="0.15"/>
    <row r="11608" hidden="1" x14ac:dyDescent="0.15"/>
    <row r="11609" hidden="1" x14ac:dyDescent="0.15"/>
    <row r="11610" hidden="1" x14ac:dyDescent="0.15"/>
    <row r="11611" hidden="1" x14ac:dyDescent="0.15"/>
    <row r="11612" hidden="1" x14ac:dyDescent="0.15"/>
    <row r="11613" hidden="1" x14ac:dyDescent="0.15"/>
    <row r="11614" hidden="1" x14ac:dyDescent="0.15"/>
    <row r="11615" hidden="1" x14ac:dyDescent="0.15"/>
    <row r="11616" hidden="1" x14ac:dyDescent="0.15"/>
    <row r="11617" hidden="1" x14ac:dyDescent="0.15"/>
    <row r="11618" hidden="1" x14ac:dyDescent="0.15"/>
    <row r="11619" hidden="1" x14ac:dyDescent="0.15"/>
    <row r="11620" hidden="1" x14ac:dyDescent="0.15"/>
    <row r="11621" hidden="1" x14ac:dyDescent="0.15"/>
    <row r="11622" hidden="1" x14ac:dyDescent="0.15"/>
    <row r="11623" hidden="1" x14ac:dyDescent="0.15"/>
    <row r="11624" hidden="1" x14ac:dyDescent="0.15"/>
    <row r="11625" hidden="1" x14ac:dyDescent="0.15"/>
    <row r="11626" hidden="1" x14ac:dyDescent="0.15"/>
    <row r="11627" hidden="1" x14ac:dyDescent="0.15"/>
    <row r="11628" hidden="1" x14ac:dyDescent="0.15"/>
    <row r="11629" hidden="1" x14ac:dyDescent="0.15"/>
    <row r="11630" hidden="1" x14ac:dyDescent="0.15"/>
    <row r="11631" hidden="1" x14ac:dyDescent="0.15"/>
    <row r="11632" hidden="1" x14ac:dyDescent="0.15"/>
    <row r="11633" hidden="1" x14ac:dyDescent="0.15"/>
    <row r="11634" hidden="1" x14ac:dyDescent="0.15"/>
    <row r="11635" hidden="1" x14ac:dyDescent="0.15"/>
    <row r="11636" hidden="1" x14ac:dyDescent="0.15"/>
    <row r="11637" hidden="1" x14ac:dyDescent="0.15"/>
    <row r="11638" hidden="1" x14ac:dyDescent="0.15"/>
    <row r="11639" hidden="1" x14ac:dyDescent="0.15"/>
    <row r="11640" hidden="1" x14ac:dyDescent="0.15"/>
    <row r="11641" hidden="1" x14ac:dyDescent="0.15"/>
    <row r="11642" hidden="1" x14ac:dyDescent="0.15"/>
    <row r="11643" hidden="1" x14ac:dyDescent="0.15"/>
    <row r="11644" hidden="1" x14ac:dyDescent="0.15"/>
    <row r="11645" hidden="1" x14ac:dyDescent="0.15"/>
    <row r="11646" hidden="1" x14ac:dyDescent="0.15"/>
    <row r="11647" hidden="1" x14ac:dyDescent="0.15"/>
    <row r="11648" hidden="1" x14ac:dyDescent="0.15"/>
    <row r="11649" hidden="1" x14ac:dyDescent="0.15"/>
    <row r="11650" hidden="1" x14ac:dyDescent="0.15"/>
    <row r="11651" hidden="1" x14ac:dyDescent="0.15"/>
    <row r="11652" hidden="1" x14ac:dyDescent="0.15"/>
    <row r="11653" hidden="1" x14ac:dyDescent="0.15"/>
    <row r="11654" hidden="1" x14ac:dyDescent="0.15"/>
    <row r="11655" hidden="1" x14ac:dyDescent="0.15"/>
    <row r="11656" hidden="1" x14ac:dyDescent="0.15"/>
    <row r="11657" hidden="1" x14ac:dyDescent="0.15"/>
    <row r="11658" hidden="1" x14ac:dyDescent="0.15"/>
    <row r="11659" hidden="1" x14ac:dyDescent="0.15"/>
    <row r="11660" hidden="1" x14ac:dyDescent="0.15"/>
    <row r="11661" hidden="1" x14ac:dyDescent="0.15"/>
    <row r="11662" hidden="1" x14ac:dyDescent="0.15"/>
    <row r="11663" hidden="1" x14ac:dyDescent="0.15"/>
    <row r="11664" hidden="1" x14ac:dyDescent="0.15"/>
    <row r="11665" hidden="1" x14ac:dyDescent="0.15"/>
    <row r="11666" hidden="1" x14ac:dyDescent="0.15"/>
    <row r="11667" hidden="1" x14ac:dyDescent="0.15"/>
    <row r="11668" hidden="1" x14ac:dyDescent="0.15"/>
    <row r="11669" hidden="1" x14ac:dyDescent="0.15"/>
    <row r="11670" hidden="1" x14ac:dyDescent="0.15"/>
    <row r="11671" hidden="1" x14ac:dyDescent="0.15"/>
    <row r="11672" hidden="1" x14ac:dyDescent="0.15"/>
    <row r="11673" hidden="1" x14ac:dyDescent="0.15"/>
    <row r="11674" hidden="1" x14ac:dyDescent="0.15"/>
    <row r="11675" hidden="1" x14ac:dyDescent="0.15"/>
    <row r="11676" hidden="1" x14ac:dyDescent="0.15"/>
    <row r="11677" hidden="1" x14ac:dyDescent="0.15"/>
    <row r="11678" hidden="1" x14ac:dyDescent="0.15"/>
    <row r="11679" hidden="1" x14ac:dyDescent="0.15"/>
    <row r="11680" hidden="1" x14ac:dyDescent="0.15"/>
    <row r="11681" hidden="1" x14ac:dyDescent="0.15"/>
    <row r="11682" hidden="1" x14ac:dyDescent="0.15"/>
    <row r="11683" hidden="1" x14ac:dyDescent="0.15"/>
    <row r="11684" hidden="1" x14ac:dyDescent="0.15"/>
    <row r="11685" hidden="1" x14ac:dyDescent="0.15"/>
    <row r="11686" hidden="1" x14ac:dyDescent="0.15"/>
    <row r="11687" hidden="1" x14ac:dyDescent="0.15"/>
    <row r="11688" hidden="1" x14ac:dyDescent="0.15"/>
    <row r="11689" hidden="1" x14ac:dyDescent="0.15"/>
    <row r="11690" hidden="1" x14ac:dyDescent="0.15"/>
    <row r="11691" hidden="1" x14ac:dyDescent="0.15"/>
    <row r="11692" hidden="1" x14ac:dyDescent="0.15"/>
    <row r="11693" hidden="1" x14ac:dyDescent="0.15"/>
    <row r="11694" hidden="1" x14ac:dyDescent="0.15"/>
    <row r="11695" hidden="1" x14ac:dyDescent="0.15"/>
    <row r="11696" hidden="1" x14ac:dyDescent="0.15"/>
    <row r="11697" hidden="1" x14ac:dyDescent="0.15"/>
    <row r="11698" hidden="1" x14ac:dyDescent="0.15"/>
    <row r="11699" hidden="1" x14ac:dyDescent="0.15"/>
    <row r="11700" hidden="1" x14ac:dyDescent="0.15"/>
    <row r="11701" hidden="1" x14ac:dyDescent="0.15"/>
    <row r="11702" hidden="1" x14ac:dyDescent="0.15"/>
    <row r="11703" hidden="1" x14ac:dyDescent="0.15"/>
    <row r="11704" hidden="1" x14ac:dyDescent="0.15"/>
    <row r="11705" hidden="1" x14ac:dyDescent="0.15"/>
    <row r="11706" hidden="1" x14ac:dyDescent="0.15"/>
    <row r="11707" hidden="1" x14ac:dyDescent="0.15"/>
    <row r="11708" hidden="1" x14ac:dyDescent="0.15"/>
    <row r="11709" hidden="1" x14ac:dyDescent="0.15"/>
    <row r="11710" hidden="1" x14ac:dyDescent="0.15"/>
    <row r="11711" hidden="1" x14ac:dyDescent="0.15"/>
    <row r="11712" hidden="1" x14ac:dyDescent="0.15"/>
    <row r="11713" hidden="1" x14ac:dyDescent="0.15"/>
    <row r="11714" hidden="1" x14ac:dyDescent="0.15"/>
    <row r="11715" hidden="1" x14ac:dyDescent="0.15"/>
    <row r="11716" hidden="1" x14ac:dyDescent="0.15"/>
    <row r="11717" hidden="1" x14ac:dyDescent="0.15"/>
    <row r="11718" hidden="1" x14ac:dyDescent="0.15"/>
    <row r="11719" hidden="1" x14ac:dyDescent="0.15"/>
    <row r="11720" hidden="1" x14ac:dyDescent="0.15"/>
    <row r="11721" hidden="1" x14ac:dyDescent="0.15"/>
    <row r="11722" hidden="1" x14ac:dyDescent="0.15"/>
    <row r="11723" hidden="1" x14ac:dyDescent="0.15"/>
    <row r="11724" hidden="1" x14ac:dyDescent="0.15"/>
    <row r="11725" hidden="1" x14ac:dyDescent="0.15"/>
    <row r="11726" hidden="1" x14ac:dyDescent="0.15"/>
    <row r="11727" hidden="1" x14ac:dyDescent="0.15"/>
    <row r="11728" hidden="1" x14ac:dyDescent="0.15"/>
    <row r="11729" hidden="1" x14ac:dyDescent="0.15"/>
    <row r="11730" hidden="1" x14ac:dyDescent="0.15"/>
    <row r="11731" hidden="1" x14ac:dyDescent="0.15"/>
    <row r="11732" hidden="1" x14ac:dyDescent="0.15"/>
    <row r="11733" hidden="1" x14ac:dyDescent="0.15"/>
    <row r="11734" hidden="1" x14ac:dyDescent="0.15"/>
    <row r="11735" hidden="1" x14ac:dyDescent="0.15"/>
    <row r="11736" hidden="1" x14ac:dyDescent="0.15"/>
    <row r="11737" hidden="1" x14ac:dyDescent="0.15"/>
    <row r="11738" hidden="1" x14ac:dyDescent="0.15"/>
    <row r="11739" hidden="1" x14ac:dyDescent="0.15"/>
    <row r="11740" hidden="1" x14ac:dyDescent="0.15"/>
    <row r="11741" hidden="1" x14ac:dyDescent="0.15"/>
    <row r="11742" hidden="1" x14ac:dyDescent="0.15"/>
    <row r="11743" hidden="1" x14ac:dyDescent="0.15"/>
    <row r="11744" hidden="1" x14ac:dyDescent="0.15"/>
    <row r="11745" hidden="1" x14ac:dyDescent="0.15"/>
    <row r="11746" hidden="1" x14ac:dyDescent="0.15"/>
    <row r="11747" hidden="1" x14ac:dyDescent="0.15"/>
    <row r="11748" hidden="1" x14ac:dyDescent="0.15"/>
    <row r="11749" hidden="1" x14ac:dyDescent="0.15"/>
    <row r="11750" hidden="1" x14ac:dyDescent="0.15"/>
    <row r="11751" hidden="1" x14ac:dyDescent="0.15"/>
    <row r="11752" hidden="1" x14ac:dyDescent="0.15"/>
    <row r="11753" hidden="1" x14ac:dyDescent="0.15"/>
    <row r="11754" hidden="1" x14ac:dyDescent="0.15"/>
    <row r="11755" hidden="1" x14ac:dyDescent="0.15"/>
    <row r="11756" hidden="1" x14ac:dyDescent="0.15"/>
    <row r="11757" hidden="1" x14ac:dyDescent="0.15"/>
    <row r="11758" hidden="1" x14ac:dyDescent="0.15"/>
    <row r="11759" hidden="1" x14ac:dyDescent="0.15"/>
    <row r="11760" hidden="1" x14ac:dyDescent="0.15"/>
    <row r="11761" hidden="1" x14ac:dyDescent="0.15"/>
    <row r="11762" hidden="1" x14ac:dyDescent="0.15"/>
    <row r="11763" hidden="1" x14ac:dyDescent="0.15"/>
    <row r="11764" hidden="1" x14ac:dyDescent="0.15"/>
    <row r="11765" hidden="1" x14ac:dyDescent="0.15"/>
    <row r="11766" hidden="1" x14ac:dyDescent="0.15"/>
    <row r="11767" hidden="1" x14ac:dyDescent="0.15"/>
    <row r="11768" hidden="1" x14ac:dyDescent="0.15"/>
    <row r="11769" hidden="1" x14ac:dyDescent="0.15"/>
    <row r="11770" hidden="1" x14ac:dyDescent="0.15"/>
    <row r="11771" hidden="1" x14ac:dyDescent="0.15"/>
    <row r="11772" hidden="1" x14ac:dyDescent="0.15"/>
    <row r="11773" hidden="1" x14ac:dyDescent="0.15"/>
    <row r="11774" hidden="1" x14ac:dyDescent="0.15"/>
    <row r="11775" hidden="1" x14ac:dyDescent="0.15"/>
    <row r="11776" hidden="1" x14ac:dyDescent="0.15"/>
    <row r="11777" hidden="1" x14ac:dyDescent="0.15"/>
    <row r="11778" hidden="1" x14ac:dyDescent="0.15"/>
    <row r="11779" hidden="1" x14ac:dyDescent="0.15"/>
    <row r="11780" hidden="1" x14ac:dyDescent="0.15"/>
    <row r="11781" hidden="1" x14ac:dyDescent="0.15"/>
    <row r="11782" hidden="1" x14ac:dyDescent="0.15"/>
    <row r="11783" hidden="1" x14ac:dyDescent="0.15"/>
    <row r="11784" hidden="1" x14ac:dyDescent="0.15"/>
    <row r="11785" hidden="1" x14ac:dyDescent="0.15"/>
    <row r="11786" hidden="1" x14ac:dyDescent="0.15"/>
    <row r="11787" hidden="1" x14ac:dyDescent="0.15"/>
    <row r="11788" hidden="1" x14ac:dyDescent="0.15"/>
    <row r="11789" hidden="1" x14ac:dyDescent="0.15"/>
    <row r="11790" hidden="1" x14ac:dyDescent="0.15"/>
    <row r="11791" hidden="1" x14ac:dyDescent="0.15"/>
    <row r="11792" hidden="1" x14ac:dyDescent="0.15"/>
    <row r="11793" hidden="1" x14ac:dyDescent="0.15"/>
    <row r="11794" hidden="1" x14ac:dyDescent="0.15"/>
    <row r="11795" hidden="1" x14ac:dyDescent="0.15"/>
    <row r="11796" hidden="1" x14ac:dyDescent="0.15"/>
    <row r="11797" hidden="1" x14ac:dyDescent="0.15"/>
    <row r="11798" hidden="1" x14ac:dyDescent="0.15"/>
    <row r="11799" hidden="1" x14ac:dyDescent="0.15"/>
    <row r="11800" hidden="1" x14ac:dyDescent="0.15"/>
    <row r="11801" hidden="1" x14ac:dyDescent="0.15"/>
    <row r="11802" hidden="1" x14ac:dyDescent="0.15"/>
    <row r="11803" hidden="1" x14ac:dyDescent="0.15"/>
    <row r="11804" hidden="1" x14ac:dyDescent="0.15"/>
    <row r="11805" hidden="1" x14ac:dyDescent="0.15"/>
    <row r="11806" hidden="1" x14ac:dyDescent="0.15"/>
    <row r="11807" hidden="1" x14ac:dyDescent="0.15"/>
    <row r="11808" hidden="1" x14ac:dyDescent="0.15"/>
    <row r="11809" hidden="1" x14ac:dyDescent="0.15"/>
    <row r="11810" hidden="1" x14ac:dyDescent="0.15"/>
    <row r="11811" hidden="1" x14ac:dyDescent="0.15"/>
    <row r="11812" hidden="1" x14ac:dyDescent="0.15"/>
    <row r="11813" hidden="1" x14ac:dyDescent="0.15"/>
    <row r="11814" hidden="1" x14ac:dyDescent="0.15"/>
    <row r="11815" hidden="1" x14ac:dyDescent="0.15"/>
    <row r="11816" hidden="1" x14ac:dyDescent="0.15"/>
    <row r="11817" hidden="1" x14ac:dyDescent="0.15"/>
    <row r="11818" hidden="1" x14ac:dyDescent="0.15"/>
    <row r="11819" hidden="1" x14ac:dyDescent="0.15"/>
    <row r="11820" hidden="1" x14ac:dyDescent="0.15"/>
    <row r="11821" hidden="1" x14ac:dyDescent="0.15"/>
    <row r="11822" hidden="1" x14ac:dyDescent="0.15"/>
    <row r="11823" hidden="1" x14ac:dyDescent="0.15"/>
    <row r="11824" hidden="1" x14ac:dyDescent="0.15"/>
    <row r="11825" hidden="1" x14ac:dyDescent="0.15"/>
    <row r="11826" hidden="1" x14ac:dyDescent="0.15"/>
    <row r="11827" hidden="1" x14ac:dyDescent="0.15"/>
    <row r="11828" hidden="1" x14ac:dyDescent="0.15"/>
    <row r="11829" hidden="1" x14ac:dyDescent="0.15"/>
    <row r="11830" hidden="1" x14ac:dyDescent="0.15"/>
    <row r="11831" hidden="1" x14ac:dyDescent="0.15"/>
    <row r="11832" hidden="1" x14ac:dyDescent="0.15"/>
    <row r="11833" hidden="1" x14ac:dyDescent="0.15"/>
    <row r="11834" hidden="1" x14ac:dyDescent="0.15"/>
    <row r="11835" hidden="1" x14ac:dyDescent="0.15"/>
    <row r="11836" hidden="1" x14ac:dyDescent="0.15"/>
    <row r="11837" hidden="1" x14ac:dyDescent="0.15"/>
    <row r="11838" hidden="1" x14ac:dyDescent="0.15"/>
    <row r="11839" hidden="1" x14ac:dyDescent="0.15"/>
    <row r="11840" hidden="1" x14ac:dyDescent="0.15"/>
    <row r="11841" hidden="1" x14ac:dyDescent="0.15"/>
    <row r="11842" hidden="1" x14ac:dyDescent="0.15"/>
    <row r="11843" hidden="1" x14ac:dyDescent="0.15"/>
    <row r="11844" hidden="1" x14ac:dyDescent="0.15"/>
    <row r="11845" hidden="1" x14ac:dyDescent="0.15"/>
    <row r="11846" hidden="1" x14ac:dyDescent="0.15"/>
    <row r="11847" hidden="1" x14ac:dyDescent="0.15"/>
    <row r="11848" hidden="1" x14ac:dyDescent="0.15"/>
    <row r="11849" hidden="1" x14ac:dyDescent="0.15"/>
    <row r="11850" hidden="1" x14ac:dyDescent="0.15"/>
    <row r="11851" hidden="1" x14ac:dyDescent="0.15"/>
    <row r="11852" hidden="1" x14ac:dyDescent="0.15"/>
    <row r="11853" hidden="1" x14ac:dyDescent="0.15"/>
    <row r="11854" hidden="1" x14ac:dyDescent="0.15"/>
    <row r="11855" hidden="1" x14ac:dyDescent="0.15"/>
    <row r="11856" hidden="1" x14ac:dyDescent="0.15"/>
    <row r="11857" hidden="1" x14ac:dyDescent="0.15"/>
    <row r="11858" hidden="1" x14ac:dyDescent="0.15"/>
    <row r="11859" hidden="1" x14ac:dyDescent="0.15"/>
    <row r="11860" hidden="1" x14ac:dyDescent="0.15"/>
    <row r="11861" hidden="1" x14ac:dyDescent="0.15"/>
    <row r="11862" hidden="1" x14ac:dyDescent="0.15"/>
    <row r="11863" hidden="1" x14ac:dyDescent="0.15"/>
    <row r="11864" hidden="1" x14ac:dyDescent="0.15"/>
    <row r="11865" hidden="1" x14ac:dyDescent="0.15"/>
    <row r="11866" hidden="1" x14ac:dyDescent="0.15"/>
    <row r="11867" hidden="1" x14ac:dyDescent="0.15"/>
    <row r="11868" hidden="1" x14ac:dyDescent="0.15"/>
    <row r="11869" hidden="1" x14ac:dyDescent="0.15"/>
    <row r="11870" hidden="1" x14ac:dyDescent="0.15"/>
    <row r="11871" hidden="1" x14ac:dyDescent="0.15"/>
    <row r="11872" hidden="1" x14ac:dyDescent="0.15"/>
    <row r="11873" hidden="1" x14ac:dyDescent="0.15"/>
    <row r="11874" hidden="1" x14ac:dyDescent="0.15"/>
    <row r="11875" hidden="1" x14ac:dyDescent="0.15"/>
    <row r="11876" hidden="1" x14ac:dyDescent="0.15"/>
    <row r="11877" hidden="1" x14ac:dyDescent="0.15"/>
    <row r="11878" hidden="1" x14ac:dyDescent="0.15"/>
    <row r="11879" hidden="1" x14ac:dyDescent="0.15"/>
    <row r="11880" hidden="1" x14ac:dyDescent="0.15"/>
    <row r="11881" hidden="1" x14ac:dyDescent="0.15"/>
    <row r="11882" hidden="1" x14ac:dyDescent="0.15"/>
    <row r="11883" hidden="1" x14ac:dyDescent="0.15"/>
    <row r="11884" hidden="1" x14ac:dyDescent="0.15"/>
    <row r="11885" hidden="1" x14ac:dyDescent="0.15"/>
    <row r="11886" hidden="1" x14ac:dyDescent="0.15"/>
    <row r="11887" hidden="1" x14ac:dyDescent="0.15"/>
    <row r="11888" hidden="1" x14ac:dyDescent="0.15"/>
    <row r="11889" hidden="1" x14ac:dyDescent="0.15"/>
    <row r="11890" hidden="1" x14ac:dyDescent="0.15"/>
    <row r="11891" hidden="1" x14ac:dyDescent="0.15"/>
    <row r="11892" hidden="1" x14ac:dyDescent="0.15"/>
    <row r="11893" hidden="1" x14ac:dyDescent="0.15"/>
    <row r="11894" hidden="1" x14ac:dyDescent="0.15"/>
    <row r="11895" hidden="1" x14ac:dyDescent="0.15"/>
    <row r="11896" hidden="1" x14ac:dyDescent="0.15"/>
    <row r="11897" hidden="1" x14ac:dyDescent="0.15"/>
    <row r="11898" hidden="1" x14ac:dyDescent="0.15"/>
    <row r="11899" hidden="1" x14ac:dyDescent="0.15"/>
    <row r="11900" hidden="1" x14ac:dyDescent="0.15"/>
    <row r="11901" hidden="1" x14ac:dyDescent="0.15"/>
    <row r="11902" hidden="1" x14ac:dyDescent="0.15"/>
    <row r="11903" hidden="1" x14ac:dyDescent="0.15"/>
    <row r="11904" hidden="1" x14ac:dyDescent="0.15"/>
    <row r="11905" hidden="1" x14ac:dyDescent="0.15"/>
    <row r="11906" hidden="1" x14ac:dyDescent="0.15"/>
    <row r="11907" hidden="1" x14ac:dyDescent="0.15"/>
    <row r="11908" hidden="1" x14ac:dyDescent="0.15"/>
    <row r="11909" hidden="1" x14ac:dyDescent="0.15"/>
    <row r="11910" hidden="1" x14ac:dyDescent="0.15"/>
    <row r="11911" hidden="1" x14ac:dyDescent="0.15"/>
    <row r="11912" hidden="1" x14ac:dyDescent="0.15"/>
    <row r="11913" hidden="1" x14ac:dyDescent="0.15"/>
    <row r="11914" hidden="1" x14ac:dyDescent="0.15"/>
    <row r="11915" hidden="1" x14ac:dyDescent="0.15"/>
    <row r="11916" hidden="1" x14ac:dyDescent="0.15"/>
    <row r="11917" hidden="1" x14ac:dyDescent="0.15"/>
    <row r="11918" hidden="1" x14ac:dyDescent="0.15"/>
    <row r="11919" hidden="1" x14ac:dyDescent="0.15"/>
    <row r="11920" hidden="1" x14ac:dyDescent="0.15"/>
    <row r="11921" hidden="1" x14ac:dyDescent="0.15"/>
    <row r="11922" hidden="1" x14ac:dyDescent="0.15"/>
    <row r="11923" hidden="1" x14ac:dyDescent="0.15"/>
    <row r="11924" hidden="1" x14ac:dyDescent="0.15"/>
    <row r="11925" hidden="1" x14ac:dyDescent="0.15"/>
    <row r="11926" hidden="1" x14ac:dyDescent="0.15"/>
    <row r="11927" hidden="1" x14ac:dyDescent="0.15"/>
    <row r="11928" hidden="1" x14ac:dyDescent="0.15"/>
    <row r="11929" hidden="1" x14ac:dyDescent="0.15"/>
    <row r="11930" hidden="1" x14ac:dyDescent="0.15"/>
    <row r="11931" hidden="1" x14ac:dyDescent="0.15"/>
    <row r="11932" hidden="1" x14ac:dyDescent="0.15"/>
    <row r="11933" hidden="1" x14ac:dyDescent="0.15"/>
    <row r="11934" hidden="1" x14ac:dyDescent="0.15"/>
    <row r="11935" hidden="1" x14ac:dyDescent="0.15"/>
    <row r="11936" hidden="1" x14ac:dyDescent="0.15"/>
    <row r="11937" hidden="1" x14ac:dyDescent="0.15"/>
    <row r="11938" hidden="1" x14ac:dyDescent="0.15"/>
    <row r="11939" hidden="1" x14ac:dyDescent="0.15"/>
    <row r="11940" hidden="1" x14ac:dyDescent="0.15"/>
    <row r="11941" hidden="1" x14ac:dyDescent="0.15"/>
    <row r="11942" hidden="1" x14ac:dyDescent="0.15"/>
    <row r="11943" hidden="1" x14ac:dyDescent="0.15"/>
    <row r="11944" hidden="1" x14ac:dyDescent="0.15"/>
    <row r="11945" hidden="1" x14ac:dyDescent="0.15"/>
    <row r="11946" hidden="1" x14ac:dyDescent="0.15"/>
    <row r="11947" hidden="1" x14ac:dyDescent="0.15"/>
    <row r="11948" hidden="1" x14ac:dyDescent="0.15"/>
    <row r="11949" hidden="1" x14ac:dyDescent="0.15"/>
    <row r="11950" hidden="1" x14ac:dyDescent="0.15"/>
    <row r="11951" hidden="1" x14ac:dyDescent="0.15"/>
    <row r="11952" hidden="1" x14ac:dyDescent="0.15"/>
    <row r="11953" hidden="1" x14ac:dyDescent="0.15"/>
    <row r="11954" hidden="1" x14ac:dyDescent="0.15"/>
    <row r="11955" hidden="1" x14ac:dyDescent="0.15"/>
    <row r="11956" hidden="1" x14ac:dyDescent="0.15"/>
    <row r="11957" hidden="1" x14ac:dyDescent="0.15"/>
    <row r="11958" hidden="1" x14ac:dyDescent="0.15"/>
    <row r="11959" hidden="1" x14ac:dyDescent="0.15"/>
    <row r="11960" hidden="1" x14ac:dyDescent="0.15"/>
    <row r="11961" hidden="1" x14ac:dyDescent="0.15"/>
    <row r="11962" hidden="1" x14ac:dyDescent="0.15"/>
    <row r="11963" hidden="1" x14ac:dyDescent="0.15"/>
    <row r="11964" hidden="1" x14ac:dyDescent="0.15"/>
    <row r="11965" hidden="1" x14ac:dyDescent="0.15"/>
    <row r="11966" hidden="1" x14ac:dyDescent="0.15"/>
    <row r="11967" hidden="1" x14ac:dyDescent="0.15"/>
    <row r="11968" hidden="1" x14ac:dyDescent="0.15"/>
    <row r="11969" hidden="1" x14ac:dyDescent="0.15"/>
    <row r="11970" hidden="1" x14ac:dyDescent="0.15"/>
    <row r="11971" hidden="1" x14ac:dyDescent="0.15"/>
    <row r="11972" hidden="1" x14ac:dyDescent="0.15"/>
    <row r="11973" hidden="1" x14ac:dyDescent="0.15"/>
    <row r="11974" hidden="1" x14ac:dyDescent="0.15"/>
    <row r="11975" hidden="1" x14ac:dyDescent="0.15"/>
    <row r="11976" hidden="1" x14ac:dyDescent="0.15"/>
    <row r="11977" hidden="1" x14ac:dyDescent="0.15"/>
    <row r="11978" hidden="1" x14ac:dyDescent="0.15"/>
    <row r="11979" hidden="1" x14ac:dyDescent="0.15"/>
    <row r="11980" hidden="1" x14ac:dyDescent="0.15"/>
    <row r="11981" hidden="1" x14ac:dyDescent="0.15"/>
    <row r="11982" hidden="1" x14ac:dyDescent="0.15"/>
    <row r="11983" hidden="1" x14ac:dyDescent="0.15"/>
    <row r="11984" hidden="1" x14ac:dyDescent="0.15"/>
    <row r="11985" hidden="1" x14ac:dyDescent="0.15"/>
    <row r="11986" hidden="1" x14ac:dyDescent="0.15"/>
    <row r="11987" hidden="1" x14ac:dyDescent="0.15"/>
    <row r="11988" hidden="1" x14ac:dyDescent="0.15"/>
    <row r="11989" hidden="1" x14ac:dyDescent="0.15"/>
    <row r="11990" hidden="1" x14ac:dyDescent="0.15"/>
    <row r="11991" hidden="1" x14ac:dyDescent="0.15"/>
    <row r="11992" hidden="1" x14ac:dyDescent="0.15"/>
    <row r="11993" hidden="1" x14ac:dyDescent="0.15"/>
    <row r="11994" hidden="1" x14ac:dyDescent="0.15"/>
    <row r="11995" hidden="1" x14ac:dyDescent="0.15"/>
    <row r="11996" hidden="1" x14ac:dyDescent="0.15"/>
    <row r="11997" hidden="1" x14ac:dyDescent="0.15"/>
    <row r="11998" hidden="1" x14ac:dyDescent="0.15"/>
    <row r="11999" hidden="1" x14ac:dyDescent="0.15"/>
    <row r="12000" hidden="1" x14ac:dyDescent="0.15"/>
    <row r="12001" hidden="1" x14ac:dyDescent="0.15"/>
    <row r="12002" hidden="1" x14ac:dyDescent="0.15"/>
    <row r="12003" hidden="1" x14ac:dyDescent="0.15"/>
    <row r="12004" hidden="1" x14ac:dyDescent="0.15"/>
    <row r="12005" hidden="1" x14ac:dyDescent="0.15"/>
    <row r="12006" hidden="1" x14ac:dyDescent="0.15"/>
    <row r="12007" hidden="1" x14ac:dyDescent="0.15"/>
    <row r="12008" hidden="1" x14ac:dyDescent="0.15"/>
    <row r="12009" hidden="1" x14ac:dyDescent="0.15"/>
    <row r="12010" hidden="1" x14ac:dyDescent="0.15"/>
    <row r="12011" hidden="1" x14ac:dyDescent="0.15"/>
    <row r="12012" hidden="1" x14ac:dyDescent="0.15"/>
    <row r="12013" hidden="1" x14ac:dyDescent="0.15"/>
    <row r="12014" hidden="1" x14ac:dyDescent="0.15"/>
    <row r="12015" hidden="1" x14ac:dyDescent="0.15"/>
    <row r="12016" hidden="1" x14ac:dyDescent="0.15"/>
    <row r="12017" hidden="1" x14ac:dyDescent="0.15"/>
    <row r="12018" hidden="1" x14ac:dyDescent="0.15"/>
    <row r="12019" hidden="1" x14ac:dyDescent="0.15"/>
    <row r="12020" hidden="1" x14ac:dyDescent="0.15"/>
    <row r="12021" hidden="1" x14ac:dyDescent="0.15"/>
    <row r="12022" hidden="1" x14ac:dyDescent="0.15"/>
    <row r="12023" hidden="1" x14ac:dyDescent="0.15"/>
    <row r="12024" hidden="1" x14ac:dyDescent="0.15"/>
    <row r="12025" hidden="1" x14ac:dyDescent="0.15"/>
    <row r="12026" hidden="1" x14ac:dyDescent="0.15"/>
    <row r="12027" hidden="1" x14ac:dyDescent="0.15"/>
    <row r="12028" hidden="1" x14ac:dyDescent="0.15"/>
    <row r="12029" hidden="1" x14ac:dyDescent="0.15"/>
    <row r="12030" hidden="1" x14ac:dyDescent="0.15"/>
    <row r="12031" hidden="1" x14ac:dyDescent="0.15"/>
    <row r="12032" hidden="1" x14ac:dyDescent="0.15"/>
    <row r="12033" hidden="1" x14ac:dyDescent="0.15"/>
    <row r="12034" hidden="1" x14ac:dyDescent="0.15"/>
    <row r="12035" hidden="1" x14ac:dyDescent="0.15"/>
    <row r="12036" hidden="1" x14ac:dyDescent="0.15"/>
    <row r="12037" hidden="1" x14ac:dyDescent="0.15"/>
    <row r="12038" hidden="1" x14ac:dyDescent="0.15"/>
    <row r="12039" hidden="1" x14ac:dyDescent="0.15"/>
    <row r="12040" hidden="1" x14ac:dyDescent="0.15"/>
    <row r="12041" hidden="1" x14ac:dyDescent="0.15"/>
    <row r="12042" hidden="1" x14ac:dyDescent="0.15"/>
    <row r="12043" hidden="1" x14ac:dyDescent="0.15"/>
    <row r="12044" hidden="1" x14ac:dyDescent="0.15"/>
    <row r="12045" hidden="1" x14ac:dyDescent="0.15"/>
    <row r="12046" hidden="1" x14ac:dyDescent="0.15"/>
    <row r="12047" hidden="1" x14ac:dyDescent="0.15"/>
    <row r="12048" hidden="1" x14ac:dyDescent="0.15"/>
    <row r="12049" hidden="1" x14ac:dyDescent="0.15"/>
    <row r="12050" hidden="1" x14ac:dyDescent="0.15"/>
    <row r="12051" hidden="1" x14ac:dyDescent="0.15"/>
    <row r="12052" hidden="1" x14ac:dyDescent="0.15"/>
    <row r="12053" hidden="1" x14ac:dyDescent="0.15"/>
    <row r="12054" hidden="1" x14ac:dyDescent="0.15"/>
    <row r="12055" hidden="1" x14ac:dyDescent="0.15"/>
    <row r="12056" hidden="1" x14ac:dyDescent="0.15"/>
    <row r="12057" hidden="1" x14ac:dyDescent="0.15"/>
    <row r="12058" hidden="1" x14ac:dyDescent="0.15"/>
    <row r="12059" hidden="1" x14ac:dyDescent="0.15"/>
    <row r="12060" hidden="1" x14ac:dyDescent="0.15"/>
    <row r="12061" hidden="1" x14ac:dyDescent="0.15"/>
    <row r="12062" hidden="1" x14ac:dyDescent="0.15"/>
    <row r="12063" hidden="1" x14ac:dyDescent="0.15"/>
    <row r="12064" hidden="1" x14ac:dyDescent="0.15"/>
    <row r="12065" hidden="1" x14ac:dyDescent="0.15"/>
    <row r="12066" hidden="1" x14ac:dyDescent="0.15"/>
    <row r="12067" hidden="1" x14ac:dyDescent="0.15"/>
    <row r="12068" hidden="1" x14ac:dyDescent="0.15"/>
    <row r="12069" hidden="1" x14ac:dyDescent="0.15"/>
    <row r="12070" hidden="1" x14ac:dyDescent="0.15"/>
    <row r="12071" hidden="1" x14ac:dyDescent="0.15"/>
    <row r="12072" hidden="1" x14ac:dyDescent="0.15"/>
    <row r="12073" hidden="1" x14ac:dyDescent="0.15"/>
    <row r="12074" hidden="1" x14ac:dyDescent="0.15"/>
    <row r="12075" hidden="1" x14ac:dyDescent="0.15"/>
    <row r="12076" hidden="1" x14ac:dyDescent="0.15"/>
    <row r="12077" hidden="1" x14ac:dyDescent="0.15"/>
    <row r="12078" hidden="1" x14ac:dyDescent="0.15"/>
    <row r="12079" hidden="1" x14ac:dyDescent="0.15"/>
    <row r="12080" hidden="1" x14ac:dyDescent="0.15"/>
    <row r="12081" hidden="1" x14ac:dyDescent="0.15"/>
    <row r="12082" hidden="1" x14ac:dyDescent="0.15"/>
    <row r="12083" hidden="1" x14ac:dyDescent="0.15"/>
    <row r="12084" hidden="1" x14ac:dyDescent="0.15"/>
    <row r="12085" hidden="1" x14ac:dyDescent="0.15"/>
    <row r="12086" hidden="1" x14ac:dyDescent="0.15"/>
    <row r="12087" hidden="1" x14ac:dyDescent="0.15"/>
    <row r="12088" hidden="1" x14ac:dyDescent="0.15"/>
    <row r="12089" hidden="1" x14ac:dyDescent="0.15"/>
    <row r="12090" hidden="1" x14ac:dyDescent="0.15"/>
    <row r="12091" hidden="1" x14ac:dyDescent="0.15"/>
    <row r="12092" hidden="1" x14ac:dyDescent="0.15"/>
    <row r="12093" hidden="1" x14ac:dyDescent="0.15"/>
    <row r="12094" hidden="1" x14ac:dyDescent="0.15"/>
    <row r="12095" hidden="1" x14ac:dyDescent="0.15"/>
    <row r="12096" hidden="1" x14ac:dyDescent="0.15"/>
    <row r="12097" hidden="1" x14ac:dyDescent="0.15"/>
    <row r="12098" hidden="1" x14ac:dyDescent="0.15"/>
    <row r="12099" hidden="1" x14ac:dyDescent="0.15"/>
    <row r="12100" hidden="1" x14ac:dyDescent="0.15"/>
    <row r="12101" hidden="1" x14ac:dyDescent="0.15"/>
    <row r="12102" hidden="1" x14ac:dyDescent="0.15"/>
    <row r="12103" hidden="1" x14ac:dyDescent="0.15"/>
    <row r="12104" hidden="1" x14ac:dyDescent="0.15"/>
    <row r="12105" hidden="1" x14ac:dyDescent="0.15"/>
    <row r="12106" hidden="1" x14ac:dyDescent="0.15"/>
    <row r="12107" hidden="1" x14ac:dyDescent="0.15"/>
    <row r="12108" hidden="1" x14ac:dyDescent="0.15"/>
    <row r="12109" hidden="1" x14ac:dyDescent="0.15"/>
    <row r="12110" hidden="1" x14ac:dyDescent="0.15"/>
    <row r="12111" hidden="1" x14ac:dyDescent="0.15"/>
    <row r="12112" hidden="1" x14ac:dyDescent="0.15"/>
    <row r="12113" hidden="1" x14ac:dyDescent="0.15"/>
    <row r="12114" hidden="1" x14ac:dyDescent="0.15"/>
    <row r="12115" hidden="1" x14ac:dyDescent="0.15"/>
    <row r="12116" hidden="1" x14ac:dyDescent="0.15"/>
    <row r="12117" hidden="1" x14ac:dyDescent="0.15"/>
    <row r="12118" hidden="1" x14ac:dyDescent="0.15"/>
    <row r="12119" hidden="1" x14ac:dyDescent="0.15"/>
    <row r="12120" hidden="1" x14ac:dyDescent="0.15"/>
    <row r="12121" hidden="1" x14ac:dyDescent="0.15"/>
    <row r="12122" hidden="1" x14ac:dyDescent="0.15"/>
    <row r="12123" hidden="1" x14ac:dyDescent="0.15"/>
    <row r="12124" hidden="1" x14ac:dyDescent="0.15"/>
    <row r="12125" hidden="1" x14ac:dyDescent="0.15"/>
    <row r="12126" hidden="1" x14ac:dyDescent="0.15"/>
    <row r="12127" hidden="1" x14ac:dyDescent="0.15"/>
    <row r="12128" hidden="1" x14ac:dyDescent="0.15"/>
    <row r="12129" hidden="1" x14ac:dyDescent="0.15"/>
    <row r="12130" hidden="1" x14ac:dyDescent="0.15"/>
    <row r="12131" hidden="1" x14ac:dyDescent="0.15"/>
    <row r="12132" hidden="1" x14ac:dyDescent="0.15"/>
    <row r="12133" hidden="1" x14ac:dyDescent="0.15"/>
    <row r="12134" hidden="1" x14ac:dyDescent="0.15"/>
    <row r="12135" hidden="1" x14ac:dyDescent="0.15"/>
    <row r="12136" hidden="1" x14ac:dyDescent="0.15"/>
    <row r="12137" hidden="1" x14ac:dyDescent="0.15"/>
    <row r="12138" hidden="1" x14ac:dyDescent="0.15"/>
    <row r="12139" hidden="1" x14ac:dyDescent="0.15"/>
    <row r="12140" hidden="1" x14ac:dyDescent="0.15"/>
    <row r="12141" hidden="1" x14ac:dyDescent="0.15"/>
    <row r="12142" hidden="1" x14ac:dyDescent="0.15"/>
    <row r="12143" hidden="1" x14ac:dyDescent="0.15"/>
    <row r="12144" hidden="1" x14ac:dyDescent="0.15"/>
    <row r="12145" hidden="1" x14ac:dyDescent="0.15"/>
    <row r="12146" hidden="1" x14ac:dyDescent="0.15"/>
    <row r="12147" hidden="1" x14ac:dyDescent="0.15"/>
    <row r="12148" hidden="1" x14ac:dyDescent="0.15"/>
    <row r="12149" hidden="1" x14ac:dyDescent="0.15"/>
    <row r="12150" hidden="1" x14ac:dyDescent="0.15"/>
    <row r="12151" hidden="1" x14ac:dyDescent="0.15"/>
    <row r="12152" hidden="1" x14ac:dyDescent="0.15"/>
    <row r="12153" hidden="1" x14ac:dyDescent="0.15"/>
    <row r="12154" hidden="1" x14ac:dyDescent="0.15"/>
    <row r="12155" hidden="1" x14ac:dyDescent="0.15"/>
    <row r="12156" hidden="1" x14ac:dyDescent="0.15"/>
    <row r="12157" hidden="1" x14ac:dyDescent="0.15"/>
    <row r="12158" hidden="1" x14ac:dyDescent="0.15"/>
    <row r="12159" hidden="1" x14ac:dyDescent="0.15"/>
    <row r="12160" hidden="1" x14ac:dyDescent="0.15"/>
    <row r="12161" hidden="1" x14ac:dyDescent="0.15"/>
    <row r="12162" hidden="1" x14ac:dyDescent="0.15"/>
    <row r="12163" hidden="1" x14ac:dyDescent="0.15"/>
    <row r="12164" hidden="1" x14ac:dyDescent="0.15"/>
    <row r="12165" hidden="1" x14ac:dyDescent="0.15"/>
    <row r="12166" hidden="1" x14ac:dyDescent="0.15"/>
    <row r="12167" hidden="1" x14ac:dyDescent="0.15"/>
    <row r="12168" hidden="1" x14ac:dyDescent="0.15"/>
    <row r="12169" hidden="1" x14ac:dyDescent="0.15"/>
    <row r="12170" hidden="1" x14ac:dyDescent="0.15"/>
    <row r="12171" hidden="1" x14ac:dyDescent="0.15"/>
    <row r="12172" hidden="1" x14ac:dyDescent="0.15"/>
    <row r="12173" hidden="1" x14ac:dyDescent="0.15"/>
    <row r="12174" hidden="1" x14ac:dyDescent="0.15"/>
    <row r="12175" hidden="1" x14ac:dyDescent="0.15"/>
    <row r="12176" hidden="1" x14ac:dyDescent="0.15"/>
    <row r="12177" hidden="1" x14ac:dyDescent="0.15"/>
    <row r="12178" hidden="1" x14ac:dyDescent="0.15"/>
    <row r="12179" hidden="1" x14ac:dyDescent="0.15"/>
    <row r="12180" hidden="1" x14ac:dyDescent="0.15"/>
    <row r="12181" hidden="1" x14ac:dyDescent="0.15"/>
    <row r="12182" hidden="1" x14ac:dyDescent="0.15"/>
    <row r="12183" hidden="1" x14ac:dyDescent="0.15"/>
    <row r="12184" hidden="1" x14ac:dyDescent="0.15"/>
    <row r="12185" hidden="1" x14ac:dyDescent="0.15"/>
    <row r="12186" hidden="1" x14ac:dyDescent="0.15"/>
    <row r="12187" hidden="1" x14ac:dyDescent="0.15"/>
    <row r="12188" hidden="1" x14ac:dyDescent="0.15"/>
    <row r="12189" hidden="1" x14ac:dyDescent="0.15"/>
    <row r="12190" hidden="1" x14ac:dyDescent="0.15"/>
    <row r="12191" hidden="1" x14ac:dyDescent="0.15"/>
    <row r="12192" hidden="1" x14ac:dyDescent="0.15"/>
    <row r="12193" hidden="1" x14ac:dyDescent="0.15"/>
    <row r="12194" hidden="1" x14ac:dyDescent="0.15"/>
    <row r="12195" hidden="1" x14ac:dyDescent="0.15"/>
    <row r="12196" hidden="1" x14ac:dyDescent="0.15"/>
    <row r="12197" hidden="1" x14ac:dyDescent="0.15"/>
    <row r="12198" hidden="1" x14ac:dyDescent="0.15"/>
    <row r="12199" hidden="1" x14ac:dyDescent="0.15"/>
    <row r="12200" hidden="1" x14ac:dyDescent="0.15"/>
    <row r="12201" hidden="1" x14ac:dyDescent="0.15"/>
    <row r="12202" hidden="1" x14ac:dyDescent="0.15"/>
    <row r="12203" hidden="1" x14ac:dyDescent="0.15"/>
    <row r="12204" hidden="1" x14ac:dyDescent="0.15"/>
    <row r="12205" hidden="1" x14ac:dyDescent="0.15"/>
    <row r="12206" hidden="1" x14ac:dyDescent="0.15"/>
    <row r="12207" hidden="1" x14ac:dyDescent="0.15"/>
    <row r="12208" hidden="1" x14ac:dyDescent="0.15"/>
    <row r="12209" hidden="1" x14ac:dyDescent="0.15"/>
    <row r="12210" hidden="1" x14ac:dyDescent="0.15"/>
    <row r="12211" hidden="1" x14ac:dyDescent="0.15"/>
    <row r="12212" hidden="1" x14ac:dyDescent="0.15"/>
    <row r="12213" hidden="1" x14ac:dyDescent="0.15"/>
    <row r="12214" hidden="1" x14ac:dyDescent="0.15"/>
    <row r="12215" hidden="1" x14ac:dyDescent="0.15"/>
    <row r="12216" hidden="1" x14ac:dyDescent="0.15"/>
    <row r="12217" hidden="1" x14ac:dyDescent="0.15"/>
    <row r="12218" hidden="1" x14ac:dyDescent="0.15"/>
    <row r="12219" hidden="1" x14ac:dyDescent="0.15"/>
    <row r="12220" hidden="1" x14ac:dyDescent="0.15"/>
    <row r="12221" hidden="1" x14ac:dyDescent="0.15"/>
    <row r="12222" hidden="1" x14ac:dyDescent="0.15"/>
    <row r="12223" hidden="1" x14ac:dyDescent="0.15"/>
    <row r="12224" hidden="1" x14ac:dyDescent="0.15"/>
    <row r="12225" hidden="1" x14ac:dyDescent="0.15"/>
    <row r="12226" hidden="1" x14ac:dyDescent="0.15"/>
    <row r="12227" hidden="1" x14ac:dyDescent="0.15"/>
    <row r="12228" hidden="1" x14ac:dyDescent="0.15"/>
    <row r="12229" hidden="1" x14ac:dyDescent="0.15"/>
    <row r="12230" hidden="1" x14ac:dyDescent="0.15"/>
    <row r="12231" hidden="1" x14ac:dyDescent="0.15"/>
    <row r="12232" hidden="1" x14ac:dyDescent="0.15"/>
    <row r="12233" hidden="1" x14ac:dyDescent="0.15"/>
    <row r="12234" hidden="1" x14ac:dyDescent="0.15"/>
    <row r="12235" hidden="1" x14ac:dyDescent="0.15"/>
    <row r="12236" hidden="1" x14ac:dyDescent="0.15"/>
    <row r="12237" hidden="1" x14ac:dyDescent="0.15"/>
    <row r="12238" hidden="1" x14ac:dyDescent="0.15"/>
    <row r="12239" hidden="1" x14ac:dyDescent="0.15"/>
    <row r="12240" hidden="1" x14ac:dyDescent="0.15"/>
    <row r="12241" hidden="1" x14ac:dyDescent="0.15"/>
    <row r="12242" hidden="1" x14ac:dyDescent="0.15"/>
    <row r="12243" hidden="1" x14ac:dyDescent="0.15"/>
    <row r="12244" hidden="1" x14ac:dyDescent="0.15"/>
    <row r="12245" hidden="1" x14ac:dyDescent="0.15"/>
    <row r="12246" hidden="1" x14ac:dyDescent="0.15"/>
    <row r="12247" hidden="1" x14ac:dyDescent="0.15"/>
    <row r="12248" hidden="1" x14ac:dyDescent="0.15"/>
    <row r="12249" hidden="1" x14ac:dyDescent="0.15"/>
    <row r="12250" hidden="1" x14ac:dyDescent="0.15"/>
    <row r="12251" hidden="1" x14ac:dyDescent="0.15"/>
    <row r="12252" hidden="1" x14ac:dyDescent="0.15"/>
    <row r="12253" hidden="1" x14ac:dyDescent="0.15"/>
    <row r="12254" hidden="1" x14ac:dyDescent="0.15"/>
    <row r="12255" hidden="1" x14ac:dyDescent="0.15"/>
    <row r="12256" hidden="1" x14ac:dyDescent="0.15"/>
    <row r="12257" hidden="1" x14ac:dyDescent="0.15"/>
    <row r="12258" hidden="1" x14ac:dyDescent="0.15"/>
    <row r="12259" hidden="1" x14ac:dyDescent="0.15"/>
    <row r="12260" hidden="1" x14ac:dyDescent="0.15"/>
    <row r="12261" hidden="1" x14ac:dyDescent="0.15"/>
    <row r="12262" hidden="1" x14ac:dyDescent="0.15"/>
    <row r="12263" hidden="1" x14ac:dyDescent="0.15"/>
    <row r="12264" hidden="1" x14ac:dyDescent="0.15"/>
    <row r="12265" hidden="1" x14ac:dyDescent="0.15"/>
    <row r="12266" hidden="1" x14ac:dyDescent="0.15"/>
    <row r="12267" hidden="1" x14ac:dyDescent="0.15"/>
    <row r="12268" hidden="1" x14ac:dyDescent="0.15"/>
    <row r="12269" hidden="1" x14ac:dyDescent="0.15"/>
    <row r="12270" hidden="1" x14ac:dyDescent="0.15"/>
    <row r="12271" hidden="1" x14ac:dyDescent="0.15"/>
    <row r="12272" hidden="1" x14ac:dyDescent="0.15"/>
    <row r="12273" hidden="1" x14ac:dyDescent="0.15"/>
    <row r="12274" hidden="1" x14ac:dyDescent="0.15"/>
    <row r="12275" hidden="1" x14ac:dyDescent="0.15"/>
    <row r="12276" hidden="1" x14ac:dyDescent="0.15"/>
    <row r="12277" hidden="1" x14ac:dyDescent="0.15"/>
    <row r="12278" hidden="1" x14ac:dyDescent="0.15"/>
    <row r="12279" hidden="1" x14ac:dyDescent="0.15"/>
    <row r="12280" hidden="1" x14ac:dyDescent="0.15"/>
    <row r="12281" hidden="1" x14ac:dyDescent="0.15"/>
    <row r="12282" hidden="1" x14ac:dyDescent="0.15"/>
    <row r="12283" hidden="1" x14ac:dyDescent="0.15"/>
    <row r="12284" hidden="1" x14ac:dyDescent="0.15"/>
    <row r="12285" hidden="1" x14ac:dyDescent="0.15"/>
    <row r="12286" hidden="1" x14ac:dyDescent="0.15"/>
    <row r="12287" hidden="1" x14ac:dyDescent="0.15"/>
    <row r="12288" hidden="1" x14ac:dyDescent="0.15"/>
    <row r="12289" hidden="1" x14ac:dyDescent="0.15"/>
    <row r="12290" hidden="1" x14ac:dyDescent="0.15"/>
    <row r="12291" hidden="1" x14ac:dyDescent="0.15"/>
    <row r="12292" hidden="1" x14ac:dyDescent="0.15"/>
    <row r="12293" hidden="1" x14ac:dyDescent="0.15"/>
    <row r="12294" hidden="1" x14ac:dyDescent="0.15"/>
    <row r="12295" hidden="1" x14ac:dyDescent="0.15"/>
    <row r="12296" hidden="1" x14ac:dyDescent="0.15"/>
    <row r="12297" hidden="1" x14ac:dyDescent="0.15"/>
    <row r="12298" hidden="1" x14ac:dyDescent="0.15"/>
    <row r="12299" hidden="1" x14ac:dyDescent="0.15"/>
    <row r="12300" hidden="1" x14ac:dyDescent="0.15"/>
    <row r="12301" hidden="1" x14ac:dyDescent="0.15"/>
    <row r="12302" hidden="1" x14ac:dyDescent="0.15"/>
    <row r="12303" hidden="1" x14ac:dyDescent="0.15"/>
    <row r="12304" hidden="1" x14ac:dyDescent="0.15"/>
    <row r="12305" hidden="1" x14ac:dyDescent="0.15"/>
    <row r="12306" hidden="1" x14ac:dyDescent="0.15"/>
    <row r="12307" hidden="1" x14ac:dyDescent="0.15"/>
    <row r="12308" hidden="1" x14ac:dyDescent="0.15"/>
    <row r="12309" hidden="1" x14ac:dyDescent="0.15"/>
    <row r="12310" hidden="1" x14ac:dyDescent="0.15"/>
    <row r="12311" hidden="1" x14ac:dyDescent="0.15"/>
    <row r="12312" hidden="1" x14ac:dyDescent="0.15"/>
    <row r="12313" hidden="1" x14ac:dyDescent="0.15"/>
    <row r="12314" hidden="1" x14ac:dyDescent="0.15"/>
    <row r="12315" hidden="1" x14ac:dyDescent="0.15"/>
    <row r="12316" hidden="1" x14ac:dyDescent="0.15"/>
    <row r="12317" hidden="1" x14ac:dyDescent="0.15"/>
    <row r="12318" hidden="1" x14ac:dyDescent="0.15"/>
    <row r="12319" hidden="1" x14ac:dyDescent="0.15"/>
    <row r="12320" hidden="1" x14ac:dyDescent="0.15"/>
    <row r="12321" hidden="1" x14ac:dyDescent="0.15"/>
    <row r="12322" hidden="1" x14ac:dyDescent="0.15"/>
    <row r="12323" hidden="1" x14ac:dyDescent="0.15"/>
    <row r="12324" hidden="1" x14ac:dyDescent="0.15"/>
    <row r="12325" hidden="1" x14ac:dyDescent="0.15"/>
    <row r="12326" hidden="1" x14ac:dyDescent="0.15"/>
    <row r="12327" hidden="1" x14ac:dyDescent="0.15"/>
    <row r="12328" hidden="1" x14ac:dyDescent="0.15"/>
    <row r="12329" hidden="1" x14ac:dyDescent="0.15"/>
    <row r="12330" hidden="1" x14ac:dyDescent="0.15"/>
    <row r="12331" hidden="1" x14ac:dyDescent="0.15"/>
    <row r="12332" hidden="1" x14ac:dyDescent="0.15"/>
    <row r="12333" hidden="1" x14ac:dyDescent="0.15"/>
    <row r="12334" hidden="1" x14ac:dyDescent="0.15"/>
    <row r="12335" hidden="1" x14ac:dyDescent="0.15"/>
    <row r="12336" hidden="1" x14ac:dyDescent="0.15"/>
    <row r="12337" hidden="1" x14ac:dyDescent="0.15"/>
    <row r="12338" hidden="1" x14ac:dyDescent="0.15"/>
    <row r="12339" hidden="1" x14ac:dyDescent="0.15"/>
    <row r="12340" hidden="1" x14ac:dyDescent="0.15"/>
    <row r="12341" hidden="1" x14ac:dyDescent="0.15"/>
    <row r="12342" hidden="1" x14ac:dyDescent="0.15"/>
    <row r="12343" hidden="1" x14ac:dyDescent="0.15"/>
    <row r="12344" hidden="1" x14ac:dyDescent="0.15"/>
    <row r="12345" hidden="1" x14ac:dyDescent="0.15"/>
    <row r="12346" hidden="1" x14ac:dyDescent="0.15"/>
    <row r="12347" hidden="1" x14ac:dyDescent="0.15"/>
    <row r="12348" hidden="1" x14ac:dyDescent="0.15"/>
    <row r="12349" hidden="1" x14ac:dyDescent="0.15"/>
    <row r="12350" hidden="1" x14ac:dyDescent="0.15"/>
    <row r="12351" hidden="1" x14ac:dyDescent="0.15"/>
    <row r="12352" hidden="1" x14ac:dyDescent="0.15"/>
    <row r="12353" hidden="1" x14ac:dyDescent="0.15"/>
    <row r="12354" hidden="1" x14ac:dyDescent="0.15"/>
    <row r="12355" hidden="1" x14ac:dyDescent="0.15"/>
    <row r="12356" hidden="1" x14ac:dyDescent="0.15"/>
    <row r="12357" hidden="1" x14ac:dyDescent="0.15"/>
    <row r="12358" hidden="1" x14ac:dyDescent="0.15"/>
    <row r="12359" hidden="1" x14ac:dyDescent="0.15"/>
    <row r="12360" hidden="1" x14ac:dyDescent="0.15"/>
    <row r="12361" hidden="1" x14ac:dyDescent="0.15"/>
    <row r="12362" hidden="1" x14ac:dyDescent="0.15"/>
    <row r="12363" hidden="1" x14ac:dyDescent="0.15"/>
    <row r="12364" hidden="1" x14ac:dyDescent="0.15"/>
    <row r="12365" hidden="1" x14ac:dyDescent="0.15"/>
    <row r="12366" hidden="1" x14ac:dyDescent="0.15"/>
    <row r="12367" hidden="1" x14ac:dyDescent="0.15"/>
    <row r="12368" hidden="1" x14ac:dyDescent="0.15"/>
    <row r="12369" hidden="1" x14ac:dyDescent="0.15"/>
    <row r="12370" hidden="1" x14ac:dyDescent="0.15"/>
    <row r="12371" hidden="1" x14ac:dyDescent="0.15"/>
    <row r="12372" hidden="1" x14ac:dyDescent="0.15"/>
    <row r="12373" hidden="1" x14ac:dyDescent="0.15"/>
    <row r="12374" hidden="1" x14ac:dyDescent="0.15"/>
    <row r="12375" hidden="1" x14ac:dyDescent="0.15"/>
    <row r="12376" hidden="1" x14ac:dyDescent="0.15"/>
    <row r="12377" hidden="1" x14ac:dyDescent="0.15"/>
    <row r="12378" hidden="1" x14ac:dyDescent="0.15"/>
    <row r="12379" hidden="1" x14ac:dyDescent="0.15"/>
    <row r="12380" hidden="1" x14ac:dyDescent="0.15"/>
    <row r="12381" hidden="1" x14ac:dyDescent="0.15"/>
    <row r="12382" hidden="1" x14ac:dyDescent="0.15"/>
    <row r="12383" hidden="1" x14ac:dyDescent="0.15"/>
    <row r="12384" hidden="1" x14ac:dyDescent="0.15"/>
    <row r="12385" hidden="1" x14ac:dyDescent="0.15"/>
    <row r="12386" hidden="1" x14ac:dyDescent="0.15"/>
    <row r="12387" hidden="1" x14ac:dyDescent="0.15"/>
    <row r="12388" hidden="1" x14ac:dyDescent="0.15"/>
    <row r="12389" hidden="1" x14ac:dyDescent="0.15"/>
    <row r="12390" hidden="1" x14ac:dyDescent="0.15"/>
    <row r="12391" hidden="1" x14ac:dyDescent="0.15"/>
    <row r="12392" hidden="1" x14ac:dyDescent="0.15"/>
    <row r="12393" hidden="1" x14ac:dyDescent="0.15"/>
    <row r="12394" hidden="1" x14ac:dyDescent="0.15"/>
    <row r="12395" hidden="1" x14ac:dyDescent="0.15"/>
    <row r="12396" hidden="1" x14ac:dyDescent="0.15"/>
    <row r="12397" hidden="1" x14ac:dyDescent="0.15"/>
    <row r="12398" hidden="1" x14ac:dyDescent="0.15"/>
    <row r="12399" hidden="1" x14ac:dyDescent="0.15"/>
    <row r="12400" hidden="1" x14ac:dyDescent="0.15"/>
    <row r="12401" hidden="1" x14ac:dyDescent="0.15"/>
    <row r="12402" hidden="1" x14ac:dyDescent="0.15"/>
    <row r="12403" hidden="1" x14ac:dyDescent="0.15"/>
    <row r="12404" hidden="1" x14ac:dyDescent="0.15"/>
    <row r="12405" hidden="1" x14ac:dyDescent="0.15"/>
    <row r="12406" hidden="1" x14ac:dyDescent="0.15"/>
    <row r="12407" hidden="1" x14ac:dyDescent="0.15"/>
    <row r="12408" hidden="1" x14ac:dyDescent="0.15"/>
    <row r="12409" hidden="1" x14ac:dyDescent="0.15"/>
    <row r="12410" hidden="1" x14ac:dyDescent="0.15"/>
    <row r="12411" hidden="1" x14ac:dyDescent="0.15"/>
    <row r="12412" hidden="1" x14ac:dyDescent="0.15"/>
    <row r="12413" hidden="1" x14ac:dyDescent="0.15"/>
    <row r="12414" hidden="1" x14ac:dyDescent="0.15"/>
    <row r="12415" hidden="1" x14ac:dyDescent="0.15"/>
    <row r="12416" hidden="1" x14ac:dyDescent="0.15"/>
    <row r="12417" hidden="1" x14ac:dyDescent="0.15"/>
    <row r="12418" hidden="1" x14ac:dyDescent="0.15"/>
    <row r="12419" hidden="1" x14ac:dyDescent="0.15"/>
    <row r="12420" hidden="1" x14ac:dyDescent="0.15"/>
    <row r="12421" hidden="1" x14ac:dyDescent="0.15"/>
    <row r="12422" hidden="1" x14ac:dyDescent="0.15"/>
    <row r="12423" hidden="1" x14ac:dyDescent="0.15"/>
    <row r="12424" hidden="1" x14ac:dyDescent="0.15"/>
    <row r="12425" hidden="1" x14ac:dyDescent="0.15"/>
    <row r="12426" hidden="1" x14ac:dyDescent="0.15"/>
    <row r="12427" hidden="1" x14ac:dyDescent="0.15"/>
    <row r="12428" hidden="1" x14ac:dyDescent="0.15"/>
    <row r="12429" hidden="1" x14ac:dyDescent="0.15"/>
    <row r="12430" hidden="1" x14ac:dyDescent="0.15"/>
    <row r="12431" hidden="1" x14ac:dyDescent="0.15"/>
    <row r="12432" hidden="1" x14ac:dyDescent="0.15"/>
    <row r="12433" hidden="1" x14ac:dyDescent="0.15"/>
    <row r="12434" hidden="1" x14ac:dyDescent="0.15"/>
    <row r="12435" hidden="1" x14ac:dyDescent="0.15"/>
    <row r="12436" hidden="1" x14ac:dyDescent="0.15"/>
    <row r="12437" hidden="1" x14ac:dyDescent="0.15"/>
    <row r="12438" hidden="1" x14ac:dyDescent="0.15"/>
    <row r="12439" hidden="1" x14ac:dyDescent="0.15"/>
    <row r="12440" hidden="1" x14ac:dyDescent="0.15"/>
    <row r="12441" hidden="1" x14ac:dyDescent="0.15"/>
    <row r="12442" hidden="1" x14ac:dyDescent="0.15"/>
    <row r="12443" hidden="1" x14ac:dyDescent="0.15"/>
    <row r="12444" hidden="1" x14ac:dyDescent="0.15"/>
    <row r="12445" hidden="1" x14ac:dyDescent="0.15"/>
    <row r="12446" hidden="1" x14ac:dyDescent="0.15"/>
    <row r="12447" hidden="1" x14ac:dyDescent="0.15"/>
    <row r="12448" hidden="1" x14ac:dyDescent="0.15"/>
    <row r="12449" hidden="1" x14ac:dyDescent="0.15"/>
    <row r="12450" hidden="1" x14ac:dyDescent="0.15"/>
    <row r="12451" hidden="1" x14ac:dyDescent="0.15"/>
    <row r="12452" hidden="1" x14ac:dyDescent="0.15"/>
    <row r="12453" hidden="1" x14ac:dyDescent="0.15"/>
    <row r="12454" hidden="1" x14ac:dyDescent="0.15"/>
    <row r="12455" hidden="1" x14ac:dyDescent="0.15"/>
    <row r="12456" hidden="1" x14ac:dyDescent="0.15"/>
    <row r="12457" hidden="1" x14ac:dyDescent="0.15"/>
    <row r="12458" hidden="1" x14ac:dyDescent="0.15"/>
    <row r="12459" hidden="1" x14ac:dyDescent="0.15"/>
    <row r="12460" hidden="1" x14ac:dyDescent="0.15"/>
    <row r="12461" hidden="1" x14ac:dyDescent="0.15"/>
    <row r="12462" hidden="1" x14ac:dyDescent="0.15"/>
    <row r="12463" hidden="1" x14ac:dyDescent="0.15"/>
    <row r="12464" hidden="1" x14ac:dyDescent="0.15"/>
    <row r="12465" hidden="1" x14ac:dyDescent="0.15"/>
    <row r="12466" hidden="1" x14ac:dyDescent="0.15"/>
    <row r="12467" hidden="1" x14ac:dyDescent="0.15"/>
    <row r="12468" hidden="1" x14ac:dyDescent="0.15"/>
    <row r="12469" hidden="1" x14ac:dyDescent="0.15"/>
    <row r="12470" hidden="1" x14ac:dyDescent="0.15"/>
    <row r="12471" hidden="1" x14ac:dyDescent="0.15"/>
    <row r="12472" hidden="1" x14ac:dyDescent="0.15"/>
    <row r="12473" hidden="1" x14ac:dyDescent="0.15"/>
    <row r="12474" hidden="1" x14ac:dyDescent="0.15"/>
    <row r="12475" hidden="1" x14ac:dyDescent="0.15"/>
    <row r="12476" hidden="1" x14ac:dyDescent="0.15"/>
    <row r="12477" hidden="1" x14ac:dyDescent="0.15"/>
    <row r="12478" hidden="1" x14ac:dyDescent="0.15"/>
    <row r="12479" hidden="1" x14ac:dyDescent="0.15"/>
    <row r="12480" hidden="1" x14ac:dyDescent="0.15"/>
    <row r="12481" hidden="1" x14ac:dyDescent="0.15"/>
    <row r="12482" hidden="1" x14ac:dyDescent="0.15"/>
    <row r="12483" hidden="1" x14ac:dyDescent="0.15"/>
    <row r="12484" hidden="1" x14ac:dyDescent="0.15"/>
    <row r="12485" hidden="1" x14ac:dyDescent="0.15"/>
    <row r="12486" hidden="1" x14ac:dyDescent="0.15"/>
    <row r="12487" hidden="1" x14ac:dyDescent="0.15"/>
    <row r="12488" hidden="1" x14ac:dyDescent="0.15"/>
    <row r="12489" hidden="1" x14ac:dyDescent="0.15"/>
    <row r="12490" hidden="1" x14ac:dyDescent="0.15"/>
    <row r="12491" hidden="1" x14ac:dyDescent="0.15"/>
    <row r="12492" hidden="1" x14ac:dyDescent="0.15"/>
    <row r="12493" hidden="1" x14ac:dyDescent="0.15"/>
    <row r="12494" hidden="1" x14ac:dyDescent="0.15"/>
    <row r="12495" hidden="1" x14ac:dyDescent="0.15"/>
    <row r="12496" hidden="1" x14ac:dyDescent="0.15"/>
    <row r="12497" hidden="1" x14ac:dyDescent="0.15"/>
    <row r="12498" hidden="1" x14ac:dyDescent="0.15"/>
    <row r="12499" hidden="1" x14ac:dyDescent="0.15"/>
    <row r="12500" hidden="1" x14ac:dyDescent="0.15"/>
    <row r="12501" hidden="1" x14ac:dyDescent="0.15"/>
    <row r="12502" hidden="1" x14ac:dyDescent="0.15"/>
    <row r="12503" hidden="1" x14ac:dyDescent="0.15"/>
    <row r="12504" hidden="1" x14ac:dyDescent="0.15"/>
    <row r="12505" hidden="1" x14ac:dyDescent="0.15"/>
    <row r="12506" hidden="1" x14ac:dyDescent="0.15"/>
    <row r="12507" hidden="1" x14ac:dyDescent="0.15"/>
    <row r="12508" hidden="1" x14ac:dyDescent="0.15"/>
    <row r="12509" hidden="1" x14ac:dyDescent="0.15"/>
    <row r="12510" hidden="1" x14ac:dyDescent="0.15"/>
    <row r="12511" hidden="1" x14ac:dyDescent="0.15"/>
    <row r="12512" hidden="1" x14ac:dyDescent="0.15"/>
    <row r="12513" hidden="1" x14ac:dyDescent="0.15"/>
    <row r="12514" hidden="1" x14ac:dyDescent="0.15"/>
    <row r="12515" hidden="1" x14ac:dyDescent="0.15"/>
    <row r="12516" hidden="1" x14ac:dyDescent="0.15"/>
    <row r="12517" hidden="1" x14ac:dyDescent="0.15"/>
    <row r="12518" hidden="1" x14ac:dyDescent="0.15"/>
    <row r="12519" hidden="1" x14ac:dyDescent="0.15"/>
    <row r="12520" hidden="1" x14ac:dyDescent="0.15"/>
    <row r="12521" hidden="1" x14ac:dyDescent="0.15"/>
    <row r="12522" hidden="1" x14ac:dyDescent="0.15"/>
    <row r="12523" hidden="1" x14ac:dyDescent="0.15"/>
    <row r="12524" hidden="1" x14ac:dyDescent="0.15"/>
    <row r="12525" hidden="1" x14ac:dyDescent="0.15"/>
    <row r="12526" hidden="1" x14ac:dyDescent="0.15"/>
    <row r="12527" hidden="1" x14ac:dyDescent="0.15"/>
    <row r="12528" hidden="1" x14ac:dyDescent="0.15"/>
    <row r="12529" hidden="1" x14ac:dyDescent="0.15"/>
    <row r="12530" hidden="1" x14ac:dyDescent="0.15"/>
    <row r="12531" hidden="1" x14ac:dyDescent="0.15"/>
    <row r="12532" hidden="1" x14ac:dyDescent="0.15"/>
    <row r="12533" hidden="1" x14ac:dyDescent="0.15"/>
    <row r="12534" hidden="1" x14ac:dyDescent="0.15"/>
    <row r="12535" hidden="1" x14ac:dyDescent="0.15"/>
    <row r="12536" hidden="1" x14ac:dyDescent="0.15"/>
    <row r="12537" hidden="1" x14ac:dyDescent="0.15"/>
    <row r="12538" hidden="1" x14ac:dyDescent="0.15"/>
    <row r="12539" hidden="1" x14ac:dyDescent="0.15"/>
    <row r="12540" hidden="1" x14ac:dyDescent="0.15"/>
    <row r="12541" hidden="1" x14ac:dyDescent="0.15"/>
    <row r="12542" hidden="1" x14ac:dyDescent="0.15"/>
    <row r="12543" hidden="1" x14ac:dyDescent="0.15"/>
    <row r="12544" hidden="1" x14ac:dyDescent="0.15"/>
    <row r="12545" hidden="1" x14ac:dyDescent="0.15"/>
    <row r="12546" hidden="1" x14ac:dyDescent="0.15"/>
    <row r="12547" hidden="1" x14ac:dyDescent="0.15"/>
    <row r="12548" hidden="1" x14ac:dyDescent="0.15"/>
    <row r="12549" hidden="1" x14ac:dyDescent="0.15"/>
    <row r="12550" hidden="1" x14ac:dyDescent="0.15"/>
    <row r="12551" hidden="1" x14ac:dyDescent="0.15"/>
    <row r="12552" hidden="1" x14ac:dyDescent="0.15"/>
    <row r="12553" hidden="1" x14ac:dyDescent="0.15"/>
    <row r="12554" hidden="1" x14ac:dyDescent="0.15"/>
    <row r="12555" hidden="1" x14ac:dyDescent="0.15"/>
    <row r="12556" hidden="1" x14ac:dyDescent="0.15"/>
    <row r="12557" hidden="1" x14ac:dyDescent="0.15"/>
    <row r="12558" hidden="1" x14ac:dyDescent="0.15"/>
    <row r="12559" hidden="1" x14ac:dyDescent="0.15"/>
    <row r="12560" hidden="1" x14ac:dyDescent="0.15"/>
    <row r="12561" hidden="1" x14ac:dyDescent="0.15"/>
    <row r="12562" hidden="1" x14ac:dyDescent="0.15"/>
    <row r="12563" hidden="1" x14ac:dyDescent="0.15"/>
    <row r="12564" hidden="1" x14ac:dyDescent="0.15"/>
    <row r="12565" hidden="1" x14ac:dyDescent="0.15"/>
    <row r="12566" hidden="1" x14ac:dyDescent="0.15"/>
    <row r="12567" hidden="1" x14ac:dyDescent="0.15"/>
    <row r="12568" hidden="1" x14ac:dyDescent="0.15"/>
    <row r="12569" hidden="1" x14ac:dyDescent="0.15"/>
    <row r="12570" hidden="1" x14ac:dyDescent="0.15"/>
    <row r="12571" hidden="1" x14ac:dyDescent="0.15"/>
    <row r="12572" hidden="1" x14ac:dyDescent="0.15"/>
    <row r="12573" hidden="1" x14ac:dyDescent="0.15"/>
    <row r="12574" hidden="1" x14ac:dyDescent="0.15"/>
    <row r="12575" hidden="1" x14ac:dyDescent="0.15"/>
    <row r="12576" hidden="1" x14ac:dyDescent="0.15"/>
    <row r="12577" hidden="1" x14ac:dyDescent="0.15"/>
    <row r="12578" hidden="1" x14ac:dyDescent="0.15"/>
    <row r="12579" hidden="1" x14ac:dyDescent="0.15"/>
    <row r="12580" hidden="1" x14ac:dyDescent="0.15"/>
    <row r="12581" hidden="1" x14ac:dyDescent="0.15"/>
    <row r="12582" hidden="1" x14ac:dyDescent="0.15"/>
    <row r="12583" hidden="1" x14ac:dyDescent="0.15"/>
    <row r="12584" hidden="1" x14ac:dyDescent="0.15"/>
    <row r="12585" hidden="1" x14ac:dyDescent="0.15"/>
    <row r="12586" hidden="1" x14ac:dyDescent="0.15"/>
    <row r="12587" hidden="1" x14ac:dyDescent="0.15"/>
    <row r="12588" hidden="1" x14ac:dyDescent="0.15"/>
    <row r="12589" hidden="1" x14ac:dyDescent="0.15"/>
    <row r="12590" hidden="1" x14ac:dyDescent="0.15"/>
    <row r="12591" hidden="1" x14ac:dyDescent="0.15"/>
    <row r="12592" hidden="1" x14ac:dyDescent="0.15"/>
    <row r="12593" hidden="1" x14ac:dyDescent="0.15"/>
    <row r="12594" hidden="1" x14ac:dyDescent="0.15"/>
    <row r="12595" hidden="1" x14ac:dyDescent="0.15"/>
    <row r="12596" hidden="1" x14ac:dyDescent="0.15"/>
    <row r="12597" hidden="1" x14ac:dyDescent="0.15"/>
    <row r="12598" hidden="1" x14ac:dyDescent="0.15"/>
    <row r="12599" hidden="1" x14ac:dyDescent="0.15"/>
    <row r="12600" hidden="1" x14ac:dyDescent="0.15"/>
    <row r="12601" hidden="1" x14ac:dyDescent="0.15"/>
    <row r="12602" hidden="1" x14ac:dyDescent="0.15"/>
    <row r="12603" hidden="1" x14ac:dyDescent="0.15"/>
    <row r="12604" hidden="1" x14ac:dyDescent="0.15"/>
    <row r="12605" hidden="1" x14ac:dyDescent="0.15"/>
    <row r="12606" hidden="1" x14ac:dyDescent="0.15"/>
    <row r="12607" hidden="1" x14ac:dyDescent="0.15"/>
    <row r="12608" hidden="1" x14ac:dyDescent="0.15"/>
    <row r="12609" hidden="1" x14ac:dyDescent="0.15"/>
    <row r="12610" hidden="1" x14ac:dyDescent="0.15"/>
    <row r="12611" hidden="1" x14ac:dyDescent="0.15"/>
    <row r="12612" hidden="1" x14ac:dyDescent="0.15"/>
    <row r="12613" hidden="1" x14ac:dyDescent="0.15"/>
    <row r="12614" hidden="1" x14ac:dyDescent="0.15"/>
    <row r="12615" hidden="1" x14ac:dyDescent="0.15"/>
    <row r="12616" hidden="1" x14ac:dyDescent="0.15"/>
    <row r="12617" hidden="1" x14ac:dyDescent="0.15"/>
    <row r="12618" hidden="1" x14ac:dyDescent="0.15"/>
    <row r="12619" hidden="1" x14ac:dyDescent="0.15"/>
    <row r="12620" hidden="1" x14ac:dyDescent="0.15"/>
    <row r="12621" hidden="1" x14ac:dyDescent="0.15"/>
    <row r="12622" hidden="1" x14ac:dyDescent="0.15"/>
    <row r="12623" hidden="1" x14ac:dyDescent="0.15"/>
    <row r="12624" hidden="1" x14ac:dyDescent="0.15"/>
    <row r="12625" hidden="1" x14ac:dyDescent="0.15"/>
    <row r="12626" hidden="1" x14ac:dyDescent="0.15"/>
    <row r="12627" hidden="1" x14ac:dyDescent="0.15"/>
    <row r="12628" hidden="1" x14ac:dyDescent="0.15"/>
    <row r="12629" hidden="1" x14ac:dyDescent="0.15"/>
    <row r="12630" hidden="1" x14ac:dyDescent="0.15"/>
    <row r="12631" hidden="1" x14ac:dyDescent="0.15"/>
    <row r="12632" hidden="1" x14ac:dyDescent="0.15"/>
    <row r="12633" hidden="1" x14ac:dyDescent="0.15"/>
    <row r="12634" hidden="1" x14ac:dyDescent="0.15"/>
    <row r="12635" hidden="1" x14ac:dyDescent="0.15"/>
    <row r="12636" hidden="1" x14ac:dyDescent="0.15"/>
    <row r="12637" hidden="1" x14ac:dyDescent="0.15"/>
    <row r="12638" hidden="1" x14ac:dyDescent="0.15"/>
    <row r="12639" hidden="1" x14ac:dyDescent="0.15"/>
    <row r="12640" hidden="1" x14ac:dyDescent="0.15"/>
    <row r="12641" hidden="1" x14ac:dyDescent="0.15"/>
    <row r="12642" hidden="1" x14ac:dyDescent="0.15"/>
    <row r="12643" hidden="1" x14ac:dyDescent="0.15"/>
    <row r="12644" hidden="1" x14ac:dyDescent="0.15"/>
    <row r="12645" hidden="1" x14ac:dyDescent="0.15"/>
    <row r="12646" hidden="1" x14ac:dyDescent="0.15"/>
    <row r="12647" hidden="1" x14ac:dyDescent="0.15"/>
    <row r="12648" hidden="1" x14ac:dyDescent="0.15"/>
    <row r="12649" hidden="1" x14ac:dyDescent="0.15"/>
    <row r="12650" hidden="1" x14ac:dyDescent="0.15"/>
    <row r="12651" hidden="1" x14ac:dyDescent="0.15"/>
    <row r="12652" hidden="1" x14ac:dyDescent="0.15"/>
    <row r="12653" hidden="1" x14ac:dyDescent="0.15"/>
    <row r="12654" hidden="1" x14ac:dyDescent="0.15"/>
    <row r="12655" hidden="1" x14ac:dyDescent="0.15"/>
    <row r="12656" hidden="1" x14ac:dyDescent="0.15"/>
    <row r="12657" hidden="1" x14ac:dyDescent="0.15"/>
    <row r="12658" hidden="1" x14ac:dyDescent="0.15"/>
    <row r="12659" hidden="1" x14ac:dyDescent="0.15"/>
    <row r="12660" hidden="1" x14ac:dyDescent="0.15"/>
    <row r="12661" hidden="1" x14ac:dyDescent="0.15"/>
    <row r="12662" hidden="1" x14ac:dyDescent="0.15"/>
    <row r="12663" hidden="1" x14ac:dyDescent="0.15"/>
    <row r="12664" hidden="1" x14ac:dyDescent="0.15"/>
    <row r="12665" hidden="1" x14ac:dyDescent="0.15"/>
    <row r="12666" hidden="1" x14ac:dyDescent="0.15"/>
    <row r="12667" hidden="1" x14ac:dyDescent="0.15"/>
    <row r="12668" hidden="1" x14ac:dyDescent="0.15"/>
    <row r="12669" hidden="1" x14ac:dyDescent="0.15"/>
    <row r="12670" hidden="1" x14ac:dyDescent="0.15"/>
    <row r="12671" hidden="1" x14ac:dyDescent="0.15"/>
    <row r="12672" hidden="1" x14ac:dyDescent="0.15"/>
    <row r="12673" hidden="1" x14ac:dyDescent="0.15"/>
    <row r="12674" hidden="1" x14ac:dyDescent="0.15"/>
    <row r="12675" hidden="1" x14ac:dyDescent="0.15"/>
    <row r="12676" hidden="1" x14ac:dyDescent="0.15"/>
    <row r="12677" hidden="1" x14ac:dyDescent="0.15"/>
    <row r="12678" hidden="1" x14ac:dyDescent="0.15"/>
    <row r="12679" hidden="1" x14ac:dyDescent="0.15"/>
    <row r="12680" hidden="1" x14ac:dyDescent="0.15"/>
    <row r="12681" hidden="1" x14ac:dyDescent="0.15"/>
    <row r="12682" hidden="1" x14ac:dyDescent="0.15"/>
    <row r="12683" hidden="1" x14ac:dyDescent="0.15"/>
    <row r="12684" hidden="1" x14ac:dyDescent="0.15"/>
    <row r="12685" hidden="1" x14ac:dyDescent="0.15"/>
    <row r="12686" hidden="1" x14ac:dyDescent="0.15"/>
    <row r="12687" hidden="1" x14ac:dyDescent="0.15"/>
    <row r="12688" hidden="1" x14ac:dyDescent="0.15"/>
    <row r="12689" hidden="1" x14ac:dyDescent="0.15"/>
    <row r="12690" hidden="1" x14ac:dyDescent="0.15"/>
    <row r="12691" hidden="1" x14ac:dyDescent="0.15"/>
    <row r="12692" hidden="1" x14ac:dyDescent="0.15"/>
    <row r="12693" hidden="1" x14ac:dyDescent="0.15"/>
    <row r="12694" hidden="1" x14ac:dyDescent="0.15"/>
    <row r="12695" hidden="1" x14ac:dyDescent="0.15"/>
    <row r="12696" hidden="1" x14ac:dyDescent="0.15"/>
    <row r="12697" hidden="1" x14ac:dyDescent="0.15"/>
    <row r="12698" hidden="1" x14ac:dyDescent="0.15"/>
    <row r="12699" hidden="1" x14ac:dyDescent="0.15"/>
    <row r="12700" hidden="1" x14ac:dyDescent="0.15"/>
    <row r="12701" hidden="1" x14ac:dyDescent="0.15"/>
    <row r="12702" hidden="1" x14ac:dyDescent="0.15"/>
    <row r="12703" hidden="1" x14ac:dyDescent="0.15"/>
    <row r="12704" hidden="1" x14ac:dyDescent="0.15"/>
    <row r="12705" hidden="1" x14ac:dyDescent="0.15"/>
    <row r="12706" hidden="1" x14ac:dyDescent="0.15"/>
    <row r="12707" hidden="1" x14ac:dyDescent="0.15"/>
    <row r="12708" hidden="1" x14ac:dyDescent="0.15"/>
    <row r="12709" hidden="1" x14ac:dyDescent="0.15"/>
    <row r="12710" hidden="1" x14ac:dyDescent="0.15"/>
    <row r="12711" hidden="1" x14ac:dyDescent="0.15"/>
    <row r="12712" hidden="1" x14ac:dyDescent="0.15"/>
    <row r="12713" hidden="1" x14ac:dyDescent="0.15"/>
    <row r="12714" hidden="1" x14ac:dyDescent="0.15"/>
    <row r="12715" hidden="1" x14ac:dyDescent="0.15"/>
    <row r="12716" hidden="1" x14ac:dyDescent="0.15"/>
    <row r="12717" hidden="1" x14ac:dyDescent="0.15"/>
    <row r="12718" hidden="1" x14ac:dyDescent="0.15"/>
    <row r="12719" hidden="1" x14ac:dyDescent="0.15"/>
    <row r="12720" hidden="1" x14ac:dyDescent="0.15"/>
    <row r="12721" hidden="1" x14ac:dyDescent="0.15"/>
    <row r="12722" hidden="1" x14ac:dyDescent="0.15"/>
    <row r="12723" hidden="1" x14ac:dyDescent="0.15"/>
    <row r="12724" hidden="1" x14ac:dyDescent="0.15"/>
    <row r="12725" hidden="1" x14ac:dyDescent="0.15"/>
    <row r="12726" hidden="1" x14ac:dyDescent="0.15"/>
    <row r="12727" hidden="1" x14ac:dyDescent="0.15"/>
    <row r="12728" hidden="1" x14ac:dyDescent="0.15"/>
    <row r="12729" hidden="1" x14ac:dyDescent="0.15"/>
    <row r="12730" hidden="1" x14ac:dyDescent="0.15"/>
    <row r="12731" hidden="1" x14ac:dyDescent="0.15"/>
    <row r="12732" hidden="1" x14ac:dyDescent="0.15"/>
    <row r="12733" hidden="1" x14ac:dyDescent="0.15"/>
    <row r="12734" hidden="1" x14ac:dyDescent="0.15"/>
    <row r="12735" hidden="1" x14ac:dyDescent="0.15"/>
    <row r="12736" hidden="1" x14ac:dyDescent="0.15"/>
    <row r="12737" hidden="1" x14ac:dyDescent="0.15"/>
    <row r="12738" hidden="1" x14ac:dyDescent="0.15"/>
    <row r="12739" hidden="1" x14ac:dyDescent="0.15"/>
    <row r="12740" hidden="1" x14ac:dyDescent="0.15"/>
    <row r="12741" hidden="1" x14ac:dyDescent="0.15"/>
    <row r="12742" hidden="1" x14ac:dyDescent="0.15"/>
    <row r="12743" hidden="1" x14ac:dyDescent="0.15"/>
    <row r="12744" hidden="1" x14ac:dyDescent="0.15"/>
    <row r="12745" hidden="1" x14ac:dyDescent="0.15"/>
    <row r="12746" hidden="1" x14ac:dyDescent="0.15"/>
    <row r="12747" hidden="1" x14ac:dyDescent="0.15"/>
    <row r="12748" hidden="1" x14ac:dyDescent="0.15"/>
    <row r="12749" hidden="1" x14ac:dyDescent="0.15"/>
    <row r="12750" hidden="1" x14ac:dyDescent="0.15"/>
    <row r="12751" hidden="1" x14ac:dyDescent="0.15"/>
    <row r="12752" hidden="1" x14ac:dyDescent="0.15"/>
    <row r="12753" hidden="1" x14ac:dyDescent="0.15"/>
    <row r="12754" hidden="1" x14ac:dyDescent="0.15"/>
    <row r="12755" hidden="1" x14ac:dyDescent="0.15"/>
    <row r="12756" hidden="1" x14ac:dyDescent="0.15"/>
    <row r="12757" hidden="1" x14ac:dyDescent="0.15"/>
    <row r="12758" hidden="1" x14ac:dyDescent="0.15"/>
    <row r="12759" hidden="1" x14ac:dyDescent="0.15"/>
    <row r="12760" hidden="1" x14ac:dyDescent="0.15"/>
    <row r="12761" hidden="1" x14ac:dyDescent="0.15"/>
    <row r="12762" hidden="1" x14ac:dyDescent="0.15"/>
    <row r="12763" hidden="1" x14ac:dyDescent="0.15"/>
    <row r="12764" hidden="1" x14ac:dyDescent="0.15"/>
    <row r="12765" hidden="1" x14ac:dyDescent="0.15"/>
    <row r="12766" hidden="1" x14ac:dyDescent="0.15"/>
    <row r="12767" hidden="1" x14ac:dyDescent="0.15"/>
    <row r="12768" hidden="1" x14ac:dyDescent="0.15"/>
    <row r="12769" hidden="1" x14ac:dyDescent="0.15"/>
    <row r="12770" hidden="1" x14ac:dyDescent="0.15"/>
    <row r="12771" hidden="1" x14ac:dyDescent="0.15"/>
    <row r="12772" hidden="1" x14ac:dyDescent="0.15"/>
    <row r="12773" hidden="1" x14ac:dyDescent="0.15"/>
    <row r="12774" hidden="1" x14ac:dyDescent="0.15"/>
    <row r="12775" hidden="1" x14ac:dyDescent="0.15"/>
    <row r="12776" hidden="1" x14ac:dyDescent="0.15"/>
    <row r="12777" hidden="1" x14ac:dyDescent="0.15"/>
    <row r="12778" hidden="1" x14ac:dyDescent="0.15"/>
    <row r="12779" hidden="1" x14ac:dyDescent="0.15"/>
    <row r="12780" hidden="1" x14ac:dyDescent="0.15"/>
    <row r="12781" hidden="1" x14ac:dyDescent="0.15"/>
    <row r="12782" hidden="1" x14ac:dyDescent="0.15"/>
    <row r="12783" hidden="1" x14ac:dyDescent="0.15"/>
    <row r="12784" hidden="1" x14ac:dyDescent="0.15"/>
    <row r="12785" hidden="1" x14ac:dyDescent="0.15"/>
    <row r="12786" hidden="1" x14ac:dyDescent="0.15"/>
    <row r="12787" hidden="1" x14ac:dyDescent="0.15"/>
    <row r="12788" hidden="1" x14ac:dyDescent="0.15"/>
    <row r="12789" hidden="1" x14ac:dyDescent="0.15"/>
    <row r="12790" hidden="1" x14ac:dyDescent="0.15"/>
    <row r="12791" hidden="1" x14ac:dyDescent="0.15"/>
    <row r="12792" hidden="1" x14ac:dyDescent="0.15"/>
    <row r="12793" hidden="1" x14ac:dyDescent="0.15"/>
    <row r="12794" hidden="1" x14ac:dyDescent="0.15"/>
    <row r="12795" hidden="1" x14ac:dyDescent="0.15"/>
    <row r="12796" hidden="1" x14ac:dyDescent="0.15"/>
    <row r="12797" hidden="1" x14ac:dyDescent="0.15"/>
    <row r="12798" hidden="1" x14ac:dyDescent="0.15"/>
    <row r="12799" hidden="1" x14ac:dyDescent="0.15"/>
    <row r="12800" hidden="1" x14ac:dyDescent="0.15"/>
    <row r="12801" hidden="1" x14ac:dyDescent="0.15"/>
    <row r="12802" hidden="1" x14ac:dyDescent="0.15"/>
    <row r="12803" hidden="1" x14ac:dyDescent="0.15"/>
    <row r="12804" hidden="1" x14ac:dyDescent="0.15"/>
    <row r="12805" hidden="1" x14ac:dyDescent="0.15"/>
    <row r="12806" hidden="1" x14ac:dyDescent="0.15"/>
    <row r="12807" hidden="1" x14ac:dyDescent="0.15"/>
    <row r="12808" hidden="1" x14ac:dyDescent="0.15"/>
    <row r="12809" hidden="1" x14ac:dyDescent="0.15"/>
    <row r="12810" hidden="1" x14ac:dyDescent="0.15"/>
    <row r="12811" hidden="1" x14ac:dyDescent="0.15"/>
    <row r="12812" hidden="1" x14ac:dyDescent="0.15"/>
    <row r="12813" hidden="1" x14ac:dyDescent="0.15"/>
    <row r="12814" hidden="1" x14ac:dyDescent="0.15"/>
    <row r="12815" hidden="1" x14ac:dyDescent="0.15"/>
    <row r="12816" hidden="1" x14ac:dyDescent="0.15"/>
    <row r="12817" hidden="1" x14ac:dyDescent="0.15"/>
    <row r="12818" hidden="1" x14ac:dyDescent="0.15"/>
    <row r="12819" hidden="1" x14ac:dyDescent="0.15"/>
    <row r="12820" hidden="1" x14ac:dyDescent="0.15"/>
    <row r="12821" hidden="1" x14ac:dyDescent="0.15"/>
    <row r="12822" hidden="1" x14ac:dyDescent="0.15"/>
    <row r="12823" hidden="1" x14ac:dyDescent="0.15"/>
    <row r="12824" hidden="1" x14ac:dyDescent="0.15"/>
    <row r="12825" hidden="1" x14ac:dyDescent="0.15"/>
    <row r="12826" hidden="1" x14ac:dyDescent="0.15"/>
    <row r="12827" hidden="1" x14ac:dyDescent="0.15"/>
    <row r="12828" hidden="1" x14ac:dyDescent="0.15"/>
    <row r="12829" hidden="1" x14ac:dyDescent="0.15"/>
    <row r="12830" hidden="1" x14ac:dyDescent="0.15"/>
    <row r="12831" hidden="1" x14ac:dyDescent="0.15"/>
    <row r="12832" hidden="1" x14ac:dyDescent="0.15"/>
    <row r="12833" hidden="1" x14ac:dyDescent="0.15"/>
    <row r="12834" hidden="1" x14ac:dyDescent="0.15"/>
    <row r="12835" hidden="1" x14ac:dyDescent="0.15"/>
    <row r="12836" hidden="1" x14ac:dyDescent="0.15"/>
    <row r="12837" hidden="1" x14ac:dyDescent="0.15"/>
    <row r="12838" hidden="1" x14ac:dyDescent="0.15"/>
    <row r="12839" hidden="1" x14ac:dyDescent="0.15"/>
    <row r="12840" hidden="1" x14ac:dyDescent="0.15"/>
    <row r="12841" hidden="1" x14ac:dyDescent="0.15"/>
    <row r="12842" hidden="1" x14ac:dyDescent="0.15"/>
    <row r="12843" hidden="1" x14ac:dyDescent="0.15"/>
    <row r="12844" hidden="1" x14ac:dyDescent="0.15"/>
    <row r="12845" hidden="1" x14ac:dyDescent="0.15"/>
    <row r="12846" hidden="1" x14ac:dyDescent="0.15"/>
    <row r="12847" hidden="1" x14ac:dyDescent="0.15"/>
    <row r="12848" hidden="1" x14ac:dyDescent="0.15"/>
    <row r="12849" hidden="1" x14ac:dyDescent="0.15"/>
    <row r="12850" hidden="1" x14ac:dyDescent="0.15"/>
    <row r="12851" hidden="1" x14ac:dyDescent="0.15"/>
    <row r="12852" hidden="1" x14ac:dyDescent="0.15"/>
    <row r="12853" hidden="1" x14ac:dyDescent="0.15"/>
    <row r="12854" hidden="1" x14ac:dyDescent="0.15"/>
    <row r="12855" hidden="1" x14ac:dyDescent="0.15"/>
    <row r="12856" hidden="1" x14ac:dyDescent="0.15"/>
    <row r="12857" hidden="1" x14ac:dyDescent="0.15"/>
    <row r="12858" hidden="1" x14ac:dyDescent="0.15"/>
    <row r="12859" hidden="1" x14ac:dyDescent="0.15"/>
    <row r="12860" hidden="1" x14ac:dyDescent="0.15"/>
    <row r="12861" hidden="1" x14ac:dyDescent="0.15"/>
    <row r="12862" hidden="1" x14ac:dyDescent="0.15"/>
    <row r="12863" hidden="1" x14ac:dyDescent="0.15"/>
    <row r="12864" hidden="1" x14ac:dyDescent="0.15"/>
    <row r="12865" hidden="1" x14ac:dyDescent="0.15"/>
    <row r="12866" hidden="1" x14ac:dyDescent="0.15"/>
    <row r="12867" hidden="1" x14ac:dyDescent="0.15"/>
    <row r="12868" hidden="1" x14ac:dyDescent="0.15"/>
    <row r="12869" hidden="1" x14ac:dyDescent="0.15"/>
    <row r="12870" hidden="1" x14ac:dyDescent="0.15"/>
    <row r="12871" hidden="1" x14ac:dyDescent="0.15"/>
    <row r="12872" hidden="1" x14ac:dyDescent="0.15"/>
    <row r="12873" hidden="1" x14ac:dyDescent="0.15"/>
    <row r="12874" hidden="1" x14ac:dyDescent="0.15"/>
    <row r="12875" hidden="1" x14ac:dyDescent="0.15"/>
    <row r="12876" hidden="1" x14ac:dyDescent="0.15"/>
    <row r="12877" hidden="1" x14ac:dyDescent="0.15"/>
    <row r="12878" hidden="1" x14ac:dyDescent="0.15"/>
    <row r="12879" hidden="1" x14ac:dyDescent="0.15"/>
    <row r="12880" hidden="1" x14ac:dyDescent="0.15"/>
    <row r="12881" hidden="1" x14ac:dyDescent="0.15"/>
    <row r="12882" hidden="1" x14ac:dyDescent="0.15"/>
    <row r="12883" hidden="1" x14ac:dyDescent="0.15"/>
    <row r="12884" hidden="1" x14ac:dyDescent="0.15"/>
    <row r="12885" hidden="1" x14ac:dyDescent="0.15"/>
    <row r="12886" hidden="1" x14ac:dyDescent="0.15"/>
    <row r="12887" hidden="1" x14ac:dyDescent="0.15"/>
    <row r="12888" hidden="1" x14ac:dyDescent="0.15"/>
    <row r="12889" hidden="1" x14ac:dyDescent="0.15"/>
    <row r="12890" hidden="1" x14ac:dyDescent="0.15"/>
    <row r="12891" hidden="1" x14ac:dyDescent="0.15"/>
    <row r="12892" hidden="1" x14ac:dyDescent="0.15"/>
    <row r="12893" hidden="1" x14ac:dyDescent="0.15"/>
    <row r="12894" hidden="1" x14ac:dyDescent="0.15"/>
    <row r="12895" hidden="1" x14ac:dyDescent="0.15"/>
    <row r="12896" hidden="1" x14ac:dyDescent="0.15"/>
    <row r="12897" hidden="1" x14ac:dyDescent="0.15"/>
    <row r="12898" hidden="1" x14ac:dyDescent="0.15"/>
    <row r="12899" hidden="1" x14ac:dyDescent="0.15"/>
    <row r="12900" hidden="1" x14ac:dyDescent="0.15"/>
    <row r="12901" hidden="1" x14ac:dyDescent="0.15"/>
    <row r="12902" hidden="1" x14ac:dyDescent="0.15"/>
    <row r="12903" hidden="1" x14ac:dyDescent="0.15"/>
    <row r="12904" hidden="1" x14ac:dyDescent="0.15"/>
    <row r="12905" hidden="1" x14ac:dyDescent="0.15"/>
    <row r="12906" hidden="1" x14ac:dyDescent="0.15"/>
    <row r="12907" hidden="1" x14ac:dyDescent="0.15"/>
    <row r="12908" hidden="1" x14ac:dyDescent="0.15"/>
    <row r="12909" hidden="1" x14ac:dyDescent="0.15"/>
    <row r="12910" hidden="1" x14ac:dyDescent="0.15"/>
    <row r="12911" hidden="1" x14ac:dyDescent="0.15"/>
    <row r="12912" hidden="1" x14ac:dyDescent="0.15"/>
    <row r="12913" hidden="1" x14ac:dyDescent="0.15"/>
    <row r="12914" hidden="1" x14ac:dyDescent="0.15"/>
    <row r="12915" hidden="1" x14ac:dyDescent="0.15"/>
    <row r="12916" hidden="1" x14ac:dyDescent="0.15"/>
    <row r="12917" hidden="1" x14ac:dyDescent="0.15"/>
    <row r="12918" hidden="1" x14ac:dyDescent="0.15"/>
    <row r="12919" hidden="1" x14ac:dyDescent="0.15"/>
    <row r="12920" hidden="1" x14ac:dyDescent="0.15"/>
    <row r="12921" hidden="1" x14ac:dyDescent="0.15"/>
    <row r="12922" hidden="1" x14ac:dyDescent="0.15"/>
    <row r="12923" hidden="1" x14ac:dyDescent="0.15"/>
    <row r="12924" hidden="1" x14ac:dyDescent="0.15"/>
    <row r="12925" hidden="1" x14ac:dyDescent="0.15"/>
    <row r="12926" hidden="1" x14ac:dyDescent="0.15"/>
    <row r="12927" hidden="1" x14ac:dyDescent="0.15"/>
    <row r="12928" hidden="1" x14ac:dyDescent="0.15"/>
    <row r="12929" hidden="1" x14ac:dyDescent="0.15"/>
    <row r="12930" hidden="1" x14ac:dyDescent="0.15"/>
    <row r="12931" hidden="1" x14ac:dyDescent="0.15"/>
    <row r="12932" hidden="1" x14ac:dyDescent="0.15"/>
    <row r="12933" hidden="1" x14ac:dyDescent="0.15"/>
    <row r="12934" hidden="1" x14ac:dyDescent="0.15"/>
    <row r="12935" hidden="1" x14ac:dyDescent="0.15"/>
    <row r="12936" hidden="1" x14ac:dyDescent="0.15"/>
    <row r="12937" hidden="1" x14ac:dyDescent="0.15"/>
    <row r="12938" hidden="1" x14ac:dyDescent="0.15"/>
    <row r="12939" hidden="1" x14ac:dyDescent="0.15"/>
    <row r="12940" hidden="1" x14ac:dyDescent="0.15"/>
    <row r="12941" hidden="1" x14ac:dyDescent="0.15"/>
    <row r="12942" hidden="1" x14ac:dyDescent="0.15"/>
    <row r="12943" hidden="1" x14ac:dyDescent="0.15"/>
    <row r="12944" hidden="1" x14ac:dyDescent="0.15"/>
    <row r="12945" hidden="1" x14ac:dyDescent="0.15"/>
    <row r="12946" hidden="1" x14ac:dyDescent="0.15"/>
    <row r="12947" hidden="1" x14ac:dyDescent="0.15"/>
    <row r="12948" hidden="1" x14ac:dyDescent="0.15"/>
    <row r="12949" hidden="1" x14ac:dyDescent="0.15"/>
    <row r="12950" hidden="1" x14ac:dyDescent="0.15"/>
    <row r="12951" hidden="1" x14ac:dyDescent="0.15"/>
    <row r="12952" hidden="1" x14ac:dyDescent="0.15"/>
    <row r="12953" hidden="1" x14ac:dyDescent="0.15"/>
    <row r="12954" hidden="1" x14ac:dyDescent="0.15"/>
    <row r="12955" hidden="1" x14ac:dyDescent="0.15"/>
    <row r="12956" hidden="1" x14ac:dyDescent="0.15"/>
    <row r="12957" hidden="1" x14ac:dyDescent="0.15"/>
    <row r="12958" hidden="1" x14ac:dyDescent="0.15"/>
    <row r="12959" hidden="1" x14ac:dyDescent="0.15"/>
    <row r="12960" hidden="1" x14ac:dyDescent="0.15"/>
    <row r="12961" hidden="1" x14ac:dyDescent="0.15"/>
    <row r="12962" hidden="1" x14ac:dyDescent="0.15"/>
    <row r="12963" hidden="1" x14ac:dyDescent="0.15"/>
    <row r="12964" hidden="1" x14ac:dyDescent="0.15"/>
    <row r="12965" hidden="1" x14ac:dyDescent="0.15"/>
    <row r="12966" hidden="1" x14ac:dyDescent="0.15"/>
    <row r="12967" hidden="1" x14ac:dyDescent="0.15"/>
    <row r="12968" hidden="1" x14ac:dyDescent="0.15"/>
    <row r="12969" hidden="1" x14ac:dyDescent="0.15"/>
    <row r="12970" hidden="1" x14ac:dyDescent="0.15"/>
    <row r="12971" hidden="1" x14ac:dyDescent="0.15"/>
    <row r="12972" hidden="1" x14ac:dyDescent="0.15"/>
    <row r="12973" hidden="1" x14ac:dyDescent="0.15"/>
    <row r="12974" hidden="1" x14ac:dyDescent="0.15"/>
    <row r="12975" hidden="1" x14ac:dyDescent="0.15"/>
    <row r="12976" hidden="1" x14ac:dyDescent="0.15"/>
    <row r="12977" hidden="1" x14ac:dyDescent="0.15"/>
    <row r="12978" hidden="1" x14ac:dyDescent="0.15"/>
    <row r="12979" hidden="1" x14ac:dyDescent="0.15"/>
    <row r="12980" hidden="1" x14ac:dyDescent="0.15"/>
    <row r="12981" hidden="1" x14ac:dyDescent="0.15"/>
    <row r="12982" hidden="1" x14ac:dyDescent="0.15"/>
    <row r="12983" hidden="1" x14ac:dyDescent="0.15"/>
    <row r="12984" hidden="1" x14ac:dyDescent="0.15"/>
    <row r="12985" hidden="1" x14ac:dyDescent="0.15"/>
    <row r="12986" hidden="1" x14ac:dyDescent="0.15"/>
    <row r="12987" hidden="1" x14ac:dyDescent="0.15"/>
    <row r="12988" hidden="1" x14ac:dyDescent="0.15"/>
    <row r="12989" hidden="1" x14ac:dyDescent="0.15"/>
    <row r="12990" hidden="1" x14ac:dyDescent="0.15"/>
    <row r="12991" hidden="1" x14ac:dyDescent="0.15"/>
    <row r="12992" hidden="1" x14ac:dyDescent="0.15"/>
    <row r="12993" hidden="1" x14ac:dyDescent="0.15"/>
    <row r="12994" hidden="1" x14ac:dyDescent="0.15"/>
    <row r="12995" hidden="1" x14ac:dyDescent="0.15"/>
    <row r="12996" hidden="1" x14ac:dyDescent="0.15"/>
    <row r="12997" hidden="1" x14ac:dyDescent="0.15"/>
    <row r="12998" hidden="1" x14ac:dyDescent="0.15"/>
    <row r="12999" hidden="1" x14ac:dyDescent="0.15"/>
    <row r="13000" hidden="1" x14ac:dyDescent="0.15"/>
    <row r="13001" hidden="1" x14ac:dyDescent="0.15"/>
    <row r="13002" hidden="1" x14ac:dyDescent="0.15"/>
    <row r="13003" hidden="1" x14ac:dyDescent="0.15"/>
    <row r="13004" hidden="1" x14ac:dyDescent="0.15"/>
    <row r="13005" hidden="1" x14ac:dyDescent="0.15"/>
    <row r="13006" hidden="1" x14ac:dyDescent="0.15"/>
    <row r="13007" hidden="1" x14ac:dyDescent="0.15"/>
    <row r="13008" hidden="1" x14ac:dyDescent="0.15"/>
    <row r="13009" hidden="1" x14ac:dyDescent="0.15"/>
    <row r="13010" hidden="1" x14ac:dyDescent="0.15"/>
    <row r="13011" hidden="1" x14ac:dyDescent="0.15"/>
    <row r="13012" hidden="1" x14ac:dyDescent="0.15"/>
    <row r="13013" hidden="1" x14ac:dyDescent="0.15"/>
    <row r="13014" hidden="1" x14ac:dyDescent="0.15"/>
    <row r="13015" hidden="1" x14ac:dyDescent="0.15"/>
    <row r="13016" hidden="1" x14ac:dyDescent="0.15"/>
    <row r="13017" hidden="1" x14ac:dyDescent="0.15"/>
    <row r="13018" hidden="1" x14ac:dyDescent="0.15"/>
    <row r="13019" hidden="1" x14ac:dyDescent="0.15"/>
    <row r="13020" hidden="1" x14ac:dyDescent="0.15"/>
    <row r="13021" hidden="1" x14ac:dyDescent="0.15"/>
    <row r="13022" hidden="1" x14ac:dyDescent="0.15"/>
    <row r="13023" hidden="1" x14ac:dyDescent="0.15"/>
    <row r="13024" hidden="1" x14ac:dyDescent="0.15"/>
    <row r="13025" hidden="1" x14ac:dyDescent="0.15"/>
    <row r="13026" hidden="1" x14ac:dyDescent="0.15"/>
    <row r="13027" hidden="1" x14ac:dyDescent="0.15"/>
    <row r="13028" hidden="1" x14ac:dyDescent="0.15"/>
    <row r="13029" hidden="1" x14ac:dyDescent="0.15"/>
    <row r="13030" hidden="1" x14ac:dyDescent="0.15"/>
    <row r="13031" hidden="1" x14ac:dyDescent="0.15"/>
    <row r="13032" hidden="1" x14ac:dyDescent="0.15"/>
    <row r="13033" hidden="1" x14ac:dyDescent="0.15"/>
    <row r="13034" hidden="1" x14ac:dyDescent="0.15"/>
    <row r="13035" hidden="1" x14ac:dyDescent="0.15"/>
    <row r="13036" hidden="1" x14ac:dyDescent="0.15"/>
    <row r="13037" hidden="1" x14ac:dyDescent="0.15"/>
    <row r="13038" hidden="1" x14ac:dyDescent="0.15"/>
    <row r="13039" hidden="1" x14ac:dyDescent="0.15"/>
    <row r="13040" hidden="1" x14ac:dyDescent="0.15"/>
    <row r="13041" hidden="1" x14ac:dyDescent="0.15"/>
    <row r="13042" hidden="1" x14ac:dyDescent="0.15"/>
    <row r="13043" hidden="1" x14ac:dyDescent="0.15"/>
    <row r="13044" hidden="1" x14ac:dyDescent="0.15"/>
    <row r="13045" hidden="1" x14ac:dyDescent="0.15"/>
    <row r="13046" hidden="1" x14ac:dyDescent="0.15"/>
    <row r="13047" hidden="1" x14ac:dyDescent="0.15"/>
    <row r="13048" hidden="1" x14ac:dyDescent="0.15"/>
    <row r="13049" hidden="1" x14ac:dyDescent="0.15"/>
    <row r="13050" hidden="1" x14ac:dyDescent="0.15"/>
    <row r="13051" hidden="1" x14ac:dyDescent="0.15"/>
    <row r="13052" hidden="1" x14ac:dyDescent="0.15"/>
    <row r="13053" hidden="1" x14ac:dyDescent="0.15"/>
    <row r="13054" hidden="1" x14ac:dyDescent="0.15"/>
    <row r="13055" hidden="1" x14ac:dyDescent="0.15"/>
    <row r="13056" hidden="1" x14ac:dyDescent="0.15"/>
    <row r="13057" hidden="1" x14ac:dyDescent="0.15"/>
    <row r="13058" hidden="1" x14ac:dyDescent="0.15"/>
    <row r="13059" hidden="1" x14ac:dyDescent="0.15"/>
    <row r="13060" hidden="1" x14ac:dyDescent="0.15"/>
    <row r="13061" hidden="1" x14ac:dyDescent="0.15"/>
    <row r="13062" hidden="1" x14ac:dyDescent="0.15"/>
    <row r="13063" hidden="1" x14ac:dyDescent="0.15"/>
    <row r="13064" hidden="1" x14ac:dyDescent="0.15"/>
    <row r="13065" hidden="1" x14ac:dyDescent="0.15"/>
    <row r="13066" hidden="1" x14ac:dyDescent="0.15"/>
    <row r="13067" hidden="1" x14ac:dyDescent="0.15"/>
    <row r="13068" hidden="1" x14ac:dyDescent="0.15"/>
    <row r="13069" hidden="1" x14ac:dyDescent="0.15"/>
    <row r="13070" hidden="1" x14ac:dyDescent="0.15"/>
    <row r="13071" hidden="1" x14ac:dyDescent="0.15"/>
    <row r="13072" hidden="1" x14ac:dyDescent="0.15"/>
    <row r="13073" hidden="1" x14ac:dyDescent="0.15"/>
    <row r="13074" hidden="1" x14ac:dyDescent="0.15"/>
    <row r="13075" hidden="1" x14ac:dyDescent="0.15"/>
    <row r="13076" hidden="1" x14ac:dyDescent="0.15"/>
    <row r="13077" hidden="1" x14ac:dyDescent="0.15"/>
    <row r="13078" hidden="1" x14ac:dyDescent="0.15"/>
    <row r="13079" hidden="1" x14ac:dyDescent="0.15"/>
    <row r="13080" hidden="1" x14ac:dyDescent="0.15"/>
    <row r="13081" hidden="1" x14ac:dyDescent="0.15"/>
    <row r="13082" hidden="1" x14ac:dyDescent="0.15"/>
    <row r="13083" hidden="1" x14ac:dyDescent="0.15"/>
    <row r="13084" hidden="1" x14ac:dyDescent="0.15"/>
    <row r="13085" hidden="1" x14ac:dyDescent="0.15"/>
    <row r="13086" hidden="1" x14ac:dyDescent="0.15"/>
    <row r="13087" hidden="1" x14ac:dyDescent="0.15"/>
    <row r="13088" hidden="1" x14ac:dyDescent="0.15"/>
    <row r="13089" hidden="1" x14ac:dyDescent="0.15"/>
    <row r="13090" hidden="1" x14ac:dyDescent="0.15"/>
    <row r="13091" hidden="1" x14ac:dyDescent="0.15"/>
    <row r="13092" hidden="1" x14ac:dyDescent="0.15"/>
    <row r="13093" hidden="1" x14ac:dyDescent="0.15"/>
    <row r="13094" hidden="1" x14ac:dyDescent="0.15"/>
    <row r="13095" hidden="1" x14ac:dyDescent="0.15"/>
    <row r="13096" hidden="1" x14ac:dyDescent="0.15"/>
    <row r="13097" hidden="1" x14ac:dyDescent="0.15"/>
    <row r="13098" hidden="1" x14ac:dyDescent="0.15"/>
    <row r="13099" hidden="1" x14ac:dyDescent="0.15"/>
    <row r="13100" hidden="1" x14ac:dyDescent="0.15"/>
    <row r="13101" hidden="1" x14ac:dyDescent="0.15"/>
    <row r="13102" hidden="1" x14ac:dyDescent="0.15"/>
    <row r="13103" hidden="1" x14ac:dyDescent="0.15"/>
    <row r="13104" hidden="1" x14ac:dyDescent="0.15"/>
    <row r="13105" hidden="1" x14ac:dyDescent="0.15"/>
    <row r="13106" hidden="1" x14ac:dyDescent="0.15"/>
    <row r="13107" hidden="1" x14ac:dyDescent="0.15"/>
    <row r="13108" hidden="1" x14ac:dyDescent="0.15"/>
    <row r="13109" hidden="1" x14ac:dyDescent="0.15"/>
    <row r="13110" hidden="1" x14ac:dyDescent="0.15"/>
    <row r="13111" hidden="1" x14ac:dyDescent="0.15"/>
    <row r="13112" hidden="1" x14ac:dyDescent="0.15"/>
    <row r="13113" hidden="1" x14ac:dyDescent="0.15"/>
    <row r="13114" hidden="1" x14ac:dyDescent="0.15"/>
    <row r="13115" hidden="1" x14ac:dyDescent="0.15"/>
    <row r="13116" hidden="1" x14ac:dyDescent="0.15"/>
    <row r="13117" hidden="1" x14ac:dyDescent="0.15"/>
    <row r="13118" hidden="1" x14ac:dyDescent="0.15"/>
    <row r="13119" hidden="1" x14ac:dyDescent="0.15"/>
    <row r="13120" hidden="1" x14ac:dyDescent="0.15"/>
    <row r="13121" hidden="1" x14ac:dyDescent="0.15"/>
    <row r="13122" hidden="1" x14ac:dyDescent="0.15"/>
    <row r="13123" hidden="1" x14ac:dyDescent="0.15"/>
    <row r="13124" hidden="1" x14ac:dyDescent="0.15"/>
    <row r="13125" hidden="1" x14ac:dyDescent="0.15"/>
    <row r="13126" hidden="1" x14ac:dyDescent="0.15"/>
    <row r="13127" hidden="1" x14ac:dyDescent="0.15"/>
    <row r="13128" hidden="1" x14ac:dyDescent="0.15"/>
    <row r="13129" hidden="1" x14ac:dyDescent="0.15"/>
    <row r="13130" hidden="1" x14ac:dyDescent="0.15"/>
    <row r="13131" hidden="1" x14ac:dyDescent="0.15"/>
    <row r="13132" hidden="1" x14ac:dyDescent="0.15"/>
    <row r="13133" hidden="1" x14ac:dyDescent="0.15"/>
    <row r="13134" hidden="1" x14ac:dyDescent="0.15"/>
    <row r="13135" hidden="1" x14ac:dyDescent="0.15"/>
    <row r="13136" hidden="1" x14ac:dyDescent="0.15"/>
    <row r="13137" hidden="1" x14ac:dyDescent="0.15"/>
    <row r="13138" hidden="1" x14ac:dyDescent="0.15"/>
    <row r="13139" hidden="1" x14ac:dyDescent="0.15"/>
    <row r="13140" hidden="1" x14ac:dyDescent="0.15"/>
    <row r="13141" hidden="1" x14ac:dyDescent="0.15"/>
    <row r="13142" hidden="1" x14ac:dyDescent="0.15"/>
    <row r="13143" hidden="1" x14ac:dyDescent="0.15"/>
    <row r="13144" hidden="1" x14ac:dyDescent="0.15"/>
    <row r="13145" hidden="1" x14ac:dyDescent="0.15"/>
    <row r="13146" hidden="1" x14ac:dyDescent="0.15"/>
    <row r="13147" hidden="1" x14ac:dyDescent="0.15"/>
    <row r="13148" hidden="1" x14ac:dyDescent="0.15"/>
    <row r="13149" hidden="1" x14ac:dyDescent="0.15"/>
    <row r="13150" hidden="1" x14ac:dyDescent="0.15"/>
    <row r="13151" hidden="1" x14ac:dyDescent="0.15"/>
    <row r="13152" hidden="1" x14ac:dyDescent="0.15"/>
    <row r="13153" hidden="1" x14ac:dyDescent="0.15"/>
    <row r="13154" hidden="1" x14ac:dyDescent="0.15"/>
    <row r="13155" hidden="1" x14ac:dyDescent="0.15"/>
    <row r="13156" hidden="1" x14ac:dyDescent="0.15"/>
    <row r="13157" hidden="1" x14ac:dyDescent="0.15"/>
    <row r="13158" hidden="1" x14ac:dyDescent="0.15"/>
    <row r="13159" hidden="1" x14ac:dyDescent="0.15"/>
    <row r="13160" hidden="1" x14ac:dyDescent="0.15"/>
    <row r="13161" hidden="1" x14ac:dyDescent="0.15"/>
    <row r="13162" hidden="1" x14ac:dyDescent="0.15"/>
    <row r="13163" hidden="1" x14ac:dyDescent="0.15"/>
    <row r="13164" hidden="1" x14ac:dyDescent="0.15"/>
    <row r="13165" hidden="1" x14ac:dyDescent="0.15"/>
    <row r="13166" hidden="1" x14ac:dyDescent="0.15"/>
    <row r="13167" hidden="1" x14ac:dyDescent="0.15"/>
    <row r="13168" hidden="1" x14ac:dyDescent="0.15"/>
    <row r="13169" hidden="1" x14ac:dyDescent="0.15"/>
    <row r="13170" hidden="1" x14ac:dyDescent="0.15"/>
    <row r="13171" hidden="1" x14ac:dyDescent="0.15"/>
    <row r="13172" hidden="1" x14ac:dyDescent="0.15"/>
    <row r="13173" hidden="1" x14ac:dyDescent="0.15"/>
    <row r="13174" hidden="1" x14ac:dyDescent="0.15"/>
    <row r="13175" hidden="1" x14ac:dyDescent="0.15"/>
    <row r="13176" hidden="1" x14ac:dyDescent="0.15"/>
    <row r="13177" hidden="1" x14ac:dyDescent="0.15"/>
    <row r="13178" hidden="1" x14ac:dyDescent="0.15"/>
    <row r="13179" hidden="1" x14ac:dyDescent="0.15"/>
    <row r="13180" hidden="1" x14ac:dyDescent="0.15"/>
    <row r="13181" hidden="1" x14ac:dyDescent="0.15"/>
    <row r="13182" hidden="1" x14ac:dyDescent="0.15"/>
    <row r="13183" hidden="1" x14ac:dyDescent="0.15"/>
    <row r="13184" hidden="1" x14ac:dyDescent="0.15"/>
    <row r="13185" hidden="1" x14ac:dyDescent="0.15"/>
    <row r="13186" hidden="1" x14ac:dyDescent="0.15"/>
    <row r="13187" hidden="1" x14ac:dyDescent="0.15"/>
    <row r="13188" hidden="1" x14ac:dyDescent="0.15"/>
    <row r="13189" hidden="1" x14ac:dyDescent="0.15"/>
    <row r="13190" hidden="1" x14ac:dyDescent="0.15"/>
    <row r="13191" hidden="1" x14ac:dyDescent="0.15"/>
    <row r="13192" hidden="1" x14ac:dyDescent="0.15"/>
    <row r="13193" hidden="1" x14ac:dyDescent="0.15"/>
    <row r="13194" hidden="1" x14ac:dyDescent="0.15"/>
    <row r="13195" hidden="1" x14ac:dyDescent="0.15"/>
    <row r="13196" hidden="1" x14ac:dyDescent="0.15"/>
    <row r="13197" hidden="1" x14ac:dyDescent="0.15"/>
    <row r="13198" hidden="1" x14ac:dyDescent="0.15"/>
    <row r="13199" hidden="1" x14ac:dyDescent="0.15"/>
    <row r="13200" hidden="1" x14ac:dyDescent="0.15"/>
    <row r="13201" hidden="1" x14ac:dyDescent="0.15"/>
    <row r="13202" hidden="1" x14ac:dyDescent="0.15"/>
    <row r="13203" hidden="1" x14ac:dyDescent="0.15"/>
    <row r="13204" hidden="1" x14ac:dyDescent="0.15"/>
    <row r="13205" hidden="1" x14ac:dyDescent="0.15"/>
    <row r="13206" hidden="1" x14ac:dyDescent="0.15"/>
    <row r="13207" hidden="1" x14ac:dyDescent="0.15"/>
    <row r="13208" hidden="1" x14ac:dyDescent="0.15"/>
    <row r="13209" hidden="1" x14ac:dyDescent="0.15"/>
    <row r="13210" hidden="1" x14ac:dyDescent="0.15"/>
    <row r="13211" hidden="1" x14ac:dyDescent="0.15"/>
    <row r="13212" hidden="1" x14ac:dyDescent="0.15"/>
    <row r="13213" hidden="1" x14ac:dyDescent="0.15"/>
    <row r="13214" hidden="1" x14ac:dyDescent="0.15"/>
    <row r="13215" hidden="1" x14ac:dyDescent="0.15"/>
    <row r="13216" hidden="1" x14ac:dyDescent="0.15"/>
    <row r="13217" hidden="1" x14ac:dyDescent="0.15"/>
    <row r="13218" hidden="1" x14ac:dyDescent="0.15"/>
    <row r="13219" hidden="1" x14ac:dyDescent="0.15"/>
    <row r="13220" hidden="1" x14ac:dyDescent="0.15"/>
    <row r="13221" hidden="1" x14ac:dyDescent="0.15"/>
    <row r="13222" hidden="1" x14ac:dyDescent="0.15"/>
    <row r="13223" hidden="1" x14ac:dyDescent="0.15"/>
    <row r="13224" hidden="1" x14ac:dyDescent="0.15"/>
    <row r="13225" hidden="1" x14ac:dyDescent="0.15"/>
    <row r="13226" hidden="1" x14ac:dyDescent="0.15"/>
    <row r="13227" hidden="1" x14ac:dyDescent="0.15"/>
    <row r="13228" hidden="1" x14ac:dyDescent="0.15"/>
    <row r="13229" hidden="1" x14ac:dyDescent="0.15"/>
    <row r="13230" hidden="1" x14ac:dyDescent="0.15"/>
    <row r="13231" hidden="1" x14ac:dyDescent="0.15"/>
    <row r="13232" hidden="1" x14ac:dyDescent="0.15"/>
    <row r="13233" hidden="1" x14ac:dyDescent="0.15"/>
    <row r="13234" hidden="1" x14ac:dyDescent="0.15"/>
    <row r="13235" hidden="1" x14ac:dyDescent="0.15"/>
    <row r="13236" hidden="1" x14ac:dyDescent="0.15"/>
    <row r="13237" hidden="1" x14ac:dyDescent="0.15"/>
    <row r="13238" hidden="1" x14ac:dyDescent="0.15"/>
    <row r="13239" hidden="1" x14ac:dyDescent="0.15"/>
    <row r="13240" hidden="1" x14ac:dyDescent="0.15"/>
    <row r="13241" hidden="1" x14ac:dyDescent="0.15"/>
    <row r="13242" hidden="1" x14ac:dyDescent="0.15"/>
    <row r="13243" hidden="1" x14ac:dyDescent="0.15"/>
    <row r="13244" hidden="1" x14ac:dyDescent="0.15"/>
    <row r="13245" hidden="1" x14ac:dyDescent="0.15"/>
    <row r="13246" hidden="1" x14ac:dyDescent="0.15"/>
    <row r="13247" hidden="1" x14ac:dyDescent="0.15"/>
    <row r="13248" hidden="1" x14ac:dyDescent="0.15"/>
    <row r="13249" hidden="1" x14ac:dyDescent="0.15"/>
    <row r="13250" hidden="1" x14ac:dyDescent="0.15"/>
    <row r="13251" hidden="1" x14ac:dyDescent="0.15"/>
    <row r="13252" hidden="1" x14ac:dyDescent="0.15"/>
    <row r="13253" hidden="1" x14ac:dyDescent="0.15"/>
    <row r="13254" hidden="1" x14ac:dyDescent="0.15"/>
    <row r="13255" hidden="1" x14ac:dyDescent="0.15"/>
    <row r="13256" hidden="1" x14ac:dyDescent="0.15"/>
    <row r="13257" hidden="1" x14ac:dyDescent="0.15"/>
    <row r="13258" hidden="1" x14ac:dyDescent="0.15"/>
    <row r="13259" hidden="1" x14ac:dyDescent="0.15"/>
    <row r="13260" hidden="1" x14ac:dyDescent="0.15"/>
    <row r="13261" hidden="1" x14ac:dyDescent="0.15"/>
    <row r="13262" hidden="1" x14ac:dyDescent="0.15"/>
    <row r="13263" hidden="1" x14ac:dyDescent="0.15"/>
    <row r="13264" hidden="1" x14ac:dyDescent="0.15"/>
    <row r="13265" hidden="1" x14ac:dyDescent="0.15"/>
    <row r="13266" hidden="1" x14ac:dyDescent="0.15"/>
    <row r="13267" hidden="1" x14ac:dyDescent="0.15"/>
    <row r="13268" hidden="1" x14ac:dyDescent="0.15"/>
    <row r="13269" hidden="1" x14ac:dyDescent="0.15"/>
    <row r="13270" hidden="1" x14ac:dyDescent="0.15"/>
    <row r="13271" hidden="1" x14ac:dyDescent="0.15"/>
    <row r="13272" hidden="1" x14ac:dyDescent="0.15"/>
    <row r="13273" hidden="1" x14ac:dyDescent="0.15"/>
    <row r="13274" hidden="1" x14ac:dyDescent="0.15"/>
    <row r="13275" hidden="1" x14ac:dyDescent="0.15"/>
    <row r="13276" hidden="1" x14ac:dyDescent="0.15"/>
    <row r="13277" hidden="1" x14ac:dyDescent="0.15"/>
    <row r="13278" hidden="1" x14ac:dyDescent="0.15"/>
    <row r="13279" hidden="1" x14ac:dyDescent="0.15"/>
    <row r="13280" hidden="1" x14ac:dyDescent="0.15"/>
    <row r="13281" hidden="1" x14ac:dyDescent="0.15"/>
    <row r="13282" hidden="1" x14ac:dyDescent="0.15"/>
    <row r="13283" hidden="1" x14ac:dyDescent="0.15"/>
    <row r="13284" hidden="1" x14ac:dyDescent="0.15"/>
    <row r="13285" hidden="1" x14ac:dyDescent="0.15"/>
    <row r="13286" hidden="1" x14ac:dyDescent="0.15"/>
    <row r="13287" hidden="1" x14ac:dyDescent="0.15"/>
    <row r="13288" hidden="1" x14ac:dyDescent="0.15"/>
    <row r="13289" hidden="1" x14ac:dyDescent="0.15"/>
    <row r="13290" hidden="1" x14ac:dyDescent="0.15"/>
    <row r="13291" hidden="1" x14ac:dyDescent="0.15"/>
    <row r="13292" hidden="1" x14ac:dyDescent="0.15"/>
    <row r="13293" hidden="1" x14ac:dyDescent="0.15"/>
    <row r="13294" hidden="1" x14ac:dyDescent="0.15"/>
    <row r="13295" hidden="1" x14ac:dyDescent="0.15"/>
    <row r="13296" hidden="1" x14ac:dyDescent="0.15"/>
    <row r="13297" hidden="1" x14ac:dyDescent="0.15"/>
    <row r="13298" hidden="1" x14ac:dyDescent="0.15"/>
    <row r="13299" hidden="1" x14ac:dyDescent="0.15"/>
    <row r="13300" hidden="1" x14ac:dyDescent="0.15"/>
    <row r="13301" hidden="1" x14ac:dyDescent="0.15"/>
    <row r="13302" hidden="1" x14ac:dyDescent="0.15"/>
    <row r="13303" hidden="1" x14ac:dyDescent="0.15"/>
    <row r="13304" hidden="1" x14ac:dyDescent="0.15"/>
    <row r="13305" hidden="1" x14ac:dyDescent="0.15"/>
    <row r="13306" hidden="1" x14ac:dyDescent="0.15"/>
    <row r="13307" hidden="1" x14ac:dyDescent="0.15"/>
    <row r="13308" hidden="1" x14ac:dyDescent="0.15"/>
    <row r="13309" hidden="1" x14ac:dyDescent="0.15"/>
    <row r="13310" hidden="1" x14ac:dyDescent="0.15"/>
    <row r="13311" hidden="1" x14ac:dyDescent="0.15"/>
    <row r="13312" hidden="1" x14ac:dyDescent="0.15"/>
    <row r="13313" hidden="1" x14ac:dyDescent="0.15"/>
    <row r="13314" hidden="1" x14ac:dyDescent="0.15"/>
    <row r="13315" hidden="1" x14ac:dyDescent="0.15"/>
    <row r="13316" hidden="1" x14ac:dyDescent="0.15"/>
    <row r="13317" hidden="1" x14ac:dyDescent="0.15"/>
    <row r="13318" hidden="1" x14ac:dyDescent="0.15"/>
    <row r="13319" hidden="1" x14ac:dyDescent="0.15"/>
    <row r="13320" hidden="1" x14ac:dyDescent="0.15"/>
    <row r="13321" hidden="1" x14ac:dyDescent="0.15"/>
    <row r="13322" hidden="1" x14ac:dyDescent="0.15"/>
    <row r="13323" hidden="1" x14ac:dyDescent="0.15"/>
    <row r="13324" hidden="1" x14ac:dyDescent="0.15"/>
    <row r="13325" hidden="1" x14ac:dyDescent="0.15"/>
    <row r="13326" hidden="1" x14ac:dyDescent="0.15"/>
    <row r="13327" hidden="1" x14ac:dyDescent="0.15"/>
    <row r="13328" hidden="1" x14ac:dyDescent="0.15"/>
    <row r="13329" hidden="1" x14ac:dyDescent="0.15"/>
    <row r="13330" hidden="1" x14ac:dyDescent="0.15"/>
    <row r="13331" hidden="1" x14ac:dyDescent="0.15"/>
    <row r="13332" hidden="1" x14ac:dyDescent="0.15"/>
    <row r="13333" hidden="1" x14ac:dyDescent="0.15"/>
    <row r="13334" hidden="1" x14ac:dyDescent="0.15"/>
    <row r="13335" hidden="1" x14ac:dyDescent="0.15"/>
    <row r="13336" hidden="1" x14ac:dyDescent="0.15"/>
    <row r="13337" hidden="1" x14ac:dyDescent="0.15"/>
    <row r="13338" hidden="1" x14ac:dyDescent="0.15"/>
    <row r="13339" hidden="1" x14ac:dyDescent="0.15"/>
    <row r="13340" hidden="1" x14ac:dyDescent="0.15"/>
    <row r="13341" hidden="1" x14ac:dyDescent="0.15"/>
    <row r="13342" hidden="1" x14ac:dyDescent="0.15"/>
    <row r="13343" hidden="1" x14ac:dyDescent="0.15"/>
    <row r="13344" hidden="1" x14ac:dyDescent="0.15"/>
    <row r="13345" hidden="1" x14ac:dyDescent="0.15"/>
    <row r="13346" hidden="1" x14ac:dyDescent="0.15"/>
    <row r="13347" hidden="1" x14ac:dyDescent="0.15"/>
    <row r="13348" hidden="1" x14ac:dyDescent="0.15"/>
    <row r="13349" hidden="1" x14ac:dyDescent="0.15"/>
    <row r="13350" hidden="1" x14ac:dyDescent="0.15"/>
    <row r="13351" hidden="1" x14ac:dyDescent="0.15"/>
    <row r="13352" hidden="1" x14ac:dyDescent="0.15"/>
    <row r="13353" hidden="1" x14ac:dyDescent="0.15"/>
    <row r="13354" hidden="1" x14ac:dyDescent="0.15"/>
    <row r="13355" hidden="1" x14ac:dyDescent="0.15"/>
    <row r="13356" hidden="1" x14ac:dyDescent="0.15"/>
    <row r="13357" hidden="1" x14ac:dyDescent="0.15"/>
    <row r="13358" hidden="1" x14ac:dyDescent="0.15"/>
    <row r="13359" hidden="1" x14ac:dyDescent="0.15"/>
    <row r="13360" hidden="1" x14ac:dyDescent="0.15"/>
    <row r="13361" hidden="1" x14ac:dyDescent="0.15"/>
    <row r="13362" hidden="1" x14ac:dyDescent="0.15"/>
    <row r="13363" hidden="1" x14ac:dyDescent="0.15"/>
    <row r="13364" hidden="1" x14ac:dyDescent="0.15"/>
    <row r="13365" hidden="1" x14ac:dyDescent="0.15"/>
    <row r="13366" hidden="1" x14ac:dyDescent="0.15"/>
    <row r="13367" hidden="1" x14ac:dyDescent="0.15"/>
    <row r="13368" hidden="1" x14ac:dyDescent="0.15"/>
    <row r="13369" hidden="1" x14ac:dyDescent="0.15"/>
    <row r="13370" hidden="1" x14ac:dyDescent="0.15"/>
    <row r="13371" hidden="1" x14ac:dyDescent="0.15"/>
    <row r="13372" hidden="1" x14ac:dyDescent="0.15"/>
    <row r="13373" hidden="1" x14ac:dyDescent="0.15"/>
    <row r="13374" hidden="1" x14ac:dyDescent="0.15"/>
    <row r="13375" hidden="1" x14ac:dyDescent="0.15"/>
    <row r="13376" hidden="1" x14ac:dyDescent="0.15"/>
    <row r="13377" hidden="1" x14ac:dyDescent="0.15"/>
    <row r="13378" hidden="1" x14ac:dyDescent="0.15"/>
    <row r="13379" hidden="1" x14ac:dyDescent="0.15"/>
    <row r="13380" hidden="1" x14ac:dyDescent="0.15"/>
    <row r="13381" hidden="1" x14ac:dyDescent="0.15"/>
    <row r="13382" hidden="1" x14ac:dyDescent="0.15"/>
    <row r="13383" hidden="1" x14ac:dyDescent="0.15"/>
    <row r="13384" hidden="1" x14ac:dyDescent="0.15"/>
    <row r="13385" hidden="1" x14ac:dyDescent="0.15"/>
    <row r="13386" hidden="1" x14ac:dyDescent="0.15"/>
    <row r="13387" hidden="1" x14ac:dyDescent="0.15"/>
    <row r="13388" hidden="1" x14ac:dyDescent="0.15"/>
    <row r="13389" hidden="1" x14ac:dyDescent="0.15"/>
    <row r="13390" hidden="1" x14ac:dyDescent="0.15"/>
    <row r="13391" hidden="1" x14ac:dyDescent="0.15"/>
    <row r="13392" hidden="1" x14ac:dyDescent="0.15"/>
    <row r="13393" hidden="1" x14ac:dyDescent="0.15"/>
    <row r="13394" hidden="1" x14ac:dyDescent="0.15"/>
    <row r="13395" hidden="1" x14ac:dyDescent="0.15"/>
    <row r="13396" hidden="1" x14ac:dyDescent="0.15"/>
    <row r="13397" hidden="1" x14ac:dyDescent="0.15"/>
    <row r="13398" hidden="1" x14ac:dyDescent="0.15"/>
    <row r="13399" hidden="1" x14ac:dyDescent="0.15"/>
    <row r="13400" hidden="1" x14ac:dyDescent="0.15"/>
    <row r="13401" hidden="1" x14ac:dyDescent="0.15"/>
    <row r="13402" hidden="1" x14ac:dyDescent="0.15"/>
    <row r="13403" hidden="1" x14ac:dyDescent="0.15"/>
    <row r="13404" hidden="1" x14ac:dyDescent="0.15"/>
    <row r="13405" hidden="1" x14ac:dyDescent="0.15"/>
    <row r="13406" hidden="1" x14ac:dyDescent="0.15"/>
    <row r="13407" hidden="1" x14ac:dyDescent="0.15"/>
    <row r="13408" hidden="1" x14ac:dyDescent="0.15"/>
    <row r="13409" hidden="1" x14ac:dyDescent="0.15"/>
    <row r="13410" hidden="1" x14ac:dyDescent="0.15"/>
    <row r="13411" hidden="1" x14ac:dyDescent="0.15"/>
    <row r="13412" hidden="1" x14ac:dyDescent="0.15"/>
    <row r="13413" hidden="1" x14ac:dyDescent="0.15"/>
    <row r="13414" hidden="1" x14ac:dyDescent="0.15"/>
    <row r="13415" hidden="1" x14ac:dyDescent="0.15"/>
    <row r="13416" hidden="1" x14ac:dyDescent="0.15"/>
    <row r="13417" hidden="1" x14ac:dyDescent="0.15"/>
    <row r="13418" hidden="1" x14ac:dyDescent="0.15"/>
    <row r="13419" hidden="1" x14ac:dyDescent="0.15"/>
    <row r="13420" hidden="1" x14ac:dyDescent="0.15"/>
    <row r="13421" hidden="1" x14ac:dyDescent="0.15"/>
    <row r="13422" hidden="1" x14ac:dyDescent="0.15"/>
    <row r="13423" hidden="1" x14ac:dyDescent="0.15"/>
    <row r="13424" hidden="1" x14ac:dyDescent="0.15"/>
    <row r="13425" hidden="1" x14ac:dyDescent="0.15"/>
    <row r="13426" hidden="1" x14ac:dyDescent="0.15"/>
    <row r="13427" hidden="1" x14ac:dyDescent="0.15"/>
    <row r="13428" hidden="1" x14ac:dyDescent="0.15"/>
    <row r="13429" hidden="1" x14ac:dyDescent="0.15"/>
    <row r="13430" hidden="1" x14ac:dyDescent="0.15"/>
    <row r="13431" hidden="1" x14ac:dyDescent="0.15"/>
    <row r="13432" hidden="1" x14ac:dyDescent="0.15"/>
    <row r="13433" hidden="1" x14ac:dyDescent="0.15"/>
    <row r="13434" hidden="1" x14ac:dyDescent="0.15"/>
    <row r="13435" hidden="1" x14ac:dyDescent="0.15"/>
    <row r="13436" hidden="1" x14ac:dyDescent="0.15"/>
    <row r="13437" hidden="1" x14ac:dyDescent="0.15"/>
    <row r="13438" hidden="1" x14ac:dyDescent="0.15"/>
    <row r="13439" hidden="1" x14ac:dyDescent="0.15"/>
    <row r="13440" hidden="1" x14ac:dyDescent="0.15"/>
    <row r="13441" hidden="1" x14ac:dyDescent="0.15"/>
    <row r="13442" hidden="1" x14ac:dyDescent="0.15"/>
    <row r="13443" hidden="1" x14ac:dyDescent="0.15"/>
    <row r="13444" hidden="1" x14ac:dyDescent="0.15"/>
    <row r="13445" hidden="1" x14ac:dyDescent="0.15"/>
    <row r="13446" hidden="1" x14ac:dyDescent="0.15"/>
    <row r="13447" hidden="1" x14ac:dyDescent="0.15"/>
    <row r="13448" hidden="1" x14ac:dyDescent="0.15"/>
    <row r="13449" hidden="1" x14ac:dyDescent="0.15"/>
    <row r="13450" hidden="1" x14ac:dyDescent="0.15"/>
    <row r="13451" hidden="1" x14ac:dyDescent="0.15"/>
    <row r="13452" hidden="1" x14ac:dyDescent="0.15"/>
    <row r="13453" hidden="1" x14ac:dyDescent="0.15"/>
    <row r="13454" hidden="1" x14ac:dyDescent="0.15"/>
    <row r="13455" hidden="1" x14ac:dyDescent="0.15"/>
    <row r="13456" hidden="1" x14ac:dyDescent="0.15"/>
    <row r="13457" hidden="1" x14ac:dyDescent="0.15"/>
    <row r="13458" hidden="1" x14ac:dyDescent="0.15"/>
    <row r="13459" hidden="1" x14ac:dyDescent="0.15"/>
    <row r="13460" hidden="1" x14ac:dyDescent="0.15"/>
    <row r="13461" hidden="1" x14ac:dyDescent="0.15"/>
    <row r="13462" hidden="1" x14ac:dyDescent="0.15"/>
    <row r="13463" hidden="1" x14ac:dyDescent="0.15"/>
    <row r="13464" hidden="1" x14ac:dyDescent="0.15"/>
    <row r="13465" hidden="1" x14ac:dyDescent="0.15"/>
    <row r="13466" hidden="1" x14ac:dyDescent="0.15"/>
    <row r="13467" hidden="1" x14ac:dyDescent="0.15"/>
    <row r="13468" hidden="1" x14ac:dyDescent="0.15"/>
    <row r="13469" hidden="1" x14ac:dyDescent="0.15"/>
    <row r="13470" hidden="1" x14ac:dyDescent="0.15"/>
    <row r="13471" hidden="1" x14ac:dyDescent="0.15"/>
    <row r="13472" hidden="1" x14ac:dyDescent="0.15"/>
    <row r="13473" hidden="1" x14ac:dyDescent="0.15"/>
    <row r="13474" hidden="1" x14ac:dyDescent="0.15"/>
    <row r="13475" hidden="1" x14ac:dyDescent="0.15"/>
    <row r="13476" hidden="1" x14ac:dyDescent="0.15"/>
    <row r="13477" hidden="1" x14ac:dyDescent="0.15"/>
    <row r="13478" hidden="1" x14ac:dyDescent="0.15"/>
    <row r="13479" hidden="1" x14ac:dyDescent="0.15"/>
    <row r="13480" hidden="1" x14ac:dyDescent="0.15"/>
    <row r="13481" hidden="1" x14ac:dyDescent="0.15"/>
    <row r="13482" hidden="1" x14ac:dyDescent="0.15"/>
    <row r="13483" hidden="1" x14ac:dyDescent="0.15"/>
    <row r="13484" hidden="1" x14ac:dyDescent="0.15"/>
    <row r="13485" hidden="1" x14ac:dyDescent="0.15"/>
    <row r="13486" hidden="1" x14ac:dyDescent="0.15"/>
    <row r="13487" hidden="1" x14ac:dyDescent="0.15"/>
    <row r="13488" hidden="1" x14ac:dyDescent="0.15"/>
    <row r="13489" hidden="1" x14ac:dyDescent="0.15"/>
    <row r="13490" hidden="1" x14ac:dyDescent="0.15"/>
    <row r="13491" hidden="1" x14ac:dyDescent="0.15"/>
    <row r="13492" hidden="1" x14ac:dyDescent="0.15"/>
    <row r="13493" hidden="1" x14ac:dyDescent="0.15"/>
    <row r="13494" hidden="1" x14ac:dyDescent="0.15"/>
    <row r="13495" hidden="1" x14ac:dyDescent="0.15"/>
    <row r="13496" hidden="1" x14ac:dyDescent="0.15"/>
    <row r="13497" hidden="1" x14ac:dyDescent="0.15"/>
    <row r="13498" hidden="1" x14ac:dyDescent="0.15"/>
    <row r="13499" hidden="1" x14ac:dyDescent="0.15"/>
    <row r="13500" hidden="1" x14ac:dyDescent="0.15"/>
    <row r="13501" hidden="1" x14ac:dyDescent="0.15"/>
    <row r="13502" hidden="1" x14ac:dyDescent="0.15"/>
    <row r="13503" hidden="1" x14ac:dyDescent="0.15"/>
    <row r="13504" hidden="1" x14ac:dyDescent="0.15"/>
    <row r="13505" hidden="1" x14ac:dyDescent="0.15"/>
    <row r="13506" hidden="1" x14ac:dyDescent="0.15"/>
    <row r="13507" hidden="1" x14ac:dyDescent="0.15"/>
    <row r="13508" hidden="1" x14ac:dyDescent="0.15"/>
    <row r="13509" hidden="1" x14ac:dyDescent="0.15"/>
    <row r="13510" hidden="1" x14ac:dyDescent="0.15"/>
    <row r="13511" hidden="1" x14ac:dyDescent="0.15"/>
    <row r="13512" hidden="1" x14ac:dyDescent="0.15"/>
    <row r="13513" hidden="1" x14ac:dyDescent="0.15"/>
    <row r="13514" hidden="1" x14ac:dyDescent="0.15"/>
    <row r="13515" hidden="1" x14ac:dyDescent="0.15"/>
    <row r="13516" hidden="1" x14ac:dyDescent="0.15"/>
    <row r="13517" hidden="1" x14ac:dyDescent="0.15"/>
    <row r="13518" hidden="1" x14ac:dyDescent="0.15"/>
    <row r="13519" hidden="1" x14ac:dyDescent="0.15"/>
    <row r="13520" hidden="1" x14ac:dyDescent="0.15"/>
    <row r="13521" hidden="1" x14ac:dyDescent="0.15"/>
    <row r="13522" hidden="1" x14ac:dyDescent="0.15"/>
    <row r="13523" hidden="1" x14ac:dyDescent="0.15"/>
    <row r="13524" hidden="1" x14ac:dyDescent="0.15"/>
    <row r="13525" hidden="1" x14ac:dyDescent="0.15"/>
    <row r="13526" hidden="1" x14ac:dyDescent="0.15"/>
    <row r="13527" hidden="1" x14ac:dyDescent="0.15"/>
    <row r="13528" hidden="1" x14ac:dyDescent="0.15"/>
    <row r="13529" hidden="1" x14ac:dyDescent="0.15"/>
    <row r="13530" hidden="1" x14ac:dyDescent="0.15"/>
    <row r="13531" hidden="1" x14ac:dyDescent="0.15"/>
    <row r="13532" hidden="1" x14ac:dyDescent="0.15"/>
    <row r="13533" hidden="1" x14ac:dyDescent="0.15"/>
    <row r="13534" hidden="1" x14ac:dyDescent="0.15"/>
    <row r="13535" hidden="1" x14ac:dyDescent="0.15"/>
    <row r="13536" hidden="1" x14ac:dyDescent="0.15"/>
    <row r="13537" hidden="1" x14ac:dyDescent="0.15"/>
    <row r="13538" hidden="1" x14ac:dyDescent="0.15"/>
    <row r="13539" hidden="1" x14ac:dyDescent="0.15"/>
    <row r="13540" hidden="1" x14ac:dyDescent="0.15"/>
    <row r="13541" hidden="1" x14ac:dyDescent="0.15"/>
    <row r="13542" hidden="1" x14ac:dyDescent="0.15"/>
    <row r="13543" hidden="1" x14ac:dyDescent="0.15"/>
    <row r="13544" hidden="1" x14ac:dyDescent="0.15"/>
    <row r="13545" hidden="1" x14ac:dyDescent="0.15"/>
    <row r="13546" hidden="1" x14ac:dyDescent="0.15"/>
    <row r="13547" hidden="1" x14ac:dyDescent="0.15"/>
    <row r="13548" hidden="1" x14ac:dyDescent="0.15"/>
    <row r="13549" hidden="1" x14ac:dyDescent="0.15"/>
    <row r="13550" hidden="1" x14ac:dyDescent="0.15"/>
    <row r="13551" hidden="1" x14ac:dyDescent="0.15"/>
    <row r="13552" hidden="1" x14ac:dyDescent="0.15"/>
    <row r="13553" hidden="1" x14ac:dyDescent="0.15"/>
    <row r="13554" hidden="1" x14ac:dyDescent="0.15"/>
    <row r="13555" hidden="1" x14ac:dyDescent="0.15"/>
    <row r="13556" hidden="1" x14ac:dyDescent="0.15"/>
    <row r="13557" hidden="1" x14ac:dyDescent="0.15"/>
    <row r="13558" hidden="1" x14ac:dyDescent="0.15"/>
    <row r="13559" hidden="1" x14ac:dyDescent="0.15"/>
    <row r="13560" hidden="1" x14ac:dyDescent="0.15"/>
    <row r="13561" hidden="1" x14ac:dyDescent="0.15"/>
    <row r="13562" hidden="1" x14ac:dyDescent="0.15"/>
    <row r="13563" hidden="1" x14ac:dyDescent="0.15"/>
    <row r="13564" hidden="1" x14ac:dyDescent="0.15"/>
    <row r="13565" hidden="1" x14ac:dyDescent="0.15"/>
    <row r="13566" hidden="1" x14ac:dyDescent="0.15"/>
    <row r="13567" hidden="1" x14ac:dyDescent="0.15"/>
    <row r="13568" hidden="1" x14ac:dyDescent="0.15"/>
    <row r="13569" hidden="1" x14ac:dyDescent="0.15"/>
    <row r="13570" hidden="1" x14ac:dyDescent="0.15"/>
    <row r="13571" hidden="1" x14ac:dyDescent="0.15"/>
    <row r="13572" hidden="1" x14ac:dyDescent="0.15"/>
    <row r="13573" hidden="1" x14ac:dyDescent="0.15"/>
    <row r="13574" hidden="1" x14ac:dyDescent="0.15"/>
    <row r="13575" hidden="1" x14ac:dyDescent="0.15"/>
    <row r="13576" hidden="1" x14ac:dyDescent="0.15"/>
    <row r="13577" hidden="1" x14ac:dyDescent="0.15"/>
    <row r="13578" hidden="1" x14ac:dyDescent="0.15"/>
    <row r="13579" hidden="1" x14ac:dyDescent="0.15"/>
    <row r="13580" hidden="1" x14ac:dyDescent="0.15"/>
    <row r="13581" hidden="1" x14ac:dyDescent="0.15"/>
    <row r="13582" hidden="1" x14ac:dyDescent="0.15"/>
    <row r="13583" hidden="1" x14ac:dyDescent="0.15"/>
    <row r="13584" hidden="1" x14ac:dyDescent="0.15"/>
    <row r="13585" hidden="1" x14ac:dyDescent="0.15"/>
    <row r="13586" hidden="1" x14ac:dyDescent="0.15"/>
    <row r="13587" hidden="1" x14ac:dyDescent="0.15"/>
    <row r="13588" hidden="1" x14ac:dyDescent="0.15"/>
    <row r="13589" hidden="1" x14ac:dyDescent="0.15"/>
    <row r="13590" hidden="1" x14ac:dyDescent="0.15"/>
    <row r="13591" hidden="1" x14ac:dyDescent="0.15"/>
    <row r="13592" hidden="1" x14ac:dyDescent="0.15"/>
    <row r="13593" hidden="1" x14ac:dyDescent="0.15"/>
    <row r="13594" hidden="1" x14ac:dyDescent="0.15"/>
    <row r="13595" hidden="1" x14ac:dyDescent="0.15"/>
    <row r="13596" hidden="1" x14ac:dyDescent="0.15"/>
    <row r="13597" hidden="1" x14ac:dyDescent="0.15"/>
    <row r="13598" hidden="1" x14ac:dyDescent="0.15"/>
    <row r="13599" hidden="1" x14ac:dyDescent="0.15"/>
    <row r="13600" hidden="1" x14ac:dyDescent="0.15"/>
    <row r="13601" hidden="1" x14ac:dyDescent="0.15"/>
    <row r="13602" hidden="1" x14ac:dyDescent="0.15"/>
    <row r="13603" hidden="1" x14ac:dyDescent="0.15"/>
    <row r="13604" hidden="1" x14ac:dyDescent="0.15"/>
    <row r="13605" hidden="1" x14ac:dyDescent="0.15"/>
    <row r="13606" hidden="1" x14ac:dyDescent="0.15"/>
    <row r="13607" hidden="1" x14ac:dyDescent="0.15"/>
    <row r="13608" hidden="1" x14ac:dyDescent="0.15"/>
    <row r="13609" hidden="1" x14ac:dyDescent="0.15"/>
    <row r="13610" hidden="1" x14ac:dyDescent="0.15"/>
    <row r="13611" hidden="1" x14ac:dyDescent="0.15"/>
    <row r="13612" hidden="1" x14ac:dyDescent="0.15"/>
    <row r="13613" hidden="1" x14ac:dyDescent="0.15"/>
    <row r="13614" hidden="1" x14ac:dyDescent="0.15"/>
    <row r="13615" hidden="1" x14ac:dyDescent="0.15"/>
    <row r="13616" hidden="1" x14ac:dyDescent="0.15"/>
    <row r="13617" hidden="1" x14ac:dyDescent="0.15"/>
    <row r="13618" hidden="1" x14ac:dyDescent="0.15"/>
    <row r="13619" hidden="1" x14ac:dyDescent="0.15"/>
    <row r="13620" hidden="1" x14ac:dyDescent="0.15"/>
    <row r="13621" hidden="1" x14ac:dyDescent="0.15"/>
    <row r="13622" hidden="1" x14ac:dyDescent="0.15"/>
    <row r="13623" hidden="1" x14ac:dyDescent="0.15"/>
    <row r="13624" hidden="1" x14ac:dyDescent="0.15"/>
    <row r="13625" hidden="1" x14ac:dyDescent="0.15"/>
    <row r="13626" hidden="1" x14ac:dyDescent="0.15"/>
    <row r="13627" hidden="1" x14ac:dyDescent="0.15"/>
    <row r="13628" hidden="1" x14ac:dyDescent="0.15"/>
    <row r="13629" hidden="1" x14ac:dyDescent="0.15"/>
    <row r="13630" hidden="1" x14ac:dyDescent="0.15"/>
    <row r="13631" hidden="1" x14ac:dyDescent="0.15"/>
    <row r="13632" hidden="1" x14ac:dyDescent="0.15"/>
    <row r="13633" hidden="1" x14ac:dyDescent="0.15"/>
    <row r="13634" hidden="1" x14ac:dyDescent="0.15"/>
    <row r="13635" hidden="1" x14ac:dyDescent="0.15"/>
    <row r="13636" hidden="1" x14ac:dyDescent="0.15"/>
    <row r="13637" hidden="1" x14ac:dyDescent="0.15"/>
    <row r="13638" hidden="1" x14ac:dyDescent="0.15"/>
    <row r="13639" hidden="1" x14ac:dyDescent="0.15"/>
    <row r="13640" hidden="1" x14ac:dyDescent="0.15"/>
    <row r="13641" hidden="1" x14ac:dyDescent="0.15"/>
    <row r="13642" hidden="1" x14ac:dyDescent="0.15"/>
    <row r="13643" hidden="1" x14ac:dyDescent="0.15"/>
    <row r="13644" hidden="1" x14ac:dyDescent="0.15"/>
    <row r="13645" hidden="1" x14ac:dyDescent="0.15"/>
    <row r="13646" hidden="1" x14ac:dyDescent="0.15"/>
    <row r="13647" hidden="1" x14ac:dyDescent="0.15"/>
    <row r="13648" hidden="1" x14ac:dyDescent="0.15"/>
    <row r="13649" hidden="1" x14ac:dyDescent="0.15"/>
    <row r="13650" hidden="1" x14ac:dyDescent="0.15"/>
    <row r="13651" hidden="1" x14ac:dyDescent="0.15"/>
    <row r="13652" hidden="1" x14ac:dyDescent="0.15"/>
    <row r="13653" hidden="1" x14ac:dyDescent="0.15"/>
    <row r="13654" hidden="1" x14ac:dyDescent="0.15"/>
    <row r="13655" hidden="1" x14ac:dyDescent="0.15"/>
    <row r="13656" hidden="1" x14ac:dyDescent="0.15"/>
    <row r="13657" hidden="1" x14ac:dyDescent="0.15"/>
    <row r="13658" hidden="1" x14ac:dyDescent="0.15"/>
    <row r="13659" hidden="1" x14ac:dyDescent="0.15"/>
    <row r="13660" hidden="1" x14ac:dyDescent="0.15"/>
    <row r="13661" hidden="1" x14ac:dyDescent="0.15"/>
    <row r="13662" hidden="1" x14ac:dyDescent="0.15"/>
    <row r="13663" hidden="1" x14ac:dyDescent="0.15"/>
    <row r="13664" hidden="1" x14ac:dyDescent="0.15"/>
    <row r="13665" hidden="1" x14ac:dyDescent="0.15"/>
    <row r="13666" hidden="1" x14ac:dyDescent="0.15"/>
    <row r="13667" hidden="1" x14ac:dyDescent="0.15"/>
    <row r="13668" hidden="1" x14ac:dyDescent="0.15"/>
    <row r="13669" hidden="1" x14ac:dyDescent="0.15"/>
    <row r="13670" hidden="1" x14ac:dyDescent="0.15"/>
    <row r="13671" hidden="1" x14ac:dyDescent="0.15"/>
    <row r="13672" hidden="1" x14ac:dyDescent="0.15"/>
    <row r="13673" hidden="1" x14ac:dyDescent="0.15"/>
    <row r="13674" hidden="1" x14ac:dyDescent="0.15"/>
    <row r="13675" hidden="1" x14ac:dyDescent="0.15"/>
    <row r="13676" hidden="1" x14ac:dyDescent="0.15"/>
    <row r="13677" hidden="1" x14ac:dyDescent="0.15"/>
    <row r="13678" hidden="1" x14ac:dyDescent="0.15"/>
    <row r="13679" hidden="1" x14ac:dyDescent="0.15"/>
    <row r="13680" hidden="1" x14ac:dyDescent="0.15"/>
    <row r="13681" hidden="1" x14ac:dyDescent="0.15"/>
    <row r="13682" hidden="1" x14ac:dyDescent="0.15"/>
    <row r="13683" hidden="1" x14ac:dyDescent="0.15"/>
    <row r="13684" hidden="1" x14ac:dyDescent="0.15"/>
    <row r="13685" hidden="1" x14ac:dyDescent="0.15"/>
    <row r="13686" hidden="1" x14ac:dyDescent="0.15"/>
    <row r="13687" hidden="1" x14ac:dyDescent="0.15"/>
    <row r="13688" hidden="1" x14ac:dyDescent="0.15"/>
    <row r="13689" hidden="1" x14ac:dyDescent="0.15"/>
    <row r="13690" hidden="1" x14ac:dyDescent="0.15"/>
    <row r="13691" hidden="1" x14ac:dyDescent="0.15"/>
    <row r="13692" hidden="1" x14ac:dyDescent="0.15"/>
    <row r="13693" hidden="1" x14ac:dyDescent="0.15"/>
    <row r="13694" hidden="1" x14ac:dyDescent="0.15"/>
    <row r="13695" hidden="1" x14ac:dyDescent="0.15"/>
    <row r="13696" hidden="1" x14ac:dyDescent="0.15"/>
    <row r="13697" hidden="1" x14ac:dyDescent="0.15"/>
    <row r="13698" hidden="1" x14ac:dyDescent="0.15"/>
    <row r="13699" hidden="1" x14ac:dyDescent="0.15"/>
    <row r="13700" hidden="1" x14ac:dyDescent="0.15"/>
    <row r="13701" hidden="1" x14ac:dyDescent="0.15"/>
    <row r="13702" hidden="1" x14ac:dyDescent="0.15"/>
    <row r="13703" hidden="1" x14ac:dyDescent="0.15"/>
    <row r="13704" hidden="1" x14ac:dyDescent="0.15"/>
    <row r="13705" hidden="1" x14ac:dyDescent="0.15"/>
    <row r="13706" hidden="1" x14ac:dyDescent="0.15"/>
    <row r="13707" hidden="1" x14ac:dyDescent="0.15"/>
    <row r="13708" hidden="1" x14ac:dyDescent="0.15"/>
    <row r="13709" hidden="1" x14ac:dyDescent="0.15"/>
    <row r="13710" hidden="1" x14ac:dyDescent="0.15"/>
    <row r="13711" hidden="1" x14ac:dyDescent="0.15"/>
    <row r="13712" hidden="1" x14ac:dyDescent="0.15"/>
    <row r="13713" hidden="1" x14ac:dyDescent="0.15"/>
    <row r="13714" hidden="1" x14ac:dyDescent="0.15"/>
    <row r="13715" hidden="1" x14ac:dyDescent="0.15"/>
    <row r="13716" hidden="1" x14ac:dyDescent="0.15"/>
    <row r="13717" hidden="1" x14ac:dyDescent="0.15"/>
    <row r="13718" hidden="1" x14ac:dyDescent="0.15"/>
    <row r="13719" hidden="1" x14ac:dyDescent="0.15"/>
    <row r="13720" hidden="1" x14ac:dyDescent="0.15"/>
    <row r="13721" hidden="1" x14ac:dyDescent="0.15"/>
    <row r="13722" hidden="1" x14ac:dyDescent="0.15"/>
    <row r="13723" hidden="1" x14ac:dyDescent="0.15"/>
    <row r="13724" hidden="1" x14ac:dyDescent="0.15"/>
    <row r="13725" hidden="1" x14ac:dyDescent="0.15"/>
    <row r="13726" hidden="1" x14ac:dyDescent="0.15"/>
    <row r="13727" hidden="1" x14ac:dyDescent="0.15"/>
    <row r="13728" hidden="1" x14ac:dyDescent="0.15"/>
    <row r="13729" hidden="1" x14ac:dyDescent="0.15"/>
    <row r="13730" hidden="1" x14ac:dyDescent="0.15"/>
    <row r="13731" hidden="1" x14ac:dyDescent="0.15"/>
    <row r="13732" hidden="1" x14ac:dyDescent="0.15"/>
    <row r="13733" hidden="1" x14ac:dyDescent="0.15"/>
    <row r="13734" hidden="1" x14ac:dyDescent="0.15"/>
    <row r="13735" hidden="1" x14ac:dyDescent="0.15"/>
    <row r="13736" hidden="1" x14ac:dyDescent="0.15"/>
    <row r="13737" hidden="1" x14ac:dyDescent="0.15"/>
    <row r="13738" hidden="1" x14ac:dyDescent="0.15"/>
    <row r="13739" hidden="1" x14ac:dyDescent="0.15"/>
    <row r="13740" hidden="1" x14ac:dyDescent="0.15"/>
    <row r="13741" hidden="1" x14ac:dyDescent="0.15"/>
    <row r="13742" hidden="1" x14ac:dyDescent="0.15"/>
    <row r="13743" hidden="1" x14ac:dyDescent="0.15"/>
    <row r="13744" hidden="1" x14ac:dyDescent="0.15"/>
    <row r="13745" hidden="1" x14ac:dyDescent="0.15"/>
    <row r="13746" hidden="1" x14ac:dyDescent="0.15"/>
    <row r="13747" hidden="1" x14ac:dyDescent="0.15"/>
    <row r="13748" hidden="1" x14ac:dyDescent="0.15"/>
    <row r="13749" hidden="1" x14ac:dyDescent="0.15"/>
    <row r="13750" hidden="1" x14ac:dyDescent="0.15"/>
    <row r="13751" hidden="1" x14ac:dyDescent="0.15"/>
    <row r="13752" hidden="1" x14ac:dyDescent="0.15"/>
    <row r="13753" hidden="1" x14ac:dyDescent="0.15"/>
    <row r="13754" hidden="1" x14ac:dyDescent="0.15"/>
    <row r="13755" hidden="1" x14ac:dyDescent="0.15"/>
    <row r="13756" hidden="1" x14ac:dyDescent="0.15"/>
    <row r="13757" hidden="1" x14ac:dyDescent="0.15"/>
    <row r="13758" hidden="1" x14ac:dyDescent="0.15"/>
    <row r="13759" hidden="1" x14ac:dyDescent="0.15"/>
    <row r="13760" hidden="1" x14ac:dyDescent="0.15"/>
    <row r="13761" hidden="1" x14ac:dyDescent="0.15"/>
    <row r="13762" hidden="1" x14ac:dyDescent="0.15"/>
    <row r="13763" hidden="1" x14ac:dyDescent="0.15"/>
    <row r="13764" hidden="1" x14ac:dyDescent="0.15"/>
    <row r="13765" hidden="1" x14ac:dyDescent="0.15"/>
    <row r="13766" hidden="1" x14ac:dyDescent="0.15"/>
    <row r="13767" hidden="1" x14ac:dyDescent="0.15"/>
    <row r="13768" hidden="1" x14ac:dyDescent="0.15"/>
    <row r="13769" hidden="1" x14ac:dyDescent="0.15"/>
    <row r="13770" hidden="1" x14ac:dyDescent="0.15"/>
    <row r="13771" hidden="1" x14ac:dyDescent="0.15"/>
    <row r="13772" hidden="1" x14ac:dyDescent="0.15"/>
    <row r="13773" hidden="1" x14ac:dyDescent="0.15"/>
    <row r="13774" hidden="1" x14ac:dyDescent="0.15"/>
    <row r="13775" hidden="1" x14ac:dyDescent="0.15"/>
    <row r="13776" hidden="1" x14ac:dyDescent="0.15"/>
    <row r="13777" hidden="1" x14ac:dyDescent="0.15"/>
    <row r="13778" hidden="1" x14ac:dyDescent="0.15"/>
    <row r="13779" hidden="1" x14ac:dyDescent="0.15"/>
    <row r="13780" hidden="1" x14ac:dyDescent="0.15"/>
    <row r="13781" hidden="1" x14ac:dyDescent="0.15"/>
    <row r="13782" hidden="1" x14ac:dyDescent="0.15"/>
    <row r="13783" hidden="1" x14ac:dyDescent="0.15"/>
    <row r="13784" hidden="1" x14ac:dyDescent="0.15"/>
    <row r="13785" hidden="1" x14ac:dyDescent="0.15"/>
    <row r="13786" hidden="1" x14ac:dyDescent="0.15"/>
    <row r="13787" hidden="1" x14ac:dyDescent="0.15"/>
    <row r="13788" hidden="1" x14ac:dyDescent="0.15"/>
    <row r="13789" hidden="1" x14ac:dyDescent="0.15"/>
    <row r="13790" hidden="1" x14ac:dyDescent="0.15"/>
    <row r="13791" hidden="1" x14ac:dyDescent="0.15"/>
    <row r="13792" hidden="1" x14ac:dyDescent="0.15"/>
    <row r="13793" hidden="1" x14ac:dyDescent="0.15"/>
    <row r="13794" hidden="1" x14ac:dyDescent="0.15"/>
    <row r="13795" hidden="1" x14ac:dyDescent="0.15"/>
    <row r="13796" hidden="1" x14ac:dyDescent="0.15"/>
    <row r="13797" hidden="1" x14ac:dyDescent="0.15"/>
    <row r="13798" hidden="1" x14ac:dyDescent="0.15"/>
    <row r="13799" hidden="1" x14ac:dyDescent="0.15"/>
    <row r="13800" hidden="1" x14ac:dyDescent="0.15"/>
    <row r="13801" hidden="1" x14ac:dyDescent="0.15"/>
    <row r="13802" hidden="1" x14ac:dyDescent="0.15"/>
    <row r="13803" hidden="1" x14ac:dyDescent="0.15"/>
    <row r="13804" hidden="1" x14ac:dyDescent="0.15"/>
    <row r="13805" hidden="1" x14ac:dyDescent="0.15"/>
    <row r="13806" hidden="1" x14ac:dyDescent="0.15"/>
    <row r="13807" hidden="1" x14ac:dyDescent="0.15"/>
    <row r="13808" hidden="1" x14ac:dyDescent="0.15"/>
    <row r="13809" hidden="1" x14ac:dyDescent="0.15"/>
    <row r="13810" hidden="1" x14ac:dyDescent="0.15"/>
    <row r="13811" hidden="1" x14ac:dyDescent="0.15"/>
    <row r="13812" hidden="1" x14ac:dyDescent="0.15"/>
    <row r="13813" hidden="1" x14ac:dyDescent="0.15"/>
    <row r="13814" hidden="1" x14ac:dyDescent="0.15"/>
    <row r="13815" hidden="1" x14ac:dyDescent="0.15"/>
    <row r="13816" hidden="1" x14ac:dyDescent="0.15"/>
    <row r="13817" hidden="1" x14ac:dyDescent="0.15"/>
    <row r="13818" hidden="1" x14ac:dyDescent="0.15"/>
    <row r="13819" hidden="1" x14ac:dyDescent="0.15"/>
    <row r="13820" hidden="1" x14ac:dyDescent="0.15"/>
    <row r="13821" hidden="1" x14ac:dyDescent="0.15"/>
    <row r="13822" hidden="1" x14ac:dyDescent="0.15"/>
    <row r="13823" hidden="1" x14ac:dyDescent="0.15"/>
    <row r="13824" hidden="1" x14ac:dyDescent="0.15"/>
    <row r="13825" hidden="1" x14ac:dyDescent="0.15"/>
    <row r="13826" hidden="1" x14ac:dyDescent="0.15"/>
    <row r="13827" hidden="1" x14ac:dyDescent="0.15"/>
    <row r="13828" hidden="1" x14ac:dyDescent="0.15"/>
    <row r="13829" hidden="1" x14ac:dyDescent="0.15"/>
    <row r="13830" hidden="1" x14ac:dyDescent="0.15"/>
    <row r="13831" hidden="1" x14ac:dyDescent="0.15"/>
    <row r="13832" hidden="1" x14ac:dyDescent="0.15"/>
    <row r="13833" hidden="1" x14ac:dyDescent="0.15"/>
    <row r="13834" hidden="1" x14ac:dyDescent="0.15"/>
    <row r="13835" hidden="1" x14ac:dyDescent="0.15"/>
    <row r="13836" hidden="1" x14ac:dyDescent="0.15"/>
    <row r="13837" hidden="1" x14ac:dyDescent="0.15"/>
    <row r="13838" hidden="1" x14ac:dyDescent="0.15"/>
    <row r="13839" hidden="1" x14ac:dyDescent="0.15"/>
    <row r="13840" hidden="1" x14ac:dyDescent="0.15"/>
    <row r="13841" hidden="1" x14ac:dyDescent="0.15"/>
    <row r="13842" hidden="1" x14ac:dyDescent="0.15"/>
    <row r="13843" hidden="1" x14ac:dyDescent="0.15"/>
    <row r="13844" hidden="1" x14ac:dyDescent="0.15"/>
    <row r="13845" hidden="1" x14ac:dyDescent="0.15"/>
    <row r="13846" hidden="1" x14ac:dyDescent="0.15"/>
    <row r="13847" hidden="1" x14ac:dyDescent="0.15"/>
    <row r="13848" hidden="1" x14ac:dyDescent="0.15"/>
    <row r="13849" hidden="1" x14ac:dyDescent="0.15"/>
    <row r="13850" hidden="1" x14ac:dyDescent="0.15"/>
    <row r="13851" hidden="1" x14ac:dyDescent="0.15"/>
    <row r="13852" hidden="1" x14ac:dyDescent="0.15"/>
    <row r="13853" hidden="1" x14ac:dyDescent="0.15"/>
    <row r="13854" hidden="1" x14ac:dyDescent="0.15"/>
    <row r="13855" hidden="1" x14ac:dyDescent="0.15"/>
    <row r="13856" hidden="1" x14ac:dyDescent="0.15"/>
    <row r="13857" hidden="1" x14ac:dyDescent="0.15"/>
    <row r="13858" hidden="1" x14ac:dyDescent="0.15"/>
    <row r="13859" hidden="1" x14ac:dyDescent="0.15"/>
    <row r="13860" hidden="1" x14ac:dyDescent="0.15"/>
    <row r="13861" hidden="1" x14ac:dyDescent="0.15"/>
    <row r="13862" hidden="1" x14ac:dyDescent="0.15"/>
    <row r="13863" hidden="1" x14ac:dyDescent="0.15"/>
    <row r="13864" hidden="1" x14ac:dyDescent="0.15"/>
    <row r="13865" hidden="1" x14ac:dyDescent="0.15"/>
    <row r="13866" hidden="1" x14ac:dyDescent="0.15"/>
    <row r="13867" hidden="1" x14ac:dyDescent="0.15"/>
    <row r="13868" hidden="1" x14ac:dyDescent="0.15"/>
    <row r="13869" hidden="1" x14ac:dyDescent="0.15"/>
    <row r="13870" hidden="1" x14ac:dyDescent="0.15"/>
    <row r="13871" hidden="1" x14ac:dyDescent="0.15"/>
    <row r="13872" hidden="1" x14ac:dyDescent="0.15"/>
    <row r="13873" hidden="1" x14ac:dyDescent="0.15"/>
    <row r="13874" hidden="1" x14ac:dyDescent="0.15"/>
    <row r="13875" hidden="1" x14ac:dyDescent="0.15"/>
    <row r="13876" hidden="1" x14ac:dyDescent="0.15"/>
    <row r="13877" hidden="1" x14ac:dyDescent="0.15"/>
    <row r="13878" hidden="1" x14ac:dyDescent="0.15"/>
    <row r="13879" hidden="1" x14ac:dyDescent="0.15"/>
    <row r="13880" hidden="1" x14ac:dyDescent="0.15"/>
    <row r="13881" hidden="1" x14ac:dyDescent="0.15"/>
    <row r="13882" hidden="1" x14ac:dyDescent="0.15"/>
    <row r="13883" hidden="1" x14ac:dyDescent="0.15"/>
    <row r="13884" hidden="1" x14ac:dyDescent="0.15"/>
    <row r="13885" hidden="1" x14ac:dyDescent="0.15"/>
    <row r="13886" hidden="1" x14ac:dyDescent="0.15"/>
    <row r="13887" hidden="1" x14ac:dyDescent="0.15"/>
    <row r="13888" hidden="1" x14ac:dyDescent="0.15"/>
    <row r="13889" hidden="1" x14ac:dyDescent="0.15"/>
    <row r="13890" hidden="1" x14ac:dyDescent="0.15"/>
    <row r="13891" hidden="1" x14ac:dyDescent="0.15"/>
    <row r="13892" hidden="1" x14ac:dyDescent="0.15"/>
    <row r="13893" hidden="1" x14ac:dyDescent="0.15"/>
    <row r="13894" hidden="1" x14ac:dyDescent="0.15"/>
    <row r="13895" hidden="1" x14ac:dyDescent="0.15"/>
    <row r="13896" hidden="1" x14ac:dyDescent="0.15"/>
    <row r="13897" hidden="1" x14ac:dyDescent="0.15"/>
    <row r="13898" hidden="1" x14ac:dyDescent="0.15"/>
    <row r="13899" hidden="1" x14ac:dyDescent="0.15"/>
    <row r="13900" hidden="1" x14ac:dyDescent="0.15"/>
    <row r="13901" hidden="1" x14ac:dyDescent="0.15"/>
    <row r="13902" hidden="1" x14ac:dyDescent="0.15"/>
    <row r="13903" hidden="1" x14ac:dyDescent="0.15"/>
    <row r="13904" hidden="1" x14ac:dyDescent="0.15"/>
    <row r="13905" hidden="1" x14ac:dyDescent="0.15"/>
    <row r="13906" hidden="1" x14ac:dyDescent="0.15"/>
    <row r="13907" hidden="1" x14ac:dyDescent="0.15"/>
    <row r="13908" hidden="1" x14ac:dyDescent="0.15"/>
    <row r="13909" hidden="1" x14ac:dyDescent="0.15"/>
    <row r="13910" hidden="1" x14ac:dyDescent="0.15"/>
    <row r="13911" hidden="1" x14ac:dyDescent="0.15"/>
    <row r="13912" hidden="1" x14ac:dyDescent="0.15"/>
    <row r="13913" hidden="1" x14ac:dyDescent="0.15"/>
    <row r="13914" hidden="1" x14ac:dyDescent="0.15"/>
    <row r="13915" hidden="1" x14ac:dyDescent="0.15"/>
    <row r="13916" hidden="1" x14ac:dyDescent="0.15"/>
    <row r="13917" hidden="1" x14ac:dyDescent="0.15"/>
    <row r="13918" hidden="1" x14ac:dyDescent="0.15"/>
    <row r="13919" hidden="1" x14ac:dyDescent="0.15"/>
    <row r="13920" hidden="1" x14ac:dyDescent="0.15"/>
    <row r="13921" hidden="1" x14ac:dyDescent="0.15"/>
    <row r="13922" hidden="1" x14ac:dyDescent="0.15"/>
    <row r="13923" hidden="1" x14ac:dyDescent="0.15"/>
    <row r="13924" hidden="1" x14ac:dyDescent="0.15"/>
    <row r="13925" hidden="1" x14ac:dyDescent="0.15"/>
    <row r="13926" hidden="1" x14ac:dyDescent="0.15"/>
    <row r="13927" hidden="1" x14ac:dyDescent="0.15"/>
    <row r="13928" hidden="1" x14ac:dyDescent="0.15"/>
    <row r="13929" hidden="1" x14ac:dyDescent="0.15"/>
    <row r="13930" hidden="1" x14ac:dyDescent="0.15"/>
    <row r="13931" hidden="1" x14ac:dyDescent="0.15"/>
    <row r="13932" hidden="1" x14ac:dyDescent="0.15"/>
    <row r="13933" hidden="1" x14ac:dyDescent="0.15"/>
    <row r="13934" hidden="1" x14ac:dyDescent="0.15"/>
    <row r="13935" hidden="1" x14ac:dyDescent="0.15"/>
    <row r="13936" hidden="1" x14ac:dyDescent="0.15"/>
    <row r="13937" hidden="1" x14ac:dyDescent="0.15"/>
    <row r="13938" hidden="1" x14ac:dyDescent="0.15"/>
    <row r="13939" hidden="1" x14ac:dyDescent="0.15"/>
    <row r="13940" hidden="1" x14ac:dyDescent="0.15"/>
    <row r="13941" hidden="1" x14ac:dyDescent="0.15"/>
    <row r="13942" hidden="1" x14ac:dyDescent="0.15"/>
    <row r="13943" hidden="1" x14ac:dyDescent="0.15"/>
    <row r="13944" hidden="1" x14ac:dyDescent="0.15"/>
    <row r="13945" hidden="1" x14ac:dyDescent="0.15"/>
    <row r="13946" hidden="1" x14ac:dyDescent="0.15"/>
    <row r="13947" hidden="1" x14ac:dyDescent="0.15"/>
    <row r="13948" hidden="1" x14ac:dyDescent="0.15"/>
    <row r="13949" hidden="1" x14ac:dyDescent="0.15"/>
    <row r="13950" hidden="1" x14ac:dyDescent="0.15"/>
    <row r="13951" hidden="1" x14ac:dyDescent="0.15"/>
    <row r="13952" hidden="1" x14ac:dyDescent="0.15"/>
    <row r="13953" hidden="1" x14ac:dyDescent="0.15"/>
    <row r="13954" hidden="1" x14ac:dyDescent="0.15"/>
    <row r="13955" hidden="1" x14ac:dyDescent="0.15"/>
    <row r="13956" hidden="1" x14ac:dyDescent="0.15"/>
    <row r="13957" hidden="1" x14ac:dyDescent="0.15"/>
    <row r="13958" hidden="1" x14ac:dyDescent="0.15"/>
    <row r="13959" hidden="1" x14ac:dyDescent="0.15"/>
    <row r="13960" hidden="1" x14ac:dyDescent="0.15"/>
    <row r="13961" hidden="1" x14ac:dyDescent="0.15"/>
    <row r="13962" hidden="1" x14ac:dyDescent="0.15"/>
    <row r="13963" hidden="1" x14ac:dyDescent="0.15"/>
    <row r="13964" hidden="1" x14ac:dyDescent="0.15"/>
    <row r="13965" hidden="1" x14ac:dyDescent="0.15"/>
    <row r="13966" hidden="1" x14ac:dyDescent="0.15"/>
    <row r="13967" hidden="1" x14ac:dyDescent="0.15"/>
    <row r="13968" hidden="1" x14ac:dyDescent="0.15"/>
    <row r="13969" hidden="1" x14ac:dyDescent="0.15"/>
    <row r="13970" hidden="1" x14ac:dyDescent="0.15"/>
    <row r="13971" hidden="1" x14ac:dyDescent="0.15"/>
    <row r="13972" hidden="1" x14ac:dyDescent="0.15"/>
    <row r="13973" hidden="1" x14ac:dyDescent="0.15"/>
    <row r="13974" hidden="1" x14ac:dyDescent="0.15"/>
    <row r="13975" hidden="1" x14ac:dyDescent="0.15"/>
    <row r="13976" hidden="1" x14ac:dyDescent="0.15"/>
    <row r="13977" hidden="1" x14ac:dyDescent="0.15"/>
    <row r="13978" hidden="1" x14ac:dyDescent="0.15"/>
    <row r="13979" hidden="1" x14ac:dyDescent="0.15"/>
    <row r="13980" hidden="1" x14ac:dyDescent="0.15"/>
    <row r="13981" hidden="1" x14ac:dyDescent="0.15"/>
    <row r="13982" hidden="1" x14ac:dyDescent="0.15"/>
    <row r="13983" hidden="1" x14ac:dyDescent="0.15"/>
    <row r="13984" hidden="1" x14ac:dyDescent="0.15"/>
    <row r="13985" hidden="1" x14ac:dyDescent="0.15"/>
    <row r="13986" hidden="1" x14ac:dyDescent="0.15"/>
    <row r="13987" hidden="1" x14ac:dyDescent="0.15"/>
    <row r="13988" hidden="1" x14ac:dyDescent="0.15"/>
    <row r="13989" hidden="1" x14ac:dyDescent="0.15"/>
    <row r="13990" hidden="1" x14ac:dyDescent="0.15"/>
    <row r="13991" hidden="1" x14ac:dyDescent="0.15"/>
    <row r="13992" hidden="1" x14ac:dyDescent="0.15"/>
    <row r="13993" hidden="1" x14ac:dyDescent="0.15"/>
    <row r="13994" hidden="1" x14ac:dyDescent="0.15"/>
    <row r="13995" hidden="1" x14ac:dyDescent="0.15"/>
    <row r="13996" hidden="1" x14ac:dyDescent="0.15"/>
    <row r="13997" hidden="1" x14ac:dyDescent="0.15"/>
    <row r="13998" hidden="1" x14ac:dyDescent="0.15"/>
    <row r="13999" hidden="1" x14ac:dyDescent="0.15"/>
    <row r="14000" hidden="1" x14ac:dyDescent="0.15"/>
    <row r="14001" hidden="1" x14ac:dyDescent="0.15"/>
    <row r="14002" hidden="1" x14ac:dyDescent="0.15"/>
    <row r="14003" hidden="1" x14ac:dyDescent="0.15"/>
    <row r="14004" hidden="1" x14ac:dyDescent="0.15"/>
    <row r="14005" hidden="1" x14ac:dyDescent="0.15"/>
    <row r="14006" hidden="1" x14ac:dyDescent="0.15"/>
    <row r="14007" hidden="1" x14ac:dyDescent="0.15"/>
    <row r="14008" hidden="1" x14ac:dyDescent="0.15"/>
    <row r="14009" hidden="1" x14ac:dyDescent="0.15"/>
    <row r="14010" hidden="1" x14ac:dyDescent="0.15"/>
    <row r="14011" hidden="1" x14ac:dyDescent="0.15"/>
    <row r="14012" hidden="1" x14ac:dyDescent="0.15"/>
    <row r="14013" hidden="1" x14ac:dyDescent="0.15"/>
    <row r="14014" hidden="1" x14ac:dyDescent="0.15"/>
    <row r="14015" hidden="1" x14ac:dyDescent="0.15"/>
    <row r="14016" hidden="1" x14ac:dyDescent="0.15"/>
    <row r="14017" hidden="1" x14ac:dyDescent="0.15"/>
    <row r="14018" hidden="1" x14ac:dyDescent="0.15"/>
    <row r="14019" hidden="1" x14ac:dyDescent="0.15"/>
    <row r="14020" hidden="1" x14ac:dyDescent="0.15"/>
    <row r="14021" hidden="1" x14ac:dyDescent="0.15"/>
    <row r="14022" hidden="1" x14ac:dyDescent="0.15"/>
    <row r="14023" hidden="1" x14ac:dyDescent="0.15"/>
    <row r="14024" hidden="1" x14ac:dyDescent="0.15"/>
    <row r="14025" hidden="1" x14ac:dyDescent="0.15"/>
    <row r="14026" hidden="1" x14ac:dyDescent="0.15"/>
    <row r="14027" hidden="1" x14ac:dyDescent="0.15"/>
    <row r="14028" hidden="1" x14ac:dyDescent="0.15"/>
    <row r="14029" hidden="1" x14ac:dyDescent="0.15"/>
    <row r="14030" hidden="1" x14ac:dyDescent="0.15"/>
    <row r="14031" hidden="1" x14ac:dyDescent="0.15"/>
    <row r="14032" hidden="1" x14ac:dyDescent="0.15"/>
    <row r="14033" hidden="1" x14ac:dyDescent="0.15"/>
    <row r="14034" hidden="1" x14ac:dyDescent="0.15"/>
    <row r="14035" hidden="1" x14ac:dyDescent="0.15"/>
    <row r="14036" hidden="1" x14ac:dyDescent="0.15"/>
    <row r="14037" hidden="1" x14ac:dyDescent="0.15"/>
    <row r="14038" hidden="1" x14ac:dyDescent="0.15"/>
    <row r="14039" hidden="1" x14ac:dyDescent="0.15"/>
    <row r="14040" hidden="1" x14ac:dyDescent="0.15"/>
    <row r="14041" hidden="1" x14ac:dyDescent="0.15"/>
    <row r="14042" hidden="1" x14ac:dyDescent="0.15"/>
    <row r="14043" hidden="1" x14ac:dyDescent="0.15"/>
    <row r="14044" hidden="1" x14ac:dyDescent="0.15"/>
    <row r="14045" hidden="1" x14ac:dyDescent="0.15"/>
    <row r="14046" hidden="1" x14ac:dyDescent="0.15"/>
    <row r="14047" hidden="1" x14ac:dyDescent="0.15"/>
    <row r="14048" hidden="1" x14ac:dyDescent="0.15"/>
    <row r="14049" hidden="1" x14ac:dyDescent="0.15"/>
    <row r="14050" hidden="1" x14ac:dyDescent="0.15"/>
    <row r="14051" hidden="1" x14ac:dyDescent="0.15"/>
    <row r="14052" hidden="1" x14ac:dyDescent="0.15"/>
    <row r="14053" hidden="1" x14ac:dyDescent="0.15"/>
    <row r="14054" hidden="1" x14ac:dyDescent="0.15"/>
    <row r="14055" hidden="1" x14ac:dyDescent="0.15"/>
    <row r="14056" hidden="1" x14ac:dyDescent="0.15"/>
    <row r="14057" hidden="1" x14ac:dyDescent="0.15"/>
    <row r="14058" hidden="1" x14ac:dyDescent="0.15"/>
    <row r="14059" hidden="1" x14ac:dyDescent="0.15"/>
    <row r="14060" hidden="1" x14ac:dyDescent="0.15"/>
    <row r="14061" hidden="1" x14ac:dyDescent="0.15"/>
    <row r="14062" hidden="1" x14ac:dyDescent="0.15"/>
    <row r="14063" hidden="1" x14ac:dyDescent="0.15"/>
    <row r="14064" hidden="1" x14ac:dyDescent="0.15"/>
    <row r="14065" hidden="1" x14ac:dyDescent="0.15"/>
    <row r="14066" hidden="1" x14ac:dyDescent="0.15"/>
    <row r="14067" hidden="1" x14ac:dyDescent="0.15"/>
    <row r="14068" hidden="1" x14ac:dyDescent="0.15"/>
    <row r="14069" hidden="1" x14ac:dyDescent="0.15"/>
    <row r="14070" hidden="1" x14ac:dyDescent="0.15"/>
    <row r="14071" hidden="1" x14ac:dyDescent="0.15"/>
    <row r="14072" hidden="1" x14ac:dyDescent="0.15"/>
    <row r="14073" hidden="1" x14ac:dyDescent="0.15"/>
    <row r="14074" hidden="1" x14ac:dyDescent="0.15"/>
    <row r="14075" hidden="1" x14ac:dyDescent="0.15"/>
    <row r="14076" hidden="1" x14ac:dyDescent="0.15"/>
    <row r="14077" hidden="1" x14ac:dyDescent="0.15"/>
    <row r="14078" hidden="1" x14ac:dyDescent="0.15"/>
    <row r="14079" hidden="1" x14ac:dyDescent="0.15"/>
    <row r="14080" hidden="1" x14ac:dyDescent="0.15"/>
    <row r="14081" hidden="1" x14ac:dyDescent="0.15"/>
    <row r="14082" hidden="1" x14ac:dyDescent="0.15"/>
    <row r="14083" hidden="1" x14ac:dyDescent="0.15"/>
    <row r="14084" hidden="1" x14ac:dyDescent="0.15"/>
    <row r="14085" hidden="1" x14ac:dyDescent="0.15"/>
    <row r="14086" hidden="1" x14ac:dyDescent="0.15"/>
    <row r="14087" hidden="1" x14ac:dyDescent="0.15"/>
    <row r="14088" hidden="1" x14ac:dyDescent="0.15"/>
    <row r="14089" hidden="1" x14ac:dyDescent="0.15"/>
    <row r="14090" hidden="1" x14ac:dyDescent="0.15"/>
    <row r="14091" hidden="1" x14ac:dyDescent="0.15"/>
    <row r="14092" hidden="1" x14ac:dyDescent="0.15"/>
    <row r="14093" hidden="1" x14ac:dyDescent="0.15"/>
    <row r="14094" hidden="1" x14ac:dyDescent="0.15"/>
    <row r="14095" hidden="1" x14ac:dyDescent="0.15"/>
    <row r="14096" hidden="1" x14ac:dyDescent="0.15"/>
    <row r="14097" hidden="1" x14ac:dyDescent="0.15"/>
    <row r="14098" hidden="1" x14ac:dyDescent="0.15"/>
    <row r="14099" hidden="1" x14ac:dyDescent="0.15"/>
    <row r="14100" hidden="1" x14ac:dyDescent="0.15"/>
    <row r="14101" hidden="1" x14ac:dyDescent="0.15"/>
    <row r="14102" hidden="1" x14ac:dyDescent="0.15"/>
    <row r="14103" hidden="1" x14ac:dyDescent="0.15"/>
    <row r="14104" hidden="1" x14ac:dyDescent="0.15"/>
    <row r="14105" hidden="1" x14ac:dyDescent="0.15"/>
    <row r="14106" hidden="1" x14ac:dyDescent="0.15"/>
    <row r="14107" hidden="1" x14ac:dyDescent="0.15"/>
    <row r="14108" hidden="1" x14ac:dyDescent="0.15"/>
    <row r="14109" hidden="1" x14ac:dyDescent="0.15"/>
    <row r="14110" hidden="1" x14ac:dyDescent="0.15"/>
    <row r="14111" hidden="1" x14ac:dyDescent="0.15"/>
    <row r="14112" hidden="1" x14ac:dyDescent="0.15"/>
    <row r="14113" hidden="1" x14ac:dyDescent="0.15"/>
    <row r="14114" hidden="1" x14ac:dyDescent="0.15"/>
    <row r="14115" hidden="1" x14ac:dyDescent="0.15"/>
    <row r="14116" hidden="1" x14ac:dyDescent="0.15"/>
    <row r="14117" hidden="1" x14ac:dyDescent="0.15"/>
    <row r="14118" hidden="1" x14ac:dyDescent="0.15"/>
    <row r="14119" hidden="1" x14ac:dyDescent="0.15"/>
    <row r="14120" hidden="1" x14ac:dyDescent="0.15"/>
    <row r="14121" hidden="1" x14ac:dyDescent="0.15"/>
    <row r="14122" hidden="1" x14ac:dyDescent="0.15"/>
    <row r="14123" hidden="1" x14ac:dyDescent="0.15"/>
    <row r="14124" hidden="1" x14ac:dyDescent="0.15"/>
    <row r="14125" hidden="1" x14ac:dyDescent="0.15"/>
    <row r="14126" hidden="1" x14ac:dyDescent="0.15"/>
    <row r="14127" hidden="1" x14ac:dyDescent="0.15"/>
    <row r="14128" hidden="1" x14ac:dyDescent="0.15"/>
    <row r="14129" hidden="1" x14ac:dyDescent="0.15"/>
    <row r="14130" hidden="1" x14ac:dyDescent="0.15"/>
    <row r="14131" hidden="1" x14ac:dyDescent="0.15"/>
    <row r="14132" hidden="1" x14ac:dyDescent="0.15"/>
    <row r="14133" hidden="1" x14ac:dyDescent="0.15"/>
    <row r="14134" hidden="1" x14ac:dyDescent="0.15"/>
    <row r="14135" hidden="1" x14ac:dyDescent="0.15"/>
    <row r="14136" hidden="1" x14ac:dyDescent="0.15"/>
    <row r="14137" hidden="1" x14ac:dyDescent="0.15"/>
    <row r="14138" hidden="1" x14ac:dyDescent="0.15"/>
    <row r="14139" hidden="1" x14ac:dyDescent="0.15"/>
    <row r="14140" hidden="1" x14ac:dyDescent="0.15"/>
    <row r="14141" hidden="1" x14ac:dyDescent="0.15"/>
    <row r="14142" hidden="1" x14ac:dyDescent="0.15"/>
    <row r="14143" hidden="1" x14ac:dyDescent="0.15"/>
    <row r="14144" hidden="1" x14ac:dyDescent="0.15"/>
    <row r="14145" hidden="1" x14ac:dyDescent="0.15"/>
    <row r="14146" hidden="1" x14ac:dyDescent="0.15"/>
    <row r="14147" hidden="1" x14ac:dyDescent="0.15"/>
    <row r="14148" hidden="1" x14ac:dyDescent="0.15"/>
    <row r="14149" hidden="1" x14ac:dyDescent="0.15"/>
    <row r="14150" hidden="1" x14ac:dyDescent="0.15"/>
    <row r="14151" hidden="1" x14ac:dyDescent="0.15"/>
    <row r="14152" hidden="1" x14ac:dyDescent="0.15"/>
    <row r="14153" hidden="1" x14ac:dyDescent="0.15"/>
    <row r="14154" hidden="1" x14ac:dyDescent="0.15"/>
    <row r="14155" hidden="1" x14ac:dyDescent="0.15"/>
    <row r="14156" hidden="1" x14ac:dyDescent="0.15"/>
    <row r="14157" hidden="1" x14ac:dyDescent="0.15"/>
    <row r="14158" hidden="1" x14ac:dyDescent="0.15"/>
    <row r="14159" hidden="1" x14ac:dyDescent="0.15"/>
    <row r="14160" hidden="1" x14ac:dyDescent="0.15"/>
    <row r="14161" hidden="1" x14ac:dyDescent="0.15"/>
    <row r="14162" hidden="1" x14ac:dyDescent="0.15"/>
    <row r="14163" hidden="1" x14ac:dyDescent="0.15"/>
    <row r="14164" hidden="1" x14ac:dyDescent="0.15"/>
    <row r="14165" hidden="1" x14ac:dyDescent="0.15"/>
    <row r="14166" hidden="1" x14ac:dyDescent="0.15"/>
    <row r="14167" hidden="1" x14ac:dyDescent="0.15"/>
    <row r="14168" hidden="1" x14ac:dyDescent="0.15"/>
    <row r="14169" hidden="1" x14ac:dyDescent="0.15"/>
    <row r="14170" hidden="1" x14ac:dyDescent="0.15"/>
    <row r="14171" hidden="1" x14ac:dyDescent="0.15"/>
    <row r="14172" hidden="1" x14ac:dyDescent="0.15"/>
    <row r="14173" hidden="1" x14ac:dyDescent="0.15"/>
    <row r="14174" hidden="1" x14ac:dyDescent="0.15"/>
    <row r="14175" hidden="1" x14ac:dyDescent="0.15"/>
    <row r="14176" hidden="1" x14ac:dyDescent="0.15"/>
    <row r="14177" hidden="1" x14ac:dyDescent="0.15"/>
    <row r="14178" hidden="1" x14ac:dyDescent="0.15"/>
    <row r="14179" hidden="1" x14ac:dyDescent="0.15"/>
    <row r="14180" hidden="1" x14ac:dyDescent="0.15"/>
    <row r="14181" hidden="1" x14ac:dyDescent="0.15"/>
    <row r="14182" hidden="1" x14ac:dyDescent="0.15"/>
    <row r="14183" hidden="1" x14ac:dyDescent="0.15"/>
    <row r="14184" hidden="1" x14ac:dyDescent="0.15"/>
    <row r="14185" hidden="1" x14ac:dyDescent="0.15"/>
    <row r="14186" hidden="1" x14ac:dyDescent="0.15"/>
    <row r="14187" hidden="1" x14ac:dyDescent="0.15"/>
    <row r="14188" hidden="1" x14ac:dyDescent="0.15"/>
    <row r="14189" hidden="1" x14ac:dyDescent="0.15"/>
    <row r="14190" hidden="1" x14ac:dyDescent="0.15"/>
    <row r="14191" hidden="1" x14ac:dyDescent="0.15"/>
    <row r="14192" hidden="1" x14ac:dyDescent="0.15"/>
    <row r="14193" hidden="1" x14ac:dyDescent="0.15"/>
    <row r="14194" hidden="1" x14ac:dyDescent="0.15"/>
    <row r="14195" hidden="1" x14ac:dyDescent="0.15"/>
    <row r="14196" hidden="1" x14ac:dyDescent="0.15"/>
    <row r="14197" hidden="1" x14ac:dyDescent="0.15"/>
    <row r="14198" hidden="1" x14ac:dyDescent="0.15"/>
    <row r="14199" hidden="1" x14ac:dyDescent="0.15"/>
    <row r="14200" hidden="1" x14ac:dyDescent="0.15"/>
    <row r="14201" hidden="1" x14ac:dyDescent="0.15"/>
    <row r="14202" hidden="1" x14ac:dyDescent="0.15"/>
    <row r="14203" hidden="1" x14ac:dyDescent="0.15"/>
    <row r="14204" hidden="1" x14ac:dyDescent="0.15"/>
    <row r="14205" hidden="1" x14ac:dyDescent="0.15"/>
    <row r="14206" hidden="1" x14ac:dyDescent="0.15"/>
    <row r="14207" hidden="1" x14ac:dyDescent="0.15"/>
    <row r="14208" hidden="1" x14ac:dyDescent="0.15"/>
    <row r="14209" hidden="1" x14ac:dyDescent="0.15"/>
    <row r="14210" hidden="1" x14ac:dyDescent="0.15"/>
    <row r="14211" hidden="1" x14ac:dyDescent="0.15"/>
    <row r="14212" hidden="1" x14ac:dyDescent="0.15"/>
    <row r="14213" hidden="1" x14ac:dyDescent="0.15"/>
    <row r="14214" hidden="1" x14ac:dyDescent="0.15"/>
    <row r="14215" hidden="1" x14ac:dyDescent="0.15"/>
    <row r="14216" hidden="1" x14ac:dyDescent="0.15"/>
    <row r="14217" hidden="1" x14ac:dyDescent="0.15"/>
    <row r="14218" hidden="1" x14ac:dyDescent="0.15"/>
    <row r="14219" hidden="1" x14ac:dyDescent="0.15"/>
    <row r="14220" hidden="1" x14ac:dyDescent="0.15"/>
    <row r="14221" hidden="1" x14ac:dyDescent="0.15"/>
    <row r="14222" hidden="1" x14ac:dyDescent="0.15"/>
    <row r="14223" hidden="1" x14ac:dyDescent="0.15"/>
    <row r="14224" hidden="1" x14ac:dyDescent="0.15"/>
    <row r="14225" hidden="1" x14ac:dyDescent="0.15"/>
    <row r="14226" hidden="1" x14ac:dyDescent="0.15"/>
    <row r="14227" hidden="1" x14ac:dyDescent="0.15"/>
    <row r="14228" hidden="1" x14ac:dyDescent="0.15"/>
    <row r="14229" hidden="1" x14ac:dyDescent="0.15"/>
    <row r="14230" hidden="1" x14ac:dyDescent="0.15"/>
    <row r="14231" hidden="1" x14ac:dyDescent="0.15"/>
    <row r="14232" hidden="1" x14ac:dyDescent="0.15"/>
    <row r="14233" hidden="1" x14ac:dyDescent="0.15"/>
    <row r="14234" hidden="1" x14ac:dyDescent="0.15"/>
    <row r="14235" hidden="1" x14ac:dyDescent="0.15"/>
    <row r="14236" hidden="1" x14ac:dyDescent="0.15"/>
    <row r="14237" hidden="1" x14ac:dyDescent="0.15"/>
    <row r="14238" hidden="1" x14ac:dyDescent="0.15"/>
    <row r="14239" hidden="1" x14ac:dyDescent="0.15"/>
    <row r="14240" hidden="1" x14ac:dyDescent="0.15"/>
    <row r="14241" hidden="1" x14ac:dyDescent="0.15"/>
    <row r="14242" hidden="1" x14ac:dyDescent="0.15"/>
    <row r="14243" hidden="1" x14ac:dyDescent="0.15"/>
    <row r="14244" hidden="1" x14ac:dyDescent="0.15"/>
    <row r="14245" hidden="1" x14ac:dyDescent="0.15"/>
    <row r="14246" hidden="1" x14ac:dyDescent="0.15"/>
    <row r="14247" hidden="1" x14ac:dyDescent="0.15"/>
    <row r="14248" hidden="1" x14ac:dyDescent="0.15"/>
    <row r="14249" hidden="1" x14ac:dyDescent="0.15"/>
    <row r="14250" hidden="1" x14ac:dyDescent="0.15"/>
    <row r="14251" hidden="1" x14ac:dyDescent="0.15"/>
    <row r="14252" hidden="1" x14ac:dyDescent="0.15"/>
    <row r="14253" hidden="1" x14ac:dyDescent="0.15"/>
    <row r="14254" hidden="1" x14ac:dyDescent="0.15"/>
    <row r="14255" hidden="1" x14ac:dyDescent="0.15"/>
    <row r="14256" hidden="1" x14ac:dyDescent="0.15"/>
    <row r="14257" hidden="1" x14ac:dyDescent="0.15"/>
    <row r="14258" hidden="1" x14ac:dyDescent="0.15"/>
    <row r="14259" hidden="1" x14ac:dyDescent="0.15"/>
    <row r="14260" hidden="1" x14ac:dyDescent="0.15"/>
    <row r="14261" hidden="1" x14ac:dyDescent="0.15"/>
    <row r="14262" hidden="1" x14ac:dyDescent="0.15"/>
    <row r="14263" hidden="1" x14ac:dyDescent="0.15"/>
    <row r="14264" hidden="1" x14ac:dyDescent="0.15"/>
    <row r="14265" hidden="1" x14ac:dyDescent="0.15"/>
    <row r="14266" hidden="1" x14ac:dyDescent="0.15"/>
    <row r="14267" hidden="1" x14ac:dyDescent="0.15"/>
    <row r="14268" hidden="1" x14ac:dyDescent="0.15"/>
    <row r="14269" hidden="1" x14ac:dyDescent="0.15"/>
    <row r="14270" hidden="1" x14ac:dyDescent="0.15"/>
    <row r="14271" hidden="1" x14ac:dyDescent="0.15"/>
    <row r="14272" hidden="1" x14ac:dyDescent="0.15"/>
    <row r="14273" hidden="1" x14ac:dyDescent="0.15"/>
    <row r="14274" hidden="1" x14ac:dyDescent="0.15"/>
    <row r="14275" hidden="1" x14ac:dyDescent="0.15"/>
    <row r="14276" hidden="1" x14ac:dyDescent="0.15"/>
    <row r="14277" hidden="1" x14ac:dyDescent="0.15"/>
    <row r="14278" hidden="1" x14ac:dyDescent="0.15"/>
    <row r="14279" hidden="1" x14ac:dyDescent="0.15"/>
    <row r="14280" hidden="1" x14ac:dyDescent="0.15"/>
    <row r="14281" hidden="1" x14ac:dyDescent="0.15"/>
    <row r="14282" hidden="1" x14ac:dyDescent="0.15"/>
    <row r="14283" hidden="1" x14ac:dyDescent="0.15"/>
    <row r="14284" hidden="1" x14ac:dyDescent="0.15"/>
    <row r="14285" hidden="1" x14ac:dyDescent="0.15"/>
    <row r="14286" hidden="1" x14ac:dyDescent="0.15"/>
    <row r="14287" hidden="1" x14ac:dyDescent="0.15"/>
    <row r="14288" hidden="1" x14ac:dyDescent="0.15"/>
    <row r="14289" hidden="1" x14ac:dyDescent="0.15"/>
    <row r="14290" hidden="1" x14ac:dyDescent="0.15"/>
    <row r="14291" hidden="1" x14ac:dyDescent="0.15"/>
    <row r="14292" hidden="1" x14ac:dyDescent="0.15"/>
    <row r="14293" hidden="1" x14ac:dyDescent="0.15"/>
    <row r="14294" hidden="1" x14ac:dyDescent="0.15"/>
    <row r="14295" hidden="1" x14ac:dyDescent="0.15"/>
    <row r="14296" hidden="1" x14ac:dyDescent="0.15"/>
    <row r="14297" hidden="1" x14ac:dyDescent="0.15"/>
    <row r="14298" hidden="1" x14ac:dyDescent="0.15"/>
    <row r="14299" hidden="1" x14ac:dyDescent="0.15"/>
    <row r="14300" hidden="1" x14ac:dyDescent="0.15"/>
    <row r="14301" hidden="1" x14ac:dyDescent="0.15"/>
    <row r="14302" hidden="1" x14ac:dyDescent="0.15"/>
    <row r="14303" hidden="1" x14ac:dyDescent="0.15"/>
    <row r="14304" hidden="1" x14ac:dyDescent="0.15"/>
    <row r="14305" hidden="1" x14ac:dyDescent="0.15"/>
    <row r="14306" hidden="1" x14ac:dyDescent="0.15"/>
    <row r="14307" hidden="1" x14ac:dyDescent="0.15"/>
    <row r="14308" hidden="1" x14ac:dyDescent="0.15"/>
    <row r="14309" hidden="1" x14ac:dyDescent="0.15"/>
    <row r="14310" hidden="1" x14ac:dyDescent="0.15"/>
    <row r="14311" hidden="1" x14ac:dyDescent="0.15"/>
    <row r="14312" hidden="1" x14ac:dyDescent="0.15"/>
    <row r="14313" hidden="1" x14ac:dyDescent="0.15"/>
    <row r="14314" hidden="1" x14ac:dyDescent="0.15"/>
    <row r="14315" hidden="1" x14ac:dyDescent="0.15"/>
    <row r="14316" hidden="1" x14ac:dyDescent="0.15"/>
    <row r="14317" hidden="1" x14ac:dyDescent="0.15"/>
    <row r="14318" hidden="1" x14ac:dyDescent="0.15"/>
    <row r="14319" hidden="1" x14ac:dyDescent="0.15"/>
    <row r="14320" hidden="1" x14ac:dyDescent="0.15"/>
    <row r="14321" hidden="1" x14ac:dyDescent="0.15"/>
    <row r="14322" hidden="1" x14ac:dyDescent="0.15"/>
    <row r="14323" hidden="1" x14ac:dyDescent="0.15"/>
    <row r="14324" hidden="1" x14ac:dyDescent="0.15"/>
    <row r="14325" hidden="1" x14ac:dyDescent="0.15"/>
    <row r="14326" hidden="1" x14ac:dyDescent="0.15"/>
    <row r="14327" hidden="1" x14ac:dyDescent="0.15"/>
    <row r="14328" hidden="1" x14ac:dyDescent="0.15"/>
    <row r="14329" hidden="1" x14ac:dyDescent="0.15"/>
    <row r="14330" hidden="1" x14ac:dyDescent="0.15"/>
    <row r="14331" hidden="1" x14ac:dyDescent="0.15"/>
    <row r="14332" hidden="1" x14ac:dyDescent="0.15"/>
    <row r="14333" hidden="1" x14ac:dyDescent="0.15"/>
    <row r="14334" hidden="1" x14ac:dyDescent="0.15"/>
    <row r="14335" hidden="1" x14ac:dyDescent="0.15"/>
    <row r="14336" hidden="1" x14ac:dyDescent="0.15"/>
    <row r="14337" hidden="1" x14ac:dyDescent="0.15"/>
    <row r="14338" hidden="1" x14ac:dyDescent="0.15"/>
    <row r="14339" hidden="1" x14ac:dyDescent="0.15"/>
    <row r="14340" hidden="1" x14ac:dyDescent="0.15"/>
    <row r="14341" hidden="1" x14ac:dyDescent="0.15"/>
    <row r="14342" hidden="1" x14ac:dyDescent="0.15"/>
    <row r="14343" hidden="1" x14ac:dyDescent="0.15"/>
    <row r="14344" hidden="1" x14ac:dyDescent="0.15"/>
    <row r="14345" hidden="1" x14ac:dyDescent="0.15"/>
    <row r="14346" hidden="1" x14ac:dyDescent="0.15"/>
    <row r="14347" hidden="1" x14ac:dyDescent="0.15"/>
    <row r="14348" hidden="1" x14ac:dyDescent="0.15"/>
    <row r="14349" hidden="1" x14ac:dyDescent="0.15"/>
    <row r="14350" hidden="1" x14ac:dyDescent="0.15"/>
    <row r="14351" hidden="1" x14ac:dyDescent="0.15"/>
    <row r="14352" hidden="1" x14ac:dyDescent="0.15"/>
    <row r="14353" hidden="1" x14ac:dyDescent="0.15"/>
    <row r="14354" hidden="1" x14ac:dyDescent="0.15"/>
    <row r="14355" hidden="1" x14ac:dyDescent="0.15"/>
    <row r="14356" hidden="1" x14ac:dyDescent="0.15"/>
    <row r="14357" hidden="1" x14ac:dyDescent="0.15"/>
    <row r="14358" hidden="1" x14ac:dyDescent="0.15"/>
    <row r="14359" hidden="1" x14ac:dyDescent="0.15"/>
    <row r="14360" hidden="1" x14ac:dyDescent="0.15"/>
    <row r="14361" hidden="1" x14ac:dyDescent="0.15"/>
    <row r="14362" hidden="1" x14ac:dyDescent="0.15"/>
    <row r="14363" hidden="1" x14ac:dyDescent="0.15"/>
    <row r="14364" hidden="1" x14ac:dyDescent="0.15"/>
    <row r="14365" hidden="1" x14ac:dyDescent="0.15"/>
    <row r="14366" hidden="1" x14ac:dyDescent="0.15"/>
    <row r="14367" hidden="1" x14ac:dyDescent="0.15"/>
    <row r="14368" hidden="1" x14ac:dyDescent="0.15"/>
    <row r="14369" hidden="1" x14ac:dyDescent="0.15"/>
    <row r="14370" hidden="1" x14ac:dyDescent="0.15"/>
    <row r="14371" hidden="1" x14ac:dyDescent="0.15"/>
    <row r="14372" hidden="1" x14ac:dyDescent="0.15"/>
    <row r="14373" hidden="1" x14ac:dyDescent="0.15"/>
    <row r="14374" hidden="1" x14ac:dyDescent="0.15"/>
    <row r="14375" hidden="1" x14ac:dyDescent="0.15"/>
    <row r="14376" hidden="1" x14ac:dyDescent="0.15"/>
    <row r="14377" hidden="1" x14ac:dyDescent="0.15"/>
    <row r="14378" hidden="1" x14ac:dyDescent="0.15"/>
    <row r="14379" hidden="1" x14ac:dyDescent="0.15"/>
    <row r="14380" hidden="1" x14ac:dyDescent="0.15"/>
    <row r="14381" hidden="1" x14ac:dyDescent="0.15"/>
    <row r="14382" hidden="1" x14ac:dyDescent="0.15"/>
    <row r="14383" hidden="1" x14ac:dyDescent="0.15"/>
    <row r="14384" hidden="1" x14ac:dyDescent="0.15"/>
    <row r="14385" hidden="1" x14ac:dyDescent="0.15"/>
    <row r="14386" hidden="1" x14ac:dyDescent="0.15"/>
    <row r="14387" hidden="1" x14ac:dyDescent="0.15"/>
    <row r="14388" hidden="1" x14ac:dyDescent="0.15"/>
    <row r="14389" hidden="1" x14ac:dyDescent="0.15"/>
    <row r="14390" hidden="1" x14ac:dyDescent="0.15"/>
    <row r="14391" hidden="1" x14ac:dyDescent="0.15"/>
    <row r="14392" hidden="1" x14ac:dyDescent="0.15"/>
    <row r="14393" hidden="1" x14ac:dyDescent="0.15"/>
    <row r="14394" hidden="1" x14ac:dyDescent="0.15"/>
    <row r="14395" hidden="1" x14ac:dyDescent="0.15"/>
    <row r="14396" hidden="1" x14ac:dyDescent="0.15"/>
    <row r="14397" hidden="1" x14ac:dyDescent="0.15"/>
    <row r="14398" hidden="1" x14ac:dyDescent="0.15"/>
    <row r="14399" hidden="1" x14ac:dyDescent="0.15"/>
    <row r="14400" hidden="1" x14ac:dyDescent="0.15"/>
    <row r="14401" hidden="1" x14ac:dyDescent="0.15"/>
    <row r="14402" hidden="1" x14ac:dyDescent="0.15"/>
    <row r="14403" hidden="1" x14ac:dyDescent="0.15"/>
    <row r="14404" hidden="1" x14ac:dyDescent="0.15"/>
    <row r="14405" hidden="1" x14ac:dyDescent="0.15"/>
    <row r="14406" hidden="1" x14ac:dyDescent="0.15"/>
    <row r="14407" hidden="1" x14ac:dyDescent="0.15"/>
    <row r="14408" hidden="1" x14ac:dyDescent="0.15"/>
    <row r="14409" hidden="1" x14ac:dyDescent="0.15"/>
    <row r="14410" hidden="1" x14ac:dyDescent="0.15"/>
    <row r="14411" hidden="1" x14ac:dyDescent="0.15"/>
    <row r="14412" hidden="1" x14ac:dyDescent="0.15"/>
    <row r="14413" hidden="1" x14ac:dyDescent="0.15"/>
    <row r="14414" hidden="1" x14ac:dyDescent="0.15"/>
    <row r="14415" hidden="1" x14ac:dyDescent="0.15"/>
    <row r="14416" hidden="1" x14ac:dyDescent="0.15"/>
    <row r="14417" hidden="1" x14ac:dyDescent="0.15"/>
    <row r="14418" hidden="1" x14ac:dyDescent="0.15"/>
    <row r="14419" hidden="1" x14ac:dyDescent="0.15"/>
    <row r="14420" hidden="1" x14ac:dyDescent="0.15"/>
    <row r="14421" hidden="1" x14ac:dyDescent="0.15"/>
    <row r="14422" hidden="1" x14ac:dyDescent="0.15"/>
    <row r="14423" hidden="1" x14ac:dyDescent="0.15"/>
    <row r="14424" hidden="1" x14ac:dyDescent="0.15"/>
    <row r="14425" hidden="1" x14ac:dyDescent="0.15"/>
    <row r="14426" hidden="1" x14ac:dyDescent="0.15"/>
    <row r="14427" hidden="1" x14ac:dyDescent="0.15"/>
    <row r="14428" hidden="1" x14ac:dyDescent="0.15"/>
    <row r="14429" hidden="1" x14ac:dyDescent="0.15"/>
    <row r="14430" hidden="1" x14ac:dyDescent="0.15"/>
    <row r="14431" hidden="1" x14ac:dyDescent="0.15"/>
    <row r="14432" hidden="1" x14ac:dyDescent="0.15"/>
    <row r="14433" hidden="1" x14ac:dyDescent="0.15"/>
    <row r="14434" hidden="1" x14ac:dyDescent="0.15"/>
    <row r="14435" hidden="1" x14ac:dyDescent="0.15"/>
    <row r="14436" hidden="1" x14ac:dyDescent="0.15"/>
    <row r="14437" hidden="1" x14ac:dyDescent="0.15"/>
    <row r="14438" hidden="1" x14ac:dyDescent="0.15"/>
    <row r="14439" hidden="1" x14ac:dyDescent="0.15"/>
    <row r="14440" hidden="1" x14ac:dyDescent="0.15"/>
    <row r="14441" hidden="1" x14ac:dyDescent="0.15"/>
    <row r="14442" hidden="1" x14ac:dyDescent="0.15"/>
    <row r="14443" hidden="1" x14ac:dyDescent="0.15"/>
    <row r="14444" hidden="1" x14ac:dyDescent="0.15"/>
    <row r="14445" hidden="1" x14ac:dyDescent="0.15"/>
    <row r="14446" hidden="1" x14ac:dyDescent="0.15"/>
    <row r="14447" hidden="1" x14ac:dyDescent="0.15"/>
    <row r="14448" hidden="1" x14ac:dyDescent="0.15"/>
    <row r="14449" hidden="1" x14ac:dyDescent="0.15"/>
    <row r="14450" hidden="1" x14ac:dyDescent="0.15"/>
    <row r="14451" hidden="1" x14ac:dyDescent="0.15"/>
    <row r="14452" hidden="1" x14ac:dyDescent="0.15"/>
    <row r="14453" hidden="1" x14ac:dyDescent="0.15"/>
    <row r="14454" hidden="1" x14ac:dyDescent="0.15"/>
    <row r="14455" hidden="1" x14ac:dyDescent="0.15"/>
    <row r="14456" hidden="1" x14ac:dyDescent="0.15"/>
    <row r="14457" hidden="1" x14ac:dyDescent="0.15"/>
    <row r="14458" hidden="1" x14ac:dyDescent="0.15"/>
    <row r="14459" hidden="1" x14ac:dyDescent="0.15"/>
    <row r="14460" hidden="1" x14ac:dyDescent="0.15"/>
    <row r="14461" hidden="1" x14ac:dyDescent="0.15"/>
    <row r="14462" hidden="1" x14ac:dyDescent="0.15"/>
    <row r="14463" hidden="1" x14ac:dyDescent="0.15"/>
    <row r="14464" hidden="1" x14ac:dyDescent="0.15"/>
    <row r="14465" hidden="1" x14ac:dyDescent="0.15"/>
    <row r="14466" hidden="1" x14ac:dyDescent="0.15"/>
    <row r="14467" hidden="1" x14ac:dyDescent="0.15"/>
    <row r="14468" hidden="1" x14ac:dyDescent="0.15"/>
    <row r="14469" hidden="1" x14ac:dyDescent="0.15"/>
    <row r="14470" hidden="1" x14ac:dyDescent="0.15"/>
    <row r="14471" hidden="1" x14ac:dyDescent="0.15"/>
    <row r="14472" hidden="1" x14ac:dyDescent="0.15"/>
    <row r="14473" hidden="1" x14ac:dyDescent="0.15"/>
    <row r="14474" hidden="1" x14ac:dyDescent="0.15"/>
    <row r="14475" hidden="1" x14ac:dyDescent="0.15"/>
    <row r="14476" hidden="1" x14ac:dyDescent="0.15"/>
    <row r="14477" hidden="1" x14ac:dyDescent="0.15"/>
    <row r="14478" hidden="1" x14ac:dyDescent="0.15"/>
    <row r="14479" hidden="1" x14ac:dyDescent="0.15"/>
    <row r="14480" hidden="1" x14ac:dyDescent="0.15"/>
    <row r="14481" hidden="1" x14ac:dyDescent="0.15"/>
    <row r="14482" hidden="1" x14ac:dyDescent="0.15"/>
    <row r="14483" hidden="1" x14ac:dyDescent="0.15"/>
    <row r="14484" hidden="1" x14ac:dyDescent="0.15"/>
    <row r="14485" hidden="1" x14ac:dyDescent="0.15"/>
    <row r="14486" hidden="1" x14ac:dyDescent="0.15"/>
    <row r="14487" hidden="1" x14ac:dyDescent="0.15"/>
    <row r="14488" hidden="1" x14ac:dyDescent="0.15"/>
    <row r="14489" hidden="1" x14ac:dyDescent="0.15"/>
    <row r="14490" hidden="1" x14ac:dyDescent="0.15"/>
    <row r="14491" hidden="1" x14ac:dyDescent="0.15"/>
    <row r="14492" hidden="1" x14ac:dyDescent="0.15"/>
    <row r="14493" hidden="1" x14ac:dyDescent="0.15"/>
    <row r="14494" hidden="1" x14ac:dyDescent="0.15"/>
    <row r="14495" hidden="1" x14ac:dyDescent="0.15"/>
    <row r="14496" hidden="1" x14ac:dyDescent="0.15"/>
    <row r="14497" hidden="1" x14ac:dyDescent="0.15"/>
    <row r="14498" hidden="1" x14ac:dyDescent="0.15"/>
    <row r="14499" hidden="1" x14ac:dyDescent="0.15"/>
    <row r="14500" hidden="1" x14ac:dyDescent="0.15"/>
    <row r="14501" hidden="1" x14ac:dyDescent="0.15"/>
    <row r="14502" hidden="1" x14ac:dyDescent="0.15"/>
    <row r="14503" hidden="1" x14ac:dyDescent="0.15"/>
    <row r="14504" hidden="1" x14ac:dyDescent="0.15"/>
    <row r="14505" hidden="1" x14ac:dyDescent="0.15"/>
    <row r="14506" hidden="1" x14ac:dyDescent="0.15"/>
    <row r="14507" hidden="1" x14ac:dyDescent="0.15"/>
    <row r="14508" hidden="1" x14ac:dyDescent="0.15"/>
    <row r="14509" hidden="1" x14ac:dyDescent="0.15"/>
    <row r="14510" hidden="1" x14ac:dyDescent="0.15"/>
    <row r="14511" hidden="1" x14ac:dyDescent="0.15"/>
    <row r="14512" hidden="1" x14ac:dyDescent="0.15"/>
    <row r="14513" hidden="1" x14ac:dyDescent="0.15"/>
    <row r="14514" hidden="1" x14ac:dyDescent="0.15"/>
    <row r="14515" hidden="1" x14ac:dyDescent="0.15"/>
    <row r="14516" hidden="1" x14ac:dyDescent="0.15"/>
    <row r="14517" hidden="1" x14ac:dyDescent="0.15"/>
    <row r="14518" hidden="1" x14ac:dyDescent="0.15"/>
    <row r="14519" hidden="1" x14ac:dyDescent="0.15"/>
    <row r="14520" hidden="1" x14ac:dyDescent="0.15"/>
    <row r="14521" hidden="1" x14ac:dyDescent="0.15"/>
    <row r="14522" hidden="1" x14ac:dyDescent="0.15"/>
    <row r="14523" hidden="1" x14ac:dyDescent="0.15"/>
    <row r="14524" hidden="1" x14ac:dyDescent="0.15"/>
    <row r="14525" hidden="1" x14ac:dyDescent="0.15"/>
    <row r="14526" hidden="1" x14ac:dyDescent="0.15"/>
    <row r="14527" hidden="1" x14ac:dyDescent="0.15"/>
    <row r="14528" hidden="1" x14ac:dyDescent="0.15"/>
    <row r="14529" hidden="1" x14ac:dyDescent="0.15"/>
    <row r="14530" hidden="1" x14ac:dyDescent="0.15"/>
    <row r="14531" hidden="1" x14ac:dyDescent="0.15"/>
    <row r="14532" hidden="1" x14ac:dyDescent="0.15"/>
    <row r="14533" hidden="1" x14ac:dyDescent="0.15"/>
    <row r="14534" hidden="1" x14ac:dyDescent="0.15"/>
    <row r="14535" hidden="1" x14ac:dyDescent="0.15"/>
    <row r="14536" hidden="1" x14ac:dyDescent="0.15"/>
    <row r="14537" hidden="1" x14ac:dyDescent="0.15"/>
    <row r="14538" hidden="1" x14ac:dyDescent="0.15"/>
    <row r="14539" hidden="1" x14ac:dyDescent="0.15"/>
    <row r="14540" hidden="1" x14ac:dyDescent="0.15"/>
    <row r="14541" hidden="1" x14ac:dyDescent="0.15"/>
    <row r="14542" hidden="1" x14ac:dyDescent="0.15"/>
    <row r="14543" hidden="1" x14ac:dyDescent="0.15"/>
    <row r="14544" hidden="1" x14ac:dyDescent="0.15"/>
    <row r="14545" hidden="1" x14ac:dyDescent="0.15"/>
    <row r="14546" hidden="1" x14ac:dyDescent="0.15"/>
    <row r="14547" hidden="1" x14ac:dyDescent="0.15"/>
    <row r="14548" hidden="1" x14ac:dyDescent="0.15"/>
    <row r="14549" hidden="1" x14ac:dyDescent="0.15"/>
    <row r="14550" hidden="1" x14ac:dyDescent="0.15"/>
    <row r="14551" hidden="1" x14ac:dyDescent="0.15"/>
    <row r="14552" hidden="1" x14ac:dyDescent="0.15"/>
    <row r="14553" hidden="1" x14ac:dyDescent="0.15"/>
    <row r="14554" hidden="1" x14ac:dyDescent="0.15"/>
    <row r="14555" hidden="1" x14ac:dyDescent="0.15"/>
    <row r="14556" hidden="1" x14ac:dyDescent="0.15"/>
    <row r="14557" hidden="1" x14ac:dyDescent="0.15"/>
    <row r="14558" hidden="1" x14ac:dyDescent="0.15"/>
    <row r="14559" hidden="1" x14ac:dyDescent="0.15"/>
    <row r="14560" hidden="1" x14ac:dyDescent="0.15"/>
    <row r="14561" hidden="1" x14ac:dyDescent="0.15"/>
    <row r="14562" hidden="1" x14ac:dyDescent="0.15"/>
    <row r="14563" hidden="1" x14ac:dyDescent="0.15"/>
    <row r="14564" hidden="1" x14ac:dyDescent="0.15"/>
    <row r="14565" hidden="1" x14ac:dyDescent="0.15"/>
    <row r="14566" hidden="1" x14ac:dyDescent="0.15"/>
    <row r="14567" hidden="1" x14ac:dyDescent="0.15"/>
    <row r="14568" hidden="1" x14ac:dyDescent="0.15"/>
    <row r="14569" hidden="1" x14ac:dyDescent="0.15"/>
    <row r="14570" hidden="1" x14ac:dyDescent="0.15"/>
    <row r="14571" hidden="1" x14ac:dyDescent="0.15"/>
    <row r="14572" hidden="1" x14ac:dyDescent="0.15"/>
    <row r="14573" hidden="1" x14ac:dyDescent="0.15"/>
    <row r="14574" hidden="1" x14ac:dyDescent="0.15"/>
    <row r="14575" hidden="1" x14ac:dyDescent="0.15"/>
    <row r="14576" hidden="1" x14ac:dyDescent="0.15"/>
    <row r="14577" hidden="1" x14ac:dyDescent="0.15"/>
    <row r="14578" hidden="1" x14ac:dyDescent="0.15"/>
    <row r="14579" hidden="1" x14ac:dyDescent="0.15"/>
    <row r="14580" hidden="1" x14ac:dyDescent="0.15"/>
    <row r="14581" hidden="1" x14ac:dyDescent="0.15"/>
    <row r="14582" hidden="1" x14ac:dyDescent="0.15"/>
    <row r="14583" hidden="1" x14ac:dyDescent="0.15"/>
    <row r="14584" hidden="1" x14ac:dyDescent="0.15"/>
    <row r="14585" hidden="1" x14ac:dyDescent="0.15"/>
    <row r="14586" hidden="1" x14ac:dyDescent="0.15"/>
    <row r="14587" hidden="1" x14ac:dyDescent="0.15"/>
    <row r="14588" hidden="1" x14ac:dyDescent="0.15"/>
    <row r="14589" hidden="1" x14ac:dyDescent="0.15"/>
    <row r="14590" hidden="1" x14ac:dyDescent="0.15"/>
    <row r="14591" hidden="1" x14ac:dyDescent="0.15"/>
    <row r="14592" hidden="1" x14ac:dyDescent="0.15"/>
    <row r="14593" hidden="1" x14ac:dyDescent="0.15"/>
    <row r="14594" hidden="1" x14ac:dyDescent="0.15"/>
    <row r="14595" hidden="1" x14ac:dyDescent="0.15"/>
    <row r="14596" hidden="1" x14ac:dyDescent="0.15"/>
    <row r="14597" hidden="1" x14ac:dyDescent="0.15"/>
    <row r="14598" hidden="1" x14ac:dyDescent="0.15"/>
    <row r="14599" hidden="1" x14ac:dyDescent="0.15"/>
    <row r="14600" hidden="1" x14ac:dyDescent="0.15"/>
    <row r="14601" hidden="1" x14ac:dyDescent="0.15"/>
    <row r="14602" hidden="1" x14ac:dyDescent="0.15"/>
    <row r="14603" hidden="1" x14ac:dyDescent="0.15"/>
    <row r="14604" hidden="1" x14ac:dyDescent="0.15"/>
    <row r="14605" hidden="1" x14ac:dyDescent="0.15"/>
    <row r="14606" hidden="1" x14ac:dyDescent="0.15"/>
    <row r="14607" hidden="1" x14ac:dyDescent="0.15"/>
    <row r="14608" hidden="1" x14ac:dyDescent="0.15"/>
    <row r="14609" hidden="1" x14ac:dyDescent="0.15"/>
    <row r="14610" hidden="1" x14ac:dyDescent="0.15"/>
    <row r="14611" hidden="1" x14ac:dyDescent="0.15"/>
    <row r="14612" hidden="1" x14ac:dyDescent="0.15"/>
    <row r="14613" hidden="1" x14ac:dyDescent="0.15"/>
    <row r="14614" hidden="1" x14ac:dyDescent="0.15"/>
    <row r="14615" hidden="1" x14ac:dyDescent="0.15"/>
    <row r="14616" hidden="1" x14ac:dyDescent="0.15"/>
    <row r="14617" hidden="1" x14ac:dyDescent="0.15"/>
    <row r="14618" hidden="1" x14ac:dyDescent="0.15"/>
    <row r="14619" hidden="1" x14ac:dyDescent="0.15"/>
    <row r="14620" hidden="1" x14ac:dyDescent="0.15"/>
    <row r="14621" hidden="1" x14ac:dyDescent="0.15"/>
    <row r="14622" hidden="1" x14ac:dyDescent="0.15"/>
    <row r="14623" hidden="1" x14ac:dyDescent="0.15"/>
    <row r="14624" hidden="1" x14ac:dyDescent="0.15"/>
    <row r="14625" hidden="1" x14ac:dyDescent="0.15"/>
    <row r="14626" hidden="1" x14ac:dyDescent="0.15"/>
    <row r="14627" hidden="1" x14ac:dyDescent="0.15"/>
    <row r="14628" hidden="1" x14ac:dyDescent="0.15"/>
    <row r="14629" hidden="1" x14ac:dyDescent="0.15"/>
    <row r="14630" hidden="1" x14ac:dyDescent="0.15"/>
    <row r="14631" hidden="1" x14ac:dyDescent="0.15"/>
    <row r="14632" hidden="1" x14ac:dyDescent="0.15"/>
    <row r="14633" hidden="1" x14ac:dyDescent="0.15"/>
    <row r="14634" hidden="1" x14ac:dyDescent="0.15"/>
    <row r="14635" hidden="1" x14ac:dyDescent="0.15"/>
    <row r="14636" hidden="1" x14ac:dyDescent="0.15"/>
    <row r="14637" hidden="1" x14ac:dyDescent="0.15"/>
    <row r="14638" hidden="1" x14ac:dyDescent="0.15"/>
    <row r="14639" hidden="1" x14ac:dyDescent="0.15"/>
    <row r="14640" hidden="1" x14ac:dyDescent="0.15"/>
    <row r="14641" hidden="1" x14ac:dyDescent="0.15"/>
    <row r="14642" hidden="1" x14ac:dyDescent="0.15"/>
    <row r="14643" hidden="1" x14ac:dyDescent="0.15"/>
    <row r="14644" hidden="1" x14ac:dyDescent="0.15"/>
    <row r="14645" hidden="1" x14ac:dyDescent="0.15"/>
    <row r="14646" hidden="1" x14ac:dyDescent="0.15"/>
    <row r="14647" hidden="1" x14ac:dyDescent="0.15"/>
    <row r="14648" hidden="1" x14ac:dyDescent="0.15"/>
    <row r="14649" hidden="1" x14ac:dyDescent="0.15"/>
    <row r="14650" hidden="1" x14ac:dyDescent="0.15"/>
    <row r="14651" hidden="1" x14ac:dyDescent="0.15"/>
    <row r="14652" hidden="1" x14ac:dyDescent="0.15"/>
    <row r="14653" hidden="1" x14ac:dyDescent="0.15"/>
    <row r="14654" hidden="1" x14ac:dyDescent="0.15"/>
    <row r="14655" hidden="1" x14ac:dyDescent="0.15"/>
    <row r="14656" hidden="1" x14ac:dyDescent="0.15"/>
    <row r="14657" hidden="1" x14ac:dyDescent="0.15"/>
    <row r="14658" hidden="1" x14ac:dyDescent="0.15"/>
    <row r="14659" hidden="1" x14ac:dyDescent="0.15"/>
    <row r="14660" hidden="1" x14ac:dyDescent="0.15"/>
    <row r="14661" hidden="1" x14ac:dyDescent="0.15"/>
    <row r="14662" hidden="1" x14ac:dyDescent="0.15"/>
    <row r="14663" hidden="1" x14ac:dyDescent="0.15"/>
    <row r="14664" hidden="1" x14ac:dyDescent="0.15"/>
    <row r="14665" hidden="1" x14ac:dyDescent="0.15"/>
    <row r="14666" hidden="1" x14ac:dyDescent="0.15"/>
    <row r="14667" hidden="1" x14ac:dyDescent="0.15"/>
    <row r="14668" hidden="1" x14ac:dyDescent="0.15"/>
    <row r="14669" hidden="1" x14ac:dyDescent="0.15"/>
    <row r="14670" hidden="1" x14ac:dyDescent="0.15"/>
    <row r="14671" hidden="1" x14ac:dyDescent="0.15"/>
    <row r="14672" hidden="1" x14ac:dyDescent="0.15"/>
    <row r="14673" hidden="1" x14ac:dyDescent="0.15"/>
    <row r="14674" hidden="1" x14ac:dyDescent="0.15"/>
    <row r="14675" hidden="1" x14ac:dyDescent="0.15"/>
    <row r="14676" hidden="1" x14ac:dyDescent="0.15"/>
    <row r="14677" hidden="1" x14ac:dyDescent="0.15"/>
    <row r="14678" hidden="1" x14ac:dyDescent="0.15"/>
    <row r="14679" hidden="1" x14ac:dyDescent="0.15"/>
    <row r="14680" hidden="1" x14ac:dyDescent="0.15"/>
    <row r="14681" hidden="1" x14ac:dyDescent="0.15"/>
    <row r="14682" hidden="1" x14ac:dyDescent="0.15"/>
    <row r="14683" hidden="1" x14ac:dyDescent="0.15"/>
    <row r="14684" hidden="1" x14ac:dyDescent="0.15"/>
    <row r="14685" hidden="1" x14ac:dyDescent="0.15"/>
    <row r="14686" hidden="1" x14ac:dyDescent="0.15"/>
    <row r="14687" hidden="1" x14ac:dyDescent="0.15"/>
    <row r="14688" hidden="1" x14ac:dyDescent="0.15"/>
    <row r="14689" hidden="1" x14ac:dyDescent="0.15"/>
    <row r="14690" hidden="1" x14ac:dyDescent="0.15"/>
    <row r="14691" hidden="1" x14ac:dyDescent="0.15"/>
    <row r="14692" hidden="1" x14ac:dyDescent="0.15"/>
    <row r="14693" hidden="1" x14ac:dyDescent="0.15"/>
    <row r="14694" hidden="1" x14ac:dyDescent="0.15"/>
    <row r="14695" hidden="1" x14ac:dyDescent="0.15"/>
    <row r="14696" hidden="1" x14ac:dyDescent="0.15"/>
    <row r="14697" hidden="1" x14ac:dyDescent="0.15"/>
    <row r="14698" hidden="1" x14ac:dyDescent="0.15"/>
    <row r="14699" hidden="1" x14ac:dyDescent="0.15"/>
    <row r="14700" hidden="1" x14ac:dyDescent="0.15"/>
    <row r="14701" hidden="1" x14ac:dyDescent="0.15"/>
    <row r="14702" hidden="1" x14ac:dyDescent="0.15"/>
    <row r="14703" hidden="1" x14ac:dyDescent="0.15"/>
    <row r="14704" hidden="1" x14ac:dyDescent="0.15"/>
    <row r="14705" hidden="1" x14ac:dyDescent="0.15"/>
    <row r="14706" hidden="1" x14ac:dyDescent="0.15"/>
    <row r="14707" hidden="1" x14ac:dyDescent="0.15"/>
    <row r="14708" hidden="1" x14ac:dyDescent="0.15"/>
    <row r="14709" hidden="1" x14ac:dyDescent="0.15"/>
    <row r="14710" hidden="1" x14ac:dyDescent="0.15"/>
    <row r="14711" hidden="1" x14ac:dyDescent="0.15"/>
    <row r="14712" hidden="1" x14ac:dyDescent="0.15"/>
    <row r="14713" hidden="1" x14ac:dyDescent="0.15"/>
    <row r="14714" hidden="1" x14ac:dyDescent="0.15"/>
    <row r="14715" hidden="1" x14ac:dyDescent="0.15"/>
    <row r="14716" hidden="1" x14ac:dyDescent="0.15"/>
    <row r="14717" hidden="1" x14ac:dyDescent="0.15"/>
    <row r="14718" hidden="1" x14ac:dyDescent="0.15"/>
    <row r="14719" hidden="1" x14ac:dyDescent="0.15"/>
    <row r="14720" hidden="1" x14ac:dyDescent="0.15"/>
    <row r="14721" hidden="1" x14ac:dyDescent="0.15"/>
    <row r="14722" hidden="1" x14ac:dyDescent="0.15"/>
    <row r="14723" hidden="1" x14ac:dyDescent="0.15"/>
    <row r="14724" hidden="1" x14ac:dyDescent="0.15"/>
    <row r="14725" hidden="1" x14ac:dyDescent="0.15"/>
    <row r="14726" hidden="1" x14ac:dyDescent="0.15"/>
    <row r="14727" hidden="1" x14ac:dyDescent="0.15"/>
    <row r="14728" hidden="1" x14ac:dyDescent="0.15"/>
    <row r="14729" hidden="1" x14ac:dyDescent="0.15"/>
    <row r="14730" hidden="1" x14ac:dyDescent="0.15"/>
    <row r="14731" hidden="1" x14ac:dyDescent="0.15"/>
    <row r="14732" hidden="1" x14ac:dyDescent="0.15"/>
    <row r="14733" hidden="1" x14ac:dyDescent="0.15"/>
    <row r="14734" hidden="1" x14ac:dyDescent="0.15"/>
    <row r="14735" hidden="1" x14ac:dyDescent="0.15"/>
    <row r="14736" hidden="1" x14ac:dyDescent="0.15"/>
    <row r="14737" hidden="1" x14ac:dyDescent="0.15"/>
    <row r="14738" hidden="1" x14ac:dyDescent="0.15"/>
    <row r="14739" hidden="1" x14ac:dyDescent="0.15"/>
    <row r="14740" hidden="1" x14ac:dyDescent="0.15"/>
    <row r="14741" hidden="1" x14ac:dyDescent="0.15"/>
    <row r="14742" hidden="1" x14ac:dyDescent="0.15"/>
    <row r="14743" hidden="1" x14ac:dyDescent="0.15"/>
    <row r="14744" hidden="1" x14ac:dyDescent="0.15"/>
    <row r="14745" hidden="1" x14ac:dyDescent="0.15"/>
    <row r="14746" hidden="1" x14ac:dyDescent="0.15"/>
    <row r="14747" hidden="1" x14ac:dyDescent="0.15"/>
    <row r="14748" hidden="1" x14ac:dyDescent="0.15"/>
    <row r="14749" hidden="1" x14ac:dyDescent="0.15"/>
    <row r="14750" hidden="1" x14ac:dyDescent="0.15"/>
    <row r="14751" hidden="1" x14ac:dyDescent="0.15"/>
    <row r="14752" hidden="1" x14ac:dyDescent="0.15"/>
    <row r="14753" hidden="1" x14ac:dyDescent="0.15"/>
    <row r="14754" hidden="1" x14ac:dyDescent="0.15"/>
    <row r="14755" hidden="1" x14ac:dyDescent="0.15"/>
    <row r="14756" hidden="1" x14ac:dyDescent="0.15"/>
    <row r="14757" hidden="1" x14ac:dyDescent="0.15"/>
    <row r="14758" hidden="1" x14ac:dyDescent="0.15"/>
    <row r="14759" hidden="1" x14ac:dyDescent="0.15"/>
    <row r="14760" hidden="1" x14ac:dyDescent="0.15"/>
    <row r="14761" hidden="1" x14ac:dyDescent="0.15"/>
    <row r="14762" hidden="1" x14ac:dyDescent="0.15"/>
    <row r="14763" hidden="1" x14ac:dyDescent="0.15"/>
    <row r="14764" hidden="1" x14ac:dyDescent="0.15"/>
    <row r="14765" hidden="1" x14ac:dyDescent="0.15"/>
    <row r="14766" hidden="1" x14ac:dyDescent="0.15"/>
    <row r="14767" hidden="1" x14ac:dyDescent="0.15"/>
    <row r="14768" hidden="1" x14ac:dyDescent="0.15"/>
    <row r="14769" hidden="1" x14ac:dyDescent="0.15"/>
    <row r="14770" hidden="1" x14ac:dyDescent="0.15"/>
    <row r="14771" hidden="1" x14ac:dyDescent="0.15"/>
    <row r="14772" hidden="1" x14ac:dyDescent="0.15"/>
    <row r="14773" hidden="1" x14ac:dyDescent="0.15"/>
    <row r="14774" hidden="1" x14ac:dyDescent="0.15"/>
    <row r="14775" hidden="1" x14ac:dyDescent="0.15"/>
    <row r="14776" hidden="1" x14ac:dyDescent="0.15"/>
    <row r="14777" hidden="1" x14ac:dyDescent="0.15"/>
    <row r="14778" hidden="1" x14ac:dyDescent="0.15"/>
    <row r="14779" hidden="1" x14ac:dyDescent="0.15"/>
    <row r="14780" hidden="1" x14ac:dyDescent="0.15"/>
    <row r="14781" hidden="1" x14ac:dyDescent="0.15"/>
    <row r="14782" hidden="1" x14ac:dyDescent="0.15"/>
    <row r="14783" hidden="1" x14ac:dyDescent="0.15"/>
    <row r="14784" hidden="1" x14ac:dyDescent="0.15"/>
    <row r="14785" hidden="1" x14ac:dyDescent="0.15"/>
    <row r="14786" hidden="1" x14ac:dyDescent="0.15"/>
    <row r="14787" hidden="1" x14ac:dyDescent="0.15"/>
    <row r="14788" hidden="1" x14ac:dyDescent="0.15"/>
    <row r="14789" hidden="1" x14ac:dyDescent="0.15"/>
    <row r="14790" hidden="1" x14ac:dyDescent="0.15"/>
    <row r="14791" hidden="1" x14ac:dyDescent="0.15"/>
    <row r="14792" hidden="1" x14ac:dyDescent="0.15"/>
    <row r="14793" hidden="1" x14ac:dyDescent="0.15"/>
    <row r="14794" hidden="1" x14ac:dyDescent="0.15"/>
    <row r="14795" hidden="1" x14ac:dyDescent="0.15"/>
    <row r="14796" hidden="1" x14ac:dyDescent="0.15"/>
    <row r="14797" hidden="1" x14ac:dyDescent="0.15"/>
    <row r="14798" hidden="1" x14ac:dyDescent="0.15"/>
    <row r="14799" hidden="1" x14ac:dyDescent="0.15"/>
    <row r="14800" hidden="1" x14ac:dyDescent="0.15"/>
    <row r="14801" hidden="1" x14ac:dyDescent="0.15"/>
    <row r="14802" hidden="1" x14ac:dyDescent="0.15"/>
    <row r="14803" hidden="1" x14ac:dyDescent="0.15"/>
    <row r="14804" hidden="1" x14ac:dyDescent="0.15"/>
    <row r="14805" hidden="1" x14ac:dyDescent="0.15"/>
    <row r="14806" hidden="1" x14ac:dyDescent="0.15"/>
    <row r="14807" hidden="1" x14ac:dyDescent="0.15"/>
    <row r="14808" hidden="1" x14ac:dyDescent="0.15"/>
    <row r="14809" hidden="1" x14ac:dyDescent="0.15"/>
    <row r="14810" hidden="1" x14ac:dyDescent="0.15"/>
    <row r="14811" hidden="1" x14ac:dyDescent="0.15"/>
    <row r="14812" hidden="1" x14ac:dyDescent="0.15"/>
    <row r="14813" hidden="1" x14ac:dyDescent="0.15"/>
    <row r="14814" hidden="1" x14ac:dyDescent="0.15"/>
    <row r="14815" hidden="1" x14ac:dyDescent="0.15"/>
    <row r="14816" hidden="1" x14ac:dyDescent="0.15"/>
    <row r="14817" hidden="1" x14ac:dyDescent="0.15"/>
    <row r="14818" hidden="1" x14ac:dyDescent="0.15"/>
    <row r="14819" hidden="1" x14ac:dyDescent="0.15"/>
    <row r="14820" hidden="1" x14ac:dyDescent="0.15"/>
    <row r="14821" hidden="1" x14ac:dyDescent="0.15"/>
    <row r="14822" hidden="1" x14ac:dyDescent="0.15"/>
    <row r="14823" hidden="1" x14ac:dyDescent="0.15"/>
    <row r="14824" hidden="1" x14ac:dyDescent="0.15"/>
    <row r="14825" hidden="1" x14ac:dyDescent="0.15"/>
    <row r="14826" hidden="1" x14ac:dyDescent="0.15"/>
    <row r="14827" hidden="1" x14ac:dyDescent="0.15"/>
    <row r="14828" hidden="1" x14ac:dyDescent="0.15"/>
    <row r="14829" hidden="1" x14ac:dyDescent="0.15"/>
    <row r="14830" hidden="1" x14ac:dyDescent="0.15"/>
    <row r="14831" hidden="1" x14ac:dyDescent="0.15"/>
    <row r="14832" hidden="1" x14ac:dyDescent="0.15"/>
    <row r="14833" hidden="1" x14ac:dyDescent="0.15"/>
    <row r="14834" hidden="1" x14ac:dyDescent="0.15"/>
    <row r="14835" hidden="1" x14ac:dyDescent="0.15"/>
    <row r="14836" hidden="1" x14ac:dyDescent="0.15"/>
    <row r="14837" hidden="1" x14ac:dyDescent="0.15"/>
    <row r="14838" hidden="1" x14ac:dyDescent="0.15"/>
    <row r="14839" hidden="1" x14ac:dyDescent="0.15"/>
    <row r="14840" hidden="1" x14ac:dyDescent="0.15"/>
    <row r="14841" hidden="1" x14ac:dyDescent="0.15"/>
    <row r="14842" hidden="1" x14ac:dyDescent="0.15"/>
    <row r="14843" hidden="1" x14ac:dyDescent="0.15"/>
    <row r="14844" hidden="1" x14ac:dyDescent="0.15"/>
    <row r="14845" hidden="1" x14ac:dyDescent="0.15"/>
    <row r="14846" hidden="1" x14ac:dyDescent="0.15"/>
    <row r="14847" hidden="1" x14ac:dyDescent="0.15"/>
    <row r="14848" hidden="1" x14ac:dyDescent="0.15"/>
    <row r="14849" hidden="1" x14ac:dyDescent="0.15"/>
    <row r="14850" hidden="1" x14ac:dyDescent="0.15"/>
    <row r="14851" hidden="1" x14ac:dyDescent="0.15"/>
    <row r="14852" hidden="1" x14ac:dyDescent="0.15"/>
    <row r="14853" hidden="1" x14ac:dyDescent="0.15"/>
    <row r="14854" hidden="1" x14ac:dyDescent="0.15"/>
    <row r="14855" hidden="1" x14ac:dyDescent="0.15"/>
    <row r="14856" hidden="1" x14ac:dyDescent="0.15"/>
    <row r="14857" hidden="1" x14ac:dyDescent="0.15"/>
    <row r="14858" hidden="1" x14ac:dyDescent="0.15"/>
    <row r="14859" hidden="1" x14ac:dyDescent="0.15"/>
    <row r="14860" hidden="1" x14ac:dyDescent="0.15"/>
    <row r="14861" hidden="1" x14ac:dyDescent="0.15"/>
    <row r="14862" hidden="1" x14ac:dyDescent="0.15"/>
    <row r="14863" hidden="1" x14ac:dyDescent="0.15"/>
    <row r="14864" hidden="1" x14ac:dyDescent="0.15"/>
    <row r="14865" hidden="1" x14ac:dyDescent="0.15"/>
    <row r="14866" hidden="1" x14ac:dyDescent="0.15"/>
    <row r="14867" hidden="1" x14ac:dyDescent="0.15"/>
    <row r="14868" hidden="1" x14ac:dyDescent="0.15"/>
    <row r="14869" hidden="1" x14ac:dyDescent="0.15"/>
    <row r="14870" hidden="1" x14ac:dyDescent="0.15"/>
    <row r="14871" hidden="1" x14ac:dyDescent="0.15"/>
    <row r="14872" hidden="1" x14ac:dyDescent="0.15"/>
    <row r="14873" hidden="1" x14ac:dyDescent="0.15"/>
    <row r="14874" hidden="1" x14ac:dyDescent="0.15"/>
    <row r="14875" hidden="1" x14ac:dyDescent="0.15"/>
    <row r="14876" hidden="1" x14ac:dyDescent="0.15"/>
    <row r="14877" hidden="1" x14ac:dyDescent="0.15"/>
    <row r="14878" hidden="1" x14ac:dyDescent="0.15"/>
    <row r="14879" hidden="1" x14ac:dyDescent="0.15"/>
    <row r="14880" hidden="1" x14ac:dyDescent="0.15"/>
    <row r="14881" hidden="1" x14ac:dyDescent="0.15"/>
    <row r="14882" hidden="1" x14ac:dyDescent="0.15"/>
    <row r="14883" hidden="1" x14ac:dyDescent="0.15"/>
    <row r="14884" hidden="1" x14ac:dyDescent="0.15"/>
    <row r="14885" hidden="1" x14ac:dyDescent="0.15"/>
    <row r="14886" hidden="1" x14ac:dyDescent="0.15"/>
    <row r="14887" hidden="1" x14ac:dyDescent="0.15"/>
    <row r="14888" hidden="1" x14ac:dyDescent="0.15"/>
    <row r="14889" hidden="1" x14ac:dyDescent="0.15"/>
    <row r="14890" hidden="1" x14ac:dyDescent="0.15"/>
    <row r="14891" hidden="1" x14ac:dyDescent="0.15"/>
    <row r="14892" hidden="1" x14ac:dyDescent="0.15"/>
    <row r="14893" hidden="1" x14ac:dyDescent="0.15"/>
    <row r="14894" hidden="1" x14ac:dyDescent="0.15"/>
    <row r="14895" hidden="1" x14ac:dyDescent="0.15"/>
    <row r="14896" hidden="1" x14ac:dyDescent="0.15"/>
    <row r="14897" hidden="1" x14ac:dyDescent="0.15"/>
    <row r="14898" hidden="1" x14ac:dyDescent="0.15"/>
    <row r="14899" hidden="1" x14ac:dyDescent="0.15"/>
    <row r="14900" hidden="1" x14ac:dyDescent="0.15"/>
    <row r="14901" hidden="1" x14ac:dyDescent="0.15"/>
    <row r="14902" hidden="1" x14ac:dyDescent="0.15"/>
    <row r="14903" hidden="1" x14ac:dyDescent="0.15"/>
    <row r="14904" hidden="1" x14ac:dyDescent="0.15"/>
    <row r="14905" hidden="1" x14ac:dyDescent="0.15"/>
    <row r="14906" hidden="1" x14ac:dyDescent="0.15"/>
    <row r="14907" hidden="1" x14ac:dyDescent="0.15"/>
    <row r="14908" hidden="1" x14ac:dyDescent="0.15"/>
    <row r="14909" hidden="1" x14ac:dyDescent="0.15"/>
    <row r="14910" hidden="1" x14ac:dyDescent="0.15"/>
    <row r="14911" hidden="1" x14ac:dyDescent="0.15"/>
    <row r="14912" hidden="1" x14ac:dyDescent="0.15"/>
    <row r="14913" hidden="1" x14ac:dyDescent="0.15"/>
    <row r="14914" hidden="1" x14ac:dyDescent="0.15"/>
    <row r="14915" hidden="1" x14ac:dyDescent="0.15"/>
    <row r="14916" hidden="1" x14ac:dyDescent="0.15"/>
    <row r="14917" hidden="1" x14ac:dyDescent="0.15"/>
    <row r="14918" hidden="1" x14ac:dyDescent="0.15"/>
    <row r="14919" hidden="1" x14ac:dyDescent="0.15"/>
    <row r="14920" hidden="1" x14ac:dyDescent="0.15"/>
    <row r="14921" hidden="1" x14ac:dyDescent="0.15"/>
    <row r="14922" hidden="1" x14ac:dyDescent="0.15"/>
    <row r="14923" hidden="1" x14ac:dyDescent="0.15"/>
    <row r="14924" hidden="1" x14ac:dyDescent="0.15"/>
    <row r="14925" hidden="1" x14ac:dyDescent="0.15"/>
    <row r="14926" hidden="1" x14ac:dyDescent="0.15"/>
    <row r="14927" hidden="1" x14ac:dyDescent="0.15"/>
    <row r="14928" hidden="1" x14ac:dyDescent="0.15"/>
    <row r="14929" hidden="1" x14ac:dyDescent="0.15"/>
    <row r="14930" hidden="1" x14ac:dyDescent="0.15"/>
    <row r="14931" hidden="1" x14ac:dyDescent="0.15"/>
    <row r="14932" hidden="1" x14ac:dyDescent="0.15"/>
    <row r="14933" hidden="1" x14ac:dyDescent="0.15"/>
    <row r="14934" hidden="1" x14ac:dyDescent="0.15"/>
    <row r="14935" hidden="1" x14ac:dyDescent="0.15"/>
    <row r="14936" hidden="1" x14ac:dyDescent="0.15"/>
    <row r="14937" hidden="1" x14ac:dyDescent="0.15"/>
    <row r="14938" hidden="1" x14ac:dyDescent="0.15"/>
    <row r="14939" hidden="1" x14ac:dyDescent="0.15"/>
    <row r="14940" hidden="1" x14ac:dyDescent="0.15"/>
    <row r="14941" hidden="1" x14ac:dyDescent="0.15"/>
    <row r="14942" hidden="1" x14ac:dyDescent="0.15"/>
    <row r="14943" hidden="1" x14ac:dyDescent="0.15"/>
    <row r="14944" hidden="1" x14ac:dyDescent="0.15"/>
    <row r="14945" hidden="1" x14ac:dyDescent="0.15"/>
    <row r="14946" hidden="1" x14ac:dyDescent="0.15"/>
    <row r="14947" hidden="1" x14ac:dyDescent="0.15"/>
    <row r="14948" hidden="1" x14ac:dyDescent="0.15"/>
    <row r="14949" hidden="1" x14ac:dyDescent="0.15"/>
    <row r="14950" hidden="1" x14ac:dyDescent="0.15"/>
    <row r="14951" hidden="1" x14ac:dyDescent="0.15"/>
    <row r="14952" hidden="1" x14ac:dyDescent="0.15"/>
    <row r="14953" hidden="1" x14ac:dyDescent="0.15"/>
    <row r="14954" hidden="1" x14ac:dyDescent="0.15"/>
    <row r="14955" hidden="1" x14ac:dyDescent="0.15"/>
    <row r="14956" hidden="1" x14ac:dyDescent="0.15"/>
    <row r="14957" hidden="1" x14ac:dyDescent="0.15"/>
    <row r="14958" hidden="1" x14ac:dyDescent="0.15"/>
    <row r="14959" hidden="1" x14ac:dyDescent="0.15"/>
    <row r="14960" hidden="1" x14ac:dyDescent="0.15"/>
    <row r="14961" hidden="1" x14ac:dyDescent="0.15"/>
    <row r="14962" hidden="1" x14ac:dyDescent="0.15"/>
    <row r="14963" hidden="1" x14ac:dyDescent="0.15"/>
    <row r="14964" hidden="1" x14ac:dyDescent="0.15"/>
    <row r="14965" hidden="1" x14ac:dyDescent="0.15"/>
    <row r="14966" hidden="1" x14ac:dyDescent="0.15"/>
    <row r="14967" hidden="1" x14ac:dyDescent="0.15"/>
    <row r="14968" hidden="1" x14ac:dyDescent="0.15"/>
    <row r="14969" hidden="1" x14ac:dyDescent="0.15"/>
    <row r="14970" hidden="1" x14ac:dyDescent="0.15"/>
    <row r="14971" hidden="1" x14ac:dyDescent="0.15"/>
    <row r="14972" hidden="1" x14ac:dyDescent="0.15"/>
    <row r="14973" hidden="1" x14ac:dyDescent="0.15"/>
    <row r="14974" hidden="1" x14ac:dyDescent="0.15"/>
    <row r="14975" hidden="1" x14ac:dyDescent="0.15"/>
    <row r="14976" hidden="1" x14ac:dyDescent="0.15"/>
    <row r="14977" hidden="1" x14ac:dyDescent="0.15"/>
    <row r="14978" hidden="1" x14ac:dyDescent="0.15"/>
    <row r="14979" hidden="1" x14ac:dyDescent="0.15"/>
    <row r="14980" hidden="1" x14ac:dyDescent="0.15"/>
    <row r="14981" hidden="1" x14ac:dyDescent="0.15"/>
    <row r="14982" hidden="1" x14ac:dyDescent="0.15"/>
    <row r="14983" hidden="1" x14ac:dyDescent="0.15"/>
    <row r="14984" hidden="1" x14ac:dyDescent="0.15"/>
    <row r="14985" hidden="1" x14ac:dyDescent="0.15"/>
    <row r="14986" hidden="1" x14ac:dyDescent="0.15"/>
    <row r="14987" hidden="1" x14ac:dyDescent="0.15"/>
    <row r="14988" hidden="1" x14ac:dyDescent="0.15"/>
    <row r="14989" hidden="1" x14ac:dyDescent="0.15"/>
    <row r="14990" hidden="1" x14ac:dyDescent="0.15"/>
    <row r="14991" hidden="1" x14ac:dyDescent="0.15"/>
    <row r="14992" hidden="1" x14ac:dyDescent="0.15"/>
    <row r="14993" hidden="1" x14ac:dyDescent="0.15"/>
    <row r="14994" hidden="1" x14ac:dyDescent="0.15"/>
    <row r="14995" hidden="1" x14ac:dyDescent="0.15"/>
    <row r="14996" hidden="1" x14ac:dyDescent="0.15"/>
    <row r="14997" hidden="1" x14ac:dyDescent="0.15"/>
    <row r="14998" hidden="1" x14ac:dyDescent="0.15"/>
    <row r="14999" hidden="1" x14ac:dyDescent="0.15"/>
    <row r="15000" hidden="1" x14ac:dyDescent="0.15"/>
    <row r="15001" hidden="1" x14ac:dyDescent="0.15"/>
    <row r="15002" hidden="1" x14ac:dyDescent="0.15"/>
    <row r="15003" hidden="1" x14ac:dyDescent="0.15"/>
    <row r="15004" hidden="1" x14ac:dyDescent="0.15"/>
    <row r="15005" hidden="1" x14ac:dyDescent="0.15"/>
    <row r="15006" hidden="1" x14ac:dyDescent="0.15"/>
    <row r="15007" hidden="1" x14ac:dyDescent="0.15"/>
    <row r="15008" hidden="1" x14ac:dyDescent="0.15"/>
    <row r="15009" hidden="1" x14ac:dyDescent="0.15"/>
    <row r="15010" hidden="1" x14ac:dyDescent="0.15"/>
    <row r="15011" hidden="1" x14ac:dyDescent="0.15"/>
    <row r="15012" hidden="1" x14ac:dyDescent="0.15"/>
    <row r="15013" hidden="1" x14ac:dyDescent="0.15"/>
    <row r="15014" hidden="1" x14ac:dyDescent="0.15"/>
    <row r="15015" hidden="1" x14ac:dyDescent="0.15"/>
    <row r="15016" hidden="1" x14ac:dyDescent="0.15"/>
    <row r="15017" hidden="1" x14ac:dyDescent="0.15"/>
    <row r="15018" hidden="1" x14ac:dyDescent="0.15"/>
    <row r="15019" hidden="1" x14ac:dyDescent="0.15"/>
    <row r="15020" hidden="1" x14ac:dyDescent="0.15"/>
    <row r="15021" hidden="1" x14ac:dyDescent="0.15"/>
    <row r="15022" hidden="1" x14ac:dyDescent="0.15"/>
    <row r="15023" hidden="1" x14ac:dyDescent="0.15"/>
    <row r="15024" hidden="1" x14ac:dyDescent="0.15"/>
    <row r="15025" hidden="1" x14ac:dyDescent="0.15"/>
    <row r="15026" hidden="1" x14ac:dyDescent="0.15"/>
    <row r="15027" hidden="1" x14ac:dyDescent="0.15"/>
    <row r="15028" hidden="1" x14ac:dyDescent="0.15"/>
    <row r="15029" hidden="1" x14ac:dyDescent="0.15"/>
    <row r="15030" hidden="1" x14ac:dyDescent="0.15"/>
    <row r="15031" hidden="1" x14ac:dyDescent="0.15"/>
    <row r="15032" hidden="1" x14ac:dyDescent="0.15"/>
    <row r="15033" hidden="1" x14ac:dyDescent="0.15"/>
    <row r="15034" hidden="1" x14ac:dyDescent="0.15"/>
    <row r="15035" hidden="1" x14ac:dyDescent="0.15"/>
    <row r="15036" hidden="1" x14ac:dyDescent="0.15"/>
    <row r="15037" hidden="1" x14ac:dyDescent="0.15"/>
    <row r="15038" hidden="1" x14ac:dyDescent="0.15"/>
    <row r="15039" hidden="1" x14ac:dyDescent="0.15"/>
    <row r="15040" hidden="1" x14ac:dyDescent="0.15"/>
    <row r="15041" hidden="1" x14ac:dyDescent="0.15"/>
    <row r="15042" hidden="1" x14ac:dyDescent="0.15"/>
    <row r="15043" hidden="1" x14ac:dyDescent="0.15"/>
    <row r="15044" hidden="1" x14ac:dyDescent="0.15"/>
    <row r="15045" hidden="1" x14ac:dyDescent="0.15"/>
    <row r="15046" hidden="1" x14ac:dyDescent="0.15"/>
    <row r="15047" hidden="1" x14ac:dyDescent="0.15"/>
    <row r="15048" hidden="1" x14ac:dyDescent="0.15"/>
    <row r="15049" hidden="1" x14ac:dyDescent="0.15"/>
    <row r="15050" hidden="1" x14ac:dyDescent="0.15"/>
    <row r="15051" hidden="1" x14ac:dyDescent="0.15"/>
    <row r="15052" hidden="1" x14ac:dyDescent="0.15"/>
    <row r="15053" hidden="1" x14ac:dyDescent="0.15"/>
    <row r="15054" hidden="1" x14ac:dyDescent="0.15"/>
    <row r="15055" hidden="1" x14ac:dyDescent="0.15"/>
    <row r="15056" hidden="1" x14ac:dyDescent="0.15"/>
    <row r="15057" hidden="1" x14ac:dyDescent="0.15"/>
    <row r="15058" hidden="1" x14ac:dyDescent="0.15"/>
    <row r="15059" hidden="1" x14ac:dyDescent="0.15"/>
    <row r="15060" hidden="1" x14ac:dyDescent="0.15"/>
    <row r="15061" hidden="1" x14ac:dyDescent="0.15"/>
    <row r="15062" hidden="1" x14ac:dyDescent="0.15"/>
    <row r="15063" hidden="1" x14ac:dyDescent="0.15"/>
    <row r="15064" hidden="1" x14ac:dyDescent="0.15"/>
    <row r="15065" hidden="1" x14ac:dyDescent="0.15"/>
    <row r="15066" hidden="1" x14ac:dyDescent="0.15"/>
    <row r="15067" hidden="1" x14ac:dyDescent="0.15"/>
    <row r="15068" hidden="1" x14ac:dyDescent="0.15"/>
    <row r="15069" hidden="1" x14ac:dyDescent="0.15"/>
    <row r="15070" hidden="1" x14ac:dyDescent="0.15"/>
    <row r="15071" hidden="1" x14ac:dyDescent="0.15"/>
    <row r="15072" hidden="1" x14ac:dyDescent="0.15"/>
    <row r="15073" hidden="1" x14ac:dyDescent="0.15"/>
    <row r="15074" hidden="1" x14ac:dyDescent="0.15"/>
    <row r="15075" hidden="1" x14ac:dyDescent="0.15"/>
    <row r="15076" hidden="1" x14ac:dyDescent="0.15"/>
    <row r="15077" hidden="1" x14ac:dyDescent="0.15"/>
    <row r="15078" hidden="1" x14ac:dyDescent="0.15"/>
    <row r="15079" hidden="1" x14ac:dyDescent="0.15"/>
    <row r="15080" hidden="1" x14ac:dyDescent="0.15"/>
    <row r="15081" hidden="1" x14ac:dyDescent="0.15"/>
    <row r="15082" hidden="1" x14ac:dyDescent="0.15"/>
    <row r="15083" hidden="1" x14ac:dyDescent="0.15"/>
    <row r="15084" hidden="1" x14ac:dyDescent="0.15"/>
    <row r="15085" hidden="1" x14ac:dyDescent="0.15"/>
    <row r="15086" hidden="1" x14ac:dyDescent="0.15"/>
    <row r="15087" hidden="1" x14ac:dyDescent="0.15"/>
    <row r="15088" hidden="1" x14ac:dyDescent="0.15"/>
    <row r="15089" hidden="1" x14ac:dyDescent="0.15"/>
    <row r="15090" hidden="1" x14ac:dyDescent="0.15"/>
    <row r="15091" hidden="1" x14ac:dyDescent="0.15"/>
    <row r="15092" hidden="1" x14ac:dyDescent="0.15"/>
    <row r="15093" hidden="1" x14ac:dyDescent="0.15"/>
    <row r="15094" hidden="1" x14ac:dyDescent="0.15"/>
    <row r="15095" hidden="1" x14ac:dyDescent="0.15"/>
    <row r="15096" hidden="1" x14ac:dyDescent="0.15"/>
    <row r="15097" hidden="1" x14ac:dyDescent="0.15"/>
    <row r="15098" hidden="1" x14ac:dyDescent="0.15"/>
    <row r="15099" hidden="1" x14ac:dyDescent="0.15"/>
    <row r="15100" hidden="1" x14ac:dyDescent="0.15"/>
    <row r="15101" hidden="1" x14ac:dyDescent="0.15"/>
    <row r="15102" hidden="1" x14ac:dyDescent="0.15"/>
    <row r="15103" hidden="1" x14ac:dyDescent="0.15"/>
    <row r="15104" hidden="1" x14ac:dyDescent="0.15"/>
    <row r="15105" hidden="1" x14ac:dyDescent="0.15"/>
    <row r="15106" hidden="1" x14ac:dyDescent="0.15"/>
    <row r="15107" hidden="1" x14ac:dyDescent="0.15"/>
    <row r="15108" hidden="1" x14ac:dyDescent="0.15"/>
    <row r="15109" hidden="1" x14ac:dyDescent="0.15"/>
    <row r="15110" hidden="1" x14ac:dyDescent="0.15"/>
    <row r="15111" hidden="1" x14ac:dyDescent="0.15"/>
    <row r="15112" hidden="1" x14ac:dyDescent="0.15"/>
    <row r="15113" hidden="1" x14ac:dyDescent="0.15"/>
    <row r="15114" hidden="1" x14ac:dyDescent="0.15"/>
    <row r="15115" hidden="1" x14ac:dyDescent="0.15"/>
    <row r="15116" hidden="1" x14ac:dyDescent="0.15"/>
    <row r="15117" hidden="1" x14ac:dyDescent="0.15"/>
    <row r="15118" hidden="1" x14ac:dyDescent="0.15"/>
    <row r="15119" hidden="1" x14ac:dyDescent="0.15"/>
    <row r="15120" hidden="1" x14ac:dyDescent="0.15"/>
    <row r="15121" hidden="1" x14ac:dyDescent="0.15"/>
    <row r="15122" hidden="1" x14ac:dyDescent="0.15"/>
    <row r="15123" hidden="1" x14ac:dyDescent="0.15"/>
    <row r="15124" hidden="1" x14ac:dyDescent="0.15"/>
    <row r="15125" hidden="1" x14ac:dyDescent="0.15"/>
    <row r="15126" hidden="1" x14ac:dyDescent="0.15"/>
    <row r="15127" hidden="1" x14ac:dyDescent="0.15"/>
    <row r="15128" hidden="1" x14ac:dyDescent="0.15"/>
    <row r="15129" hidden="1" x14ac:dyDescent="0.15"/>
    <row r="15130" hidden="1" x14ac:dyDescent="0.15"/>
    <row r="15131" hidden="1" x14ac:dyDescent="0.15"/>
    <row r="15132" hidden="1" x14ac:dyDescent="0.15"/>
    <row r="15133" hidden="1" x14ac:dyDescent="0.15"/>
    <row r="15134" hidden="1" x14ac:dyDescent="0.15"/>
    <row r="15135" hidden="1" x14ac:dyDescent="0.15"/>
    <row r="15136" hidden="1" x14ac:dyDescent="0.15"/>
    <row r="15137" hidden="1" x14ac:dyDescent="0.15"/>
    <row r="15138" hidden="1" x14ac:dyDescent="0.15"/>
    <row r="15139" hidden="1" x14ac:dyDescent="0.15"/>
    <row r="15140" hidden="1" x14ac:dyDescent="0.15"/>
    <row r="15141" hidden="1" x14ac:dyDescent="0.15"/>
    <row r="15142" hidden="1" x14ac:dyDescent="0.15"/>
    <row r="15143" hidden="1" x14ac:dyDescent="0.15"/>
    <row r="15144" hidden="1" x14ac:dyDescent="0.15"/>
    <row r="15145" hidden="1" x14ac:dyDescent="0.15"/>
    <row r="15146" hidden="1" x14ac:dyDescent="0.15"/>
    <row r="15147" hidden="1" x14ac:dyDescent="0.15"/>
    <row r="15148" hidden="1" x14ac:dyDescent="0.15"/>
    <row r="15149" hidden="1" x14ac:dyDescent="0.15"/>
    <row r="15150" hidden="1" x14ac:dyDescent="0.15"/>
    <row r="15151" hidden="1" x14ac:dyDescent="0.15"/>
    <row r="15152" hidden="1" x14ac:dyDescent="0.15"/>
    <row r="15153" hidden="1" x14ac:dyDescent="0.15"/>
    <row r="15154" hidden="1" x14ac:dyDescent="0.15"/>
    <row r="15155" hidden="1" x14ac:dyDescent="0.15"/>
    <row r="15156" hidden="1" x14ac:dyDescent="0.15"/>
    <row r="15157" hidden="1" x14ac:dyDescent="0.15"/>
    <row r="15158" hidden="1" x14ac:dyDescent="0.15"/>
    <row r="15159" hidden="1" x14ac:dyDescent="0.15"/>
    <row r="15160" hidden="1" x14ac:dyDescent="0.15"/>
    <row r="15161" hidden="1" x14ac:dyDescent="0.15"/>
    <row r="15162" hidden="1" x14ac:dyDescent="0.15"/>
    <row r="15163" hidden="1" x14ac:dyDescent="0.15"/>
    <row r="15164" hidden="1" x14ac:dyDescent="0.15"/>
    <row r="15165" hidden="1" x14ac:dyDescent="0.15"/>
    <row r="15166" hidden="1" x14ac:dyDescent="0.15"/>
    <row r="15167" hidden="1" x14ac:dyDescent="0.15"/>
    <row r="15168" hidden="1" x14ac:dyDescent="0.15"/>
    <row r="15169" hidden="1" x14ac:dyDescent="0.15"/>
    <row r="15170" hidden="1" x14ac:dyDescent="0.15"/>
    <row r="15171" hidden="1" x14ac:dyDescent="0.15"/>
    <row r="15172" hidden="1" x14ac:dyDescent="0.15"/>
    <row r="15173" hidden="1" x14ac:dyDescent="0.15"/>
    <row r="15174" hidden="1" x14ac:dyDescent="0.15"/>
    <row r="15175" hidden="1" x14ac:dyDescent="0.15"/>
    <row r="15176" hidden="1" x14ac:dyDescent="0.15"/>
    <row r="15177" hidden="1" x14ac:dyDescent="0.15"/>
    <row r="15178" hidden="1" x14ac:dyDescent="0.15"/>
    <row r="15179" hidden="1" x14ac:dyDescent="0.15"/>
    <row r="15180" hidden="1" x14ac:dyDescent="0.15"/>
    <row r="15181" hidden="1" x14ac:dyDescent="0.15"/>
    <row r="15182" hidden="1" x14ac:dyDescent="0.15"/>
    <row r="15183" hidden="1" x14ac:dyDescent="0.15"/>
    <row r="15184" hidden="1" x14ac:dyDescent="0.15"/>
    <row r="15185" hidden="1" x14ac:dyDescent="0.15"/>
    <row r="15186" hidden="1" x14ac:dyDescent="0.15"/>
    <row r="15187" hidden="1" x14ac:dyDescent="0.15"/>
    <row r="15188" hidden="1" x14ac:dyDescent="0.15"/>
    <row r="15189" hidden="1" x14ac:dyDescent="0.15"/>
    <row r="15190" hidden="1" x14ac:dyDescent="0.15"/>
    <row r="15191" hidden="1" x14ac:dyDescent="0.15"/>
    <row r="15192" hidden="1" x14ac:dyDescent="0.15"/>
    <row r="15193" hidden="1" x14ac:dyDescent="0.15"/>
    <row r="15194" hidden="1" x14ac:dyDescent="0.15"/>
    <row r="15195" hidden="1" x14ac:dyDescent="0.15"/>
    <row r="15196" hidden="1" x14ac:dyDescent="0.15"/>
    <row r="15197" hidden="1" x14ac:dyDescent="0.15"/>
    <row r="15198" hidden="1" x14ac:dyDescent="0.15"/>
    <row r="15199" hidden="1" x14ac:dyDescent="0.15"/>
    <row r="15200" hidden="1" x14ac:dyDescent="0.15"/>
    <row r="15201" hidden="1" x14ac:dyDescent="0.15"/>
    <row r="15202" hidden="1" x14ac:dyDescent="0.15"/>
    <row r="15203" hidden="1" x14ac:dyDescent="0.15"/>
    <row r="15204" hidden="1" x14ac:dyDescent="0.15"/>
    <row r="15205" hidden="1" x14ac:dyDescent="0.15"/>
    <row r="15206" hidden="1" x14ac:dyDescent="0.15"/>
    <row r="15207" hidden="1" x14ac:dyDescent="0.15"/>
    <row r="15208" hidden="1" x14ac:dyDescent="0.15"/>
    <row r="15209" hidden="1" x14ac:dyDescent="0.15"/>
    <row r="15210" hidden="1" x14ac:dyDescent="0.15"/>
    <row r="15211" hidden="1" x14ac:dyDescent="0.15"/>
    <row r="15212" hidden="1" x14ac:dyDescent="0.15"/>
    <row r="15213" hidden="1" x14ac:dyDescent="0.15"/>
    <row r="15214" hidden="1" x14ac:dyDescent="0.15"/>
    <row r="15215" hidden="1" x14ac:dyDescent="0.15"/>
    <row r="15216" hidden="1" x14ac:dyDescent="0.15"/>
    <row r="15217" hidden="1" x14ac:dyDescent="0.15"/>
    <row r="15218" hidden="1" x14ac:dyDescent="0.15"/>
    <row r="15219" hidden="1" x14ac:dyDescent="0.15"/>
    <row r="15220" hidden="1" x14ac:dyDescent="0.15"/>
    <row r="15221" hidden="1" x14ac:dyDescent="0.15"/>
    <row r="15222" hidden="1" x14ac:dyDescent="0.15"/>
    <row r="15223" hidden="1" x14ac:dyDescent="0.15"/>
    <row r="15224" hidden="1" x14ac:dyDescent="0.15"/>
    <row r="15225" hidden="1" x14ac:dyDescent="0.15"/>
    <row r="15226" hidden="1" x14ac:dyDescent="0.15"/>
    <row r="15227" hidden="1" x14ac:dyDescent="0.15"/>
    <row r="15228" hidden="1" x14ac:dyDescent="0.15"/>
    <row r="15229" hidden="1" x14ac:dyDescent="0.15"/>
    <row r="15230" hidden="1" x14ac:dyDescent="0.15"/>
    <row r="15231" hidden="1" x14ac:dyDescent="0.15"/>
    <row r="15232" hidden="1" x14ac:dyDescent="0.15"/>
    <row r="15233" hidden="1" x14ac:dyDescent="0.15"/>
    <row r="15234" hidden="1" x14ac:dyDescent="0.15"/>
    <row r="15235" hidden="1" x14ac:dyDescent="0.15"/>
    <row r="15236" hidden="1" x14ac:dyDescent="0.15"/>
    <row r="15237" hidden="1" x14ac:dyDescent="0.15"/>
    <row r="15238" hidden="1" x14ac:dyDescent="0.15"/>
    <row r="15239" hidden="1" x14ac:dyDescent="0.15"/>
    <row r="15240" hidden="1" x14ac:dyDescent="0.15"/>
    <row r="15241" hidden="1" x14ac:dyDescent="0.15"/>
    <row r="15242" hidden="1" x14ac:dyDescent="0.15"/>
    <row r="15243" hidden="1" x14ac:dyDescent="0.15"/>
    <row r="15244" hidden="1" x14ac:dyDescent="0.15"/>
    <row r="15245" hidden="1" x14ac:dyDescent="0.15"/>
    <row r="15246" hidden="1" x14ac:dyDescent="0.15"/>
    <row r="15247" hidden="1" x14ac:dyDescent="0.15"/>
    <row r="15248" hidden="1" x14ac:dyDescent="0.15"/>
    <row r="15249" hidden="1" x14ac:dyDescent="0.15"/>
    <row r="15250" hidden="1" x14ac:dyDescent="0.15"/>
    <row r="15251" hidden="1" x14ac:dyDescent="0.15"/>
    <row r="15252" hidden="1" x14ac:dyDescent="0.15"/>
    <row r="15253" hidden="1" x14ac:dyDescent="0.15"/>
    <row r="15254" hidden="1" x14ac:dyDescent="0.15"/>
    <row r="15255" hidden="1" x14ac:dyDescent="0.15"/>
    <row r="15256" hidden="1" x14ac:dyDescent="0.15"/>
    <row r="15257" hidden="1" x14ac:dyDescent="0.15"/>
    <row r="15258" hidden="1" x14ac:dyDescent="0.15"/>
    <row r="15259" hidden="1" x14ac:dyDescent="0.15"/>
    <row r="15260" hidden="1" x14ac:dyDescent="0.15"/>
    <row r="15261" hidden="1" x14ac:dyDescent="0.15"/>
    <row r="15262" hidden="1" x14ac:dyDescent="0.15"/>
    <row r="15263" hidden="1" x14ac:dyDescent="0.15"/>
    <row r="15264" hidden="1" x14ac:dyDescent="0.15"/>
    <row r="15265" hidden="1" x14ac:dyDescent="0.15"/>
    <row r="15266" hidden="1" x14ac:dyDescent="0.15"/>
    <row r="15267" hidden="1" x14ac:dyDescent="0.15"/>
    <row r="15268" hidden="1" x14ac:dyDescent="0.15"/>
    <row r="15269" hidden="1" x14ac:dyDescent="0.15"/>
    <row r="15270" hidden="1" x14ac:dyDescent="0.15"/>
    <row r="15271" hidden="1" x14ac:dyDescent="0.15"/>
    <row r="15272" hidden="1" x14ac:dyDescent="0.15"/>
    <row r="15273" hidden="1" x14ac:dyDescent="0.15"/>
    <row r="15274" hidden="1" x14ac:dyDescent="0.15"/>
    <row r="15275" hidden="1" x14ac:dyDescent="0.15"/>
    <row r="15276" hidden="1" x14ac:dyDescent="0.15"/>
    <row r="15277" hidden="1" x14ac:dyDescent="0.15"/>
    <row r="15278" hidden="1" x14ac:dyDescent="0.15"/>
    <row r="15279" hidden="1" x14ac:dyDescent="0.15"/>
    <row r="15280" hidden="1" x14ac:dyDescent="0.15"/>
    <row r="15281" hidden="1" x14ac:dyDescent="0.15"/>
    <row r="15282" hidden="1" x14ac:dyDescent="0.15"/>
    <row r="15283" hidden="1" x14ac:dyDescent="0.15"/>
    <row r="15284" hidden="1" x14ac:dyDescent="0.15"/>
    <row r="15285" hidden="1" x14ac:dyDescent="0.15"/>
    <row r="15286" hidden="1" x14ac:dyDescent="0.15"/>
    <row r="15287" hidden="1" x14ac:dyDescent="0.15"/>
    <row r="15288" hidden="1" x14ac:dyDescent="0.15"/>
    <row r="15289" hidden="1" x14ac:dyDescent="0.15"/>
    <row r="15290" hidden="1" x14ac:dyDescent="0.15"/>
    <row r="15291" hidden="1" x14ac:dyDescent="0.15"/>
    <row r="15292" hidden="1" x14ac:dyDescent="0.15"/>
    <row r="15293" hidden="1" x14ac:dyDescent="0.15"/>
    <row r="15294" hidden="1" x14ac:dyDescent="0.15"/>
    <row r="15295" hidden="1" x14ac:dyDescent="0.15"/>
    <row r="15296" hidden="1" x14ac:dyDescent="0.15"/>
    <row r="15297" hidden="1" x14ac:dyDescent="0.15"/>
    <row r="15298" hidden="1" x14ac:dyDescent="0.15"/>
    <row r="15299" hidden="1" x14ac:dyDescent="0.15"/>
    <row r="15300" hidden="1" x14ac:dyDescent="0.15"/>
    <row r="15301" hidden="1" x14ac:dyDescent="0.15"/>
    <row r="15302" hidden="1" x14ac:dyDescent="0.15"/>
    <row r="15303" hidden="1" x14ac:dyDescent="0.15"/>
    <row r="15304" hidden="1" x14ac:dyDescent="0.15"/>
    <row r="15305" hidden="1" x14ac:dyDescent="0.15"/>
    <row r="15306" hidden="1" x14ac:dyDescent="0.15"/>
    <row r="15307" hidden="1" x14ac:dyDescent="0.15"/>
    <row r="15308" hidden="1" x14ac:dyDescent="0.15"/>
    <row r="15309" hidden="1" x14ac:dyDescent="0.15"/>
    <row r="15310" hidden="1" x14ac:dyDescent="0.15"/>
    <row r="15311" hidden="1" x14ac:dyDescent="0.15"/>
    <row r="15312" hidden="1" x14ac:dyDescent="0.15"/>
    <row r="15313" hidden="1" x14ac:dyDescent="0.15"/>
    <row r="15314" hidden="1" x14ac:dyDescent="0.15"/>
    <row r="15315" hidden="1" x14ac:dyDescent="0.15"/>
    <row r="15316" hidden="1" x14ac:dyDescent="0.15"/>
    <row r="15317" hidden="1" x14ac:dyDescent="0.15"/>
    <row r="15318" hidden="1" x14ac:dyDescent="0.15"/>
    <row r="15319" hidden="1" x14ac:dyDescent="0.15"/>
    <row r="15320" hidden="1" x14ac:dyDescent="0.15"/>
    <row r="15321" hidden="1" x14ac:dyDescent="0.15"/>
    <row r="15322" hidden="1" x14ac:dyDescent="0.15"/>
    <row r="15323" hidden="1" x14ac:dyDescent="0.15"/>
    <row r="15324" hidden="1" x14ac:dyDescent="0.15"/>
    <row r="15325" hidden="1" x14ac:dyDescent="0.15"/>
    <row r="15326" hidden="1" x14ac:dyDescent="0.15"/>
    <row r="15327" hidden="1" x14ac:dyDescent="0.15"/>
    <row r="15328" hidden="1" x14ac:dyDescent="0.15"/>
    <row r="15329" hidden="1" x14ac:dyDescent="0.15"/>
    <row r="15330" hidden="1" x14ac:dyDescent="0.15"/>
    <row r="15331" hidden="1" x14ac:dyDescent="0.15"/>
    <row r="15332" hidden="1" x14ac:dyDescent="0.15"/>
    <row r="15333" hidden="1" x14ac:dyDescent="0.15"/>
    <row r="15334" hidden="1" x14ac:dyDescent="0.15"/>
    <row r="15335" hidden="1" x14ac:dyDescent="0.15"/>
    <row r="15336" hidden="1" x14ac:dyDescent="0.15"/>
    <row r="15337" hidden="1" x14ac:dyDescent="0.15"/>
    <row r="15338" hidden="1" x14ac:dyDescent="0.15"/>
    <row r="15339" hidden="1" x14ac:dyDescent="0.15"/>
    <row r="15340" hidden="1" x14ac:dyDescent="0.15"/>
    <row r="15341" hidden="1" x14ac:dyDescent="0.15"/>
    <row r="15342" hidden="1" x14ac:dyDescent="0.15"/>
    <row r="15343" hidden="1" x14ac:dyDescent="0.15"/>
    <row r="15344" hidden="1" x14ac:dyDescent="0.15"/>
    <row r="15345" hidden="1" x14ac:dyDescent="0.15"/>
    <row r="15346" hidden="1" x14ac:dyDescent="0.15"/>
    <row r="15347" hidden="1" x14ac:dyDescent="0.15"/>
    <row r="15348" hidden="1" x14ac:dyDescent="0.15"/>
    <row r="15349" hidden="1" x14ac:dyDescent="0.15"/>
    <row r="15350" hidden="1" x14ac:dyDescent="0.15"/>
    <row r="15351" hidden="1" x14ac:dyDescent="0.15"/>
    <row r="15352" hidden="1" x14ac:dyDescent="0.15"/>
    <row r="15353" hidden="1" x14ac:dyDescent="0.15"/>
    <row r="15354" hidden="1" x14ac:dyDescent="0.15"/>
    <row r="15355" hidden="1" x14ac:dyDescent="0.15"/>
    <row r="15356" hidden="1" x14ac:dyDescent="0.15"/>
    <row r="15357" hidden="1" x14ac:dyDescent="0.15"/>
    <row r="15358" hidden="1" x14ac:dyDescent="0.15"/>
    <row r="15359" hidden="1" x14ac:dyDescent="0.15"/>
    <row r="15360" hidden="1" x14ac:dyDescent="0.15"/>
    <row r="15361" hidden="1" x14ac:dyDescent="0.15"/>
    <row r="15362" hidden="1" x14ac:dyDescent="0.15"/>
    <row r="15363" hidden="1" x14ac:dyDescent="0.15"/>
    <row r="15364" hidden="1" x14ac:dyDescent="0.15"/>
    <row r="15365" hidden="1" x14ac:dyDescent="0.15"/>
    <row r="15366" hidden="1" x14ac:dyDescent="0.15"/>
    <row r="15367" hidden="1" x14ac:dyDescent="0.15"/>
    <row r="15368" hidden="1" x14ac:dyDescent="0.15"/>
    <row r="15369" hidden="1" x14ac:dyDescent="0.15"/>
    <row r="15370" hidden="1" x14ac:dyDescent="0.15"/>
    <row r="15371" hidden="1" x14ac:dyDescent="0.15"/>
    <row r="15372" hidden="1" x14ac:dyDescent="0.15"/>
    <row r="15373" hidden="1" x14ac:dyDescent="0.15"/>
    <row r="15374" hidden="1" x14ac:dyDescent="0.15"/>
    <row r="15375" hidden="1" x14ac:dyDescent="0.15"/>
    <row r="15376" hidden="1" x14ac:dyDescent="0.15"/>
    <row r="15377" hidden="1" x14ac:dyDescent="0.15"/>
    <row r="15378" hidden="1" x14ac:dyDescent="0.15"/>
    <row r="15379" hidden="1" x14ac:dyDescent="0.15"/>
    <row r="15380" hidden="1" x14ac:dyDescent="0.15"/>
    <row r="15381" hidden="1" x14ac:dyDescent="0.15"/>
    <row r="15382" hidden="1" x14ac:dyDescent="0.15"/>
    <row r="15383" hidden="1" x14ac:dyDescent="0.15"/>
    <row r="15384" hidden="1" x14ac:dyDescent="0.15"/>
    <row r="15385" hidden="1" x14ac:dyDescent="0.15"/>
    <row r="15386" hidden="1" x14ac:dyDescent="0.15"/>
    <row r="15387" hidden="1" x14ac:dyDescent="0.15"/>
    <row r="15388" hidden="1" x14ac:dyDescent="0.15"/>
    <row r="15389" hidden="1" x14ac:dyDescent="0.15"/>
    <row r="15390" hidden="1" x14ac:dyDescent="0.15"/>
    <row r="15391" hidden="1" x14ac:dyDescent="0.15"/>
    <row r="15392" hidden="1" x14ac:dyDescent="0.15"/>
    <row r="15393" hidden="1" x14ac:dyDescent="0.15"/>
    <row r="15394" hidden="1" x14ac:dyDescent="0.15"/>
    <row r="15395" hidden="1" x14ac:dyDescent="0.15"/>
    <row r="15396" hidden="1" x14ac:dyDescent="0.15"/>
    <row r="15397" hidden="1" x14ac:dyDescent="0.15"/>
    <row r="15398" hidden="1" x14ac:dyDescent="0.15"/>
    <row r="15399" hidden="1" x14ac:dyDescent="0.15"/>
    <row r="15400" hidden="1" x14ac:dyDescent="0.15"/>
    <row r="15401" hidden="1" x14ac:dyDescent="0.15"/>
    <row r="15402" hidden="1" x14ac:dyDescent="0.15"/>
    <row r="15403" hidden="1" x14ac:dyDescent="0.15"/>
    <row r="15404" hidden="1" x14ac:dyDescent="0.15"/>
    <row r="15405" hidden="1" x14ac:dyDescent="0.15"/>
    <row r="15406" hidden="1" x14ac:dyDescent="0.15"/>
    <row r="15407" hidden="1" x14ac:dyDescent="0.15"/>
    <row r="15408" hidden="1" x14ac:dyDescent="0.15"/>
    <row r="15409" hidden="1" x14ac:dyDescent="0.15"/>
    <row r="15410" hidden="1" x14ac:dyDescent="0.15"/>
    <row r="15411" hidden="1" x14ac:dyDescent="0.15"/>
    <row r="15412" hidden="1" x14ac:dyDescent="0.15"/>
    <row r="15413" hidden="1" x14ac:dyDescent="0.15"/>
    <row r="15414" hidden="1" x14ac:dyDescent="0.15"/>
    <row r="15415" hidden="1" x14ac:dyDescent="0.15"/>
    <row r="15416" hidden="1" x14ac:dyDescent="0.15"/>
    <row r="15417" hidden="1" x14ac:dyDescent="0.15"/>
    <row r="15418" hidden="1" x14ac:dyDescent="0.15"/>
    <row r="15419" hidden="1" x14ac:dyDescent="0.15"/>
    <row r="15420" hidden="1" x14ac:dyDescent="0.15"/>
    <row r="15421" hidden="1" x14ac:dyDescent="0.15"/>
    <row r="15422" hidden="1" x14ac:dyDescent="0.15"/>
    <row r="15423" hidden="1" x14ac:dyDescent="0.15"/>
    <row r="15424" hidden="1" x14ac:dyDescent="0.15"/>
    <row r="15425" hidden="1" x14ac:dyDescent="0.15"/>
    <row r="15426" hidden="1" x14ac:dyDescent="0.15"/>
    <row r="15427" hidden="1" x14ac:dyDescent="0.15"/>
    <row r="15428" hidden="1" x14ac:dyDescent="0.15"/>
    <row r="15429" hidden="1" x14ac:dyDescent="0.15"/>
    <row r="15430" hidden="1" x14ac:dyDescent="0.15"/>
    <row r="15431" hidden="1" x14ac:dyDescent="0.15"/>
    <row r="15432" hidden="1" x14ac:dyDescent="0.15"/>
    <row r="15433" hidden="1" x14ac:dyDescent="0.15"/>
    <row r="15434" hidden="1" x14ac:dyDescent="0.15"/>
    <row r="15435" hidden="1" x14ac:dyDescent="0.15"/>
    <row r="15436" hidden="1" x14ac:dyDescent="0.15"/>
    <row r="15437" hidden="1" x14ac:dyDescent="0.15"/>
    <row r="15438" hidden="1" x14ac:dyDescent="0.15"/>
    <row r="15439" hidden="1" x14ac:dyDescent="0.15"/>
    <row r="15440" hidden="1" x14ac:dyDescent="0.15"/>
    <row r="15441" hidden="1" x14ac:dyDescent="0.15"/>
    <row r="15442" hidden="1" x14ac:dyDescent="0.15"/>
    <row r="15443" hidden="1" x14ac:dyDescent="0.15"/>
    <row r="15444" hidden="1" x14ac:dyDescent="0.15"/>
    <row r="15445" hidden="1" x14ac:dyDescent="0.15"/>
    <row r="15446" hidden="1" x14ac:dyDescent="0.15"/>
    <row r="15447" hidden="1" x14ac:dyDescent="0.15"/>
    <row r="15448" hidden="1" x14ac:dyDescent="0.15"/>
    <row r="15449" hidden="1" x14ac:dyDescent="0.15"/>
    <row r="15450" hidden="1" x14ac:dyDescent="0.15"/>
    <row r="15451" hidden="1" x14ac:dyDescent="0.15"/>
    <row r="15452" hidden="1" x14ac:dyDescent="0.15"/>
    <row r="15453" hidden="1" x14ac:dyDescent="0.15"/>
    <row r="15454" hidden="1" x14ac:dyDescent="0.15"/>
    <row r="15455" hidden="1" x14ac:dyDescent="0.15"/>
    <row r="15456" hidden="1" x14ac:dyDescent="0.15"/>
    <row r="15457" hidden="1" x14ac:dyDescent="0.15"/>
    <row r="15458" hidden="1" x14ac:dyDescent="0.15"/>
    <row r="15459" hidden="1" x14ac:dyDescent="0.15"/>
    <row r="15460" hidden="1" x14ac:dyDescent="0.15"/>
    <row r="15461" hidden="1" x14ac:dyDescent="0.15"/>
    <row r="15462" hidden="1" x14ac:dyDescent="0.15"/>
    <row r="15463" hidden="1" x14ac:dyDescent="0.15"/>
    <row r="15464" hidden="1" x14ac:dyDescent="0.15"/>
    <row r="15465" hidden="1" x14ac:dyDescent="0.15"/>
    <row r="15466" hidden="1" x14ac:dyDescent="0.15"/>
    <row r="15467" hidden="1" x14ac:dyDescent="0.15"/>
    <row r="15468" hidden="1" x14ac:dyDescent="0.15"/>
    <row r="15469" hidden="1" x14ac:dyDescent="0.15"/>
    <row r="15470" hidden="1" x14ac:dyDescent="0.15"/>
    <row r="15471" hidden="1" x14ac:dyDescent="0.15"/>
    <row r="15472" hidden="1" x14ac:dyDescent="0.15"/>
    <row r="15473" hidden="1" x14ac:dyDescent="0.15"/>
    <row r="15474" hidden="1" x14ac:dyDescent="0.15"/>
    <row r="15475" hidden="1" x14ac:dyDescent="0.15"/>
    <row r="15476" hidden="1" x14ac:dyDescent="0.15"/>
    <row r="15477" hidden="1" x14ac:dyDescent="0.15"/>
    <row r="15478" hidden="1" x14ac:dyDescent="0.15"/>
    <row r="15479" hidden="1" x14ac:dyDescent="0.15"/>
    <row r="15480" hidden="1" x14ac:dyDescent="0.15"/>
    <row r="15481" hidden="1" x14ac:dyDescent="0.15"/>
    <row r="15482" hidden="1" x14ac:dyDescent="0.15"/>
    <row r="15483" hidden="1" x14ac:dyDescent="0.15"/>
    <row r="15484" hidden="1" x14ac:dyDescent="0.15"/>
    <row r="15485" hidden="1" x14ac:dyDescent="0.15"/>
    <row r="15486" hidden="1" x14ac:dyDescent="0.15"/>
    <row r="15487" hidden="1" x14ac:dyDescent="0.15"/>
    <row r="15488" hidden="1" x14ac:dyDescent="0.15"/>
    <row r="15489" hidden="1" x14ac:dyDescent="0.15"/>
    <row r="15490" hidden="1" x14ac:dyDescent="0.15"/>
    <row r="15491" hidden="1" x14ac:dyDescent="0.15"/>
    <row r="15492" hidden="1" x14ac:dyDescent="0.15"/>
    <row r="15493" hidden="1" x14ac:dyDescent="0.15"/>
    <row r="15494" hidden="1" x14ac:dyDescent="0.15"/>
    <row r="15495" hidden="1" x14ac:dyDescent="0.15"/>
    <row r="15496" hidden="1" x14ac:dyDescent="0.15"/>
    <row r="15497" hidden="1" x14ac:dyDescent="0.15"/>
    <row r="15498" hidden="1" x14ac:dyDescent="0.15"/>
    <row r="15499" hidden="1" x14ac:dyDescent="0.15"/>
    <row r="15500" hidden="1" x14ac:dyDescent="0.15"/>
    <row r="15501" hidden="1" x14ac:dyDescent="0.15"/>
    <row r="15502" hidden="1" x14ac:dyDescent="0.15"/>
    <row r="15503" hidden="1" x14ac:dyDescent="0.15"/>
    <row r="15504" hidden="1" x14ac:dyDescent="0.15"/>
    <row r="15505" hidden="1" x14ac:dyDescent="0.15"/>
    <row r="15506" hidden="1" x14ac:dyDescent="0.15"/>
    <row r="15507" hidden="1" x14ac:dyDescent="0.15"/>
    <row r="15508" hidden="1" x14ac:dyDescent="0.15"/>
    <row r="15509" hidden="1" x14ac:dyDescent="0.15"/>
    <row r="15510" hidden="1" x14ac:dyDescent="0.15"/>
    <row r="15511" hidden="1" x14ac:dyDescent="0.15"/>
    <row r="15512" hidden="1" x14ac:dyDescent="0.15"/>
    <row r="15513" hidden="1" x14ac:dyDescent="0.15"/>
    <row r="15514" hidden="1" x14ac:dyDescent="0.15"/>
    <row r="15515" hidden="1" x14ac:dyDescent="0.15"/>
    <row r="15516" hidden="1" x14ac:dyDescent="0.15"/>
    <row r="15517" hidden="1" x14ac:dyDescent="0.15"/>
    <row r="15518" hidden="1" x14ac:dyDescent="0.15"/>
    <row r="15519" hidden="1" x14ac:dyDescent="0.15"/>
    <row r="15520" hidden="1" x14ac:dyDescent="0.15"/>
    <row r="15521" hidden="1" x14ac:dyDescent="0.15"/>
    <row r="15522" hidden="1" x14ac:dyDescent="0.15"/>
    <row r="15523" hidden="1" x14ac:dyDescent="0.15"/>
    <row r="15524" hidden="1" x14ac:dyDescent="0.15"/>
    <row r="15525" hidden="1" x14ac:dyDescent="0.15"/>
    <row r="15526" hidden="1" x14ac:dyDescent="0.15"/>
    <row r="15527" hidden="1" x14ac:dyDescent="0.15"/>
    <row r="15528" hidden="1" x14ac:dyDescent="0.15"/>
    <row r="15529" hidden="1" x14ac:dyDescent="0.15"/>
    <row r="15530" hidden="1" x14ac:dyDescent="0.15"/>
    <row r="15531" hidden="1" x14ac:dyDescent="0.15"/>
    <row r="15532" hidden="1" x14ac:dyDescent="0.15"/>
    <row r="15533" hidden="1" x14ac:dyDescent="0.15"/>
    <row r="15534" hidden="1" x14ac:dyDescent="0.15"/>
    <row r="15535" hidden="1" x14ac:dyDescent="0.15"/>
    <row r="15536" hidden="1" x14ac:dyDescent="0.15"/>
    <row r="15537" hidden="1" x14ac:dyDescent="0.15"/>
    <row r="15538" hidden="1" x14ac:dyDescent="0.15"/>
    <row r="15539" hidden="1" x14ac:dyDescent="0.15"/>
    <row r="15540" hidden="1" x14ac:dyDescent="0.15"/>
    <row r="15541" hidden="1" x14ac:dyDescent="0.15"/>
    <row r="15542" hidden="1" x14ac:dyDescent="0.15"/>
    <row r="15543" hidden="1" x14ac:dyDescent="0.15"/>
    <row r="15544" hidden="1" x14ac:dyDescent="0.15"/>
    <row r="15545" hidden="1" x14ac:dyDescent="0.15"/>
    <row r="15546" hidden="1" x14ac:dyDescent="0.15"/>
    <row r="15547" hidden="1" x14ac:dyDescent="0.15"/>
    <row r="15548" hidden="1" x14ac:dyDescent="0.15"/>
    <row r="15549" hidden="1" x14ac:dyDescent="0.15"/>
    <row r="15550" hidden="1" x14ac:dyDescent="0.15"/>
    <row r="15551" hidden="1" x14ac:dyDescent="0.15"/>
    <row r="15552" hidden="1" x14ac:dyDescent="0.15"/>
    <row r="15553" hidden="1" x14ac:dyDescent="0.15"/>
    <row r="15554" hidden="1" x14ac:dyDescent="0.15"/>
    <row r="15555" hidden="1" x14ac:dyDescent="0.15"/>
    <row r="15556" hidden="1" x14ac:dyDescent="0.15"/>
    <row r="15557" hidden="1" x14ac:dyDescent="0.15"/>
    <row r="15558" hidden="1" x14ac:dyDescent="0.15"/>
    <row r="15559" hidden="1" x14ac:dyDescent="0.15"/>
    <row r="15560" hidden="1" x14ac:dyDescent="0.15"/>
    <row r="15561" hidden="1" x14ac:dyDescent="0.15"/>
    <row r="15562" hidden="1" x14ac:dyDescent="0.15"/>
    <row r="15563" hidden="1" x14ac:dyDescent="0.15"/>
    <row r="15564" hidden="1" x14ac:dyDescent="0.15"/>
    <row r="15565" hidden="1" x14ac:dyDescent="0.15"/>
    <row r="15566" hidden="1" x14ac:dyDescent="0.15"/>
    <row r="15567" hidden="1" x14ac:dyDescent="0.15"/>
    <row r="15568" hidden="1" x14ac:dyDescent="0.15"/>
    <row r="15569" hidden="1" x14ac:dyDescent="0.15"/>
    <row r="15570" hidden="1" x14ac:dyDescent="0.15"/>
    <row r="15571" hidden="1" x14ac:dyDescent="0.15"/>
    <row r="15572" hidden="1" x14ac:dyDescent="0.15"/>
    <row r="15573" hidden="1" x14ac:dyDescent="0.15"/>
    <row r="15574" hidden="1" x14ac:dyDescent="0.15"/>
    <row r="15575" hidden="1" x14ac:dyDescent="0.15"/>
    <row r="15576" hidden="1" x14ac:dyDescent="0.15"/>
    <row r="15577" hidden="1" x14ac:dyDescent="0.15"/>
    <row r="15578" hidden="1" x14ac:dyDescent="0.15"/>
    <row r="15579" hidden="1" x14ac:dyDescent="0.15"/>
    <row r="15580" hidden="1" x14ac:dyDescent="0.15"/>
    <row r="15581" hidden="1" x14ac:dyDescent="0.15"/>
    <row r="15582" hidden="1" x14ac:dyDescent="0.15"/>
    <row r="15583" hidden="1" x14ac:dyDescent="0.15"/>
    <row r="15584" hidden="1" x14ac:dyDescent="0.15"/>
    <row r="15585" hidden="1" x14ac:dyDescent="0.15"/>
    <row r="15586" hidden="1" x14ac:dyDescent="0.15"/>
    <row r="15587" hidden="1" x14ac:dyDescent="0.15"/>
    <row r="15588" hidden="1" x14ac:dyDescent="0.15"/>
    <row r="15589" hidden="1" x14ac:dyDescent="0.15"/>
    <row r="15590" hidden="1" x14ac:dyDescent="0.15"/>
    <row r="15591" hidden="1" x14ac:dyDescent="0.15"/>
    <row r="15592" hidden="1" x14ac:dyDescent="0.15"/>
    <row r="15593" hidden="1" x14ac:dyDescent="0.15"/>
    <row r="15594" hidden="1" x14ac:dyDescent="0.15"/>
    <row r="15595" hidden="1" x14ac:dyDescent="0.15"/>
    <row r="15596" hidden="1" x14ac:dyDescent="0.15"/>
    <row r="15597" hidden="1" x14ac:dyDescent="0.15"/>
    <row r="15598" hidden="1" x14ac:dyDescent="0.15"/>
    <row r="15599" hidden="1" x14ac:dyDescent="0.15"/>
    <row r="15600" hidden="1" x14ac:dyDescent="0.15"/>
    <row r="15601" hidden="1" x14ac:dyDescent="0.15"/>
    <row r="15602" hidden="1" x14ac:dyDescent="0.15"/>
    <row r="15603" hidden="1" x14ac:dyDescent="0.15"/>
    <row r="15604" hidden="1" x14ac:dyDescent="0.15"/>
    <row r="15605" hidden="1" x14ac:dyDescent="0.15"/>
    <row r="15606" hidden="1" x14ac:dyDescent="0.15"/>
    <row r="15607" hidden="1" x14ac:dyDescent="0.15"/>
    <row r="15608" hidden="1" x14ac:dyDescent="0.15"/>
    <row r="15609" hidden="1" x14ac:dyDescent="0.15"/>
    <row r="15610" hidden="1" x14ac:dyDescent="0.15"/>
    <row r="15611" hidden="1" x14ac:dyDescent="0.15"/>
    <row r="15612" hidden="1" x14ac:dyDescent="0.15"/>
    <row r="15613" hidden="1" x14ac:dyDescent="0.15"/>
    <row r="15614" hidden="1" x14ac:dyDescent="0.15"/>
    <row r="15615" hidden="1" x14ac:dyDescent="0.15"/>
    <row r="15616" hidden="1" x14ac:dyDescent="0.15"/>
    <row r="15617" hidden="1" x14ac:dyDescent="0.15"/>
    <row r="15618" hidden="1" x14ac:dyDescent="0.15"/>
    <row r="15619" hidden="1" x14ac:dyDescent="0.15"/>
    <row r="15620" hidden="1" x14ac:dyDescent="0.15"/>
    <row r="15621" hidden="1" x14ac:dyDescent="0.15"/>
    <row r="15622" hidden="1" x14ac:dyDescent="0.15"/>
    <row r="15623" hidden="1" x14ac:dyDescent="0.15"/>
    <row r="15624" hidden="1" x14ac:dyDescent="0.15"/>
    <row r="15625" hidden="1" x14ac:dyDescent="0.15"/>
    <row r="15626" hidden="1" x14ac:dyDescent="0.15"/>
    <row r="15627" hidden="1" x14ac:dyDescent="0.15"/>
    <row r="15628" hidden="1" x14ac:dyDescent="0.15"/>
    <row r="15629" hidden="1" x14ac:dyDescent="0.15"/>
    <row r="15630" hidden="1" x14ac:dyDescent="0.15"/>
    <row r="15631" hidden="1" x14ac:dyDescent="0.15"/>
    <row r="15632" hidden="1" x14ac:dyDescent="0.15"/>
    <row r="15633" hidden="1" x14ac:dyDescent="0.15"/>
    <row r="15634" hidden="1" x14ac:dyDescent="0.15"/>
    <row r="15635" hidden="1" x14ac:dyDescent="0.15"/>
    <row r="15636" hidden="1" x14ac:dyDescent="0.15"/>
    <row r="15637" hidden="1" x14ac:dyDescent="0.15"/>
    <row r="15638" hidden="1" x14ac:dyDescent="0.15"/>
    <row r="15639" hidden="1" x14ac:dyDescent="0.15"/>
    <row r="15640" hidden="1" x14ac:dyDescent="0.15"/>
    <row r="15641" hidden="1" x14ac:dyDescent="0.15"/>
    <row r="15642" hidden="1" x14ac:dyDescent="0.15"/>
    <row r="15643" hidden="1" x14ac:dyDescent="0.15"/>
    <row r="15644" hidden="1" x14ac:dyDescent="0.15"/>
    <row r="15645" hidden="1" x14ac:dyDescent="0.15"/>
    <row r="15646" hidden="1" x14ac:dyDescent="0.15"/>
    <row r="15647" hidden="1" x14ac:dyDescent="0.15"/>
    <row r="15648" hidden="1" x14ac:dyDescent="0.15"/>
    <row r="15649" hidden="1" x14ac:dyDescent="0.15"/>
    <row r="15650" hidden="1" x14ac:dyDescent="0.15"/>
    <row r="15651" hidden="1" x14ac:dyDescent="0.15"/>
    <row r="15652" hidden="1" x14ac:dyDescent="0.15"/>
    <row r="15653" hidden="1" x14ac:dyDescent="0.15"/>
    <row r="15654" hidden="1" x14ac:dyDescent="0.15"/>
    <row r="15655" hidden="1" x14ac:dyDescent="0.15"/>
    <row r="15656" hidden="1" x14ac:dyDescent="0.15"/>
    <row r="15657" hidden="1" x14ac:dyDescent="0.15"/>
    <row r="15658" hidden="1" x14ac:dyDescent="0.15"/>
    <row r="15659" hidden="1" x14ac:dyDescent="0.15"/>
    <row r="15660" hidden="1" x14ac:dyDescent="0.15"/>
    <row r="15661" hidden="1" x14ac:dyDescent="0.15"/>
    <row r="15662" hidden="1" x14ac:dyDescent="0.15"/>
    <row r="15663" hidden="1" x14ac:dyDescent="0.15"/>
    <row r="15664" hidden="1" x14ac:dyDescent="0.15"/>
    <row r="15665" hidden="1" x14ac:dyDescent="0.15"/>
    <row r="15666" hidden="1" x14ac:dyDescent="0.15"/>
    <row r="15667" hidden="1" x14ac:dyDescent="0.15"/>
    <row r="15668" hidden="1" x14ac:dyDescent="0.15"/>
    <row r="15669" hidden="1" x14ac:dyDescent="0.15"/>
    <row r="15670" hidden="1" x14ac:dyDescent="0.15"/>
    <row r="15671" hidden="1" x14ac:dyDescent="0.15"/>
    <row r="15672" hidden="1" x14ac:dyDescent="0.15"/>
    <row r="15673" hidden="1" x14ac:dyDescent="0.15"/>
    <row r="15674" hidden="1" x14ac:dyDescent="0.15"/>
    <row r="15675" hidden="1" x14ac:dyDescent="0.15"/>
    <row r="15676" hidden="1" x14ac:dyDescent="0.15"/>
    <row r="15677" hidden="1" x14ac:dyDescent="0.15"/>
    <row r="15678" hidden="1" x14ac:dyDescent="0.15"/>
    <row r="15679" hidden="1" x14ac:dyDescent="0.15"/>
    <row r="15680" hidden="1" x14ac:dyDescent="0.15"/>
    <row r="15681" hidden="1" x14ac:dyDescent="0.15"/>
    <row r="15682" hidden="1" x14ac:dyDescent="0.15"/>
    <row r="15683" hidden="1" x14ac:dyDescent="0.15"/>
    <row r="15684" hidden="1" x14ac:dyDescent="0.15"/>
    <row r="15685" hidden="1" x14ac:dyDescent="0.15"/>
    <row r="15686" hidden="1" x14ac:dyDescent="0.15"/>
    <row r="15687" hidden="1" x14ac:dyDescent="0.15"/>
    <row r="15688" hidden="1" x14ac:dyDescent="0.15"/>
    <row r="15689" hidden="1" x14ac:dyDescent="0.15"/>
    <row r="15690" hidden="1" x14ac:dyDescent="0.15"/>
    <row r="15691" hidden="1" x14ac:dyDescent="0.15"/>
    <row r="15692" hidden="1" x14ac:dyDescent="0.15"/>
    <row r="15693" hidden="1" x14ac:dyDescent="0.15"/>
    <row r="15694" hidden="1" x14ac:dyDescent="0.15"/>
    <row r="15695" hidden="1" x14ac:dyDescent="0.15"/>
    <row r="15696" hidden="1" x14ac:dyDescent="0.15"/>
    <row r="15697" hidden="1" x14ac:dyDescent="0.15"/>
    <row r="15698" hidden="1" x14ac:dyDescent="0.15"/>
    <row r="15699" hidden="1" x14ac:dyDescent="0.15"/>
    <row r="15700" hidden="1" x14ac:dyDescent="0.15"/>
    <row r="15701" hidden="1" x14ac:dyDescent="0.15"/>
    <row r="15702" hidden="1" x14ac:dyDescent="0.15"/>
    <row r="15703" hidden="1" x14ac:dyDescent="0.15"/>
    <row r="15704" hidden="1" x14ac:dyDescent="0.15"/>
    <row r="15705" hidden="1" x14ac:dyDescent="0.15"/>
    <row r="15706" hidden="1" x14ac:dyDescent="0.15"/>
    <row r="15707" hidden="1" x14ac:dyDescent="0.15"/>
    <row r="15708" hidden="1" x14ac:dyDescent="0.15"/>
    <row r="15709" hidden="1" x14ac:dyDescent="0.15"/>
    <row r="15710" hidden="1" x14ac:dyDescent="0.15"/>
    <row r="15711" hidden="1" x14ac:dyDescent="0.15"/>
    <row r="15712" hidden="1" x14ac:dyDescent="0.15"/>
    <row r="15713" hidden="1" x14ac:dyDescent="0.15"/>
    <row r="15714" hidden="1" x14ac:dyDescent="0.15"/>
    <row r="15715" hidden="1" x14ac:dyDescent="0.15"/>
    <row r="15716" hidden="1" x14ac:dyDescent="0.15"/>
    <row r="15717" hidden="1" x14ac:dyDescent="0.15"/>
    <row r="15718" hidden="1" x14ac:dyDescent="0.15"/>
    <row r="15719" hidden="1" x14ac:dyDescent="0.15"/>
    <row r="15720" hidden="1" x14ac:dyDescent="0.15"/>
    <row r="15721" hidden="1" x14ac:dyDescent="0.15"/>
    <row r="15722" hidden="1" x14ac:dyDescent="0.15"/>
    <row r="15723" hidden="1" x14ac:dyDescent="0.15"/>
    <row r="15724" hidden="1" x14ac:dyDescent="0.15"/>
    <row r="15725" hidden="1" x14ac:dyDescent="0.15"/>
    <row r="15726" hidden="1" x14ac:dyDescent="0.15"/>
    <row r="15727" hidden="1" x14ac:dyDescent="0.15"/>
    <row r="15728" hidden="1" x14ac:dyDescent="0.15"/>
    <row r="15729" hidden="1" x14ac:dyDescent="0.15"/>
    <row r="15730" hidden="1" x14ac:dyDescent="0.15"/>
    <row r="15731" hidden="1" x14ac:dyDescent="0.15"/>
    <row r="15732" hidden="1" x14ac:dyDescent="0.15"/>
    <row r="15733" hidden="1" x14ac:dyDescent="0.15"/>
    <row r="15734" hidden="1" x14ac:dyDescent="0.15"/>
    <row r="15735" hidden="1" x14ac:dyDescent="0.15"/>
    <row r="15736" hidden="1" x14ac:dyDescent="0.15"/>
    <row r="15737" hidden="1" x14ac:dyDescent="0.15"/>
    <row r="15738" hidden="1" x14ac:dyDescent="0.15"/>
    <row r="15739" hidden="1" x14ac:dyDescent="0.15"/>
    <row r="15740" hidden="1" x14ac:dyDescent="0.15"/>
    <row r="15741" hidden="1" x14ac:dyDescent="0.15"/>
    <row r="15742" hidden="1" x14ac:dyDescent="0.15"/>
    <row r="15743" hidden="1" x14ac:dyDescent="0.15"/>
    <row r="15744" hidden="1" x14ac:dyDescent="0.15"/>
    <row r="15745" hidden="1" x14ac:dyDescent="0.15"/>
    <row r="15746" hidden="1" x14ac:dyDescent="0.15"/>
    <row r="15747" hidden="1" x14ac:dyDescent="0.15"/>
    <row r="15748" hidden="1" x14ac:dyDescent="0.15"/>
    <row r="15749" hidden="1" x14ac:dyDescent="0.15"/>
    <row r="15750" hidden="1" x14ac:dyDescent="0.15"/>
    <row r="15751" hidden="1" x14ac:dyDescent="0.15"/>
    <row r="15752" hidden="1" x14ac:dyDescent="0.15"/>
    <row r="15753" hidden="1" x14ac:dyDescent="0.15"/>
    <row r="15754" hidden="1" x14ac:dyDescent="0.15"/>
    <row r="15755" hidden="1" x14ac:dyDescent="0.15"/>
    <row r="15756" hidden="1" x14ac:dyDescent="0.15"/>
    <row r="15757" hidden="1" x14ac:dyDescent="0.15"/>
    <row r="15758" hidden="1" x14ac:dyDescent="0.15"/>
    <row r="15759" hidden="1" x14ac:dyDescent="0.15"/>
    <row r="15760" hidden="1" x14ac:dyDescent="0.15"/>
    <row r="15761" hidden="1" x14ac:dyDescent="0.15"/>
    <row r="15762" hidden="1" x14ac:dyDescent="0.15"/>
    <row r="15763" hidden="1" x14ac:dyDescent="0.15"/>
    <row r="15764" hidden="1" x14ac:dyDescent="0.15"/>
    <row r="15765" hidden="1" x14ac:dyDescent="0.15"/>
    <row r="15766" hidden="1" x14ac:dyDescent="0.15"/>
    <row r="15767" hidden="1" x14ac:dyDescent="0.15"/>
    <row r="15768" hidden="1" x14ac:dyDescent="0.15"/>
    <row r="15769" hidden="1" x14ac:dyDescent="0.15"/>
    <row r="15770" hidden="1" x14ac:dyDescent="0.15"/>
    <row r="15771" hidden="1" x14ac:dyDescent="0.15"/>
    <row r="15772" hidden="1" x14ac:dyDescent="0.15"/>
    <row r="15773" hidden="1" x14ac:dyDescent="0.15"/>
    <row r="15774" hidden="1" x14ac:dyDescent="0.15"/>
    <row r="15775" hidden="1" x14ac:dyDescent="0.15"/>
    <row r="15776" hidden="1" x14ac:dyDescent="0.15"/>
    <row r="15777" hidden="1" x14ac:dyDescent="0.15"/>
    <row r="15778" hidden="1" x14ac:dyDescent="0.15"/>
    <row r="15779" hidden="1" x14ac:dyDescent="0.15"/>
    <row r="15780" hidden="1" x14ac:dyDescent="0.15"/>
    <row r="15781" hidden="1" x14ac:dyDescent="0.15"/>
    <row r="15782" hidden="1" x14ac:dyDescent="0.15"/>
    <row r="15783" hidden="1" x14ac:dyDescent="0.15"/>
    <row r="15784" hidden="1" x14ac:dyDescent="0.15"/>
    <row r="15785" hidden="1" x14ac:dyDescent="0.15"/>
    <row r="15786" hidden="1" x14ac:dyDescent="0.15"/>
    <row r="15787" hidden="1" x14ac:dyDescent="0.15"/>
    <row r="15788" hidden="1" x14ac:dyDescent="0.15"/>
    <row r="15789" hidden="1" x14ac:dyDescent="0.15"/>
    <row r="15790" hidden="1" x14ac:dyDescent="0.15"/>
    <row r="15791" hidden="1" x14ac:dyDescent="0.15"/>
    <row r="15792" hidden="1" x14ac:dyDescent="0.15"/>
    <row r="15793" hidden="1" x14ac:dyDescent="0.15"/>
    <row r="15794" hidden="1" x14ac:dyDescent="0.15"/>
    <row r="15795" hidden="1" x14ac:dyDescent="0.15"/>
    <row r="15796" hidden="1" x14ac:dyDescent="0.15"/>
    <row r="15797" hidden="1" x14ac:dyDescent="0.15"/>
    <row r="15798" hidden="1" x14ac:dyDescent="0.15"/>
    <row r="15799" hidden="1" x14ac:dyDescent="0.15"/>
    <row r="15800" hidden="1" x14ac:dyDescent="0.15"/>
    <row r="15801" hidden="1" x14ac:dyDescent="0.15"/>
    <row r="15802" hidden="1" x14ac:dyDescent="0.15"/>
    <row r="15803" hidden="1" x14ac:dyDescent="0.15"/>
    <row r="15804" hidden="1" x14ac:dyDescent="0.15"/>
    <row r="15805" hidden="1" x14ac:dyDescent="0.15"/>
    <row r="15806" hidden="1" x14ac:dyDescent="0.15"/>
    <row r="15807" hidden="1" x14ac:dyDescent="0.15"/>
    <row r="15808" hidden="1" x14ac:dyDescent="0.15"/>
    <row r="15809" hidden="1" x14ac:dyDescent="0.15"/>
    <row r="15810" hidden="1" x14ac:dyDescent="0.15"/>
    <row r="15811" hidden="1" x14ac:dyDescent="0.15"/>
    <row r="15812" hidden="1" x14ac:dyDescent="0.15"/>
    <row r="15813" hidden="1" x14ac:dyDescent="0.15"/>
    <row r="15814" hidden="1" x14ac:dyDescent="0.15"/>
    <row r="15815" hidden="1" x14ac:dyDescent="0.15"/>
    <row r="15816" hidden="1" x14ac:dyDescent="0.15"/>
    <row r="15817" hidden="1" x14ac:dyDescent="0.15"/>
    <row r="15818" hidden="1" x14ac:dyDescent="0.15"/>
    <row r="15819" hidden="1" x14ac:dyDescent="0.15"/>
    <row r="15820" hidden="1" x14ac:dyDescent="0.15"/>
    <row r="15821" hidden="1" x14ac:dyDescent="0.15"/>
    <row r="15822" hidden="1" x14ac:dyDescent="0.15"/>
    <row r="15823" hidden="1" x14ac:dyDescent="0.15"/>
    <row r="15824" hidden="1" x14ac:dyDescent="0.15"/>
    <row r="15825" hidden="1" x14ac:dyDescent="0.15"/>
    <row r="15826" hidden="1" x14ac:dyDescent="0.15"/>
    <row r="15827" hidden="1" x14ac:dyDescent="0.15"/>
    <row r="15828" hidden="1" x14ac:dyDescent="0.15"/>
    <row r="15829" hidden="1" x14ac:dyDescent="0.15"/>
    <row r="15830" hidden="1" x14ac:dyDescent="0.15"/>
    <row r="15831" hidden="1" x14ac:dyDescent="0.15"/>
    <row r="15832" hidden="1" x14ac:dyDescent="0.15"/>
    <row r="15833" hidden="1" x14ac:dyDescent="0.15"/>
    <row r="15834" hidden="1" x14ac:dyDescent="0.15"/>
    <row r="15835" hidden="1" x14ac:dyDescent="0.15"/>
    <row r="15836" hidden="1" x14ac:dyDescent="0.15"/>
    <row r="15837" hidden="1" x14ac:dyDescent="0.15"/>
    <row r="15838" hidden="1" x14ac:dyDescent="0.15"/>
    <row r="15839" hidden="1" x14ac:dyDescent="0.15"/>
    <row r="15840" hidden="1" x14ac:dyDescent="0.15"/>
    <row r="15841" hidden="1" x14ac:dyDescent="0.15"/>
    <row r="15842" hidden="1" x14ac:dyDescent="0.15"/>
    <row r="15843" hidden="1" x14ac:dyDescent="0.15"/>
    <row r="15844" hidden="1" x14ac:dyDescent="0.15"/>
    <row r="15845" hidden="1" x14ac:dyDescent="0.15"/>
    <row r="15846" hidden="1" x14ac:dyDescent="0.15"/>
    <row r="15847" hidden="1" x14ac:dyDescent="0.15"/>
    <row r="15848" hidden="1" x14ac:dyDescent="0.15"/>
    <row r="15849" hidden="1" x14ac:dyDescent="0.15"/>
    <row r="15850" hidden="1" x14ac:dyDescent="0.15"/>
    <row r="15851" hidden="1" x14ac:dyDescent="0.15"/>
    <row r="15852" hidden="1" x14ac:dyDescent="0.15"/>
    <row r="15853" hidden="1" x14ac:dyDescent="0.15"/>
    <row r="15854" hidden="1" x14ac:dyDescent="0.15"/>
    <row r="15855" hidden="1" x14ac:dyDescent="0.15"/>
    <row r="15856" hidden="1" x14ac:dyDescent="0.15"/>
    <row r="15857" hidden="1" x14ac:dyDescent="0.15"/>
    <row r="15858" hidden="1" x14ac:dyDescent="0.15"/>
    <row r="15859" hidden="1" x14ac:dyDescent="0.15"/>
    <row r="15860" hidden="1" x14ac:dyDescent="0.15"/>
    <row r="15861" hidden="1" x14ac:dyDescent="0.15"/>
    <row r="15862" hidden="1" x14ac:dyDescent="0.15"/>
    <row r="15863" hidden="1" x14ac:dyDescent="0.15"/>
    <row r="15864" hidden="1" x14ac:dyDescent="0.15"/>
    <row r="15865" hidden="1" x14ac:dyDescent="0.15"/>
    <row r="15866" hidden="1" x14ac:dyDescent="0.15"/>
    <row r="15867" hidden="1" x14ac:dyDescent="0.15"/>
    <row r="15868" hidden="1" x14ac:dyDescent="0.15"/>
    <row r="15869" hidden="1" x14ac:dyDescent="0.15"/>
    <row r="15870" hidden="1" x14ac:dyDescent="0.15"/>
    <row r="15871" hidden="1" x14ac:dyDescent="0.15"/>
    <row r="15872" hidden="1" x14ac:dyDescent="0.15"/>
    <row r="15873" hidden="1" x14ac:dyDescent="0.15"/>
    <row r="15874" hidden="1" x14ac:dyDescent="0.15"/>
    <row r="15875" hidden="1" x14ac:dyDescent="0.15"/>
    <row r="15876" hidden="1" x14ac:dyDescent="0.15"/>
    <row r="15877" hidden="1" x14ac:dyDescent="0.15"/>
    <row r="15878" hidden="1" x14ac:dyDescent="0.15"/>
    <row r="15879" hidden="1" x14ac:dyDescent="0.15"/>
    <row r="15880" hidden="1" x14ac:dyDescent="0.15"/>
    <row r="15881" hidden="1" x14ac:dyDescent="0.15"/>
    <row r="15882" hidden="1" x14ac:dyDescent="0.15"/>
    <row r="15883" hidden="1" x14ac:dyDescent="0.15"/>
    <row r="15884" hidden="1" x14ac:dyDescent="0.15"/>
    <row r="15885" hidden="1" x14ac:dyDescent="0.15"/>
    <row r="15886" hidden="1" x14ac:dyDescent="0.15"/>
    <row r="15887" hidden="1" x14ac:dyDescent="0.15"/>
    <row r="15888" hidden="1" x14ac:dyDescent="0.15"/>
    <row r="15889" hidden="1" x14ac:dyDescent="0.15"/>
    <row r="15890" hidden="1" x14ac:dyDescent="0.15"/>
    <row r="15891" hidden="1" x14ac:dyDescent="0.15"/>
    <row r="15892" hidden="1" x14ac:dyDescent="0.15"/>
    <row r="15893" hidden="1" x14ac:dyDescent="0.15"/>
    <row r="15894" hidden="1" x14ac:dyDescent="0.15"/>
    <row r="15895" hidden="1" x14ac:dyDescent="0.15"/>
    <row r="15896" hidden="1" x14ac:dyDescent="0.15"/>
    <row r="15897" hidden="1" x14ac:dyDescent="0.15"/>
    <row r="15898" hidden="1" x14ac:dyDescent="0.15"/>
    <row r="15899" hidden="1" x14ac:dyDescent="0.15"/>
    <row r="15900" hidden="1" x14ac:dyDescent="0.15"/>
    <row r="15901" hidden="1" x14ac:dyDescent="0.15"/>
    <row r="15902" hidden="1" x14ac:dyDescent="0.15"/>
    <row r="15903" hidden="1" x14ac:dyDescent="0.15"/>
    <row r="15904" hidden="1" x14ac:dyDescent="0.15"/>
    <row r="15905" hidden="1" x14ac:dyDescent="0.15"/>
    <row r="15906" hidden="1" x14ac:dyDescent="0.15"/>
    <row r="15907" hidden="1" x14ac:dyDescent="0.15"/>
    <row r="15908" hidden="1" x14ac:dyDescent="0.15"/>
    <row r="15909" hidden="1" x14ac:dyDescent="0.15"/>
    <row r="15910" hidden="1" x14ac:dyDescent="0.15"/>
    <row r="15911" hidden="1" x14ac:dyDescent="0.15"/>
    <row r="15912" hidden="1" x14ac:dyDescent="0.15"/>
    <row r="15913" hidden="1" x14ac:dyDescent="0.15"/>
    <row r="15914" hidden="1" x14ac:dyDescent="0.15"/>
    <row r="15915" hidden="1" x14ac:dyDescent="0.15"/>
    <row r="15916" hidden="1" x14ac:dyDescent="0.15"/>
    <row r="15917" hidden="1" x14ac:dyDescent="0.15"/>
    <row r="15918" hidden="1" x14ac:dyDescent="0.15"/>
    <row r="15919" hidden="1" x14ac:dyDescent="0.15"/>
    <row r="15920" hidden="1" x14ac:dyDescent="0.15"/>
    <row r="15921" hidden="1" x14ac:dyDescent="0.15"/>
    <row r="15922" hidden="1" x14ac:dyDescent="0.15"/>
    <row r="15923" hidden="1" x14ac:dyDescent="0.15"/>
    <row r="15924" hidden="1" x14ac:dyDescent="0.15"/>
    <row r="15925" hidden="1" x14ac:dyDescent="0.15"/>
    <row r="15926" hidden="1" x14ac:dyDescent="0.15"/>
    <row r="15927" hidden="1" x14ac:dyDescent="0.15"/>
    <row r="15928" hidden="1" x14ac:dyDescent="0.15"/>
    <row r="15929" hidden="1" x14ac:dyDescent="0.15"/>
    <row r="15930" hidden="1" x14ac:dyDescent="0.15"/>
    <row r="15931" hidden="1" x14ac:dyDescent="0.15"/>
    <row r="15932" hidden="1" x14ac:dyDescent="0.15"/>
    <row r="15933" hidden="1" x14ac:dyDescent="0.15"/>
    <row r="15934" hidden="1" x14ac:dyDescent="0.15"/>
    <row r="15935" hidden="1" x14ac:dyDescent="0.15"/>
    <row r="15936" hidden="1" x14ac:dyDescent="0.15"/>
    <row r="15937" hidden="1" x14ac:dyDescent="0.15"/>
    <row r="15938" hidden="1" x14ac:dyDescent="0.15"/>
    <row r="15939" hidden="1" x14ac:dyDescent="0.15"/>
    <row r="15940" hidden="1" x14ac:dyDescent="0.15"/>
    <row r="15941" hidden="1" x14ac:dyDescent="0.15"/>
    <row r="15942" hidden="1" x14ac:dyDescent="0.15"/>
    <row r="15943" hidden="1" x14ac:dyDescent="0.15"/>
    <row r="15944" hidden="1" x14ac:dyDescent="0.15"/>
    <row r="15945" hidden="1" x14ac:dyDescent="0.15"/>
    <row r="15946" hidden="1" x14ac:dyDescent="0.15"/>
    <row r="15947" hidden="1" x14ac:dyDescent="0.15"/>
    <row r="15948" hidden="1" x14ac:dyDescent="0.15"/>
    <row r="15949" hidden="1" x14ac:dyDescent="0.15"/>
    <row r="15950" hidden="1" x14ac:dyDescent="0.15"/>
    <row r="15951" hidden="1" x14ac:dyDescent="0.15"/>
    <row r="15952" hidden="1" x14ac:dyDescent="0.15"/>
    <row r="15953" hidden="1" x14ac:dyDescent="0.15"/>
    <row r="15954" hidden="1" x14ac:dyDescent="0.15"/>
    <row r="15955" hidden="1" x14ac:dyDescent="0.15"/>
    <row r="15956" hidden="1" x14ac:dyDescent="0.15"/>
    <row r="15957" hidden="1" x14ac:dyDescent="0.15"/>
    <row r="15958" hidden="1" x14ac:dyDescent="0.15"/>
    <row r="15959" hidden="1" x14ac:dyDescent="0.15"/>
    <row r="15960" hidden="1" x14ac:dyDescent="0.15"/>
    <row r="15961" hidden="1" x14ac:dyDescent="0.15"/>
    <row r="15962" hidden="1" x14ac:dyDescent="0.15"/>
    <row r="15963" hidden="1" x14ac:dyDescent="0.15"/>
    <row r="15964" hidden="1" x14ac:dyDescent="0.15"/>
    <row r="15965" hidden="1" x14ac:dyDescent="0.15"/>
    <row r="15966" hidden="1" x14ac:dyDescent="0.15"/>
    <row r="15967" hidden="1" x14ac:dyDescent="0.15"/>
    <row r="15968" hidden="1" x14ac:dyDescent="0.15"/>
    <row r="15969" hidden="1" x14ac:dyDescent="0.15"/>
    <row r="15970" hidden="1" x14ac:dyDescent="0.15"/>
    <row r="15971" hidden="1" x14ac:dyDescent="0.15"/>
    <row r="15972" hidden="1" x14ac:dyDescent="0.15"/>
    <row r="15973" hidden="1" x14ac:dyDescent="0.15"/>
    <row r="15974" hidden="1" x14ac:dyDescent="0.15"/>
    <row r="15975" hidden="1" x14ac:dyDescent="0.15"/>
    <row r="15976" hidden="1" x14ac:dyDescent="0.15"/>
    <row r="15977" hidden="1" x14ac:dyDescent="0.15"/>
    <row r="15978" hidden="1" x14ac:dyDescent="0.15"/>
    <row r="15979" hidden="1" x14ac:dyDescent="0.15"/>
    <row r="15980" hidden="1" x14ac:dyDescent="0.15"/>
    <row r="15981" hidden="1" x14ac:dyDescent="0.15"/>
    <row r="15982" hidden="1" x14ac:dyDescent="0.15"/>
    <row r="15983" hidden="1" x14ac:dyDescent="0.15"/>
    <row r="15984" hidden="1" x14ac:dyDescent="0.15"/>
    <row r="15985" hidden="1" x14ac:dyDescent="0.15"/>
    <row r="15986" hidden="1" x14ac:dyDescent="0.15"/>
    <row r="15987" hidden="1" x14ac:dyDescent="0.15"/>
    <row r="15988" hidden="1" x14ac:dyDescent="0.15"/>
    <row r="15989" hidden="1" x14ac:dyDescent="0.15"/>
    <row r="15990" hidden="1" x14ac:dyDescent="0.15"/>
    <row r="15991" hidden="1" x14ac:dyDescent="0.15"/>
    <row r="15992" hidden="1" x14ac:dyDescent="0.15"/>
    <row r="15993" hidden="1" x14ac:dyDescent="0.15"/>
    <row r="15994" hidden="1" x14ac:dyDescent="0.15"/>
    <row r="15995" hidden="1" x14ac:dyDescent="0.15"/>
    <row r="15996" hidden="1" x14ac:dyDescent="0.15"/>
    <row r="15997" hidden="1" x14ac:dyDescent="0.15"/>
    <row r="15998" hidden="1" x14ac:dyDescent="0.15"/>
    <row r="15999" hidden="1" x14ac:dyDescent="0.15"/>
    <row r="16000" hidden="1" x14ac:dyDescent="0.15"/>
    <row r="16001" hidden="1" x14ac:dyDescent="0.15"/>
    <row r="16002" hidden="1" x14ac:dyDescent="0.15"/>
    <row r="16003" hidden="1" x14ac:dyDescent="0.15"/>
    <row r="16004" hidden="1" x14ac:dyDescent="0.15"/>
    <row r="16005" hidden="1" x14ac:dyDescent="0.15"/>
    <row r="16006" hidden="1" x14ac:dyDescent="0.15"/>
    <row r="16007" hidden="1" x14ac:dyDescent="0.15"/>
    <row r="16008" hidden="1" x14ac:dyDescent="0.15"/>
    <row r="16009" hidden="1" x14ac:dyDescent="0.15"/>
    <row r="16010" hidden="1" x14ac:dyDescent="0.15"/>
    <row r="16011" hidden="1" x14ac:dyDescent="0.15"/>
    <row r="16012" hidden="1" x14ac:dyDescent="0.15"/>
    <row r="16013" hidden="1" x14ac:dyDescent="0.15"/>
    <row r="16014" hidden="1" x14ac:dyDescent="0.15"/>
    <row r="16015" hidden="1" x14ac:dyDescent="0.15"/>
    <row r="16016" hidden="1" x14ac:dyDescent="0.15"/>
    <row r="16017" hidden="1" x14ac:dyDescent="0.15"/>
    <row r="16018" hidden="1" x14ac:dyDescent="0.15"/>
    <row r="16019" hidden="1" x14ac:dyDescent="0.15"/>
    <row r="16020" hidden="1" x14ac:dyDescent="0.15"/>
    <row r="16021" hidden="1" x14ac:dyDescent="0.15"/>
    <row r="16022" hidden="1" x14ac:dyDescent="0.15"/>
    <row r="16023" hidden="1" x14ac:dyDescent="0.15"/>
    <row r="16024" hidden="1" x14ac:dyDescent="0.15"/>
    <row r="16025" hidden="1" x14ac:dyDescent="0.15"/>
    <row r="16026" hidden="1" x14ac:dyDescent="0.15"/>
    <row r="16027" hidden="1" x14ac:dyDescent="0.15"/>
    <row r="16028" hidden="1" x14ac:dyDescent="0.15"/>
    <row r="16029" hidden="1" x14ac:dyDescent="0.15"/>
    <row r="16030" hidden="1" x14ac:dyDescent="0.15"/>
    <row r="16031" hidden="1" x14ac:dyDescent="0.15"/>
    <row r="16032" hidden="1" x14ac:dyDescent="0.15"/>
    <row r="16033" hidden="1" x14ac:dyDescent="0.15"/>
    <row r="16034" hidden="1" x14ac:dyDescent="0.15"/>
    <row r="16035" hidden="1" x14ac:dyDescent="0.15"/>
    <row r="16036" hidden="1" x14ac:dyDescent="0.15"/>
    <row r="16037" hidden="1" x14ac:dyDescent="0.15"/>
    <row r="16038" hidden="1" x14ac:dyDescent="0.15"/>
    <row r="16039" hidden="1" x14ac:dyDescent="0.15"/>
    <row r="16040" hidden="1" x14ac:dyDescent="0.15"/>
    <row r="16041" hidden="1" x14ac:dyDescent="0.15"/>
    <row r="16042" hidden="1" x14ac:dyDescent="0.15"/>
    <row r="16043" hidden="1" x14ac:dyDescent="0.15"/>
    <row r="16044" hidden="1" x14ac:dyDescent="0.15"/>
    <row r="16045" hidden="1" x14ac:dyDescent="0.15"/>
    <row r="16046" hidden="1" x14ac:dyDescent="0.15"/>
    <row r="16047" hidden="1" x14ac:dyDescent="0.15"/>
    <row r="16048" hidden="1" x14ac:dyDescent="0.15"/>
    <row r="16049" hidden="1" x14ac:dyDescent="0.15"/>
    <row r="16050" hidden="1" x14ac:dyDescent="0.15"/>
    <row r="16051" hidden="1" x14ac:dyDescent="0.15"/>
    <row r="16052" hidden="1" x14ac:dyDescent="0.15"/>
    <row r="16053" hidden="1" x14ac:dyDescent="0.15"/>
    <row r="16054" hidden="1" x14ac:dyDescent="0.15"/>
    <row r="16055" hidden="1" x14ac:dyDescent="0.15"/>
    <row r="16056" hidden="1" x14ac:dyDescent="0.15"/>
    <row r="16057" hidden="1" x14ac:dyDescent="0.15"/>
    <row r="16058" hidden="1" x14ac:dyDescent="0.15"/>
    <row r="16059" hidden="1" x14ac:dyDescent="0.15"/>
    <row r="16060" hidden="1" x14ac:dyDescent="0.15"/>
    <row r="16061" hidden="1" x14ac:dyDescent="0.15"/>
    <row r="16062" hidden="1" x14ac:dyDescent="0.15"/>
    <row r="16063" hidden="1" x14ac:dyDescent="0.15"/>
    <row r="16064" hidden="1" x14ac:dyDescent="0.15"/>
    <row r="16065" hidden="1" x14ac:dyDescent="0.15"/>
    <row r="16066" hidden="1" x14ac:dyDescent="0.15"/>
    <row r="16067" hidden="1" x14ac:dyDescent="0.15"/>
    <row r="16068" hidden="1" x14ac:dyDescent="0.15"/>
    <row r="16069" hidden="1" x14ac:dyDescent="0.15"/>
    <row r="16070" hidden="1" x14ac:dyDescent="0.15"/>
    <row r="16071" hidden="1" x14ac:dyDescent="0.15"/>
    <row r="16072" hidden="1" x14ac:dyDescent="0.15"/>
    <row r="16073" hidden="1" x14ac:dyDescent="0.15"/>
    <row r="16074" hidden="1" x14ac:dyDescent="0.15"/>
    <row r="16075" hidden="1" x14ac:dyDescent="0.15"/>
    <row r="16076" hidden="1" x14ac:dyDescent="0.15"/>
    <row r="16077" hidden="1" x14ac:dyDescent="0.15"/>
    <row r="16078" hidden="1" x14ac:dyDescent="0.15"/>
    <row r="16079" hidden="1" x14ac:dyDescent="0.15"/>
    <row r="16080" hidden="1" x14ac:dyDescent="0.15"/>
    <row r="16081" hidden="1" x14ac:dyDescent="0.15"/>
    <row r="16082" hidden="1" x14ac:dyDescent="0.15"/>
    <row r="16083" hidden="1" x14ac:dyDescent="0.15"/>
    <row r="16084" hidden="1" x14ac:dyDescent="0.15"/>
    <row r="16085" hidden="1" x14ac:dyDescent="0.15"/>
    <row r="16086" hidden="1" x14ac:dyDescent="0.15"/>
    <row r="16087" hidden="1" x14ac:dyDescent="0.15"/>
    <row r="16088" hidden="1" x14ac:dyDescent="0.15"/>
    <row r="16089" hidden="1" x14ac:dyDescent="0.15"/>
    <row r="16090" hidden="1" x14ac:dyDescent="0.15"/>
    <row r="16091" hidden="1" x14ac:dyDescent="0.15"/>
    <row r="16092" hidden="1" x14ac:dyDescent="0.15"/>
    <row r="16093" hidden="1" x14ac:dyDescent="0.15"/>
    <row r="16094" hidden="1" x14ac:dyDescent="0.15"/>
    <row r="16095" hidden="1" x14ac:dyDescent="0.15"/>
    <row r="16096" hidden="1" x14ac:dyDescent="0.15"/>
    <row r="16097" hidden="1" x14ac:dyDescent="0.15"/>
    <row r="16098" hidden="1" x14ac:dyDescent="0.15"/>
    <row r="16099" hidden="1" x14ac:dyDescent="0.15"/>
    <row r="16100" hidden="1" x14ac:dyDescent="0.15"/>
    <row r="16101" hidden="1" x14ac:dyDescent="0.15"/>
    <row r="16102" hidden="1" x14ac:dyDescent="0.15"/>
    <row r="16103" hidden="1" x14ac:dyDescent="0.15"/>
    <row r="16104" hidden="1" x14ac:dyDescent="0.15"/>
    <row r="16105" hidden="1" x14ac:dyDescent="0.15"/>
    <row r="16106" hidden="1" x14ac:dyDescent="0.15"/>
    <row r="16107" hidden="1" x14ac:dyDescent="0.15"/>
    <row r="16108" hidden="1" x14ac:dyDescent="0.15"/>
    <row r="16109" hidden="1" x14ac:dyDescent="0.15"/>
    <row r="16110" hidden="1" x14ac:dyDescent="0.15"/>
    <row r="16111" hidden="1" x14ac:dyDescent="0.15"/>
    <row r="16112" hidden="1" x14ac:dyDescent="0.15"/>
    <row r="16113" hidden="1" x14ac:dyDescent="0.15"/>
    <row r="16114" hidden="1" x14ac:dyDescent="0.15"/>
    <row r="16115" hidden="1" x14ac:dyDescent="0.15"/>
    <row r="16116" hidden="1" x14ac:dyDescent="0.15"/>
    <row r="16117" hidden="1" x14ac:dyDescent="0.15"/>
    <row r="16118" hidden="1" x14ac:dyDescent="0.15"/>
    <row r="16119" hidden="1" x14ac:dyDescent="0.15"/>
    <row r="16120" hidden="1" x14ac:dyDescent="0.15"/>
    <row r="16121" hidden="1" x14ac:dyDescent="0.15"/>
    <row r="16122" hidden="1" x14ac:dyDescent="0.15"/>
    <row r="16123" hidden="1" x14ac:dyDescent="0.15"/>
    <row r="16124" hidden="1" x14ac:dyDescent="0.15"/>
    <row r="16125" hidden="1" x14ac:dyDescent="0.15"/>
    <row r="16126" hidden="1" x14ac:dyDescent="0.15"/>
    <row r="16127" hidden="1" x14ac:dyDescent="0.15"/>
    <row r="16128" hidden="1" x14ac:dyDescent="0.15"/>
    <row r="16129" hidden="1" x14ac:dyDescent="0.15"/>
    <row r="16130" hidden="1" x14ac:dyDescent="0.15"/>
    <row r="16131" hidden="1" x14ac:dyDescent="0.15"/>
    <row r="16132" hidden="1" x14ac:dyDescent="0.15"/>
    <row r="16133" hidden="1" x14ac:dyDescent="0.15"/>
    <row r="16134" hidden="1" x14ac:dyDescent="0.15"/>
    <row r="16135" hidden="1" x14ac:dyDescent="0.15"/>
    <row r="16136" hidden="1" x14ac:dyDescent="0.15"/>
    <row r="16137" hidden="1" x14ac:dyDescent="0.15"/>
    <row r="16138" hidden="1" x14ac:dyDescent="0.15"/>
    <row r="16139" hidden="1" x14ac:dyDescent="0.15"/>
    <row r="16140" hidden="1" x14ac:dyDescent="0.15"/>
    <row r="16141" hidden="1" x14ac:dyDescent="0.15"/>
    <row r="16142" hidden="1" x14ac:dyDescent="0.15"/>
    <row r="16143" hidden="1" x14ac:dyDescent="0.15"/>
    <row r="16144" hidden="1" x14ac:dyDescent="0.15"/>
    <row r="16145" hidden="1" x14ac:dyDescent="0.15"/>
    <row r="16146" hidden="1" x14ac:dyDescent="0.15"/>
    <row r="16147" hidden="1" x14ac:dyDescent="0.15"/>
    <row r="16148" hidden="1" x14ac:dyDescent="0.15"/>
    <row r="16149" hidden="1" x14ac:dyDescent="0.15"/>
    <row r="16150" hidden="1" x14ac:dyDescent="0.15"/>
    <row r="16151" hidden="1" x14ac:dyDescent="0.15"/>
    <row r="16152" hidden="1" x14ac:dyDescent="0.15"/>
    <row r="16153" hidden="1" x14ac:dyDescent="0.15"/>
    <row r="16154" hidden="1" x14ac:dyDescent="0.15"/>
    <row r="16155" hidden="1" x14ac:dyDescent="0.15"/>
    <row r="16156" hidden="1" x14ac:dyDescent="0.15"/>
    <row r="16157" hidden="1" x14ac:dyDescent="0.15"/>
    <row r="16158" hidden="1" x14ac:dyDescent="0.15"/>
    <row r="16159" hidden="1" x14ac:dyDescent="0.15"/>
    <row r="16160" hidden="1" x14ac:dyDescent="0.15"/>
    <row r="16161" hidden="1" x14ac:dyDescent="0.15"/>
    <row r="16162" hidden="1" x14ac:dyDescent="0.15"/>
    <row r="16163" hidden="1" x14ac:dyDescent="0.15"/>
    <row r="16164" hidden="1" x14ac:dyDescent="0.15"/>
    <row r="16165" hidden="1" x14ac:dyDescent="0.15"/>
    <row r="16166" hidden="1" x14ac:dyDescent="0.15"/>
    <row r="16167" hidden="1" x14ac:dyDescent="0.15"/>
    <row r="16168" hidden="1" x14ac:dyDescent="0.15"/>
    <row r="16169" hidden="1" x14ac:dyDescent="0.15"/>
    <row r="16170" hidden="1" x14ac:dyDescent="0.15"/>
    <row r="16171" hidden="1" x14ac:dyDescent="0.15"/>
    <row r="16172" hidden="1" x14ac:dyDescent="0.15"/>
    <row r="16173" hidden="1" x14ac:dyDescent="0.15"/>
    <row r="16174" hidden="1" x14ac:dyDescent="0.15"/>
    <row r="16175" hidden="1" x14ac:dyDescent="0.15"/>
    <row r="16176" hidden="1" x14ac:dyDescent="0.15"/>
    <row r="16177" hidden="1" x14ac:dyDescent="0.15"/>
    <row r="16178" hidden="1" x14ac:dyDescent="0.15"/>
    <row r="16179" hidden="1" x14ac:dyDescent="0.15"/>
    <row r="16180" hidden="1" x14ac:dyDescent="0.15"/>
    <row r="16181" hidden="1" x14ac:dyDescent="0.15"/>
    <row r="16182" hidden="1" x14ac:dyDescent="0.15"/>
    <row r="16183" hidden="1" x14ac:dyDescent="0.15"/>
    <row r="16184" hidden="1" x14ac:dyDescent="0.15"/>
    <row r="16185" hidden="1" x14ac:dyDescent="0.15"/>
    <row r="16186" hidden="1" x14ac:dyDescent="0.15"/>
    <row r="16187" hidden="1" x14ac:dyDescent="0.15"/>
    <row r="16188" hidden="1" x14ac:dyDescent="0.15"/>
    <row r="16189" hidden="1" x14ac:dyDescent="0.15"/>
    <row r="16190" hidden="1" x14ac:dyDescent="0.15"/>
    <row r="16191" hidden="1" x14ac:dyDescent="0.15"/>
    <row r="16192" hidden="1" x14ac:dyDescent="0.15"/>
    <row r="16193" hidden="1" x14ac:dyDescent="0.15"/>
    <row r="16194" hidden="1" x14ac:dyDescent="0.15"/>
    <row r="16195" hidden="1" x14ac:dyDescent="0.15"/>
    <row r="16196" hidden="1" x14ac:dyDescent="0.15"/>
    <row r="16197" hidden="1" x14ac:dyDescent="0.15"/>
    <row r="16198" hidden="1" x14ac:dyDescent="0.15"/>
    <row r="16199" hidden="1" x14ac:dyDescent="0.15"/>
    <row r="16200" hidden="1" x14ac:dyDescent="0.15"/>
    <row r="16201" hidden="1" x14ac:dyDescent="0.15"/>
    <row r="16202" hidden="1" x14ac:dyDescent="0.15"/>
    <row r="16203" hidden="1" x14ac:dyDescent="0.15"/>
    <row r="16204" hidden="1" x14ac:dyDescent="0.15"/>
    <row r="16205" hidden="1" x14ac:dyDescent="0.15"/>
    <row r="16206" hidden="1" x14ac:dyDescent="0.15"/>
    <row r="16207" hidden="1" x14ac:dyDescent="0.15"/>
    <row r="16208" hidden="1" x14ac:dyDescent="0.15"/>
    <row r="16209" hidden="1" x14ac:dyDescent="0.15"/>
    <row r="16210" hidden="1" x14ac:dyDescent="0.15"/>
    <row r="16211" hidden="1" x14ac:dyDescent="0.15"/>
    <row r="16212" hidden="1" x14ac:dyDescent="0.15"/>
    <row r="16213" hidden="1" x14ac:dyDescent="0.15"/>
    <row r="16214" hidden="1" x14ac:dyDescent="0.15"/>
    <row r="16215" hidden="1" x14ac:dyDescent="0.15"/>
    <row r="16216" hidden="1" x14ac:dyDescent="0.15"/>
    <row r="16217" hidden="1" x14ac:dyDescent="0.15"/>
    <row r="16218" hidden="1" x14ac:dyDescent="0.15"/>
    <row r="16219" hidden="1" x14ac:dyDescent="0.15"/>
    <row r="16220" hidden="1" x14ac:dyDescent="0.15"/>
    <row r="16221" hidden="1" x14ac:dyDescent="0.15"/>
    <row r="16222" hidden="1" x14ac:dyDescent="0.15"/>
    <row r="16223" hidden="1" x14ac:dyDescent="0.15"/>
    <row r="16224" hidden="1" x14ac:dyDescent="0.15"/>
    <row r="16225" hidden="1" x14ac:dyDescent="0.15"/>
    <row r="16226" hidden="1" x14ac:dyDescent="0.15"/>
    <row r="16227" hidden="1" x14ac:dyDescent="0.15"/>
    <row r="16228" hidden="1" x14ac:dyDescent="0.15"/>
    <row r="16229" hidden="1" x14ac:dyDescent="0.15"/>
    <row r="16230" hidden="1" x14ac:dyDescent="0.15"/>
    <row r="16231" hidden="1" x14ac:dyDescent="0.15"/>
    <row r="16232" hidden="1" x14ac:dyDescent="0.15"/>
    <row r="16233" hidden="1" x14ac:dyDescent="0.15"/>
    <row r="16234" hidden="1" x14ac:dyDescent="0.15"/>
    <row r="16235" hidden="1" x14ac:dyDescent="0.15"/>
    <row r="16236" hidden="1" x14ac:dyDescent="0.15"/>
    <row r="16237" hidden="1" x14ac:dyDescent="0.15"/>
    <row r="16238" hidden="1" x14ac:dyDescent="0.15"/>
    <row r="16239" hidden="1" x14ac:dyDescent="0.15"/>
    <row r="16240" hidden="1" x14ac:dyDescent="0.15"/>
    <row r="16241" hidden="1" x14ac:dyDescent="0.15"/>
    <row r="16242" hidden="1" x14ac:dyDescent="0.15"/>
    <row r="16243" hidden="1" x14ac:dyDescent="0.15"/>
    <row r="16244" hidden="1" x14ac:dyDescent="0.15"/>
    <row r="16245" hidden="1" x14ac:dyDescent="0.15"/>
    <row r="16246" hidden="1" x14ac:dyDescent="0.15"/>
    <row r="16247" hidden="1" x14ac:dyDescent="0.15"/>
    <row r="16248" hidden="1" x14ac:dyDescent="0.15"/>
    <row r="16249" hidden="1" x14ac:dyDescent="0.15"/>
    <row r="16250" hidden="1" x14ac:dyDescent="0.15"/>
    <row r="16251" hidden="1" x14ac:dyDescent="0.15"/>
    <row r="16252" hidden="1" x14ac:dyDescent="0.15"/>
    <row r="16253" hidden="1" x14ac:dyDescent="0.15"/>
    <row r="16254" hidden="1" x14ac:dyDescent="0.15"/>
    <row r="16255" hidden="1" x14ac:dyDescent="0.15"/>
    <row r="16256" hidden="1" x14ac:dyDescent="0.15"/>
    <row r="16257" hidden="1" x14ac:dyDescent="0.15"/>
    <row r="16258" hidden="1" x14ac:dyDescent="0.15"/>
    <row r="16259" hidden="1" x14ac:dyDescent="0.15"/>
    <row r="16260" hidden="1" x14ac:dyDescent="0.15"/>
    <row r="16261" hidden="1" x14ac:dyDescent="0.15"/>
    <row r="16262" hidden="1" x14ac:dyDescent="0.15"/>
    <row r="16263" hidden="1" x14ac:dyDescent="0.15"/>
    <row r="16264" hidden="1" x14ac:dyDescent="0.15"/>
    <row r="16265" hidden="1" x14ac:dyDescent="0.15"/>
    <row r="16266" hidden="1" x14ac:dyDescent="0.15"/>
    <row r="16267" hidden="1" x14ac:dyDescent="0.15"/>
    <row r="16268" hidden="1" x14ac:dyDescent="0.15"/>
    <row r="16269" hidden="1" x14ac:dyDescent="0.15"/>
    <row r="16270" hidden="1" x14ac:dyDescent="0.15"/>
    <row r="16271" hidden="1" x14ac:dyDescent="0.15"/>
    <row r="16272" hidden="1" x14ac:dyDescent="0.15"/>
    <row r="16273" hidden="1" x14ac:dyDescent="0.15"/>
    <row r="16274" hidden="1" x14ac:dyDescent="0.15"/>
    <row r="16275" hidden="1" x14ac:dyDescent="0.15"/>
    <row r="16276" hidden="1" x14ac:dyDescent="0.15"/>
    <row r="16277" hidden="1" x14ac:dyDescent="0.15"/>
    <row r="16278" hidden="1" x14ac:dyDescent="0.15"/>
    <row r="16279" hidden="1" x14ac:dyDescent="0.15"/>
    <row r="16280" hidden="1" x14ac:dyDescent="0.15"/>
    <row r="16281" hidden="1" x14ac:dyDescent="0.15"/>
    <row r="16282" hidden="1" x14ac:dyDescent="0.15"/>
    <row r="16283" hidden="1" x14ac:dyDescent="0.15"/>
    <row r="16284" hidden="1" x14ac:dyDescent="0.15"/>
    <row r="16285" hidden="1" x14ac:dyDescent="0.15"/>
    <row r="16286" hidden="1" x14ac:dyDescent="0.15"/>
    <row r="16287" hidden="1" x14ac:dyDescent="0.15"/>
    <row r="16288" hidden="1" x14ac:dyDescent="0.15"/>
    <row r="16289" hidden="1" x14ac:dyDescent="0.15"/>
    <row r="16290" hidden="1" x14ac:dyDescent="0.15"/>
    <row r="16291" hidden="1" x14ac:dyDescent="0.15"/>
    <row r="16292" hidden="1" x14ac:dyDescent="0.15"/>
    <row r="16293" hidden="1" x14ac:dyDescent="0.15"/>
    <row r="16294" hidden="1" x14ac:dyDescent="0.15"/>
    <row r="16295" hidden="1" x14ac:dyDescent="0.15"/>
    <row r="16296" hidden="1" x14ac:dyDescent="0.15"/>
    <row r="16297" hidden="1" x14ac:dyDescent="0.15"/>
    <row r="16298" hidden="1" x14ac:dyDescent="0.15"/>
    <row r="16299" hidden="1" x14ac:dyDescent="0.15"/>
    <row r="16300" hidden="1" x14ac:dyDescent="0.15"/>
    <row r="16301" hidden="1" x14ac:dyDescent="0.15"/>
    <row r="16302" hidden="1" x14ac:dyDescent="0.15"/>
    <row r="16303" hidden="1" x14ac:dyDescent="0.15"/>
    <row r="16304" hidden="1" x14ac:dyDescent="0.15"/>
    <row r="16305" hidden="1" x14ac:dyDescent="0.15"/>
    <row r="16306" hidden="1" x14ac:dyDescent="0.15"/>
    <row r="16307" hidden="1" x14ac:dyDescent="0.15"/>
    <row r="16308" hidden="1" x14ac:dyDescent="0.15"/>
    <row r="16309" hidden="1" x14ac:dyDescent="0.15"/>
    <row r="16310" hidden="1" x14ac:dyDescent="0.15"/>
    <row r="16311" hidden="1" x14ac:dyDescent="0.15"/>
    <row r="16312" hidden="1" x14ac:dyDescent="0.15"/>
    <row r="16313" hidden="1" x14ac:dyDescent="0.15"/>
    <row r="16314" hidden="1" x14ac:dyDescent="0.15"/>
    <row r="16315" hidden="1" x14ac:dyDescent="0.15"/>
    <row r="16316" hidden="1" x14ac:dyDescent="0.15"/>
    <row r="16317" hidden="1" x14ac:dyDescent="0.15"/>
    <row r="16318" hidden="1" x14ac:dyDescent="0.15"/>
    <row r="16319" hidden="1" x14ac:dyDescent="0.15"/>
    <row r="16320" hidden="1" x14ac:dyDescent="0.15"/>
    <row r="16321" hidden="1" x14ac:dyDescent="0.15"/>
    <row r="16322" hidden="1" x14ac:dyDescent="0.15"/>
    <row r="16323" hidden="1" x14ac:dyDescent="0.15"/>
    <row r="16324" hidden="1" x14ac:dyDescent="0.15"/>
    <row r="16325" hidden="1" x14ac:dyDescent="0.15"/>
    <row r="16326" hidden="1" x14ac:dyDescent="0.15"/>
    <row r="16327" hidden="1" x14ac:dyDescent="0.15"/>
    <row r="16328" hidden="1" x14ac:dyDescent="0.15"/>
    <row r="16329" hidden="1" x14ac:dyDescent="0.15"/>
    <row r="16330" hidden="1" x14ac:dyDescent="0.15"/>
    <row r="16331" hidden="1" x14ac:dyDescent="0.15"/>
    <row r="16332" hidden="1" x14ac:dyDescent="0.15"/>
    <row r="16333" hidden="1" x14ac:dyDescent="0.15"/>
    <row r="16334" hidden="1" x14ac:dyDescent="0.15"/>
    <row r="16335" hidden="1" x14ac:dyDescent="0.15"/>
    <row r="16336" hidden="1" x14ac:dyDescent="0.15"/>
    <row r="16337" hidden="1" x14ac:dyDescent="0.15"/>
    <row r="16338" hidden="1" x14ac:dyDescent="0.15"/>
    <row r="16339" hidden="1" x14ac:dyDescent="0.15"/>
    <row r="16340" hidden="1" x14ac:dyDescent="0.15"/>
    <row r="16341" hidden="1" x14ac:dyDescent="0.15"/>
    <row r="16342" hidden="1" x14ac:dyDescent="0.15"/>
    <row r="16343" hidden="1" x14ac:dyDescent="0.15"/>
    <row r="16344" hidden="1" x14ac:dyDescent="0.15"/>
    <row r="16345" hidden="1" x14ac:dyDescent="0.15"/>
    <row r="16346" hidden="1" x14ac:dyDescent="0.15"/>
    <row r="16347" hidden="1" x14ac:dyDescent="0.15"/>
    <row r="16348" hidden="1" x14ac:dyDescent="0.15"/>
    <row r="16349" hidden="1" x14ac:dyDescent="0.15"/>
    <row r="16350" hidden="1" x14ac:dyDescent="0.15"/>
    <row r="16351" hidden="1" x14ac:dyDescent="0.15"/>
    <row r="16352" hidden="1" x14ac:dyDescent="0.15"/>
    <row r="16353" hidden="1" x14ac:dyDescent="0.15"/>
    <row r="16354" hidden="1" x14ac:dyDescent="0.15"/>
    <row r="16355" hidden="1" x14ac:dyDescent="0.15"/>
    <row r="16356" hidden="1" x14ac:dyDescent="0.15"/>
    <row r="16357" hidden="1" x14ac:dyDescent="0.15"/>
    <row r="16358" hidden="1" x14ac:dyDescent="0.15"/>
    <row r="16359" hidden="1" x14ac:dyDescent="0.15"/>
    <row r="16360" hidden="1" x14ac:dyDescent="0.15"/>
    <row r="16361" hidden="1" x14ac:dyDescent="0.15"/>
    <row r="16362" hidden="1" x14ac:dyDescent="0.15"/>
    <row r="16363" hidden="1" x14ac:dyDescent="0.15"/>
    <row r="16364" hidden="1" x14ac:dyDescent="0.15"/>
    <row r="16365" hidden="1" x14ac:dyDescent="0.15"/>
    <row r="16366" hidden="1" x14ac:dyDescent="0.15"/>
    <row r="16367" hidden="1" x14ac:dyDescent="0.15"/>
    <row r="16368" hidden="1" x14ac:dyDescent="0.15"/>
    <row r="16369" hidden="1" x14ac:dyDescent="0.15"/>
    <row r="16370" hidden="1" x14ac:dyDescent="0.15"/>
    <row r="16371" hidden="1" x14ac:dyDescent="0.15"/>
    <row r="16372" hidden="1" x14ac:dyDescent="0.15"/>
    <row r="16373" hidden="1" x14ac:dyDescent="0.15"/>
    <row r="16374" hidden="1" x14ac:dyDescent="0.15"/>
    <row r="16375" hidden="1" x14ac:dyDescent="0.15"/>
    <row r="16376" hidden="1" x14ac:dyDescent="0.15"/>
    <row r="16377" hidden="1" x14ac:dyDescent="0.15"/>
    <row r="16378" hidden="1" x14ac:dyDescent="0.15"/>
    <row r="16379" hidden="1" x14ac:dyDescent="0.15"/>
    <row r="16380" hidden="1" x14ac:dyDescent="0.15"/>
    <row r="16381" hidden="1" x14ac:dyDescent="0.15"/>
    <row r="16382" hidden="1" x14ac:dyDescent="0.15"/>
    <row r="16383" hidden="1" x14ac:dyDescent="0.15"/>
    <row r="16384" hidden="1" x14ac:dyDescent="0.15"/>
    <row r="16385" hidden="1" x14ac:dyDescent="0.15"/>
    <row r="16386" hidden="1" x14ac:dyDescent="0.15"/>
    <row r="16387" hidden="1" x14ac:dyDescent="0.15"/>
    <row r="16388" hidden="1" x14ac:dyDescent="0.15"/>
    <row r="16389" hidden="1" x14ac:dyDescent="0.15"/>
    <row r="16390" hidden="1" x14ac:dyDescent="0.15"/>
    <row r="16391" hidden="1" x14ac:dyDescent="0.15"/>
    <row r="16392" hidden="1" x14ac:dyDescent="0.15"/>
    <row r="16393" hidden="1" x14ac:dyDescent="0.15"/>
    <row r="16394" hidden="1" x14ac:dyDescent="0.15"/>
    <row r="16395" hidden="1" x14ac:dyDescent="0.15"/>
    <row r="16396" hidden="1" x14ac:dyDescent="0.15"/>
    <row r="16397" hidden="1" x14ac:dyDescent="0.15"/>
    <row r="16398" hidden="1" x14ac:dyDescent="0.15"/>
    <row r="16399" hidden="1" x14ac:dyDescent="0.15"/>
    <row r="16400" hidden="1" x14ac:dyDescent="0.15"/>
    <row r="16401" hidden="1" x14ac:dyDescent="0.15"/>
    <row r="16402" hidden="1" x14ac:dyDescent="0.15"/>
    <row r="16403" hidden="1" x14ac:dyDescent="0.15"/>
    <row r="16404" hidden="1" x14ac:dyDescent="0.15"/>
    <row r="16405" hidden="1" x14ac:dyDescent="0.15"/>
    <row r="16406" hidden="1" x14ac:dyDescent="0.15"/>
    <row r="16407" hidden="1" x14ac:dyDescent="0.15"/>
    <row r="16408" hidden="1" x14ac:dyDescent="0.15"/>
    <row r="16409" hidden="1" x14ac:dyDescent="0.15"/>
    <row r="16410" hidden="1" x14ac:dyDescent="0.15"/>
    <row r="16411" hidden="1" x14ac:dyDescent="0.15"/>
    <row r="16412" hidden="1" x14ac:dyDescent="0.15"/>
    <row r="16413" hidden="1" x14ac:dyDescent="0.15"/>
    <row r="16414" hidden="1" x14ac:dyDescent="0.15"/>
    <row r="16415" hidden="1" x14ac:dyDescent="0.15"/>
    <row r="16416" hidden="1" x14ac:dyDescent="0.15"/>
    <row r="16417" hidden="1" x14ac:dyDescent="0.15"/>
    <row r="16418" hidden="1" x14ac:dyDescent="0.15"/>
    <row r="16419" hidden="1" x14ac:dyDescent="0.15"/>
    <row r="16420" hidden="1" x14ac:dyDescent="0.15"/>
    <row r="16421" hidden="1" x14ac:dyDescent="0.15"/>
    <row r="16422" hidden="1" x14ac:dyDescent="0.15"/>
    <row r="16423" hidden="1" x14ac:dyDescent="0.15"/>
    <row r="16424" hidden="1" x14ac:dyDescent="0.15"/>
    <row r="16425" hidden="1" x14ac:dyDescent="0.15"/>
    <row r="16426" hidden="1" x14ac:dyDescent="0.15"/>
    <row r="16427" hidden="1" x14ac:dyDescent="0.15"/>
    <row r="16428" hidden="1" x14ac:dyDescent="0.15"/>
    <row r="16429" hidden="1" x14ac:dyDescent="0.15"/>
    <row r="16430" hidden="1" x14ac:dyDescent="0.15"/>
    <row r="16431" hidden="1" x14ac:dyDescent="0.15"/>
    <row r="16432" hidden="1" x14ac:dyDescent="0.15"/>
    <row r="16433" hidden="1" x14ac:dyDescent="0.15"/>
    <row r="16434" hidden="1" x14ac:dyDescent="0.15"/>
    <row r="16435" hidden="1" x14ac:dyDescent="0.15"/>
    <row r="16436" hidden="1" x14ac:dyDescent="0.15"/>
    <row r="16437" hidden="1" x14ac:dyDescent="0.15"/>
    <row r="16438" hidden="1" x14ac:dyDescent="0.15"/>
    <row r="16439" hidden="1" x14ac:dyDescent="0.15"/>
    <row r="16440" hidden="1" x14ac:dyDescent="0.15"/>
    <row r="16441" hidden="1" x14ac:dyDescent="0.15"/>
    <row r="16442" hidden="1" x14ac:dyDescent="0.15"/>
    <row r="16443" hidden="1" x14ac:dyDescent="0.15"/>
    <row r="16444" hidden="1" x14ac:dyDescent="0.15"/>
    <row r="16445" hidden="1" x14ac:dyDescent="0.15"/>
    <row r="16446" hidden="1" x14ac:dyDescent="0.15"/>
    <row r="16447" hidden="1" x14ac:dyDescent="0.15"/>
    <row r="16448" hidden="1" x14ac:dyDescent="0.15"/>
    <row r="16449" hidden="1" x14ac:dyDescent="0.15"/>
    <row r="16450" hidden="1" x14ac:dyDescent="0.15"/>
    <row r="16451" hidden="1" x14ac:dyDescent="0.15"/>
    <row r="16452" hidden="1" x14ac:dyDescent="0.15"/>
    <row r="16453" hidden="1" x14ac:dyDescent="0.15"/>
    <row r="16454" hidden="1" x14ac:dyDescent="0.15"/>
    <row r="16455" hidden="1" x14ac:dyDescent="0.15"/>
    <row r="16456" hidden="1" x14ac:dyDescent="0.15"/>
    <row r="16457" hidden="1" x14ac:dyDescent="0.15"/>
    <row r="16458" hidden="1" x14ac:dyDescent="0.15"/>
    <row r="16459" hidden="1" x14ac:dyDescent="0.15"/>
    <row r="16460" hidden="1" x14ac:dyDescent="0.15"/>
    <row r="16461" hidden="1" x14ac:dyDescent="0.15"/>
    <row r="16462" hidden="1" x14ac:dyDescent="0.15"/>
    <row r="16463" hidden="1" x14ac:dyDescent="0.15"/>
    <row r="16464" hidden="1" x14ac:dyDescent="0.15"/>
    <row r="16465" hidden="1" x14ac:dyDescent="0.15"/>
    <row r="16466" hidden="1" x14ac:dyDescent="0.15"/>
    <row r="16467" hidden="1" x14ac:dyDescent="0.15"/>
    <row r="16468" hidden="1" x14ac:dyDescent="0.15"/>
    <row r="16469" hidden="1" x14ac:dyDescent="0.15"/>
    <row r="16470" hidden="1" x14ac:dyDescent="0.15"/>
    <row r="16471" hidden="1" x14ac:dyDescent="0.15"/>
    <row r="16472" hidden="1" x14ac:dyDescent="0.15"/>
    <row r="16473" hidden="1" x14ac:dyDescent="0.15"/>
    <row r="16474" hidden="1" x14ac:dyDescent="0.15"/>
    <row r="16475" hidden="1" x14ac:dyDescent="0.15"/>
    <row r="16476" hidden="1" x14ac:dyDescent="0.15"/>
    <row r="16477" hidden="1" x14ac:dyDescent="0.15"/>
    <row r="16478" hidden="1" x14ac:dyDescent="0.15"/>
    <row r="16479" hidden="1" x14ac:dyDescent="0.15"/>
    <row r="16480" hidden="1" x14ac:dyDescent="0.15"/>
    <row r="16481" hidden="1" x14ac:dyDescent="0.15"/>
    <row r="16482" hidden="1" x14ac:dyDescent="0.15"/>
    <row r="16483" hidden="1" x14ac:dyDescent="0.15"/>
    <row r="16484" hidden="1" x14ac:dyDescent="0.15"/>
    <row r="16485" hidden="1" x14ac:dyDescent="0.15"/>
    <row r="16486" hidden="1" x14ac:dyDescent="0.15"/>
    <row r="16487" hidden="1" x14ac:dyDescent="0.15"/>
    <row r="16488" hidden="1" x14ac:dyDescent="0.15"/>
    <row r="16489" hidden="1" x14ac:dyDescent="0.15"/>
    <row r="16490" hidden="1" x14ac:dyDescent="0.15"/>
    <row r="16491" hidden="1" x14ac:dyDescent="0.15"/>
    <row r="16492" hidden="1" x14ac:dyDescent="0.15"/>
    <row r="16493" hidden="1" x14ac:dyDescent="0.15"/>
    <row r="16494" hidden="1" x14ac:dyDescent="0.15"/>
    <row r="16495" hidden="1" x14ac:dyDescent="0.15"/>
    <row r="16496" hidden="1" x14ac:dyDescent="0.15"/>
    <row r="16497" hidden="1" x14ac:dyDescent="0.15"/>
    <row r="16498" hidden="1" x14ac:dyDescent="0.15"/>
    <row r="16499" hidden="1" x14ac:dyDescent="0.15"/>
    <row r="16500" hidden="1" x14ac:dyDescent="0.15"/>
    <row r="16501" hidden="1" x14ac:dyDescent="0.15"/>
    <row r="16502" hidden="1" x14ac:dyDescent="0.15"/>
    <row r="16503" hidden="1" x14ac:dyDescent="0.15"/>
    <row r="16504" hidden="1" x14ac:dyDescent="0.15"/>
    <row r="16505" hidden="1" x14ac:dyDescent="0.15"/>
    <row r="16506" hidden="1" x14ac:dyDescent="0.15"/>
    <row r="16507" hidden="1" x14ac:dyDescent="0.15"/>
    <row r="16508" hidden="1" x14ac:dyDescent="0.15"/>
    <row r="16509" hidden="1" x14ac:dyDescent="0.15"/>
    <row r="16510" hidden="1" x14ac:dyDescent="0.15"/>
    <row r="16511" hidden="1" x14ac:dyDescent="0.15"/>
    <row r="16512" hidden="1" x14ac:dyDescent="0.15"/>
    <row r="16513" hidden="1" x14ac:dyDescent="0.15"/>
    <row r="16514" hidden="1" x14ac:dyDescent="0.15"/>
    <row r="16515" hidden="1" x14ac:dyDescent="0.15"/>
    <row r="16516" hidden="1" x14ac:dyDescent="0.15"/>
    <row r="16517" hidden="1" x14ac:dyDescent="0.15"/>
    <row r="16518" hidden="1" x14ac:dyDescent="0.15"/>
    <row r="16519" hidden="1" x14ac:dyDescent="0.15"/>
    <row r="16520" hidden="1" x14ac:dyDescent="0.15"/>
    <row r="16521" hidden="1" x14ac:dyDescent="0.15"/>
    <row r="16522" hidden="1" x14ac:dyDescent="0.15"/>
    <row r="16523" hidden="1" x14ac:dyDescent="0.15"/>
    <row r="16524" hidden="1" x14ac:dyDescent="0.15"/>
    <row r="16525" hidden="1" x14ac:dyDescent="0.15"/>
    <row r="16526" hidden="1" x14ac:dyDescent="0.15"/>
    <row r="16527" hidden="1" x14ac:dyDescent="0.15"/>
    <row r="16528" hidden="1" x14ac:dyDescent="0.15"/>
    <row r="16529" hidden="1" x14ac:dyDescent="0.15"/>
    <row r="16530" hidden="1" x14ac:dyDescent="0.15"/>
    <row r="16531" hidden="1" x14ac:dyDescent="0.15"/>
    <row r="16532" hidden="1" x14ac:dyDescent="0.15"/>
    <row r="16533" hidden="1" x14ac:dyDescent="0.15"/>
    <row r="16534" hidden="1" x14ac:dyDescent="0.15"/>
    <row r="16535" hidden="1" x14ac:dyDescent="0.15"/>
    <row r="16536" hidden="1" x14ac:dyDescent="0.15"/>
    <row r="16537" hidden="1" x14ac:dyDescent="0.15"/>
    <row r="16538" hidden="1" x14ac:dyDescent="0.15"/>
    <row r="16539" hidden="1" x14ac:dyDescent="0.15"/>
    <row r="16540" hidden="1" x14ac:dyDescent="0.15"/>
    <row r="16541" hidden="1" x14ac:dyDescent="0.15"/>
    <row r="16542" hidden="1" x14ac:dyDescent="0.15"/>
    <row r="16543" hidden="1" x14ac:dyDescent="0.15"/>
    <row r="16544" hidden="1" x14ac:dyDescent="0.15"/>
    <row r="16545" hidden="1" x14ac:dyDescent="0.15"/>
    <row r="16546" hidden="1" x14ac:dyDescent="0.15"/>
    <row r="16547" hidden="1" x14ac:dyDescent="0.15"/>
    <row r="16548" hidden="1" x14ac:dyDescent="0.15"/>
    <row r="16549" hidden="1" x14ac:dyDescent="0.15"/>
    <row r="16550" hidden="1" x14ac:dyDescent="0.15"/>
    <row r="16551" hidden="1" x14ac:dyDescent="0.15"/>
    <row r="16552" hidden="1" x14ac:dyDescent="0.15"/>
    <row r="16553" hidden="1" x14ac:dyDescent="0.15"/>
    <row r="16554" hidden="1" x14ac:dyDescent="0.15"/>
    <row r="16555" hidden="1" x14ac:dyDescent="0.15"/>
    <row r="16556" hidden="1" x14ac:dyDescent="0.15"/>
    <row r="16557" hidden="1" x14ac:dyDescent="0.15"/>
    <row r="16558" hidden="1" x14ac:dyDescent="0.15"/>
    <row r="16559" hidden="1" x14ac:dyDescent="0.15"/>
    <row r="16560" hidden="1" x14ac:dyDescent="0.15"/>
    <row r="16561" hidden="1" x14ac:dyDescent="0.15"/>
    <row r="16562" hidden="1" x14ac:dyDescent="0.15"/>
    <row r="16563" hidden="1" x14ac:dyDescent="0.15"/>
    <row r="16564" hidden="1" x14ac:dyDescent="0.15"/>
    <row r="16565" hidden="1" x14ac:dyDescent="0.15"/>
    <row r="16566" hidden="1" x14ac:dyDescent="0.15"/>
    <row r="16567" hidden="1" x14ac:dyDescent="0.15"/>
    <row r="16568" hidden="1" x14ac:dyDescent="0.15"/>
    <row r="16569" hidden="1" x14ac:dyDescent="0.15"/>
    <row r="16570" hidden="1" x14ac:dyDescent="0.15"/>
    <row r="16571" hidden="1" x14ac:dyDescent="0.15"/>
    <row r="16572" hidden="1" x14ac:dyDescent="0.15"/>
    <row r="16573" hidden="1" x14ac:dyDescent="0.15"/>
    <row r="16574" hidden="1" x14ac:dyDescent="0.15"/>
    <row r="16575" hidden="1" x14ac:dyDescent="0.15"/>
    <row r="16576" hidden="1" x14ac:dyDescent="0.15"/>
    <row r="16577" hidden="1" x14ac:dyDescent="0.15"/>
    <row r="16578" hidden="1" x14ac:dyDescent="0.15"/>
    <row r="16579" hidden="1" x14ac:dyDescent="0.15"/>
    <row r="16580" hidden="1" x14ac:dyDescent="0.15"/>
    <row r="16581" hidden="1" x14ac:dyDescent="0.15"/>
    <row r="16582" hidden="1" x14ac:dyDescent="0.15"/>
    <row r="16583" hidden="1" x14ac:dyDescent="0.15"/>
    <row r="16584" hidden="1" x14ac:dyDescent="0.15"/>
    <row r="16585" hidden="1" x14ac:dyDescent="0.15"/>
    <row r="16586" hidden="1" x14ac:dyDescent="0.15"/>
    <row r="16587" hidden="1" x14ac:dyDescent="0.15"/>
    <row r="16588" hidden="1" x14ac:dyDescent="0.15"/>
    <row r="16589" hidden="1" x14ac:dyDescent="0.15"/>
    <row r="16590" hidden="1" x14ac:dyDescent="0.15"/>
    <row r="16591" hidden="1" x14ac:dyDescent="0.15"/>
    <row r="16592" hidden="1" x14ac:dyDescent="0.15"/>
    <row r="16593" hidden="1" x14ac:dyDescent="0.15"/>
    <row r="16594" hidden="1" x14ac:dyDescent="0.15"/>
    <row r="16595" hidden="1" x14ac:dyDescent="0.15"/>
    <row r="16596" hidden="1" x14ac:dyDescent="0.15"/>
    <row r="16597" hidden="1" x14ac:dyDescent="0.15"/>
    <row r="16598" hidden="1" x14ac:dyDescent="0.15"/>
    <row r="16599" hidden="1" x14ac:dyDescent="0.15"/>
    <row r="16600" hidden="1" x14ac:dyDescent="0.15"/>
    <row r="16601" hidden="1" x14ac:dyDescent="0.15"/>
    <row r="16602" hidden="1" x14ac:dyDescent="0.15"/>
    <row r="16603" hidden="1" x14ac:dyDescent="0.15"/>
    <row r="16604" hidden="1" x14ac:dyDescent="0.15"/>
    <row r="16605" hidden="1" x14ac:dyDescent="0.15"/>
    <row r="16606" hidden="1" x14ac:dyDescent="0.15"/>
    <row r="16607" hidden="1" x14ac:dyDescent="0.15"/>
    <row r="16608" hidden="1" x14ac:dyDescent="0.15"/>
    <row r="16609" hidden="1" x14ac:dyDescent="0.15"/>
    <row r="16610" hidden="1" x14ac:dyDescent="0.15"/>
    <row r="16611" hidden="1" x14ac:dyDescent="0.15"/>
    <row r="16612" hidden="1" x14ac:dyDescent="0.15"/>
    <row r="16613" hidden="1" x14ac:dyDescent="0.15"/>
    <row r="16614" hidden="1" x14ac:dyDescent="0.15"/>
    <row r="16615" hidden="1" x14ac:dyDescent="0.15"/>
    <row r="16616" hidden="1" x14ac:dyDescent="0.15"/>
    <row r="16617" hidden="1" x14ac:dyDescent="0.15"/>
    <row r="16618" hidden="1" x14ac:dyDescent="0.15"/>
    <row r="16619" hidden="1" x14ac:dyDescent="0.15"/>
    <row r="16620" hidden="1" x14ac:dyDescent="0.15"/>
    <row r="16621" hidden="1" x14ac:dyDescent="0.15"/>
    <row r="16622" hidden="1" x14ac:dyDescent="0.15"/>
    <row r="16623" hidden="1" x14ac:dyDescent="0.15"/>
    <row r="16624" hidden="1" x14ac:dyDescent="0.15"/>
    <row r="16625" hidden="1" x14ac:dyDescent="0.15"/>
    <row r="16626" hidden="1" x14ac:dyDescent="0.15"/>
    <row r="16627" hidden="1" x14ac:dyDescent="0.15"/>
    <row r="16628" hidden="1" x14ac:dyDescent="0.15"/>
    <row r="16629" hidden="1" x14ac:dyDescent="0.15"/>
    <row r="16630" hidden="1" x14ac:dyDescent="0.15"/>
    <row r="16631" hidden="1" x14ac:dyDescent="0.15"/>
    <row r="16632" hidden="1" x14ac:dyDescent="0.15"/>
    <row r="16633" hidden="1" x14ac:dyDescent="0.15"/>
    <row r="16634" hidden="1" x14ac:dyDescent="0.15"/>
    <row r="16635" hidden="1" x14ac:dyDescent="0.15"/>
    <row r="16636" hidden="1" x14ac:dyDescent="0.15"/>
    <row r="16637" hidden="1" x14ac:dyDescent="0.15"/>
    <row r="16638" hidden="1" x14ac:dyDescent="0.15"/>
    <row r="16639" hidden="1" x14ac:dyDescent="0.15"/>
    <row r="16640" hidden="1" x14ac:dyDescent="0.15"/>
    <row r="16641" hidden="1" x14ac:dyDescent="0.15"/>
    <row r="16642" hidden="1" x14ac:dyDescent="0.15"/>
    <row r="16643" hidden="1" x14ac:dyDescent="0.15"/>
    <row r="16644" hidden="1" x14ac:dyDescent="0.15"/>
    <row r="16645" hidden="1" x14ac:dyDescent="0.15"/>
    <row r="16646" hidden="1" x14ac:dyDescent="0.15"/>
    <row r="16647" hidden="1" x14ac:dyDescent="0.15"/>
    <row r="16648" hidden="1" x14ac:dyDescent="0.15"/>
    <row r="16649" hidden="1" x14ac:dyDescent="0.15"/>
    <row r="16650" hidden="1" x14ac:dyDescent="0.15"/>
    <row r="16651" hidden="1" x14ac:dyDescent="0.15"/>
    <row r="16652" hidden="1" x14ac:dyDescent="0.15"/>
    <row r="16653" hidden="1" x14ac:dyDescent="0.15"/>
    <row r="16654" hidden="1" x14ac:dyDescent="0.15"/>
    <row r="16655" hidden="1" x14ac:dyDescent="0.15"/>
    <row r="16656" hidden="1" x14ac:dyDescent="0.15"/>
    <row r="16657" hidden="1" x14ac:dyDescent="0.15"/>
    <row r="16658" hidden="1" x14ac:dyDescent="0.15"/>
    <row r="16659" hidden="1" x14ac:dyDescent="0.15"/>
    <row r="16660" hidden="1" x14ac:dyDescent="0.15"/>
    <row r="16661" hidden="1" x14ac:dyDescent="0.15"/>
    <row r="16662" hidden="1" x14ac:dyDescent="0.15"/>
    <row r="16663" hidden="1" x14ac:dyDescent="0.15"/>
    <row r="16664" hidden="1" x14ac:dyDescent="0.15"/>
    <row r="16665" hidden="1" x14ac:dyDescent="0.15"/>
    <row r="16666" hidden="1" x14ac:dyDescent="0.15"/>
    <row r="16667" hidden="1" x14ac:dyDescent="0.15"/>
    <row r="16668" hidden="1" x14ac:dyDescent="0.15"/>
    <row r="16669" hidden="1" x14ac:dyDescent="0.15"/>
    <row r="16670" hidden="1" x14ac:dyDescent="0.15"/>
    <row r="16671" hidden="1" x14ac:dyDescent="0.15"/>
    <row r="16672" hidden="1" x14ac:dyDescent="0.15"/>
    <row r="16673" hidden="1" x14ac:dyDescent="0.15"/>
    <row r="16674" hidden="1" x14ac:dyDescent="0.15"/>
    <row r="16675" hidden="1" x14ac:dyDescent="0.15"/>
    <row r="16676" hidden="1" x14ac:dyDescent="0.15"/>
    <row r="16677" hidden="1" x14ac:dyDescent="0.15"/>
    <row r="16678" hidden="1" x14ac:dyDescent="0.15"/>
    <row r="16679" hidden="1" x14ac:dyDescent="0.15"/>
    <row r="16680" hidden="1" x14ac:dyDescent="0.15"/>
    <row r="16681" hidden="1" x14ac:dyDescent="0.15"/>
    <row r="16682" hidden="1" x14ac:dyDescent="0.15"/>
    <row r="16683" hidden="1" x14ac:dyDescent="0.15"/>
    <row r="16684" hidden="1" x14ac:dyDescent="0.15"/>
    <row r="16685" hidden="1" x14ac:dyDescent="0.15"/>
    <row r="16686" hidden="1" x14ac:dyDescent="0.15"/>
    <row r="16687" hidden="1" x14ac:dyDescent="0.15"/>
    <row r="16688" hidden="1" x14ac:dyDescent="0.15"/>
    <row r="16689" hidden="1" x14ac:dyDescent="0.15"/>
    <row r="16690" hidden="1" x14ac:dyDescent="0.15"/>
    <row r="16691" hidden="1" x14ac:dyDescent="0.15"/>
    <row r="16692" hidden="1" x14ac:dyDescent="0.15"/>
    <row r="16693" hidden="1" x14ac:dyDescent="0.15"/>
    <row r="16694" hidden="1" x14ac:dyDescent="0.15"/>
    <row r="16695" hidden="1" x14ac:dyDescent="0.15"/>
    <row r="16696" hidden="1" x14ac:dyDescent="0.15"/>
    <row r="16697" hidden="1" x14ac:dyDescent="0.15"/>
    <row r="16698" hidden="1" x14ac:dyDescent="0.15"/>
    <row r="16699" hidden="1" x14ac:dyDescent="0.15"/>
    <row r="16700" hidden="1" x14ac:dyDescent="0.15"/>
    <row r="16701" hidden="1" x14ac:dyDescent="0.15"/>
    <row r="16702" hidden="1" x14ac:dyDescent="0.15"/>
    <row r="16703" hidden="1" x14ac:dyDescent="0.15"/>
    <row r="16704" hidden="1" x14ac:dyDescent="0.15"/>
    <row r="16705" hidden="1" x14ac:dyDescent="0.15"/>
    <row r="16706" hidden="1" x14ac:dyDescent="0.15"/>
    <row r="16707" hidden="1" x14ac:dyDescent="0.15"/>
    <row r="16708" hidden="1" x14ac:dyDescent="0.15"/>
    <row r="16709" hidden="1" x14ac:dyDescent="0.15"/>
    <row r="16710" hidden="1" x14ac:dyDescent="0.15"/>
    <row r="16711" hidden="1" x14ac:dyDescent="0.15"/>
    <row r="16712" hidden="1" x14ac:dyDescent="0.15"/>
    <row r="16713" hidden="1" x14ac:dyDescent="0.15"/>
    <row r="16714" hidden="1" x14ac:dyDescent="0.15"/>
    <row r="16715" hidden="1" x14ac:dyDescent="0.15"/>
    <row r="16716" hidden="1" x14ac:dyDescent="0.15"/>
    <row r="16717" hidden="1" x14ac:dyDescent="0.15"/>
    <row r="16718" hidden="1" x14ac:dyDescent="0.15"/>
    <row r="16719" hidden="1" x14ac:dyDescent="0.15"/>
    <row r="16720" hidden="1" x14ac:dyDescent="0.15"/>
    <row r="16721" hidden="1" x14ac:dyDescent="0.15"/>
    <row r="16722" hidden="1" x14ac:dyDescent="0.15"/>
    <row r="16723" hidden="1" x14ac:dyDescent="0.15"/>
    <row r="16724" hidden="1" x14ac:dyDescent="0.15"/>
    <row r="16725" hidden="1" x14ac:dyDescent="0.15"/>
    <row r="16726" hidden="1" x14ac:dyDescent="0.15"/>
    <row r="16727" hidden="1" x14ac:dyDescent="0.15"/>
    <row r="16728" hidden="1" x14ac:dyDescent="0.15"/>
    <row r="16729" hidden="1" x14ac:dyDescent="0.15"/>
    <row r="16730" hidden="1" x14ac:dyDescent="0.15"/>
    <row r="16731" hidden="1" x14ac:dyDescent="0.15"/>
    <row r="16732" hidden="1" x14ac:dyDescent="0.15"/>
    <row r="16733" hidden="1" x14ac:dyDescent="0.15"/>
    <row r="16734" hidden="1" x14ac:dyDescent="0.15"/>
    <row r="16735" hidden="1" x14ac:dyDescent="0.15"/>
    <row r="16736" hidden="1" x14ac:dyDescent="0.15"/>
    <row r="16737" hidden="1" x14ac:dyDescent="0.15"/>
    <row r="16738" hidden="1" x14ac:dyDescent="0.15"/>
    <row r="16739" hidden="1" x14ac:dyDescent="0.15"/>
    <row r="16740" hidden="1" x14ac:dyDescent="0.15"/>
    <row r="16741" hidden="1" x14ac:dyDescent="0.15"/>
    <row r="16742" hidden="1" x14ac:dyDescent="0.15"/>
    <row r="16743" hidden="1" x14ac:dyDescent="0.15"/>
    <row r="16744" hidden="1" x14ac:dyDescent="0.15"/>
    <row r="16745" hidden="1" x14ac:dyDescent="0.15"/>
    <row r="16746" hidden="1" x14ac:dyDescent="0.15"/>
    <row r="16747" hidden="1" x14ac:dyDescent="0.15"/>
    <row r="16748" hidden="1" x14ac:dyDescent="0.15"/>
    <row r="16749" hidden="1" x14ac:dyDescent="0.15"/>
    <row r="16750" hidden="1" x14ac:dyDescent="0.15"/>
    <row r="16751" hidden="1" x14ac:dyDescent="0.15"/>
    <row r="16752" hidden="1" x14ac:dyDescent="0.15"/>
    <row r="16753" hidden="1" x14ac:dyDescent="0.15"/>
    <row r="16754" hidden="1" x14ac:dyDescent="0.15"/>
    <row r="16755" hidden="1" x14ac:dyDescent="0.15"/>
    <row r="16756" hidden="1" x14ac:dyDescent="0.15"/>
    <row r="16757" hidden="1" x14ac:dyDescent="0.15"/>
    <row r="16758" hidden="1" x14ac:dyDescent="0.15"/>
    <row r="16759" hidden="1" x14ac:dyDescent="0.15"/>
    <row r="16760" hidden="1" x14ac:dyDescent="0.15"/>
    <row r="16761" hidden="1" x14ac:dyDescent="0.15"/>
    <row r="16762" hidden="1" x14ac:dyDescent="0.15"/>
    <row r="16763" hidden="1" x14ac:dyDescent="0.15"/>
    <row r="16764" hidden="1" x14ac:dyDescent="0.15"/>
    <row r="16765" hidden="1" x14ac:dyDescent="0.15"/>
    <row r="16766" hidden="1" x14ac:dyDescent="0.15"/>
    <row r="16767" hidden="1" x14ac:dyDescent="0.15"/>
    <row r="16768" hidden="1" x14ac:dyDescent="0.15"/>
    <row r="16769" hidden="1" x14ac:dyDescent="0.15"/>
    <row r="16770" hidden="1" x14ac:dyDescent="0.15"/>
    <row r="16771" hidden="1" x14ac:dyDescent="0.15"/>
    <row r="16772" hidden="1" x14ac:dyDescent="0.15"/>
    <row r="16773" hidden="1" x14ac:dyDescent="0.15"/>
    <row r="16774" hidden="1" x14ac:dyDescent="0.15"/>
    <row r="16775" hidden="1" x14ac:dyDescent="0.15"/>
    <row r="16776" hidden="1" x14ac:dyDescent="0.15"/>
    <row r="16777" hidden="1" x14ac:dyDescent="0.15"/>
    <row r="16778" hidden="1" x14ac:dyDescent="0.15"/>
    <row r="16779" hidden="1" x14ac:dyDescent="0.15"/>
    <row r="16780" hidden="1" x14ac:dyDescent="0.15"/>
    <row r="16781" hidden="1" x14ac:dyDescent="0.15"/>
    <row r="16782" hidden="1" x14ac:dyDescent="0.15"/>
    <row r="16783" hidden="1" x14ac:dyDescent="0.15"/>
    <row r="16784" hidden="1" x14ac:dyDescent="0.15"/>
    <row r="16785" hidden="1" x14ac:dyDescent="0.15"/>
    <row r="16786" hidden="1" x14ac:dyDescent="0.15"/>
    <row r="16787" hidden="1" x14ac:dyDescent="0.15"/>
    <row r="16788" hidden="1" x14ac:dyDescent="0.15"/>
    <row r="16789" hidden="1" x14ac:dyDescent="0.15"/>
    <row r="16790" hidden="1" x14ac:dyDescent="0.15"/>
    <row r="16791" hidden="1" x14ac:dyDescent="0.15"/>
    <row r="16792" hidden="1" x14ac:dyDescent="0.15"/>
    <row r="16793" hidden="1" x14ac:dyDescent="0.15"/>
    <row r="16794" hidden="1" x14ac:dyDescent="0.15"/>
    <row r="16795" hidden="1" x14ac:dyDescent="0.15"/>
    <row r="16796" hidden="1" x14ac:dyDescent="0.15"/>
    <row r="16797" hidden="1" x14ac:dyDescent="0.15"/>
    <row r="16798" hidden="1" x14ac:dyDescent="0.15"/>
    <row r="16799" hidden="1" x14ac:dyDescent="0.15"/>
    <row r="16800" hidden="1" x14ac:dyDescent="0.15"/>
    <row r="16801" hidden="1" x14ac:dyDescent="0.15"/>
    <row r="16802" hidden="1" x14ac:dyDescent="0.15"/>
    <row r="16803" hidden="1" x14ac:dyDescent="0.15"/>
    <row r="16804" hidden="1" x14ac:dyDescent="0.15"/>
    <row r="16805" hidden="1" x14ac:dyDescent="0.15"/>
    <row r="16806" hidden="1" x14ac:dyDescent="0.15"/>
    <row r="16807" hidden="1" x14ac:dyDescent="0.15"/>
    <row r="16808" hidden="1" x14ac:dyDescent="0.15"/>
    <row r="16809" hidden="1" x14ac:dyDescent="0.15"/>
    <row r="16810" hidden="1" x14ac:dyDescent="0.15"/>
    <row r="16811" hidden="1" x14ac:dyDescent="0.15"/>
    <row r="16812" hidden="1" x14ac:dyDescent="0.15"/>
    <row r="16813" hidden="1" x14ac:dyDescent="0.15"/>
    <row r="16814" hidden="1" x14ac:dyDescent="0.15"/>
    <row r="16815" hidden="1" x14ac:dyDescent="0.15"/>
    <row r="16816" hidden="1" x14ac:dyDescent="0.15"/>
    <row r="16817" hidden="1" x14ac:dyDescent="0.15"/>
    <row r="16818" hidden="1" x14ac:dyDescent="0.15"/>
    <row r="16819" hidden="1" x14ac:dyDescent="0.15"/>
    <row r="16820" hidden="1" x14ac:dyDescent="0.15"/>
    <row r="16821" hidden="1" x14ac:dyDescent="0.15"/>
    <row r="16822" hidden="1" x14ac:dyDescent="0.15"/>
    <row r="16823" hidden="1" x14ac:dyDescent="0.15"/>
    <row r="16824" hidden="1" x14ac:dyDescent="0.15"/>
    <row r="16825" hidden="1" x14ac:dyDescent="0.15"/>
    <row r="16826" hidden="1" x14ac:dyDescent="0.15"/>
    <row r="16827" hidden="1" x14ac:dyDescent="0.15"/>
    <row r="16828" hidden="1" x14ac:dyDescent="0.15"/>
    <row r="16829" hidden="1" x14ac:dyDescent="0.15"/>
    <row r="16830" hidden="1" x14ac:dyDescent="0.15"/>
    <row r="16831" hidden="1" x14ac:dyDescent="0.15"/>
    <row r="16832" hidden="1" x14ac:dyDescent="0.15"/>
    <row r="16833" hidden="1" x14ac:dyDescent="0.15"/>
    <row r="16834" hidden="1" x14ac:dyDescent="0.15"/>
    <row r="16835" hidden="1" x14ac:dyDescent="0.15"/>
    <row r="16836" hidden="1" x14ac:dyDescent="0.15"/>
    <row r="16837" hidden="1" x14ac:dyDescent="0.15"/>
    <row r="16838" hidden="1" x14ac:dyDescent="0.15"/>
    <row r="16839" hidden="1" x14ac:dyDescent="0.15"/>
    <row r="16840" hidden="1" x14ac:dyDescent="0.15"/>
    <row r="16841" hidden="1" x14ac:dyDescent="0.15"/>
    <row r="16842" hidden="1" x14ac:dyDescent="0.15"/>
    <row r="16843" hidden="1" x14ac:dyDescent="0.15"/>
    <row r="16844" hidden="1" x14ac:dyDescent="0.15"/>
    <row r="16845" hidden="1" x14ac:dyDescent="0.15"/>
    <row r="16846" hidden="1" x14ac:dyDescent="0.15"/>
    <row r="16847" hidden="1" x14ac:dyDescent="0.15"/>
    <row r="16848" hidden="1" x14ac:dyDescent="0.15"/>
    <row r="16849" hidden="1" x14ac:dyDescent="0.15"/>
    <row r="16850" hidden="1" x14ac:dyDescent="0.15"/>
    <row r="16851" hidden="1" x14ac:dyDescent="0.15"/>
    <row r="16852" hidden="1" x14ac:dyDescent="0.15"/>
    <row r="16853" hidden="1" x14ac:dyDescent="0.15"/>
    <row r="16854" hidden="1" x14ac:dyDescent="0.15"/>
    <row r="16855" hidden="1" x14ac:dyDescent="0.15"/>
    <row r="16856" hidden="1" x14ac:dyDescent="0.15"/>
    <row r="16857" hidden="1" x14ac:dyDescent="0.15"/>
    <row r="16858" hidden="1" x14ac:dyDescent="0.15"/>
    <row r="16859" hidden="1" x14ac:dyDescent="0.15"/>
    <row r="16860" hidden="1" x14ac:dyDescent="0.15"/>
    <row r="16861" hidden="1" x14ac:dyDescent="0.15"/>
    <row r="16862" hidden="1" x14ac:dyDescent="0.15"/>
    <row r="16863" hidden="1" x14ac:dyDescent="0.15"/>
    <row r="16864" hidden="1" x14ac:dyDescent="0.15"/>
    <row r="16865" hidden="1" x14ac:dyDescent="0.15"/>
    <row r="16866" hidden="1" x14ac:dyDescent="0.15"/>
    <row r="16867" hidden="1" x14ac:dyDescent="0.15"/>
    <row r="16868" hidden="1" x14ac:dyDescent="0.15"/>
    <row r="16869" hidden="1" x14ac:dyDescent="0.15"/>
    <row r="16870" hidden="1" x14ac:dyDescent="0.15"/>
    <row r="16871" hidden="1" x14ac:dyDescent="0.15"/>
    <row r="16872" hidden="1" x14ac:dyDescent="0.15"/>
    <row r="16873" hidden="1" x14ac:dyDescent="0.15"/>
    <row r="16874" hidden="1" x14ac:dyDescent="0.15"/>
    <row r="16875" hidden="1" x14ac:dyDescent="0.15"/>
    <row r="16876" hidden="1" x14ac:dyDescent="0.15"/>
    <row r="16877" hidden="1" x14ac:dyDescent="0.15"/>
    <row r="16878" hidden="1" x14ac:dyDescent="0.15"/>
    <row r="16879" hidden="1" x14ac:dyDescent="0.15"/>
    <row r="16880" hidden="1" x14ac:dyDescent="0.15"/>
    <row r="16881" hidden="1" x14ac:dyDescent="0.15"/>
    <row r="16882" hidden="1" x14ac:dyDescent="0.15"/>
    <row r="16883" hidden="1" x14ac:dyDescent="0.15"/>
    <row r="16884" hidden="1" x14ac:dyDescent="0.15"/>
    <row r="16885" hidden="1" x14ac:dyDescent="0.15"/>
    <row r="16886" hidden="1" x14ac:dyDescent="0.15"/>
    <row r="16887" hidden="1" x14ac:dyDescent="0.15"/>
    <row r="16888" hidden="1" x14ac:dyDescent="0.15"/>
    <row r="16889" hidden="1" x14ac:dyDescent="0.15"/>
    <row r="16890" hidden="1" x14ac:dyDescent="0.15"/>
    <row r="16891" hidden="1" x14ac:dyDescent="0.15"/>
    <row r="16892" hidden="1" x14ac:dyDescent="0.15"/>
    <row r="16893" hidden="1" x14ac:dyDescent="0.15"/>
    <row r="16894" hidden="1" x14ac:dyDescent="0.15"/>
    <row r="16895" hidden="1" x14ac:dyDescent="0.15"/>
    <row r="16896" hidden="1" x14ac:dyDescent="0.15"/>
    <row r="16897" hidden="1" x14ac:dyDescent="0.15"/>
    <row r="16898" hidden="1" x14ac:dyDescent="0.15"/>
    <row r="16899" hidden="1" x14ac:dyDescent="0.15"/>
    <row r="16900" hidden="1" x14ac:dyDescent="0.15"/>
    <row r="16901" hidden="1" x14ac:dyDescent="0.15"/>
    <row r="16902" hidden="1" x14ac:dyDescent="0.15"/>
    <row r="16903" hidden="1" x14ac:dyDescent="0.15"/>
    <row r="16904" hidden="1" x14ac:dyDescent="0.15"/>
    <row r="16905" hidden="1" x14ac:dyDescent="0.15"/>
    <row r="16906" hidden="1" x14ac:dyDescent="0.15"/>
    <row r="16907" hidden="1" x14ac:dyDescent="0.15"/>
    <row r="16908" hidden="1" x14ac:dyDescent="0.15"/>
    <row r="16909" hidden="1" x14ac:dyDescent="0.15"/>
    <row r="16910" hidden="1" x14ac:dyDescent="0.15"/>
    <row r="16911" hidden="1" x14ac:dyDescent="0.15"/>
    <row r="16912" hidden="1" x14ac:dyDescent="0.15"/>
    <row r="16913" hidden="1" x14ac:dyDescent="0.15"/>
    <row r="16914" hidden="1" x14ac:dyDescent="0.15"/>
    <row r="16915" hidden="1" x14ac:dyDescent="0.15"/>
    <row r="16916" hidden="1" x14ac:dyDescent="0.15"/>
    <row r="16917" hidden="1" x14ac:dyDescent="0.15"/>
    <row r="16918" hidden="1" x14ac:dyDescent="0.15"/>
    <row r="16919" hidden="1" x14ac:dyDescent="0.15"/>
    <row r="16920" hidden="1" x14ac:dyDescent="0.15"/>
    <row r="16921" hidden="1" x14ac:dyDescent="0.15"/>
    <row r="16922" hidden="1" x14ac:dyDescent="0.15"/>
    <row r="16923" hidden="1" x14ac:dyDescent="0.15"/>
    <row r="16924" hidden="1" x14ac:dyDescent="0.15"/>
    <row r="16925" hidden="1" x14ac:dyDescent="0.15"/>
    <row r="16926" hidden="1" x14ac:dyDescent="0.15"/>
    <row r="16927" hidden="1" x14ac:dyDescent="0.15"/>
    <row r="16928" hidden="1" x14ac:dyDescent="0.15"/>
    <row r="16929" hidden="1" x14ac:dyDescent="0.15"/>
    <row r="16930" hidden="1" x14ac:dyDescent="0.15"/>
    <row r="16931" hidden="1" x14ac:dyDescent="0.15"/>
    <row r="16932" hidden="1" x14ac:dyDescent="0.15"/>
    <row r="16933" hidden="1" x14ac:dyDescent="0.15"/>
    <row r="16934" hidden="1" x14ac:dyDescent="0.15"/>
    <row r="16935" hidden="1" x14ac:dyDescent="0.15"/>
    <row r="16936" hidden="1" x14ac:dyDescent="0.15"/>
    <row r="16937" hidden="1" x14ac:dyDescent="0.15"/>
    <row r="16938" hidden="1" x14ac:dyDescent="0.15"/>
    <row r="16939" hidden="1" x14ac:dyDescent="0.15"/>
    <row r="16940" hidden="1" x14ac:dyDescent="0.15"/>
    <row r="16941" hidden="1" x14ac:dyDescent="0.15"/>
    <row r="16942" hidden="1" x14ac:dyDescent="0.15"/>
    <row r="16943" hidden="1" x14ac:dyDescent="0.15"/>
    <row r="16944" hidden="1" x14ac:dyDescent="0.15"/>
    <row r="16945" hidden="1" x14ac:dyDescent="0.15"/>
    <row r="16946" hidden="1" x14ac:dyDescent="0.15"/>
    <row r="16947" hidden="1" x14ac:dyDescent="0.15"/>
    <row r="16948" hidden="1" x14ac:dyDescent="0.15"/>
    <row r="16949" hidden="1" x14ac:dyDescent="0.15"/>
    <row r="16950" hidden="1" x14ac:dyDescent="0.15"/>
    <row r="16951" hidden="1" x14ac:dyDescent="0.15"/>
    <row r="16952" hidden="1" x14ac:dyDescent="0.15"/>
    <row r="16953" hidden="1" x14ac:dyDescent="0.15"/>
    <row r="16954" hidden="1" x14ac:dyDescent="0.15"/>
    <row r="16955" hidden="1" x14ac:dyDescent="0.15"/>
    <row r="16956" hidden="1" x14ac:dyDescent="0.15"/>
    <row r="16957" hidden="1" x14ac:dyDescent="0.15"/>
    <row r="16958" hidden="1" x14ac:dyDescent="0.15"/>
    <row r="16959" hidden="1" x14ac:dyDescent="0.15"/>
    <row r="16960" hidden="1" x14ac:dyDescent="0.15"/>
    <row r="16961" hidden="1" x14ac:dyDescent="0.15"/>
    <row r="16962" hidden="1" x14ac:dyDescent="0.15"/>
    <row r="16963" hidden="1" x14ac:dyDescent="0.15"/>
    <row r="16964" hidden="1" x14ac:dyDescent="0.15"/>
    <row r="16965" hidden="1" x14ac:dyDescent="0.15"/>
    <row r="16966" hidden="1" x14ac:dyDescent="0.15"/>
    <row r="16967" hidden="1" x14ac:dyDescent="0.15"/>
    <row r="16968" hidden="1" x14ac:dyDescent="0.15"/>
    <row r="16969" hidden="1" x14ac:dyDescent="0.15"/>
    <row r="16970" hidden="1" x14ac:dyDescent="0.15"/>
    <row r="16971" hidden="1" x14ac:dyDescent="0.15"/>
    <row r="16972" hidden="1" x14ac:dyDescent="0.15"/>
    <row r="16973" hidden="1" x14ac:dyDescent="0.15"/>
    <row r="16974" hidden="1" x14ac:dyDescent="0.15"/>
    <row r="16975" hidden="1" x14ac:dyDescent="0.15"/>
    <row r="16976" hidden="1" x14ac:dyDescent="0.15"/>
    <row r="16977" hidden="1" x14ac:dyDescent="0.15"/>
    <row r="16978" hidden="1" x14ac:dyDescent="0.15"/>
    <row r="16979" hidden="1" x14ac:dyDescent="0.15"/>
    <row r="16980" hidden="1" x14ac:dyDescent="0.15"/>
    <row r="16981" hidden="1" x14ac:dyDescent="0.15"/>
    <row r="16982" hidden="1" x14ac:dyDescent="0.15"/>
    <row r="16983" hidden="1" x14ac:dyDescent="0.15"/>
    <row r="16984" hidden="1" x14ac:dyDescent="0.15"/>
    <row r="16985" hidden="1" x14ac:dyDescent="0.15"/>
    <row r="16986" hidden="1" x14ac:dyDescent="0.15"/>
    <row r="16987" hidden="1" x14ac:dyDescent="0.15"/>
    <row r="16988" hidden="1" x14ac:dyDescent="0.15"/>
    <row r="16989" hidden="1" x14ac:dyDescent="0.15"/>
    <row r="16990" hidden="1" x14ac:dyDescent="0.15"/>
    <row r="16991" hidden="1" x14ac:dyDescent="0.15"/>
    <row r="16992" hidden="1" x14ac:dyDescent="0.15"/>
    <row r="16993" hidden="1" x14ac:dyDescent="0.15"/>
    <row r="16994" hidden="1" x14ac:dyDescent="0.15"/>
    <row r="16995" hidden="1" x14ac:dyDescent="0.15"/>
    <row r="16996" hidden="1" x14ac:dyDescent="0.15"/>
    <row r="16997" hidden="1" x14ac:dyDescent="0.15"/>
    <row r="16998" hidden="1" x14ac:dyDescent="0.15"/>
    <row r="16999" hidden="1" x14ac:dyDescent="0.15"/>
    <row r="17000" hidden="1" x14ac:dyDescent="0.15"/>
    <row r="17001" hidden="1" x14ac:dyDescent="0.15"/>
    <row r="17002" hidden="1" x14ac:dyDescent="0.15"/>
    <row r="17003" hidden="1" x14ac:dyDescent="0.15"/>
    <row r="17004" hidden="1" x14ac:dyDescent="0.15"/>
    <row r="17005" hidden="1" x14ac:dyDescent="0.15"/>
    <row r="17006" hidden="1" x14ac:dyDescent="0.15"/>
    <row r="17007" hidden="1" x14ac:dyDescent="0.15"/>
    <row r="17008" hidden="1" x14ac:dyDescent="0.15"/>
    <row r="17009" hidden="1" x14ac:dyDescent="0.15"/>
    <row r="17010" hidden="1" x14ac:dyDescent="0.15"/>
    <row r="17011" hidden="1" x14ac:dyDescent="0.15"/>
    <row r="17012" hidden="1" x14ac:dyDescent="0.15"/>
    <row r="17013" hidden="1" x14ac:dyDescent="0.15"/>
    <row r="17014" hidden="1" x14ac:dyDescent="0.15"/>
    <row r="17015" hidden="1" x14ac:dyDescent="0.15"/>
    <row r="17016" hidden="1" x14ac:dyDescent="0.15"/>
    <row r="17017" hidden="1" x14ac:dyDescent="0.15"/>
    <row r="17018" hidden="1" x14ac:dyDescent="0.15"/>
    <row r="17019" hidden="1" x14ac:dyDescent="0.15"/>
    <row r="17020" hidden="1" x14ac:dyDescent="0.15"/>
    <row r="17021" hidden="1" x14ac:dyDescent="0.15"/>
    <row r="17022" hidden="1" x14ac:dyDescent="0.15"/>
    <row r="17023" hidden="1" x14ac:dyDescent="0.15"/>
    <row r="17024" hidden="1" x14ac:dyDescent="0.15"/>
    <row r="17025" hidden="1" x14ac:dyDescent="0.15"/>
    <row r="17026" hidden="1" x14ac:dyDescent="0.15"/>
    <row r="17027" hidden="1" x14ac:dyDescent="0.15"/>
    <row r="17028" hidden="1" x14ac:dyDescent="0.15"/>
    <row r="17029" hidden="1" x14ac:dyDescent="0.15"/>
    <row r="17030" hidden="1" x14ac:dyDescent="0.15"/>
    <row r="17031" hidden="1" x14ac:dyDescent="0.15"/>
    <row r="17032" hidden="1" x14ac:dyDescent="0.15"/>
    <row r="17033" hidden="1" x14ac:dyDescent="0.15"/>
    <row r="17034" hidden="1" x14ac:dyDescent="0.15"/>
    <row r="17035" hidden="1" x14ac:dyDescent="0.15"/>
    <row r="17036" hidden="1" x14ac:dyDescent="0.15"/>
    <row r="17037" hidden="1" x14ac:dyDescent="0.15"/>
    <row r="17038" hidden="1" x14ac:dyDescent="0.15"/>
    <row r="17039" hidden="1" x14ac:dyDescent="0.15"/>
    <row r="17040" hidden="1" x14ac:dyDescent="0.15"/>
    <row r="17041" hidden="1" x14ac:dyDescent="0.15"/>
    <row r="17042" hidden="1" x14ac:dyDescent="0.15"/>
    <row r="17043" hidden="1" x14ac:dyDescent="0.15"/>
    <row r="17044" hidden="1" x14ac:dyDescent="0.15"/>
    <row r="17045" hidden="1" x14ac:dyDescent="0.15"/>
    <row r="17046" hidden="1" x14ac:dyDescent="0.15"/>
    <row r="17047" hidden="1" x14ac:dyDescent="0.15"/>
    <row r="17048" hidden="1" x14ac:dyDescent="0.15"/>
    <row r="17049" hidden="1" x14ac:dyDescent="0.15"/>
    <row r="17050" hidden="1" x14ac:dyDescent="0.15"/>
    <row r="17051" hidden="1" x14ac:dyDescent="0.15"/>
    <row r="17052" hidden="1" x14ac:dyDescent="0.15"/>
    <row r="17053" hidden="1" x14ac:dyDescent="0.15"/>
    <row r="17054" hidden="1" x14ac:dyDescent="0.15"/>
    <row r="17055" hidden="1" x14ac:dyDescent="0.15"/>
    <row r="17056" hidden="1" x14ac:dyDescent="0.15"/>
    <row r="17057" hidden="1" x14ac:dyDescent="0.15"/>
    <row r="17058" hidden="1" x14ac:dyDescent="0.15"/>
    <row r="17059" hidden="1" x14ac:dyDescent="0.15"/>
    <row r="17060" hidden="1" x14ac:dyDescent="0.15"/>
    <row r="17061" hidden="1" x14ac:dyDescent="0.15"/>
    <row r="17062" hidden="1" x14ac:dyDescent="0.15"/>
    <row r="17063" hidden="1" x14ac:dyDescent="0.15"/>
    <row r="17064" hidden="1" x14ac:dyDescent="0.15"/>
    <row r="17065" hidden="1" x14ac:dyDescent="0.15"/>
    <row r="17066" hidden="1" x14ac:dyDescent="0.15"/>
    <row r="17067" hidden="1" x14ac:dyDescent="0.15"/>
    <row r="17068" hidden="1" x14ac:dyDescent="0.15"/>
    <row r="17069" hidden="1" x14ac:dyDescent="0.15"/>
    <row r="17070" hidden="1" x14ac:dyDescent="0.15"/>
    <row r="17071" hidden="1" x14ac:dyDescent="0.15"/>
    <row r="17072" hidden="1" x14ac:dyDescent="0.15"/>
    <row r="17073" hidden="1" x14ac:dyDescent="0.15"/>
    <row r="17074" hidden="1" x14ac:dyDescent="0.15"/>
    <row r="17075" hidden="1" x14ac:dyDescent="0.15"/>
    <row r="17076" hidden="1" x14ac:dyDescent="0.15"/>
    <row r="17077" hidden="1" x14ac:dyDescent="0.15"/>
    <row r="17078" hidden="1" x14ac:dyDescent="0.15"/>
    <row r="17079" hidden="1" x14ac:dyDescent="0.15"/>
    <row r="17080" hidden="1" x14ac:dyDescent="0.15"/>
    <row r="17081" hidden="1" x14ac:dyDescent="0.15"/>
    <row r="17082" hidden="1" x14ac:dyDescent="0.15"/>
    <row r="17083" hidden="1" x14ac:dyDescent="0.15"/>
    <row r="17084" hidden="1" x14ac:dyDescent="0.15"/>
    <row r="17085" hidden="1" x14ac:dyDescent="0.15"/>
    <row r="17086" hidden="1" x14ac:dyDescent="0.15"/>
    <row r="17087" hidden="1" x14ac:dyDescent="0.15"/>
    <row r="17088" hidden="1" x14ac:dyDescent="0.15"/>
    <row r="17089" hidden="1" x14ac:dyDescent="0.15"/>
    <row r="17090" hidden="1" x14ac:dyDescent="0.15"/>
    <row r="17091" hidden="1" x14ac:dyDescent="0.15"/>
    <row r="17092" hidden="1" x14ac:dyDescent="0.15"/>
    <row r="17093" hidden="1" x14ac:dyDescent="0.15"/>
    <row r="17094" hidden="1" x14ac:dyDescent="0.15"/>
    <row r="17095" hidden="1" x14ac:dyDescent="0.15"/>
    <row r="17096" hidden="1" x14ac:dyDescent="0.15"/>
    <row r="17097" hidden="1" x14ac:dyDescent="0.15"/>
    <row r="17098" hidden="1" x14ac:dyDescent="0.15"/>
    <row r="17099" hidden="1" x14ac:dyDescent="0.15"/>
    <row r="17100" hidden="1" x14ac:dyDescent="0.15"/>
    <row r="17101" hidden="1" x14ac:dyDescent="0.15"/>
    <row r="17102" hidden="1" x14ac:dyDescent="0.15"/>
    <row r="17103" hidden="1" x14ac:dyDescent="0.15"/>
    <row r="17104" hidden="1" x14ac:dyDescent="0.15"/>
    <row r="17105" hidden="1" x14ac:dyDescent="0.15"/>
    <row r="17106" hidden="1" x14ac:dyDescent="0.15"/>
    <row r="17107" hidden="1" x14ac:dyDescent="0.15"/>
    <row r="17108" hidden="1" x14ac:dyDescent="0.15"/>
    <row r="17109" hidden="1" x14ac:dyDescent="0.15"/>
    <row r="17110" hidden="1" x14ac:dyDescent="0.15"/>
    <row r="17111" hidden="1" x14ac:dyDescent="0.15"/>
    <row r="17112" hidden="1" x14ac:dyDescent="0.15"/>
    <row r="17113" hidden="1" x14ac:dyDescent="0.15"/>
    <row r="17114" hidden="1" x14ac:dyDescent="0.15"/>
    <row r="17115" hidden="1" x14ac:dyDescent="0.15"/>
    <row r="17116" hidden="1" x14ac:dyDescent="0.15"/>
    <row r="17117" hidden="1" x14ac:dyDescent="0.15"/>
    <row r="17118" hidden="1" x14ac:dyDescent="0.15"/>
    <row r="17119" hidden="1" x14ac:dyDescent="0.15"/>
    <row r="17120" hidden="1" x14ac:dyDescent="0.15"/>
    <row r="17121" hidden="1" x14ac:dyDescent="0.15"/>
    <row r="17122" hidden="1" x14ac:dyDescent="0.15"/>
    <row r="17123" hidden="1" x14ac:dyDescent="0.15"/>
    <row r="17124" hidden="1" x14ac:dyDescent="0.15"/>
    <row r="17125" hidden="1" x14ac:dyDescent="0.15"/>
    <row r="17126" hidden="1" x14ac:dyDescent="0.15"/>
    <row r="17127" hidden="1" x14ac:dyDescent="0.15"/>
    <row r="17128" hidden="1" x14ac:dyDescent="0.15"/>
    <row r="17129" hidden="1" x14ac:dyDescent="0.15"/>
    <row r="17130" hidden="1" x14ac:dyDescent="0.15"/>
    <row r="17131" hidden="1" x14ac:dyDescent="0.15"/>
    <row r="17132" hidden="1" x14ac:dyDescent="0.15"/>
    <row r="17133" hidden="1" x14ac:dyDescent="0.15"/>
    <row r="17134" hidden="1" x14ac:dyDescent="0.15"/>
    <row r="17135" hidden="1" x14ac:dyDescent="0.15"/>
    <row r="17136" hidden="1" x14ac:dyDescent="0.15"/>
    <row r="17137" hidden="1" x14ac:dyDescent="0.15"/>
    <row r="17138" hidden="1" x14ac:dyDescent="0.15"/>
    <row r="17139" hidden="1" x14ac:dyDescent="0.15"/>
    <row r="17140" hidden="1" x14ac:dyDescent="0.15"/>
    <row r="17141" hidden="1" x14ac:dyDescent="0.15"/>
    <row r="17142" hidden="1" x14ac:dyDescent="0.15"/>
    <row r="17143" hidden="1" x14ac:dyDescent="0.15"/>
    <row r="17144" hidden="1" x14ac:dyDescent="0.15"/>
    <row r="17145" hidden="1" x14ac:dyDescent="0.15"/>
    <row r="17146" hidden="1" x14ac:dyDescent="0.15"/>
    <row r="17147" hidden="1" x14ac:dyDescent="0.15"/>
    <row r="17148" hidden="1" x14ac:dyDescent="0.15"/>
    <row r="17149" hidden="1" x14ac:dyDescent="0.15"/>
    <row r="17150" hidden="1" x14ac:dyDescent="0.15"/>
    <row r="17151" hidden="1" x14ac:dyDescent="0.15"/>
    <row r="17152" hidden="1" x14ac:dyDescent="0.15"/>
    <row r="17153" hidden="1" x14ac:dyDescent="0.15"/>
    <row r="17154" hidden="1" x14ac:dyDescent="0.15"/>
    <row r="17155" hidden="1" x14ac:dyDescent="0.15"/>
    <row r="17156" hidden="1" x14ac:dyDescent="0.15"/>
    <row r="17157" hidden="1" x14ac:dyDescent="0.15"/>
    <row r="17158" hidden="1" x14ac:dyDescent="0.15"/>
    <row r="17159" hidden="1" x14ac:dyDescent="0.15"/>
    <row r="17160" hidden="1" x14ac:dyDescent="0.15"/>
    <row r="17161" hidden="1" x14ac:dyDescent="0.15"/>
    <row r="17162" hidden="1" x14ac:dyDescent="0.15"/>
    <row r="17163" hidden="1" x14ac:dyDescent="0.15"/>
    <row r="17164" hidden="1" x14ac:dyDescent="0.15"/>
    <row r="17165" hidden="1" x14ac:dyDescent="0.15"/>
    <row r="17166" hidden="1" x14ac:dyDescent="0.15"/>
    <row r="17167" hidden="1" x14ac:dyDescent="0.15"/>
    <row r="17168" hidden="1" x14ac:dyDescent="0.15"/>
    <row r="17169" hidden="1" x14ac:dyDescent="0.15"/>
    <row r="17170" hidden="1" x14ac:dyDescent="0.15"/>
    <row r="17171" hidden="1" x14ac:dyDescent="0.15"/>
    <row r="17172" hidden="1" x14ac:dyDescent="0.15"/>
    <row r="17173" hidden="1" x14ac:dyDescent="0.15"/>
    <row r="17174" hidden="1" x14ac:dyDescent="0.15"/>
    <row r="17175" hidden="1" x14ac:dyDescent="0.15"/>
    <row r="17176" hidden="1" x14ac:dyDescent="0.15"/>
    <row r="17177" hidden="1" x14ac:dyDescent="0.15"/>
    <row r="17178" hidden="1" x14ac:dyDescent="0.15"/>
    <row r="17179" hidden="1" x14ac:dyDescent="0.15"/>
    <row r="17180" hidden="1" x14ac:dyDescent="0.15"/>
    <row r="17181" hidden="1" x14ac:dyDescent="0.15"/>
    <row r="17182" hidden="1" x14ac:dyDescent="0.15"/>
    <row r="17183" hidden="1" x14ac:dyDescent="0.15"/>
    <row r="17184" hidden="1" x14ac:dyDescent="0.15"/>
    <row r="17185" hidden="1" x14ac:dyDescent="0.15"/>
    <row r="17186" hidden="1" x14ac:dyDescent="0.15"/>
    <row r="17187" hidden="1" x14ac:dyDescent="0.15"/>
    <row r="17188" hidden="1" x14ac:dyDescent="0.15"/>
    <row r="17189" hidden="1" x14ac:dyDescent="0.15"/>
    <row r="17190" hidden="1" x14ac:dyDescent="0.15"/>
    <row r="17191" hidden="1" x14ac:dyDescent="0.15"/>
    <row r="17192" hidden="1" x14ac:dyDescent="0.15"/>
    <row r="17193" hidden="1" x14ac:dyDescent="0.15"/>
    <row r="17194" hidden="1" x14ac:dyDescent="0.15"/>
    <row r="17195" hidden="1" x14ac:dyDescent="0.15"/>
    <row r="17196" hidden="1" x14ac:dyDescent="0.15"/>
    <row r="17197" hidden="1" x14ac:dyDescent="0.15"/>
    <row r="17198" hidden="1" x14ac:dyDescent="0.15"/>
    <row r="17199" hidden="1" x14ac:dyDescent="0.15"/>
    <row r="17200" hidden="1" x14ac:dyDescent="0.15"/>
    <row r="17201" hidden="1" x14ac:dyDescent="0.15"/>
    <row r="17202" hidden="1" x14ac:dyDescent="0.15"/>
    <row r="17203" hidden="1" x14ac:dyDescent="0.15"/>
    <row r="17204" hidden="1" x14ac:dyDescent="0.15"/>
    <row r="17205" hidden="1" x14ac:dyDescent="0.15"/>
    <row r="17206" hidden="1" x14ac:dyDescent="0.15"/>
    <row r="17207" hidden="1" x14ac:dyDescent="0.15"/>
    <row r="17208" hidden="1" x14ac:dyDescent="0.15"/>
    <row r="17209" hidden="1" x14ac:dyDescent="0.15"/>
    <row r="17210" hidden="1" x14ac:dyDescent="0.15"/>
    <row r="17211" hidden="1" x14ac:dyDescent="0.15"/>
    <row r="17212" hidden="1" x14ac:dyDescent="0.15"/>
    <row r="17213" hidden="1" x14ac:dyDescent="0.15"/>
    <row r="17214" hidden="1" x14ac:dyDescent="0.15"/>
    <row r="17215" hidden="1" x14ac:dyDescent="0.15"/>
    <row r="17216" hidden="1" x14ac:dyDescent="0.15"/>
    <row r="17217" hidden="1" x14ac:dyDescent="0.15"/>
    <row r="17218" hidden="1" x14ac:dyDescent="0.15"/>
    <row r="17219" hidden="1" x14ac:dyDescent="0.15"/>
    <row r="17220" hidden="1" x14ac:dyDescent="0.15"/>
    <row r="17221" hidden="1" x14ac:dyDescent="0.15"/>
    <row r="17222" hidden="1" x14ac:dyDescent="0.15"/>
    <row r="17223" hidden="1" x14ac:dyDescent="0.15"/>
    <row r="17224" hidden="1" x14ac:dyDescent="0.15"/>
    <row r="17225" hidden="1" x14ac:dyDescent="0.15"/>
    <row r="17226" hidden="1" x14ac:dyDescent="0.15"/>
    <row r="17227" hidden="1" x14ac:dyDescent="0.15"/>
    <row r="17228" hidden="1" x14ac:dyDescent="0.15"/>
    <row r="17229" hidden="1" x14ac:dyDescent="0.15"/>
    <row r="17230" hidden="1" x14ac:dyDescent="0.15"/>
    <row r="17231" hidden="1" x14ac:dyDescent="0.15"/>
    <row r="17232" hidden="1" x14ac:dyDescent="0.15"/>
    <row r="17233" hidden="1" x14ac:dyDescent="0.15"/>
    <row r="17234" hidden="1" x14ac:dyDescent="0.15"/>
    <row r="17235" hidden="1" x14ac:dyDescent="0.15"/>
    <row r="17236" hidden="1" x14ac:dyDescent="0.15"/>
    <row r="17237" hidden="1" x14ac:dyDescent="0.15"/>
    <row r="17238" hidden="1" x14ac:dyDescent="0.15"/>
    <row r="17239" hidden="1" x14ac:dyDescent="0.15"/>
    <row r="17240" hidden="1" x14ac:dyDescent="0.15"/>
    <row r="17241" hidden="1" x14ac:dyDescent="0.15"/>
    <row r="17242" hidden="1" x14ac:dyDescent="0.15"/>
    <row r="17243" hidden="1" x14ac:dyDescent="0.15"/>
    <row r="17244" hidden="1" x14ac:dyDescent="0.15"/>
    <row r="17245" hidden="1" x14ac:dyDescent="0.15"/>
    <row r="17246" hidden="1" x14ac:dyDescent="0.15"/>
    <row r="17247" hidden="1" x14ac:dyDescent="0.15"/>
    <row r="17248" hidden="1" x14ac:dyDescent="0.15"/>
    <row r="17249" hidden="1" x14ac:dyDescent="0.15"/>
    <row r="17250" hidden="1" x14ac:dyDescent="0.15"/>
    <row r="17251" hidden="1" x14ac:dyDescent="0.15"/>
    <row r="17252" hidden="1" x14ac:dyDescent="0.15"/>
    <row r="17253" hidden="1" x14ac:dyDescent="0.15"/>
    <row r="17254" hidden="1" x14ac:dyDescent="0.15"/>
    <row r="17255" hidden="1" x14ac:dyDescent="0.15"/>
    <row r="17256" hidden="1" x14ac:dyDescent="0.15"/>
    <row r="17257" hidden="1" x14ac:dyDescent="0.15"/>
    <row r="17258" hidden="1" x14ac:dyDescent="0.15"/>
    <row r="17259" hidden="1" x14ac:dyDescent="0.15"/>
    <row r="17260" hidden="1" x14ac:dyDescent="0.15"/>
    <row r="17261" hidden="1" x14ac:dyDescent="0.15"/>
    <row r="17262" hidden="1" x14ac:dyDescent="0.15"/>
    <row r="17263" hidden="1" x14ac:dyDescent="0.15"/>
    <row r="17264" hidden="1" x14ac:dyDescent="0.15"/>
    <row r="17265" hidden="1" x14ac:dyDescent="0.15"/>
    <row r="17266" hidden="1" x14ac:dyDescent="0.15"/>
    <row r="17267" hidden="1" x14ac:dyDescent="0.15"/>
    <row r="17268" hidden="1" x14ac:dyDescent="0.15"/>
    <row r="17269" hidden="1" x14ac:dyDescent="0.15"/>
    <row r="17270" hidden="1" x14ac:dyDescent="0.15"/>
    <row r="17271" hidden="1" x14ac:dyDescent="0.15"/>
    <row r="17272" hidden="1" x14ac:dyDescent="0.15"/>
    <row r="17273" hidden="1" x14ac:dyDescent="0.15"/>
    <row r="17274" hidden="1" x14ac:dyDescent="0.15"/>
    <row r="17275" hidden="1" x14ac:dyDescent="0.15"/>
    <row r="17276" hidden="1" x14ac:dyDescent="0.15"/>
    <row r="17277" hidden="1" x14ac:dyDescent="0.15"/>
    <row r="17278" hidden="1" x14ac:dyDescent="0.15"/>
    <row r="17279" hidden="1" x14ac:dyDescent="0.15"/>
    <row r="17280" hidden="1" x14ac:dyDescent="0.15"/>
    <row r="17281" hidden="1" x14ac:dyDescent="0.15"/>
    <row r="17282" hidden="1" x14ac:dyDescent="0.15"/>
    <row r="17283" hidden="1" x14ac:dyDescent="0.15"/>
    <row r="17284" hidden="1" x14ac:dyDescent="0.15"/>
    <row r="17285" hidden="1" x14ac:dyDescent="0.15"/>
    <row r="17286" hidden="1" x14ac:dyDescent="0.15"/>
    <row r="17287" hidden="1" x14ac:dyDescent="0.15"/>
    <row r="17288" hidden="1" x14ac:dyDescent="0.15"/>
    <row r="17289" hidden="1" x14ac:dyDescent="0.15"/>
    <row r="17290" hidden="1" x14ac:dyDescent="0.15"/>
    <row r="17291" hidden="1" x14ac:dyDescent="0.15"/>
    <row r="17292" hidden="1" x14ac:dyDescent="0.15"/>
    <row r="17293" hidden="1" x14ac:dyDescent="0.15"/>
    <row r="17294" hidden="1" x14ac:dyDescent="0.15"/>
    <row r="17295" hidden="1" x14ac:dyDescent="0.15"/>
    <row r="17296" hidden="1" x14ac:dyDescent="0.15"/>
    <row r="17297" hidden="1" x14ac:dyDescent="0.15"/>
    <row r="17298" hidden="1" x14ac:dyDescent="0.15"/>
    <row r="17299" hidden="1" x14ac:dyDescent="0.15"/>
    <row r="17300" hidden="1" x14ac:dyDescent="0.15"/>
    <row r="17301" hidden="1" x14ac:dyDescent="0.15"/>
    <row r="17302" hidden="1" x14ac:dyDescent="0.15"/>
    <row r="17303" hidden="1" x14ac:dyDescent="0.15"/>
    <row r="17304" hidden="1" x14ac:dyDescent="0.15"/>
    <row r="17305" hidden="1" x14ac:dyDescent="0.15"/>
    <row r="17306" hidden="1" x14ac:dyDescent="0.15"/>
    <row r="17307" hidden="1" x14ac:dyDescent="0.15"/>
    <row r="17308" hidden="1" x14ac:dyDescent="0.15"/>
    <row r="17309" hidden="1" x14ac:dyDescent="0.15"/>
    <row r="17310" hidden="1" x14ac:dyDescent="0.15"/>
    <row r="17311" hidden="1" x14ac:dyDescent="0.15"/>
    <row r="17312" hidden="1" x14ac:dyDescent="0.15"/>
    <row r="17313" hidden="1" x14ac:dyDescent="0.15"/>
    <row r="17314" hidden="1" x14ac:dyDescent="0.15"/>
    <row r="17315" hidden="1" x14ac:dyDescent="0.15"/>
    <row r="17316" hidden="1" x14ac:dyDescent="0.15"/>
    <row r="17317" hidden="1" x14ac:dyDescent="0.15"/>
    <row r="17318" hidden="1" x14ac:dyDescent="0.15"/>
    <row r="17319" hidden="1" x14ac:dyDescent="0.15"/>
    <row r="17320" hidden="1" x14ac:dyDescent="0.15"/>
    <row r="17321" hidden="1" x14ac:dyDescent="0.15"/>
    <row r="17322" hidden="1" x14ac:dyDescent="0.15"/>
    <row r="17323" hidden="1" x14ac:dyDescent="0.15"/>
    <row r="17324" hidden="1" x14ac:dyDescent="0.15"/>
    <row r="17325" hidden="1" x14ac:dyDescent="0.15"/>
    <row r="17326" hidden="1" x14ac:dyDescent="0.15"/>
    <row r="17327" hidden="1" x14ac:dyDescent="0.15"/>
    <row r="17328" hidden="1" x14ac:dyDescent="0.15"/>
    <row r="17329" hidden="1" x14ac:dyDescent="0.15"/>
    <row r="17330" hidden="1" x14ac:dyDescent="0.15"/>
    <row r="17331" hidden="1" x14ac:dyDescent="0.15"/>
    <row r="17332" hidden="1" x14ac:dyDescent="0.15"/>
    <row r="17333" hidden="1" x14ac:dyDescent="0.15"/>
    <row r="17334" hidden="1" x14ac:dyDescent="0.15"/>
    <row r="17335" hidden="1" x14ac:dyDescent="0.15"/>
    <row r="17336" hidden="1" x14ac:dyDescent="0.15"/>
    <row r="17337" hidden="1" x14ac:dyDescent="0.15"/>
    <row r="17338" hidden="1" x14ac:dyDescent="0.15"/>
    <row r="17339" hidden="1" x14ac:dyDescent="0.15"/>
    <row r="17340" hidden="1" x14ac:dyDescent="0.15"/>
    <row r="17341" hidden="1" x14ac:dyDescent="0.15"/>
    <row r="17342" hidden="1" x14ac:dyDescent="0.15"/>
    <row r="17343" hidden="1" x14ac:dyDescent="0.15"/>
    <row r="17344" hidden="1" x14ac:dyDescent="0.15"/>
    <row r="17345" hidden="1" x14ac:dyDescent="0.15"/>
    <row r="17346" hidden="1" x14ac:dyDescent="0.15"/>
    <row r="17347" hidden="1" x14ac:dyDescent="0.15"/>
    <row r="17348" hidden="1" x14ac:dyDescent="0.15"/>
    <row r="17349" hidden="1" x14ac:dyDescent="0.15"/>
    <row r="17350" hidden="1" x14ac:dyDescent="0.15"/>
    <row r="17351" hidden="1" x14ac:dyDescent="0.15"/>
    <row r="17352" hidden="1" x14ac:dyDescent="0.15"/>
    <row r="17353" hidden="1" x14ac:dyDescent="0.15"/>
    <row r="17354" hidden="1" x14ac:dyDescent="0.15"/>
    <row r="17355" hidden="1" x14ac:dyDescent="0.15"/>
    <row r="17356" hidden="1" x14ac:dyDescent="0.15"/>
    <row r="17357" hidden="1" x14ac:dyDescent="0.15"/>
    <row r="17358" hidden="1" x14ac:dyDescent="0.15"/>
    <row r="17359" hidden="1" x14ac:dyDescent="0.15"/>
    <row r="17360" hidden="1" x14ac:dyDescent="0.15"/>
    <row r="17361" hidden="1" x14ac:dyDescent="0.15"/>
    <row r="17362" hidden="1" x14ac:dyDescent="0.15"/>
    <row r="17363" hidden="1" x14ac:dyDescent="0.15"/>
    <row r="17364" hidden="1" x14ac:dyDescent="0.15"/>
    <row r="17365" hidden="1" x14ac:dyDescent="0.15"/>
    <row r="17366" hidden="1" x14ac:dyDescent="0.15"/>
    <row r="17367" hidden="1" x14ac:dyDescent="0.15"/>
    <row r="17368" hidden="1" x14ac:dyDescent="0.15"/>
    <row r="17369" hidden="1" x14ac:dyDescent="0.15"/>
    <row r="17370" hidden="1" x14ac:dyDescent="0.15"/>
    <row r="17371" hidden="1" x14ac:dyDescent="0.15"/>
    <row r="17372" hidden="1" x14ac:dyDescent="0.15"/>
    <row r="17373" hidden="1" x14ac:dyDescent="0.15"/>
    <row r="17374" hidden="1" x14ac:dyDescent="0.15"/>
    <row r="17375" hidden="1" x14ac:dyDescent="0.15"/>
    <row r="17376" hidden="1" x14ac:dyDescent="0.15"/>
    <row r="17377" hidden="1" x14ac:dyDescent="0.15"/>
    <row r="17378" hidden="1" x14ac:dyDescent="0.15"/>
    <row r="17379" hidden="1" x14ac:dyDescent="0.15"/>
    <row r="17380" hidden="1" x14ac:dyDescent="0.15"/>
    <row r="17381" hidden="1" x14ac:dyDescent="0.15"/>
    <row r="17382" hidden="1" x14ac:dyDescent="0.15"/>
    <row r="17383" hidden="1" x14ac:dyDescent="0.15"/>
    <row r="17384" hidden="1" x14ac:dyDescent="0.15"/>
    <row r="17385" hidden="1" x14ac:dyDescent="0.15"/>
    <row r="17386" hidden="1" x14ac:dyDescent="0.15"/>
    <row r="17387" hidden="1" x14ac:dyDescent="0.15"/>
    <row r="17388" hidden="1" x14ac:dyDescent="0.15"/>
    <row r="17389" hidden="1" x14ac:dyDescent="0.15"/>
    <row r="17390" hidden="1" x14ac:dyDescent="0.15"/>
    <row r="17391" hidden="1" x14ac:dyDescent="0.15"/>
    <row r="17392" hidden="1" x14ac:dyDescent="0.15"/>
    <row r="17393" hidden="1" x14ac:dyDescent="0.15"/>
    <row r="17394" hidden="1" x14ac:dyDescent="0.15"/>
    <row r="17395" hidden="1" x14ac:dyDescent="0.15"/>
    <row r="17396" hidden="1" x14ac:dyDescent="0.15"/>
    <row r="17397" hidden="1" x14ac:dyDescent="0.15"/>
    <row r="17398" hidden="1" x14ac:dyDescent="0.15"/>
    <row r="17399" hidden="1" x14ac:dyDescent="0.15"/>
    <row r="17400" hidden="1" x14ac:dyDescent="0.15"/>
    <row r="17401" hidden="1" x14ac:dyDescent="0.15"/>
    <row r="17402" hidden="1" x14ac:dyDescent="0.15"/>
    <row r="17403" hidden="1" x14ac:dyDescent="0.15"/>
    <row r="17404" hidden="1" x14ac:dyDescent="0.15"/>
    <row r="17405" hidden="1" x14ac:dyDescent="0.15"/>
    <row r="17406" hidden="1" x14ac:dyDescent="0.15"/>
    <row r="17407" hidden="1" x14ac:dyDescent="0.15"/>
    <row r="17408" hidden="1" x14ac:dyDescent="0.15"/>
    <row r="17409" hidden="1" x14ac:dyDescent="0.15"/>
    <row r="17410" hidden="1" x14ac:dyDescent="0.15"/>
    <row r="17411" hidden="1" x14ac:dyDescent="0.15"/>
    <row r="17412" hidden="1" x14ac:dyDescent="0.15"/>
    <row r="17413" hidden="1" x14ac:dyDescent="0.15"/>
    <row r="17414" hidden="1" x14ac:dyDescent="0.15"/>
    <row r="17415" hidden="1" x14ac:dyDescent="0.15"/>
    <row r="17416" hidden="1" x14ac:dyDescent="0.15"/>
    <row r="17417" hidden="1" x14ac:dyDescent="0.15"/>
    <row r="17418" hidden="1" x14ac:dyDescent="0.15"/>
    <row r="17419" hidden="1" x14ac:dyDescent="0.15"/>
    <row r="17420" hidden="1" x14ac:dyDescent="0.15"/>
    <row r="17421" hidden="1" x14ac:dyDescent="0.15"/>
    <row r="17422" hidden="1" x14ac:dyDescent="0.15"/>
    <row r="17423" hidden="1" x14ac:dyDescent="0.15"/>
    <row r="17424" hidden="1" x14ac:dyDescent="0.15"/>
    <row r="17425" hidden="1" x14ac:dyDescent="0.15"/>
    <row r="17426" hidden="1" x14ac:dyDescent="0.15"/>
    <row r="17427" hidden="1" x14ac:dyDescent="0.15"/>
    <row r="17428" hidden="1" x14ac:dyDescent="0.15"/>
    <row r="17429" hidden="1" x14ac:dyDescent="0.15"/>
    <row r="17430" hidden="1" x14ac:dyDescent="0.15"/>
    <row r="17431" hidden="1" x14ac:dyDescent="0.15"/>
    <row r="17432" hidden="1" x14ac:dyDescent="0.15"/>
    <row r="17433" hidden="1" x14ac:dyDescent="0.15"/>
    <row r="17434" hidden="1" x14ac:dyDescent="0.15"/>
    <row r="17435" hidden="1" x14ac:dyDescent="0.15"/>
    <row r="17436" hidden="1" x14ac:dyDescent="0.15"/>
    <row r="17437" hidden="1" x14ac:dyDescent="0.15"/>
    <row r="17438" hidden="1" x14ac:dyDescent="0.15"/>
    <row r="17439" hidden="1" x14ac:dyDescent="0.15"/>
    <row r="17440" hidden="1" x14ac:dyDescent="0.15"/>
    <row r="17441" hidden="1" x14ac:dyDescent="0.15"/>
    <row r="17442" hidden="1" x14ac:dyDescent="0.15"/>
    <row r="17443" hidden="1" x14ac:dyDescent="0.15"/>
    <row r="17444" hidden="1" x14ac:dyDescent="0.15"/>
    <row r="17445" hidden="1" x14ac:dyDescent="0.15"/>
    <row r="17446" hidden="1" x14ac:dyDescent="0.15"/>
    <row r="17447" hidden="1" x14ac:dyDescent="0.15"/>
    <row r="17448" hidden="1" x14ac:dyDescent="0.15"/>
    <row r="17449" hidden="1" x14ac:dyDescent="0.15"/>
    <row r="17450" hidden="1" x14ac:dyDescent="0.15"/>
    <row r="17451" hidden="1" x14ac:dyDescent="0.15"/>
    <row r="17452" hidden="1" x14ac:dyDescent="0.15"/>
    <row r="17453" hidden="1" x14ac:dyDescent="0.15"/>
    <row r="17454" hidden="1" x14ac:dyDescent="0.15"/>
    <row r="17455" hidden="1" x14ac:dyDescent="0.15"/>
    <row r="17456" hidden="1" x14ac:dyDescent="0.15"/>
    <row r="17457" hidden="1" x14ac:dyDescent="0.15"/>
    <row r="17458" hidden="1" x14ac:dyDescent="0.15"/>
    <row r="17459" hidden="1" x14ac:dyDescent="0.15"/>
    <row r="17460" hidden="1" x14ac:dyDescent="0.15"/>
    <row r="17461" hidden="1" x14ac:dyDescent="0.15"/>
    <row r="17462" hidden="1" x14ac:dyDescent="0.15"/>
    <row r="17463" hidden="1" x14ac:dyDescent="0.15"/>
    <row r="17464" hidden="1" x14ac:dyDescent="0.15"/>
    <row r="17465" hidden="1" x14ac:dyDescent="0.15"/>
    <row r="17466" hidden="1" x14ac:dyDescent="0.15"/>
    <row r="17467" hidden="1" x14ac:dyDescent="0.15"/>
    <row r="17468" hidden="1" x14ac:dyDescent="0.15"/>
    <row r="17469" hidden="1" x14ac:dyDescent="0.15"/>
    <row r="17470" hidden="1" x14ac:dyDescent="0.15"/>
    <row r="17471" hidden="1" x14ac:dyDescent="0.15"/>
    <row r="17472" hidden="1" x14ac:dyDescent="0.15"/>
    <row r="17473" hidden="1" x14ac:dyDescent="0.15"/>
    <row r="17474" hidden="1" x14ac:dyDescent="0.15"/>
    <row r="17475" hidden="1" x14ac:dyDescent="0.15"/>
    <row r="17476" hidden="1" x14ac:dyDescent="0.15"/>
    <row r="17477" hidden="1" x14ac:dyDescent="0.15"/>
    <row r="17478" hidden="1" x14ac:dyDescent="0.15"/>
    <row r="17479" hidden="1" x14ac:dyDescent="0.15"/>
    <row r="17480" hidden="1" x14ac:dyDescent="0.15"/>
    <row r="17481" hidden="1" x14ac:dyDescent="0.15"/>
    <row r="17482" hidden="1" x14ac:dyDescent="0.15"/>
    <row r="17483" hidden="1" x14ac:dyDescent="0.15"/>
    <row r="17484" hidden="1" x14ac:dyDescent="0.15"/>
    <row r="17485" hidden="1" x14ac:dyDescent="0.15"/>
    <row r="17486" hidden="1" x14ac:dyDescent="0.15"/>
    <row r="17487" hidden="1" x14ac:dyDescent="0.15"/>
    <row r="17488" hidden="1" x14ac:dyDescent="0.15"/>
    <row r="17489" hidden="1" x14ac:dyDescent="0.15"/>
    <row r="17490" hidden="1" x14ac:dyDescent="0.15"/>
    <row r="17491" hidden="1" x14ac:dyDescent="0.15"/>
    <row r="17492" hidden="1" x14ac:dyDescent="0.15"/>
    <row r="17493" hidden="1" x14ac:dyDescent="0.15"/>
    <row r="17494" hidden="1" x14ac:dyDescent="0.15"/>
    <row r="17495" hidden="1" x14ac:dyDescent="0.15"/>
    <row r="17496" hidden="1" x14ac:dyDescent="0.15"/>
    <row r="17497" hidden="1" x14ac:dyDescent="0.15"/>
    <row r="17498" hidden="1" x14ac:dyDescent="0.15"/>
    <row r="17499" hidden="1" x14ac:dyDescent="0.15"/>
    <row r="17500" hidden="1" x14ac:dyDescent="0.15"/>
    <row r="17501" hidden="1" x14ac:dyDescent="0.15"/>
    <row r="17502" hidden="1" x14ac:dyDescent="0.15"/>
    <row r="17503" hidden="1" x14ac:dyDescent="0.15"/>
    <row r="17504" hidden="1" x14ac:dyDescent="0.15"/>
    <row r="17505" hidden="1" x14ac:dyDescent="0.15"/>
    <row r="17506" hidden="1" x14ac:dyDescent="0.15"/>
    <row r="17507" hidden="1" x14ac:dyDescent="0.15"/>
    <row r="17508" hidden="1" x14ac:dyDescent="0.15"/>
    <row r="17509" hidden="1" x14ac:dyDescent="0.15"/>
    <row r="17510" hidden="1" x14ac:dyDescent="0.15"/>
    <row r="17511" hidden="1" x14ac:dyDescent="0.15"/>
    <row r="17512" hidden="1" x14ac:dyDescent="0.15"/>
    <row r="17513" hidden="1" x14ac:dyDescent="0.15"/>
    <row r="17514" hidden="1" x14ac:dyDescent="0.15"/>
    <row r="17515" hidden="1" x14ac:dyDescent="0.15"/>
    <row r="17516" hidden="1" x14ac:dyDescent="0.15"/>
    <row r="17517" hidden="1" x14ac:dyDescent="0.15"/>
    <row r="17518" hidden="1" x14ac:dyDescent="0.15"/>
    <row r="17519" hidden="1" x14ac:dyDescent="0.15"/>
    <row r="17520" hidden="1" x14ac:dyDescent="0.15"/>
    <row r="17521" hidden="1" x14ac:dyDescent="0.15"/>
    <row r="17522" hidden="1" x14ac:dyDescent="0.15"/>
    <row r="17523" hidden="1" x14ac:dyDescent="0.15"/>
    <row r="17524" hidden="1" x14ac:dyDescent="0.15"/>
    <row r="17525" hidden="1" x14ac:dyDescent="0.15"/>
    <row r="17526" hidden="1" x14ac:dyDescent="0.15"/>
    <row r="17527" hidden="1" x14ac:dyDescent="0.15"/>
    <row r="17528" hidden="1" x14ac:dyDescent="0.15"/>
    <row r="17529" hidden="1" x14ac:dyDescent="0.15"/>
    <row r="17530" hidden="1" x14ac:dyDescent="0.15"/>
    <row r="17531" hidden="1" x14ac:dyDescent="0.15"/>
    <row r="17532" hidden="1" x14ac:dyDescent="0.15"/>
    <row r="17533" hidden="1" x14ac:dyDescent="0.15"/>
    <row r="17534" hidden="1" x14ac:dyDescent="0.15"/>
    <row r="17535" hidden="1" x14ac:dyDescent="0.15"/>
    <row r="17536" hidden="1" x14ac:dyDescent="0.15"/>
    <row r="17537" hidden="1" x14ac:dyDescent="0.15"/>
    <row r="17538" hidden="1" x14ac:dyDescent="0.15"/>
    <row r="17539" hidden="1" x14ac:dyDescent="0.15"/>
    <row r="17540" hidden="1" x14ac:dyDescent="0.15"/>
    <row r="17541" hidden="1" x14ac:dyDescent="0.15"/>
    <row r="17542" hidden="1" x14ac:dyDescent="0.15"/>
    <row r="17543" hidden="1" x14ac:dyDescent="0.15"/>
    <row r="17544" hidden="1" x14ac:dyDescent="0.15"/>
    <row r="17545" hidden="1" x14ac:dyDescent="0.15"/>
    <row r="17546" hidden="1" x14ac:dyDescent="0.15"/>
    <row r="17547" hidden="1" x14ac:dyDescent="0.15"/>
    <row r="17548" hidden="1" x14ac:dyDescent="0.15"/>
    <row r="17549" hidden="1" x14ac:dyDescent="0.15"/>
    <row r="17550" hidden="1" x14ac:dyDescent="0.15"/>
    <row r="17551" hidden="1" x14ac:dyDescent="0.15"/>
    <row r="17552" hidden="1" x14ac:dyDescent="0.15"/>
    <row r="17553" hidden="1" x14ac:dyDescent="0.15"/>
    <row r="17554" hidden="1" x14ac:dyDescent="0.15"/>
    <row r="17555" hidden="1" x14ac:dyDescent="0.15"/>
    <row r="17556" hidden="1" x14ac:dyDescent="0.15"/>
    <row r="17557" hidden="1" x14ac:dyDescent="0.15"/>
    <row r="17558" hidden="1" x14ac:dyDescent="0.15"/>
    <row r="17559" hidden="1" x14ac:dyDescent="0.15"/>
    <row r="17560" hidden="1" x14ac:dyDescent="0.15"/>
    <row r="17561" hidden="1" x14ac:dyDescent="0.15"/>
    <row r="17562" hidden="1" x14ac:dyDescent="0.15"/>
    <row r="17563" hidden="1" x14ac:dyDescent="0.15"/>
    <row r="17564" hidden="1" x14ac:dyDescent="0.15"/>
    <row r="17565" hidden="1" x14ac:dyDescent="0.15"/>
    <row r="17566" hidden="1" x14ac:dyDescent="0.15"/>
    <row r="17567" hidden="1" x14ac:dyDescent="0.15"/>
    <row r="17568" hidden="1" x14ac:dyDescent="0.15"/>
    <row r="17569" hidden="1" x14ac:dyDescent="0.15"/>
    <row r="17570" hidden="1" x14ac:dyDescent="0.15"/>
    <row r="17571" hidden="1" x14ac:dyDescent="0.15"/>
    <row r="17572" hidden="1" x14ac:dyDescent="0.15"/>
    <row r="17573" hidden="1" x14ac:dyDescent="0.15"/>
    <row r="17574" hidden="1" x14ac:dyDescent="0.15"/>
    <row r="17575" hidden="1" x14ac:dyDescent="0.15"/>
    <row r="17576" hidden="1" x14ac:dyDescent="0.15"/>
    <row r="17577" hidden="1" x14ac:dyDescent="0.15"/>
    <row r="17578" hidden="1" x14ac:dyDescent="0.15"/>
    <row r="17579" hidden="1" x14ac:dyDescent="0.15"/>
    <row r="17580" hidden="1" x14ac:dyDescent="0.15"/>
    <row r="17581" hidden="1" x14ac:dyDescent="0.15"/>
    <row r="17582" hidden="1" x14ac:dyDescent="0.15"/>
    <row r="17583" hidden="1" x14ac:dyDescent="0.15"/>
    <row r="17584" hidden="1" x14ac:dyDescent="0.15"/>
    <row r="17585" hidden="1" x14ac:dyDescent="0.15"/>
    <row r="17586" hidden="1" x14ac:dyDescent="0.15"/>
    <row r="17587" hidden="1" x14ac:dyDescent="0.15"/>
    <row r="17588" hidden="1" x14ac:dyDescent="0.15"/>
    <row r="17589" hidden="1" x14ac:dyDescent="0.15"/>
    <row r="17590" hidden="1" x14ac:dyDescent="0.15"/>
    <row r="17591" hidden="1" x14ac:dyDescent="0.15"/>
    <row r="17592" hidden="1" x14ac:dyDescent="0.15"/>
    <row r="17593" hidden="1" x14ac:dyDescent="0.15"/>
    <row r="17594" hidden="1" x14ac:dyDescent="0.15"/>
    <row r="17595" hidden="1" x14ac:dyDescent="0.15"/>
    <row r="17596" hidden="1" x14ac:dyDescent="0.15"/>
    <row r="17597" hidden="1" x14ac:dyDescent="0.15"/>
    <row r="17598" hidden="1" x14ac:dyDescent="0.15"/>
    <row r="17599" hidden="1" x14ac:dyDescent="0.15"/>
    <row r="17600" hidden="1" x14ac:dyDescent="0.15"/>
    <row r="17601" hidden="1" x14ac:dyDescent="0.15"/>
    <row r="17602" hidden="1" x14ac:dyDescent="0.15"/>
    <row r="17603" hidden="1" x14ac:dyDescent="0.15"/>
    <row r="17604" hidden="1" x14ac:dyDescent="0.15"/>
    <row r="17605" hidden="1" x14ac:dyDescent="0.15"/>
    <row r="17606" hidden="1" x14ac:dyDescent="0.15"/>
    <row r="17607" hidden="1" x14ac:dyDescent="0.15"/>
    <row r="17608" hidden="1" x14ac:dyDescent="0.15"/>
    <row r="17609" hidden="1" x14ac:dyDescent="0.15"/>
    <row r="17610" hidden="1" x14ac:dyDescent="0.15"/>
    <row r="17611" hidden="1" x14ac:dyDescent="0.15"/>
    <row r="17612" hidden="1" x14ac:dyDescent="0.15"/>
    <row r="17613" hidden="1" x14ac:dyDescent="0.15"/>
    <row r="17614" hidden="1" x14ac:dyDescent="0.15"/>
    <row r="17615" hidden="1" x14ac:dyDescent="0.15"/>
    <row r="17616" hidden="1" x14ac:dyDescent="0.15"/>
    <row r="17617" hidden="1" x14ac:dyDescent="0.15"/>
    <row r="17618" hidden="1" x14ac:dyDescent="0.15"/>
    <row r="17619" hidden="1" x14ac:dyDescent="0.15"/>
    <row r="17620" hidden="1" x14ac:dyDescent="0.15"/>
    <row r="17621" hidden="1" x14ac:dyDescent="0.15"/>
    <row r="17622" hidden="1" x14ac:dyDescent="0.15"/>
    <row r="17623" hidden="1" x14ac:dyDescent="0.15"/>
    <row r="17624" hidden="1" x14ac:dyDescent="0.15"/>
    <row r="17625" hidden="1" x14ac:dyDescent="0.15"/>
    <row r="17626" hidden="1" x14ac:dyDescent="0.15"/>
    <row r="17627" hidden="1" x14ac:dyDescent="0.15"/>
    <row r="17628" hidden="1" x14ac:dyDescent="0.15"/>
    <row r="17629" hidden="1" x14ac:dyDescent="0.15"/>
    <row r="17630" hidden="1" x14ac:dyDescent="0.15"/>
    <row r="17631" hidden="1" x14ac:dyDescent="0.15"/>
    <row r="17632" hidden="1" x14ac:dyDescent="0.15"/>
    <row r="17633" hidden="1" x14ac:dyDescent="0.15"/>
    <row r="17634" hidden="1" x14ac:dyDescent="0.15"/>
    <row r="17635" hidden="1" x14ac:dyDescent="0.15"/>
    <row r="17636" hidden="1" x14ac:dyDescent="0.15"/>
    <row r="17637" hidden="1" x14ac:dyDescent="0.15"/>
    <row r="17638" hidden="1" x14ac:dyDescent="0.15"/>
    <row r="17639" hidden="1" x14ac:dyDescent="0.15"/>
    <row r="17640" hidden="1" x14ac:dyDescent="0.15"/>
    <row r="17641" hidden="1" x14ac:dyDescent="0.15"/>
    <row r="17642" hidden="1" x14ac:dyDescent="0.15"/>
    <row r="17643" hidden="1" x14ac:dyDescent="0.15"/>
    <row r="17644" hidden="1" x14ac:dyDescent="0.15"/>
    <row r="17645" hidden="1" x14ac:dyDescent="0.15"/>
    <row r="17646" hidden="1" x14ac:dyDescent="0.15"/>
    <row r="17647" hidden="1" x14ac:dyDescent="0.15"/>
    <row r="17648" hidden="1" x14ac:dyDescent="0.15"/>
    <row r="17649" hidden="1" x14ac:dyDescent="0.15"/>
    <row r="17650" hidden="1" x14ac:dyDescent="0.15"/>
    <row r="17651" hidden="1" x14ac:dyDescent="0.15"/>
    <row r="17652" hidden="1" x14ac:dyDescent="0.15"/>
    <row r="17653" hidden="1" x14ac:dyDescent="0.15"/>
    <row r="17654" hidden="1" x14ac:dyDescent="0.15"/>
    <row r="17655" hidden="1" x14ac:dyDescent="0.15"/>
    <row r="17656" hidden="1" x14ac:dyDescent="0.15"/>
    <row r="17657" hidden="1" x14ac:dyDescent="0.15"/>
    <row r="17658" hidden="1" x14ac:dyDescent="0.15"/>
    <row r="17659" hidden="1" x14ac:dyDescent="0.15"/>
    <row r="17660" hidden="1" x14ac:dyDescent="0.15"/>
    <row r="17661" hidden="1" x14ac:dyDescent="0.15"/>
    <row r="17662" hidden="1" x14ac:dyDescent="0.15"/>
    <row r="17663" hidden="1" x14ac:dyDescent="0.15"/>
    <row r="17664" hidden="1" x14ac:dyDescent="0.15"/>
    <row r="17665" hidden="1" x14ac:dyDescent="0.15"/>
    <row r="17666" hidden="1" x14ac:dyDescent="0.15"/>
    <row r="17667" hidden="1" x14ac:dyDescent="0.15"/>
    <row r="17668" hidden="1" x14ac:dyDescent="0.15"/>
    <row r="17669" hidden="1" x14ac:dyDescent="0.15"/>
    <row r="17670" hidden="1" x14ac:dyDescent="0.15"/>
    <row r="17671" hidden="1" x14ac:dyDescent="0.15"/>
    <row r="17672" hidden="1" x14ac:dyDescent="0.15"/>
    <row r="17673" hidden="1" x14ac:dyDescent="0.15"/>
    <row r="17674" hidden="1" x14ac:dyDescent="0.15"/>
    <row r="17675" hidden="1" x14ac:dyDescent="0.15"/>
    <row r="17676" hidden="1" x14ac:dyDescent="0.15"/>
    <row r="17677" hidden="1" x14ac:dyDescent="0.15"/>
    <row r="17678" hidden="1" x14ac:dyDescent="0.15"/>
    <row r="17679" hidden="1" x14ac:dyDescent="0.15"/>
    <row r="17680" hidden="1" x14ac:dyDescent="0.15"/>
    <row r="17681" hidden="1" x14ac:dyDescent="0.15"/>
    <row r="17682" hidden="1" x14ac:dyDescent="0.15"/>
    <row r="17683" hidden="1" x14ac:dyDescent="0.15"/>
    <row r="17684" hidden="1" x14ac:dyDescent="0.15"/>
    <row r="17685" hidden="1" x14ac:dyDescent="0.15"/>
    <row r="17686" hidden="1" x14ac:dyDescent="0.15"/>
    <row r="17687" hidden="1" x14ac:dyDescent="0.15"/>
    <row r="17688" hidden="1" x14ac:dyDescent="0.15"/>
    <row r="17689" hidden="1" x14ac:dyDescent="0.15"/>
    <row r="17690" hidden="1" x14ac:dyDescent="0.15"/>
    <row r="17691" hidden="1" x14ac:dyDescent="0.15"/>
    <row r="17692" hidden="1" x14ac:dyDescent="0.15"/>
    <row r="17693" hidden="1" x14ac:dyDescent="0.15"/>
    <row r="17694" hidden="1" x14ac:dyDescent="0.15"/>
    <row r="17695" hidden="1" x14ac:dyDescent="0.15"/>
    <row r="17696" hidden="1" x14ac:dyDescent="0.15"/>
    <row r="17697" hidden="1" x14ac:dyDescent="0.15"/>
    <row r="17698" hidden="1" x14ac:dyDescent="0.15"/>
    <row r="17699" hidden="1" x14ac:dyDescent="0.15"/>
    <row r="17700" hidden="1" x14ac:dyDescent="0.15"/>
    <row r="17701" hidden="1" x14ac:dyDescent="0.15"/>
    <row r="17702" hidden="1" x14ac:dyDescent="0.15"/>
    <row r="17703" hidden="1" x14ac:dyDescent="0.15"/>
    <row r="17704" hidden="1" x14ac:dyDescent="0.15"/>
    <row r="17705" hidden="1" x14ac:dyDescent="0.15"/>
    <row r="17706" hidden="1" x14ac:dyDescent="0.15"/>
    <row r="17707" hidden="1" x14ac:dyDescent="0.15"/>
    <row r="17708" hidden="1" x14ac:dyDescent="0.15"/>
    <row r="17709" hidden="1" x14ac:dyDescent="0.15"/>
    <row r="17710" hidden="1" x14ac:dyDescent="0.15"/>
    <row r="17711" hidden="1" x14ac:dyDescent="0.15"/>
    <row r="17712" hidden="1" x14ac:dyDescent="0.15"/>
    <row r="17713" hidden="1" x14ac:dyDescent="0.15"/>
    <row r="17714" hidden="1" x14ac:dyDescent="0.15"/>
    <row r="17715" hidden="1" x14ac:dyDescent="0.15"/>
    <row r="17716" hidden="1" x14ac:dyDescent="0.15"/>
    <row r="17717" hidden="1" x14ac:dyDescent="0.15"/>
    <row r="17718" hidden="1" x14ac:dyDescent="0.15"/>
    <row r="17719" hidden="1" x14ac:dyDescent="0.15"/>
    <row r="17720" hidden="1" x14ac:dyDescent="0.15"/>
    <row r="17721" hidden="1" x14ac:dyDescent="0.15"/>
    <row r="17722" hidden="1" x14ac:dyDescent="0.15"/>
    <row r="17723" hidden="1" x14ac:dyDescent="0.15"/>
    <row r="17724" hidden="1" x14ac:dyDescent="0.15"/>
    <row r="17725" hidden="1" x14ac:dyDescent="0.15"/>
    <row r="17726" hidden="1" x14ac:dyDescent="0.15"/>
    <row r="17727" hidden="1" x14ac:dyDescent="0.15"/>
    <row r="17728" hidden="1" x14ac:dyDescent="0.15"/>
    <row r="17729" hidden="1" x14ac:dyDescent="0.15"/>
    <row r="17730" hidden="1" x14ac:dyDescent="0.15"/>
    <row r="17731" hidden="1" x14ac:dyDescent="0.15"/>
    <row r="17732" hidden="1" x14ac:dyDescent="0.15"/>
    <row r="17733" hidden="1" x14ac:dyDescent="0.15"/>
    <row r="17734" hidden="1" x14ac:dyDescent="0.15"/>
    <row r="17735" hidden="1" x14ac:dyDescent="0.15"/>
    <row r="17736" hidden="1" x14ac:dyDescent="0.15"/>
    <row r="17737" hidden="1" x14ac:dyDescent="0.15"/>
    <row r="17738" hidden="1" x14ac:dyDescent="0.15"/>
    <row r="17739" hidden="1" x14ac:dyDescent="0.15"/>
    <row r="17740" hidden="1" x14ac:dyDescent="0.15"/>
    <row r="17741" hidden="1" x14ac:dyDescent="0.15"/>
    <row r="17742" hidden="1" x14ac:dyDescent="0.15"/>
    <row r="17743" hidden="1" x14ac:dyDescent="0.15"/>
    <row r="17744" hidden="1" x14ac:dyDescent="0.15"/>
    <row r="17745" hidden="1" x14ac:dyDescent="0.15"/>
    <row r="17746" hidden="1" x14ac:dyDescent="0.15"/>
    <row r="17747" hidden="1" x14ac:dyDescent="0.15"/>
    <row r="17748" hidden="1" x14ac:dyDescent="0.15"/>
    <row r="17749" hidden="1" x14ac:dyDescent="0.15"/>
    <row r="17750" hidden="1" x14ac:dyDescent="0.15"/>
    <row r="17751" hidden="1" x14ac:dyDescent="0.15"/>
    <row r="17752" hidden="1" x14ac:dyDescent="0.15"/>
    <row r="17753" hidden="1" x14ac:dyDescent="0.15"/>
    <row r="17754" hidden="1" x14ac:dyDescent="0.15"/>
    <row r="17755" hidden="1" x14ac:dyDescent="0.15"/>
    <row r="17756" hidden="1" x14ac:dyDescent="0.15"/>
    <row r="17757" hidden="1" x14ac:dyDescent="0.15"/>
    <row r="17758" hidden="1" x14ac:dyDescent="0.15"/>
    <row r="17759" hidden="1" x14ac:dyDescent="0.15"/>
    <row r="17760" hidden="1" x14ac:dyDescent="0.15"/>
    <row r="17761" hidden="1" x14ac:dyDescent="0.15"/>
    <row r="17762" hidden="1" x14ac:dyDescent="0.15"/>
    <row r="17763" hidden="1" x14ac:dyDescent="0.15"/>
    <row r="17764" hidden="1" x14ac:dyDescent="0.15"/>
    <row r="17765" hidden="1" x14ac:dyDescent="0.15"/>
    <row r="17766" hidden="1" x14ac:dyDescent="0.15"/>
    <row r="17767" hidden="1" x14ac:dyDescent="0.15"/>
    <row r="17768" hidden="1" x14ac:dyDescent="0.15"/>
    <row r="17769" hidden="1" x14ac:dyDescent="0.15"/>
    <row r="17770" hidden="1" x14ac:dyDescent="0.15"/>
    <row r="17771" hidden="1" x14ac:dyDescent="0.15"/>
    <row r="17772" hidden="1" x14ac:dyDescent="0.15"/>
    <row r="17773" hidden="1" x14ac:dyDescent="0.15"/>
    <row r="17774" hidden="1" x14ac:dyDescent="0.15"/>
    <row r="17775" hidden="1" x14ac:dyDescent="0.15"/>
    <row r="17776" hidden="1" x14ac:dyDescent="0.15"/>
    <row r="17777" hidden="1" x14ac:dyDescent="0.15"/>
    <row r="17778" hidden="1" x14ac:dyDescent="0.15"/>
    <row r="17779" hidden="1" x14ac:dyDescent="0.15"/>
    <row r="17780" hidden="1" x14ac:dyDescent="0.15"/>
    <row r="17781" hidden="1" x14ac:dyDescent="0.15"/>
    <row r="17782" hidden="1" x14ac:dyDescent="0.15"/>
    <row r="17783" hidden="1" x14ac:dyDescent="0.15"/>
    <row r="17784" hidden="1" x14ac:dyDescent="0.15"/>
    <row r="17785" hidden="1" x14ac:dyDescent="0.15"/>
    <row r="17786" hidden="1" x14ac:dyDescent="0.15"/>
    <row r="17787" hidden="1" x14ac:dyDescent="0.15"/>
    <row r="17788" hidden="1" x14ac:dyDescent="0.15"/>
    <row r="17789" hidden="1" x14ac:dyDescent="0.15"/>
    <row r="17790" hidden="1" x14ac:dyDescent="0.15"/>
    <row r="17791" hidden="1" x14ac:dyDescent="0.15"/>
    <row r="17792" hidden="1" x14ac:dyDescent="0.15"/>
    <row r="17793" hidden="1" x14ac:dyDescent="0.15"/>
    <row r="17794" hidden="1" x14ac:dyDescent="0.15"/>
    <row r="17795" hidden="1" x14ac:dyDescent="0.15"/>
    <row r="17796" hidden="1" x14ac:dyDescent="0.15"/>
    <row r="17797" hidden="1" x14ac:dyDescent="0.15"/>
    <row r="17798" hidden="1" x14ac:dyDescent="0.15"/>
    <row r="17799" hidden="1" x14ac:dyDescent="0.15"/>
    <row r="17800" hidden="1" x14ac:dyDescent="0.15"/>
    <row r="17801" hidden="1" x14ac:dyDescent="0.15"/>
    <row r="17802" hidden="1" x14ac:dyDescent="0.15"/>
    <row r="17803" hidden="1" x14ac:dyDescent="0.15"/>
    <row r="17804" hidden="1" x14ac:dyDescent="0.15"/>
    <row r="17805" hidden="1" x14ac:dyDescent="0.15"/>
    <row r="17806" hidden="1" x14ac:dyDescent="0.15"/>
    <row r="17807" hidden="1" x14ac:dyDescent="0.15"/>
    <row r="17808" hidden="1" x14ac:dyDescent="0.15"/>
    <row r="17809" hidden="1" x14ac:dyDescent="0.15"/>
    <row r="17810" hidden="1" x14ac:dyDescent="0.15"/>
    <row r="17811" hidden="1" x14ac:dyDescent="0.15"/>
    <row r="17812" hidden="1" x14ac:dyDescent="0.15"/>
    <row r="17813" hidden="1" x14ac:dyDescent="0.15"/>
    <row r="17814" hidden="1" x14ac:dyDescent="0.15"/>
    <row r="17815" hidden="1" x14ac:dyDescent="0.15"/>
    <row r="17816" hidden="1" x14ac:dyDescent="0.15"/>
    <row r="17817" hidden="1" x14ac:dyDescent="0.15"/>
    <row r="17818" hidden="1" x14ac:dyDescent="0.15"/>
    <row r="17819" hidden="1" x14ac:dyDescent="0.15"/>
    <row r="17820" hidden="1" x14ac:dyDescent="0.15"/>
    <row r="17821" hidden="1" x14ac:dyDescent="0.15"/>
    <row r="17822" hidden="1" x14ac:dyDescent="0.15"/>
    <row r="17823" hidden="1" x14ac:dyDescent="0.15"/>
    <row r="17824" hidden="1" x14ac:dyDescent="0.15"/>
    <row r="17825" hidden="1" x14ac:dyDescent="0.15"/>
    <row r="17826" hidden="1" x14ac:dyDescent="0.15"/>
    <row r="17827" hidden="1" x14ac:dyDescent="0.15"/>
    <row r="17828" hidden="1" x14ac:dyDescent="0.15"/>
    <row r="17829" hidden="1" x14ac:dyDescent="0.15"/>
    <row r="17830" hidden="1" x14ac:dyDescent="0.15"/>
    <row r="17831" hidden="1" x14ac:dyDescent="0.15"/>
    <row r="17832" hidden="1" x14ac:dyDescent="0.15"/>
    <row r="17833" hidden="1" x14ac:dyDescent="0.15"/>
    <row r="17834" hidden="1" x14ac:dyDescent="0.15"/>
    <row r="17835" hidden="1" x14ac:dyDescent="0.15"/>
    <row r="17836" hidden="1" x14ac:dyDescent="0.15"/>
    <row r="17837" hidden="1" x14ac:dyDescent="0.15"/>
    <row r="17838" hidden="1" x14ac:dyDescent="0.15"/>
    <row r="17839" hidden="1" x14ac:dyDescent="0.15"/>
    <row r="17840" hidden="1" x14ac:dyDescent="0.15"/>
    <row r="17841" hidden="1" x14ac:dyDescent="0.15"/>
    <row r="17842" hidden="1" x14ac:dyDescent="0.15"/>
    <row r="17843" hidden="1" x14ac:dyDescent="0.15"/>
    <row r="17844" hidden="1" x14ac:dyDescent="0.15"/>
    <row r="17845" hidden="1" x14ac:dyDescent="0.15"/>
    <row r="17846" hidden="1" x14ac:dyDescent="0.15"/>
    <row r="17847" hidden="1" x14ac:dyDescent="0.15"/>
    <row r="17848" hidden="1" x14ac:dyDescent="0.15"/>
    <row r="17849" hidden="1" x14ac:dyDescent="0.15"/>
    <row r="17850" hidden="1" x14ac:dyDescent="0.15"/>
    <row r="17851" hidden="1" x14ac:dyDescent="0.15"/>
    <row r="17852" hidden="1" x14ac:dyDescent="0.15"/>
    <row r="17853" hidden="1" x14ac:dyDescent="0.15"/>
    <row r="17854" hidden="1" x14ac:dyDescent="0.15"/>
    <row r="17855" hidden="1" x14ac:dyDescent="0.15"/>
    <row r="17856" hidden="1" x14ac:dyDescent="0.15"/>
    <row r="17857" hidden="1" x14ac:dyDescent="0.15"/>
    <row r="17858" hidden="1" x14ac:dyDescent="0.15"/>
    <row r="17859" hidden="1" x14ac:dyDescent="0.15"/>
    <row r="17860" hidden="1" x14ac:dyDescent="0.15"/>
    <row r="17861" hidden="1" x14ac:dyDescent="0.15"/>
    <row r="17862" hidden="1" x14ac:dyDescent="0.15"/>
    <row r="17863" hidden="1" x14ac:dyDescent="0.15"/>
    <row r="17864" hidden="1" x14ac:dyDescent="0.15"/>
    <row r="17865" hidden="1" x14ac:dyDescent="0.15"/>
    <row r="17866" hidden="1" x14ac:dyDescent="0.15"/>
    <row r="17867" hidden="1" x14ac:dyDescent="0.15"/>
    <row r="17868" hidden="1" x14ac:dyDescent="0.15"/>
    <row r="17869" hidden="1" x14ac:dyDescent="0.15"/>
    <row r="17870" hidden="1" x14ac:dyDescent="0.15"/>
    <row r="17871" hidden="1" x14ac:dyDescent="0.15"/>
    <row r="17872" hidden="1" x14ac:dyDescent="0.15"/>
    <row r="17873" hidden="1" x14ac:dyDescent="0.15"/>
    <row r="17874" hidden="1" x14ac:dyDescent="0.15"/>
    <row r="17875" hidden="1" x14ac:dyDescent="0.15"/>
    <row r="17876" hidden="1" x14ac:dyDescent="0.15"/>
    <row r="17877" hidden="1" x14ac:dyDescent="0.15"/>
    <row r="17878" hidden="1" x14ac:dyDescent="0.15"/>
    <row r="17879" hidden="1" x14ac:dyDescent="0.15"/>
    <row r="17880" hidden="1" x14ac:dyDescent="0.15"/>
    <row r="17881" hidden="1" x14ac:dyDescent="0.15"/>
    <row r="17882" hidden="1" x14ac:dyDescent="0.15"/>
    <row r="17883" hidden="1" x14ac:dyDescent="0.15"/>
    <row r="17884" hidden="1" x14ac:dyDescent="0.15"/>
    <row r="17885" hidden="1" x14ac:dyDescent="0.15"/>
    <row r="17886" hidden="1" x14ac:dyDescent="0.15"/>
    <row r="17887" hidden="1" x14ac:dyDescent="0.15"/>
    <row r="17888" hidden="1" x14ac:dyDescent="0.15"/>
    <row r="17889" hidden="1" x14ac:dyDescent="0.15"/>
    <row r="17890" hidden="1" x14ac:dyDescent="0.15"/>
    <row r="17891" hidden="1" x14ac:dyDescent="0.15"/>
    <row r="17892" hidden="1" x14ac:dyDescent="0.15"/>
    <row r="17893" hidden="1" x14ac:dyDescent="0.15"/>
    <row r="17894" hidden="1" x14ac:dyDescent="0.15"/>
    <row r="17895" hidden="1" x14ac:dyDescent="0.15"/>
    <row r="17896" hidden="1" x14ac:dyDescent="0.15"/>
    <row r="17897" hidden="1" x14ac:dyDescent="0.15"/>
    <row r="17898" hidden="1" x14ac:dyDescent="0.15"/>
    <row r="17899" hidden="1" x14ac:dyDescent="0.15"/>
    <row r="17900" hidden="1" x14ac:dyDescent="0.15"/>
    <row r="17901" hidden="1" x14ac:dyDescent="0.15"/>
    <row r="17902" hidden="1" x14ac:dyDescent="0.15"/>
    <row r="17903" hidden="1" x14ac:dyDescent="0.15"/>
    <row r="17904" hidden="1" x14ac:dyDescent="0.15"/>
    <row r="17905" hidden="1" x14ac:dyDescent="0.15"/>
    <row r="17906" hidden="1" x14ac:dyDescent="0.15"/>
    <row r="17907" hidden="1" x14ac:dyDescent="0.15"/>
    <row r="17908" hidden="1" x14ac:dyDescent="0.15"/>
    <row r="17909" hidden="1" x14ac:dyDescent="0.15"/>
    <row r="17910" hidden="1" x14ac:dyDescent="0.15"/>
    <row r="17911" hidden="1" x14ac:dyDescent="0.15"/>
    <row r="17912" hidden="1" x14ac:dyDescent="0.15"/>
    <row r="17913" hidden="1" x14ac:dyDescent="0.15"/>
    <row r="17914" hidden="1" x14ac:dyDescent="0.15"/>
    <row r="17915" hidden="1" x14ac:dyDescent="0.15"/>
    <row r="17916" hidden="1" x14ac:dyDescent="0.15"/>
    <row r="17917" hidden="1" x14ac:dyDescent="0.15"/>
    <row r="17918" hidden="1" x14ac:dyDescent="0.15"/>
    <row r="17919" hidden="1" x14ac:dyDescent="0.15"/>
    <row r="17920" hidden="1" x14ac:dyDescent="0.15"/>
    <row r="17921" hidden="1" x14ac:dyDescent="0.15"/>
    <row r="17922" hidden="1" x14ac:dyDescent="0.15"/>
    <row r="17923" hidden="1" x14ac:dyDescent="0.15"/>
    <row r="17924" hidden="1" x14ac:dyDescent="0.15"/>
    <row r="17925" hidden="1" x14ac:dyDescent="0.15"/>
    <row r="17926" hidden="1" x14ac:dyDescent="0.15"/>
    <row r="17927" hidden="1" x14ac:dyDescent="0.15"/>
    <row r="17928" hidden="1" x14ac:dyDescent="0.15"/>
    <row r="17929" hidden="1" x14ac:dyDescent="0.15"/>
    <row r="17930" hidden="1" x14ac:dyDescent="0.15"/>
    <row r="17931" hidden="1" x14ac:dyDescent="0.15"/>
    <row r="17932" hidden="1" x14ac:dyDescent="0.15"/>
    <row r="17933" hidden="1" x14ac:dyDescent="0.15"/>
    <row r="17934" hidden="1" x14ac:dyDescent="0.15"/>
    <row r="17935" hidden="1" x14ac:dyDescent="0.15"/>
    <row r="17936" hidden="1" x14ac:dyDescent="0.15"/>
    <row r="17937" hidden="1" x14ac:dyDescent="0.15"/>
    <row r="17938" hidden="1" x14ac:dyDescent="0.15"/>
    <row r="17939" hidden="1" x14ac:dyDescent="0.15"/>
    <row r="17940" hidden="1" x14ac:dyDescent="0.15"/>
    <row r="17941" hidden="1" x14ac:dyDescent="0.15"/>
    <row r="17942" hidden="1" x14ac:dyDescent="0.15"/>
    <row r="17943" hidden="1" x14ac:dyDescent="0.15"/>
    <row r="17944" hidden="1" x14ac:dyDescent="0.15"/>
    <row r="17945" hidden="1" x14ac:dyDescent="0.15"/>
    <row r="17946" hidden="1" x14ac:dyDescent="0.15"/>
    <row r="17947" hidden="1" x14ac:dyDescent="0.15"/>
    <row r="17948" hidden="1" x14ac:dyDescent="0.15"/>
    <row r="17949" hidden="1" x14ac:dyDescent="0.15"/>
    <row r="17950" hidden="1" x14ac:dyDescent="0.15"/>
    <row r="17951" hidden="1" x14ac:dyDescent="0.15"/>
    <row r="17952" hidden="1" x14ac:dyDescent="0.15"/>
    <row r="17953" hidden="1" x14ac:dyDescent="0.15"/>
    <row r="17954" hidden="1" x14ac:dyDescent="0.15"/>
    <row r="17955" hidden="1" x14ac:dyDescent="0.15"/>
    <row r="17956" hidden="1" x14ac:dyDescent="0.15"/>
    <row r="17957" hidden="1" x14ac:dyDescent="0.15"/>
    <row r="17958" hidden="1" x14ac:dyDescent="0.15"/>
    <row r="17959" hidden="1" x14ac:dyDescent="0.15"/>
    <row r="17960" hidden="1" x14ac:dyDescent="0.15"/>
    <row r="17961" hidden="1" x14ac:dyDescent="0.15"/>
    <row r="17962" hidden="1" x14ac:dyDescent="0.15"/>
    <row r="17963" hidden="1" x14ac:dyDescent="0.15"/>
    <row r="17964" hidden="1" x14ac:dyDescent="0.15"/>
    <row r="17965" hidden="1" x14ac:dyDescent="0.15"/>
    <row r="17966" hidden="1" x14ac:dyDescent="0.15"/>
    <row r="17967" hidden="1" x14ac:dyDescent="0.15"/>
    <row r="17968" hidden="1" x14ac:dyDescent="0.15"/>
    <row r="17969" hidden="1" x14ac:dyDescent="0.15"/>
    <row r="17970" hidden="1" x14ac:dyDescent="0.15"/>
    <row r="17971" hidden="1" x14ac:dyDescent="0.15"/>
    <row r="17972" hidden="1" x14ac:dyDescent="0.15"/>
    <row r="17973" hidden="1" x14ac:dyDescent="0.15"/>
    <row r="17974" hidden="1" x14ac:dyDescent="0.15"/>
    <row r="17975" hidden="1" x14ac:dyDescent="0.15"/>
    <row r="17976" hidden="1" x14ac:dyDescent="0.15"/>
    <row r="17977" hidden="1" x14ac:dyDescent="0.15"/>
    <row r="17978" hidden="1" x14ac:dyDescent="0.15"/>
    <row r="17979" hidden="1" x14ac:dyDescent="0.15"/>
    <row r="17980" hidden="1" x14ac:dyDescent="0.15"/>
    <row r="17981" hidden="1" x14ac:dyDescent="0.15"/>
    <row r="17982" hidden="1" x14ac:dyDescent="0.15"/>
    <row r="17983" hidden="1" x14ac:dyDescent="0.15"/>
    <row r="17984" hidden="1" x14ac:dyDescent="0.15"/>
    <row r="17985" hidden="1" x14ac:dyDescent="0.15"/>
    <row r="17986" hidden="1" x14ac:dyDescent="0.15"/>
    <row r="17987" hidden="1" x14ac:dyDescent="0.15"/>
    <row r="17988" hidden="1" x14ac:dyDescent="0.15"/>
    <row r="17989" hidden="1" x14ac:dyDescent="0.15"/>
    <row r="17990" hidden="1" x14ac:dyDescent="0.15"/>
    <row r="17991" hidden="1" x14ac:dyDescent="0.15"/>
    <row r="17992" hidden="1" x14ac:dyDescent="0.15"/>
    <row r="17993" hidden="1" x14ac:dyDescent="0.15"/>
    <row r="17994" hidden="1" x14ac:dyDescent="0.15"/>
    <row r="17995" hidden="1" x14ac:dyDescent="0.15"/>
    <row r="17996" hidden="1" x14ac:dyDescent="0.15"/>
    <row r="17997" hidden="1" x14ac:dyDescent="0.15"/>
    <row r="17998" hidden="1" x14ac:dyDescent="0.15"/>
    <row r="17999" hidden="1" x14ac:dyDescent="0.15"/>
    <row r="18000" hidden="1" x14ac:dyDescent="0.15"/>
    <row r="18001" hidden="1" x14ac:dyDescent="0.15"/>
    <row r="18002" hidden="1" x14ac:dyDescent="0.15"/>
    <row r="18003" hidden="1" x14ac:dyDescent="0.15"/>
    <row r="18004" hidden="1" x14ac:dyDescent="0.15"/>
    <row r="18005" hidden="1" x14ac:dyDescent="0.15"/>
    <row r="18006" hidden="1" x14ac:dyDescent="0.15"/>
    <row r="18007" hidden="1" x14ac:dyDescent="0.15"/>
    <row r="18008" hidden="1" x14ac:dyDescent="0.15"/>
    <row r="18009" hidden="1" x14ac:dyDescent="0.15"/>
    <row r="18010" hidden="1" x14ac:dyDescent="0.15"/>
    <row r="18011" hidden="1" x14ac:dyDescent="0.15"/>
    <row r="18012" hidden="1" x14ac:dyDescent="0.15"/>
    <row r="18013" hidden="1" x14ac:dyDescent="0.15"/>
    <row r="18014" hidden="1" x14ac:dyDescent="0.15"/>
    <row r="18015" hidden="1" x14ac:dyDescent="0.15"/>
    <row r="18016" hidden="1" x14ac:dyDescent="0.15"/>
    <row r="18017" hidden="1" x14ac:dyDescent="0.15"/>
    <row r="18018" hidden="1" x14ac:dyDescent="0.15"/>
    <row r="18019" hidden="1" x14ac:dyDescent="0.15"/>
    <row r="18020" hidden="1" x14ac:dyDescent="0.15"/>
    <row r="18021" hidden="1" x14ac:dyDescent="0.15"/>
    <row r="18022" hidden="1" x14ac:dyDescent="0.15"/>
    <row r="18023" hidden="1" x14ac:dyDescent="0.15"/>
    <row r="18024" hidden="1" x14ac:dyDescent="0.15"/>
    <row r="18025" hidden="1" x14ac:dyDescent="0.15"/>
    <row r="18026" hidden="1" x14ac:dyDescent="0.15"/>
    <row r="18027" hidden="1" x14ac:dyDescent="0.15"/>
    <row r="18028" hidden="1" x14ac:dyDescent="0.15"/>
    <row r="18029" hidden="1" x14ac:dyDescent="0.15"/>
    <row r="18030" hidden="1" x14ac:dyDescent="0.15"/>
    <row r="18031" hidden="1" x14ac:dyDescent="0.15"/>
    <row r="18032" hidden="1" x14ac:dyDescent="0.15"/>
    <row r="18033" hidden="1" x14ac:dyDescent="0.15"/>
    <row r="18034" hidden="1" x14ac:dyDescent="0.15"/>
    <row r="18035" hidden="1" x14ac:dyDescent="0.15"/>
    <row r="18036" hidden="1" x14ac:dyDescent="0.15"/>
    <row r="18037" hidden="1" x14ac:dyDescent="0.15"/>
    <row r="18038" hidden="1" x14ac:dyDescent="0.15"/>
    <row r="18039" hidden="1" x14ac:dyDescent="0.15"/>
    <row r="18040" hidden="1" x14ac:dyDescent="0.15"/>
    <row r="18041" hidden="1" x14ac:dyDescent="0.15"/>
    <row r="18042" hidden="1" x14ac:dyDescent="0.15"/>
    <row r="18043" hidden="1" x14ac:dyDescent="0.15"/>
    <row r="18044" hidden="1" x14ac:dyDescent="0.15"/>
    <row r="18045" hidden="1" x14ac:dyDescent="0.15"/>
    <row r="18046" hidden="1" x14ac:dyDescent="0.15"/>
    <row r="18047" hidden="1" x14ac:dyDescent="0.15"/>
    <row r="18048" hidden="1" x14ac:dyDescent="0.15"/>
    <row r="18049" hidden="1" x14ac:dyDescent="0.15"/>
    <row r="18050" hidden="1" x14ac:dyDescent="0.15"/>
    <row r="18051" hidden="1" x14ac:dyDescent="0.15"/>
    <row r="18052" hidden="1" x14ac:dyDescent="0.15"/>
    <row r="18053" hidden="1" x14ac:dyDescent="0.15"/>
    <row r="18054" hidden="1" x14ac:dyDescent="0.15"/>
    <row r="18055" hidden="1" x14ac:dyDescent="0.15"/>
    <row r="18056" hidden="1" x14ac:dyDescent="0.15"/>
    <row r="18057" hidden="1" x14ac:dyDescent="0.15"/>
    <row r="18058" hidden="1" x14ac:dyDescent="0.15"/>
    <row r="18059" hidden="1" x14ac:dyDescent="0.15"/>
    <row r="18060" hidden="1" x14ac:dyDescent="0.15"/>
    <row r="18061" hidden="1" x14ac:dyDescent="0.15"/>
    <row r="18062" hidden="1" x14ac:dyDescent="0.15"/>
    <row r="18063" hidden="1" x14ac:dyDescent="0.15"/>
    <row r="18064" hidden="1" x14ac:dyDescent="0.15"/>
    <row r="18065" hidden="1" x14ac:dyDescent="0.15"/>
    <row r="18066" hidden="1" x14ac:dyDescent="0.15"/>
    <row r="18067" hidden="1" x14ac:dyDescent="0.15"/>
    <row r="18068" hidden="1" x14ac:dyDescent="0.15"/>
    <row r="18069" hidden="1" x14ac:dyDescent="0.15"/>
    <row r="18070" hidden="1" x14ac:dyDescent="0.15"/>
    <row r="18071" hidden="1" x14ac:dyDescent="0.15"/>
    <row r="18072" hidden="1" x14ac:dyDescent="0.15"/>
    <row r="18073" hidden="1" x14ac:dyDescent="0.15"/>
    <row r="18074" hidden="1" x14ac:dyDescent="0.15"/>
    <row r="18075" hidden="1" x14ac:dyDescent="0.15"/>
    <row r="18076" hidden="1" x14ac:dyDescent="0.15"/>
    <row r="18077" hidden="1" x14ac:dyDescent="0.15"/>
    <row r="18078" hidden="1" x14ac:dyDescent="0.15"/>
    <row r="18079" hidden="1" x14ac:dyDescent="0.15"/>
    <row r="18080" hidden="1" x14ac:dyDescent="0.15"/>
    <row r="18081" hidden="1" x14ac:dyDescent="0.15"/>
    <row r="18082" hidden="1" x14ac:dyDescent="0.15"/>
    <row r="18083" hidden="1" x14ac:dyDescent="0.15"/>
    <row r="18084" hidden="1" x14ac:dyDescent="0.15"/>
    <row r="18085" hidden="1" x14ac:dyDescent="0.15"/>
    <row r="18086" hidden="1" x14ac:dyDescent="0.15"/>
    <row r="18087" hidden="1" x14ac:dyDescent="0.15"/>
    <row r="18088" hidden="1" x14ac:dyDescent="0.15"/>
    <row r="18089" hidden="1" x14ac:dyDescent="0.15"/>
    <row r="18090" hidden="1" x14ac:dyDescent="0.15"/>
    <row r="18091" hidden="1" x14ac:dyDescent="0.15"/>
    <row r="18092" hidden="1" x14ac:dyDescent="0.15"/>
    <row r="18093" hidden="1" x14ac:dyDescent="0.15"/>
    <row r="18094" hidden="1" x14ac:dyDescent="0.15"/>
    <row r="18095" hidden="1" x14ac:dyDescent="0.15"/>
    <row r="18096" hidden="1" x14ac:dyDescent="0.15"/>
    <row r="18097" hidden="1" x14ac:dyDescent="0.15"/>
    <row r="18098" hidden="1" x14ac:dyDescent="0.15"/>
    <row r="18099" hidden="1" x14ac:dyDescent="0.15"/>
    <row r="18100" hidden="1" x14ac:dyDescent="0.15"/>
    <row r="18101" hidden="1" x14ac:dyDescent="0.15"/>
    <row r="18102" hidden="1" x14ac:dyDescent="0.15"/>
    <row r="18103" hidden="1" x14ac:dyDescent="0.15"/>
    <row r="18104" hidden="1" x14ac:dyDescent="0.15"/>
    <row r="18105" hidden="1" x14ac:dyDescent="0.15"/>
    <row r="18106" hidden="1" x14ac:dyDescent="0.15"/>
    <row r="18107" hidden="1" x14ac:dyDescent="0.15"/>
    <row r="18108" hidden="1" x14ac:dyDescent="0.15"/>
    <row r="18109" hidden="1" x14ac:dyDescent="0.15"/>
    <row r="18110" hidden="1" x14ac:dyDescent="0.15"/>
    <row r="18111" hidden="1" x14ac:dyDescent="0.15"/>
    <row r="18112" hidden="1" x14ac:dyDescent="0.15"/>
    <row r="18113" hidden="1" x14ac:dyDescent="0.15"/>
    <row r="18114" hidden="1" x14ac:dyDescent="0.15"/>
    <row r="18115" hidden="1" x14ac:dyDescent="0.15"/>
    <row r="18116" hidden="1" x14ac:dyDescent="0.15"/>
    <row r="18117" hidden="1" x14ac:dyDescent="0.15"/>
    <row r="18118" hidden="1" x14ac:dyDescent="0.15"/>
    <row r="18119" hidden="1" x14ac:dyDescent="0.15"/>
    <row r="18120" hidden="1" x14ac:dyDescent="0.15"/>
    <row r="18121" hidden="1" x14ac:dyDescent="0.15"/>
    <row r="18122" hidden="1" x14ac:dyDescent="0.15"/>
    <row r="18123" hidden="1" x14ac:dyDescent="0.15"/>
    <row r="18124" hidden="1" x14ac:dyDescent="0.15"/>
    <row r="18125" hidden="1" x14ac:dyDescent="0.15"/>
    <row r="18126" hidden="1" x14ac:dyDescent="0.15"/>
    <row r="18127" hidden="1" x14ac:dyDescent="0.15"/>
    <row r="18128" hidden="1" x14ac:dyDescent="0.15"/>
    <row r="18129" hidden="1" x14ac:dyDescent="0.15"/>
    <row r="18130" hidden="1" x14ac:dyDescent="0.15"/>
    <row r="18131" hidden="1" x14ac:dyDescent="0.15"/>
    <row r="18132" hidden="1" x14ac:dyDescent="0.15"/>
    <row r="18133" hidden="1" x14ac:dyDescent="0.15"/>
    <row r="18134" hidden="1" x14ac:dyDescent="0.15"/>
    <row r="18135" hidden="1" x14ac:dyDescent="0.15"/>
    <row r="18136" hidden="1" x14ac:dyDescent="0.15"/>
    <row r="18137" hidden="1" x14ac:dyDescent="0.15"/>
    <row r="18138" hidden="1" x14ac:dyDescent="0.15"/>
    <row r="18139" hidden="1" x14ac:dyDescent="0.15"/>
    <row r="18140" hidden="1" x14ac:dyDescent="0.15"/>
    <row r="18141" hidden="1" x14ac:dyDescent="0.15"/>
    <row r="18142" hidden="1" x14ac:dyDescent="0.15"/>
    <row r="18143" hidden="1" x14ac:dyDescent="0.15"/>
    <row r="18144" hidden="1" x14ac:dyDescent="0.15"/>
    <row r="18145" hidden="1" x14ac:dyDescent="0.15"/>
    <row r="18146" hidden="1" x14ac:dyDescent="0.15"/>
    <row r="18147" hidden="1" x14ac:dyDescent="0.15"/>
    <row r="18148" hidden="1" x14ac:dyDescent="0.15"/>
    <row r="18149" hidden="1" x14ac:dyDescent="0.15"/>
    <row r="18150" hidden="1" x14ac:dyDescent="0.15"/>
    <row r="18151" hidden="1" x14ac:dyDescent="0.15"/>
    <row r="18152" hidden="1" x14ac:dyDescent="0.15"/>
    <row r="18153" hidden="1" x14ac:dyDescent="0.15"/>
    <row r="18154" hidden="1" x14ac:dyDescent="0.15"/>
    <row r="18155" hidden="1" x14ac:dyDescent="0.15"/>
    <row r="18156" hidden="1" x14ac:dyDescent="0.15"/>
    <row r="18157" hidden="1" x14ac:dyDescent="0.15"/>
    <row r="18158" hidden="1" x14ac:dyDescent="0.15"/>
    <row r="18159" hidden="1" x14ac:dyDescent="0.15"/>
    <row r="18160" hidden="1" x14ac:dyDescent="0.15"/>
    <row r="18161" hidden="1" x14ac:dyDescent="0.15"/>
    <row r="18162" hidden="1" x14ac:dyDescent="0.15"/>
    <row r="18163" hidden="1" x14ac:dyDescent="0.15"/>
    <row r="18164" hidden="1" x14ac:dyDescent="0.15"/>
    <row r="18165" hidden="1" x14ac:dyDescent="0.15"/>
    <row r="18166" hidden="1" x14ac:dyDescent="0.15"/>
    <row r="18167" hidden="1" x14ac:dyDescent="0.15"/>
    <row r="18168" hidden="1" x14ac:dyDescent="0.15"/>
    <row r="18169" hidden="1" x14ac:dyDescent="0.15"/>
    <row r="18170" hidden="1" x14ac:dyDescent="0.15"/>
    <row r="18171" hidden="1" x14ac:dyDescent="0.15"/>
    <row r="18172" hidden="1" x14ac:dyDescent="0.15"/>
    <row r="18173" hidden="1" x14ac:dyDescent="0.15"/>
    <row r="18174" hidden="1" x14ac:dyDescent="0.15"/>
    <row r="18175" hidden="1" x14ac:dyDescent="0.15"/>
    <row r="18176" hidden="1" x14ac:dyDescent="0.15"/>
    <row r="18177" hidden="1" x14ac:dyDescent="0.15"/>
    <row r="18178" hidden="1" x14ac:dyDescent="0.15"/>
    <row r="18179" hidden="1" x14ac:dyDescent="0.15"/>
    <row r="18180" hidden="1" x14ac:dyDescent="0.15"/>
    <row r="18181" hidden="1" x14ac:dyDescent="0.15"/>
    <row r="18182" hidden="1" x14ac:dyDescent="0.15"/>
    <row r="18183" hidden="1" x14ac:dyDescent="0.15"/>
    <row r="18184" hidden="1" x14ac:dyDescent="0.15"/>
    <row r="18185" hidden="1" x14ac:dyDescent="0.15"/>
    <row r="18186" hidden="1" x14ac:dyDescent="0.15"/>
    <row r="18187" hidden="1" x14ac:dyDescent="0.15"/>
    <row r="18188" hidden="1" x14ac:dyDescent="0.15"/>
    <row r="18189" hidden="1" x14ac:dyDescent="0.15"/>
    <row r="18190" hidden="1" x14ac:dyDescent="0.15"/>
    <row r="18191" hidden="1" x14ac:dyDescent="0.15"/>
    <row r="18192" hidden="1" x14ac:dyDescent="0.15"/>
    <row r="18193" hidden="1" x14ac:dyDescent="0.15"/>
    <row r="18194" hidden="1" x14ac:dyDescent="0.15"/>
    <row r="18195" hidden="1" x14ac:dyDescent="0.15"/>
    <row r="18196" hidden="1" x14ac:dyDescent="0.15"/>
    <row r="18197" hidden="1" x14ac:dyDescent="0.15"/>
    <row r="18198" hidden="1" x14ac:dyDescent="0.15"/>
    <row r="18199" hidden="1" x14ac:dyDescent="0.15"/>
    <row r="18200" hidden="1" x14ac:dyDescent="0.15"/>
    <row r="18201" hidden="1" x14ac:dyDescent="0.15"/>
    <row r="18202" hidden="1" x14ac:dyDescent="0.15"/>
    <row r="18203" hidden="1" x14ac:dyDescent="0.15"/>
    <row r="18204" hidden="1" x14ac:dyDescent="0.15"/>
    <row r="18205" hidden="1" x14ac:dyDescent="0.15"/>
    <row r="18206" hidden="1" x14ac:dyDescent="0.15"/>
    <row r="18207" hidden="1" x14ac:dyDescent="0.15"/>
    <row r="18208" hidden="1" x14ac:dyDescent="0.15"/>
    <row r="18209" hidden="1" x14ac:dyDescent="0.15"/>
    <row r="18210" hidden="1" x14ac:dyDescent="0.15"/>
    <row r="18211" hidden="1" x14ac:dyDescent="0.15"/>
    <row r="18212" hidden="1" x14ac:dyDescent="0.15"/>
    <row r="18213" hidden="1" x14ac:dyDescent="0.15"/>
    <row r="18214" hidden="1" x14ac:dyDescent="0.15"/>
    <row r="18215" hidden="1" x14ac:dyDescent="0.15"/>
    <row r="18216" hidden="1" x14ac:dyDescent="0.15"/>
    <row r="18217" hidden="1" x14ac:dyDescent="0.15"/>
    <row r="18218" hidden="1" x14ac:dyDescent="0.15"/>
    <row r="18219" hidden="1" x14ac:dyDescent="0.15"/>
    <row r="18220" hidden="1" x14ac:dyDescent="0.15"/>
    <row r="18221" hidden="1" x14ac:dyDescent="0.15"/>
    <row r="18222" hidden="1" x14ac:dyDescent="0.15"/>
    <row r="18223" hidden="1" x14ac:dyDescent="0.15"/>
    <row r="18224" hidden="1" x14ac:dyDescent="0.15"/>
    <row r="18225" hidden="1" x14ac:dyDescent="0.15"/>
    <row r="18226" hidden="1" x14ac:dyDescent="0.15"/>
    <row r="18227" hidden="1" x14ac:dyDescent="0.15"/>
    <row r="18228" hidden="1" x14ac:dyDescent="0.15"/>
    <row r="18229" hidden="1" x14ac:dyDescent="0.15"/>
    <row r="18230" hidden="1" x14ac:dyDescent="0.15"/>
    <row r="18231" hidden="1" x14ac:dyDescent="0.15"/>
    <row r="18232" hidden="1" x14ac:dyDescent="0.15"/>
    <row r="18233" hidden="1" x14ac:dyDescent="0.15"/>
    <row r="18234" hidden="1" x14ac:dyDescent="0.15"/>
    <row r="18235" hidden="1" x14ac:dyDescent="0.15"/>
    <row r="18236" hidden="1" x14ac:dyDescent="0.15"/>
    <row r="18237" hidden="1" x14ac:dyDescent="0.15"/>
    <row r="18238" hidden="1" x14ac:dyDescent="0.15"/>
    <row r="18239" hidden="1" x14ac:dyDescent="0.15"/>
    <row r="18240" hidden="1" x14ac:dyDescent="0.15"/>
    <row r="18241" hidden="1" x14ac:dyDescent="0.15"/>
    <row r="18242" hidden="1" x14ac:dyDescent="0.15"/>
    <row r="18243" hidden="1" x14ac:dyDescent="0.15"/>
    <row r="18244" hidden="1" x14ac:dyDescent="0.15"/>
    <row r="18245" hidden="1" x14ac:dyDescent="0.15"/>
    <row r="18246" hidden="1" x14ac:dyDescent="0.15"/>
    <row r="18247" hidden="1" x14ac:dyDescent="0.15"/>
    <row r="18248" hidden="1" x14ac:dyDescent="0.15"/>
    <row r="18249" hidden="1" x14ac:dyDescent="0.15"/>
    <row r="18250" hidden="1" x14ac:dyDescent="0.15"/>
    <row r="18251" hidden="1" x14ac:dyDescent="0.15"/>
    <row r="18252" hidden="1" x14ac:dyDescent="0.15"/>
    <row r="18253" hidden="1" x14ac:dyDescent="0.15"/>
    <row r="18254" hidden="1" x14ac:dyDescent="0.15"/>
    <row r="18255" hidden="1" x14ac:dyDescent="0.15"/>
    <row r="18256" hidden="1" x14ac:dyDescent="0.15"/>
    <row r="18257" hidden="1" x14ac:dyDescent="0.15"/>
    <row r="18258" hidden="1" x14ac:dyDescent="0.15"/>
    <row r="18259" hidden="1" x14ac:dyDescent="0.15"/>
    <row r="18260" hidden="1" x14ac:dyDescent="0.15"/>
    <row r="18261" hidden="1" x14ac:dyDescent="0.15"/>
    <row r="18262" hidden="1" x14ac:dyDescent="0.15"/>
    <row r="18263" hidden="1" x14ac:dyDescent="0.15"/>
    <row r="18264" hidden="1" x14ac:dyDescent="0.15"/>
    <row r="18265" hidden="1" x14ac:dyDescent="0.15"/>
    <row r="18266" hidden="1" x14ac:dyDescent="0.15"/>
    <row r="18267" hidden="1" x14ac:dyDescent="0.15"/>
    <row r="18268" hidden="1" x14ac:dyDescent="0.15"/>
    <row r="18269" hidden="1" x14ac:dyDescent="0.15"/>
    <row r="18270" hidden="1" x14ac:dyDescent="0.15"/>
    <row r="18271" hidden="1" x14ac:dyDescent="0.15"/>
    <row r="18272" hidden="1" x14ac:dyDescent="0.15"/>
    <row r="18273" hidden="1" x14ac:dyDescent="0.15"/>
    <row r="18274" hidden="1" x14ac:dyDescent="0.15"/>
    <row r="18275" hidden="1" x14ac:dyDescent="0.15"/>
    <row r="18276" hidden="1" x14ac:dyDescent="0.15"/>
    <row r="18277" hidden="1" x14ac:dyDescent="0.15"/>
    <row r="18278" hidden="1" x14ac:dyDescent="0.15"/>
    <row r="18279" hidden="1" x14ac:dyDescent="0.15"/>
    <row r="18280" hidden="1" x14ac:dyDescent="0.15"/>
    <row r="18281" hidden="1" x14ac:dyDescent="0.15"/>
    <row r="18282" hidden="1" x14ac:dyDescent="0.15"/>
    <row r="18283" hidden="1" x14ac:dyDescent="0.15"/>
    <row r="18284" hidden="1" x14ac:dyDescent="0.15"/>
    <row r="18285" hidden="1" x14ac:dyDescent="0.15"/>
    <row r="18286" hidden="1" x14ac:dyDescent="0.15"/>
    <row r="18287" hidden="1" x14ac:dyDescent="0.15"/>
    <row r="18288" hidden="1" x14ac:dyDescent="0.15"/>
    <row r="18289" hidden="1" x14ac:dyDescent="0.15"/>
    <row r="18290" hidden="1" x14ac:dyDescent="0.15"/>
    <row r="18291" hidden="1" x14ac:dyDescent="0.15"/>
    <row r="18292" hidden="1" x14ac:dyDescent="0.15"/>
    <row r="18293" hidden="1" x14ac:dyDescent="0.15"/>
    <row r="18294" hidden="1" x14ac:dyDescent="0.15"/>
    <row r="18295" hidden="1" x14ac:dyDescent="0.15"/>
    <row r="18296" hidden="1" x14ac:dyDescent="0.15"/>
    <row r="18297" hidden="1" x14ac:dyDescent="0.15"/>
    <row r="18298" hidden="1" x14ac:dyDescent="0.15"/>
    <row r="18299" hidden="1" x14ac:dyDescent="0.15"/>
    <row r="18300" hidden="1" x14ac:dyDescent="0.15"/>
    <row r="18301" hidden="1" x14ac:dyDescent="0.15"/>
    <row r="18302" hidden="1" x14ac:dyDescent="0.15"/>
    <row r="18303" hidden="1" x14ac:dyDescent="0.15"/>
    <row r="18304" hidden="1" x14ac:dyDescent="0.15"/>
    <row r="18305" hidden="1" x14ac:dyDescent="0.15"/>
    <row r="18306" hidden="1" x14ac:dyDescent="0.15"/>
    <row r="18307" hidden="1" x14ac:dyDescent="0.15"/>
    <row r="18308" hidden="1" x14ac:dyDescent="0.15"/>
    <row r="18309" hidden="1" x14ac:dyDescent="0.15"/>
    <row r="18310" hidden="1" x14ac:dyDescent="0.15"/>
    <row r="18311" hidden="1" x14ac:dyDescent="0.15"/>
    <row r="18312" hidden="1" x14ac:dyDescent="0.15"/>
    <row r="18313" hidden="1" x14ac:dyDescent="0.15"/>
    <row r="18314" hidden="1" x14ac:dyDescent="0.15"/>
    <row r="18315" hidden="1" x14ac:dyDescent="0.15"/>
    <row r="18316" hidden="1" x14ac:dyDescent="0.15"/>
    <row r="18317" hidden="1" x14ac:dyDescent="0.15"/>
    <row r="18318" hidden="1" x14ac:dyDescent="0.15"/>
    <row r="18319" hidden="1" x14ac:dyDescent="0.15"/>
    <row r="18320" hidden="1" x14ac:dyDescent="0.15"/>
    <row r="18321" hidden="1" x14ac:dyDescent="0.15"/>
    <row r="18322" hidden="1" x14ac:dyDescent="0.15"/>
    <row r="18323" hidden="1" x14ac:dyDescent="0.15"/>
    <row r="18324" hidden="1" x14ac:dyDescent="0.15"/>
    <row r="18325" hidden="1" x14ac:dyDescent="0.15"/>
    <row r="18326" hidden="1" x14ac:dyDescent="0.15"/>
    <row r="18327" hidden="1" x14ac:dyDescent="0.15"/>
    <row r="18328" hidden="1" x14ac:dyDescent="0.15"/>
    <row r="18329" hidden="1" x14ac:dyDescent="0.15"/>
    <row r="18330" hidden="1" x14ac:dyDescent="0.15"/>
    <row r="18331" hidden="1" x14ac:dyDescent="0.15"/>
    <row r="18332" hidden="1" x14ac:dyDescent="0.15"/>
    <row r="18333" hidden="1" x14ac:dyDescent="0.15"/>
    <row r="18334" hidden="1" x14ac:dyDescent="0.15"/>
    <row r="18335" hidden="1" x14ac:dyDescent="0.15"/>
    <row r="18336" hidden="1" x14ac:dyDescent="0.15"/>
    <row r="18337" hidden="1" x14ac:dyDescent="0.15"/>
    <row r="18338" hidden="1" x14ac:dyDescent="0.15"/>
    <row r="18339" hidden="1" x14ac:dyDescent="0.15"/>
    <row r="18340" hidden="1" x14ac:dyDescent="0.15"/>
    <row r="18341" hidden="1" x14ac:dyDescent="0.15"/>
    <row r="18342" hidden="1" x14ac:dyDescent="0.15"/>
    <row r="18343" hidden="1" x14ac:dyDescent="0.15"/>
    <row r="18344" hidden="1" x14ac:dyDescent="0.15"/>
    <row r="18345" hidden="1" x14ac:dyDescent="0.15"/>
    <row r="18346" hidden="1" x14ac:dyDescent="0.15"/>
    <row r="18347" hidden="1" x14ac:dyDescent="0.15"/>
    <row r="18348" hidden="1" x14ac:dyDescent="0.15"/>
    <row r="18349" hidden="1" x14ac:dyDescent="0.15"/>
    <row r="18350" hidden="1" x14ac:dyDescent="0.15"/>
    <row r="18351" hidden="1" x14ac:dyDescent="0.15"/>
    <row r="18352" hidden="1" x14ac:dyDescent="0.15"/>
    <row r="18353" hidden="1" x14ac:dyDescent="0.15"/>
    <row r="18354" hidden="1" x14ac:dyDescent="0.15"/>
    <row r="18355" hidden="1" x14ac:dyDescent="0.15"/>
    <row r="18356" hidden="1" x14ac:dyDescent="0.15"/>
    <row r="18357" hidden="1" x14ac:dyDescent="0.15"/>
    <row r="18358" hidden="1" x14ac:dyDescent="0.15"/>
    <row r="18359" hidden="1" x14ac:dyDescent="0.15"/>
    <row r="18360" hidden="1" x14ac:dyDescent="0.15"/>
    <row r="18361" hidden="1" x14ac:dyDescent="0.15"/>
    <row r="18362" hidden="1" x14ac:dyDescent="0.15"/>
    <row r="18363" hidden="1" x14ac:dyDescent="0.15"/>
    <row r="18364" hidden="1" x14ac:dyDescent="0.15"/>
    <row r="18365" hidden="1" x14ac:dyDescent="0.15"/>
    <row r="18366" hidden="1" x14ac:dyDescent="0.15"/>
    <row r="18367" hidden="1" x14ac:dyDescent="0.15"/>
    <row r="18368" hidden="1" x14ac:dyDescent="0.15"/>
    <row r="18369" hidden="1" x14ac:dyDescent="0.15"/>
    <row r="18370" hidden="1" x14ac:dyDescent="0.15"/>
    <row r="18371" hidden="1" x14ac:dyDescent="0.15"/>
    <row r="18372" hidden="1" x14ac:dyDescent="0.15"/>
    <row r="18373" hidden="1" x14ac:dyDescent="0.15"/>
    <row r="18374" hidden="1" x14ac:dyDescent="0.15"/>
    <row r="18375" hidden="1" x14ac:dyDescent="0.15"/>
    <row r="18376" hidden="1" x14ac:dyDescent="0.15"/>
    <row r="18377" hidden="1" x14ac:dyDescent="0.15"/>
    <row r="18378" hidden="1" x14ac:dyDescent="0.15"/>
    <row r="18379" hidden="1" x14ac:dyDescent="0.15"/>
    <row r="18380" hidden="1" x14ac:dyDescent="0.15"/>
    <row r="18381" hidden="1" x14ac:dyDescent="0.15"/>
    <row r="18382" hidden="1" x14ac:dyDescent="0.15"/>
    <row r="18383" hidden="1" x14ac:dyDescent="0.15"/>
    <row r="18384" hidden="1" x14ac:dyDescent="0.15"/>
    <row r="18385" hidden="1" x14ac:dyDescent="0.15"/>
    <row r="18386" hidden="1" x14ac:dyDescent="0.15"/>
    <row r="18387" hidden="1" x14ac:dyDescent="0.15"/>
    <row r="18388" hidden="1" x14ac:dyDescent="0.15"/>
    <row r="18389" hidden="1" x14ac:dyDescent="0.15"/>
    <row r="18390" hidden="1" x14ac:dyDescent="0.15"/>
    <row r="18391" hidden="1" x14ac:dyDescent="0.15"/>
    <row r="18392" hidden="1" x14ac:dyDescent="0.15"/>
    <row r="18393" hidden="1" x14ac:dyDescent="0.15"/>
    <row r="18394" hidden="1" x14ac:dyDescent="0.15"/>
    <row r="18395" hidden="1" x14ac:dyDescent="0.15"/>
    <row r="18396" hidden="1" x14ac:dyDescent="0.15"/>
    <row r="18397" hidden="1" x14ac:dyDescent="0.15"/>
    <row r="18398" hidden="1" x14ac:dyDescent="0.15"/>
    <row r="18399" hidden="1" x14ac:dyDescent="0.15"/>
    <row r="18400" hidden="1" x14ac:dyDescent="0.15"/>
    <row r="18401" hidden="1" x14ac:dyDescent="0.15"/>
    <row r="18402" hidden="1" x14ac:dyDescent="0.15"/>
    <row r="18403" hidden="1" x14ac:dyDescent="0.15"/>
    <row r="18404" hidden="1" x14ac:dyDescent="0.15"/>
    <row r="18405" hidden="1" x14ac:dyDescent="0.15"/>
    <row r="18406" hidden="1" x14ac:dyDescent="0.15"/>
    <row r="18407" hidden="1" x14ac:dyDescent="0.15"/>
    <row r="18408" hidden="1" x14ac:dyDescent="0.15"/>
    <row r="18409" hidden="1" x14ac:dyDescent="0.15"/>
    <row r="18410" hidden="1" x14ac:dyDescent="0.15"/>
    <row r="18411" hidden="1" x14ac:dyDescent="0.15"/>
    <row r="18412" hidden="1" x14ac:dyDescent="0.15"/>
    <row r="18413" hidden="1" x14ac:dyDescent="0.15"/>
    <row r="18414" hidden="1" x14ac:dyDescent="0.15"/>
    <row r="18415" hidden="1" x14ac:dyDescent="0.15"/>
    <row r="18416" hidden="1" x14ac:dyDescent="0.15"/>
    <row r="18417" hidden="1" x14ac:dyDescent="0.15"/>
    <row r="18418" hidden="1" x14ac:dyDescent="0.15"/>
    <row r="18419" hidden="1" x14ac:dyDescent="0.15"/>
    <row r="18420" hidden="1" x14ac:dyDescent="0.15"/>
    <row r="18421" hidden="1" x14ac:dyDescent="0.15"/>
    <row r="18422" hidden="1" x14ac:dyDescent="0.15"/>
    <row r="18423" hidden="1" x14ac:dyDescent="0.15"/>
    <row r="18424" hidden="1" x14ac:dyDescent="0.15"/>
    <row r="18425" hidden="1" x14ac:dyDescent="0.15"/>
    <row r="18426" hidden="1" x14ac:dyDescent="0.15"/>
    <row r="18427" hidden="1" x14ac:dyDescent="0.15"/>
    <row r="18428" hidden="1" x14ac:dyDescent="0.15"/>
    <row r="18429" hidden="1" x14ac:dyDescent="0.15"/>
    <row r="18430" hidden="1" x14ac:dyDescent="0.15"/>
    <row r="18431" hidden="1" x14ac:dyDescent="0.15"/>
    <row r="18432" hidden="1" x14ac:dyDescent="0.15"/>
    <row r="18433" hidden="1" x14ac:dyDescent="0.15"/>
    <row r="18434" hidden="1" x14ac:dyDescent="0.15"/>
    <row r="18435" hidden="1" x14ac:dyDescent="0.15"/>
    <row r="18436" hidden="1" x14ac:dyDescent="0.15"/>
    <row r="18437" hidden="1" x14ac:dyDescent="0.15"/>
    <row r="18438" hidden="1" x14ac:dyDescent="0.15"/>
    <row r="18439" hidden="1" x14ac:dyDescent="0.15"/>
    <row r="18440" hidden="1" x14ac:dyDescent="0.15"/>
    <row r="18441" hidden="1" x14ac:dyDescent="0.15"/>
    <row r="18442" hidden="1" x14ac:dyDescent="0.15"/>
    <row r="18443" hidden="1" x14ac:dyDescent="0.15"/>
    <row r="18444" hidden="1" x14ac:dyDescent="0.15"/>
    <row r="18445" hidden="1" x14ac:dyDescent="0.15"/>
    <row r="18446" hidden="1" x14ac:dyDescent="0.15"/>
    <row r="18447" hidden="1" x14ac:dyDescent="0.15"/>
    <row r="18448" hidden="1" x14ac:dyDescent="0.15"/>
    <row r="18449" hidden="1" x14ac:dyDescent="0.15"/>
    <row r="18450" hidden="1" x14ac:dyDescent="0.15"/>
    <row r="18451" hidden="1" x14ac:dyDescent="0.15"/>
    <row r="18452" hidden="1" x14ac:dyDescent="0.15"/>
    <row r="18453" hidden="1" x14ac:dyDescent="0.15"/>
    <row r="18454" hidden="1" x14ac:dyDescent="0.15"/>
    <row r="18455" hidden="1" x14ac:dyDescent="0.15"/>
    <row r="18456" hidden="1" x14ac:dyDescent="0.15"/>
    <row r="18457" hidden="1" x14ac:dyDescent="0.15"/>
    <row r="18458" hidden="1" x14ac:dyDescent="0.15"/>
    <row r="18459" hidden="1" x14ac:dyDescent="0.15"/>
    <row r="18460" hidden="1" x14ac:dyDescent="0.15"/>
    <row r="18461" hidden="1" x14ac:dyDescent="0.15"/>
    <row r="18462" hidden="1" x14ac:dyDescent="0.15"/>
    <row r="18463" hidden="1" x14ac:dyDescent="0.15"/>
    <row r="18464" hidden="1" x14ac:dyDescent="0.15"/>
    <row r="18465" hidden="1" x14ac:dyDescent="0.15"/>
    <row r="18466" hidden="1" x14ac:dyDescent="0.15"/>
    <row r="18467" hidden="1" x14ac:dyDescent="0.15"/>
    <row r="18468" hidden="1" x14ac:dyDescent="0.15"/>
    <row r="18469" hidden="1" x14ac:dyDescent="0.15"/>
    <row r="18470" hidden="1" x14ac:dyDescent="0.15"/>
    <row r="18471" hidden="1" x14ac:dyDescent="0.15"/>
    <row r="18472" hidden="1" x14ac:dyDescent="0.15"/>
    <row r="18473" hidden="1" x14ac:dyDescent="0.15"/>
    <row r="18474" hidden="1" x14ac:dyDescent="0.15"/>
    <row r="18475" hidden="1" x14ac:dyDescent="0.15"/>
    <row r="18476" hidden="1" x14ac:dyDescent="0.15"/>
    <row r="18477" hidden="1" x14ac:dyDescent="0.15"/>
    <row r="18478" hidden="1" x14ac:dyDescent="0.15"/>
    <row r="18479" hidden="1" x14ac:dyDescent="0.15"/>
    <row r="18480" hidden="1" x14ac:dyDescent="0.15"/>
    <row r="18481" hidden="1" x14ac:dyDescent="0.15"/>
    <row r="18482" hidden="1" x14ac:dyDescent="0.15"/>
    <row r="18483" hidden="1" x14ac:dyDescent="0.15"/>
    <row r="18484" hidden="1" x14ac:dyDescent="0.15"/>
    <row r="18485" hidden="1" x14ac:dyDescent="0.15"/>
    <row r="18486" hidden="1" x14ac:dyDescent="0.15"/>
    <row r="18487" hidden="1" x14ac:dyDescent="0.15"/>
    <row r="18488" hidden="1" x14ac:dyDescent="0.15"/>
    <row r="18489" hidden="1" x14ac:dyDescent="0.15"/>
    <row r="18490" hidden="1" x14ac:dyDescent="0.15"/>
    <row r="18491" hidden="1" x14ac:dyDescent="0.15"/>
    <row r="18492" hidden="1" x14ac:dyDescent="0.15"/>
    <row r="18493" hidden="1" x14ac:dyDescent="0.15"/>
    <row r="18494" hidden="1" x14ac:dyDescent="0.15"/>
    <row r="18495" hidden="1" x14ac:dyDescent="0.15"/>
    <row r="18496" hidden="1" x14ac:dyDescent="0.15"/>
    <row r="18497" hidden="1" x14ac:dyDescent="0.15"/>
    <row r="18498" hidden="1" x14ac:dyDescent="0.15"/>
    <row r="18499" hidden="1" x14ac:dyDescent="0.15"/>
    <row r="18500" hidden="1" x14ac:dyDescent="0.15"/>
    <row r="18501" hidden="1" x14ac:dyDescent="0.15"/>
    <row r="18502" hidden="1" x14ac:dyDescent="0.15"/>
    <row r="18503" hidden="1" x14ac:dyDescent="0.15"/>
    <row r="18504" hidden="1" x14ac:dyDescent="0.15"/>
    <row r="18505" hidden="1" x14ac:dyDescent="0.15"/>
    <row r="18506" hidden="1" x14ac:dyDescent="0.15"/>
    <row r="18507" hidden="1" x14ac:dyDescent="0.15"/>
    <row r="18508" hidden="1" x14ac:dyDescent="0.15"/>
    <row r="18509" hidden="1" x14ac:dyDescent="0.15"/>
    <row r="18510" hidden="1" x14ac:dyDescent="0.15"/>
    <row r="18511" hidden="1" x14ac:dyDescent="0.15"/>
    <row r="18512" hidden="1" x14ac:dyDescent="0.15"/>
    <row r="18513" hidden="1" x14ac:dyDescent="0.15"/>
    <row r="18514" hidden="1" x14ac:dyDescent="0.15"/>
    <row r="18515" hidden="1" x14ac:dyDescent="0.15"/>
    <row r="18516" hidden="1" x14ac:dyDescent="0.15"/>
    <row r="18517" hidden="1" x14ac:dyDescent="0.15"/>
    <row r="18518" hidden="1" x14ac:dyDescent="0.15"/>
    <row r="18519" hidden="1" x14ac:dyDescent="0.15"/>
    <row r="18520" hidden="1" x14ac:dyDescent="0.15"/>
    <row r="18521" hidden="1" x14ac:dyDescent="0.15"/>
    <row r="18522" hidden="1" x14ac:dyDescent="0.15"/>
    <row r="18523" hidden="1" x14ac:dyDescent="0.15"/>
    <row r="18524" hidden="1" x14ac:dyDescent="0.15"/>
    <row r="18525" hidden="1" x14ac:dyDescent="0.15"/>
    <row r="18526" hidden="1" x14ac:dyDescent="0.15"/>
    <row r="18527" hidden="1" x14ac:dyDescent="0.15"/>
    <row r="18528" hidden="1" x14ac:dyDescent="0.15"/>
    <row r="18529" hidden="1" x14ac:dyDescent="0.15"/>
    <row r="18530" hidden="1" x14ac:dyDescent="0.15"/>
    <row r="18531" hidden="1" x14ac:dyDescent="0.15"/>
    <row r="18532" hidden="1" x14ac:dyDescent="0.15"/>
    <row r="18533" hidden="1" x14ac:dyDescent="0.15"/>
    <row r="18534" hidden="1" x14ac:dyDescent="0.15"/>
    <row r="18535" hidden="1" x14ac:dyDescent="0.15"/>
    <row r="18536" hidden="1" x14ac:dyDescent="0.15"/>
    <row r="18537" hidden="1" x14ac:dyDescent="0.15"/>
    <row r="18538" hidden="1" x14ac:dyDescent="0.15"/>
    <row r="18539" hidden="1" x14ac:dyDescent="0.15"/>
    <row r="18540" hidden="1" x14ac:dyDescent="0.15"/>
    <row r="18541" hidden="1" x14ac:dyDescent="0.15"/>
    <row r="18542" hidden="1" x14ac:dyDescent="0.15"/>
    <row r="18543" hidden="1" x14ac:dyDescent="0.15"/>
    <row r="18544" hidden="1" x14ac:dyDescent="0.15"/>
    <row r="18545" hidden="1" x14ac:dyDescent="0.15"/>
    <row r="18546" hidden="1" x14ac:dyDescent="0.15"/>
    <row r="18547" hidden="1" x14ac:dyDescent="0.15"/>
    <row r="18548" hidden="1" x14ac:dyDescent="0.15"/>
    <row r="18549" hidden="1" x14ac:dyDescent="0.15"/>
    <row r="18550" hidden="1" x14ac:dyDescent="0.15"/>
    <row r="18551" hidden="1" x14ac:dyDescent="0.15"/>
    <row r="18552" hidden="1" x14ac:dyDescent="0.15"/>
    <row r="18553" hidden="1" x14ac:dyDescent="0.15"/>
    <row r="18554" hidden="1" x14ac:dyDescent="0.15"/>
    <row r="18555" hidden="1" x14ac:dyDescent="0.15"/>
    <row r="18556" hidden="1" x14ac:dyDescent="0.15"/>
    <row r="18557" hidden="1" x14ac:dyDescent="0.15"/>
    <row r="18558" hidden="1" x14ac:dyDescent="0.15"/>
    <row r="18559" hidden="1" x14ac:dyDescent="0.15"/>
    <row r="18560" hidden="1" x14ac:dyDescent="0.15"/>
    <row r="18561" hidden="1" x14ac:dyDescent="0.15"/>
    <row r="18562" hidden="1" x14ac:dyDescent="0.15"/>
    <row r="18563" hidden="1" x14ac:dyDescent="0.15"/>
    <row r="18564" hidden="1" x14ac:dyDescent="0.15"/>
    <row r="18565" hidden="1" x14ac:dyDescent="0.15"/>
    <row r="18566" hidden="1" x14ac:dyDescent="0.15"/>
    <row r="18567" hidden="1" x14ac:dyDescent="0.15"/>
    <row r="18568" hidden="1" x14ac:dyDescent="0.15"/>
    <row r="18569" hidden="1" x14ac:dyDescent="0.15"/>
    <row r="18570" hidden="1" x14ac:dyDescent="0.15"/>
    <row r="18571" hidden="1" x14ac:dyDescent="0.15"/>
    <row r="18572" hidden="1" x14ac:dyDescent="0.15"/>
    <row r="18573" hidden="1" x14ac:dyDescent="0.15"/>
    <row r="18574" hidden="1" x14ac:dyDescent="0.15"/>
    <row r="18575" hidden="1" x14ac:dyDescent="0.15"/>
    <row r="18576" hidden="1" x14ac:dyDescent="0.15"/>
    <row r="18577" hidden="1" x14ac:dyDescent="0.15"/>
    <row r="18578" hidden="1" x14ac:dyDescent="0.15"/>
    <row r="18579" hidden="1" x14ac:dyDescent="0.15"/>
    <row r="18580" hidden="1" x14ac:dyDescent="0.15"/>
    <row r="18581" hidden="1" x14ac:dyDescent="0.15"/>
    <row r="18582" hidden="1" x14ac:dyDescent="0.15"/>
    <row r="18583" hidden="1" x14ac:dyDescent="0.15"/>
    <row r="18584" hidden="1" x14ac:dyDescent="0.15"/>
    <row r="18585" hidden="1" x14ac:dyDescent="0.15"/>
    <row r="18586" hidden="1" x14ac:dyDescent="0.15"/>
    <row r="18587" hidden="1" x14ac:dyDescent="0.15"/>
    <row r="18588" hidden="1" x14ac:dyDescent="0.15"/>
    <row r="18589" hidden="1" x14ac:dyDescent="0.15"/>
    <row r="18590" hidden="1" x14ac:dyDescent="0.15"/>
    <row r="18591" hidden="1" x14ac:dyDescent="0.15"/>
    <row r="18592" hidden="1" x14ac:dyDescent="0.15"/>
    <row r="18593" hidden="1" x14ac:dyDescent="0.15"/>
    <row r="18594" hidden="1" x14ac:dyDescent="0.15"/>
    <row r="18595" hidden="1" x14ac:dyDescent="0.15"/>
    <row r="18596" hidden="1" x14ac:dyDescent="0.15"/>
    <row r="18597" hidden="1" x14ac:dyDescent="0.15"/>
    <row r="18598" hidden="1" x14ac:dyDescent="0.15"/>
    <row r="18599" hidden="1" x14ac:dyDescent="0.15"/>
    <row r="18600" hidden="1" x14ac:dyDescent="0.15"/>
    <row r="18601" hidden="1" x14ac:dyDescent="0.15"/>
    <row r="18602" hidden="1" x14ac:dyDescent="0.15"/>
    <row r="18603" hidden="1" x14ac:dyDescent="0.15"/>
    <row r="18604" hidden="1" x14ac:dyDescent="0.15"/>
    <row r="18605" hidden="1" x14ac:dyDescent="0.15"/>
    <row r="18606" hidden="1" x14ac:dyDescent="0.15"/>
    <row r="18607" hidden="1" x14ac:dyDescent="0.15"/>
    <row r="18608" hidden="1" x14ac:dyDescent="0.15"/>
    <row r="18609" hidden="1" x14ac:dyDescent="0.15"/>
    <row r="18610" hidden="1" x14ac:dyDescent="0.15"/>
    <row r="18611" hidden="1" x14ac:dyDescent="0.15"/>
    <row r="18612" hidden="1" x14ac:dyDescent="0.15"/>
    <row r="18613" hidden="1" x14ac:dyDescent="0.15"/>
    <row r="18614" hidden="1" x14ac:dyDescent="0.15"/>
    <row r="18615" hidden="1" x14ac:dyDescent="0.15"/>
    <row r="18616" hidden="1" x14ac:dyDescent="0.15"/>
    <row r="18617" hidden="1" x14ac:dyDescent="0.15"/>
    <row r="18618" hidden="1" x14ac:dyDescent="0.15"/>
    <row r="18619" hidden="1" x14ac:dyDescent="0.15"/>
    <row r="18620" hidden="1" x14ac:dyDescent="0.15"/>
    <row r="18621" hidden="1" x14ac:dyDescent="0.15"/>
    <row r="18622" hidden="1" x14ac:dyDescent="0.15"/>
    <row r="18623" hidden="1" x14ac:dyDescent="0.15"/>
    <row r="18624" hidden="1" x14ac:dyDescent="0.15"/>
    <row r="18625" hidden="1" x14ac:dyDescent="0.15"/>
    <row r="18626" hidden="1" x14ac:dyDescent="0.15"/>
    <row r="18627" hidden="1" x14ac:dyDescent="0.15"/>
    <row r="18628" hidden="1" x14ac:dyDescent="0.15"/>
    <row r="18629" hidden="1" x14ac:dyDescent="0.15"/>
    <row r="18630" hidden="1" x14ac:dyDescent="0.15"/>
    <row r="18631" hidden="1" x14ac:dyDescent="0.15"/>
    <row r="18632" hidden="1" x14ac:dyDescent="0.15"/>
    <row r="18633" hidden="1" x14ac:dyDescent="0.15"/>
    <row r="18634" hidden="1" x14ac:dyDescent="0.15"/>
    <row r="18635" hidden="1" x14ac:dyDescent="0.15"/>
    <row r="18636" hidden="1" x14ac:dyDescent="0.15"/>
    <row r="18637" hidden="1" x14ac:dyDescent="0.15"/>
    <row r="18638" hidden="1" x14ac:dyDescent="0.15"/>
    <row r="18639" hidden="1" x14ac:dyDescent="0.15"/>
    <row r="18640" hidden="1" x14ac:dyDescent="0.15"/>
    <row r="18641" hidden="1" x14ac:dyDescent="0.15"/>
    <row r="18642" hidden="1" x14ac:dyDescent="0.15"/>
    <row r="18643" hidden="1" x14ac:dyDescent="0.15"/>
    <row r="18644" hidden="1" x14ac:dyDescent="0.15"/>
    <row r="18645" hidden="1" x14ac:dyDescent="0.15"/>
    <row r="18646" hidden="1" x14ac:dyDescent="0.15"/>
    <row r="18647" hidden="1" x14ac:dyDescent="0.15"/>
    <row r="18648" hidden="1" x14ac:dyDescent="0.15"/>
    <row r="18649" hidden="1" x14ac:dyDescent="0.15"/>
    <row r="18650" hidden="1" x14ac:dyDescent="0.15"/>
    <row r="18651" hidden="1" x14ac:dyDescent="0.15"/>
    <row r="18652" hidden="1" x14ac:dyDescent="0.15"/>
    <row r="18653" hidden="1" x14ac:dyDescent="0.15"/>
    <row r="18654" hidden="1" x14ac:dyDescent="0.15"/>
    <row r="18655" hidden="1" x14ac:dyDescent="0.15"/>
    <row r="18656" hidden="1" x14ac:dyDescent="0.15"/>
    <row r="18657" hidden="1" x14ac:dyDescent="0.15"/>
    <row r="18658" hidden="1" x14ac:dyDescent="0.15"/>
    <row r="18659" hidden="1" x14ac:dyDescent="0.15"/>
    <row r="18660" hidden="1" x14ac:dyDescent="0.15"/>
    <row r="18661" hidden="1" x14ac:dyDescent="0.15"/>
    <row r="18662" hidden="1" x14ac:dyDescent="0.15"/>
    <row r="18663" hidden="1" x14ac:dyDescent="0.15"/>
    <row r="18664" hidden="1" x14ac:dyDescent="0.15"/>
    <row r="18665" hidden="1" x14ac:dyDescent="0.15"/>
    <row r="18666" hidden="1" x14ac:dyDescent="0.15"/>
    <row r="18667" hidden="1" x14ac:dyDescent="0.15"/>
    <row r="18668" hidden="1" x14ac:dyDescent="0.15"/>
    <row r="18669" hidden="1" x14ac:dyDescent="0.15"/>
    <row r="18670" hidden="1" x14ac:dyDescent="0.15"/>
    <row r="18671" hidden="1" x14ac:dyDescent="0.15"/>
    <row r="18672" hidden="1" x14ac:dyDescent="0.15"/>
    <row r="18673" hidden="1" x14ac:dyDescent="0.15"/>
    <row r="18674" hidden="1" x14ac:dyDescent="0.15"/>
    <row r="18675" hidden="1" x14ac:dyDescent="0.15"/>
    <row r="18676" hidden="1" x14ac:dyDescent="0.15"/>
    <row r="18677" hidden="1" x14ac:dyDescent="0.15"/>
    <row r="18678" hidden="1" x14ac:dyDescent="0.15"/>
    <row r="18679" hidden="1" x14ac:dyDescent="0.15"/>
    <row r="18680" hidden="1" x14ac:dyDescent="0.15"/>
    <row r="18681" hidden="1" x14ac:dyDescent="0.15"/>
    <row r="18682" hidden="1" x14ac:dyDescent="0.15"/>
    <row r="18683" hidden="1" x14ac:dyDescent="0.15"/>
    <row r="18684" hidden="1" x14ac:dyDescent="0.15"/>
    <row r="18685" hidden="1" x14ac:dyDescent="0.15"/>
    <row r="18686" hidden="1" x14ac:dyDescent="0.15"/>
    <row r="18687" hidden="1" x14ac:dyDescent="0.15"/>
    <row r="18688" hidden="1" x14ac:dyDescent="0.15"/>
    <row r="18689" hidden="1" x14ac:dyDescent="0.15"/>
    <row r="18690" hidden="1" x14ac:dyDescent="0.15"/>
    <row r="18691" hidden="1" x14ac:dyDescent="0.15"/>
    <row r="18692" hidden="1" x14ac:dyDescent="0.15"/>
    <row r="18693" hidden="1" x14ac:dyDescent="0.15"/>
    <row r="18694" hidden="1" x14ac:dyDescent="0.15"/>
    <row r="18695" hidden="1" x14ac:dyDescent="0.15"/>
    <row r="18696" hidden="1" x14ac:dyDescent="0.15"/>
    <row r="18697" hidden="1" x14ac:dyDescent="0.15"/>
    <row r="18698" hidden="1" x14ac:dyDescent="0.15"/>
    <row r="18699" hidden="1" x14ac:dyDescent="0.15"/>
    <row r="18700" hidden="1" x14ac:dyDescent="0.15"/>
    <row r="18701" hidden="1" x14ac:dyDescent="0.15"/>
    <row r="18702" hidden="1" x14ac:dyDescent="0.15"/>
    <row r="18703" hidden="1" x14ac:dyDescent="0.15"/>
    <row r="18704" hidden="1" x14ac:dyDescent="0.15"/>
    <row r="18705" hidden="1" x14ac:dyDescent="0.15"/>
    <row r="18706" hidden="1" x14ac:dyDescent="0.15"/>
    <row r="18707" hidden="1" x14ac:dyDescent="0.15"/>
    <row r="18708" hidden="1" x14ac:dyDescent="0.15"/>
    <row r="18709" hidden="1" x14ac:dyDescent="0.15"/>
    <row r="18710" hidden="1" x14ac:dyDescent="0.15"/>
    <row r="18711" hidden="1" x14ac:dyDescent="0.15"/>
    <row r="18712" hidden="1" x14ac:dyDescent="0.15"/>
    <row r="18713" hidden="1" x14ac:dyDescent="0.15"/>
    <row r="18714" hidden="1" x14ac:dyDescent="0.15"/>
    <row r="18715" hidden="1" x14ac:dyDescent="0.15"/>
    <row r="18716" hidden="1" x14ac:dyDescent="0.15"/>
    <row r="18717" hidden="1" x14ac:dyDescent="0.15"/>
    <row r="18718" hidden="1" x14ac:dyDescent="0.15"/>
    <row r="18719" hidden="1" x14ac:dyDescent="0.15"/>
    <row r="18720" hidden="1" x14ac:dyDescent="0.15"/>
    <row r="18721" hidden="1" x14ac:dyDescent="0.15"/>
    <row r="18722" hidden="1" x14ac:dyDescent="0.15"/>
    <row r="18723" hidden="1" x14ac:dyDescent="0.15"/>
    <row r="18724" hidden="1" x14ac:dyDescent="0.15"/>
    <row r="18725" hidden="1" x14ac:dyDescent="0.15"/>
    <row r="18726" hidden="1" x14ac:dyDescent="0.15"/>
    <row r="18727" hidden="1" x14ac:dyDescent="0.15"/>
    <row r="18728" hidden="1" x14ac:dyDescent="0.15"/>
    <row r="18729" hidden="1" x14ac:dyDescent="0.15"/>
    <row r="18730" hidden="1" x14ac:dyDescent="0.15"/>
    <row r="18731" hidden="1" x14ac:dyDescent="0.15"/>
    <row r="18732" hidden="1" x14ac:dyDescent="0.15"/>
    <row r="18733" hidden="1" x14ac:dyDescent="0.15"/>
    <row r="18734" hidden="1" x14ac:dyDescent="0.15"/>
    <row r="18735" hidden="1" x14ac:dyDescent="0.15"/>
    <row r="18736" hidden="1" x14ac:dyDescent="0.15"/>
    <row r="18737" hidden="1" x14ac:dyDescent="0.15"/>
    <row r="18738" hidden="1" x14ac:dyDescent="0.15"/>
    <row r="18739" hidden="1" x14ac:dyDescent="0.15"/>
    <row r="18740" hidden="1" x14ac:dyDescent="0.15"/>
    <row r="18741" hidden="1" x14ac:dyDescent="0.15"/>
    <row r="18742" hidden="1" x14ac:dyDescent="0.15"/>
    <row r="18743" hidden="1" x14ac:dyDescent="0.15"/>
    <row r="18744" hidden="1" x14ac:dyDescent="0.15"/>
    <row r="18745" hidden="1" x14ac:dyDescent="0.15"/>
    <row r="18746" hidden="1" x14ac:dyDescent="0.15"/>
    <row r="18747" hidden="1" x14ac:dyDescent="0.15"/>
    <row r="18748" hidden="1" x14ac:dyDescent="0.15"/>
    <row r="18749" hidden="1" x14ac:dyDescent="0.15"/>
    <row r="18750" hidden="1" x14ac:dyDescent="0.15"/>
    <row r="18751" hidden="1" x14ac:dyDescent="0.15"/>
    <row r="18752" hidden="1" x14ac:dyDescent="0.15"/>
    <row r="18753" hidden="1" x14ac:dyDescent="0.15"/>
    <row r="18754" hidden="1" x14ac:dyDescent="0.15"/>
    <row r="18755" hidden="1" x14ac:dyDescent="0.15"/>
    <row r="18756" hidden="1" x14ac:dyDescent="0.15"/>
    <row r="18757" hidden="1" x14ac:dyDescent="0.15"/>
    <row r="18758" hidden="1" x14ac:dyDescent="0.15"/>
    <row r="18759" hidden="1" x14ac:dyDescent="0.15"/>
    <row r="18760" hidden="1" x14ac:dyDescent="0.15"/>
    <row r="18761" hidden="1" x14ac:dyDescent="0.15"/>
    <row r="18762" hidden="1" x14ac:dyDescent="0.15"/>
    <row r="18763" hidden="1" x14ac:dyDescent="0.15"/>
    <row r="18764" hidden="1" x14ac:dyDescent="0.15"/>
    <row r="18765" hidden="1" x14ac:dyDescent="0.15"/>
    <row r="18766" hidden="1" x14ac:dyDescent="0.15"/>
    <row r="18767" hidden="1" x14ac:dyDescent="0.15"/>
    <row r="18768" hidden="1" x14ac:dyDescent="0.15"/>
    <row r="18769" hidden="1" x14ac:dyDescent="0.15"/>
    <row r="18770" hidden="1" x14ac:dyDescent="0.15"/>
    <row r="18771" hidden="1" x14ac:dyDescent="0.15"/>
    <row r="18772" hidden="1" x14ac:dyDescent="0.15"/>
    <row r="18773" hidden="1" x14ac:dyDescent="0.15"/>
    <row r="18774" hidden="1" x14ac:dyDescent="0.15"/>
    <row r="18775" hidden="1" x14ac:dyDescent="0.15"/>
    <row r="18776" hidden="1" x14ac:dyDescent="0.15"/>
    <row r="18777" hidden="1" x14ac:dyDescent="0.15"/>
    <row r="18778" hidden="1" x14ac:dyDescent="0.15"/>
    <row r="18779" hidden="1" x14ac:dyDescent="0.15"/>
    <row r="18780" hidden="1" x14ac:dyDescent="0.15"/>
    <row r="18781" hidden="1" x14ac:dyDescent="0.15"/>
    <row r="18782" hidden="1" x14ac:dyDescent="0.15"/>
    <row r="18783" hidden="1" x14ac:dyDescent="0.15"/>
    <row r="18784" hidden="1" x14ac:dyDescent="0.15"/>
    <row r="18785" hidden="1" x14ac:dyDescent="0.15"/>
    <row r="18786" hidden="1" x14ac:dyDescent="0.15"/>
    <row r="18787" hidden="1" x14ac:dyDescent="0.15"/>
    <row r="18788" hidden="1" x14ac:dyDescent="0.15"/>
    <row r="18789" hidden="1" x14ac:dyDescent="0.15"/>
    <row r="18790" hidden="1" x14ac:dyDescent="0.15"/>
    <row r="18791" hidden="1" x14ac:dyDescent="0.15"/>
    <row r="18792" hidden="1" x14ac:dyDescent="0.15"/>
    <row r="18793" hidden="1" x14ac:dyDescent="0.15"/>
    <row r="18794" hidden="1" x14ac:dyDescent="0.15"/>
    <row r="18795" hidden="1" x14ac:dyDescent="0.15"/>
    <row r="18796" hidden="1" x14ac:dyDescent="0.15"/>
    <row r="18797" hidden="1" x14ac:dyDescent="0.15"/>
    <row r="18798" hidden="1" x14ac:dyDescent="0.15"/>
    <row r="18799" hidden="1" x14ac:dyDescent="0.15"/>
    <row r="18800" hidden="1" x14ac:dyDescent="0.15"/>
    <row r="18801" hidden="1" x14ac:dyDescent="0.15"/>
    <row r="18802" hidden="1" x14ac:dyDescent="0.15"/>
    <row r="18803" hidden="1" x14ac:dyDescent="0.15"/>
    <row r="18804" hidden="1" x14ac:dyDescent="0.15"/>
    <row r="18805" hidden="1" x14ac:dyDescent="0.15"/>
    <row r="18806" hidden="1" x14ac:dyDescent="0.15"/>
    <row r="18807" hidden="1" x14ac:dyDescent="0.15"/>
    <row r="18808" hidden="1" x14ac:dyDescent="0.15"/>
    <row r="18809" hidden="1" x14ac:dyDescent="0.15"/>
    <row r="18810" hidden="1" x14ac:dyDescent="0.15"/>
    <row r="18811" hidden="1" x14ac:dyDescent="0.15"/>
    <row r="18812" hidden="1" x14ac:dyDescent="0.15"/>
    <row r="18813" hidden="1" x14ac:dyDescent="0.15"/>
    <row r="18814" hidden="1" x14ac:dyDescent="0.15"/>
    <row r="18815" hidden="1" x14ac:dyDescent="0.15"/>
    <row r="18816" hidden="1" x14ac:dyDescent="0.15"/>
    <row r="18817" hidden="1" x14ac:dyDescent="0.15"/>
    <row r="18818" hidden="1" x14ac:dyDescent="0.15"/>
    <row r="18819" hidden="1" x14ac:dyDescent="0.15"/>
    <row r="18820" hidden="1" x14ac:dyDescent="0.15"/>
    <row r="18821" hidden="1" x14ac:dyDescent="0.15"/>
    <row r="18822" hidden="1" x14ac:dyDescent="0.15"/>
    <row r="18823" hidden="1" x14ac:dyDescent="0.15"/>
    <row r="18824" hidden="1" x14ac:dyDescent="0.15"/>
    <row r="18825" hidden="1" x14ac:dyDescent="0.15"/>
    <row r="18826" hidden="1" x14ac:dyDescent="0.15"/>
    <row r="18827" hidden="1" x14ac:dyDescent="0.15"/>
    <row r="18828" hidden="1" x14ac:dyDescent="0.15"/>
    <row r="18829" hidden="1" x14ac:dyDescent="0.15"/>
    <row r="18830" hidden="1" x14ac:dyDescent="0.15"/>
    <row r="18831" hidden="1" x14ac:dyDescent="0.15"/>
    <row r="18832" hidden="1" x14ac:dyDescent="0.15"/>
    <row r="18833" hidden="1" x14ac:dyDescent="0.15"/>
    <row r="18834" hidden="1" x14ac:dyDescent="0.15"/>
    <row r="18835" hidden="1" x14ac:dyDescent="0.15"/>
    <row r="18836" hidden="1" x14ac:dyDescent="0.15"/>
    <row r="18837" hidden="1" x14ac:dyDescent="0.15"/>
    <row r="18838" hidden="1" x14ac:dyDescent="0.15"/>
    <row r="18839" hidden="1" x14ac:dyDescent="0.15"/>
    <row r="18840" hidden="1" x14ac:dyDescent="0.15"/>
    <row r="18841" hidden="1" x14ac:dyDescent="0.15"/>
    <row r="18842" hidden="1" x14ac:dyDescent="0.15"/>
    <row r="18843" hidden="1" x14ac:dyDescent="0.15"/>
    <row r="18844" hidden="1" x14ac:dyDescent="0.15"/>
    <row r="18845" hidden="1" x14ac:dyDescent="0.15"/>
    <row r="18846" hidden="1" x14ac:dyDescent="0.15"/>
    <row r="18847" hidden="1" x14ac:dyDescent="0.15"/>
    <row r="18848" hidden="1" x14ac:dyDescent="0.15"/>
    <row r="18849" hidden="1" x14ac:dyDescent="0.15"/>
    <row r="18850" hidden="1" x14ac:dyDescent="0.15"/>
    <row r="18851" hidden="1" x14ac:dyDescent="0.15"/>
    <row r="18852" hidden="1" x14ac:dyDescent="0.15"/>
    <row r="18853" hidden="1" x14ac:dyDescent="0.15"/>
    <row r="18854" hidden="1" x14ac:dyDescent="0.15"/>
    <row r="18855" hidden="1" x14ac:dyDescent="0.15"/>
    <row r="18856" hidden="1" x14ac:dyDescent="0.15"/>
    <row r="18857" hidden="1" x14ac:dyDescent="0.15"/>
    <row r="18858" hidden="1" x14ac:dyDescent="0.15"/>
    <row r="18859" hidden="1" x14ac:dyDescent="0.15"/>
    <row r="18860" hidden="1" x14ac:dyDescent="0.15"/>
    <row r="18861" hidden="1" x14ac:dyDescent="0.15"/>
    <row r="18862" hidden="1" x14ac:dyDescent="0.15"/>
    <row r="18863" hidden="1" x14ac:dyDescent="0.15"/>
    <row r="18864" hidden="1" x14ac:dyDescent="0.15"/>
    <row r="18865" hidden="1" x14ac:dyDescent="0.15"/>
    <row r="18866" hidden="1" x14ac:dyDescent="0.15"/>
    <row r="18867" hidden="1" x14ac:dyDescent="0.15"/>
    <row r="18868" hidden="1" x14ac:dyDescent="0.15"/>
    <row r="18869" hidden="1" x14ac:dyDescent="0.15"/>
    <row r="18870" hidden="1" x14ac:dyDescent="0.15"/>
    <row r="18871" hidden="1" x14ac:dyDescent="0.15"/>
    <row r="18872" hidden="1" x14ac:dyDescent="0.15"/>
    <row r="18873" hidden="1" x14ac:dyDescent="0.15"/>
    <row r="18874" hidden="1" x14ac:dyDescent="0.15"/>
    <row r="18875" hidden="1" x14ac:dyDescent="0.15"/>
    <row r="18876" hidden="1" x14ac:dyDescent="0.15"/>
    <row r="18877" hidden="1" x14ac:dyDescent="0.15"/>
    <row r="18878" hidden="1" x14ac:dyDescent="0.15"/>
    <row r="18879" hidden="1" x14ac:dyDescent="0.15"/>
    <row r="18880" hidden="1" x14ac:dyDescent="0.15"/>
    <row r="18881" hidden="1" x14ac:dyDescent="0.15"/>
    <row r="18882" hidden="1" x14ac:dyDescent="0.15"/>
    <row r="18883" hidden="1" x14ac:dyDescent="0.15"/>
    <row r="18884" hidden="1" x14ac:dyDescent="0.15"/>
    <row r="18885" hidden="1" x14ac:dyDescent="0.15"/>
    <row r="18886" hidden="1" x14ac:dyDescent="0.15"/>
    <row r="18887" hidden="1" x14ac:dyDescent="0.15"/>
    <row r="18888" hidden="1" x14ac:dyDescent="0.15"/>
    <row r="18889" hidden="1" x14ac:dyDescent="0.15"/>
    <row r="18890" hidden="1" x14ac:dyDescent="0.15"/>
    <row r="18891" hidden="1" x14ac:dyDescent="0.15"/>
    <row r="18892" hidden="1" x14ac:dyDescent="0.15"/>
    <row r="18893" hidden="1" x14ac:dyDescent="0.15"/>
    <row r="18894" hidden="1" x14ac:dyDescent="0.15"/>
    <row r="18895" hidden="1" x14ac:dyDescent="0.15"/>
    <row r="18896" hidden="1" x14ac:dyDescent="0.15"/>
    <row r="18897" hidden="1" x14ac:dyDescent="0.15"/>
    <row r="18898" hidden="1" x14ac:dyDescent="0.15"/>
    <row r="18899" hidden="1" x14ac:dyDescent="0.15"/>
    <row r="18900" hidden="1" x14ac:dyDescent="0.15"/>
    <row r="18901" hidden="1" x14ac:dyDescent="0.15"/>
    <row r="18902" hidden="1" x14ac:dyDescent="0.15"/>
    <row r="18903" hidden="1" x14ac:dyDescent="0.15"/>
    <row r="18904" hidden="1" x14ac:dyDescent="0.15"/>
    <row r="18905" hidden="1" x14ac:dyDescent="0.15"/>
    <row r="18906" hidden="1" x14ac:dyDescent="0.15"/>
    <row r="18907" hidden="1" x14ac:dyDescent="0.15"/>
    <row r="18908" hidden="1" x14ac:dyDescent="0.15"/>
    <row r="18909" hidden="1" x14ac:dyDescent="0.15"/>
    <row r="18910" hidden="1" x14ac:dyDescent="0.15"/>
    <row r="18911" hidden="1" x14ac:dyDescent="0.15"/>
    <row r="18912" hidden="1" x14ac:dyDescent="0.15"/>
    <row r="18913" hidden="1" x14ac:dyDescent="0.15"/>
    <row r="18914" hidden="1" x14ac:dyDescent="0.15"/>
    <row r="18915" hidden="1" x14ac:dyDescent="0.15"/>
    <row r="18916" hidden="1" x14ac:dyDescent="0.15"/>
    <row r="18917" hidden="1" x14ac:dyDescent="0.15"/>
    <row r="18918" hidden="1" x14ac:dyDescent="0.15"/>
    <row r="18919" hidden="1" x14ac:dyDescent="0.15"/>
    <row r="18920" hidden="1" x14ac:dyDescent="0.15"/>
    <row r="18921" hidden="1" x14ac:dyDescent="0.15"/>
    <row r="18922" hidden="1" x14ac:dyDescent="0.15"/>
    <row r="18923" hidden="1" x14ac:dyDescent="0.15"/>
    <row r="18924" hidden="1" x14ac:dyDescent="0.15"/>
    <row r="18925" hidden="1" x14ac:dyDescent="0.15"/>
    <row r="18926" hidden="1" x14ac:dyDescent="0.15"/>
    <row r="18927" hidden="1" x14ac:dyDescent="0.15"/>
    <row r="18928" hidden="1" x14ac:dyDescent="0.15"/>
    <row r="18929" hidden="1" x14ac:dyDescent="0.15"/>
    <row r="18930" hidden="1" x14ac:dyDescent="0.15"/>
    <row r="18931" hidden="1" x14ac:dyDescent="0.15"/>
    <row r="18932" hidden="1" x14ac:dyDescent="0.15"/>
    <row r="18933" hidden="1" x14ac:dyDescent="0.15"/>
    <row r="18934" hidden="1" x14ac:dyDescent="0.15"/>
    <row r="18935" hidden="1" x14ac:dyDescent="0.15"/>
    <row r="18936" hidden="1" x14ac:dyDescent="0.15"/>
    <row r="18937" hidden="1" x14ac:dyDescent="0.15"/>
    <row r="18938" hidden="1" x14ac:dyDescent="0.15"/>
    <row r="18939" hidden="1" x14ac:dyDescent="0.15"/>
    <row r="18940" hidden="1" x14ac:dyDescent="0.15"/>
    <row r="18941" hidden="1" x14ac:dyDescent="0.15"/>
    <row r="18942" hidden="1" x14ac:dyDescent="0.15"/>
    <row r="18943" hidden="1" x14ac:dyDescent="0.15"/>
    <row r="18944" hidden="1" x14ac:dyDescent="0.15"/>
    <row r="18945" hidden="1" x14ac:dyDescent="0.15"/>
    <row r="18946" hidden="1" x14ac:dyDescent="0.15"/>
    <row r="18947" hidden="1" x14ac:dyDescent="0.15"/>
    <row r="18948" hidden="1" x14ac:dyDescent="0.15"/>
    <row r="18949" hidden="1" x14ac:dyDescent="0.15"/>
    <row r="18950" hidden="1" x14ac:dyDescent="0.15"/>
    <row r="18951" hidden="1" x14ac:dyDescent="0.15"/>
    <row r="18952" hidden="1" x14ac:dyDescent="0.15"/>
    <row r="18953" hidden="1" x14ac:dyDescent="0.15"/>
    <row r="18954" hidden="1" x14ac:dyDescent="0.15"/>
    <row r="18955" hidden="1" x14ac:dyDescent="0.15"/>
    <row r="18956" hidden="1" x14ac:dyDescent="0.15"/>
    <row r="18957" hidden="1" x14ac:dyDescent="0.15"/>
    <row r="18958" hidden="1" x14ac:dyDescent="0.15"/>
    <row r="18959" hidden="1" x14ac:dyDescent="0.15"/>
    <row r="18960" hidden="1" x14ac:dyDescent="0.15"/>
    <row r="18961" hidden="1" x14ac:dyDescent="0.15"/>
    <row r="18962" hidden="1" x14ac:dyDescent="0.15"/>
    <row r="18963" hidden="1" x14ac:dyDescent="0.15"/>
    <row r="18964" hidden="1" x14ac:dyDescent="0.15"/>
    <row r="18965" hidden="1" x14ac:dyDescent="0.15"/>
    <row r="18966" hidden="1" x14ac:dyDescent="0.15"/>
    <row r="18967" hidden="1" x14ac:dyDescent="0.15"/>
    <row r="18968" hidden="1" x14ac:dyDescent="0.15"/>
    <row r="18969" hidden="1" x14ac:dyDescent="0.15"/>
    <row r="18970" hidden="1" x14ac:dyDescent="0.15"/>
    <row r="18971" hidden="1" x14ac:dyDescent="0.15"/>
    <row r="18972" hidden="1" x14ac:dyDescent="0.15"/>
    <row r="18973" hidden="1" x14ac:dyDescent="0.15"/>
    <row r="18974" hidden="1" x14ac:dyDescent="0.15"/>
    <row r="18975" hidden="1" x14ac:dyDescent="0.15"/>
    <row r="18976" hidden="1" x14ac:dyDescent="0.15"/>
    <row r="18977" hidden="1" x14ac:dyDescent="0.15"/>
    <row r="18978" hidden="1" x14ac:dyDescent="0.15"/>
    <row r="18979" hidden="1" x14ac:dyDescent="0.15"/>
    <row r="18980" hidden="1" x14ac:dyDescent="0.15"/>
    <row r="18981" hidden="1" x14ac:dyDescent="0.15"/>
    <row r="18982" hidden="1" x14ac:dyDescent="0.15"/>
    <row r="18983" hidden="1" x14ac:dyDescent="0.15"/>
    <row r="18984" hidden="1" x14ac:dyDescent="0.15"/>
    <row r="18985" hidden="1" x14ac:dyDescent="0.15"/>
    <row r="18986" hidden="1" x14ac:dyDescent="0.15"/>
    <row r="18987" hidden="1" x14ac:dyDescent="0.15"/>
    <row r="18988" hidden="1" x14ac:dyDescent="0.15"/>
    <row r="18989" hidden="1" x14ac:dyDescent="0.15"/>
    <row r="18990" hidden="1" x14ac:dyDescent="0.15"/>
    <row r="18991" hidden="1" x14ac:dyDescent="0.15"/>
    <row r="18992" hidden="1" x14ac:dyDescent="0.15"/>
    <row r="18993" hidden="1" x14ac:dyDescent="0.15"/>
    <row r="18994" hidden="1" x14ac:dyDescent="0.15"/>
    <row r="18995" hidden="1" x14ac:dyDescent="0.15"/>
    <row r="18996" hidden="1" x14ac:dyDescent="0.15"/>
    <row r="18997" hidden="1" x14ac:dyDescent="0.15"/>
    <row r="18998" hidden="1" x14ac:dyDescent="0.15"/>
    <row r="18999" hidden="1" x14ac:dyDescent="0.15"/>
    <row r="19000" hidden="1" x14ac:dyDescent="0.15"/>
    <row r="19001" hidden="1" x14ac:dyDescent="0.15"/>
    <row r="19002" hidden="1" x14ac:dyDescent="0.15"/>
    <row r="19003" hidden="1" x14ac:dyDescent="0.15"/>
    <row r="19004" hidden="1" x14ac:dyDescent="0.15"/>
    <row r="19005" hidden="1" x14ac:dyDescent="0.15"/>
    <row r="19006" hidden="1" x14ac:dyDescent="0.15"/>
    <row r="19007" hidden="1" x14ac:dyDescent="0.15"/>
    <row r="19008" hidden="1" x14ac:dyDescent="0.15"/>
    <row r="19009" hidden="1" x14ac:dyDescent="0.15"/>
    <row r="19010" hidden="1" x14ac:dyDescent="0.15"/>
    <row r="19011" hidden="1" x14ac:dyDescent="0.15"/>
    <row r="19012" hidden="1" x14ac:dyDescent="0.15"/>
    <row r="19013" hidden="1" x14ac:dyDescent="0.15"/>
    <row r="19014" hidden="1" x14ac:dyDescent="0.15"/>
    <row r="19015" hidden="1" x14ac:dyDescent="0.15"/>
    <row r="19016" hidden="1" x14ac:dyDescent="0.15"/>
    <row r="19017" hidden="1" x14ac:dyDescent="0.15"/>
    <row r="19018" hidden="1" x14ac:dyDescent="0.15"/>
    <row r="19019" hidden="1" x14ac:dyDescent="0.15"/>
    <row r="19020" hidden="1" x14ac:dyDescent="0.15"/>
    <row r="19021" hidden="1" x14ac:dyDescent="0.15"/>
    <row r="19022" hidden="1" x14ac:dyDescent="0.15"/>
    <row r="19023" hidden="1" x14ac:dyDescent="0.15"/>
    <row r="19024" hidden="1" x14ac:dyDescent="0.15"/>
    <row r="19025" hidden="1" x14ac:dyDescent="0.15"/>
    <row r="19026" hidden="1" x14ac:dyDescent="0.15"/>
    <row r="19027" hidden="1" x14ac:dyDescent="0.15"/>
    <row r="19028" hidden="1" x14ac:dyDescent="0.15"/>
    <row r="19029" hidden="1" x14ac:dyDescent="0.15"/>
    <row r="19030" hidden="1" x14ac:dyDescent="0.15"/>
    <row r="19031" hidden="1" x14ac:dyDescent="0.15"/>
    <row r="19032" hidden="1" x14ac:dyDescent="0.15"/>
    <row r="19033" hidden="1" x14ac:dyDescent="0.15"/>
    <row r="19034" hidden="1" x14ac:dyDescent="0.15"/>
    <row r="19035" hidden="1" x14ac:dyDescent="0.15"/>
    <row r="19036" hidden="1" x14ac:dyDescent="0.15"/>
    <row r="19037" hidden="1" x14ac:dyDescent="0.15"/>
    <row r="19038" hidden="1" x14ac:dyDescent="0.15"/>
    <row r="19039" hidden="1" x14ac:dyDescent="0.15"/>
    <row r="19040" hidden="1" x14ac:dyDescent="0.15"/>
    <row r="19041" hidden="1" x14ac:dyDescent="0.15"/>
    <row r="19042" hidden="1" x14ac:dyDescent="0.15"/>
    <row r="19043" hidden="1" x14ac:dyDescent="0.15"/>
    <row r="19044" hidden="1" x14ac:dyDescent="0.15"/>
    <row r="19045" hidden="1" x14ac:dyDescent="0.15"/>
    <row r="19046" hidden="1" x14ac:dyDescent="0.15"/>
    <row r="19047" hidden="1" x14ac:dyDescent="0.15"/>
    <row r="19048" hidden="1" x14ac:dyDescent="0.15"/>
    <row r="19049" hidden="1" x14ac:dyDescent="0.15"/>
    <row r="19050" hidden="1" x14ac:dyDescent="0.15"/>
    <row r="19051" hidden="1" x14ac:dyDescent="0.15"/>
    <row r="19052" hidden="1" x14ac:dyDescent="0.15"/>
    <row r="19053" hidden="1" x14ac:dyDescent="0.15"/>
    <row r="19054" hidden="1" x14ac:dyDescent="0.15"/>
    <row r="19055" hidden="1" x14ac:dyDescent="0.15"/>
    <row r="19056" hidden="1" x14ac:dyDescent="0.15"/>
    <row r="19057" hidden="1" x14ac:dyDescent="0.15"/>
    <row r="19058" hidden="1" x14ac:dyDescent="0.15"/>
    <row r="19059" hidden="1" x14ac:dyDescent="0.15"/>
    <row r="19060" hidden="1" x14ac:dyDescent="0.15"/>
    <row r="19061" hidden="1" x14ac:dyDescent="0.15"/>
    <row r="19062" hidden="1" x14ac:dyDescent="0.15"/>
    <row r="19063" hidden="1" x14ac:dyDescent="0.15"/>
    <row r="19064" hidden="1" x14ac:dyDescent="0.15"/>
    <row r="19065" hidden="1" x14ac:dyDescent="0.15"/>
    <row r="19066" hidden="1" x14ac:dyDescent="0.15"/>
    <row r="19067" hidden="1" x14ac:dyDescent="0.15"/>
    <row r="19068" hidden="1" x14ac:dyDescent="0.15"/>
    <row r="19069" hidden="1" x14ac:dyDescent="0.15"/>
    <row r="19070" hidden="1" x14ac:dyDescent="0.15"/>
    <row r="19071" hidden="1" x14ac:dyDescent="0.15"/>
    <row r="19072" hidden="1" x14ac:dyDescent="0.15"/>
    <row r="19073" hidden="1" x14ac:dyDescent="0.15"/>
    <row r="19074" hidden="1" x14ac:dyDescent="0.15"/>
    <row r="19075" hidden="1" x14ac:dyDescent="0.15"/>
    <row r="19076" hidden="1" x14ac:dyDescent="0.15"/>
    <row r="19077" hidden="1" x14ac:dyDescent="0.15"/>
    <row r="19078" hidden="1" x14ac:dyDescent="0.15"/>
    <row r="19079" hidden="1" x14ac:dyDescent="0.15"/>
    <row r="19080" hidden="1" x14ac:dyDescent="0.15"/>
    <row r="19081" hidden="1" x14ac:dyDescent="0.15"/>
    <row r="19082" hidden="1" x14ac:dyDescent="0.15"/>
    <row r="19083" hidden="1" x14ac:dyDescent="0.15"/>
    <row r="19084" hidden="1" x14ac:dyDescent="0.15"/>
    <row r="19085" hidden="1" x14ac:dyDescent="0.15"/>
    <row r="19086" hidden="1" x14ac:dyDescent="0.15"/>
    <row r="19087" hidden="1" x14ac:dyDescent="0.15"/>
    <row r="19088" hidden="1" x14ac:dyDescent="0.15"/>
    <row r="19089" hidden="1" x14ac:dyDescent="0.15"/>
    <row r="19090" hidden="1" x14ac:dyDescent="0.15"/>
    <row r="19091" hidden="1" x14ac:dyDescent="0.15"/>
    <row r="19092" hidden="1" x14ac:dyDescent="0.15"/>
    <row r="19093" hidden="1" x14ac:dyDescent="0.15"/>
    <row r="19094" hidden="1" x14ac:dyDescent="0.15"/>
    <row r="19095" hidden="1" x14ac:dyDescent="0.15"/>
    <row r="19096" hidden="1" x14ac:dyDescent="0.15"/>
    <row r="19097" hidden="1" x14ac:dyDescent="0.15"/>
    <row r="19098" hidden="1" x14ac:dyDescent="0.15"/>
    <row r="19099" hidden="1" x14ac:dyDescent="0.15"/>
    <row r="19100" hidden="1" x14ac:dyDescent="0.15"/>
    <row r="19101" hidden="1" x14ac:dyDescent="0.15"/>
    <row r="19102" hidden="1" x14ac:dyDescent="0.15"/>
    <row r="19103" hidden="1" x14ac:dyDescent="0.15"/>
    <row r="19104" hidden="1" x14ac:dyDescent="0.15"/>
    <row r="19105" hidden="1" x14ac:dyDescent="0.15"/>
    <row r="19106" hidden="1" x14ac:dyDescent="0.15"/>
    <row r="19107" hidden="1" x14ac:dyDescent="0.15"/>
    <row r="19108" hidden="1" x14ac:dyDescent="0.15"/>
    <row r="19109" hidden="1" x14ac:dyDescent="0.15"/>
    <row r="19110" hidden="1" x14ac:dyDescent="0.15"/>
    <row r="19111" hidden="1" x14ac:dyDescent="0.15"/>
    <row r="19112" hidden="1" x14ac:dyDescent="0.15"/>
    <row r="19113" hidden="1" x14ac:dyDescent="0.15"/>
    <row r="19114" hidden="1" x14ac:dyDescent="0.15"/>
    <row r="19115" hidden="1" x14ac:dyDescent="0.15"/>
    <row r="19116" hidden="1" x14ac:dyDescent="0.15"/>
    <row r="19117" hidden="1" x14ac:dyDescent="0.15"/>
    <row r="19118" hidden="1" x14ac:dyDescent="0.15"/>
    <row r="19119" hidden="1" x14ac:dyDescent="0.15"/>
    <row r="19120" hidden="1" x14ac:dyDescent="0.15"/>
    <row r="19121" hidden="1" x14ac:dyDescent="0.15"/>
    <row r="19122" hidden="1" x14ac:dyDescent="0.15"/>
    <row r="19123" hidden="1" x14ac:dyDescent="0.15"/>
    <row r="19124" hidden="1" x14ac:dyDescent="0.15"/>
    <row r="19125" hidden="1" x14ac:dyDescent="0.15"/>
    <row r="19126" hidden="1" x14ac:dyDescent="0.15"/>
    <row r="19127" hidden="1" x14ac:dyDescent="0.15"/>
    <row r="19128" hidden="1" x14ac:dyDescent="0.15"/>
    <row r="19129" hidden="1" x14ac:dyDescent="0.15"/>
    <row r="19130" hidden="1" x14ac:dyDescent="0.15"/>
    <row r="19131" hidden="1" x14ac:dyDescent="0.15"/>
    <row r="19132" hidden="1" x14ac:dyDescent="0.15"/>
    <row r="19133" hidden="1" x14ac:dyDescent="0.15"/>
    <row r="19134" hidden="1" x14ac:dyDescent="0.15"/>
    <row r="19135" hidden="1" x14ac:dyDescent="0.15"/>
    <row r="19136" hidden="1" x14ac:dyDescent="0.15"/>
    <row r="19137" hidden="1" x14ac:dyDescent="0.15"/>
    <row r="19138" hidden="1" x14ac:dyDescent="0.15"/>
    <row r="19139" hidden="1" x14ac:dyDescent="0.15"/>
    <row r="19140" hidden="1" x14ac:dyDescent="0.15"/>
    <row r="19141" hidden="1" x14ac:dyDescent="0.15"/>
    <row r="19142" hidden="1" x14ac:dyDescent="0.15"/>
    <row r="19143" hidden="1" x14ac:dyDescent="0.15"/>
    <row r="19144" hidden="1" x14ac:dyDescent="0.15"/>
    <row r="19145" hidden="1" x14ac:dyDescent="0.15"/>
    <row r="19146" hidden="1" x14ac:dyDescent="0.15"/>
    <row r="19147" hidden="1" x14ac:dyDescent="0.15"/>
    <row r="19148" hidden="1" x14ac:dyDescent="0.15"/>
    <row r="19149" hidden="1" x14ac:dyDescent="0.15"/>
    <row r="19150" hidden="1" x14ac:dyDescent="0.15"/>
    <row r="19151" hidden="1" x14ac:dyDescent="0.15"/>
    <row r="19152" hidden="1" x14ac:dyDescent="0.15"/>
    <row r="19153" hidden="1" x14ac:dyDescent="0.15"/>
    <row r="19154" hidden="1" x14ac:dyDescent="0.15"/>
    <row r="19155" hidden="1" x14ac:dyDescent="0.15"/>
    <row r="19156" hidden="1" x14ac:dyDescent="0.15"/>
    <row r="19157" hidden="1" x14ac:dyDescent="0.15"/>
    <row r="19158" hidden="1" x14ac:dyDescent="0.15"/>
    <row r="19159" hidden="1" x14ac:dyDescent="0.15"/>
    <row r="19160" hidden="1" x14ac:dyDescent="0.15"/>
    <row r="19161" hidden="1" x14ac:dyDescent="0.15"/>
    <row r="19162" hidden="1" x14ac:dyDescent="0.15"/>
    <row r="19163" hidden="1" x14ac:dyDescent="0.15"/>
    <row r="19164" hidden="1" x14ac:dyDescent="0.15"/>
    <row r="19165" hidden="1" x14ac:dyDescent="0.15"/>
    <row r="19166" hidden="1" x14ac:dyDescent="0.15"/>
    <row r="19167" hidden="1" x14ac:dyDescent="0.15"/>
    <row r="19168" hidden="1" x14ac:dyDescent="0.15"/>
    <row r="19169" hidden="1" x14ac:dyDescent="0.15"/>
    <row r="19170" hidden="1" x14ac:dyDescent="0.15"/>
    <row r="19171" hidden="1" x14ac:dyDescent="0.15"/>
    <row r="19172" hidden="1" x14ac:dyDescent="0.15"/>
    <row r="19173" hidden="1" x14ac:dyDescent="0.15"/>
    <row r="19174" hidden="1" x14ac:dyDescent="0.15"/>
    <row r="19175" hidden="1" x14ac:dyDescent="0.15"/>
    <row r="19176" hidden="1" x14ac:dyDescent="0.15"/>
    <row r="19177" hidden="1" x14ac:dyDescent="0.15"/>
    <row r="19178" hidden="1" x14ac:dyDescent="0.15"/>
    <row r="19179" hidden="1" x14ac:dyDescent="0.15"/>
    <row r="19180" hidden="1" x14ac:dyDescent="0.15"/>
    <row r="19181" hidden="1" x14ac:dyDescent="0.15"/>
    <row r="19182" hidden="1" x14ac:dyDescent="0.15"/>
    <row r="19183" hidden="1" x14ac:dyDescent="0.15"/>
    <row r="19184" hidden="1" x14ac:dyDescent="0.15"/>
    <row r="19185" hidden="1" x14ac:dyDescent="0.15"/>
    <row r="19186" hidden="1" x14ac:dyDescent="0.15"/>
    <row r="19187" hidden="1" x14ac:dyDescent="0.15"/>
    <row r="19188" hidden="1" x14ac:dyDescent="0.15"/>
    <row r="19189" hidden="1" x14ac:dyDescent="0.15"/>
    <row r="19190" hidden="1" x14ac:dyDescent="0.15"/>
    <row r="19191" hidden="1" x14ac:dyDescent="0.15"/>
    <row r="19192" hidden="1" x14ac:dyDescent="0.15"/>
    <row r="19193" hidden="1" x14ac:dyDescent="0.15"/>
    <row r="19194" hidden="1" x14ac:dyDescent="0.15"/>
    <row r="19195" hidden="1" x14ac:dyDescent="0.15"/>
    <row r="19196" hidden="1" x14ac:dyDescent="0.15"/>
    <row r="19197" hidden="1" x14ac:dyDescent="0.15"/>
    <row r="19198" hidden="1" x14ac:dyDescent="0.15"/>
    <row r="19199" hidden="1" x14ac:dyDescent="0.15"/>
    <row r="19200" hidden="1" x14ac:dyDescent="0.15"/>
    <row r="19201" hidden="1" x14ac:dyDescent="0.15"/>
    <row r="19202" hidden="1" x14ac:dyDescent="0.15"/>
    <row r="19203" hidden="1" x14ac:dyDescent="0.15"/>
    <row r="19204" hidden="1" x14ac:dyDescent="0.15"/>
    <row r="19205" hidden="1" x14ac:dyDescent="0.15"/>
    <row r="19206" hidden="1" x14ac:dyDescent="0.15"/>
    <row r="19207" hidden="1" x14ac:dyDescent="0.15"/>
    <row r="19208" hidden="1" x14ac:dyDescent="0.15"/>
    <row r="19209" hidden="1" x14ac:dyDescent="0.15"/>
    <row r="19210" hidden="1" x14ac:dyDescent="0.15"/>
    <row r="19211" hidden="1" x14ac:dyDescent="0.15"/>
    <row r="19212" hidden="1" x14ac:dyDescent="0.15"/>
    <row r="19213" hidden="1" x14ac:dyDescent="0.15"/>
    <row r="19214" hidden="1" x14ac:dyDescent="0.15"/>
    <row r="19215" hidden="1" x14ac:dyDescent="0.15"/>
    <row r="19216" hidden="1" x14ac:dyDescent="0.15"/>
    <row r="19217" hidden="1" x14ac:dyDescent="0.15"/>
    <row r="19218" hidden="1" x14ac:dyDescent="0.15"/>
    <row r="19219" hidden="1" x14ac:dyDescent="0.15"/>
    <row r="19220" hidden="1" x14ac:dyDescent="0.15"/>
    <row r="19221" hidden="1" x14ac:dyDescent="0.15"/>
    <row r="19222" hidden="1" x14ac:dyDescent="0.15"/>
    <row r="19223" hidden="1" x14ac:dyDescent="0.15"/>
    <row r="19224" hidden="1" x14ac:dyDescent="0.15"/>
    <row r="19225" hidden="1" x14ac:dyDescent="0.15"/>
    <row r="19226" hidden="1" x14ac:dyDescent="0.15"/>
    <row r="19227" hidden="1" x14ac:dyDescent="0.15"/>
    <row r="19228" hidden="1" x14ac:dyDescent="0.15"/>
    <row r="19229" hidden="1" x14ac:dyDescent="0.15"/>
    <row r="19230" hidden="1" x14ac:dyDescent="0.15"/>
    <row r="19231" hidden="1" x14ac:dyDescent="0.15"/>
    <row r="19232" hidden="1" x14ac:dyDescent="0.15"/>
    <row r="19233" hidden="1" x14ac:dyDescent="0.15"/>
    <row r="19234" hidden="1" x14ac:dyDescent="0.15"/>
    <row r="19235" hidden="1" x14ac:dyDescent="0.15"/>
    <row r="19236" hidden="1" x14ac:dyDescent="0.15"/>
    <row r="19237" hidden="1" x14ac:dyDescent="0.15"/>
    <row r="19238" hidden="1" x14ac:dyDescent="0.15"/>
    <row r="19239" hidden="1" x14ac:dyDescent="0.15"/>
    <row r="19240" hidden="1" x14ac:dyDescent="0.15"/>
    <row r="19241" hidden="1" x14ac:dyDescent="0.15"/>
    <row r="19242" hidden="1" x14ac:dyDescent="0.15"/>
    <row r="19243" hidden="1" x14ac:dyDescent="0.15"/>
    <row r="19244" hidden="1" x14ac:dyDescent="0.15"/>
    <row r="19245" hidden="1" x14ac:dyDescent="0.15"/>
    <row r="19246" hidden="1" x14ac:dyDescent="0.15"/>
    <row r="19247" hidden="1" x14ac:dyDescent="0.15"/>
    <row r="19248" hidden="1" x14ac:dyDescent="0.15"/>
    <row r="19249" hidden="1" x14ac:dyDescent="0.15"/>
    <row r="19250" hidden="1" x14ac:dyDescent="0.15"/>
    <row r="19251" hidden="1" x14ac:dyDescent="0.15"/>
    <row r="19252" hidden="1" x14ac:dyDescent="0.15"/>
    <row r="19253" hidden="1" x14ac:dyDescent="0.15"/>
    <row r="19254" hidden="1" x14ac:dyDescent="0.15"/>
    <row r="19255" hidden="1" x14ac:dyDescent="0.15"/>
    <row r="19256" hidden="1" x14ac:dyDescent="0.15"/>
    <row r="19257" hidden="1" x14ac:dyDescent="0.15"/>
    <row r="19258" hidden="1" x14ac:dyDescent="0.15"/>
    <row r="19259" hidden="1" x14ac:dyDescent="0.15"/>
    <row r="19260" hidden="1" x14ac:dyDescent="0.15"/>
    <row r="19261" hidden="1" x14ac:dyDescent="0.15"/>
    <row r="19262" hidden="1" x14ac:dyDescent="0.15"/>
    <row r="19263" hidden="1" x14ac:dyDescent="0.15"/>
    <row r="19264" hidden="1" x14ac:dyDescent="0.15"/>
    <row r="19265" hidden="1" x14ac:dyDescent="0.15"/>
    <row r="19266" hidden="1" x14ac:dyDescent="0.15"/>
    <row r="19267" hidden="1" x14ac:dyDescent="0.15"/>
    <row r="19268" hidden="1" x14ac:dyDescent="0.15"/>
    <row r="19269" hidden="1" x14ac:dyDescent="0.15"/>
    <row r="19270" hidden="1" x14ac:dyDescent="0.15"/>
    <row r="19271" hidden="1" x14ac:dyDescent="0.15"/>
    <row r="19272" hidden="1" x14ac:dyDescent="0.15"/>
    <row r="19273" hidden="1" x14ac:dyDescent="0.15"/>
    <row r="19274" hidden="1" x14ac:dyDescent="0.15"/>
    <row r="19275" hidden="1" x14ac:dyDescent="0.15"/>
    <row r="19276" hidden="1" x14ac:dyDescent="0.15"/>
    <row r="19277" hidden="1" x14ac:dyDescent="0.15"/>
    <row r="19278" hidden="1" x14ac:dyDescent="0.15"/>
    <row r="19279" hidden="1" x14ac:dyDescent="0.15"/>
    <row r="19280" hidden="1" x14ac:dyDescent="0.15"/>
    <row r="19281" hidden="1" x14ac:dyDescent="0.15"/>
    <row r="19282" hidden="1" x14ac:dyDescent="0.15"/>
    <row r="19283" hidden="1" x14ac:dyDescent="0.15"/>
    <row r="19284" hidden="1" x14ac:dyDescent="0.15"/>
    <row r="19285" hidden="1" x14ac:dyDescent="0.15"/>
    <row r="19286" hidden="1" x14ac:dyDescent="0.15"/>
    <row r="19287" hidden="1" x14ac:dyDescent="0.15"/>
    <row r="19288" hidden="1" x14ac:dyDescent="0.15"/>
    <row r="19289" hidden="1" x14ac:dyDescent="0.15"/>
    <row r="19290" hidden="1" x14ac:dyDescent="0.15"/>
    <row r="19291" hidden="1" x14ac:dyDescent="0.15"/>
    <row r="19292" hidden="1" x14ac:dyDescent="0.15"/>
    <row r="19293" hidden="1" x14ac:dyDescent="0.15"/>
    <row r="19294" hidden="1" x14ac:dyDescent="0.15"/>
    <row r="19295" hidden="1" x14ac:dyDescent="0.15"/>
    <row r="19296" hidden="1" x14ac:dyDescent="0.15"/>
    <row r="19297" hidden="1" x14ac:dyDescent="0.15"/>
    <row r="19298" hidden="1" x14ac:dyDescent="0.15"/>
    <row r="19299" hidden="1" x14ac:dyDescent="0.15"/>
    <row r="19300" hidden="1" x14ac:dyDescent="0.15"/>
    <row r="19301" hidden="1" x14ac:dyDescent="0.15"/>
    <row r="19302" hidden="1" x14ac:dyDescent="0.15"/>
    <row r="19303" hidden="1" x14ac:dyDescent="0.15"/>
    <row r="19304" hidden="1" x14ac:dyDescent="0.15"/>
    <row r="19305" hidden="1" x14ac:dyDescent="0.15"/>
    <row r="19306" hidden="1" x14ac:dyDescent="0.15"/>
    <row r="19307" hidden="1" x14ac:dyDescent="0.15"/>
    <row r="19308" hidden="1" x14ac:dyDescent="0.15"/>
    <row r="19309" hidden="1" x14ac:dyDescent="0.15"/>
    <row r="19310" hidden="1" x14ac:dyDescent="0.15"/>
    <row r="19311" hidden="1" x14ac:dyDescent="0.15"/>
    <row r="19312" hidden="1" x14ac:dyDescent="0.15"/>
    <row r="19313" hidden="1" x14ac:dyDescent="0.15"/>
    <row r="19314" hidden="1" x14ac:dyDescent="0.15"/>
    <row r="19315" hidden="1" x14ac:dyDescent="0.15"/>
    <row r="19316" hidden="1" x14ac:dyDescent="0.15"/>
    <row r="19317" hidden="1" x14ac:dyDescent="0.15"/>
    <row r="19318" hidden="1" x14ac:dyDescent="0.15"/>
    <row r="19319" hidden="1" x14ac:dyDescent="0.15"/>
    <row r="19320" hidden="1" x14ac:dyDescent="0.15"/>
    <row r="19321" hidden="1" x14ac:dyDescent="0.15"/>
    <row r="19322" hidden="1" x14ac:dyDescent="0.15"/>
    <row r="19323" hidden="1" x14ac:dyDescent="0.15"/>
    <row r="19324" hidden="1" x14ac:dyDescent="0.15"/>
    <row r="19325" hidden="1" x14ac:dyDescent="0.15"/>
    <row r="19326" hidden="1" x14ac:dyDescent="0.15"/>
    <row r="19327" hidden="1" x14ac:dyDescent="0.15"/>
    <row r="19328" hidden="1" x14ac:dyDescent="0.15"/>
    <row r="19329" hidden="1" x14ac:dyDescent="0.15"/>
    <row r="19330" hidden="1" x14ac:dyDescent="0.15"/>
    <row r="19331" hidden="1" x14ac:dyDescent="0.15"/>
    <row r="19332" hidden="1" x14ac:dyDescent="0.15"/>
    <row r="19333" hidden="1" x14ac:dyDescent="0.15"/>
    <row r="19334" hidden="1" x14ac:dyDescent="0.15"/>
    <row r="19335" hidden="1" x14ac:dyDescent="0.15"/>
    <row r="19336" hidden="1" x14ac:dyDescent="0.15"/>
    <row r="19337" hidden="1" x14ac:dyDescent="0.15"/>
    <row r="19338" hidden="1" x14ac:dyDescent="0.15"/>
    <row r="19339" hidden="1" x14ac:dyDescent="0.15"/>
    <row r="19340" hidden="1" x14ac:dyDescent="0.15"/>
    <row r="19341" hidden="1" x14ac:dyDescent="0.15"/>
    <row r="19342" hidden="1" x14ac:dyDescent="0.15"/>
    <row r="19343" hidden="1" x14ac:dyDescent="0.15"/>
    <row r="19344" hidden="1" x14ac:dyDescent="0.15"/>
    <row r="19345" hidden="1" x14ac:dyDescent="0.15"/>
    <row r="19346" hidden="1" x14ac:dyDescent="0.15"/>
    <row r="19347" hidden="1" x14ac:dyDescent="0.15"/>
    <row r="19348" hidden="1" x14ac:dyDescent="0.15"/>
    <row r="19349" hidden="1" x14ac:dyDescent="0.15"/>
    <row r="19350" hidden="1" x14ac:dyDescent="0.15"/>
    <row r="19351" hidden="1" x14ac:dyDescent="0.15"/>
    <row r="19352" hidden="1" x14ac:dyDescent="0.15"/>
    <row r="19353" hidden="1" x14ac:dyDescent="0.15"/>
    <row r="19354" hidden="1" x14ac:dyDescent="0.15"/>
    <row r="19355" hidden="1" x14ac:dyDescent="0.15"/>
    <row r="19356" hidden="1" x14ac:dyDescent="0.15"/>
    <row r="19357" hidden="1" x14ac:dyDescent="0.15"/>
    <row r="19358" hidden="1" x14ac:dyDescent="0.15"/>
    <row r="19359" hidden="1" x14ac:dyDescent="0.15"/>
    <row r="19360" hidden="1" x14ac:dyDescent="0.15"/>
    <row r="19361" hidden="1" x14ac:dyDescent="0.15"/>
    <row r="19362" hidden="1" x14ac:dyDescent="0.15"/>
    <row r="19363" hidden="1" x14ac:dyDescent="0.15"/>
    <row r="19364" hidden="1" x14ac:dyDescent="0.15"/>
    <row r="19365" hidden="1" x14ac:dyDescent="0.15"/>
    <row r="19366" hidden="1" x14ac:dyDescent="0.15"/>
    <row r="19367" hidden="1" x14ac:dyDescent="0.15"/>
    <row r="19368" hidden="1" x14ac:dyDescent="0.15"/>
    <row r="19369" hidden="1" x14ac:dyDescent="0.15"/>
    <row r="19370" hidden="1" x14ac:dyDescent="0.15"/>
    <row r="19371" hidden="1" x14ac:dyDescent="0.15"/>
    <row r="19372" hidden="1" x14ac:dyDescent="0.15"/>
    <row r="19373" hidden="1" x14ac:dyDescent="0.15"/>
    <row r="19374" hidden="1" x14ac:dyDescent="0.15"/>
    <row r="19375" hidden="1" x14ac:dyDescent="0.15"/>
    <row r="19376" hidden="1" x14ac:dyDescent="0.15"/>
    <row r="19377" hidden="1" x14ac:dyDescent="0.15"/>
    <row r="19378" hidden="1" x14ac:dyDescent="0.15"/>
    <row r="19379" hidden="1" x14ac:dyDescent="0.15"/>
    <row r="19380" hidden="1" x14ac:dyDescent="0.15"/>
    <row r="19381" hidden="1" x14ac:dyDescent="0.15"/>
    <row r="19382" hidden="1" x14ac:dyDescent="0.15"/>
    <row r="19383" hidden="1" x14ac:dyDescent="0.15"/>
    <row r="19384" hidden="1" x14ac:dyDescent="0.15"/>
    <row r="19385" hidden="1" x14ac:dyDescent="0.15"/>
    <row r="19386" hidden="1" x14ac:dyDescent="0.15"/>
    <row r="19387" hidden="1" x14ac:dyDescent="0.15"/>
    <row r="19388" hidden="1" x14ac:dyDescent="0.15"/>
    <row r="19389" hidden="1" x14ac:dyDescent="0.15"/>
    <row r="19390" hidden="1" x14ac:dyDescent="0.15"/>
    <row r="19391" hidden="1" x14ac:dyDescent="0.15"/>
    <row r="19392" hidden="1" x14ac:dyDescent="0.15"/>
    <row r="19393" hidden="1" x14ac:dyDescent="0.15"/>
    <row r="19394" hidden="1" x14ac:dyDescent="0.15"/>
    <row r="19395" hidden="1" x14ac:dyDescent="0.15"/>
    <row r="19396" hidden="1" x14ac:dyDescent="0.15"/>
    <row r="19397" hidden="1" x14ac:dyDescent="0.15"/>
    <row r="19398" hidden="1" x14ac:dyDescent="0.15"/>
    <row r="19399" hidden="1" x14ac:dyDescent="0.15"/>
    <row r="19400" hidden="1" x14ac:dyDescent="0.15"/>
    <row r="19401" hidden="1" x14ac:dyDescent="0.15"/>
    <row r="19402" hidden="1" x14ac:dyDescent="0.15"/>
    <row r="19403" hidden="1" x14ac:dyDescent="0.15"/>
    <row r="19404" hidden="1" x14ac:dyDescent="0.15"/>
    <row r="19405" hidden="1" x14ac:dyDescent="0.15"/>
    <row r="19406" hidden="1" x14ac:dyDescent="0.15"/>
    <row r="19407" hidden="1" x14ac:dyDescent="0.15"/>
    <row r="19408" hidden="1" x14ac:dyDescent="0.15"/>
    <row r="19409" hidden="1" x14ac:dyDescent="0.15"/>
    <row r="19410" hidden="1" x14ac:dyDescent="0.15"/>
    <row r="19411" hidden="1" x14ac:dyDescent="0.15"/>
    <row r="19412" hidden="1" x14ac:dyDescent="0.15"/>
    <row r="19413" hidden="1" x14ac:dyDescent="0.15"/>
    <row r="19414" hidden="1" x14ac:dyDescent="0.15"/>
    <row r="19415" hidden="1" x14ac:dyDescent="0.15"/>
    <row r="19416" hidden="1" x14ac:dyDescent="0.15"/>
    <row r="19417" hidden="1" x14ac:dyDescent="0.15"/>
    <row r="19418" hidden="1" x14ac:dyDescent="0.15"/>
    <row r="19419" hidden="1" x14ac:dyDescent="0.15"/>
    <row r="19420" hidden="1" x14ac:dyDescent="0.15"/>
    <row r="19421" hidden="1" x14ac:dyDescent="0.15"/>
    <row r="19422" hidden="1" x14ac:dyDescent="0.15"/>
    <row r="19423" hidden="1" x14ac:dyDescent="0.15"/>
    <row r="19424" hidden="1" x14ac:dyDescent="0.15"/>
    <row r="19425" hidden="1" x14ac:dyDescent="0.15"/>
    <row r="19426" hidden="1" x14ac:dyDescent="0.15"/>
    <row r="19427" hidden="1" x14ac:dyDescent="0.15"/>
    <row r="19428" hidden="1" x14ac:dyDescent="0.15"/>
    <row r="19429" hidden="1" x14ac:dyDescent="0.15"/>
    <row r="19430" hidden="1" x14ac:dyDescent="0.15"/>
    <row r="19431" hidden="1" x14ac:dyDescent="0.15"/>
    <row r="19432" hidden="1" x14ac:dyDescent="0.15"/>
    <row r="19433" hidden="1" x14ac:dyDescent="0.15"/>
    <row r="19434" hidden="1" x14ac:dyDescent="0.15"/>
    <row r="19435" hidden="1" x14ac:dyDescent="0.15"/>
    <row r="19436" hidden="1" x14ac:dyDescent="0.15"/>
    <row r="19437" hidden="1" x14ac:dyDescent="0.15"/>
    <row r="19438" hidden="1" x14ac:dyDescent="0.15"/>
    <row r="19439" hidden="1" x14ac:dyDescent="0.15"/>
    <row r="19440" hidden="1" x14ac:dyDescent="0.15"/>
    <row r="19441" hidden="1" x14ac:dyDescent="0.15"/>
    <row r="19442" hidden="1" x14ac:dyDescent="0.15"/>
    <row r="19443" hidden="1" x14ac:dyDescent="0.15"/>
    <row r="19444" hidden="1" x14ac:dyDescent="0.15"/>
    <row r="19445" hidden="1" x14ac:dyDescent="0.15"/>
    <row r="19446" hidden="1" x14ac:dyDescent="0.15"/>
    <row r="19447" hidden="1" x14ac:dyDescent="0.15"/>
    <row r="19448" hidden="1" x14ac:dyDescent="0.15"/>
    <row r="19449" hidden="1" x14ac:dyDescent="0.15"/>
    <row r="19450" hidden="1" x14ac:dyDescent="0.15"/>
    <row r="19451" hidden="1" x14ac:dyDescent="0.15"/>
    <row r="19452" hidden="1" x14ac:dyDescent="0.15"/>
    <row r="19453" hidden="1" x14ac:dyDescent="0.15"/>
    <row r="19454" hidden="1" x14ac:dyDescent="0.15"/>
    <row r="19455" hidden="1" x14ac:dyDescent="0.15"/>
    <row r="19456" hidden="1" x14ac:dyDescent="0.15"/>
    <row r="19457" hidden="1" x14ac:dyDescent="0.15"/>
    <row r="19458" hidden="1" x14ac:dyDescent="0.15"/>
    <row r="19459" hidden="1" x14ac:dyDescent="0.15"/>
    <row r="19460" hidden="1" x14ac:dyDescent="0.15"/>
    <row r="19461" hidden="1" x14ac:dyDescent="0.15"/>
    <row r="19462" hidden="1" x14ac:dyDescent="0.15"/>
    <row r="19463" hidden="1" x14ac:dyDescent="0.15"/>
    <row r="19464" hidden="1" x14ac:dyDescent="0.15"/>
    <row r="19465" hidden="1" x14ac:dyDescent="0.15"/>
    <row r="19466" hidden="1" x14ac:dyDescent="0.15"/>
    <row r="19467" hidden="1" x14ac:dyDescent="0.15"/>
    <row r="19468" hidden="1" x14ac:dyDescent="0.15"/>
    <row r="19469" hidden="1" x14ac:dyDescent="0.15"/>
    <row r="19470" hidden="1" x14ac:dyDescent="0.15"/>
    <row r="19471" hidden="1" x14ac:dyDescent="0.15"/>
    <row r="19472" hidden="1" x14ac:dyDescent="0.15"/>
    <row r="19473" hidden="1" x14ac:dyDescent="0.15"/>
    <row r="19474" hidden="1" x14ac:dyDescent="0.15"/>
    <row r="19475" hidden="1" x14ac:dyDescent="0.15"/>
    <row r="19476" hidden="1" x14ac:dyDescent="0.15"/>
    <row r="19477" hidden="1" x14ac:dyDescent="0.15"/>
    <row r="19478" hidden="1" x14ac:dyDescent="0.15"/>
    <row r="19479" hidden="1" x14ac:dyDescent="0.15"/>
    <row r="19480" hidden="1" x14ac:dyDescent="0.15"/>
    <row r="19481" hidden="1" x14ac:dyDescent="0.15"/>
    <row r="19482" hidden="1" x14ac:dyDescent="0.15"/>
    <row r="19483" hidden="1" x14ac:dyDescent="0.15"/>
    <row r="19484" hidden="1" x14ac:dyDescent="0.15"/>
    <row r="19485" hidden="1" x14ac:dyDescent="0.15"/>
    <row r="19486" hidden="1" x14ac:dyDescent="0.15"/>
    <row r="19487" hidden="1" x14ac:dyDescent="0.15"/>
    <row r="19488" hidden="1" x14ac:dyDescent="0.15"/>
    <row r="19489" hidden="1" x14ac:dyDescent="0.15"/>
    <row r="19490" hidden="1" x14ac:dyDescent="0.15"/>
    <row r="19491" hidden="1" x14ac:dyDescent="0.15"/>
    <row r="19492" hidden="1" x14ac:dyDescent="0.15"/>
    <row r="19493" hidden="1" x14ac:dyDescent="0.15"/>
    <row r="19494" hidden="1" x14ac:dyDescent="0.15"/>
    <row r="19495" hidden="1" x14ac:dyDescent="0.15"/>
    <row r="19496" hidden="1" x14ac:dyDescent="0.15"/>
    <row r="19497" hidden="1" x14ac:dyDescent="0.15"/>
    <row r="19498" hidden="1" x14ac:dyDescent="0.15"/>
    <row r="19499" hidden="1" x14ac:dyDescent="0.15"/>
    <row r="19500" hidden="1" x14ac:dyDescent="0.15"/>
    <row r="19501" hidden="1" x14ac:dyDescent="0.15"/>
    <row r="19502" hidden="1" x14ac:dyDescent="0.15"/>
    <row r="19503" hidden="1" x14ac:dyDescent="0.15"/>
    <row r="19504" hidden="1" x14ac:dyDescent="0.15"/>
    <row r="19505" hidden="1" x14ac:dyDescent="0.15"/>
    <row r="19506" hidden="1" x14ac:dyDescent="0.15"/>
    <row r="19507" hidden="1" x14ac:dyDescent="0.15"/>
    <row r="19508" hidden="1" x14ac:dyDescent="0.15"/>
    <row r="19509" hidden="1" x14ac:dyDescent="0.15"/>
    <row r="19510" hidden="1" x14ac:dyDescent="0.15"/>
    <row r="19511" hidden="1" x14ac:dyDescent="0.15"/>
    <row r="19512" hidden="1" x14ac:dyDescent="0.15"/>
    <row r="19513" hidden="1" x14ac:dyDescent="0.15"/>
    <row r="19514" hidden="1" x14ac:dyDescent="0.15"/>
    <row r="19515" hidden="1" x14ac:dyDescent="0.15"/>
    <row r="19516" hidden="1" x14ac:dyDescent="0.15"/>
    <row r="19517" hidden="1" x14ac:dyDescent="0.15"/>
    <row r="19518" hidden="1" x14ac:dyDescent="0.15"/>
    <row r="19519" hidden="1" x14ac:dyDescent="0.15"/>
    <row r="19520" hidden="1" x14ac:dyDescent="0.15"/>
    <row r="19521" hidden="1" x14ac:dyDescent="0.15"/>
    <row r="19522" hidden="1" x14ac:dyDescent="0.15"/>
    <row r="19523" hidden="1" x14ac:dyDescent="0.15"/>
    <row r="19524" hidden="1" x14ac:dyDescent="0.15"/>
    <row r="19525" hidden="1" x14ac:dyDescent="0.15"/>
    <row r="19526" hidden="1" x14ac:dyDescent="0.15"/>
    <row r="19527" hidden="1" x14ac:dyDescent="0.15"/>
    <row r="19528" hidden="1" x14ac:dyDescent="0.15"/>
    <row r="19529" hidden="1" x14ac:dyDescent="0.15"/>
    <row r="19530" hidden="1" x14ac:dyDescent="0.15"/>
    <row r="19531" hidden="1" x14ac:dyDescent="0.15"/>
    <row r="19532" hidden="1" x14ac:dyDescent="0.15"/>
    <row r="19533" hidden="1" x14ac:dyDescent="0.15"/>
    <row r="19534" hidden="1" x14ac:dyDescent="0.15"/>
    <row r="19535" hidden="1" x14ac:dyDescent="0.15"/>
    <row r="19536" hidden="1" x14ac:dyDescent="0.15"/>
    <row r="19537" hidden="1" x14ac:dyDescent="0.15"/>
    <row r="19538" hidden="1" x14ac:dyDescent="0.15"/>
    <row r="19539" hidden="1" x14ac:dyDescent="0.15"/>
    <row r="19540" hidden="1" x14ac:dyDescent="0.15"/>
    <row r="19541" hidden="1" x14ac:dyDescent="0.15"/>
    <row r="19542" hidden="1" x14ac:dyDescent="0.15"/>
    <row r="19543" hidden="1" x14ac:dyDescent="0.15"/>
    <row r="19544" hidden="1" x14ac:dyDescent="0.15"/>
    <row r="19545" hidden="1" x14ac:dyDescent="0.15"/>
    <row r="19546" hidden="1" x14ac:dyDescent="0.15"/>
    <row r="19547" hidden="1" x14ac:dyDescent="0.15"/>
    <row r="19548" hidden="1" x14ac:dyDescent="0.15"/>
    <row r="19549" hidden="1" x14ac:dyDescent="0.15"/>
    <row r="19550" hidden="1" x14ac:dyDescent="0.15"/>
    <row r="19551" hidden="1" x14ac:dyDescent="0.15"/>
    <row r="19552" hidden="1" x14ac:dyDescent="0.15"/>
    <row r="19553" hidden="1" x14ac:dyDescent="0.15"/>
    <row r="19554" hidden="1" x14ac:dyDescent="0.15"/>
    <row r="19555" hidden="1" x14ac:dyDescent="0.15"/>
    <row r="19556" hidden="1" x14ac:dyDescent="0.15"/>
    <row r="19557" hidden="1" x14ac:dyDescent="0.15"/>
    <row r="19558" hidden="1" x14ac:dyDescent="0.15"/>
    <row r="19559" hidden="1" x14ac:dyDescent="0.15"/>
    <row r="19560" hidden="1" x14ac:dyDescent="0.15"/>
    <row r="19561" hidden="1" x14ac:dyDescent="0.15"/>
    <row r="19562" hidden="1" x14ac:dyDescent="0.15"/>
    <row r="19563" hidden="1" x14ac:dyDescent="0.15"/>
    <row r="19564" hidden="1" x14ac:dyDescent="0.15"/>
    <row r="19565" hidden="1" x14ac:dyDescent="0.15"/>
    <row r="19566" hidden="1" x14ac:dyDescent="0.15"/>
    <row r="19567" hidden="1" x14ac:dyDescent="0.15"/>
    <row r="19568" hidden="1" x14ac:dyDescent="0.15"/>
    <row r="19569" hidden="1" x14ac:dyDescent="0.15"/>
    <row r="19570" hidden="1" x14ac:dyDescent="0.15"/>
    <row r="19571" hidden="1" x14ac:dyDescent="0.15"/>
    <row r="19572" hidden="1" x14ac:dyDescent="0.15"/>
    <row r="19573" hidden="1" x14ac:dyDescent="0.15"/>
    <row r="19574" hidden="1" x14ac:dyDescent="0.15"/>
    <row r="19575" hidden="1" x14ac:dyDescent="0.15"/>
    <row r="19576" hidden="1" x14ac:dyDescent="0.15"/>
    <row r="19577" hidden="1" x14ac:dyDescent="0.15"/>
    <row r="19578" hidden="1" x14ac:dyDescent="0.15"/>
    <row r="19579" hidden="1" x14ac:dyDescent="0.15"/>
    <row r="19580" hidden="1" x14ac:dyDescent="0.15"/>
    <row r="19581" hidden="1" x14ac:dyDescent="0.15"/>
    <row r="19582" hidden="1" x14ac:dyDescent="0.15"/>
    <row r="19583" hidden="1" x14ac:dyDescent="0.15"/>
    <row r="19584" hidden="1" x14ac:dyDescent="0.15"/>
    <row r="19585" hidden="1" x14ac:dyDescent="0.15"/>
    <row r="19586" hidden="1" x14ac:dyDescent="0.15"/>
    <row r="19587" hidden="1" x14ac:dyDescent="0.15"/>
    <row r="19588" hidden="1" x14ac:dyDescent="0.15"/>
    <row r="19589" hidden="1" x14ac:dyDescent="0.15"/>
    <row r="19590" hidden="1" x14ac:dyDescent="0.15"/>
    <row r="19591" hidden="1" x14ac:dyDescent="0.15"/>
    <row r="19592" hidden="1" x14ac:dyDescent="0.15"/>
    <row r="19593" hidden="1" x14ac:dyDescent="0.15"/>
    <row r="19594" hidden="1" x14ac:dyDescent="0.15"/>
    <row r="19595" hidden="1" x14ac:dyDescent="0.15"/>
    <row r="19596" hidden="1" x14ac:dyDescent="0.15"/>
    <row r="19597" hidden="1" x14ac:dyDescent="0.15"/>
    <row r="19598" hidden="1" x14ac:dyDescent="0.15"/>
    <row r="19599" hidden="1" x14ac:dyDescent="0.15"/>
    <row r="19600" hidden="1" x14ac:dyDescent="0.15"/>
    <row r="19601" hidden="1" x14ac:dyDescent="0.15"/>
    <row r="19602" hidden="1" x14ac:dyDescent="0.15"/>
    <row r="19603" hidden="1" x14ac:dyDescent="0.15"/>
    <row r="19604" hidden="1" x14ac:dyDescent="0.15"/>
    <row r="19605" hidden="1" x14ac:dyDescent="0.15"/>
    <row r="19606" hidden="1" x14ac:dyDescent="0.15"/>
    <row r="19607" hidden="1" x14ac:dyDescent="0.15"/>
    <row r="19608" hidden="1" x14ac:dyDescent="0.15"/>
    <row r="19609" hidden="1" x14ac:dyDescent="0.15"/>
    <row r="19610" hidden="1" x14ac:dyDescent="0.15"/>
    <row r="19611" hidden="1" x14ac:dyDescent="0.15"/>
    <row r="19612" hidden="1" x14ac:dyDescent="0.15"/>
    <row r="19613" hidden="1" x14ac:dyDescent="0.15"/>
    <row r="19614" hidden="1" x14ac:dyDescent="0.15"/>
    <row r="19615" hidden="1" x14ac:dyDescent="0.15"/>
    <row r="19616" hidden="1" x14ac:dyDescent="0.15"/>
    <row r="19617" hidden="1" x14ac:dyDescent="0.15"/>
    <row r="19618" hidden="1" x14ac:dyDescent="0.15"/>
    <row r="19619" hidden="1" x14ac:dyDescent="0.15"/>
    <row r="19620" hidden="1" x14ac:dyDescent="0.15"/>
    <row r="19621" hidden="1" x14ac:dyDescent="0.15"/>
    <row r="19622" hidden="1" x14ac:dyDescent="0.15"/>
    <row r="19623" hidden="1" x14ac:dyDescent="0.15"/>
    <row r="19624" hidden="1" x14ac:dyDescent="0.15"/>
    <row r="19625" hidden="1" x14ac:dyDescent="0.15"/>
    <row r="19626" hidden="1" x14ac:dyDescent="0.15"/>
    <row r="19627" hidden="1" x14ac:dyDescent="0.15"/>
    <row r="19628" hidden="1" x14ac:dyDescent="0.15"/>
    <row r="19629" hidden="1" x14ac:dyDescent="0.15"/>
    <row r="19630" hidden="1" x14ac:dyDescent="0.15"/>
    <row r="19631" hidden="1" x14ac:dyDescent="0.15"/>
    <row r="19632" hidden="1" x14ac:dyDescent="0.15"/>
    <row r="19633" hidden="1" x14ac:dyDescent="0.15"/>
    <row r="19634" hidden="1" x14ac:dyDescent="0.15"/>
    <row r="19635" hidden="1" x14ac:dyDescent="0.15"/>
    <row r="19636" hidden="1" x14ac:dyDescent="0.15"/>
    <row r="19637" hidden="1" x14ac:dyDescent="0.15"/>
    <row r="19638" hidden="1" x14ac:dyDescent="0.15"/>
    <row r="19639" hidden="1" x14ac:dyDescent="0.15"/>
    <row r="19640" hidden="1" x14ac:dyDescent="0.15"/>
    <row r="19641" hidden="1" x14ac:dyDescent="0.15"/>
    <row r="19642" hidden="1" x14ac:dyDescent="0.15"/>
    <row r="19643" hidden="1" x14ac:dyDescent="0.15"/>
    <row r="19644" hidden="1" x14ac:dyDescent="0.15"/>
    <row r="19645" hidden="1" x14ac:dyDescent="0.15"/>
    <row r="19646" hidden="1" x14ac:dyDescent="0.15"/>
    <row r="19647" hidden="1" x14ac:dyDescent="0.15"/>
    <row r="19648" hidden="1" x14ac:dyDescent="0.15"/>
    <row r="19649" hidden="1" x14ac:dyDescent="0.15"/>
    <row r="19650" hidden="1" x14ac:dyDescent="0.15"/>
    <row r="19651" hidden="1" x14ac:dyDescent="0.15"/>
    <row r="19652" hidden="1" x14ac:dyDescent="0.15"/>
    <row r="19653" hidden="1" x14ac:dyDescent="0.15"/>
    <row r="19654" hidden="1" x14ac:dyDescent="0.15"/>
    <row r="19655" hidden="1" x14ac:dyDescent="0.15"/>
    <row r="19656" hidden="1" x14ac:dyDescent="0.15"/>
    <row r="19657" hidden="1" x14ac:dyDescent="0.15"/>
    <row r="19658" hidden="1" x14ac:dyDescent="0.15"/>
    <row r="19659" hidden="1" x14ac:dyDescent="0.15"/>
    <row r="19660" hidden="1" x14ac:dyDescent="0.15"/>
    <row r="19661" hidden="1" x14ac:dyDescent="0.15"/>
    <row r="19662" hidden="1" x14ac:dyDescent="0.15"/>
    <row r="19663" hidden="1" x14ac:dyDescent="0.15"/>
    <row r="19664" hidden="1" x14ac:dyDescent="0.15"/>
    <row r="19665" hidden="1" x14ac:dyDescent="0.15"/>
    <row r="19666" hidden="1" x14ac:dyDescent="0.15"/>
    <row r="19667" hidden="1" x14ac:dyDescent="0.15"/>
    <row r="19668" hidden="1" x14ac:dyDescent="0.15"/>
    <row r="19669" hidden="1" x14ac:dyDescent="0.15"/>
    <row r="19670" hidden="1" x14ac:dyDescent="0.15"/>
    <row r="19671" hidden="1" x14ac:dyDescent="0.15"/>
    <row r="19672" hidden="1" x14ac:dyDescent="0.15"/>
    <row r="19673" hidden="1" x14ac:dyDescent="0.15"/>
    <row r="19674" hidden="1" x14ac:dyDescent="0.15"/>
    <row r="19675" hidden="1" x14ac:dyDescent="0.15"/>
    <row r="19676" hidden="1" x14ac:dyDescent="0.15"/>
    <row r="19677" hidden="1" x14ac:dyDescent="0.15"/>
    <row r="19678" hidden="1" x14ac:dyDescent="0.15"/>
    <row r="19679" hidden="1" x14ac:dyDescent="0.15"/>
    <row r="19680" hidden="1" x14ac:dyDescent="0.15"/>
    <row r="19681" hidden="1" x14ac:dyDescent="0.15"/>
    <row r="19682" hidden="1" x14ac:dyDescent="0.15"/>
    <row r="19683" hidden="1" x14ac:dyDescent="0.15"/>
    <row r="19684" hidden="1" x14ac:dyDescent="0.15"/>
    <row r="19685" hidden="1" x14ac:dyDescent="0.15"/>
    <row r="19686" hidden="1" x14ac:dyDescent="0.15"/>
    <row r="19687" hidden="1" x14ac:dyDescent="0.15"/>
    <row r="19688" hidden="1" x14ac:dyDescent="0.15"/>
    <row r="19689" hidden="1" x14ac:dyDescent="0.15"/>
    <row r="19690" hidden="1" x14ac:dyDescent="0.15"/>
    <row r="19691" hidden="1" x14ac:dyDescent="0.15"/>
    <row r="19692" hidden="1" x14ac:dyDescent="0.15"/>
    <row r="19693" hidden="1" x14ac:dyDescent="0.15"/>
    <row r="19694" hidden="1" x14ac:dyDescent="0.15"/>
    <row r="19695" hidden="1" x14ac:dyDescent="0.15"/>
    <row r="19696" hidden="1" x14ac:dyDescent="0.15"/>
    <row r="19697" hidden="1" x14ac:dyDescent="0.15"/>
    <row r="19698" hidden="1" x14ac:dyDescent="0.15"/>
    <row r="19699" hidden="1" x14ac:dyDescent="0.15"/>
    <row r="19700" hidden="1" x14ac:dyDescent="0.15"/>
    <row r="19701" hidden="1" x14ac:dyDescent="0.15"/>
    <row r="19702" hidden="1" x14ac:dyDescent="0.15"/>
    <row r="19703" hidden="1" x14ac:dyDescent="0.15"/>
    <row r="19704" hidden="1" x14ac:dyDescent="0.15"/>
    <row r="19705" hidden="1" x14ac:dyDescent="0.15"/>
    <row r="19706" hidden="1" x14ac:dyDescent="0.15"/>
    <row r="19707" hidden="1" x14ac:dyDescent="0.15"/>
    <row r="19708" hidden="1" x14ac:dyDescent="0.15"/>
    <row r="19709" hidden="1" x14ac:dyDescent="0.15"/>
    <row r="19710" hidden="1" x14ac:dyDescent="0.15"/>
    <row r="19711" hidden="1" x14ac:dyDescent="0.15"/>
    <row r="19712" hidden="1" x14ac:dyDescent="0.15"/>
    <row r="19713" hidden="1" x14ac:dyDescent="0.15"/>
    <row r="19714" hidden="1" x14ac:dyDescent="0.15"/>
    <row r="19715" hidden="1" x14ac:dyDescent="0.15"/>
    <row r="19716" hidden="1" x14ac:dyDescent="0.15"/>
    <row r="19717" hidden="1" x14ac:dyDescent="0.15"/>
    <row r="19718" hidden="1" x14ac:dyDescent="0.15"/>
    <row r="19719" hidden="1" x14ac:dyDescent="0.15"/>
    <row r="19720" hidden="1" x14ac:dyDescent="0.15"/>
    <row r="19721" hidden="1" x14ac:dyDescent="0.15"/>
    <row r="19722" hidden="1" x14ac:dyDescent="0.15"/>
    <row r="19723" hidden="1" x14ac:dyDescent="0.15"/>
    <row r="19724" hidden="1" x14ac:dyDescent="0.15"/>
    <row r="19725" hidden="1" x14ac:dyDescent="0.15"/>
    <row r="19726" hidden="1" x14ac:dyDescent="0.15"/>
    <row r="19727" hidden="1" x14ac:dyDescent="0.15"/>
    <row r="19728" hidden="1" x14ac:dyDescent="0.15"/>
    <row r="19729" hidden="1" x14ac:dyDescent="0.15"/>
    <row r="19730" hidden="1" x14ac:dyDescent="0.15"/>
    <row r="19731" hidden="1" x14ac:dyDescent="0.15"/>
    <row r="19732" hidden="1" x14ac:dyDescent="0.15"/>
    <row r="19733" hidden="1" x14ac:dyDescent="0.15"/>
    <row r="19734" hidden="1" x14ac:dyDescent="0.15"/>
    <row r="19735" hidden="1" x14ac:dyDescent="0.15"/>
    <row r="19736" hidden="1" x14ac:dyDescent="0.15"/>
    <row r="19737" hidden="1" x14ac:dyDescent="0.15"/>
    <row r="19738" hidden="1" x14ac:dyDescent="0.15"/>
    <row r="19739" hidden="1" x14ac:dyDescent="0.15"/>
    <row r="19740" hidden="1" x14ac:dyDescent="0.15"/>
    <row r="19741" hidden="1" x14ac:dyDescent="0.15"/>
    <row r="19742" hidden="1" x14ac:dyDescent="0.15"/>
    <row r="19743" hidden="1" x14ac:dyDescent="0.15"/>
    <row r="19744" hidden="1" x14ac:dyDescent="0.15"/>
    <row r="19745" hidden="1" x14ac:dyDescent="0.15"/>
    <row r="19746" hidden="1" x14ac:dyDescent="0.15"/>
    <row r="19747" hidden="1" x14ac:dyDescent="0.15"/>
    <row r="19748" hidden="1" x14ac:dyDescent="0.15"/>
    <row r="19749" hidden="1" x14ac:dyDescent="0.15"/>
    <row r="19750" hidden="1" x14ac:dyDescent="0.15"/>
    <row r="19751" hidden="1" x14ac:dyDescent="0.15"/>
    <row r="19752" hidden="1" x14ac:dyDescent="0.15"/>
    <row r="19753" hidden="1" x14ac:dyDescent="0.15"/>
    <row r="19754" hidden="1" x14ac:dyDescent="0.15"/>
    <row r="19755" hidden="1" x14ac:dyDescent="0.15"/>
    <row r="19756" hidden="1" x14ac:dyDescent="0.15"/>
    <row r="19757" hidden="1" x14ac:dyDescent="0.15"/>
    <row r="19758" hidden="1" x14ac:dyDescent="0.15"/>
    <row r="19759" hidden="1" x14ac:dyDescent="0.15"/>
    <row r="19760" hidden="1" x14ac:dyDescent="0.15"/>
    <row r="19761" hidden="1" x14ac:dyDescent="0.15"/>
    <row r="19762" hidden="1" x14ac:dyDescent="0.15"/>
    <row r="19763" hidden="1" x14ac:dyDescent="0.15"/>
    <row r="19764" hidden="1" x14ac:dyDescent="0.15"/>
    <row r="19765" hidden="1" x14ac:dyDescent="0.15"/>
    <row r="19766" hidden="1" x14ac:dyDescent="0.15"/>
    <row r="19767" hidden="1" x14ac:dyDescent="0.15"/>
    <row r="19768" hidden="1" x14ac:dyDescent="0.15"/>
    <row r="19769" hidden="1" x14ac:dyDescent="0.15"/>
    <row r="19770" hidden="1" x14ac:dyDescent="0.15"/>
    <row r="19771" hidden="1" x14ac:dyDescent="0.15"/>
    <row r="19772" hidden="1" x14ac:dyDescent="0.15"/>
    <row r="19773" hidden="1" x14ac:dyDescent="0.15"/>
    <row r="19774" hidden="1" x14ac:dyDescent="0.15"/>
    <row r="19775" hidden="1" x14ac:dyDescent="0.15"/>
    <row r="19776" hidden="1" x14ac:dyDescent="0.15"/>
    <row r="19777" hidden="1" x14ac:dyDescent="0.15"/>
    <row r="19778" hidden="1" x14ac:dyDescent="0.15"/>
    <row r="19779" hidden="1" x14ac:dyDescent="0.15"/>
    <row r="19780" hidden="1" x14ac:dyDescent="0.15"/>
    <row r="19781" hidden="1" x14ac:dyDescent="0.15"/>
    <row r="19782" hidden="1" x14ac:dyDescent="0.15"/>
    <row r="19783" hidden="1" x14ac:dyDescent="0.15"/>
    <row r="19784" hidden="1" x14ac:dyDescent="0.15"/>
    <row r="19785" hidden="1" x14ac:dyDescent="0.15"/>
    <row r="19786" hidden="1" x14ac:dyDescent="0.15"/>
    <row r="19787" hidden="1" x14ac:dyDescent="0.15"/>
    <row r="19788" hidden="1" x14ac:dyDescent="0.15"/>
    <row r="19789" hidden="1" x14ac:dyDescent="0.15"/>
    <row r="19790" hidden="1" x14ac:dyDescent="0.15"/>
    <row r="19791" hidden="1" x14ac:dyDescent="0.15"/>
    <row r="19792" hidden="1" x14ac:dyDescent="0.15"/>
    <row r="19793" hidden="1" x14ac:dyDescent="0.15"/>
    <row r="19794" hidden="1" x14ac:dyDescent="0.15"/>
    <row r="19795" hidden="1" x14ac:dyDescent="0.15"/>
    <row r="19796" hidden="1" x14ac:dyDescent="0.15"/>
    <row r="19797" hidden="1" x14ac:dyDescent="0.15"/>
    <row r="19798" hidden="1" x14ac:dyDescent="0.15"/>
    <row r="19799" hidden="1" x14ac:dyDescent="0.15"/>
    <row r="19800" hidden="1" x14ac:dyDescent="0.15"/>
    <row r="19801" hidden="1" x14ac:dyDescent="0.15"/>
    <row r="19802" hidden="1" x14ac:dyDescent="0.15"/>
    <row r="19803" hidden="1" x14ac:dyDescent="0.15"/>
    <row r="19804" hidden="1" x14ac:dyDescent="0.15"/>
    <row r="19805" hidden="1" x14ac:dyDescent="0.15"/>
    <row r="19806" hidden="1" x14ac:dyDescent="0.15"/>
    <row r="19807" hidden="1" x14ac:dyDescent="0.15"/>
    <row r="19808" hidden="1" x14ac:dyDescent="0.15"/>
    <row r="19809" hidden="1" x14ac:dyDescent="0.15"/>
    <row r="19810" hidden="1" x14ac:dyDescent="0.15"/>
    <row r="19811" hidden="1" x14ac:dyDescent="0.15"/>
    <row r="19812" hidden="1" x14ac:dyDescent="0.15"/>
    <row r="19813" hidden="1" x14ac:dyDescent="0.15"/>
    <row r="19814" hidden="1" x14ac:dyDescent="0.15"/>
    <row r="19815" hidden="1" x14ac:dyDescent="0.15"/>
    <row r="19816" hidden="1" x14ac:dyDescent="0.15"/>
    <row r="19817" hidden="1" x14ac:dyDescent="0.15"/>
    <row r="19818" hidden="1" x14ac:dyDescent="0.15"/>
    <row r="19819" hidden="1" x14ac:dyDescent="0.15"/>
    <row r="19820" hidden="1" x14ac:dyDescent="0.15"/>
    <row r="19821" hidden="1" x14ac:dyDescent="0.15"/>
    <row r="19822" hidden="1" x14ac:dyDescent="0.15"/>
    <row r="19823" hidden="1" x14ac:dyDescent="0.15"/>
    <row r="19824" hidden="1" x14ac:dyDescent="0.15"/>
    <row r="19825" hidden="1" x14ac:dyDescent="0.15"/>
    <row r="19826" hidden="1" x14ac:dyDescent="0.15"/>
    <row r="19827" hidden="1" x14ac:dyDescent="0.15"/>
    <row r="19828" hidden="1" x14ac:dyDescent="0.15"/>
    <row r="19829" hidden="1" x14ac:dyDescent="0.15"/>
    <row r="19830" hidden="1" x14ac:dyDescent="0.15"/>
    <row r="19831" hidden="1" x14ac:dyDescent="0.15"/>
    <row r="19832" hidden="1" x14ac:dyDescent="0.15"/>
    <row r="19833" hidden="1" x14ac:dyDescent="0.15"/>
    <row r="19834" hidden="1" x14ac:dyDescent="0.15"/>
    <row r="19835" hidden="1" x14ac:dyDescent="0.15"/>
    <row r="19836" hidden="1" x14ac:dyDescent="0.15"/>
    <row r="19837" hidden="1" x14ac:dyDescent="0.15"/>
    <row r="19838" hidden="1" x14ac:dyDescent="0.15"/>
    <row r="19839" hidden="1" x14ac:dyDescent="0.15"/>
    <row r="19840" hidden="1" x14ac:dyDescent="0.15"/>
    <row r="19841" hidden="1" x14ac:dyDescent="0.15"/>
    <row r="19842" hidden="1" x14ac:dyDescent="0.15"/>
    <row r="19843" hidden="1" x14ac:dyDescent="0.15"/>
    <row r="19844" hidden="1" x14ac:dyDescent="0.15"/>
    <row r="19845" hidden="1" x14ac:dyDescent="0.15"/>
    <row r="19846" hidden="1" x14ac:dyDescent="0.15"/>
    <row r="19847" hidden="1" x14ac:dyDescent="0.15"/>
    <row r="19848" hidden="1" x14ac:dyDescent="0.15"/>
    <row r="19849" hidden="1" x14ac:dyDescent="0.15"/>
    <row r="19850" hidden="1" x14ac:dyDescent="0.15"/>
    <row r="19851" hidden="1" x14ac:dyDescent="0.15"/>
    <row r="19852" hidden="1" x14ac:dyDescent="0.15"/>
    <row r="19853" hidden="1" x14ac:dyDescent="0.15"/>
    <row r="19854" hidden="1" x14ac:dyDescent="0.15"/>
    <row r="19855" hidden="1" x14ac:dyDescent="0.15"/>
    <row r="19856" hidden="1" x14ac:dyDescent="0.15"/>
    <row r="19857" hidden="1" x14ac:dyDescent="0.15"/>
    <row r="19858" hidden="1" x14ac:dyDescent="0.15"/>
    <row r="19859" hidden="1" x14ac:dyDescent="0.15"/>
    <row r="19860" hidden="1" x14ac:dyDescent="0.15"/>
    <row r="19861" hidden="1" x14ac:dyDescent="0.15"/>
    <row r="19862" hidden="1" x14ac:dyDescent="0.15"/>
    <row r="19863" hidden="1" x14ac:dyDescent="0.15"/>
    <row r="19864" hidden="1" x14ac:dyDescent="0.15"/>
    <row r="19865" hidden="1" x14ac:dyDescent="0.15"/>
    <row r="19866" hidden="1" x14ac:dyDescent="0.15"/>
    <row r="19867" hidden="1" x14ac:dyDescent="0.15"/>
    <row r="19868" hidden="1" x14ac:dyDescent="0.15"/>
    <row r="19869" hidden="1" x14ac:dyDescent="0.15"/>
    <row r="19870" hidden="1" x14ac:dyDescent="0.15"/>
    <row r="19871" hidden="1" x14ac:dyDescent="0.15"/>
    <row r="19872" hidden="1" x14ac:dyDescent="0.15"/>
    <row r="19873" hidden="1" x14ac:dyDescent="0.15"/>
    <row r="19874" hidden="1" x14ac:dyDescent="0.15"/>
    <row r="19875" hidden="1" x14ac:dyDescent="0.15"/>
    <row r="19876" hidden="1" x14ac:dyDescent="0.15"/>
    <row r="19877" hidden="1" x14ac:dyDescent="0.15"/>
    <row r="19878" hidden="1" x14ac:dyDescent="0.15"/>
    <row r="19879" hidden="1" x14ac:dyDescent="0.15"/>
    <row r="19880" hidden="1" x14ac:dyDescent="0.15"/>
    <row r="19881" hidden="1" x14ac:dyDescent="0.15"/>
    <row r="19882" hidden="1" x14ac:dyDescent="0.15"/>
    <row r="19883" hidden="1" x14ac:dyDescent="0.15"/>
    <row r="19884" hidden="1" x14ac:dyDescent="0.15"/>
    <row r="19885" hidden="1" x14ac:dyDescent="0.15"/>
    <row r="19886" hidden="1" x14ac:dyDescent="0.15"/>
    <row r="19887" hidden="1" x14ac:dyDescent="0.15"/>
    <row r="19888" hidden="1" x14ac:dyDescent="0.15"/>
    <row r="19889" hidden="1" x14ac:dyDescent="0.15"/>
    <row r="19890" hidden="1" x14ac:dyDescent="0.15"/>
    <row r="19891" hidden="1" x14ac:dyDescent="0.15"/>
    <row r="19892" hidden="1" x14ac:dyDescent="0.15"/>
    <row r="19893" hidden="1" x14ac:dyDescent="0.15"/>
    <row r="19894" hidden="1" x14ac:dyDescent="0.15"/>
    <row r="19895" hidden="1" x14ac:dyDescent="0.15"/>
    <row r="19896" hidden="1" x14ac:dyDescent="0.15"/>
    <row r="19897" hidden="1" x14ac:dyDescent="0.15"/>
    <row r="19898" hidden="1" x14ac:dyDescent="0.15"/>
    <row r="19899" hidden="1" x14ac:dyDescent="0.15"/>
    <row r="19900" hidden="1" x14ac:dyDescent="0.15"/>
    <row r="19901" hidden="1" x14ac:dyDescent="0.15"/>
    <row r="19902" hidden="1" x14ac:dyDescent="0.15"/>
    <row r="19903" hidden="1" x14ac:dyDescent="0.15"/>
    <row r="19904" hidden="1" x14ac:dyDescent="0.15"/>
    <row r="19905" hidden="1" x14ac:dyDescent="0.15"/>
    <row r="19906" hidden="1" x14ac:dyDescent="0.15"/>
    <row r="19907" hidden="1" x14ac:dyDescent="0.15"/>
    <row r="19908" hidden="1" x14ac:dyDescent="0.15"/>
    <row r="19909" hidden="1" x14ac:dyDescent="0.15"/>
    <row r="19910" hidden="1" x14ac:dyDescent="0.15"/>
    <row r="19911" hidden="1" x14ac:dyDescent="0.15"/>
    <row r="19912" hidden="1" x14ac:dyDescent="0.15"/>
    <row r="19913" hidden="1" x14ac:dyDescent="0.15"/>
    <row r="19914" hidden="1" x14ac:dyDescent="0.15"/>
    <row r="19915" hidden="1" x14ac:dyDescent="0.15"/>
    <row r="19916" hidden="1" x14ac:dyDescent="0.15"/>
    <row r="19917" hidden="1" x14ac:dyDescent="0.15"/>
    <row r="19918" hidden="1" x14ac:dyDescent="0.15"/>
    <row r="19919" hidden="1" x14ac:dyDescent="0.15"/>
    <row r="19920" hidden="1" x14ac:dyDescent="0.15"/>
    <row r="19921" hidden="1" x14ac:dyDescent="0.15"/>
    <row r="19922" hidden="1" x14ac:dyDescent="0.15"/>
    <row r="19923" hidden="1" x14ac:dyDescent="0.15"/>
    <row r="19924" hidden="1" x14ac:dyDescent="0.15"/>
    <row r="19925" hidden="1" x14ac:dyDescent="0.15"/>
    <row r="19926" hidden="1" x14ac:dyDescent="0.15"/>
    <row r="19927" hidden="1" x14ac:dyDescent="0.15"/>
    <row r="19928" hidden="1" x14ac:dyDescent="0.15"/>
    <row r="19929" hidden="1" x14ac:dyDescent="0.15"/>
    <row r="19930" hidden="1" x14ac:dyDescent="0.15"/>
    <row r="19931" hidden="1" x14ac:dyDescent="0.15"/>
    <row r="19932" hidden="1" x14ac:dyDescent="0.15"/>
    <row r="19933" hidden="1" x14ac:dyDescent="0.15"/>
    <row r="19934" hidden="1" x14ac:dyDescent="0.15"/>
    <row r="19935" hidden="1" x14ac:dyDescent="0.15"/>
    <row r="19936" hidden="1" x14ac:dyDescent="0.15"/>
    <row r="19937" hidden="1" x14ac:dyDescent="0.15"/>
    <row r="19938" hidden="1" x14ac:dyDescent="0.15"/>
    <row r="19939" hidden="1" x14ac:dyDescent="0.15"/>
    <row r="19940" hidden="1" x14ac:dyDescent="0.15"/>
    <row r="19941" hidden="1" x14ac:dyDescent="0.15"/>
    <row r="19942" hidden="1" x14ac:dyDescent="0.15"/>
    <row r="19943" hidden="1" x14ac:dyDescent="0.15"/>
    <row r="19944" hidden="1" x14ac:dyDescent="0.15"/>
    <row r="19945" hidden="1" x14ac:dyDescent="0.15"/>
    <row r="19946" hidden="1" x14ac:dyDescent="0.15"/>
    <row r="19947" hidden="1" x14ac:dyDescent="0.15"/>
    <row r="19948" hidden="1" x14ac:dyDescent="0.15"/>
    <row r="19949" hidden="1" x14ac:dyDescent="0.15"/>
    <row r="19950" hidden="1" x14ac:dyDescent="0.15"/>
    <row r="19951" hidden="1" x14ac:dyDescent="0.15"/>
    <row r="19952" hidden="1" x14ac:dyDescent="0.15"/>
    <row r="19953" hidden="1" x14ac:dyDescent="0.15"/>
    <row r="19954" hidden="1" x14ac:dyDescent="0.15"/>
    <row r="19955" hidden="1" x14ac:dyDescent="0.15"/>
    <row r="19956" hidden="1" x14ac:dyDescent="0.15"/>
    <row r="19957" hidden="1" x14ac:dyDescent="0.15"/>
    <row r="19958" hidden="1" x14ac:dyDescent="0.15"/>
    <row r="19959" hidden="1" x14ac:dyDescent="0.15"/>
    <row r="19960" hidden="1" x14ac:dyDescent="0.15"/>
    <row r="19961" hidden="1" x14ac:dyDescent="0.15"/>
    <row r="19962" hidden="1" x14ac:dyDescent="0.15"/>
    <row r="19963" hidden="1" x14ac:dyDescent="0.15"/>
    <row r="19964" hidden="1" x14ac:dyDescent="0.15"/>
    <row r="19965" hidden="1" x14ac:dyDescent="0.15"/>
    <row r="19966" hidden="1" x14ac:dyDescent="0.15"/>
    <row r="19967" hidden="1" x14ac:dyDescent="0.15"/>
    <row r="19968" hidden="1" x14ac:dyDescent="0.15"/>
    <row r="19969" hidden="1" x14ac:dyDescent="0.15"/>
    <row r="19970" hidden="1" x14ac:dyDescent="0.15"/>
    <row r="19971" hidden="1" x14ac:dyDescent="0.15"/>
    <row r="19972" hidden="1" x14ac:dyDescent="0.15"/>
    <row r="19973" hidden="1" x14ac:dyDescent="0.15"/>
    <row r="19974" hidden="1" x14ac:dyDescent="0.15"/>
    <row r="19975" hidden="1" x14ac:dyDescent="0.15"/>
    <row r="19976" hidden="1" x14ac:dyDescent="0.15"/>
    <row r="19977" hidden="1" x14ac:dyDescent="0.15"/>
    <row r="19978" hidden="1" x14ac:dyDescent="0.15"/>
    <row r="19979" hidden="1" x14ac:dyDescent="0.15"/>
    <row r="19980" hidden="1" x14ac:dyDescent="0.15"/>
    <row r="19981" hidden="1" x14ac:dyDescent="0.15"/>
    <row r="19982" hidden="1" x14ac:dyDescent="0.15"/>
    <row r="19983" hidden="1" x14ac:dyDescent="0.15"/>
    <row r="19984" hidden="1" x14ac:dyDescent="0.15"/>
    <row r="19985" hidden="1" x14ac:dyDescent="0.15"/>
    <row r="19986" hidden="1" x14ac:dyDescent="0.15"/>
    <row r="19987" hidden="1" x14ac:dyDescent="0.15"/>
    <row r="19988" hidden="1" x14ac:dyDescent="0.15"/>
    <row r="19989" hidden="1" x14ac:dyDescent="0.15"/>
    <row r="19990" hidden="1" x14ac:dyDescent="0.15"/>
    <row r="19991" hidden="1" x14ac:dyDescent="0.15"/>
    <row r="19992" hidden="1" x14ac:dyDescent="0.15"/>
    <row r="19993" hidden="1" x14ac:dyDescent="0.15"/>
    <row r="19994" hidden="1" x14ac:dyDescent="0.15"/>
    <row r="19995" hidden="1" x14ac:dyDescent="0.15"/>
    <row r="19996" hidden="1" x14ac:dyDescent="0.15"/>
    <row r="19997" hidden="1" x14ac:dyDescent="0.15"/>
    <row r="19998" hidden="1" x14ac:dyDescent="0.15"/>
    <row r="19999" hidden="1" x14ac:dyDescent="0.15"/>
    <row r="20000" hidden="1" x14ac:dyDescent="0.15"/>
    <row r="20001" hidden="1" x14ac:dyDescent="0.15"/>
    <row r="20002" hidden="1" x14ac:dyDescent="0.15"/>
    <row r="20003" hidden="1" x14ac:dyDescent="0.15"/>
    <row r="20004" hidden="1" x14ac:dyDescent="0.15"/>
    <row r="20005" hidden="1" x14ac:dyDescent="0.15"/>
    <row r="20006" hidden="1" x14ac:dyDescent="0.15"/>
    <row r="20007" hidden="1" x14ac:dyDescent="0.15"/>
    <row r="20008" hidden="1" x14ac:dyDescent="0.15"/>
    <row r="20009" hidden="1" x14ac:dyDescent="0.15"/>
    <row r="20010" hidden="1" x14ac:dyDescent="0.15"/>
    <row r="20011" hidden="1" x14ac:dyDescent="0.15"/>
    <row r="20012" hidden="1" x14ac:dyDescent="0.15"/>
    <row r="20013" hidden="1" x14ac:dyDescent="0.15"/>
    <row r="20014" hidden="1" x14ac:dyDescent="0.15"/>
    <row r="20015" hidden="1" x14ac:dyDescent="0.15"/>
    <row r="20016" hidden="1" x14ac:dyDescent="0.15"/>
    <row r="20017" hidden="1" x14ac:dyDescent="0.15"/>
    <row r="20018" hidden="1" x14ac:dyDescent="0.15"/>
    <row r="20019" hidden="1" x14ac:dyDescent="0.15"/>
    <row r="20020" hidden="1" x14ac:dyDescent="0.15"/>
    <row r="20021" hidden="1" x14ac:dyDescent="0.15"/>
    <row r="20022" hidden="1" x14ac:dyDescent="0.15"/>
    <row r="20023" hidden="1" x14ac:dyDescent="0.15"/>
    <row r="20024" hidden="1" x14ac:dyDescent="0.15"/>
    <row r="20025" hidden="1" x14ac:dyDescent="0.15"/>
    <row r="20026" hidden="1" x14ac:dyDescent="0.15"/>
    <row r="20027" hidden="1" x14ac:dyDescent="0.15"/>
    <row r="20028" hidden="1" x14ac:dyDescent="0.15"/>
    <row r="20029" hidden="1" x14ac:dyDescent="0.15"/>
    <row r="20030" hidden="1" x14ac:dyDescent="0.15"/>
    <row r="20031" hidden="1" x14ac:dyDescent="0.15"/>
    <row r="20032" hidden="1" x14ac:dyDescent="0.15"/>
    <row r="20033" hidden="1" x14ac:dyDescent="0.15"/>
    <row r="20034" hidden="1" x14ac:dyDescent="0.15"/>
    <row r="20035" hidden="1" x14ac:dyDescent="0.15"/>
    <row r="20036" hidden="1" x14ac:dyDescent="0.15"/>
    <row r="20037" hidden="1" x14ac:dyDescent="0.15"/>
    <row r="20038" hidden="1" x14ac:dyDescent="0.15"/>
    <row r="20039" hidden="1" x14ac:dyDescent="0.15"/>
    <row r="20040" hidden="1" x14ac:dyDescent="0.15"/>
    <row r="20041" hidden="1" x14ac:dyDescent="0.15"/>
    <row r="20042" hidden="1" x14ac:dyDescent="0.15"/>
    <row r="20043" hidden="1" x14ac:dyDescent="0.15"/>
    <row r="20044" hidden="1" x14ac:dyDescent="0.15"/>
    <row r="20045" hidden="1" x14ac:dyDescent="0.15"/>
    <row r="20046" hidden="1" x14ac:dyDescent="0.15"/>
    <row r="20047" hidden="1" x14ac:dyDescent="0.15"/>
    <row r="20048" hidden="1" x14ac:dyDescent="0.15"/>
    <row r="20049" hidden="1" x14ac:dyDescent="0.15"/>
    <row r="20050" hidden="1" x14ac:dyDescent="0.15"/>
    <row r="20051" hidden="1" x14ac:dyDescent="0.15"/>
    <row r="20052" hidden="1" x14ac:dyDescent="0.15"/>
    <row r="20053" hidden="1" x14ac:dyDescent="0.15"/>
    <row r="20054" hidden="1" x14ac:dyDescent="0.15"/>
    <row r="20055" hidden="1" x14ac:dyDescent="0.15"/>
    <row r="20056" hidden="1" x14ac:dyDescent="0.15"/>
    <row r="20057" hidden="1" x14ac:dyDescent="0.15"/>
    <row r="20058" hidden="1" x14ac:dyDescent="0.15"/>
    <row r="20059" hidden="1" x14ac:dyDescent="0.15"/>
    <row r="20060" hidden="1" x14ac:dyDescent="0.15"/>
    <row r="20061" hidden="1" x14ac:dyDescent="0.15"/>
    <row r="20062" hidden="1" x14ac:dyDescent="0.15"/>
    <row r="20063" hidden="1" x14ac:dyDescent="0.15"/>
    <row r="20064" hidden="1" x14ac:dyDescent="0.15"/>
    <row r="20065" hidden="1" x14ac:dyDescent="0.15"/>
    <row r="20066" hidden="1" x14ac:dyDescent="0.15"/>
    <row r="20067" hidden="1" x14ac:dyDescent="0.15"/>
    <row r="20068" hidden="1" x14ac:dyDescent="0.15"/>
    <row r="20069" hidden="1" x14ac:dyDescent="0.15"/>
    <row r="20070" hidden="1" x14ac:dyDescent="0.15"/>
    <row r="20071" hidden="1" x14ac:dyDescent="0.15"/>
    <row r="20072" hidden="1" x14ac:dyDescent="0.15"/>
    <row r="20073" hidden="1" x14ac:dyDescent="0.15"/>
    <row r="20074" hidden="1" x14ac:dyDescent="0.15"/>
    <row r="20075" hidden="1" x14ac:dyDescent="0.15"/>
    <row r="20076" hidden="1" x14ac:dyDescent="0.15"/>
    <row r="20077" hidden="1" x14ac:dyDescent="0.15"/>
    <row r="20078" hidden="1" x14ac:dyDescent="0.15"/>
    <row r="20079" hidden="1" x14ac:dyDescent="0.15"/>
    <row r="20080" hidden="1" x14ac:dyDescent="0.15"/>
    <row r="20081" hidden="1" x14ac:dyDescent="0.15"/>
    <row r="20082" hidden="1" x14ac:dyDescent="0.15"/>
    <row r="20083" hidden="1" x14ac:dyDescent="0.15"/>
    <row r="20084" hidden="1" x14ac:dyDescent="0.15"/>
    <row r="20085" hidden="1" x14ac:dyDescent="0.15"/>
    <row r="20086" hidden="1" x14ac:dyDescent="0.15"/>
    <row r="20087" hidden="1" x14ac:dyDescent="0.15"/>
    <row r="20088" hidden="1" x14ac:dyDescent="0.15"/>
    <row r="20089" hidden="1" x14ac:dyDescent="0.15"/>
    <row r="20090" hidden="1" x14ac:dyDescent="0.15"/>
    <row r="20091" hidden="1" x14ac:dyDescent="0.15"/>
    <row r="20092" hidden="1" x14ac:dyDescent="0.15"/>
    <row r="20093" hidden="1" x14ac:dyDescent="0.15"/>
    <row r="20094" hidden="1" x14ac:dyDescent="0.15"/>
    <row r="20095" hidden="1" x14ac:dyDescent="0.15"/>
    <row r="20096" hidden="1" x14ac:dyDescent="0.15"/>
    <row r="20097" hidden="1" x14ac:dyDescent="0.15"/>
    <row r="20098" hidden="1" x14ac:dyDescent="0.15"/>
    <row r="20099" hidden="1" x14ac:dyDescent="0.15"/>
    <row r="20100" hidden="1" x14ac:dyDescent="0.15"/>
    <row r="20101" hidden="1" x14ac:dyDescent="0.15"/>
    <row r="20102" hidden="1" x14ac:dyDescent="0.15"/>
    <row r="20103" hidden="1" x14ac:dyDescent="0.15"/>
    <row r="20104" hidden="1" x14ac:dyDescent="0.15"/>
    <row r="20105" hidden="1" x14ac:dyDescent="0.15"/>
    <row r="20106" hidden="1" x14ac:dyDescent="0.15"/>
    <row r="20107" hidden="1" x14ac:dyDescent="0.15"/>
    <row r="20108" hidden="1" x14ac:dyDescent="0.15"/>
    <row r="20109" hidden="1" x14ac:dyDescent="0.15"/>
    <row r="20110" hidden="1" x14ac:dyDescent="0.15"/>
    <row r="20111" hidden="1" x14ac:dyDescent="0.15"/>
    <row r="20112" hidden="1" x14ac:dyDescent="0.15"/>
    <row r="20113" hidden="1" x14ac:dyDescent="0.15"/>
    <row r="20114" hidden="1" x14ac:dyDescent="0.15"/>
    <row r="20115" hidden="1" x14ac:dyDescent="0.15"/>
    <row r="20116" hidden="1" x14ac:dyDescent="0.15"/>
    <row r="20117" hidden="1" x14ac:dyDescent="0.15"/>
    <row r="20118" hidden="1" x14ac:dyDescent="0.15"/>
    <row r="20119" hidden="1" x14ac:dyDescent="0.15"/>
    <row r="20120" hidden="1" x14ac:dyDescent="0.15"/>
    <row r="20121" hidden="1" x14ac:dyDescent="0.15"/>
    <row r="20122" hidden="1" x14ac:dyDescent="0.15"/>
    <row r="20123" hidden="1" x14ac:dyDescent="0.15"/>
    <row r="20124" hidden="1" x14ac:dyDescent="0.15"/>
    <row r="20125" hidden="1" x14ac:dyDescent="0.15"/>
    <row r="20126" hidden="1" x14ac:dyDescent="0.15"/>
    <row r="20127" hidden="1" x14ac:dyDescent="0.15"/>
    <row r="20128" hidden="1" x14ac:dyDescent="0.15"/>
    <row r="20129" hidden="1" x14ac:dyDescent="0.15"/>
    <row r="20130" hidden="1" x14ac:dyDescent="0.15"/>
    <row r="20131" hidden="1" x14ac:dyDescent="0.15"/>
    <row r="20132" hidden="1" x14ac:dyDescent="0.15"/>
    <row r="20133" hidden="1" x14ac:dyDescent="0.15"/>
    <row r="20134" hidden="1" x14ac:dyDescent="0.15"/>
    <row r="20135" hidden="1" x14ac:dyDescent="0.15"/>
    <row r="20136" hidden="1" x14ac:dyDescent="0.15"/>
    <row r="20137" hidden="1" x14ac:dyDescent="0.15"/>
    <row r="20138" hidden="1" x14ac:dyDescent="0.15"/>
    <row r="20139" hidden="1" x14ac:dyDescent="0.15"/>
    <row r="20140" hidden="1" x14ac:dyDescent="0.15"/>
    <row r="20141" hidden="1" x14ac:dyDescent="0.15"/>
    <row r="20142" hidden="1" x14ac:dyDescent="0.15"/>
    <row r="20143" hidden="1" x14ac:dyDescent="0.15"/>
    <row r="20144" hidden="1" x14ac:dyDescent="0.15"/>
    <row r="20145" hidden="1" x14ac:dyDescent="0.15"/>
    <row r="20146" hidden="1" x14ac:dyDescent="0.15"/>
    <row r="20147" hidden="1" x14ac:dyDescent="0.15"/>
    <row r="20148" hidden="1" x14ac:dyDescent="0.15"/>
    <row r="20149" hidden="1" x14ac:dyDescent="0.15"/>
    <row r="20150" hidden="1" x14ac:dyDescent="0.15"/>
    <row r="20151" hidden="1" x14ac:dyDescent="0.15"/>
    <row r="20152" hidden="1" x14ac:dyDescent="0.15"/>
    <row r="20153" hidden="1" x14ac:dyDescent="0.15"/>
    <row r="20154" hidden="1" x14ac:dyDescent="0.15"/>
    <row r="20155" hidden="1" x14ac:dyDescent="0.15"/>
    <row r="20156" hidden="1" x14ac:dyDescent="0.15"/>
    <row r="20157" hidden="1" x14ac:dyDescent="0.15"/>
    <row r="20158" hidden="1" x14ac:dyDescent="0.15"/>
    <row r="20159" hidden="1" x14ac:dyDescent="0.15"/>
    <row r="20160" hidden="1" x14ac:dyDescent="0.15"/>
    <row r="20161" hidden="1" x14ac:dyDescent="0.15"/>
    <row r="20162" hidden="1" x14ac:dyDescent="0.15"/>
    <row r="20163" hidden="1" x14ac:dyDescent="0.15"/>
    <row r="20164" hidden="1" x14ac:dyDescent="0.15"/>
    <row r="20165" hidden="1" x14ac:dyDescent="0.15"/>
    <row r="20166" hidden="1" x14ac:dyDescent="0.15"/>
    <row r="20167" hidden="1" x14ac:dyDescent="0.15"/>
    <row r="20168" hidden="1" x14ac:dyDescent="0.15"/>
    <row r="20169" hidden="1" x14ac:dyDescent="0.15"/>
    <row r="20170" hidden="1" x14ac:dyDescent="0.15"/>
    <row r="20171" hidden="1" x14ac:dyDescent="0.15"/>
    <row r="20172" hidden="1" x14ac:dyDescent="0.15"/>
    <row r="20173" hidden="1" x14ac:dyDescent="0.15"/>
    <row r="20174" hidden="1" x14ac:dyDescent="0.15"/>
    <row r="20175" hidden="1" x14ac:dyDescent="0.15"/>
    <row r="20176" hidden="1" x14ac:dyDescent="0.15"/>
    <row r="20177" hidden="1" x14ac:dyDescent="0.15"/>
    <row r="20178" hidden="1" x14ac:dyDescent="0.15"/>
    <row r="20179" hidden="1" x14ac:dyDescent="0.15"/>
    <row r="20180" hidden="1" x14ac:dyDescent="0.15"/>
    <row r="20181" hidden="1" x14ac:dyDescent="0.15"/>
    <row r="20182" hidden="1" x14ac:dyDescent="0.15"/>
    <row r="20183" hidden="1" x14ac:dyDescent="0.15"/>
    <row r="20184" hidden="1" x14ac:dyDescent="0.15"/>
    <row r="20185" hidden="1" x14ac:dyDescent="0.15"/>
    <row r="20186" hidden="1" x14ac:dyDescent="0.15"/>
    <row r="20187" hidden="1" x14ac:dyDescent="0.15"/>
    <row r="20188" hidden="1" x14ac:dyDescent="0.15"/>
    <row r="20189" hidden="1" x14ac:dyDescent="0.15"/>
    <row r="20190" hidden="1" x14ac:dyDescent="0.15"/>
    <row r="20191" hidden="1" x14ac:dyDescent="0.15"/>
    <row r="20192" hidden="1" x14ac:dyDescent="0.15"/>
    <row r="20193" hidden="1" x14ac:dyDescent="0.15"/>
    <row r="20194" hidden="1" x14ac:dyDescent="0.15"/>
    <row r="20195" hidden="1" x14ac:dyDescent="0.15"/>
    <row r="20196" hidden="1" x14ac:dyDescent="0.15"/>
    <row r="20197" hidden="1" x14ac:dyDescent="0.15"/>
    <row r="20198" hidden="1" x14ac:dyDescent="0.15"/>
    <row r="20199" hidden="1" x14ac:dyDescent="0.15"/>
    <row r="20200" hidden="1" x14ac:dyDescent="0.15"/>
    <row r="20201" hidden="1" x14ac:dyDescent="0.15"/>
    <row r="20202" hidden="1" x14ac:dyDescent="0.15"/>
    <row r="20203" hidden="1" x14ac:dyDescent="0.15"/>
    <row r="20204" hidden="1" x14ac:dyDescent="0.15"/>
    <row r="20205" hidden="1" x14ac:dyDescent="0.15"/>
    <row r="20206" hidden="1" x14ac:dyDescent="0.15"/>
    <row r="20207" hidden="1" x14ac:dyDescent="0.15"/>
    <row r="20208" hidden="1" x14ac:dyDescent="0.15"/>
    <row r="20209" hidden="1" x14ac:dyDescent="0.15"/>
    <row r="20210" hidden="1" x14ac:dyDescent="0.15"/>
    <row r="20211" hidden="1" x14ac:dyDescent="0.15"/>
    <row r="20212" hidden="1" x14ac:dyDescent="0.15"/>
    <row r="20213" hidden="1" x14ac:dyDescent="0.15"/>
    <row r="20214" hidden="1" x14ac:dyDescent="0.15"/>
    <row r="20215" hidden="1" x14ac:dyDescent="0.15"/>
    <row r="20216" hidden="1" x14ac:dyDescent="0.15"/>
    <row r="20217" hidden="1" x14ac:dyDescent="0.15"/>
    <row r="20218" hidden="1" x14ac:dyDescent="0.15"/>
    <row r="20219" hidden="1" x14ac:dyDescent="0.15"/>
    <row r="20220" hidden="1" x14ac:dyDescent="0.15"/>
    <row r="20221" hidden="1" x14ac:dyDescent="0.15"/>
    <row r="20222" hidden="1" x14ac:dyDescent="0.15"/>
    <row r="20223" hidden="1" x14ac:dyDescent="0.15"/>
    <row r="20224" hidden="1" x14ac:dyDescent="0.15"/>
    <row r="20225" hidden="1" x14ac:dyDescent="0.15"/>
    <row r="20226" hidden="1" x14ac:dyDescent="0.15"/>
    <row r="20227" hidden="1" x14ac:dyDescent="0.15"/>
    <row r="20228" hidden="1" x14ac:dyDescent="0.15"/>
    <row r="20229" hidden="1" x14ac:dyDescent="0.15"/>
    <row r="20230" hidden="1" x14ac:dyDescent="0.15"/>
    <row r="20231" hidden="1" x14ac:dyDescent="0.15"/>
    <row r="20232" hidden="1" x14ac:dyDescent="0.15"/>
    <row r="20233" hidden="1" x14ac:dyDescent="0.15"/>
    <row r="20234" hidden="1" x14ac:dyDescent="0.15"/>
    <row r="20235" hidden="1" x14ac:dyDescent="0.15"/>
    <row r="20236" hidden="1" x14ac:dyDescent="0.15"/>
    <row r="20237" hidden="1" x14ac:dyDescent="0.15"/>
    <row r="20238" hidden="1" x14ac:dyDescent="0.15"/>
    <row r="20239" hidden="1" x14ac:dyDescent="0.15"/>
    <row r="20240" hidden="1" x14ac:dyDescent="0.15"/>
    <row r="20241" hidden="1" x14ac:dyDescent="0.15"/>
    <row r="20242" hidden="1" x14ac:dyDescent="0.15"/>
    <row r="20243" hidden="1" x14ac:dyDescent="0.15"/>
    <row r="20244" hidden="1" x14ac:dyDescent="0.15"/>
    <row r="20245" hidden="1" x14ac:dyDescent="0.15"/>
    <row r="20246" hidden="1" x14ac:dyDescent="0.15"/>
    <row r="20247" hidden="1" x14ac:dyDescent="0.15"/>
    <row r="20248" hidden="1" x14ac:dyDescent="0.15"/>
    <row r="20249" hidden="1" x14ac:dyDescent="0.15"/>
    <row r="20250" hidden="1" x14ac:dyDescent="0.15"/>
    <row r="20251" hidden="1" x14ac:dyDescent="0.15"/>
    <row r="20252" hidden="1" x14ac:dyDescent="0.15"/>
    <row r="20253" hidden="1" x14ac:dyDescent="0.15"/>
    <row r="20254" hidden="1" x14ac:dyDescent="0.15"/>
    <row r="20255" hidden="1" x14ac:dyDescent="0.15"/>
    <row r="20256" hidden="1" x14ac:dyDescent="0.15"/>
    <row r="20257" hidden="1" x14ac:dyDescent="0.15"/>
    <row r="20258" hidden="1" x14ac:dyDescent="0.15"/>
    <row r="20259" hidden="1" x14ac:dyDescent="0.15"/>
    <row r="20260" hidden="1" x14ac:dyDescent="0.15"/>
    <row r="20261" hidden="1" x14ac:dyDescent="0.15"/>
    <row r="20262" hidden="1" x14ac:dyDescent="0.15"/>
    <row r="20263" hidden="1" x14ac:dyDescent="0.15"/>
    <row r="20264" hidden="1" x14ac:dyDescent="0.15"/>
    <row r="20265" hidden="1" x14ac:dyDescent="0.15"/>
    <row r="20266" hidden="1" x14ac:dyDescent="0.15"/>
    <row r="20267" hidden="1" x14ac:dyDescent="0.15"/>
    <row r="20268" hidden="1" x14ac:dyDescent="0.15"/>
    <row r="20269" hidden="1" x14ac:dyDescent="0.15"/>
    <row r="20270" hidden="1" x14ac:dyDescent="0.15"/>
    <row r="20271" hidden="1" x14ac:dyDescent="0.15"/>
    <row r="20272" hidden="1" x14ac:dyDescent="0.15"/>
    <row r="20273" hidden="1" x14ac:dyDescent="0.15"/>
    <row r="20274" hidden="1" x14ac:dyDescent="0.15"/>
    <row r="20275" hidden="1" x14ac:dyDescent="0.15"/>
    <row r="20276" hidden="1" x14ac:dyDescent="0.15"/>
    <row r="20277" hidden="1" x14ac:dyDescent="0.15"/>
    <row r="20278" hidden="1" x14ac:dyDescent="0.15"/>
    <row r="20279" hidden="1" x14ac:dyDescent="0.15"/>
    <row r="20280" hidden="1" x14ac:dyDescent="0.15"/>
    <row r="20281" hidden="1" x14ac:dyDescent="0.15"/>
    <row r="20282" hidden="1" x14ac:dyDescent="0.15"/>
    <row r="20283" hidden="1" x14ac:dyDescent="0.15"/>
    <row r="20284" hidden="1" x14ac:dyDescent="0.15"/>
    <row r="20285" hidden="1" x14ac:dyDescent="0.15"/>
    <row r="20286" hidden="1" x14ac:dyDescent="0.15"/>
    <row r="20287" hidden="1" x14ac:dyDescent="0.15"/>
    <row r="20288" hidden="1" x14ac:dyDescent="0.15"/>
    <row r="20289" hidden="1" x14ac:dyDescent="0.15"/>
    <row r="20290" hidden="1" x14ac:dyDescent="0.15"/>
    <row r="20291" hidden="1" x14ac:dyDescent="0.15"/>
    <row r="20292" hidden="1" x14ac:dyDescent="0.15"/>
    <row r="20293" hidden="1" x14ac:dyDescent="0.15"/>
    <row r="20294" hidden="1" x14ac:dyDescent="0.15"/>
    <row r="20295" hidden="1" x14ac:dyDescent="0.15"/>
    <row r="20296" hidden="1" x14ac:dyDescent="0.15"/>
    <row r="20297" hidden="1" x14ac:dyDescent="0.15"/>
    <row r="20298" hidden="1" x14ac:dyDescent="0.15"/>
    <row r="20299" hidden="1" x14ac:dyDescent="0.15"/>
    <row r="20300" hidden="1" x14ac:dyDescent="0.15"/>
    <row r="20301" hidden="1" x14ac:dyDescent="0.15"/>
    <row r="20302" hidden="1" x14ac:dyDescent="0.15"/>
    <row r="20303" hidden="1" x14ac:dyDescent="0.15"/>
    <row r="20304" hidden="1" x14ac:dyDescent="0.15"/>
    <row r="20305" hidden="1" x14ac:dyDescent="0.15"/>
    <row r="20306" hidden="1" x14ac:dyDescent="0.15"/>
    <row r="20307" hidden="1" x14ac:dyDescent="0.15"/>
    <row r="20308" hidden="1" x14ac:dyDescent="0.15"/>
    <row r="20309" hidden="1" x14ac:dyDescent="0.15"/>
    <row r="20310" hidden="1" x14ac:dyDescent="0.15"/>
    <row r="20311" hidden="1" x14ac:dyDescent="0.15"/>
    <row r="20312" hidden="1" x14ac:dyDescent="0.15"/>
    <row r="20313" hidden="1" x14ac:dyDescent="0.15"/>
    <row r="20314" hidden="1" x14ac:dyDescent="0.15"/>
    <row r="20315" hidden="1" x14ac:dyDescent="0.15"/>
    <row r="20316" hidden="1" x14ac:dyDescent="0.15"/>
    <row r="20317" hidden="1" x14ac:dyDescent="0.15"/>
    <row r="20318" hidden="1" x14ac:dyDescent="0.15"/>
    <row r="20319" hidden="1" x14ac:dyDescent="0.15"/>
    <row r="20320" hidden="1" x14ac:dyDescent="0.15"/>
    <row r="20321" hidden="1" x14ac:dyDescent="0.15"/>
    <row r="20322" hidden="1" x14ac:dyDescent="0.15"/>
    <row r="20323" hidden="1" x14ac:dyDescent="0.15"/>
    <row r="20324" hidden="1" x14ac:dyDescent="0.15"/>
    <row r="20325" hidden="1" x14ac:dyDescent="0.15"/>
    <row r="20326" hidden="1" x14ac:dyDescent="0.15"/>
    <row r="20327" hidden="1" x14ac:dyDescent="0.15"/>
    <row r="20328" hidden="1" x14ac:dyDescent="0.15"/>
    <row r="20329" hidden="1" x14ac:dyDescent="0.15"/>
    <row r="20330" hidden="1" x14ac:dyDescent="0.15"/>
    <row r="20331" hidden="1" x14ac:dyDescent="0.15"/>
    <row r="20332" hidden="1" x14ac:dyDescent="0.15"/>
    <row r="20333" hidden="1" x14ac:dyDescent="0.15"/>
    <row r="20334" hidden="1" x14ac:dyDescent="0.15"/>
    <row r="20335" hidden="1" x14ac:dyDescent="0.15"/>
    <row r="20336" hidden="1" x14ac:dyDescent="0.15"/>
    <row r="20337" hidden="1" x14ac:dyDescent="0.15"/>
    <row r="20338" hidden="1" x14ac:dyDescent="0.15"/>
    <row r="20339" hidden="1" x14ac:dyDescent="0.15"/>
    <row r="20340" hidden="1" x14ac:dyDescent="0.15"/>
    <row r="20341" hidden="1" x14ac:dyDescent="0.15"/>
    <row r="20342" hidden="1" x14ac:dyDescent="0.15"/>
    <row r="20343" hidden="1" x14ac:dyDescent="0.15"/>
    <row r="20344" hidden="1" x14ac:dyDescent="0.15"/>
    <row r="20345" hidden="1" x14ac:dyDescent="0.15"/>
    <row r="20346" hidden="1" x14ac:dyDescent="0.15"/>
    <row r="20347" hidden="1" x14ac:dyDescent="0.15"/>
    <row r="20348" hidden="1" x14ac:dyDescent="0.15"/>
    <row r="20349" hidden="1" x14ac:dyDescent="0.15"/>
    <row r="20350" hidden="1" x14ac:dyDescent="0.15"/>
    <row r="20351" hidden="1" x14ac:dyDescent="0.15"/>
    <row r="20352" hidden="1" x14ac:dyDescent="0.15"/>
    <row r="20353" hidden="1" x14ac:dyDescent="0.15"/>
    <row r="20354" hidden="1" x14ac:dyDescent="0.15"/>
    <row r="20355" hidden="1" x14ac:dyDescent="0.15"/>
    <row r="20356" hidden="1" x14ac:dyDescent="0.15"/>
    <row r="20357" hidden="1" x14ac:dyDescent="0.15"/>
    <row r="20358" hidden="1" x14ac:dyDescent="0.15"/>
    <row r="20359" hidden="1" x14ac:dyDescent="0.15"/>
    <row r="20360" hidden="1" x14ac:dyDescent="0.15"/>
    <row r="20361" hidden="1" x14ac:dyDescent="0.15"/>
    <row r="20362" hidden="1" x14ac:dyDescent="0.15"/>
    <row r="20363" hidden="1" x14ac:dyDescent="0.15"/>
    <row r="20364" hidden="1" x14ac:dyDescent="0.15"/>
    <row r="20365" hidden="1" x14ac:dyDescent="0.15"/>
    <row r="20366" hidden="1" x14ac:dyDescent="0.15"/>
    <row r="20367" hidden="1" x14ac:dyDescent="0.15"/>
    <row r="20368" hidden="1" x14ac:dyDescent="0.15"/>
    <row r="20369" hidden="1" x14ac:dyDescent="0.15"/>
    <row r="20370" hidden="1" x14ac:dyDescent="0.15"/>
    <row r="20371" hidden="1" x14ac:dyDescent="0.15"/>
    <row r="20372" hidden="1" x14ac:dyDescent="0.15"/>
    <row r="20373" hidden="1" x14ac:dyDescent="0.15"/>
    <row r="20374" hidden="1" x14ac:dyDescent="0.15"/>
    <row r="20375" hidden="1" x14ac:dyDescent="0.15"/>
    <row r="20376" hidden="1" x14ac:dyDescent="0.15"/>
    <row r="20377" hidden="1" x14ac:dyDescent="0.15"/>
    <row r="20378" hidden="1" x14ac:dyDescent="0.15"/>
    <row r="20379" hidden="1" x14ac:dyDescent="0.15"/>
    <row r="20380" hidden="1" x14ac:dyDescent="0.15"/>
    <row r="20381" hidden="1" x14ac:dyDescent="0.15"/>
    <row r="20382" hidden="1" x14ac:dyDescent="0.15"/>
    <row r="20383" hidden="1" x14ac:dyDescent="0.15"/>
    <row r="20384" hidden="1" x14ac:dyDescent="0.15"/>
    <row r="20385" hidden="1" x14ac:dyDescent="0.15"/>
    <row r="20386" hidden="1" x14ac:dyDescent="0.15"/>
    <row r="20387" hidden="1" x14ac:dyDescent="0.15"/>
    <row r="20388" hidden="1" x14ac:dyDescent="0.15"/>
    <row r="20389" hidden="1" x14ac:dyDescent="0.15"/>
    <row r="20390" hidden="1" x14ac:dyDescent="0.15"/>
    <row r="20391" hidden="1" x14ac:dyDescent="0.15"/>
    <row r="20392" hidden="1" x14ac:dyDescent="0.15"/>
    <row r="20393" hidden="1" x14ac:dyDescent="0.15"/>
    <row r="20394" hidden="1" x14ac:dyDescent="0.15"/>
    <row r="20395" hidden="1" x14ac:dyDescent="0.15"/>
    <row r="20396" hidden="1" x14ac:dyDescent="0.15"/>
    <row r="20397" hidden="1" x14ac:dyDescent="0.15"/>
    <row r="20398" hidden="1" x14ac:dyDescent="0.15"/>
    <row r="20399" hidden="1" x14ac:dyDescent="0.15"/>
    <row r="20400" hidden="1" x14ac:dyDescent="0.15"/>
    <row r="20401" hidden="1" x14ac:dyDescent="0.15"/>
    <row r="20402" hidden="1" x14ac:dyDescent="0.15"/>
    <row r="20403" hidden="1" x14ac:dyDescent="0.15"/>
    <row r="20404" hidden="1" x14ac:dyDescent="0.15"/>
    <row r="20405" hidden="1" x14ac:dyDescent="0.15"/>
    <row r="20406" hidden="1" x14ac:dyDescent="0.15"/>
    <row r="20407" hidden="1" x14ac:dyDescent="0.15"/>
    <row r="20408" hidden="1" x14ac:dyDescent="0.15"/>
    <row r="20409" hidden="1" x14ac:dyDescent="0.15"/>
    <row r="20410" hidden="1" x14ac:dyDescent="0.15"/>
    <row r="20411" hidden="1" x14ac:dyDescent="0.15"/>
    <row r="20412" hidden="1" x14ac:dyDescent="0.15"/>
    <row r="20413" hidden="1" x14ac:dyDescent="0.15"/>
    <row r="20414" hidden="1" x14ac:dyDescent="0.15"/>
    <row r="20415" hidden="1" x14ac:dyDescent="0.15"/>
    <row r="20416" hidden="1" x14ac:dyDescent="0.15"/>
    <row r="20417" hidden="1" x14ac:dyDescent="0.15"/>
    <row r="20418" hidden="1" x14ac:dyDescent="0.15"/>
    <row r="20419" hidden="1" x14ac:dyDescent="0.15"/>
    <row r="20420" hidden="1" x14ac:dyDescent="0.15"/>
    <row r="20421" hidden="1" x14ac:dyDescent="0.15"/>
    <row r="20422" hidden="1" x14ac:dyDescent="0.15"/>
    <row r="20423" hidden="1" x14ac:dyDescent="0.15"/>
    <row r="20424" hidden="1" x14ac:dyDescent="0.15"/>
    <row r="20425" hidden="1" x14ac:dyDescent="0.15"/>
    <row r="20426" hidden="1" x14ac:dyDescent="0.15"/>
    <row r="20427" hidden="1" x14ac:dyDescent="0.15"/>
    <row r="20428" hidden="1" x14ac:dyDescent="0.15"/>
    <row r="20429" hidden="1" x14ac:dyDescent="0.15"/>
    <row r="20430" hidden="1" x14ac:dyDescent="0.15"/>
    <row r="20431" hidden="1" x14ac:dyDescent="0.15"/>
    <row r="20432" hidden="1" x14ac:dyDescent="0.15"/>
    <row r="20433" hidden="1" x14ac:dyDescent="0.15"/>
    <row r="20434" hidden="1" x14ac:dyDescent="0.15"/>
    <row r="20435" hidden="1" x14ac:dyDescent="0.15"/>
    <row r="20436" hidden="1" x14ac:dyDescent="0.15"/>
    <row r="20437" hidden="1" x14ac:dyDescent="0.15"/>
    <row r="20438" hidden="1" x14ac:dyDescent="0.15"/>
    <row r="20439" hidden="1" x14ac:dyDescent="0.15"/>
    <row r="20440" hidden="1" x14ac:dyDescent="0.15"/>
    <row r="20441" hidden="1" x14ac:dyDescent="0.15"/>
    <row r="20442" hidden="1" x14ac:dyDescent="0.15"/>
    <row r="20443" hidden="1" x14ac:dyDescent="0.15"/>
    <row r="20444" hidden="1" x14ac:dyDescent="0.15"/>
    <row r="20445" hidden="1" x14ac:dyDescent="0.15"/>
    <row r="20446" hidden="1" x14ac:dyDescent="0.15"/>
    <row r="20447" hidden="1" x14ac:dyDescent="0.15"/>
    <row r="20448" hidden="1" x14ac:dyDescent="0.15"/>
    <row r="20449" hidden="1" x14ac:dyDescent="0.15"/>
    <row r="20450" hidden="1" x14ac:dyDescent="0.15"/>
    <row r="20451" hidden="1" x14ac:dyDescent="0.15"/>
    <row r="20452" hidden="1" x14ac:dyDescent="0.15"/>
    <row r="20453" hidden="1" x14ac:dyDescent="0.15"/>
    <row r="20454" hidden="1" x14ac:dyDescent="0.15"/>
    <row r="20455" hidden="1" x14ac:dyDescent="0.15"/>
    <row r="20456" hidden="1" x14ac:dyDescent="0.15"/>
    <row r="20457" hidden="1" x14ac:dyDescent="0.15"/>
    <row r="20458" hidden="1" x14ac:dyDescent="0.15"/>
    <row r="20459" hidden="1" x14ac:dyDescent="0.15"/>
    <row r="20460" hidden="1" x14ac:dyDescent="0.15"/>
    <row r="20461" hidden="1" x14ac:dyDescent="0.15"/>
    <row r="20462" hidden="1" x14ac:dyDescent="0.15"/>
    <row r="20463" hidden="1" x14ac:dyDescent="0.15"/>
    <row r="20464" hidden="1" x14ac:dyDescent="0.15"/>
    <row r="20465" hidden="1" x14ac:dyDescent="0.15"/>
    <row r="20466" hidden="1" x14ac:dyDescent="0.15"/>
    <row r="20467" hidden="1" x14ac:dyDescent="0.15"/>
    <row r="20468" hidden="1" x14ac:dyDescent="0.15"/>
    <row r="20469" hidden="1" x14ac:dyDescent="0.15"/>
    <row r="20470" hidden="1" x14ac:dyDescent="0.15"/>
    <row r="20471" hidden="1" x14ac:dyDescent="0.15"/>
    <row r="20472" hidden="1" x14ac:dyDescent="0.15"/>
    <row r="20473" hidden="1" x14ac:dyDescent="0.15"/>
    <row r="20474" hidden="1" x14ac:dyDescent="0.15"/>
    <row r="20475" hidden="1" x14ac:dyDescent="0.15"/>
    <row r="20476" hidden="1" x14ac:dyDescent="0.15"/>
    <row r="20477" hidden="1" x14ac:dyDescent="0.15"/>
    <row r="20478" hidden="1" x14ac:dyDescent="0.15"/>
    <row r="20479" hidden="1" x14ac:dyDescent="0.15"/>
    <row r="20480" hidden="1" x14ac:dyDescent="0.15"/>
    <row r="20481" hidden="1" x14ac:dyDescent="0.15"/>
    <row r="20482" hidden="1" x14ac:dyDescent="0.15"/>
    <row r="20483" hidden="1" x14ac:dyDescent="0.15"/>
    <row r="20484" hidden="1" x14ac:dyDescent="0.15"/>
    <row r="20485" hidden="1" x14ac:dyDescent="0.15"/>
    <row r="20486" hidden="1" x14ac:dyDescent="0.15"/>
    <row r="20487" hidden="1" x14ac:dyDescent="0.15"/>
    <row r="20488" hidden="1" x14ac:dyDescent="0.15"/>
    <row r="20489" hidden="1" x14ac:dyDescent="0.15"/>
    <row r="20490" hidden="1" x14ac:dyDescent="0.15"/>
    <row r="20491" hidden="1" x14ac:dyDescent="0.15"/>
    <row r="20492" hidden="1" x14ac:dyDescent="0.15"/>
    <row r="20493" hidden="1" x14ac:dyDescent="0.15"/>
    <row r="20494" hidden="1" x14ac:dyDescent="0.15"/>
    <row r="20495" hidden="1" x14ac:dyDescent="0.15"/>
    <row r="20496" hidden="1" x14ac:dyDescent="0.15"/>
    <row r="20497" hidden="1" x14ac:dyDescent="0.15"/>
    <row r="20498" hidden="1" x14ac:dyDescent="0.15"/>
    <row r="20499" hidden="1" x14ac:dyDescent="0.15"/>
    <row r="20500" hidden="1" x14ac:dyDescent="0.15"/>
    <row r="20501" hidden="1" x14ac:dyDescent="0.15"/>
    <row r="20502" hidden="1" x14ac:dyDescent="0.15"/>
    <row r="20503" hidden="1" x14ac:dyDescent="0.15"/>
    <row r="20504" hidden="1" x14ac:dyDescent="0.15"/>
    <row r="20505" hidden="1" x14ac:dyDescent="0.15"/>
    <row r="20506" hidden="1" x14ac:dyDescent="0.15"/>
    <row r="20507" hidden="1" x14ac:dyDescent="0.15"/>
    <row r="20508" hidden="1" x14ac:dyDescent="0.15"/>
    <row r="20509" hidden="1" x14ac:dyDescent="0.15"/>
    <row r="20510" hidden="1" x14ac:dyDescent="0.15"/>
    <row r="20511" hidden="1" x14ac:dyDescent="0.15"/>
    <row r="20512" hidden="1" x14ac:dyDescent="0.15"/>
    <row r="20513" hidden="1" x14ac:dyDescent="0.15"/>
    <row r="20514" hidden="1" x14ac:dyDescent="0.15"/>
    <row r="20515" hidden="1" x14ac:dyDescent="0.15"/>
    <row r="20516" hidden="1" x14ac:dyDescent="0.15"/>
    <row r="20517" hidden="1" x14ac:dyDescent="0.15"/>
    <row r="20518" hidden="1" x14ac:dyDescent="0.15"/>
    <row r="20519" hidden="1" x14ac:dyDescent="0.15"/>
    <row r="20520" hidden="1" x14ac:dyDescent="0.15"/>
    <row r="20521" hidden="1" x14ac:dyDescent="0.15"/>
    <row r="20522" hidden="1" x14ac:dyDescent="0.15"/>
    <row r="20523" hidden="1" x14ac:dyDescent="0.15"/>
    <row r="20524" hidden="1" x14ac:dyDescent="0.15"/>
    <row r="20525" hidden="1" x14ac:dyDescent="0.15"/>
    <row r="20526" hidden="1" x14ac:dyDescent="0.15"/>
    <row r="20527" hidden="1" x14ac:dyDescent="0.15"/>
    <row r="20528" hidden="1" x14ac:dyDescent="0.15"/>
    <row r="20529" hidden="1" x14ac:dyDescent="0.15"/>
    <row r="20530" hidden="1" x14ac:dyDescent="0.15"/>
    <row r="20531" hidden="1" x14ac:dyDescent="0.15"/>
    <row r="20532" hidden="1" x14ac:dyDescent="0.15"/>
    <row r="20533" hidden="1" x14ac:dyDescent="0.15"/>
    <row r="20534" hidden="1" x14ac:dyDescent="0.15"/>
    <row r="20535" hidden="1" x14ac:dyDescent="0.15"/>
    <row r="20536" hidden="1" x14ac:dyDescent="0.15"/>
    <row r="20537" hidden="1" x14ac:dyDescent="0.15"/>
    <row r="20538" hidden="1" x14ac:dyDescent="0.15"/>
    <row r="20539" hidden="1" x14ac:dyDescent="0.15"/>
    <row r="20540" hidden="1" x14ac:dyDescent="0.15"/>
    <row r="20541" hidden="1" x14ac:dyDescent="0.15"/>
    <row r="20542" hidden="1" x14ac:dyDescent="0.15"/>
    <row r="20543" hidden="1" x14ac:dyDescent="0.15"/>
    <row r="20544" hidden="1" x14ac:dyDescent="0.15"/>
    <row r="20545" hidden="1" x14ac:dyDescent="0.15"/>
    <row r="20546" hidden="1" x14ac:dyDescent="0.15"/>
    <row r="20547" hidden="1" x14ac:dyDescent="0.15"/>
    <row r="20548" hidden="1" x14ac:dyDescent="0.15"/>
    <row r="20549" hidden="1" x14ac:dyDescent="0.15"/>
    <row r="20550" hidden="1" x14ac:dyDescent="0.15"/>
    <row r="20551" hidden="1" x14ac:dyDescent="0.15"/>
    <row r="20552" hidden="1" x14ac:dyDescent="0.15"/>
    <row r="20553" hidden="1" x14ac:dyDescent="0.15"/>
    <row r="20554" hidden="1" x14ac:dyDescent="0.15"/>
    <row r="20555" hidden="1" x14ac:dyDescent="0.15"/>
    <row r="20556" hidden="1" x14ac:dyDescent="0.15"/>
    <row r="20557" hidden="1" x14ac:dyDescent="0.15"/>
    <row r="20558" hidden="1" x14ac:dyDescent="0.15"/>
    <row r="20559" hidden="1" x14ac:dyDescent="0.15"/>
    <row r="20560" hidden="1" x14ac:dyDescent="0.15"/>
    <row r="20561" hidden="1" x14ac:dyDescent="0.15"/>
    <row r="20562" hidden="1" x14ac:dyDescent="0.15"/>
    <row r="20563" hidden="1" x14ac:dyDescent="0.15"/>
    <row r="20564" hidden="1" x14ac:dyDescent="0.15"/>
    <row r="20565" hidden="1" x14ac:dyDescent="0.15"/>
    <row r="20566" hidden="1" x14ac:dyDescent="0.15"/>
    <row r="20567" hidden="1" x14ac:dyDescent="0.15"/>
    <row r="20568" hidden="1" x14ac:dyDescent="0.15"/>
    <row r="20569" hidden="1" x14ac:dyDescent="0.15"/>
    <row r="20570" hidden="1" x14ac:dyDescent="0.15"/>
    <row r="20571" hidden="1" x14ac:dyDescent="0.15"/>
    <row r="20572" hidden="1" x14ac:dyDescent="0.15"/>
    <row r="20573" hidden="1" x14ac:dyDescent="0.15"/>
    <row r="20574" hidden="1" x14ac:dyDescent="0.15"/>
    <row r="20575" hidden="1" x14ac:dyDescent="0.15"/>
    <row r="20576" hidden="1" x14ac:dyDescent="0.15"/>
    <row r="20577" hidden="1" x14ac:dyDescent="0.15"/>
    <row r="20578" hidden="1" x14ac:dyDescent="0.15"/>
    <row r="20579" hidden="1" x14ac:dyDescent="0.15"/>
    <row r="20580" hidden="1" x14ac:dyDescent="0.15"/>
    <row r="20581" hidden="1" x14ac:dyDescent="0.15"/>
    <row r="20582" hidden="1" x14ac:dyDescent="0.15"/>
    <row r="20583" hidden="1" x14ac:dyDescent="0.15"/>
    <row r="20584" hidden="1" x14ac:dyDescent="0.15"/>
    <row r="20585" hidden="1" x14ac:dyDescent="0.15"/>
    <row r="20586" hidden="1" x14ac:dyDescent="0.15"/>
    <row r="20587" hidden="1" x14ac:dyDescent="0.15"/>
    <row r="20588" hidden="1" x14ac:dyDescent="0.15"/>
    <row r="20589" hidden="1" x14ac:dyDescent="0.15"/>
    <row r="20590" hidden="1" x14ac:dyDescent="0.15"/>
    <row r="20591" hidden="1" x14ac:dyDescent="0.15"/>
    <row r="20592" hidden="1" x14ac:dyDescent="0.15"/>
    <row r="20593" hidden="1" x14ac:dyDescent="0.15"/>
    <row r="20594" hidden="1" x14ac:dyDescent="0.15"/>
    <row r="20595" hidden="1" x14ac:dyDescent="0.15"/>
    <row r="20596" hidden="1" x14ac:dyDescent="0.15"/>
    <row r="20597" hidden="1" x14ac:dyDescent="0.15"/>
    <row r="20598" hidden="1" x14ac:dyDescent="0.15"/>
    <row r="20599" hidden="1" x14ac:dyDescent="0.15"/>
    <row r="20600" hidden="1" x14ac:dyDescent="0.15"/>
    <row r="20601" hidden="1" x14ac:dyDescent="0.15"/>
    <row r="20602" hidden="1" x14ac:dyDescent="0.15"/>
    <row r="20603" hidden="1" x14ac:dyDescent="0.15"/>
    <row r="20604" hidden="1" x14ac:dyDescent="0.15"/>
    <row r="20605" hidden="1" x14ac:dyDescent="0.15"/>
    <row r="20606" hidden="1" x14ac:dyDescent="0.15"/>
    <row r="20607" hidden="1" x14ac:dyDescent="0.15"/>
    <row r="20608" hidden="1" x14ac:dyDescent="0.15"/>
    <row r="20609" hidden="1" x14ac:dyDescent="0.15"/>
    <row r="20610" hidden="1" x14ac:dyDescent="0.15"/>
    <row r="20611" hidden="1" x14ac:dyDescent="0.15"/>
    <row r="20612" hidden="1" x14ac:dyDescent="0.15"/>
    <row r="20613" hidden="1" x14ac:dyDescent="0.15"/>
    <row r="20614" hidden="1" x14ac:dyDescent="0.15"/>
    <row r="20615" hidden="1" x14ac:dyDescent="0.15"/>
    <row r="20616" hidden="1" x14ac:dyDescent="0.15"/>
    <row r="20617" hidden="1" x14ac:dyDescent="0.15"/>
    <row r="20618" hidden="1" x14ac:dyDescent="0.15"/>
    <row r="20619" hidden="1" x14ac:dyDescent="0.15"/>
    <row r="20620" hidden="1" x14ac:dyDescent="0.15"/>
    <row r="20621" hidden="1" x14ac:dyDescent="0.15"/>
    <row r="20622" hidden="1" x14ac:dyDescent="0.15"/>
    <row r="20623" hidden="1" x14ac:dyDescent="0.15"/>
    <row r="20624" hidden="1" x14ac:dyDescent="0.15"/>
    <row r="20625" hidden="1" x14ac:dyDescent="0.15"/>
    <row r="20626" hidden="1" x14ac:dyDescent="0.15"/>
    <row r="20627" hidden="1" x14ac:dyDescent="0.15"/>
    <row r="20628" hidden="1" x14ac:dyDescent="0.15"/>
    <row r="20629" hidden="1" x14ac:dyDescent="0.15"/>
    <row r="20630" hidden="1" x14ac:dyDescent="0.15"/>
    <row r="20631" hidden="1" x14ac:dyDescent="0.15"/>
    <row r="20632" hidden="1" x14ac:dyDescent="0.15"/>
    <row r="20633" hidden="1" x14ac:dyDescent="0.15"/>
    <row r="20634" hidden="1" x14ac:dyDescent="0.15"/>
    <row r="20635" hidden="1" x14ac:dyDescent="0.15"/>
    <row r="20636" hidden="1" x14ac:dyDescent="0.15"/>
    <row r="20637" hidden="1" x14ac:dyDescent="0.15"/>
    <row r="20638" hidden="1" x14ac:dyDescent="0.15"/>
    <row r="20639" hidden="1" x14ac:dyDescent="0.15"/>
    <row r="20640" hidden="1" x14ac:dyDescent="0.15"/>
    <row r="20641" hidden="1" x14ac:dyDescent="0.15"/>
    <row r="20642" hidden="1" x14ac:dyDescent="0.15"/>
    <row r="20643" hidden="1" x14ac:dyDescent="0.15"/>
    <row r="20644" hidden="1" x14ac:dyDescent="0.15"/>
    <row r="20645" hidden="1" x14ac:dyDescent="0.15"/>
    <row r="20646" hidden="1" x14ac:dyDescent="0.15"/>
    <row r="20647" hidden="1" x14ac:dyDescent="0.15"/>
    <row r="20648" hidden="1" x14ac:dyDescent="0.15"/>
    <row r="20649" hidden="1" x14ac:dyDescent="0.15"/>
    <row r="20650" hidden="1" x14ac:dyDescent="0.15"/>
    <row r="20651" hidden="1" x14ac:dyDescent="0.15"/>
    <row r="20652" hidden="1" x14ac:dyDescent="0.15"/>
    <row r="20653" hidden="1" x14ac:dyDescent="0.15"/>
    <row r="20654" hidden="1" x14ac:dyDescent="0.15"/>
    <row r="20655" hidden="1" x14ac:dyDescent="0.15"/>
    <row r="20656" hidden="1" x14ac:dyDescent="0.15"/>
    <row r="20657" hidden="1" x14ac:dyDescent="0.15"/>
    <row r="20658" hidden="1" x14ac:dyDescent="0.15"/>
    <row r="20659" hidden="1" x14ac:dyDescent="0.15"/>
    <row r="20660" hidden="1" x14ac:dyDescent="0.15"/>
    <row r="20661" hidden="1" x14ac:dyDescent="0.15"/>
    <row r="20662" hidden="1" x14ac:dyDescent="0.15"/>
    <row r="20663" hidden="1" x14ac:dyDescent="0.15"/>
    <row r="20664" hidden="1" x14ac:dyDescent="0.15"/>
    <row r="20665" hidden="1" x14ac:dyDescent="0.15"/>
    <row r="20666" hidden="1" x14ac:dyDescent="0.15"/>
    <row r="20667" hidden="1" x14ac:dyDescent="0.15"/>
    <row r="20668" hidden="1" x14ac:dyDescent="0.15"/>
    <row r="20669" hidden="1" x14ac:dyDescent="0.15"/>
    <row r="20670" hidden="1" x14ac:dyDescent="0.15"/>
    <row r="20671" hidden="1" x14ac:dyDescent="0.15"/>
    <row r="20672" hidden="1" x14ac:dyDescent="0.15"/>
    <row r="20673" hidden="1" x14ac:dyDescent="0.15"/>
    <row r="20674" hidden="1" x14ac:dyDescent="0.15"/>
    <row r="20675" hidden="1" x14ac:dyDescent="0.15"/>
    <row r="20676" hidden="1" x14ac:dyDescent="0.15"/>
    <row r="20677" hidden="1" x14ac:dyDescent="0.15"/>
    <row r="20678" hidden="1" x14ac:dyDescent="0.15"/>
    <row r="20679" hidden="1" x14ac:dyDescent="0.15"/>
    <row r="20680" hidden="1" x14ac:dyDescent="0.15"/>
    <row r="20681" hidden="1" x14ac:dyDescent="0.15"/>
    <row r="20682" hidden="1" x14ac:dyDescent="0.15"/>
    <row r="20683" hidden="1" x14ac:dyDescent="0.15"/>
    <row r="20684" hidden="1" x14ac:dyDescent="0.15"/>
    <row r="20685" hidden="1" x14ac:dyDescent="0.15"/>
    <row r="20686" hidden="1" x14ac:dyDescent="0.15"/>
    <row r="20687" hidden="1" x14ac:dyDescent="0.15"/>
    <row r="20688" hidden="1" x14ac:dyDescent="0.15"/>
    <row r="20689" hidden="1" x14ac:dyDescent="0.15"/>
    <row r="20690" hidden="1" x14ac:dyDescent="0.15"/>
    <row r="20691" hidden="1" x14ac:dyDescent="0.15"/>
    <row r="20692" hidden="1" x14ac:dyDescent="0.15"/>
    <row r="20693" hidden="1" x14ac:dyDescent="0.15"/>
    <row r="20694" hidden="1" x14ac:dyDescent="0.15"/>
    <row r="20695" hidden="1" x14ac:dyDescent="0.15"/>
    <row r="20696" hidden="1" x14ac:dyDescent="0.15"/>
    <row r="20697" hidden="1" x14ac:dyDescent="0.15"/>
    <row r="20698" hidden="1" x14ac:dyDescent="0.15"/>
    <row r="20699" hidden="1" x14ac:dyDescent="0.15"/>
    <row r="20700" hidden="1" x14ac:dyDescent="0.15"/>
    <row r="20701" hidden="1" x14ac:dyDescent="0.15"/>
    <row r="20702" hidden="1" x14ac:dyDescent="0.15"/>
    <row r="20703" hidden="1" x14ac:dyDescent="0.15"/>
    <row r="20704" hidden="1" x14ac:dyDescent="0.15"/>
    <row r="20705" hidden="1" x14ac:dyDescent="0.15"/>
    <row r="20706" hidden="1" x14ac:dyDescent="0.15"/>
    <row r="20707" hidden="1" x14ac:dyDescent="0.15"/>
    <row r="20708" hidden="1" x14ac:dyDescent="0.15"/>
    <row r="20709" hidden="1" x14ac:dyDescent="0.15"/>
    <row r="20710" hidden="1" x14ac:dyDescent="0.15"/>
    <row r="20711" hidden="1" x14ac:dyDescent="0.15"/>
    <row r="20712" hidden="1" x14ac:dyDescent="0.15"/>
    <row r="20713" hidden="1" x14ac:dyDescent="0.15"/>
    <row r="20714" hidden="1" x14ac:dyDescent="0.15"/>
    <row r="20715" hidden="1" x14ac:dyDescent="0.15"/>
    <row r="20716" hidden="1" x14ac:dyDescent="0.15"/>
    <row r="20717" hidden="1" x14ac:dyDescent="0.15"/>
    <row r="20718" hidden="1" x14ac:dyDescent="0.15"/>
    <row r="20719" hidden="1" x14ac:dyDescent="0.15"/>
    <row r="20720" hidden="1" x14ac:dyDescent="0.15"/>
    <row r="20721" hidden="1" x14ac:dyDescent="0.15"/>
    <row r="20722" hidden="1" x14ac:dyDescent="0.15"/>
    <row r="20723" hidden="1" x14ac:dyDescent="0.15"/>
    <row r="20724" hidden="1" x14ac:dyDescent="0.15"/>
    <row r="20725" hidden="1" x14ac:dyDescent="0.15"/>
    <row r="20726" hidden="1" x14ac:dyDescent="0.15"/>
    <row r="20727" hidden="1" x14ac:dyDescent="0.15"/>
    <row r="20728" hidden="1" x14ac:dyDescent="0.15"/>
    <row r="20729" hidden="1" x14ac:dyDescent="0.15"/>
    <row r="20730" hidden="1" x14ac:dyDescent="0.15"/>
    <row r="20731" hidden="1" x14ac:dyDescent="0.15"/>
    <row r="20732" hidden="1" x14ac:dyDescent="0.15"/>
    <row r="20733" hidden="1" x14ac:dyDescent="0.15"/>
    <row r="20734" hidden="1" x14ac:dyDescent="0.15"/>
    <row r="20735" hidden="1" x14ac:dyDescent="0.15"/>
    <row r="20736" hidden="1" x14ac:dyDescent="0.15"/>
    <row r="20737" hidden="1" x14ac:dyDescent="0.15"/>
    <row r="20738" hidden="1" x14ac:dyDescent="0.15"/>
    <row r="20739" hidden="1" x14ac:dyDescent="0.15"/>
    <row r="20740" hidden="1" x14ac:dyDescent="0.15"/>
    <row r="20741" hidden="1" x14ac:dyDescent="0.15"/>
    <row r="20742" hidden="1" x14ac:dyDescent="0.15"/>
    <row r="20743" hidden="1" x14ac:dyDescent="0.15"/>
    <row r="20744" hidden="1" x14ac:dyDescent="0.15"/>
    <row r="20745" hidden="1" x14ac:dyDescent="0.15"/>
    <row r="20746" hidden="1" x14ac:dyDescent="0.15"/>
    <row r="20747" hidden="1" x14ac:dyDescent="0.15"/>
    <row r="20748" hidden="1" x14ac:dyDescent="0.15"/>
    <row r="20749" hidden="1" x14ac:dyDescent="0.15"/>
    <row r="20750" hidden="1" x14ac:dyDescent="0.15"/>
    <row r="20751" hidden="1" x14ac:dyDescent="0.15"/>
    <row r="20752" hidden="1" x14ac:dyDescent="0.15"/>
    <row r="20753" hidden="1" x14ac:dyDescent="0.15"/>
    <row r="20754" hidden="1" x14ac:dyDescent="0.15"/>
    <row r="20755" hidden="1" x14ac:dyDescent="0.15"/>
    <row r="20756" hidden="1" x14ac:dyDescent="0.15"/>
    <row r="20757" hidden="1" x14ac:dyDescent="0.15"/>
    <row r="20758" hidden="1" x14ac:dyDescent="0.15"/>
    <row r="20759" hidden="1" x14ac:dyDescent="0.15"/>
    <row r="20760" hidden="1" x14ac:dyDescent="0.15"/>
    <row r="20761" hidden="1" x14ac:dyDescent="0.15"/>
    <row r="20762" hidden="1" x14ac:dyDescent="0.15"/>
    <row r="20763" hidden="1" x14ac:dyDescent="0.15"/>
    <row r="20764" hidden="1" x14ac:dyDescent="0.15"/>
    <row r="20765" hidden="1" x14ac:dyDescent="0.15"/>
    <row r="20766" hidden="1" x14ac:dyDescent="0.15"/>
    <row r="20767" hidden="1" x14ac:dyDescent="0.15"/>
    <row r="20768" hidden="1" x14ac:dyDescent="0.15"/>
    <row r="20769" hidden="1" x14ac:dyDescent="0.15"/>
    <row r="20770" hidden="1" x14ac:dyDescent="0.15"/>
    <row r="20771" hidden="1" x14ac:dyDescent="0.15"/>
    <row r="20772" hidden="1" x14ac:dyDescent="0.15"/>
    <row r="20773" hidden="1" x14ac:dyDescent="0.15"/>
    <row r="20774" hidden="1" x14ac:dyDescent="0.15"/>
    <row r="20775" hidden="1" x14ac:dyDescent="0.15"/>
    <row r="20776" hidden="1" x14ac:dyDescent="0.15"/>
    <row r="20777" hidden="1" x14ac:dyDescent="0.15"/>
    <row r="20778" hidden="1" x14ac:dyDescent="0.15"/>
    <row r="20779" hidden="1" x14ac:dyDescent="0.15"/>
    <row r="20780" hidden="1" x14ac:dyDescent="0.15"/>
    <row r="20781" hidden="1" x14ac:dyDescent="0.15"/>
    <row r="20782" hidden="1" x14ac:dyDescent="0.15"/>
    <row r="20783" hidden="1" x14ac:dyDescent="0.15"/>
    <row r="20784" hidden="1" x14ac:dyDescent="0.15"/>
    <row r="20785" hidden="1" x14ac:dyDescent="0.15"/>
    <row r="20786" hidden="1" x14ac:dyDescent="0.15"/>
    <row r="20787" hidden="1" x14ac:dyDescent="0.15"/>
    <row r="20788" hidden="1" x14ac:dyDescent="0.15"/>
    <row r="20789" hidden="1" x14ac:dyDescent="0.15"/>
    <row r="20790" hidden="1" x14ac:dyDescent="0.15"/>
    <row r="20791" hidden="1" x14ac:dyDescent="0.15"/>
    <row r="20792" hidden="1" x14ac:dyDescent="0.15"/>
    <row r="20793" hidden="1" x14ac:dyDescent="0.15"/>
    <row r="20794" hidden="1" x14ac:dyDescent="0.15"/>
    <row r="20795" hidden="1" x14ac:dyDescent="0.15"/>
    <row r="20796" hidden="1" x14ac:dyDescent="0.15"/>
    <row r="20797" hidden="1" x14ac:dyDescent="0.15"/>
    <row r="20798" hidden="1" x14ac:dyDescent="0.15"/>
    <row r="20799" hidden="1" x14ac:dyDescent="0.15"/>
    <row r="20800" hidden="1" x14ac:dyDescent="0.15"/>
    <row r="20801" hidden="1" x14ac:dyDescent="0.15"/>
    <row r="20802" hidden="1" x14ac:dyDescent="0.15"/>
    <row r="20803" hidden="1" x14ac:dyDescent="0.15"/>
    <row r="20804" hidden="1" x14ac:dyDescent="0.15"/>
    <row r="20805" hidden="1" x14ac:dyDescent="0.15"/>
    <row r="20806" hidden="1" x14ac:dyDescent="0.15"/>
    <row r="20807" hidden="1" x14ac:dyDescent="0.15"/>
    <row r="20808" hidden="1" x14ac:dyDescent="0.15"/>
    <row r="20809" hidden="1" x14ac:dyDescent="0.15"/>
    <row r="20810" hidden="1" x14ac:dyDescent="0.15"/>
    <row r="20811" hidden="1" x14ac:dyDescent="0.15"/>
    <row r="20812" hidden="1" x14ac:dyDescent="0.15"/>
    <row r="20813" hidden="1" x14ac:dyDescent="0.15"/>
    <row r="20814" hidden="1" x14ac:dyDescent="0.15"/>
    <row r="20815" hidden="1" x14ac:dyDescent="0.15"/>
    <row r="20816" hidden="1" x14ac:dyDescent="0.15"/>
    <row r="20817" hidden="1" x14ac:dyDescent="0.15"/>
    <row r="20818" hidden="1" x14ac:dyDescent="0.15"/>
    <row r="20819" hidden="1" x14ac:dyDescent="0.15"/>
    <row r="20820" hidden="1" x14ac:dyDescent="0.15"/>
    <row r="20821" hidden="1" x14ac:dyDescent="0.15"/>
    <row r="20822" hidden="1" x14ac:dyDescent="0.15"/>
    <row r="20823" hidden="1" x14ac:dyDescent="0.15"/>
    <row r="20824" hidden="1" x14ac:dyDescent="0.15"/>
    <row r="20825" hidden="1" x14ac:dyDescent="0.15"/>
    <row r="20826" hidden="1" x14ac:dyDescent="0.15"/>
    <row r="20827" hidden="1" x14ac:dyDescent="0.15"/>
    <row r="20828" hidden="1" x14ac:dyDescent="0.15"/>
    <row r="20829" hidden="1" x14ac:dyDescent="0.15"/>
    <row r="20830" hidden="1" x14ac:dyDescent="0.15"/>
    <row r="20831" hidden="1" x14ac:dyDescent="0.15"/>
    <row r="20832" hidden="1" x14ac:dyDescent="0.15"/>
    <row r="20833" hidden="1" x14ac:dyDescent="0.15"/>
    <row r="20834" hidden="1" x14ac:dyDescent="0.15"/>
    <row r="20835" hidden="1" x14ac:dyDescent="0.15"/>
    <row r="20836" hidden="1" x14ac:dyDescent="0.15"/>
    <row r="20837" hidden="1" x14ac:dyDescent="0.15"/>
    <row r="20838" hidden="1" x14ac:dyDescent="0.15"/>
    <row r="20839" hidden="1" x14ac:dyDescent="0.15"/>
    <row r="20840" hidden="1" x14ac:dyDescent="0.15"/>
    <row r="20841" hidden="1" x14ac:dyDescent="0.15"/>
    <row r="20842" hidden="1" x14ac:dyDescent="0.15"/>
    <row r="20843" hidden="1" x14ac:dyDescent="0.15"/>
    <row r="20844" hidden="1" x14ac:dyDescent="0.15"/>
    <row r="20845" hidden="1" x14ac:dyDescent="0.15"/>
    <row r="20846" hidden="1" x14ac:dyDescent="0.15"/>
    <row r="20847" hidden="1" x14ac:dyDescent="0.15"/>
    <row r="20848" hidden="1" x14ac:dyDescent="0.15"/>
    <row r="20849" hidden="1" x14ac:dyDescent="0.15"/>
    <row r="20850" hidden="1" x14ac:dyDescent="0.15"/>
    <row r="20851" hidden="1" x14ac:dyDescent="0.15"/>
    <row r="20852" hidden="1" x14ac:dyDescent="0.15"/>
    <row r="20853" hidden="1" x14ac:dyDescent="0.15"/>
    <row r="20854" hidden="1" x14ac:dyDescent="0.15"/>
    <row r="20855" hidden="1" x14ac:dyDescent="0.15"/>
    <row r="20856" hidden="1" x14ac:dyDescent="0.15"/>
    <row r="20857" hidden="1" x14ac:dyDescent="0.15"/>
    <row r="20858" hidden="1" x14ac:dyDescent="0.15"/>
    <row r="20859" hidden="1" x14ac:dyDescent="0.15"/>
    <row r="20860" hidden="1" x14ac:dyDescent="0.15"/>
    <row r="20861" hidden="1" x14ac:dyDescent="0.15"/>
    <row r="20862" hidden="1" x14ac:dyDescent="0.15"/>
    <row r="20863" hidden="1" x14ac:dyDescent="0.15"/>
    <row r="20864" hidden="1" x14ac:dyDescent="0.15"/>
    <row r="20865" hidden="1" x14ac:dyDescent="0.15"/>
    <row r="20866" hidden="1" x14ac:dyDescent="0.15"/>
    <row r="20867" hidden="1" x14ac:dyDescent="0.15"/>
    <row r="20868" hidden="1" x14ac:dyDescent="0.15"/>
    <row r="20869" hidden="1" x14ac:dyDescent="0.15"/>
    <row r="20870" hidden="1" x14ac:dyDescent="0.15"/>
    <row r="20871" hidden="1" x14ac:dyDescent="0.15"/>
    <row r="20872" hidden="1" x14ac:dyDescent="0.15"/>
    <row r="20873" hidden="1" x14ac:dyDescent="0.15"/>
    <row r="20874" hidden="1" x14ac:dyDescent="0.15"/>
    <row r="20875" hidden="1" x14ac:dyDescent="0.15"/>
    <row r="20876" hidden="1" x14ac:dyDescent="0.15"/>
    <row r="20877" hidden="1" x14ac:dyDescent="0.15"/>
    <row r="20878" hidden="1" x14ac:dyDescent="0.15"/>
    <row r="20879" hidden="1" x14ac:dyDescent="0.15"/>
    <row r="20880" hidden="1" x14ac:dyDescent="0.15"/>
    <row r="20881" hidden="1" x14ac:dyDescent="0.15"/>
    <row r="20882" hidden="1" x14ac:dyDescent="0.15"/>
    <row r="20883" hidden="1" x14ac:dyDescent="0.15"/>
    <row r="20884" hidden="1" x14ac:dyDescent="0.15"/>
    <row r="20885" hidden="1" x14ac:dyDescent="0.15"/>
    <row r="20886" hidden="1" x14ac:dyDescent="0.15"/>
    <row r="20887" hidden="1" x14ac:dyDescent="0.15"/>
    <row r="20888" hidden="1" x14ac:dyDescent="0.15"/>
    <row r="20889" hidden="1" x14ac:dyDescent="0.15"/>
    <row r="20890" hidden="1" x14ac:dyDescent="0.15"/>
    <row r="20891" hidden="1" x14ac:dyDescent="0.15"/>
    <row r="20892" hidden="1" x14ac:dyDescent="0.15"/>
    <row r="20893" hidden="1" x14ac:dyDescent="0.15"/>
    <row r="20894" hidden="1" x14ac:dyDescent="0.15"/>
    <row r="20895" hidden="1" x14ac:dyDescent="0.15"/>
    <row r="20896" hidden="1" x14ac:dyDescent="0.15"/>
    <row r="20897" hidden="1" x14ac:dyDescent="0.15"/>
    <row r="20898" hidden="1" x14ac:dyDescent="0.15"/>
    <row r="20899" hidden="1" x14ac:dyDescent="0.15"/>
    <row r="20900" hidden="1" x14ac:dyDescent="0.15"/>
    <row r="20901" hidden="1" x14ac:dyDescent="0.15"/>
    <row r="20902" hidden="1" x14ac:dyDescent="0.15"/>
    <row r="20903" hidden="1" x14ac:dyDescent="0.15"/>
    <row r="20904" hidden="1" x14ac:dyDescent="0.15"/>
    <row r="20905" hidden="1" x14ac:dyDescent="0.15"/>
    <row r="20906" hidden="1" x14ac:dyDescent="0.15"/>
    <row r="20907" hidden="1" x14ac:dyDescent="0.15"/>
    <row r="20908" hidden="1" x14ac:dyDescent="0.15"/>
    <row r="20909" hidden="1" x14ac:dyDescent="0.15"/>
    <row r="20910" hidden="1" x14ac:dyDescent="0.15"/>
    <row r="20911" hidden="1" x14ac:dyDescent="0.15"/>
    <row r="20912" hidden="1" x14ac:dyDescent="0.15"/>
    <row r="20913" hidden="1" x14ac:dyDescent="0.15"/>
    <row r="20914" hidden="1" x14ac:dyDescent="0.15"/>
    <row r="20915" hidden="1" x14ac:dyDescent="0.15"/>
    <row r="20916" hidden="1" x14ac:dyDescent="0.15"/>
    <row r="20917" hidden="1" x14ac:dyDescent="0.15"/>
    <row r="20918" hidden="1" x14ac:dyDescent="0.15"/>
    <row r="20919" hidden="1" x14ac:dyDescent="0.15"/>
    <row r="20920" hidden="1" x14ac:dyDescent="0.15"/>
    <row r="20921" hidden="1" x14ac:dyDescent="0.15"/>
    <row r="20922" hidden="1" x14ac:dyDescent="0.15"/>
    <row r="20923" hidden="1" x14ac:dyDescent="0.15"/>
    <row r="20924" hidden="1" x14ac:dyDescent="0.15"/>
    <row r="20925" hidden="1" x14ac:dyDescent="0.15"/>
    <row r="20926" hidden="1" x14ac:dyDescent="0.15"/>
    <row r="20927" hidden="1" x14ac:dyDescent="0.15"/>
    <row r="20928" hidden="1" x14ac:dyDescent="0.15"/>
    <row r="20929" hidden="1" x14ac:dyDescent="0.15"/>
    <row r="20930" hidden="1" x14ac:dyDescent="0.15"/>
    <row r="20931" hidden="1" x14ac:dyDescent="0.15"/>
    <row r="20932" hidden="1" x14ac:dyDescent="0.15"/>
    <row r="20933" hidden="1" x14ac:dyDescent="0.15"/>
    <row r="20934" hidden="1" x14ac:dyDescent="0.15"/>
    <row r="20935" hidden="1" x14ac:dyDescent="0.15"/>
    <row r="20936" hidden="1" x14ac:dyDescent="0.15"/>
    <row r="20937" hidden="1" x14ac:dyDescent="0.15"/>
    <row r="20938" hidden="1" x14ac:dyDescent="0.15"/>
    <row r="20939" hidden="1" x14ac:dyDescent="0.15"/>
    <row r="20940" hidden="1" x14ac:dyDescent="0.15"/>
    <row r="20941" hidden="1" x14ac:dyDescent="0.15"/>
    <row r="20942" hidden="1" x14ac:dyDescent="0.15"/>
    <row r="20943" hidden="1" x14ac:dyDescent="0.15"/>
    <row r="20944" hidden="1" x14ac:dyDescent="0.15"/>
    <row r="20945" hidden="1" x14ac:dyDescent="0.15"/>
    <row r="20946" hidden="1" x14ac:dyDescent="0.15"/>
    <row r="20947" hidden="1" x14ac:dyDescent="0.15"/>
    <row r="20948" hidden="1" x14ac:dyDescent="0.15"/>
    <row r="20949" hidden="1" x14ac:dyDescent="0.15"/>
    <row r="20950" hidden="1" x14ac:dyDescent="0.15"/>
    <row r="20951" hidden="1" x14ac:dyDescent="0.15"/>
    <row r="20952" hidden="1" x14ac:dyDescent="0.15"/>
    <row r="20953" hidden="1" x14ac:dyDescent="0.15"/>
    <row r="20954" hidden="1" x14ac:dyDescent="0.15"/>
    <row r="20955" hidden="1" x14ac:dyDescent="0.15"/>
    <row r="20956" hidden="1" x14ac:dyDescent="0.15"/>
    <row r="20957" hidden="1" x14ac:dyDescent="0.15"/>
    <row r="20958" hidden="1" x14ac:dyDescent="0.15"/>
    <row r="20959" hidden="1" x14ac:dyDescent="0.15"/>
    <row r="20960" hidden="1" x14ac:dyDescent="0.15"/>
    <row r="20961" hidden="1" x14ac:dyDescent="0.15"/>
    <row r="20962" hidden="1" x14ac:dyDescent="0.15"/>
    <row r="20963" hidden="1" x14ac:dyDescent="0.15"/>
    <row r="20964" hidden="1" x14ac:dyDescent="0.15"/>
    <row r="20965" hidden="1" x14ac:dyDescent="0.15"/>
    <row r="20966" hidden="1" x14ac:dyDescent="0.15"/>
    <row r="20967" hidden="1" x14ac:dyDescent="0.15"/>
    <row r="20968" hidden="1" x14ac:dyDescent="0.15"/>
    <row r="20969" hidden="1" x14ac:dyDescent="0.15"/>
    <row r="20970" hidden="1" x14ac:dyDescent="0.15"/>
    <row r="20971" hidden="1" x14ac:dyDescent="0.15"/>
    <row r="20972" hidden="1" x14ac:dyDescent="0.15"/>
    <row r="20973" hidden="1" x14ac:dyDescent="0.15"/>
    <row r="20974" hidden="1" x14ac:dyDescent="0.15"/>
    <row r="20975" hidden="1" x14ac:dyDescent="0.15"/>
    <row r="20976" hidden="1" x14ac:dyDescent="0.15"/>
    <row r="20977" hidden="1" x14ac:dyDescent="0.15"/>
    <row r="20978" hidden="1" x14ac:dyDescent="0.15"/>
    <row r="20979" hidden="1" x14ac:dyDescent="0.15"/>
    <row r="20980" hidden="1" x14ac:dyDescent="0.15"/>
    <row r="20981" hidden="1" x14ac:dyDescent="0.15"/>
    <row r="20982" hidden="1" x14ac:dyDescent="0.15"/>
    <row r="20983" hidden="1" x14ac:dyDescent="0.15"/>
    <row r="20984" hidden="1" x14ac:dyDescent="0.15"/>
    <row r="20985" hidden="1" x14ac:dyDescent="0.15"/>
    <row r="20986" hidden="1" x14ac:dyDescent="0.15"/>
    <row r="20987" hidden="1" x14ac:dyDescent="0.15"/>
    <row r="20988" hidden="1" x14ac:dyDescent="0.15"/>
    <row r="20989" hidden="1" x14ac:dyDescent="0.15"/>
    <row r="20990" hidden="1" x14ac:dyDescent="0.15"/>
    <row r="20991" hidden="1" x14ac:dyDescent="0.15"/>
    <row r="20992" hidden="1" x14ac:dyDescent="0.15"/>
    <row r="20993" hidden="1" x14ac:dyDescent="0.15"/>
    <row r="20994" hidden="1" x14ac:dyDescent="0.15"/>
    <row r="20995" hidden="1" x14ac:dyDescent="0.15"/>
    <row r="20996" hidden="1" x14ac:dyDescent="0.15"/>
    <row r="20997" hidden="1" x14ac:dyDescent="0.15"/>
    <row r="20998" hidden="1" x14ac:dyDescent="0.15"/>
    <row r="20999" hidden="1" x14ac:dyDescent="0.15"/>
    <row r="21000" hidden="1" x14ac:dyDescent="0.15"/>
    <row r="21001" hidden="1" x14ac:dyDescent="0.15"/>
    <row r="21002" hidden="1" x14ac:dyDescent="0.15"/>
    <row r="21003" hidden="1" x14ac:dyDescent="0.15"/>
    <row r="21004" hidden="1" x14ac:dyDescent="0.15"/>
    <row r="21005" hidden="1" x14ac:dyDescent="0.15"/>
    <row r="21006" hidden="1" x14ac:dyDescent="0.15"/>
    <row r="21007" hidden="1" x14ac:dyDescent="0.15"/>
    <row r="21008" hidden="1" x14ac:dyDescent="0.15"/>
    <row r="21009" hidden="1" x14ac:dyDescent="0.15"/>
    <row r="21010" hidden="1" x14ac:dyDescent="0.15"/>
    <row r="21011" hidden="1" x14ac:dyDescent="0.15"/>
    <row r="21012" hidden="1" x14ac:dyDescent="0.15"/>
    <row r="21013" hidden="1" x14ac:dyDescent="0.15"/>
    <row r="21014" hidden="1" x14ac:dyDescent="0.15"/>
    <row r="21015" hidden="1" x14ac:dyDescent="0.15"/>
    <row r="21016" hidden="1" x14ac:dyDescent="0.15"/>
    <row r="21017" hidden="1" x14ac:dyDescent="0.15"/>
    <row r="21018" hidden="1" x14ac:dyDescent="0.15"/>
    <row r="21019" hidden="1" x14ac:dyDescent="0.15"/>
    <row r="21020" hidden="1" x14ac:dyDescent="0.15"/>
    <row r="21021" hidden="1" x14ac:dyDescent="0.15"/>
    <row r="21022" hidden="1" x14ac:dyDescent="0.15"/>
    <row r="21023" hidden="1" x14ac:dyDescent="0.15"/>
    <row r="21024" hidden="1" x14ac:dyDescent="0.15"/>
    <row r="21025" hidden="1" x14ac:dyDescent="0.15"/>
    <row r="21026" hidden="1" x14ac:dyDescent="0.15"/>
    <row r="21027" hidden="1" x14ac:dyDescent="0.15"/>
    <row r="21028" hidden="1" x14ac:dyDescent="0.15"/>
    <row r="21029" hidden="1" x14ac:dyDescent="0.15"/>
    <row r="21030" hidden="1" x14ac:dyDescent="0.15"/>
    <row r="21031" hidden="1" x14ac:dyDescent="0.15"/>
    <row r="21032" hidden="1" x14ac:dyDescent="0.15"/>
    <row r="21033" hidden="1" x14ac:dyDescent="0.15"/>
    <row r="21034" hidden="1" x14ac:dyDescent="0.15"/>
    <row r="21035" hidden="1" x14ac:dyDescent="0.15"/>
    <row r="21036" hidden="1" x14ac:dyDescent="0.15"/>
    <row r="21037" hidden="1" x14ac:dyDescent="0.15"/>
    <row r="21038" hidden="1" x14ac:dyDescent="0.15"/>
    <row r="21039" hidden="1" x14ac:dyDescent="0.15"/>
    <row r="21040" hidden="1" x14ac:dyDescent="0.15"/>
    <row r="21041" hidden="1" x14ac:dyDescent="0.15"/>
    <row r="21042" hidden="1" x14ac:dyDescent="0.15"/>
    <row r="21043" hidden="1" x14ac:dyDescent="0.15"/>
    <row r="21044" hidden="1" x14ac:dyDescent="0.15"/>
    <row r="21045" hidden="1" x14ac:dyDescent="0.15"/>
    <row r="21046" hidden="1" x14ac:dyDescent="0.15"/>
    <row r="21047" hidden="1" x14ac:dyDescent="0.15"/>
    <row r="21048" hidden="1" x14ac:dyDescent="0.15"/>
    <row r="21049" hidden="1" x14ac:dyDescent="0.15"/>
    <row r="21050" hidden="1" x14ac:dyDescent="0.15"/>
    <row r="21051" hidden="1" x14ac:dyDescent="0.15"/>
    <row r="21052" hidden="1" x14ac:dyDescent="0.15"/>
    <row r="21053" hidden="1" x14ac:dyDescent="0.15"/>
    <row r="21054" hidden="1" x14ac:dyDescent="0.15"/>
    <row r="21055" hidden="1" x14ac:dyDescent="0.15"/>
    <row r="21056" hidden="1" x14ac:dyDescent="0.15"/>
    <row r="21057" hidden="1" x14ac:dyDescent="0.15"/>
    <row r="21058" hidden="1" x14ac:dyDescent="0.15"/>
    <row r="21059" hidden="1" x14ac:dyDescent="0.15"/>
    <row r="21060" hidden="1" x14ac:dyDescent="0.15"/>
    <row r="21061" hidden="1" x14ac:dyDescent="0.15"/>
    <row r="21062" hidden="1" x14ac:dyDescent="0.15"/>
    <row r="21063" hidden="1" x14ac:dyDescent="0.15"/>
    <row r="21064" hidden="1" x14ac:dyDescent="0.15"/>
    <row r="21065" hidden="1" x14ac:dyDescent="0.15"/>
    <row r="21066" hidden="1" x14ac:dyDescent="0.15"/>
    <row r="21067" hidden="1" x14ac:dyDescent="0.15"/>
    <row r="21068" hidden="1" x14ac:dyDescent="0.15"/>
    <row r="21069" hidden="1" x14ac:dyDescent="0.15"/>
    <row r="21070" hidden="1" x14ac:dyDescent="0.15"/>
    <row r="21071" hidden="1" x14ac:dyDescent="0.15"/>
    <row r="21072" hidden="1" x14ac:dyDescent="0.15"/>
    <row r="21073" hidden="1" x14ac:dyDescent="0.15"/>
    <row r="21074" hidden="1" x14ac:dyDescent="0.15"/>
    <row r="21075" hidden="1" x14ac:dyDescent="0.15"/>
    <row r="21076" hidden="1" x14ac:dyDescent="0.15"/>
    <row r="21077" hidden="1" x14ac:dyDescent="0.15"/>
    <row r="21078" hidden="1" x14ac:dyDescent="0.15"/>
    <row r="21079" hidden="1" x14ac:dyDescent="0.15"/>
    <row r="21080" hidden="1" x14ac:dyDescent="0.15"/>
    <row r="21081" hidden="1" x14ac:dyDescent="0.15"/>
    <row r="21082" hidden="1" x14ac:dyDescent="0.15"/>
    <row r="21083" hidden="1" x14ac:dyDescent="0.15"/>
    <row r="21084" hidden="1" x14ac:dyDescent="0.15"/>
    <row r="21085" hidden="1" x14ac:dyDescent="0.15"/>
    <row r="21086" hidden="1" x14ac:dyDescent="0.15"/>
    <row r="21087" hidden="1" x14ac:dyDescent="0.15"/>
    <row r="21088" hidden="1" x14ac:dyDescent="0.15"/>
    <row r="21089" hidden="1" x14ac:dyDescent="0.15"/>
    <row r="21090" hidden="1" x14ac:dyDescent="0.15"/>
    <row r="21091" hidden="1" x14ac:dyDescent="0.15"/>
    <row r="21092" hidden="1" x14ac:dyDescent="0.15"/>
    <row r="21093" hidden="1" x14ac:dyDescent="0.15"/>
    <row r="21094" hidden="1" x14ac:dyDescent="0.15"/>
    <row r="21095" hidden="1" x14ac:dyDescent="0.15"/>
    <row r="21096" hidden="1" x14ac:dyDescent="0.15"/>
    <row r="21097" hidden="1" x14ac:dyDescent="0.15"/>
    <row r="21098" hidden="1" x14ac:dyDescent="0.15"/>
    <row r="21099" hidden="1" x14ac:dyDescent="0.15"/>
    <row r="21100" hidden="1" x14ac:dyDescent="0.15"/>
    <row r="21101" hidden="1" x14ac:dyDescent="0.15"/>
    <row r="21102" hidden="1" x14ac:dyDescent="0.15"/>
    <row r="21103" hidden="1" x14ac:dyDescent="0.15"/>
    <row r="21104" hidden="1" x14ac:dyDescent="0.15"/>
    <row r="21105" hidden="1" x14ac:dyDescent="0.15"/>
    <row r="21106" hidden="1" x14ac:dyDescent="0.15"/>
    <row r="21107" hidden="1" x14ac:dyDescent="0.15"/>
    <row r="21108" hidden="1" x14ac:dyDescent="0.15"/>
    <row r="21109" hidden="1" x14ac:dyDescent="0.15"/>
    <row r="21110" hidden="1" x14ac:dyDescent="0.15"/>
    <row r="21111" hidden="1" x14ac:dyDescent="0.15"/>
    <row r="21112" hidden="1" x14ac:dyDescent="0.15"/>
    <row r="21113" hidden="1" x14ac:dyDescent="0.15"/>
    <row r="21114" hidden="1" x14ac:dyDescent="0.15"/>
    <row r="21115" hidden="1" x14ac:dyDescent="0.15"/>
    <row r="21116" hidden="1" x14ac:dyDescent="0.15"/>
    <row r="21117" hidden="1" x14ac:dyDescent="0.15"/>
    <row r="21118" hidden="1" x14ac:dyDescent="0.15"/>
    <row r="21119" hidden="1" x14ac:dyDescent="0.15"/>
    <row r="21120" hidden="1" x14ac:dyDescent="0.15"/>
    <row r="21121" hidden="1" x14ac:dyDescent="0.15"/>
    <row r="21122" hidden="1" x14ac:dyDescent="0.15"/>
    <row r="21123" hidden="1" x14ac:dyDescent="0.15"/>
    <row r="21124" hidden="1" x14ac:dyDescent="0.15"/>
    <row r="21125" hidden="1" x14ac:dyDescent="0.15"/>
    <row r="21126" hidden="1" x14ac:dyDescent="0.15"/>
    <row r="21127" hidden="1" x14ac:dyDescent="0.15"/>
    <row r="21128" hidden="1" x14ac:dyDescent="0.15"/>
    <row r="21129" hidden="1" x14ac:dyDescent="0.15"/>
    <row r="21130" hidden="1" x14ac:dyDescent="0.15"/>
    <row r="21131" hidden="1" x14ac:dyDescent="0.15"/>
    <row r="21132" hidden="1" x14ac:dyDescent="0.15"/>
    <row r="21133" hidden="1" x14ac:dyDescent="0.15"/>
    <row r="21134" hidden="1" x14ac:dyDescent="0.15"/>
    <row r="21135" hidden="1" x14ac:dyDescent="0.15"/>
    <row r="21136" hidden="1" x14ac:dyDescent="0.15"/>
    <row r="21137" hidden="1" x14ac:dyDescent="0.15"/>
    <row r="21138" hidden="1" x14ac:dyDescent="0.15"/>
    <row r="21139" hidden="1" x14ac:dyDescent="0.15"/>
    <row r="21140" hidden="1" x14ac:dyDescent="0.15"/>
    <row r="21141" hidden="1" x14ac:dyDescent="0.15"/>
    <row r="21142" hidden="1" x14ac:dyDescent="0.15"/>
    <row r="21143" hidden="1" x14ac:dyDescent="0.15"/>
    <row r="21144" hidden="1" x14ac:dyDescent="0.15"/>
    <row r="21145" hidden="1" x14ac:dyDescent="0.15"/>
    <row r="21146" hidden="1" x14ac:dyDescent="0.15"/>
    <row r="21147" hidden="1" x14ac:dyDescent="0.15"/>
    <row r="21148" hidden="1" x14ac:dyDescent="0.15"/>
    <row r="21149" hidden="1" x14ac:dyDescent="0.15"/>
    <row r="21150" hidden="1" x14ac:dyDescent="0.15"/>
    <row r="21151" hidden="1" x14ac:dyDescent="0.15"/>
    <row r="21152" hidden="1" x14ac:dyDescent="0.15"/>
    <row r="21153" hidden="1" x14ac:dyDescent="0.15"/>
    <row r="21154" hidden="1" x14ac:dyDescent="0.15"/>
    <row r="21155" hidden="1" x14ac:dyDescent="0.15"/>
    <row r="21156" hidden="1" x14ac:dyDescent="0.15"/>
    <row r="21157" hidden="1" x14ac:dyDescent="0.15"/>
    <row r="21158" hidden="1" x14ac:dyDescent="0.15"/>
    <row r="21159" hidden="1" x14ac:dyDescent="0.15"/>
    <row r="21160" hidden="1" x14ac:dyDescent="0.15"/>
    <row r="21161" hidden="1" x14ac:dyDescent="0.15"/>
    <row r="21162" hidden="1" x14ac:dyDescent="0.15"/>
    <row r="21163" hidden="1" x14ac:dyDescent="0.15"/>
    <row r="21164" hidden="1" x14ac:dyDescent="0.15"/>
    <row r="21165" hidden="1" x14ac:dyDescent="0.15"/>
    <row r="21166" hidden="1" x14ac:dyDescent="0.15"/>
    <row r="21167" hidden="1" x14ac:dyDescent="0.15"/>
    <row r="21168" hidden="1" x14ac:dyDescent="0.15"/>
    <row r="21169" hidden="1" x14ac:dyDescent="0.15"/>
    <row r="21170" hidden="1" x14ac:dyDescent="0.15"/>
    <row r="21171" hidden="1" x14ac:dyDescent="0.15"/>
    <row r="21172" hidden="1" x14ac:dyDescent="0.15"/>
    <row r="21173" hidden="1" x14ac:dyDescent="0.15"/>
    <row r="21174" hidden="1" x14ac:dyDescent="0.15"/>
    <row r="21175" hidden="1" x14ac:dyDescent="0.15"/>
    <row r="21176" hidden="1" x14ac:dyDescent="0.15"/>
    <row r="21177" hidden="1" x14ac:dyDescent="0.15"/>
    <row r="21178" hidden="1" x14ac:dyDescent="0.15"/>
    <row r="21179" hidden="1" x14ac:dyDescent="0.15"/>
    <row r="21180" hidden="1" x14ac:dyDescent="0.15"/>
    <row r="21181" hidden="1" x14ac:dyDescent="0.15"/>
    <row r="21182" hidden="1" x14ac:dyDescent="0.15"/>
    <row r="21183" hidden="1" x14ac:dyDescent="0.15"/>
    <row r="21184" hidden="1" x14ac:dyDescent="0.15"/>
    <row r="21185" hidden="1" x14ac:dyDescent="0.15"/>
    <row r="21186" hidden="1" x14ac:dyDescent="0.15"/>
    <row r="21187" hidden="1" x14ac:dyDescent="0.15"/>
    <row r="21188" hidden="1" x14ac:dyDescent="0.15"/>
    <row r="21189" hidden="1" x14ac:dyDescent="0.15"/>
    <row r="21190" hidden="1" x14ac:dyDescent="0.15"/>
    <row r="21191" hidden="1" x14ac:dyDescent="0.15"/>
    <row r="21192" hidden="1" x14ac:dyDescent="0.15"/>
    <row r="21193" hidden="1" x14ac:dyDescent="0.15"/>
    <row r="21194" hidden="1" x14ac:dyDescent="0.15"/>
    <row r="21195" hidden="1" x14ac:dyDescent="0.15"/>
    <row r="21196" hidden="1" x14ac:dyDescent="0.15"/>
    <row r="21197" hidden="1" x14ac:dyDescent="0.15"/>
    <row r="21198" hidden="1" x14ac:dyDescent="0.15"/>
    <row r="21199" hidden="1" x14ac:dyDescent="0.15"/>
    <row r="21200" hidden="1" x14ac:dyDescent="0.15"/>
    <row r="21201" hidden="1" x14ac:dyDescent="0.15"/>
    <row r="21202" hidden="1" x14ac:dyDescent="0.15"/>
    <row r="21203" hidden="1" x14ac:dyDescent="0.15"/>
    <row r="21204" hidden="1" x14ac:dyDescent="0.15"/>
    <row r="21205" hidden="1" x14ac:dyDescent="0.15"/>
    <row r="21206" hidden="1" x14ac:dyDescent="0.15"/>
    <row r="21207" hidden="1" x14ac:dyDescent="0.15"/>
    <row r="21208" hidden="1" x14ac:dyDescent="0.15"/>
    <row r="21209" hidden="1" x14ac:dyDescent="0.15"/>
    <row r="21210" hidden="1" x14ac:dyDescent="0.15"/>
    <row r="21211" hidden="1" x14ac:dyDescent="0.15"/>
    <row r="21212" hidden="1" x14ac:dyDescent="0.15"/>
    <row r="21213" hidden="1" x14ac:dyDescent="0.15"/>
    <row r="21214" hidden="1" x14ac:dyDescent="0.15"/>
    <row r="21215" hidden="1" x14ac:dyDescent="0.15"/>
    <row r="21216" hidden="1" x14ac:dyDescent="0.15"/>
    <row r="21217" hidden="1" x14ac:dyDescent="0.15"/>
    <row r="21218" hidden="1" x14ac:dyDescent="0.15"/>
    <row r="21219" hidden="1" x14ac:dyDescent="0.15"/>
    <row r="21220" hidden="1" x14ac:dyDescent="0.15"/>
    <row r="21221" hidden="1" x14ac:dyDescent="0.15"/>
    <row r="21222" hidden="1" x14ac:dyDescent="0.15"/>
    <row r="21223" hidden="1" x14ac:dyDescent="0.15"/>
    <row r="21224" hidden="1" x14ac:dyDescent="0.15"/>
    <row r="21225" hidden="1" x14ac:dyDescent="0.15"/>
    <row r="21226" hidden="1" x14ac:dyDescent="0.15"/>
    <row r="21227" hidden="1" x14ac:dyDescent="0.15"/>
    <row r="21228" hidden="1" x14ac:dyDescent="0.15"/>
    <row r="21229" hidden="1" x14ac:dyDescent="0.15"/>
    <row r="21230" hidden="1" x14ac:dyDescent="0.15"/>
    <row r="21231" hidden="1" x14ac:dyDescent="0.15"/>
    <row r="21232" hidden="1" x14ac:dyDescent="0.15"/>
    <row r="21233" hidden="1" x14ac:dyDescent="0.15"/>
    <row r="21234" hidden="1" x14ac:dyDescent="0.15"/>
    <row r="21235" hidden="1" x14ac:dyDescent="0.15"/>
    <row r="21236" hidden="1" x14ac:dyDescent="0.15"/>
    <row r="21237" hidden="1" x14ac:dyDescent="0.15"/>
    <row r="21238" hidden="1" x14ac:dyDescent="0.15"/>
    <row r="21239" hidden="1" x14ac:dyDescent="0.15"/>
    <row r="21240" hidden="1" x14ac:dyDescent="0.15"/>
    <row r="21241" hidden="1" x14ac:dyDescent="0.15"/>
    <row r="21242" hidden="1" x14ac:dyDescent="0.15"/>
    <row r="21243" hidden="1" x14ac:dyDescent="0.15"/>
    <row r="21244" hidden="1" x14ac:dyDescent="0.15"/>
    <row r="21245" hidden="1" x14ac:dyDescent="0.15"/>
    <row r="21246" hidden="1" x14ac:dyDescent="0.15"/>
    <row r="21247" hidden="1" x14ac:dyDescent="0.15"/>
    <row r="21248" hidden="1" x14ac:dyDescent="0.15"/>
    <row r="21249" hidden="1" x14ac:dyDescent="0.15"/>
    <row r="21250" hidden="1" x14ac:dyDescent="0.15"/>
    <row r="21251" hidden="1" x14ac:dyDescent="0.15"/>
    <row r="21252" hidden="1" x14ac:dyDescent="0.15"/>
    <row r="21253" hidden="1" x14ac:dyDescent="0.15"/>
    <row r="21254" hidden="1" x14ac:dyDescent="0.15"/>
    <row r="21255" hidden="1" x14ac:dyDescent="0.15"/>
    <row r="21256" hidden="1" x14ac:dyDescent="0.15"/>
    <row r="21257" hidden="1" x14ac:dyDescent="0.15"/>
    <row r="21258" hidden="1" x14ac:dyDescent="0.15"/>
    <row r="21259" hidden="1" x14ac:dyDescent="0.15"/>
    <row r="21260" hidden="1" x14ac:dyDescent="0.15"/>
    <row r="21261" hidden="1" x14ac:dyDescent="0.15"/>
    <row r="21262" hidden="1" x14ac:dyDescent="0.15"/>
    <row r="21263" hidden="1" x14ac:dyDescent="0.15"/>
    <row r="21264" hidden="1" x14ac:dyDescent="0.15"/>
    <row r="21265" hidden="1" x14ac:dyDescent="0.15"/>
    <row r="21266" hidden="1" x14ac:dyDescent="0.15"/>
    <row r="21267" hidden="1" x14ac:dyDescent="0.15"/>
    <row r="21268" hidden="1" x14ac:dyDescent="0.15"/>
    <row r="21269" hidden="1" x14ac:dyDescent="0.15"/>
    <row r="21270" hidden="1" x14ac:dyDescent="0.15"/>
    <row r="21271" hidden="1" x14ac:dyDescent="0.15"/>
    <row r="21272" hidden="1" x14ac:dyDescent="0.15"/>
    <row r="21273" hidden="1" x14ac:dyDescent="0.15"/>
    <row r="21274" hidden="1" x14ac:dyDescent="0.15"/>
    <row r="21275" hidden="1" x14ac:dyDescent="0.15"/>
    <row r="21276" hidden="1" x14ac:dyDescent="0.15"/>
    <row r="21277" hidden="1" x14ac:dyDescent="0.15"/>
    <row r="21278" hidden="1" x14ac:dyDescent="0.15"/>
    <row r="21279" hidden="1" x14ac:dyDescent="0.15"/>
    <row r="21280" hidden="1" x14ac:dyDescent="0.15"/>
    <row r="21281" hidden="1" x14ac:dyDescent="0.15"/>
    <row r="21282" hidden="1" x14ac:dyDescent="0.15"/>
    <row r="21283" hidden="1" x14ac:dyDescent="0.15"/>
    <row r="21284" hidden="1" x14ac:dyDescent="0.15"/>
    <row r="21285" hidden="1" x14ac:dyDescent="0.15"/>
    <row r="21286" hidden="1" x14ac:dyDescent="0.15"/>
    <row r="21287" hidden="1" x14ac:dyDescent="0.15"/>
    <row r="21288" hidden="1" x14ac:dyDescent="0.15"/>
    <row r="21289" hidden="1" x14ac:dyDescent="0.15"/>
    <row r="21290" hidden="1" x14ac:dyDescent="0.15"/>
    <row r="21291" hidden="1" x14ac:dyDescent="0.15"/>
    <row r="21292" hidden="1" x14ac:dyDescent="0.15"/>
    <row r="21293" hidden="1" x14ac:dyDescent="0.15"/>
    <row r="21294" hidden="1" x14ac:dyDescent="0.15"/>
    <row r="21295" hidden="1" x14ac:dyDescent="0.15"/>
    <row r="21296" hidden="1" x14ac:dyDescent="0.15"/>
    <row r="21297" hidden="1" x14ac:dyDescent="0.15"/>
    <row r="21298" hidden="1" x14ac:dyDescent="0.15"/>
    <row r="21299" hidden="1" x14ac:dyDescent="0.15"/>
    <row r="21300" hidden="1" x14ac:dyDescent="0.15"/>
    <row r="21301" hidden="1" x14ac:dyDescent="0.15"/>
    <row r="21302" hidden="1" x14ac:dyDescent="0.15"/>
    <row r="21303" hidden="1" x14ac:dyDescent="0.15"/>
    <row r="21304" hidden="1" x14ac:dyDescent="0.15"/>
    <row r="21305" hidden="1" x14ac:dyDescent="0.15"/>
    <row r="21306" hidden="1" x14ac:dyDescent="0.15"/>
    <row r="21307" hidden="1" x14ac:dyDescent="0.15"/>
    <row r="21308" hidden="1" x14ac:dyDescent="0.15"/>
    <row r="21309" hidden="1" x14ac:dyDescent="0.15"/>
    <row r="21310" hidden="1" x14ac:dyDescent="0.15"/>
    <row r="21311" hidden="1" x14ac:dyDescent="0.15"/>
    <row r="21312" hidden="1" x14ac:dyDescent="0.15"/>
    <row r="21313" hidden="1" x14ac:dyDescent="0.15"/>
    <row r="21314" hidden="1" x14ac:dyDescent="0.15"/>
    <row r="21315" hidden="1" x14ac:dyDescent="0.15"/>
    <row r="21316" hidden="1" x14ac:dyDescent="0.15"/>
    <row r="21317" hidden="1" x14ac:dyDescent="0.15"/>
    <row r="21318" hidden="1" x14ac:dyDescent="0.15"/>
    <row r="21319" hidden="1" x14ac:dyDescent="0.15"/>
    <row r="21320" hidden="1" x14ac:dyDescent="0.15"/>
    <row r="21321" hidden="1" x14ac:dyDescent="0.15"/>
    <row r="21322" hidden="1" x14ac:dyDescent="0.15"/>
    <row r="21323" hidden="1" x14ac:dyDescent="0.15"/>
    <row r="21324" hidden="1" x14ac:dyDescent="0.15"/>
    <row r="21325" hidden="1" x14ac:dyDescent="0.15"/>
    <row r="21326" hidden="1" x14ac:dyDescent="0.15"/>
    <row r="21327" hidden="1" x14ac:dyDescent="0.15"/>
    <row r="21328" hidden="1" x14ac:dyDescent="0.15"/>
    <row r="21329" hidden="1" x14ac:dyDescent="0.15"/>
    <row r="21330" hidden="1" x14ac:dyDescent="0.15"/>
    <row r="21331" hidden="1" x14ac:dyDescent="0.15"/>
    <row r="21332" hidden="1" x14ac:dyDescent="0.15"/>
    <row r="21333" hidden="1" x14ac:dyDescent="0.15"/>
    <row r="21334" hidden="1" x14ac:dyDescent="0.15"/>
    <row r="21335" hidden="1" x14ac:dyDescent="0.15"/>
    <row r="21336" hidden="1" x14ac:dyDescent="0.15"/>
    <row r="21337" hidden="1" x14ac:dyDescent="0.15"/>
    <row r="21338" hidden="1" x14ac:dyDescent="0.15"/>
    <row r="21339" hidden="1" x14ac:dyDescent="0.15"/>
    <row r="21340" hidden="1" x14ac:dyDescent="0.15"/>
    <row r="21341" hidden="1" x14ac:dyDescent="0.15"/>
    <row r="21342" hidden="1" x14ac:dyDescent="0.15"/>
    <row r="21343" hidden="1" x14ac:dyDescent="0.15"/>
    <row r="21344" hidden="1" x14ac:dyDescent="0.15"/>
    <row r="21345" hidden="1" x14ac:dyDescent="0.15"/>
    <row r="21346" hidden="1" x14ac:dyDescent="0.15"/>
    <row r="21347" hidden="1" x14ac:dyDescent="0.15"/>
    <row r="21348" hidden="1" x14ac:dyDescent="0.15"/>
    <row r="21349" hidden="1" x14ac:dyDescent="0.15"/>
    <row r="21350" hidden="1" x14ac:dyDescent="0.15"/>
    <row r="21351" hidden="1" x14ac:dyDescent="0.15"/>
    <row r="21352" hidden="1" x14ac:dyDescent="0.15"/>
    <row r="21353" hidden="1" x14ac:dyDescent="0.15"/>
    <row r="21354" hidden="1" x14ac:dyDescent="0.15"/>
    <row r="21355" hidden="1" x14ac:dyDescent="0.15"/>
    <row r="21356" hidden="1" x14ac:dyDescent="0.15"/>
    <row r="21357" hidden="1" x14ac:dyDescent="0.15"/>
    <row r="21358" hidden="1" x14ac:dyDescent="0.15"/>
    <row r="21359" hidden="1" x14ac:dyDescent="0.15"/>
    <row r="21360" hidden="1" x14ac:dyDescent="0.15"/>
    <row r="21361" hidden="1" x14ac:dyDescent="0.15"/>
    <row r="21362" hidden="1" x14ac:dyDescent="0.15"/>
    <row r="21363" hidden="1" x14ac:dyDescent="0.15"/>
    <row r="21364" hidden="1" x14ac:dyDescent="0.15"/>
    <row r="21365" hidden="1" x14ac:dyDescent="0.15"/>
    <row r="21366" hidden="1" x14ac:dyDescent="0.15"/>
    <row r="21367" hidden="1" x14ac:dyDescent="0.15"/>
    <row r="21368" hidden="1" x14ac:dyDescent="0.15"/>
    <row r="21369" hidden="1" x14ac:dyDescent="0.15"/>
    <row r="21370" hidden="1" x14ac:dyDescent="0.15"/>
    <row r="21371" hidden="1" x14ac:dyDescent="0.15"/>
    <row r="21372" hidden="1" x14ac:dyDescent="0.15"/>
    <row r="21373" hidden="1" x14ac:dyDescent="0.15"/>
    <row r="21374" hidden="1" x14ac:dyDescent="0.15"/>
    <row r="21375" hidden="1" x14ac:dyDescent="0.15"/>
    <row r="21376" hidden="1" x14ac:dyDescent="0.15"/>
    <row r="21377" hidden="1" x14ac:dyDescent="0.15"/>
    <row r="21378" hidden="1" x14ac:dyDescent="0.15"/>
    <row r="21379" hidden="1" x14ac:dyDescent="0.15"/>
    <row r="21380" hidden="1" x14ac:dyDescent="0.15"/>
    <row r="21381" hidden="1" x14ac:dyDescent="0.15"/>
    <row r="21382" hidden="1" x14ac:dyDescent="0.15"/>
    <row r="21383" hidden="1" x14ac:dyDescent="0.15"/>
    <row r="21384" hidden="1" x14ac:dyDescent="0.15"/>
    <row r="21385" hidden="1" x14ac:dyDescent="0.15"/>
    <row r="21386" hidden="1" x14ac:dyDescent="0.15"/>
    <row r="21387" hidden="1" x14ac:dyDescent="0.15"/>
    <row r="21388" hidden="1" x14ac:dyDescent="0.15"/>
    <row r="21389" hidden="1" x14ac:dyDescent="0.15"/>
    <row r="21390" hidden="1" x14ac:dyDescent="0.15"/>
    <row r="21391" hidden="1" x14ac:dyDescent="0.15"/>
    <row r="21392" hidden="1" x14ac:dyDescent="0.15"/>
    <row r="21393" hidden="1" x14ac:dyDescent="0.15"/>
    <row r="21394" hidden="1" x14ac:dyDescent="0.15"/>
    <row r="21395" hidden="1" x14ac:dyDescent="0.15"/>
    <row r="21396" hidden="1" x14ac:dyDescent="0.15"/>
    <row r="21397" hidden="1" x14ac:dyDescent="0.15"/>
    <row r="21398" hidden="1" x14ac:dyDescent="0.15"/>
    <row r="21399" hidden="1" x14ac:dyDescent="0.15"/>
    <row r="21400" hidden="1" x14ac:dyDescent="0.15"/>
    <row r="21401" hidden="1" x14ac:dyDescent="0.15"/>
    <row r="21402" hidden="1" x14ac:dyDescent="0.15"/>
    <row r="21403" hidden="1" x14ac:dyDescent="0.15"/>
    <row r="21404" hidden="1" x14ac:dyDescent="0.15"/>
    <row r="21405" hidden="1" x14ac:dyDescent="0.15"/>
    <row r="21406" hidden="1" x14ac:dyDescent="0.15"/>
    <row r="21407" hidden="1" x14ac:dyDescent="0.15"/>
    <row r="21408" hidden="1" x14ac:dyDescent="0.15"/>
    <row r="21409" hidden="1" x14ac:dyDescent="0.15"/>
    <row r="21410" hidden="1" x14ac:dyDescent="0.15"/>
    <row r="21411" hidden="1" x14ac:dyDescent="0.15"/>
    <row r="21412" hidden="1" x14ac:dyDescent="0.15"/>
    <row r="21413" hidden="1" x14ac:dyDescent="0.15"/>
    <row r="21414" hidden="1" x14ac:dyDescent="0.15"/>
    <row r="21415" hidden="1" x14ac:dyDescent="0.15"/>
    <row r="21416" hidden="1" x14ac:dyDescent="0.15"/>
    <row r="21417" hidden="1" x14ac:dyDescent="0.15"/>
    <row r="21418" hidden="1" x14ac:dyDescent="0.15"/>
    <row r="21419" hidden="1" x14ac:dyDescent="0.15"/>
    <row r="21420" hidden="1" x14ac:dyDescent="0.15"/>
    <row r="21421" hidden="1" x14ac:dyDescent="0.15"/>
    <row r="21422" hidden="1" x14ac:dyDescent="0.15"/>
    <row r="21423" hidden="1" x14ac:dyDescent="0.15"/>
    <row r="21424" hidden="1" x14ac:dyDescent="0.15"/>
    <row r="21425" hidden="1" x14ac:dyDescent="0.15"/>
    <row r="21426" hidden="1" x14ac:dyDescent="0.15"/>
    <row r="21427" hidden="1" x14ac:dyDescent="0.15"/>
    <row r="21428" hidden="1" x14ac:dyDescent="0.15"/>
    <row r="21429" hidden="1" x14ac:dyDescent="0.15"/>
    <row r="21430" hidden="1" x14ac:dyDescent="0.15"/>
    <row r="21431" hidden="1" x14ac:dyDescent="0.15"/>
    <row r="21432" hidden="1" x14ac:dyDescent="0.15"/>
    <row r="21433" hidden="1" x14ac:dyDescent="0.15"/>
    <row r="21434" hidden="1" x14ac:dyDescent="0.15"/>
    <row r="21435" hidden="1" x14ac:dyDescent="0.15"/>
    <row r="21436" hidden="1" x14ac:dyDescent="0.15"/>
    <row r="21437" hidden="1" x14ac:dyDescent="0.15"/>
    <row r="21438" hidden="1" x14ac:dyDescent="0.15"/>
    <row r="21439" hidden="1" x14ac:dyDescent="0.15"/>
    <row r="21440" hidden="1" x14ac:dyDescent="0.15"/>
    <row r="21441" hidden="1" x14ac:dyDescent="0.15"/>
    <row r="21442" hidden="1" x14ac:dyDescent="0.15"/>
    <row r="21443" hidden="1" x14ac:dyDescent="0.15"/>
    <row r="21444" hidden="1" x14ac:dyDescent="0.15"/>
    <row r="21445" hidden="1" x14ac:dyDescent="0.15"/>
    <row r="21446" hidden="1" x14ac:dyDescent="0.15"/>
    <row r="21447" hidden="1" x14ac:dyDescent="0.15"/>
    <row r="21448" hidden="1" x14ac:dyDescent="0.15"/>
    <row r="21449" hidden="1" x14ac:dyDescent="0.15"/>
    <row r="21450" hidden="1" x14ac:dyDescent="0.15"/>
    <row r="21451" hidden="1" x14ac:dyDescent="0.15"/>
    <row r="21452" hidden="1" x14ac:dyDescent="0.15"/>
    <row r="21453" hidden="1" x14ac:dyDescent="0.15"/>
    <row r="21454" hidden="1" x14ac:dyDescent="0.15"/>
    <row r="21455" hidden="1" x14ac:dyDescent="0.15"/>
    <row r="21456" hidden="1" x14ac:dyDescent="0.15"/>
    <row r="21457" hidden="1" x14ac:dyDescent="0.15"/>
    <row r="21458" hidden="1" x14ac:dyDescent="0.15"/>
    <row r="21459" hidden="1" x14ac:dyDescent="0.15"/>
    <row r="21460" hidden="1" x14ac:dyDescent="0.15"/>
    <row r="21461" hidden="1" x14ac:dyDescent="0.15"/>
    <row r="21462" hidden="1" x14ac:dyDescent="0.15"/>
    <row r="21463" hidden="1" x14ac:dyDescent="0.15"/>
    <row r="21464" hidden="1" x14ac:dyDescent="0.15"/>
    <row r="21465" hidden="1" x14ac:dyDescent="0.15"/>
    <row r="21466" hidden="1" x14ac:dyDescent="0.15"/>
    <row r="21467" hidden="1" x14ac:dyDescent="0.15"/>
    <row r="21468" hidden="1" x14ac:dyDescent="0.15"/>
    <row r="21469" hidden="1" x14ac:dyDescent="0.15"/>
    <row r="21470" hidden="1" x14ac:dyDescent="0.15"/>
    <row r="21471" hidden="1" x14ac:dyDescent="0.15"/>
    <row r="21472" hidden="1" x14ac:dyDescent="0.15"/>
    <row r="21473" hidden="1" x14ac:dyDescent="0.15"/>
    <row r="21474" hidden="1" x14ac:dyDescent="0.15"/>
    <row r="21475" hidden="1" x14ac:dyDescent="0.15"/>
    <row r="21476" hidden="1" x14ac:dyDescent="0.15"/>
    <row r="21477" hidden="1" x14ac:dyDescent="0.15"/>
    <row r="21478" hidden="1" x14ac:dyDescent="0.15"/>
    <row r="21479" hidden="1" x14ac:dyDescent="0.15"/>
    <row r="21480" hidden="1" x14ac:dyDescent="0.15"/>
    <row r="21481" hidden="1" x14ac:dyDescent="0.15"/>
    <row r="21482" hidden="1" x14ac:dyDescent="0.15"/>
    <row r="21483" hidden="1" x14ac:dyDescent="0.15"/>
    <row r="21484" hidden="1" x14ac:dyDescent="0.15"/>
    <row r="21485" hidden="1" x14ac:dyDescent="0.15"/>
    <row r="21486" hidden="1" x14ac:dyDescent="0.15"/>
    <row r="21487" hidden="1" x14ac:dyDescent="0.15"/>
    <row r="21488" hidden="1" x14ac:dyDescent="0.15"/>
    <row r="21489" hidden="1" x14ac:dyDescent="0.15"/>
    <row r="21490" hidden="1" x14ac:dyDescent="0.15"/>
    <row r="21491" hidden="1" x14ac:dyDescent="0.15"/>
    <row r="21492" hidden="1" x14ac:dyDescent="0.15"/>
    <row r="21493" hidden="1" x14ac:dyDescent="0.15"/>
    <row r="21494" hidden="1" x14ac:dyDescent="0.15"/>
    <row r="21495" hidden="1" x14ac:dyDescent="0.15"/>
    <row r="21496" hidden="1" x14ac:dyDescent="0.15"/>
    <row r="21497" hidden="1" x14ac:dyDescent="0.15"/>
    <row r="21498" hidden="1" x14ac:dyDescent="0.15"/>
    <row r="21499" hidden="1" x14ac:dyDescent="0.15"/>
    <row r="21500" hidden="1" x14ac:dyDescent="0.15"/>
    <row r="21501" hidden="1" x14ac:dyDescent="0.15"/>
    <row r="21502" hidden="1" x14ac:dyDescent="0.15"/>
    <row r="21503" hidden="1" x14ac:dyDescent="0.15"/>
    <row r="21504" hidden="1" x14ac:dyDescent="0.15"/>
    <row r="21505" hidden="1" x14ac:dyDescent="0.15"/>
    <row r="21506" hidden="1" x14ac:dyDescent="0.15"/>
    <row r="21507" hidden="1" x14ac:dyDescent="0.15"/>
    <row r="21508" hidden="1" x14ac:dyDescent="0.15"/>
    <row r="21509" hidden="1" x14ac:dyDescent="0.15"/>
    <row r="21510" hidden="1" x14ac:dyDescent="0.15"/>
    <row r="21511" hidden="1" x14ac:dyDescent="0.15"/>
    <row r="21512" hidden="1" x14ac:dyDescent="0.15"/>
    <row r="21513" hidden="1" x14ac:dyDescent="0.15"/>
    <row r="21514" hidden="1" x14ac:dyDescent="0.15"/>
    <row r="21515" hidden="1" x14ac:dyDescent="0.15"/>
    <row r="21516" hidden="1" x14ac:dyDescent="0.15"/>
    <row r="21517" hidden="1" x14ac:dyDescent="0.15"/>
    <row r="21518" hidden="1" x14ac:dyDescent="0.15"/>
    <row r="21519" hidden="1" x14ac:dyDescent="0.15"/>
    <row r="21520" hidden="1" x14ac:dyDescent="0.15"/>
    <row r="21521" hidden="1" x14ac:dyDescent="0.15"/>
    <row r="21522" hidden="1" x14ac:dyDescent="0.15"/>
    <row r="21523" hidden="1" x14ac:dyDescent="0.15"/>
    <row r="21524" hidden="1" x14ac:dyDescent="0.15"/>
    <row r="21525" hidden="1" x14ac:dyDescent="0.15"/>
    <row r="21526" hidden="1" x14ac:dyDescent="0.15"/>
    <row r="21527" hidden="1" x14ac:dyDescent="0.15"/>
    <row r="21528" hidden="1" x14ac:dyDescent="0.15"/>
    <row r="21529" hidden="1" x14ac:dyDescent="0.15"/>
    <row r="21530" hidden="1" x14ac:dyDescent="0.15"/>
    <row r="21531" hidden="1" x14ac:dyDescent="0.15"/>
    <row r="21532" hidden="1" x14ac:dyDescent="0.15"/>
    <row r="21533" hidden="1" x14ac:dyDescent="0.15"/>
    <row r="21534" hidden="1" x14ac:dyDescent="0.15"/>
    <row r="21535" hidden="1" x14ac:dyDescent="0.15"/>
    <row r="21536" hidden="1" x14ac:dyDescent="0.15"/>
    <row r="21537" hidden="1" x14ac:dyDescent="0.15"/>
    <row r="21538" hidden="1" x14ac:dyDescent="0.15"/>
    <row r="21539" hidden="1" x14ac:dyDescent="0.15"/>
    <row r="21540" hidden="1" x14ac:dyDescent="0.15"/>
    <row r="21541" hidden="1" x14ac:dyDescent="0.15"/>
    <row r="21542" hidden="1" x14ac:dyDescent="0.15"/>
    <row r="21543" hidden="1" x14ac:dyDescent="0.15"/>
    <row r="21544" hidden="1" x14ac:dyDescent="0.15"/>
    <row r="21545" hidden="1" x14ac:dyDescent="0.15"/>
    <row r="21546" hidden="1" x14ac:dyDescent="0.15"/>
    <row r="21547" hidden="1" x14ac:dyDescent="0.15"/>
    <row r="21548" hidden="1" x14ac:dyDescent="0.15"/>
    <row r="21549" hidden="1" x14ac:dyDescent="0.15"/>
    <row r="21550" hidden="1" x14ac:dyDescent="0.15"/>
    <row r="21551" hidden="1" x14ac:dyDescent="0.15"/>
    <row r="21552" hidden="1" x14ac:dyDescent="0.15"/>
    <row r="21553" hidden="1" x14ac:dyDescent="0.15"/>
    <row r="21554" hidden="1" x14ac:dyDescent="0.15"/>
    <row r="21555" hidden="1" x14ac:dyDescent="0.15"/>
    <row r="21556" hidden="1" x14ac:dyDescent="0.15"/>
    <row r="21557" hidden="1" x14ac:dyDescent="0.15"/>
    <row r="21558" hidden="1" x14ac:dyDescent="0.15"/>
    <row r="21559" hidden="1" x14ac:dyDescent="0.15"/>
    <row r="21560" hidden="1" x14ac:dyDescent="0.15"/>
    <row r="21561" hidden="1" x14ac:dyDescent="0.15"/>
    <row r="21562" hidden="1" x14ac:dyDescent="0.15"/>
    <row r="21563" hidden="1" x14ac:dyDescent="0.15"/>
    <row r="21564" hidden="1" x14ac:dyDescent="0.15"/>
    <row r="21565" hidden="1" x14ac:dyDescent="0.15"/>
    <row r="21566" hidden="1" x14ac:dyDescent="0.15"/>
    <row r="21567" hidden="1" x14ac:dyDescent="0.15"/>
    <row r="21568" hidden="1" x14ac:dyDescent="0.15"/>
    <row r="21569" hidden="1" x14ac:dyDescent="0.15"/>
    <row r="21570" hidden="1" x14ac:dyDescent="0.15"/>
    <row r="21571" hidden="1" x14ac:dyDescent="0.15"/>
    <row r="21572" hidden="1" x14ac:dyDescent="0.15"/>
    <row r="21573" hidden="1" x14ac:dyDescent="0.15"/>
    <row r="21574" hidden="1" x14ac:dyDescent="0.15"/>
    <row r="21575" hidden="1" x14ac:dyDescent="0.15"/>
    <row r="21576" hidden="1" x14ac:dyDescent="0.15"/>
    <row r="21577" hidden="1" x14ac:dyDescent="0.15"/>
    <row r="21578" hidden="1" x14ac:dyDescent="0.15"/>
    <row r="21579" hidden="1" x14ac:dyDescent="0.15"/>
    <row r="21580" hidden="1" x14ac:dyDescent="0.15"/>
    <row r="21581" hidden="1" x14ac:dyDescent="0.15"/>
    <row r="21582" hidden="1" x14ac:dyDescent="0.15"/>
    <row r="21583" hidden="1" x14ac:dyDescent="0.15"/>
    <row r="21584" hidden="1" x14ac:dyDescent="0.15"/>
    <row r="21585" hidden="1" x14ac:dyDescent="0.15"/>
    <row r="21586" hidden="1" x14ac:dyDescent="0.15"/>
    <row r="21587" hidden="1" x14ac:dyDescent="0.15"/>
    <row r="21588" hidden="1" x14ac:dyDescent="0.15"/>
    <row r="21589" hidden="1" x14ac:dyDescent="0.15"/>
    <row r="21590" hidden="1" x14ac:dyDescent="0.15"/>
    <row r="21591" hidden="1" x14ac:dyDescent="0.15"/>
    <row r="21592" hidden="1" x14ac:dyDescent="0.15"/>
    <row r="21593" hidden="1" x14ac:dyDescent="0.15"/>
    <row r="21594" hidden="1" x14ac:dyDescent="0.15"/>
    <row r="21595" hidden="1" x14ac:dyDescent="0.15"/>
    <row r="21596" hidden="1" x14ac:dyDescent="0.15"/>
    <row r="21597" hidden="1" x14ac:dyDescent="0.15"/>
    <row r="21598" hidden="1" x14ac:dyDescent="0.15"/>
    <row r="21599" hidden="1" x14ac:dyDescent="0.15"/>
    <row r="21600" hidden="1" x14ac:dyDescent="0.15"/>
    <row r="21601" hidden="1" x14ac:dyDescent="0.15"/>
    <row r="21602" hidden="1" x14ac:dyDescent="0.15"/>
    <row r="21603" hidden="1" x14ac:dyDescent="0.15"/>
    <row r="21604" hidden="1" x14ac:dyDescent="0.15"/>
    <row r="21605" hidden="1" x14ac:dyDescent="0.15"/>
    <row r="21606" hidden="1" x14ac:dyDescent="0.15"/>
    <row r="21607" hidden="1" x14ac:dyDescent="0.15"/>
    <row r="21608" hidden="1" x14ac:dyDescent="0.15"/>
    <row r="21609" hidden="1" x14ac:dyDescent="0.15"/>
    <row r="21610" hidden="1" x14ac:dyDescent="0.15"/>
    <row r="21611" hidden="1" x14ac:dyDescent="0.15"/>
    <row r="21612" hidden="1" x14ac:dyDescent="0.15"/>
    <row r="21613" hidden="1" x14ac:dyDescent="0.15"/>
    <row r="21614" hidden="1" x14ac:dyDescent="0.15"/>
    <row r="21615" hidden="1" x14ac:dyDescent="0.15"/>
    <row r="21616" hidden="1" x14ac:dyDescent="0.15"/>
    <row r="21617" hidden="1" x14ac:dyDescent="0.15"/>
    <row r="21618" hidden="1" x14ac:dyDescent="0.15"/>
    <row r="21619" hidden="1" x14ac:dyDescent="0.15"/>
    <row r="21620" hidden="1" x14ac:dyDescent="0.15"/>
    <row r="21621" hidden="1" x14ac:dyDescent="0.15"/>
    <row r="21622" hidden="1" x14ac:dyDescent="0.15"/>
    <row r="21623" hidden="1" x14ac:dyDescent="0.15"/>
    <row r="21624" hidden="1" x14ac:dyDescent="0.15"/>
    <row r="21625" hidden="1" x14ac:dyDescent="0.15"/>
    <row r="21626" hidden="1" x14ac:dyDescent="0.15"/>
    <row r="21627" hidden="1" x14ac:dyDescent="0.15"/>
    <row r="21628" hidden="1" x14ac:dyDescent="0.15"/>
    <row r="21629" hidden="1" x14ac:dyDescent="0.15"/>
    <row r="21630" hidden="1" x14ac:dyDescent="0.15"/>
    <row r="21631" hidden="1" x14ac:dyDescent="0.15"/>
    <row r="21632" hidden="1" x14ac:dyDescent="0.15"/>
    <row r="21633" hidden="1" x14ac:dyDescent="0.15"/>
    <row r="21634" hidden="1" x14ac:dyDescent="0.15"/>
    <row r="21635" hidden="1" x14ac:dyDescent="0.15"/>
    <row r="21636" hidden="1" x14ac:dyDescent="0.15"/>
    <row r="21637" hidden="1" x14ac:dyDescent="0.15"/>
    <row r="21638" hidden="1" x14ac:dyDescent="0.15"/>
    <row r="21639" hidden="1" x14ac:dyDescent="0.15"/>
    <row r="21640" hidden="1" x14ac:dyDescent="0.15"/>
    <row r="21641" hidden="1" x14ac:dyDescent="0.15"/>
    <row r="21642" hidden="1" x14ac:dyDescent="0.15"/>
    <row r="21643" hidden="1" x14ac:dyDescent="0.15"/>
    <row r="21644" hidden="1" x14ac:dyDescent="0.15"/>
    <row r="21645" hidden="1" x14ac:dyDescent="0.15"/>
    <row r="21646" hidden="1" x14ac:dyDescent="0.15"/>
    <row r="21647" hidden="1" x14ac:dyDescent="0.15"/>
    <row r="21648" hidden="1" x14ac:dyDescent="0.15"/>
    <row r="21649" hidden="1" x14ac:dyDescent="0.15"/>
    <row r="21650" hidden="1" x14ac:dyDescent="0.15"/>
    <row r="21651" hidden="1" x14ac:dyDescent="0.15"/>
    <row r="21652" hidden="1" x14ac:dyDescent="0.15"/>
    <row r="21653" hidden="1" x14ac:dyDescent="0.15"/>
    <row r="21654" hidden="1" x14ac:dyDescent="0.15"/>
    <row r="21655" hidden="1" x14ac:dyDescent="0.15"/>
    <row r="21656" hidden="1" x14ac:dyDescent="0.15"/>
    <row r="21657" hidden="1" x14ac:dyDescent="0.15"/>
    <row r="21658" hidden="1" x14ac:dyDescent="0.15"/>
    <row r="21659" hidden="1" x14ac:dyDescent="0.15"/>
    <row r="21660" hidden="1" x14ac:dyDescent="0.15"/>
    <row r="21661" hidden="1" x14ac:dyDescent="0.15"/>
    <row r="21662" hidden="1" x14ac:dyDescent="0.15"/>
    <row r="21663" hidden="1" x14ac:dyDescent="0.15"/>
    <row r="21664" hidden="1" x14ac:dyDescent="0.15"/>
    <row r="21665" hidden="1" x14ac:dyDescent="0.15"/>
    <row r="21666" hidden="1" x14ac:dyDescent="0.15"/>
    <row r="21667" hidden="1" x14ac:dyDescent="0.15"/>
    <row r="21668" hidden="1" x14ac:dyDescent="0.15"/>
    <row r="21669" hidden="1" x14ac:dyDescent="0.15"/>
    <row r="21670" hidden="1" x14ac:dyDescent="0.15"/>
    <row r="21671" hidden="1" x14ac:dyDescent="0.15"/>
    <row r="21672" hidden="1" x14ac:dyDescent="0.15"/>
    <row r="21673" hidden="1" x14ac:dyDescent="0.15"/>
    <row r="21674" hidden="1" x14ac:dyDescent="0.15"/>
    <row r="21675" hidden="1" x14ac:dyDescent="0.15"/>
    <row r="21676" hidden="1" x14ac:dyDescent="0.15"/>
    <row r="21677" hidden="1" x14ac:dyDescent="0.15"/>
    <row r="21678" hidden="1" x14ac:dyDescent="0.15"/>
    <row r="21679" hidden="1" x14ac:dyDescent="0.15"/>
    <row r="21680" hidden="1" x14ac:dyDescent="0.15"/>
    <row r="21681" hidden="1" x14ac:dyDescent="0.15"/>
    <row r="21682" hidden="1" x14ac:dyDescent="0.15"/>
    <row r="21683" hidden="1" x14ac:dyDescent="0.15"/>
    <row r="21684" hidden="1" x14ac:dyDescent="0.15"/>
    <row r="21685" hidden="1" x14ac:dyDescent="0.15"/>
    <row r="21686" hidden="1" x14ac:dyDescent="0.15"/>
    <row r="21687" hidden="1" x14ac:dyDescent="0.15"/>
    <row r="21688" hidden="1" x14ac:dyDescent="0.15"/>
    <row r="21689" hidden="1" x14ac:dyDescent="0.15"/>
    <row r="21690" hidden="1" x14ac:dyDescent="0.15"/>
    <row r="21691" hidden="1" x14ac:dyDescent="0.15"/>
    <row r="21692" hidden="1" x14ac:dyDescent="0.15"/>
    <row r="21693" hidden="1" x14ac:dyDescent="0.15"/>
    <row r="21694" hidden="1" x14ac:dyDescent="0.15"/>
    <row r="21695" hidden="1" x14ac:dyDescent="0.15"/>
    <row r="21696" hidden="1" x14ac:dyDescent="0.15"/>
    <row r="21697" hidden="1" x14ac:dyDescent="0.15"/>
    <row r="21698" hidden="1" x14ac:dyDescent="0.15"/>
    <row r="21699" hidden="1" x14ac:dyDescent="0.15"/>
    <row r="21700" hidden="1" x14ac:dyDescent="0.15"/>
    <row r="21701" hidden="1" x14ac:dyDescent="0.15"/>
    <row r="21702" hidden="1" x14ac:dyDescent="0.15"/>
    <row r="21703" hidden="1" x14ac:dyDescent="0.15"/>
    <row r="21704" hidden="1" x14ac:dyDescent="0.15"/>
    <row r="21705" hidden="1" x14ac:dyDescent="0.15"/>
    <row r="21706" hidden="1" x14ac:dyDescent="0.15"/>
    <row r="21707" hidden="1" x14ac:dyDescent="0.15"/>
    <row r="21708" hidden="1" x14ac:dyDescent="0.15"/>
    <row r="21709" hidden="1" x14ac:dyDescent="0.15"/>
    <row r="21710" hidden="1" x14ac:dyDescent="0.15"/>
    <row r="21711" hidden="1" x14ac:dyDescent="0.15"/>
    <row r="21712" hidden="1" x14ac:dyDescent="0.15"/>
    <row r="21713" hidden="1" x14ac:dyDescent="0.15"/>
    <row r="21714" hidden="1" x14ac:dyDescent="0.15"/>
    <row r="21715" hidden="1" x14ac:dyDescent="0.15"/>
    <row r="21716" hidden="1" x14ac:dyDescent="0.15"/>
    <row r="21717" hidden="1" x14ac:dyDescent="0.15"/>
    <row r="21718" hidden="1" x14ac:dyDescent="0.15"/>
    <row r="21719" hidden="1" x14ac:dyDescent="0.15"/>
    <row r="21720" hidden="1" x14ac:dyDescent="0.15"/>
    <row r="21721" hidden="1" x14ac:dyDescent="0.15"/>
    <row r="21722" hidden="1" x14ac:dyDescent="0.15"/>
    <row r="21723" hidden="1" x14ac:dyDescent="0.15"/>
    <row r="21724" hidden="1" x14ac:dyDescent="0.15"/>
    <row r="21725" hidden="1" x14ac:dyDescent="0.15"/>
    <row r="21726" hidden="1" x14ac:dyDescent="0.15"/>
    <row r="21727" hidden="1" x14ac:dyDescent="0.15"/>
    <row r="21728" hidden="1" x14ac:dyDescent="0.15"/>
    <row r="21729" hidden="1" x14ac:dyDescent="0.15"/>
    <row r="21730" hidden="1" x14ac:dyDescent="0.15"/>
    <row r="21731" hidden="1" x14ac:dyDescent="0.15"/>
    <row r="21732" hidden="1" x14ac:dyDescent="0.15"/>
    <row r="21733" hidden="1" x14ac:dyDescent="0.15"/>
    <row r="21734" hidden="1" x14ac:dyDescent="0.15"/>
    <row r="21735" hidden="1" x14ac:dyDescent="0.15"/>
    <row r="21736" hidden="1" x14ac:dyDescent="0.15"/>
    <row r="21737" hidden="1" x14ac:dyDescent="0.15"/>
    <row r="21738" hidden="1" x14ac:dyDescent="0.15"/>
    <row r="21739" hidden="1" x14ac:dyDescent="0.15"/>
    <row r="21740" hidden="1" x14ac:dyDescent="0.15"/>
    <row r="21741" hidden="1" x14ac:dyDescent="0.15"/>
    <row r="21742" hidden="1" x14ac:dyDescent="0.15"/>
    <row r="21743" hidden="1" x14ac:dyDescent="0.15"/>
    <row r="21744" hidden="1" x14ac:dyDescent="0.15"/>
    <row r="21745" hidden="1" x14ac:dyDescent="0.15"/>
    <row r="21746" hidden="1" x14ac:dyDescent="0.15"/>
    <row r="21747" hidden="1" x14ac:dyDescent="0.15"/>
    <row r="21748" hidden="1" x14ac:dyDescent="0.15"/>
    <row r="21749" hidden="1" x14ac:dyDescent="0.15"/>
    <row r="21750" hidden="1" x14ac:dyDescent="0.15"/>
    <row r="21751" hidden="1" x14ac:dyDescent="0.15"/>
    <row r="21752" hidden="1" x14ac:dyDescent="0.15"/>
    <row r="21753" hidden="1" x14ac:dyDescent="0.15"/>
    <row r="21754" hidden="1" x14ac:dyDescent="0.15"/>
    <row r="21755" hidden="1" x14ac:dyDescent="0.15"/>
    <row r="21756" hidden="1" x14ac:dyDescent="0.15"/>
    <row r="21757" hidden="1" x14ac:dyDescent="0.15"/>
    <row r="21758" hidden="1" x14ac:dyDescent="0.15"/>
    <row r="21759" hidden="1" x14ac:dyDescent="0.15"/>
    <row r="21760" hidden="1" x14ac:dyDescent="0.15"/>
    <row r="21761" hidden="1" x14ac:dyDescent="0.15"/>
    <row r="21762" hidden="1" x14ac:dyDescent="0.15"/>
    <row r="21763" hidden="1" x14ac:dyDescent="0.15"/>
    <row r="21764" hidden="1" x14ac:dyDescent="0.15"/>
    <row r="21765" hidden="1" x14ac:dyDescent="0.15"/>
    <row r="21766" hidden="1" x14ac:dyDescent="0.15"/>
    <row r="21767" hidden="1" x14ac:dyDescent="0.15"/>
    <row r="21768" hidden="1" x14ac:dyDescent="0.15"/>
    <row r="21769" hidden="1" x14ac:dyDescent="0.15"/>
    <row r="21770" hidden="1" x14ac:dyDescent="0.15"/>
    <row r="21771" hidden="1" x14ac:dyDescent="0.15"/>
    <row r="21772" hidden="1" x14ac:dyDescent="0.15"/>
    <row r="21773" hidden="1" x14ac:dyDescent="0.15"/>
    <row r="21774" hidden="1" x14ac:dyDescent="0.15"/>
    <row r="21775" hidden="1" x14ac:dyDescent="0.15"/>
    <row r="21776" hidden="1" x14ac:dyDescent="0.15"/>
    <row r="21777" hidden="1" x14ac:dyDescent="0.15"/>
    <row r="21778" hidden="1" x14ac:dyDescent="0.15"/>
    <row r="21779" hidden="1" x14ac:dyDescent="0.15"/>
    <row r="21780" hidden="1" x14ac:dyDescent="0.15"/>
    <row r="21781" hidden="1" x14ac:dyDescent="0.15"/>
    <row r="21782" hidden="1" x14ac:dyDescent="0.15"/>
    <row r="21783" hidden="1" x14ac:dyDescent="0.15"/>
    <row r="21784" hidden="1" x14ac:dyDescent="0.15"/>
    <row r="21785" hidden="1" x14ac:dyDescent="0.15"/>
    <row r="21786" hidden="1" x14ac:dyDescent="0.15"/>
    <row r="21787" hidden="1" x14ac:dyDescent="0.15"/>
    <row r="21788" hidden="1" x14ac:dyDescent="0.15"/>
    <row r="21789" hidden="1" x14ac:dyDescent="0.15"/>
    <row r="21790" hidden="1" x14ac:dyDescent="0.15"/>
    <row r="21791" hidden="1" x14ac:dyDescent="0.15"/>
    <row r="21792" hidden="1" x14ac:dyDescent="0.15"/>
    <row r="21793" hidden="1" x14ac:dyDescent="0.15"/>
    <row r="21794" hidden="1" x14ac:dyDescent="0.15"/>
    <row r="21795" hidden="1" x14ac:dyDescent="0.15"/>
    <row r="21796" hidden="1" x14ac:dyDescent="0.15"/>
    <row r="21797" hidden="1" x14ac:dyDescent="0.15"/>
    <row r="21798" hidden="1" x14ac:dyDescent="0.15"/>
    <row r="21799" hidden="1" x14ac:dyDescent="0.15"/>
    <row r="21800" hidden="1" x14ac:dyDescent="0.15"/>
    <row r="21801" hidden="1" x14ac:dyDescent="0.15"/>
    <row r="21802" hidden="1" x14ac:dyDescent="0.15"/>
    <row r="21803" hidden="1" x14ac:dyDescent="0.15"/>
    <row r="21804" hidden="1" x14ac:dyDescent="0.15"/>
    <row r="21805" hidden="1" x14ac:dyDescent="0.15"/>
    <row r="21806" hidden="1" x14ac:dyDescent="0.15"/>
    <row r="21807" hidden="1" x14ac:dyDescent="0.15"/>
    <row r="21808" hidden="1" x14ac:dyDescent="0.15"/>
    <row r="21809" hidden="1" x14ac:dyDescent="0.15"/>
    <row r="21810" hidden="1" x14ac:dyDescent="0.15"/>
    <row r="21811" hidden="1" x14ac:dyDescent="0.15"/>
    <row r="21812" hidden="1" x14ac:dyDescent="0.15"/>
    <row r="21813" hidden="1" x14ac:dyDescent="0.15"/>
    <row r="21814" hidden="1" x14ac:dyDescent="0.15"/>
    <row r="21815" hidden="1" x14ac:dyDescent="0.15"/>
    <row r="21816" hidden="1" x14ac:dyDescent="0.15"/>
    <row r="21817" hidden="1" x14ac:dyDescent="0.15"/>
    <row r="21818" hidden="1" x14ac:dyDescent="0.15"/>
    <row r="21819" hidden="1" x14ac:dyDescent="0.15"/>
    <row r="21820" hidden="1" x14ac:dyDescent="0.15"/>
    <row r="21821" hidden="1" x14ac:dyDescent="0.15"/>
    <row r="21822" hidden="1" x14ac:dyDescent="0.15"/>
    <row r="21823" hidden="1" x14ac:dyDescent="0.15"/>
    <row r="21824" hidden="1" x14ac:dyDescent="0.15"/>
    <row r="21825" hidden="1" x14ac:dyDescent="0.15"/>
    <row r="21826" hidden="1" x14ac:dyDescent="0.15"/>
    <row r="21827" hidden="1" x14ac:dyDescent="0.15"/>
    <row r="21828" hidden="1" x14ac:dyDescent="0.15"/>
    <row r="21829" hidden="1" x14ac:dyDescent="0.15"/>
    <row r="21830" hidden="1" x14ac:dyDescent="0.15"/>
    <row r="21831" hidden="1" x14ac:dyDescent="0.15"/>
    <row r="21832" hidden="1" x14ac:dyDescent="0.15"/>
    <row r="21833" hidden="1" x14ac:dyDescent="0.15"/>
    <row r="21834" hidden="1" x14ac:dyDescent="0.15"/>
    <row r="21835" hidden="1" x14ac:dyDescent="0.15"/>
    <row r="21836" hidden="1" x14ac:dyDescent="0.15"/>
    <row r="21837" hidden="1" x14ac:dyDescent="0.15"/>
    <row r="21838" hidden="1" x14ac:dyDescent="0.15"/>
    <row r="21839" hidden="1" x14ac:dyDescent="0.15"/>
    <row r="21840" hidden="1" x14ac:dyDescent="0.15"/>
    <row r="21841" hidden="1" x14ac:dyDescent="0.15"/>
    <row r="21842" hidden="1" x14ac:dyDescent="0.15"/>
    <row r="21843" hidden="1" x14ac:dyDescent="0.15"/>
    <row r="21844" hidden="1" x14ac:dyDescent="0.15"/>
    <row r="21845" hidden="1" x14ac:dyDescent="0.15"/>
    <row r="21846" hidden="1" x14ac:dyDescent="0.15"/>
    <row r="21847" hidden="1" x14ac:dyDescent="0.15"/>
    <row r="21848" hidden="1" x14ac:dyDescent="0.15"/>
    <row r="21849" hidden="1" x14ac:dyDescent="0.15"/>
    <row r="21850" hidden="1" x14ac:dyDescent="0.15"/>
    <row r="21851" hidden="1" x14ac:dyDescent="0.15"/>
    <row r="21852" hidden="1" x14ac:dyDescent="0.15"/>
    <row r="21853" hidden="1" x14ac:dyDescent="0.15"/>
    <row r="21854" hidden="1" x14ac:dyDescent="0.15"/>
    <row r="21855" hidden="1" x14ac:dyDescent="0.15"/>
    <row r="21856" hidden="1" x14ac:dyDescent="0.15"/>
    <row r="21857" hidden="1" x14ac:dyDescent="0.15"/>
    <row r="21858" hidden="1" x14ac:dyDescent="0.15"/>
    <row r="21859" hidden="1" x14ac:dyDescent="0.15"/>
    <row r="21860" hidden="1" x14ac:dyDescent="0.15"/>
    <row r="21861" hidden="1" x14ac:dyDescent="0.15"/>
    <row r="21862" hidden="1" x14ac:dyDescent="0.15"/>
    <row r="21863" hidden="1" x14ac:dyDescent="0.15"/>
    <row r="21864" hidden="1" x14ac:dyDescent="0.15"/>
    <row r="21865" hidden="1" x14ac:dyDescent="0.15"/>
    <row r="21866" hidden="1" x14ac:dyDescent="0.15"/>
    <row r="21867" hidden="1" x14ac:dyDescent="0.15"/>
    <row r="21868" hidden="1" x14ac:dyDescent="0.15"/>
    <row r="21869" hidden="1" x14ac:dyDescent="0.15"/>
    <row r="21870" hidden="1" x14ac:dyDescent="0.15"/>
    <row r="21871" hidden="1" x14ac:dyDescent="0.15"/>
    <row r="21872" hidden="1" x14ac:dyDescent="0.15"/>
    <row r="21873" hidden="1" x14ac:dyDescent="0.15"/>
    <row r="21874" hidden="1" x14ac:dyDescent="0.15"/>
    <row r="21875" hidden="1" x14ac:dyDescent="0.15"/>
    <row r="21876" hidden="1" x14ac:dyDescent="0.15"/>
    <row r="21877" hidden="1" x14ac:dyDescent="0.15"/>
    <row r="21878" hidden="1" x14ac:dyDescent="0.15"/>
    <row r="21879" hidden="1" x14ac:dyDescent="0.15"/>
    <row r="21880" hidden="1" x14ac:dyDescent="0.15"/>
    <row r="21881" hidden="1" x14ac:dyDescent="0.15"/>
    <row r="21882" hidden="1" x14ac:dyDescent="0.15"/>
    <row r="21883" hidden="1" x14ac:dyDescent="0.15"/>
    <row r="21884" hidden="1" x14ac:dyDescent="0.15"/>
    <row r="21885" hidden="1" x14ac:dyDescent="0.15"/>
    <row r="21886" hidden="1" x14ac:dyDescent="0.15"/>
    <row r="21887" hidden="1" x14ac:dyDescent="0.15"/>
    <row r="21888" hidden="1" x14ac:dyDescent="0.15"/>
    <row r="21889" hidden="1" x14ac:dyDescent="0.15"/>
    <row r="21890" hidden="1" x14ac:dyDescent="0.15"/>
    <row r="21891" hidden="1" x14ac:dyDescent="0.15"/>
    <row r="21892" hidden="1" x14ac:dyDescent="0.15"/>
    <row r="21893" hidden="1" x14ac:dyDescent="0.15"/>
    <row r="21894" hidden="1" x14ac:dyDescent="0.15"/>
    <row r="21895" hidden="1" x14ac:dyDescent="0.15"/>
    <row r="21896" hidden="1" x14ac:dyDescent="0.15"/>
    <row r="21897" hidden="1" x14ac:dyDescent="0.15"/>
    <row r="21898" hidden="1" x14ac:dyDescent="0.15"/>
    <row r="21899" hidden="1" x14ac:dyDescent="0.15"/>
    <row r="21900" hidden="1" x14ac:dyDescent="0.15"/>
    <row r="21901" hidden="1" x14ac:dyDescent="0.15"/>
    <row r="21902" hidden="1" x14ac:dyDescent="0.15"/>
    <row r="21903" hidden="1" x14ac:dyDescent="0.15"/>
    <row r="21904" hidden="1" x14ac:dyDescent="0.15"/>
    <row r="21905" hidden="1" x14ac:dyDescent="0.15"/>
    <row r="21906" hidden="1" x14ac:dyDescent="0.15"/>
    <row r="21907" hidden="1" x14ac:dyDescent="0.15"/>
    <row r="21908" hidden="1" x14ac:dyDescent="0.15"/>
    <row r="21909" hidden="1" x14ac:dyDescent="0.15"/>
    <row r="21910" hidden="1" x14ac:dyDescent="0.15"/>
    <row r="21911" hidden="1" x14ac:dyDescent="0.15"/>
    <row r="21912" hidden="1" x14ac:dyDescent="0.15"/>
    <row r="21913" hidden="1" x14ac:dyDescent="0.15"/>
    <row r="21914" hidden="1" x14ac:dyDescent="0.15"/>
    <row r="21915" hidden="1" x14ac:dyDescent="0.15"/>
    <row r="21916" hidden="1" x14ac:dyDescent="0.15"/>
    <row r="21917" hidden="1" x14ac:dyDescent="0.15"/>
    <row r="21918" hidden="1" x14ac:dyDescent="0.15"/>
    <row r="21919" hidden="1" x14ac:dyDescent="0.15"/>
    <row r="21920" hidden="1" x14ac:dyDescent="0.15"/>
    <row r="21921" hidden="1" x14ac:dyDescent="0.15"/>
    <row r="21922" hidden="1" x14ac:dyDescent="0.15"/>
    <row r="21923" hidden="1" x14ac:dyDescent="0.15"/>
    <row r="21924" hidden="1" x14ac:dyDescent="0.15"/>
    <row r="21925" hidden="1" x14ac:dyDescent="0.15"/>
    <row r="21926" hidden="1" x14ac:dyDescent="0.15"/>
    <row r="21927" hidden="1" x14ac:dyDescent="0.15"/>
    <row r="21928" hidden="1" x14ac:dyDescent="0.15"/>
    <row r="21929" hidden="1" x14ac:dyDescent="0.15"/>
    <row r="21930" hidden="1" x14ac:dyDescent="0.15"/>
    <row r="21931" hidden="1" x14ac:dyDescent="0.15"/>
    <row r="21932" hidden="1" x14ac:dyDescent="0.15"/>
    <row r="21933" hidden="1" x14ac:dyDescent="0.15"/>
    <row r="21934" hidden="1" x14ac:dyDescent="0.15"/>
    <row r="21935" hidden="1" x14ac:dyDescent="0.15"/>
    <row r="21936" hidden="1" x14ac:dyDescent="0.15"/>
    <row r="21937" hidden="1" x14ac:dyDescent="0.15"/>
    <row r="21938" hidden="1" x14ac:dyDescent="0.15"/>
    <row r="21939" hidden="1" x14ac:dyDescent="0.15"/>
    <row r="21940" hidden="1" x14ac:dyDescent="0.15"/>
    <row r="21941" hidden="1" x14ac:dyDescent="0.15"/>
    <row r="21942" hidden="1" x14ac:dyDescent="0.15"/>
    <row r="21943" hidden="1" x14ac:dyDescent="0.15"/>
    <row r="21944" hidden="1" x14ac:dyDescent="0.15"/>
    <row r="21945" hidden="1" x14ac:dyDescent="0.15"/>
    <row r="21946" hidden="1" x14ac:dyDescent="0.15"/>
    <row r="21947" hidden="1" x14ac:dyDescent="0.15"/>
    <row r="21948" hidden="1" x14ac:dyDescent="0.15"/>
    <row r="21949" hidden="1" x14ac:dyDescent="0.15"/>
    <row r="21950" hidden="1" x14ac:dyDescent="0.15"/>
    <row r="21951" hidden="1" x14ac:dyDescent="0.15"/>
    <row r="21952" hidden="1" x14ac:dyDescent="0.15"/>
    <row r="21953" hidden="1" x14ac:dyDescent="0.15"/>
    <row r="21954" hidden="1" x14ac:dyDescent="0.15"/>
    <row r="21955" hidden="1" x14ac:dyDescent="0.15"/>
    <row r="21956" hidden="1" x14ac:dyDescent="0.15"/>
    <row r="21957" hidden="1" x14ac:dyDescent="0.15"/>
    <row r="21958" hidden="1" x14ac:dyDescent="0.15"/>
    <row r="21959" hidden="1" x14ac:dyDescent="0.15"/>
    <row r="21960" hidden="1" x14ac:dyDescent="0.15"/>
    <row r="21961" hidden="1" x14ac:dyDescent="0.15"/>
    <row r="21962" hidden="1" x14ac:dyDescent="0.15"/>
    <row r="21963" hidden="1" x14ac:dyDescent="0.15"/>
    <row r="21964" hidden="1" x14ac:dyDescent="0.15"/>
    <row r="21965" hidden="1" x14ac:dyDescent="0.15"/>
    <row r="21966" hidden="1" x14ac:dyDescent="0.15"/>
    <row r="21967" hidden="1" x14ac:dyDescent="0.15"/>
    <row r="21968" hidden="1" x14ac:dyDescent="0.15"/>
    <row r="21969" hidden="1" x14ac:dyDescent="0.15"/>
    <row r="21970" hidden="1" x14ac:dyDescent="0.15"/>
    <row r="21971" hidden="1" x14ac:dyDescent="0.15"/>
    <row r="21972" hidden="1" x14ac:dyDescent="0.15"/>
    <row r="21973" hidden="1" x14ac:dyDescent="0.15"/>
    <row r="21974" hidden="1" x14ac:dyDescent="0.15"/>
    <row r="21975" hidden="1" x14ac:dyDescent="0.15"/>
    <row r="21976" hidden="1" x14ac:dyDescent="0.15"/>
    <row r="21977" hidden="1" x14ac:dyDescent="0.15"/>
    <row r="21978" hidden="1" x14ac:dyDescent="0.15"/>
    <row r="21979" hidden="1" x14ac:dyDescent="0.15"/>
    <row r="21980" hidden="1" x14ac:dyDescent="0.15"/>
    <row r="21981" hidden="1" x14ac:dyDescent="0.15"/>
    <row r="21982" hidden="1" x14ac:dyDescent="0.15"/>
    <row r="21983" hidden="1" x14ac:dyDescent="0.15"/>
    <row r="21984" hidden="1" x14ac:dyDescent="0.15"/>
    <row r="21985" hidden="1" x14ac:dyDescent="0.15"/>
    <row r="21986" hidden="1" x14ac:dyDescent="0.15"/>
    <row r="21987" hidden="1" x14ac:dyDescent="0.15"/>
    <row r="21988" hidden="1" x14ac:dyDescent="0.15"/>
    <row r="21989" hidden="1" x14ac:dyDescent="0.15"/>
    <row r="21990" hidden="1" x14ac:dyDescent="0.15"/>
    <row r="21991" hidden="1" x14ac:dyDescent="0.15"/>
    <row r="21992" hidden="1" x14ac:dyDescent="0.15"/>
    <row r="21993" hidden="1" x14ac:dyDescent="0.15"/>
    <row r="21994" hidden="1" x14ac:dyDescent="0.15"/>
    <row r="21995" hidden="1" x14ac:dyDescent="0.15"/>
    <row r="21996" hidden="1" x14ac:dyDescent="0.15"/>
    <row r="21997" hidden="1" x14ac:dyDescent="0.15"/>
    <row r="21998" hidden="1" x14ac:dyDescent="0.15"/>
    <row r="21999" hidden="1" x14ac:dyDescent="0.15"/>
    <row r="22000" hidden="1" x14ac:dyDescent="0.15"/>
    <row r="22001" hidden="1" x14ac:dyDescent="0.15"/>
    <row r="22002" hidden="1" x14ac:dyDescent="0.15"/>
    <row r="22003" hidden="1" x14ac:dyDescent="0.15"/>
    <row r="22004" hidden="1" x14ac:dyDescent="0.15"/>
    <row r="22005" hidden="1" x14ac:dyDescent="0.15"/>
    <row r="22006" hidden="1" x14ac:dyDescent="0.15"/>
    <row r="22007" hidden="1" x14ac:dyDescent="0.15"/>
    <row r="22008" hidden="1" x14ac:dyDescent="0.15"/>
    <row r="22009" hidden="1" x14ac:dyDescent="0.15"/>
    <row r="22010" hidden="1" x14ac:dyDescent="0.15"/>
    <row r="22011" hidden="1" x14ac:dyDescent="0.15"/>
    <row r="22012" hidden="1" x14ac:dyDescent="0.15"/>
    <row r="22013" hidden="1" x14ac:dyDescent="0.15"/>
    <row r="22014" hidden="1" x14ac:dyDescent="0.15"/>
    <row r="22015" hidden="1" x14ac:dyDescent="0.15"/>
    <row r="22016" hidden="1" x14ac:dyDescent="0.15"/>
    <row r="22017" hidden="1" x14ac:dyDescent="0.15"/>
    <row r="22018" hidden="1" x14ac:dyDescent="0.15"/>
    <row r="22019" hidden="1" x14ac:dyDescent="0.15"/>
    <row r="22020" hidden="1" x14ac:dyDescent="0.15"/>
    <row r="22021" hidden="1" x14ac:dyDescent="0.15"/>
    <row r="22022" hidden="1" x14ac:dyDescent="0.15"/>
    <row r="22023" hidden="1" x14ac:dyDescent="0.15"/>
    <row r="22024" hidden="1" x14ac:dyDescent="0.15"/>
    <row r="22025" hidden="1" x14ac:dyDescent="0.15"/>
    <row r="22026" hidden="1" x14ac:dyDescent="0.15"/>
    <row r="22027" hidden="1" x14ac:dyDescent="0.15"/>
    <row r="22028" hidden="1" x14ac:dyDescent="0.15"/>
    <row r="22029" hidden="1" x14ac:dyDescent="0.15"/>
    <row r="22030" hidden="1" x14ac:dyDescent="0.15"/>
    <row r="22031" hidden="1" x14ac:dyDescent="0.15"/>
    <row r="22032" hidden="1" x14ac:dyDescent="0.15"/>
    <row r="22033" hidden="1" x14ac:dyDescent="0.15"/>
    <row r="22034" hidden="1" x14ac:dyDescent="0.15"/>
    <row r="22035" hidden="1" x14ac:dyDescent="0.15"/>
    <row r="22036" hidden="1" x14ac:dyDescent="0.15"/>
    <row r="22037" hidden="1" x14ac:dyDescent="0.15"/>
    <row r="22038" hidden="1" x14ac:dyDescent="0.15"/>
    <row r="22039" hidden="1" x14ac:dyDescent="0.15"/>
    <row r="22040" hidden="1" x14ac:dyDescent="0.15"/>
    <row r="22041" hidden="1" x14ac:dyDescent="0.15"/>
    <row r="22042" hidden="1" x14ac:dyDescent="0.15"/>
    <row r="22043" hidden="1" x14ac:dyDescent="0.15"/>
    <row r="22044" hidden="1" x14ac:dyDescent="0.15"/>
    <row r="22045" hidden="1" x14ac:dyDescent="0.15"/>
    <row r="22046" hidden="1" x14ac:dyDescent="0.15"/>
    <row r="22047" hidden="1" x14ac:dyDescent="0.15"/>
    <row r="22048" hidden="1" x14ac:dyDescent="0.15"/>
    <row r="22049" hidden="1" x14ac:dyDescent="0.15"/>
    <row r="22050" hidden="1" x14ac:dyDescent="0.15"/>
    <row r="22051" hidden="1" x14ac:dyDescent="0.15"/>
    <row r="22052" hidden="1" x14ac:dyDescent="0.15"/>
    <row r="22053" hidden="1" x14ac:dyDescent="0.15"/>
    <row r="22054" hidden="1" x14ac:dyDescent="0.15"/>
    <row r="22055" hidden="1" x14ac:dyDescent="0.15"/>
    <row r="22056" hidden="1" x14ac:dyDescent="0.15"/>
    <row r="22057" hidden="1" x14ac:dyDescent="0.15"/>
    <row r="22058" hidden="1" x14ac:dyDescent="0.15"/>
    <row r="22059" hidden="1" x14ac:dyDescent="0.15"/>
    <row r="22060" hidden="1" x14ac:dyDescent="0.15"/>
    <row r="22061" hidden="1" x14ac:dyDescent="0.15"/>
    <row r="22062" hidden="1" x14ac:dyDescent="0.15"/>
    <row r="22063" hidden="1" x14ac:dyDescent="0.15"/>
    <row r="22064" hidden="1" x14ac:dyDescent="0.15"/>
    <row r="22065" hidden="1" x14ac:dyDescent="0.15"/>
    <row r="22066" hidden="1" x14ac:dyDescent="0.15"/>
    <row r="22067" hidden="1" x14ac:dyDescent="0.15"/>
    <row r="22068" hidden="1" x14ac:dyDescent="0.15"/>
    <row r="22069" hidden="1" x14ac:dyDescent="0.15"/>
    <row r="22070" hidden="1" x14ac:dyDescent="0.15"/>
    <row r="22071" hidden="1" x14ac:dyDescent="0.15"/>
    <row r="22072" hidden="1" x14ac:dyDescent="0.15"/>
    <row r="22073" hidden="1" x14ac:dyDescent="0.15"/>
    <row r="22074" hidden="1" x14ac:dyDescent="0.15"/>
    <row r="22075" hidden="1" x14ac:dyDescent="0.15"/>
    <row r="22076" hidden="1" x14ac:dyDescent="0.15"/>
    <row r="22077" hidden="1" x14ac:dyDescent="0.15"/>
    <row r="22078" hidden="1" x14ac:dyDescent="0.15"/>
    <row r="22079" hidden="1" x14ac:dyDescent="0.15"/>
    <row r="22080" hidden="1" x14ac:dyDescent="0.15"/>
    <row r="22081" hidden="1" x14ac:dyDescent="0.15"/>
    <row r="22082" hidden="1" x14ac:dyDescent="0.15"/>
    <row r="22083" hidden="1" x14ac:dyDescent="0.15"/>
    <row r="22084" hidden="1" x14ac:dyDescent="0.15"/>
    <row r="22085" hidden="1" x14ac:dyDescent="0.15"/>
    <row r="22086" hidden="1" x14ac:dyDescent="0.15"/>
    <row r="22087" hidden="1" x14ac:dyDescent="0.15"/>
    <row r="22088" hidden="1" x14ac:dyDescent="0.15"/>
    <row r="22089" hidden="1" x14ac:dyDescent="0.15"/>
    <row r="22090" hidden="1" x14ac:dyDescent="0.15"/>
    <row r="22091" hidden="1" x14ac:dyDescent="0.15"/>
    <row r="22092" hidden="1" x14ac:dyDescent="0.15"/>
    <row r="22093" hidden="1" x14ac:dyDescent="0.15"/>
    <row r="22094" hidden="1" x14ac:dyDescent="0.15"/>
    <row r="22095" hidden="1" x14ac:dyDescent="0.15"/>
    <row r="22096" hidden="1" x14ac:dyDescent="0.15"/>
    <row r="22097" hidden="1" x14ac:dyDescent="0.15"/>
    <row r="22098" hidden="1" x14ac:dyDescent="0.15"/>
    <row r="22099" hidden="1" x14ac:dyDescent="0.15"/>
    <row r="22100" hidden="1" x14ac:dyDescent="0.15"/>
    <row r="22101" hidden="1" x14ac:dyDescent="0.15"/>
    <row r="22102" hidden="1" x14ac:dyDescent="0.15"/>
    <row r="22103" hidden="1" x14ac:dyDescent="0.15"/>
    <row r="22104" hidden="1" x14ac:dyDescent="0.15"/>
    <row r="22105" hidden="1" x14ac:dyDescent="0.15"/>
    <row r="22106" hidden="1" x14ac:dyDescent="0.15"/>
    <row r="22107" hidden="1" x14ac:dyDescent="0.15"/>
    <row r="22108" hidden="1" x14ac:dyDescent="0.15"/>
    <row r="22109" hidden="1" x14ac:dyDescent="0.15"/>
    <row r="22110" hidden="1" x14ac:dyDescent="0.15"/>
    <row r="22111" hidden="1" x14ac:dyDescent="0.15"/>
    <row r="22112" hidden="1" x14ac:dyDescent="0.15"/>
    <row r="22113" hidden="1" x14ac:dyDescent="0.15"/>
    <row r="22114" hidden="1" x14ac:dyDescent="0.15"/>
    <row r="22115" hidden="1" x14ac:dyDescent="0.15"/>
    <row r="22116" hidden="1" x14ac:dyDescent="0.15"/>
    <row r="22117" hidden="1" x14ac:dyDescent="0.15"/>
    <row r="22118" hidden="1" x14ac:dyDescent="0.15"/>
    <row r="22119" hidden="1" x14ac:dyDescent="0.15"/>
    <row r="22120" hidden="1" x14ac:dyDescent="0.15"/>
    <row r="22121" hidden="1" x14ac:dyDescent="0.15"/>
    <row r="22122" hidden="1" x14ac:dyDescent="0.15"/>
    <row r="22123" hidden="1" x14ac:dyDescent="0.15"/>
    <row r="22124" hidden="1" x14ac:dyDescent="0.15"/>
    <row r="22125" hidden="1" x14ac:dyDescent="0.15"/>
    <row r="22126" hidden="1" x14ac:dyDescent="0.15"/>
    <row r="22127" hidden="1" x14ac:dyDescent="0.15"/>
    <row r="22128" hidden="1" x14ac:dyDescent="0.15"/>
    <row r="22129" hidden="1" x14ac:dyDescent="0.15"/>
    <row r="22130" hidden="1" x14ac:dyDescent="0.15"/>
    <row r="22131" hidden="1" x14ac:dyDescent="0.15"/>
    <row r="22132" hidden="1" x14ac:dyDescent="0.15"/>
    <row r="22133" hidden="1" x14ac:dyDescent="0.15"/>
    <row r="22134" hidden="1" x14ac:dyDescent="0.15"/>
    <row r="22135" hidden="1" x14ac:dyDescent="0.15"/>
    <row r="22136" hidden="1" x14ac:dyDescent="0.15"/>
    <row r="22137" hidden="1" x14ac:dyDescent="0.15"/>
    <row r="22138" hidden="1" x14ac:dyDescent="0.15"/>
    <row r="22139" hidden="1" x14ac:dyDescent="0.15"/>
    <row r="22140" hidden="1" x14ac:dyDescent="0.15"/>
    <row r="22141" hidden="1" x14ac:dyDescent="0.15"/>
    <row r="22142" hidden="1" x14ac:dyDescent="0.15"/>
    <row r="22143" hidden="1" x14ac:dyDescent="0.15"/>
    <row r="22144" hidden="1" x14ac:dyDescent="0.15"/>
    <row r="22145" hidden="1" x14ac:dyDescent="0.15"/>
    <row r="22146" hidden="1" x14ac:dyDescent="0.15"/>
    <row r="22147" hidden="1" x14ac:dyDescent="0.15"/>
    <row r="22148" hidden="1" x14ac:dyDescent="0.15"/>
    <row r="22149" hidden="1" x14ac:dyDescent="0.15"/>
    <row r="22150" hidden="1" x14ac:dyDescent="0.15"/>
    <row r="22151" hidden="1" x14ac:dyDescent="0.15"/>
    <row r="22152" hidden="1" x14ac:dyDescent="0.15"/>
    <row r="22153" hidden="1" x14ac:dyDescent="0.15"/>
    <row r="22154" hidden="1" x14ac:dyDescent="0.15"/>
    <row r="22155" hidden="1" x14ac:dyDescent="0.15"/>
    <row r="22156" hidden="1" x14ac:dyDescent="0.15"/>
    <row r="22157" hidden="1" x14ac:dyDescent="0.15"/>
    <row r="22158" hidden="1" x14ac:dyDescent="0.15"/>
    <row r="22159" hidden="1" x14ac:dyDescent="0.15"/>
    <row r="22160" hidden="1" x14ac:dyDescent="0.15"/>
    <row r="22161" hidden="1" x14ac:dyDescent="0.15"/>
    <row r="22162" hidden="1" x14ac:dyDescent="0.15"/>
    <row r="22163" hidden="1" x14ac:dyDescent="0.15"/>
    <row r="22164" hidden="1" x14ac:dyDescent="0.15"/>
    <row r="22165" hidden="1" x14ac:dyDescent="0.15"/>
    <row r="22166" hidden="1" x14ac:dyDescent="0.15"/>
    <row r="22167" hidden="1" x14ac:dyDescent="0.15"/>
    <row r="22168" hidden="1" x14ac:dyDescent="0.15"/>
    <row r="22169" hidden="1" x14ac:dyDescent="0.15"/>
    <row r="22170" hidden="1" x14ac:dyDescent="0.15"/>
    <row r="22171" hidden="1" x14ac:dyDescent="0.15"/>
    <row r="22172" hidden="1" x14ac:dyDescent="0.15"/>
    <row r="22173" hidden="1" x14ac:dyDescent="0.15"/>
    <row r="22174" hidden="1" x14ac:dyDescent="0.15"/>
    <row r="22175" hidden="1" x14ac:dyDescent="0.15"/>
    <row r="22176" hidden="1" x14ac:dyDescent="0.15"/>
    <row r="22177" hidden="1" x14ac:dyDescent="0.15"/>
    <row r="22178" hidden="1" x14ac:dyDescent="0.15"/>
    <row r="22179" hidden="1" x14ac:dyDescent="0.15"/>
    <row r="22180" hidden="1" x14ac:dyDescent="0.15"/>
    <row r="22181" hidden="1" x14ac:dyDescent="0.15"/>
    <row r="22182" hidden="1" x14ac:dyDescent="0.15"/>
    <row r="22183" hidden="1" x14ac:dyDescent="0.15"/>
    <row r="22184" hidden="1" x14ac:dyDescent="0.15"/>
    <row r="22185" hidden="1" x14ac:dyDescent="0.15"/>
    <row r="22186" hidden="1" x14ac:dyDescent="0.15"/>
    <row r="22187" hidden="1" x14ac:dyDescent="0.15"/>
    <row r="22188" hidden="1" x14ac:dyDescent="0.15"/>
    <row r="22189" hidden="1" x14ac:dyDescent="0.15"/>
    <row r="22190" hidden="1" x14ac:dyDescent="0.15"/>
    <row r="22191" hidden="1" x14ac:dyDescent="0.15"/>
    <row r="22192" hidden="1" x14ac:dyDescent="0.15"/>
    <row r="22193" hidden="1" x14ac:dyDescent="0.15"/>
    <row r="22194" hidden="1" x14ac:dyDescent="0.15"/>
    <row r="22195" hidden="1" x14ac:dyDescent="0.15"/>
    <row r="22196" hidden="1" x14ac:dyDescent="0.15"/>
    <row r="22197" hidden="1" x14ac:dyDescent="0.15"/>
    <row r="22198" hidden="1" x14ac:dyDescent="0.15"/>
    <row r="22199" hidden="1" x14ac:dyDescent="0.15"/>
    <row r="22200" hidden="1" x14ac:dyDescent="0.15"/>
    <row r="22201" hidden="1" x14ac:dyDescent="0.15"/>
    <row r="22202" hidden="1" x14ac:dyDescent="0.15"/>
    <row r="22203" hidden="1" x14ac:dyDescent="0.15"/>
    <row r="22204" hidden="1" x14ac:dyDescent="0.15"/>
    <row r="22205" hidden="1" x14ac:dyDescent="0.15"/>
    <row r="22206" hidden="1" x14ac:dyDescent="0.15"/>
    <row r="22207" hidden="1" x14ac:dyDescent="0.15"/>
    <row r="22208" hidden="1" x14ac:dyDescent="0.15"/>
    <row r="22209" hidden="1" x14ac:dyDescent="0.15"/>
    <row r="22210" hidden="1" x14ac:dyDescent="0.15"/>
    <row r="22211" hidden="1" x14ac:dyDescent="0.15"/>
    <row r="22212" hidden="1" x14ac:dyDescent="0.15"/>
    <row r="22213" hidden="1" x14ac:dyDescent="0.15"/>
    <row r="22214" hidden="1" x14ac:dyDescent="0.15"/>
    <row r="22215" hidden="1" x14ac:dyDescent="0.15"/>
    <row r="22216" hidden="1" x14ac:dyDescent="0.15"/>
    <row r="22217" hidden="1" x14ac:dyDescent="0.15"/>
    <row r="22218" hidden="1" x14ac:dyDescent="0.15"/>
    <row r="22219" hidden="1" x14ac:dyDescent="0.15"/>
    <row r="22220" hidden="1" x14ac:dyDescent="0.15"/>
    <row r="22221" hidden="1" x14ac:dyDescent="0.15"/>
    <row r="22222" hidden="1" x14ac:dyDescent="0.15"/>
    <row r="22223" hidden="1" x14ac:dyDescent="0.15"/>
    <row r="22224" hidden="1" x14ac:dyDescent="0.15"/>
    <row r="22225" hidden="1" x14ac:dyDescent="0.15"/>
    <row r="22226" hidden="1" x14ac:dyDescent="0.15"/>
    <row r="22227" hidden="1" x14ac:dyDescent="0.15"/>
    <row r="22228" hidden="1" x14ac:dyDescent="0.15"/>
    <row r="22229" hidden="1" x14ac:dyDescent="0.15"/>
    <row r="22230" hidden="1" x14ac:dyDescent="0.15"/>
    <row r="22231" hidden="1" x14ac:dyDescent="0.15"/>
    <row r="22232" hidden="1" x14ac:dyDescent="0.15"/>
    <row r="22233" hidden="1" x14ac:dyDescent="0.15"/>
    <row r="22234" hidden="1" x14ac:dyDescent="0.15"/>
    <row r="22235" hidden="1" x14ac:dyDescent="0.15"/>
    <row r="22236" hidden="1" x14ac:dyDescent="0.15"/>
    <row r="22237" hidden="1" x14ac:dyDescent="0.15"/>
    <row r="22238" hidden="1" x14ac:dyDescent="0.15"/>
    <row r="22239" hidden="1" x14ac:dyDescent="0.15"/>
    <row r="22240" hidden="1" x14ac:dyDescent="0.15"/>
    <row r="22241" hidden="1" x14ac:dyDescent="0.15"/>
    <row r="22242" hidden="1" x14ac:dyDescent="0.15"/>
    <row r="22243" hidden="1" x14ac:dyDescent="0.15"/>
    <row r="22244" hidden="1" x14ac:dyDescent="0.15"/>
    <row r="22245" hidden="1" x14ac:dyDescent="0.15"/>
    <row r="22246" hidden="1" x14ac:dyDescent="0.15"/>
    <row r="22247" hidden="1" x14ac:dyDescent="0.15"/>
    <row r="22248" hidden="1" x14ac:dyDescent="0.15"/>
    <row r="22249" hidden="1" x14ac:dyDescent="0.15"/>
    <row r="22250" hidden="1" x14ac:dyDescent="0.15"/>
    <row r="22251" hidden="1" x14ac:dyDescent="0.15"/>
    <row r="22252" hidden="1" x14ac:dyDescent="0.15"/>
    <row r="22253" hidden="1" x14ac:dyDescent="0.15"/>
    <row r="22254" hidden="1" x14ac:dyDescent="0.15"/>
    <row r="22255" hidden="1" x14ac:dyDescent="0.15"/>
    <row r="22256" hidden="1" x14ac:dyDescent="0.15"/>
    <row r="22257" hidden="1" x14ac:dyDescent="0.15"/>
    <row r="22258" hidden="1" x14ac:dyDescent="0.15"/>
    <row r="22259" hidden="1" x14ac:dyDescent="0.15"/>
    <row r="22260" hidden="1" x14ac:dyDescent="0.15"/>
    <row r="22261" hidden="1" x14ac:dyDescent="0.15"/>
    <row r="22262" hidden="1" x14ac:dyDescent="0.15"/>
    <row r="22263" hidden="1" x14ac:dyDescent="0.15"/>
    <row r="22264" hidden="1" x14ac:dyDescent="0.15"/>
    <row r="22265" hidden="1" x14ac:dyDescent="0.15"/>
    <row r="22266" hidden="1" x14ac:dyDescent="0.15"/>
    <row r="22267" hidden="1" x14ac:dyDescent="0.15"/>
    <row r="22268" hidden="1" x14ac:dyDescent="0.15"/>
    <row r="22269" hidden="1" x14ac:dyDescent="0.15"/>
    <row r="22270" hidden="1" x14ac:dyDescent="0.15"/>
    <row r="22271" hidden="1" x14ac:dyDescent="0.15"/>
    <row r="22272" hidden="1" x14ac:dyDescent="0.15"/>
    <row r="22273" hidden="1" x14ac:dyDescent="0.15"/>
    <row r="22274" hidden="1" x14ac:dyDescent="0.15"/>
    <row r="22275" hidden="1" x14ac:dyDescent="0.15"/>
    <row r="22276" hidden="1" x14ac:dyDescent="0.15"/>
    <row r="22277" hidden="1" x14ac:dyDescent="0.15"/>
    <row r="22278" hidden="1" x14ac:dyDescent="0.15"/>
    <row r="22279" hidden="1" x14ac:dyDescent="0.15"/>
    <row r="22280" hidden="1" x14ac:dyDescent="0.15"/>
    <row r="22281" hidden="1" x14ac:dyDescent="0.15"/>
    <row r="22282" hidden="1" x14ac:dyDescent="0.15"/>
    <row r="22283" hidden="1" x14ac:dyDescent="0.15"/>
    <row r="22284" hidden="1" x14ac:dyDescent="0.15"/>
    <row r="22285" hidden="1" x14ac:dyDescent="0.15"/>
    <row r="22286" hidden="1" x14ac:dyDescent="0.15"/>
    <row r="22287" hidden="1" x14ac:dyDescent="0.15"/>
    <row r="22288" hidden="1" x14ac:dyDescent="0.15"/>
    <row r="22289" hidden="1" x14ac:dyDescent="0.15"/>
    <row r="22290" hidden="1" x14ac:dyDescent="0.15"/>
    <row r="22291" hidden="1" x14ac:dyDescent="0.15"/>
    <row r="22292" hidden="1" x14ac:dyDescent="0.15"/>
    <row r="22293" hidden="1" x14ac:dyDescent="0.15"/>
    <row r="22294" hidden="1" x14ac:dyDescent="0.15"/>
    <row r="22295" hidden="1" x14ac:dyDescent="0.15"/>
    <row r="22296" hidden="1" x14ac:dyDescent="0.15"/>
    <row r="22297" hidden="1" x14ac:dyDescent="0.15"/>
    <row r="22298" hidden="1" x14ac:dyDescent="0.15"/>
    <row r="22299" hidden="1" x14ac:dyDescent="0.15"/>
    <row r="22300" hidden="1" x14ac:dyDescent="0.15"/>
    <row r="22301" hidden="1" x14ac:dyDescent="0.15"/>
    <row r="22302" hidden="1" x14ac:dyDescent="0.15"/>
    <row r="22303" hidden="1" x14ac:dyDescent="0.15"/>
    <row r="22304" hidden="1" x14ac:dyDescent="0.15"/>
    <row r="22305" hidden="1" x14ac:dyDescent="0.15"/>
    <row r="22306" hidden="1" x14ac:dyDescent="0.15"/>
    <row r="22307" hidden="1" x14ac:dyDescent="0.15"/>
    <row r="22308" hidden="1" x14ac:dyDescent="0.15"/>
    <row r="22309" hidden="1" x14ac:dyDescent="0.15"/>
    <row r="22310" hidden="1" x14ac:dyDescent="0.15"/>
    <row r="22311" hidden="1" x14ac:dyDescent="0.15"/>
    <row r="22312" hidden="1" x14ac:dyDescent="0.15"/>
    <row r="22313" hidden="1" x14ac:dyDescent="0.15"/>
    <row r="22314" hidden="1" x14ac:dyDescent="0.15"/>
    <row r="22315" hidden="1" x14ac:dyDescent="0.15"/>
    <row r="22316" hidden="1" x14ac:dyDescent="0.15"/>
    <row r="22317" hidden="1" x14ac:dyDescent="0.15"/>
    <row r="22318" hidden="1" x14ac:dyDescent="0.15"/>
    <row r="22319" hidden="1" x14ac:dyDescent="0.15"/>
    <row r="22320" hidden="1" x14ac:dyDescent="0.15"/>
    <row r="22321" hidden="1" x14ac:dyDescent="0.15"/>
    <row r="22322" hidden="1" x14ac:dyDescent="0.15"/>
    <row r="22323" hidden="1" x14ac:dyDescent="0.15"/>
    <row r="22324" hidden="1" x14ac:dyDescent="0.15"/>
    <row r="22325" hidden="1" x14ac:dyDescent="0.15"/>
    <row r="22326" hidden="1" x14ac:dyDescent="0.15"/>
    <row r="22327" hidden="1" x14ac:dyDescent="0.15"/>
    <row r="22328" hidden="1" x14ac:dyDescent="0.15"/>
    <row r="22329" hidden="1" x14ac:dyDescent="0.15"/>
    <row r="22330" hidden="1" x14ac:dyDescent="0.15"/>
    <row r="22331" hidden="1" x14ac:dyDescent="0.15"/>
    <row r="22332" hidden="1" x14ac:dyDescent="0.15"/>
    <row r="22333" hidden="1" x14ac:dyDescent="0.15"/>
    <row r="22334" hidden="1" x14ac:dyDescent="0.15"/>
    <row r="22335" hidden="1" x14ac:dyDescent="0.15"/>
    <row r="22336" hidden="1" x14ac:dyDescent="0.15"/>
    <row r="22337" hidden="1" x14ac:dyDescent="0.15"/>
    <row r="22338" hidden="1" x14ac:dyDescent="0.15"/>
    <row r="22339" hidden="1" x14ac:dyDescent="0.15"/>
    <row r="22340" hidden="1" x14ac:dyDescent="0.15"/>
    <row r="22341" hidden="1" x14ac:dyDescent="0.15"/>
    <row r="22342" hidden="1" x14ac:dyDescent="0.15"/>
    <row r="22343" hidden="1" x14ac:dyDescent="0.15"/>
    <row r="22344" hidden="1" x14ac:dyDescent="0.15"/>
    <row r="22345" hidden="1" x14ac:dyDescent="0.15"/>
    <row r="22346" hidden="1" x14ac:dyDescent="0.15"/>
    <row r="22347" hidden="1" x14ac:dyDescent="0.15"/>
    <row r="22348" hidden="1" x14ac:dyDescent="0.15"/>
    <row r="22349" hidden="1" x14ac:dyDescent="0.15"/>
    <row r="22350" hidden="1" x14ac:dyDescent="0.15"/>
    <row r="22351" hidden="1" x14ac:dyDescent="0.15"/>
    <row r="22352" hidden="1" x14ac:dyDescent="0.15"/>
    <row r="22353" hidden="1" x14ac:dyDescent="0.15"/>
    <row r="22354" hidden="1" x14ac:dyDescent="0.15"/>
    <row r="22355" hidden="1" x14ac:dyDescent="0.15"/>
    <row r="22356" hidden="1" x14ac:dyDescent="0.15"/>
    <row r="22357" hidden="1" x14ac:dyDescent="0.15"/>
    <row r="22358" hidden="1" x14ac:dyDescent="0.15"/>
    <row r="22359" hidden="1" x14ac:dyDescent="0.15"/>
    <row r="22360" hidden="1" x14ac:dyDescent="0.15"/>
    <row r="22361" hidden="1" x14ac:dyDescent="0.15"/>
    <row r="22362" hidden="1" x14ac:dyDescent="0.15"/>
    <row r="22363" hidden="1" x14ac:dyDescent="0.15"/>
    <row r="22364" hidden="1" x14ac:dyDescent="0.15"/>
    <row r="22365" hidden="1" x14ac:dyDescent="0.15"/>
    <row r="22366" hidden="1" x14ac:dyDescent="0.15"/>
    <row r="22367" hidden="1" x14ac:dyDescent="0.15"/>
    <row r="22368" hidden="1" x14ac:dyDescent="0.15"/>
    <row r="22369" hidden="1" x14ac:dyDescent="0.15"/>
    <row r="22370" hidden="1" x14ac:dyDescent="0.15"/>
    <row r="22371" hidden="1" x14ac:dyDescent="0.15"/>
    <row r="22372" hidden="1" x14ac:dyDescent="0.15"/>
    <row r="22373" hidden="1" x14ac:dyDescent="0.15"/>
    <row r="22374" hidden="1" x14ac:dyDescent="0.15"/>
    <row r="22375" hidden="1" x14ac:dyDescent="0.15"/>
    <row r="22376" hidden="1" x14ac:dyDescent="0.15"/>
    <row r="22377" hidden="1" x14ac:dyDescent="0.15"/>
    <row r="22378" hidden="1" x14ac:dyDescent="0.15"/>
    <row r="22379" hidden="1" x14ac:dyDescent="0.15"/>
    <row r="22380" hidden="1" x14ac:dyDescent="0.15"/>
    <row r="22381" hidden="1" x14ac:dyDescent="0.15"/>
    <row r="22382" hidden="1" x14ac:dyDescent="0.15"/>
    <row r="22383" hidden="1" x14ac:dyDescent="0.15"/>
    <row r="22384" hidden="1" x14ac:dyDescent="0.15"/>
    <row r="22385" hidden="1" x14ac:dyDescent="0.15"/>
    <row r="22386" hidden="1" x14ac:dyDescent="0.15"/>
    <row r="22387" hidden="1" x14ac:dyDescent="0.15"/>
    <row r="22388" hidden="1" x14ac:dyDescent="0.15"/>
    <row r="22389" hidden="1" x14ac:dyDescent="0.15"/>
    <row r="22390" hidden="1" x14ac:dyDescent="0.15"/>
    <row r="22391" hidden="1" x14ac:dyDescent="0.15"/>
    <row r="22392" hidden="1" x14ac:dyDescent="0.15"/>
    <row r="22393" hidden="1" x14ac:dyDescent="0.15"/>
    <row r="22394" hidden="1" x14ac:dyDescent="0.15"/>
    <row r="22395" hidden="1" x14ac:dyDescent="0.15"/>
    <row r="22396" hidden="1" x14ac:dyDescent="0.15"/>
    <row r="22397" hidden="1" x14ac:dyDescent="0.15"/>
    <row r="22398" hidden="1" x14ac:dyDescent="0.15"/>
    <row r="22399" hidden="1" x14ac:dyDescent="0.15"/>
    <row r="22400" hidden="1" x14ac:dyDescent="0.15"/>
    <row r="22401" hidden="1" x14ac:dyDescent="0.15"/>
    <row r="22402" hidden="1" x14ac:dyDescent="0.15"/>
    <row r="22403" hidden="1" x14ac:dyDescent="0.15"/>
    <row r="22404" hidden="1" x14ac:dyDescent="0.15"/>
    <row r="22405" hidden="1" x14ac:dyDescent="0.15"/>
    <row r="22406" hidden="1" x14ac:dyDescent="0.15"/>
    <row r="22407" hidden="1" x14ac:dyDescent="0.15"/>
    <row r="22408" hidden="1" x14ac:dyDescent="0.15"/>
    <row r="22409" hidden="1" x14ac:dyDescent="0.15"/>
    <row r="22410" hidden="1" x14ac:dyDescent="0.15"/>
    <row r="22411" hidden="1" x14ac:dyDescent="0.15"/>
    <row r="22412" hidden="1" x14ac:dyDescent="0.15"/>
    <row r="22413" hidden="1" x14ac:dyDescent="0.15"/>
    <row r="22414" hidden="1" x14ac:dyDescent="0.15"/>
    <row r="22415" hidden="1" x14ac:dyDescent="0.15"/>
    <row r="22416" hidden="1" x14ac:dyDescent="0.15"/>
    <row r="22417" hidden="1" x14ac:dyDescent="0.15"/>
    <row r="22418" hidden="1" x14ac:dyDescent="0.15"/>
    <row r="22419" hidden="1" x14ac:dyDescent="0.15"/>
    <row r="22420" hidden="1" x14ac:dyDescent="0.15"/>
    <row r="22421" hidden="1" x14ac:dyDescent="0.15"/>
    <row r="22422" hidden="1" x14ac:dyDescent="0.15"/>
    <row r="22423" hidden="1" x14ac:dyDescent="0.15"/>
    <row r="22424" hidden="1" x14ac:dyDescent="0.15"/>
    <row r="22425" hidden="1" x14ac:dyDescent="0.15"/>
    <row r="22426" hidden="1" x14ac:dyDescent="0.15"/>
    <row r="22427" hidden="1" x14ac:dyDescent="0.15"/>
    <row r="22428" hidden="1" x14ac:dyDescent="0.15"/>
    <row r="22429" hidden="1" x14ac:dyDescent="0.15"/>
    <row r="22430" hidden="1" x14ac:dyDescent="0.15"/>
    <row r="22431" hidden="1" x14ac:dyDescent="0.15"/>
    <row r="22432" hidden="1" x14ac:dyDescent="0.15"/>
    <row r="22433" hidden="1" x14ac:dyDescent="0.15"/>
    <row r="22434" hidden="1" x14ac:dyDescent="0.15"/>
    <row r="22435" hidden="1" x14ac:dyDescent="0.15"/>
    <row r="22436" hidden="1" x14ac:dyDescent="0.15"/>
    <row r="22437" hidden="1" x14ac:dyDescent="0.15"/>
    <row r="22438" hidden="1" x14ac:dyDescent="0.15"/>
    <row r="22439" hidden="1" x14ac:dyDescent="0.15"/>
    <row r="22440" hidden="1" x14ac:dyDescent="0.15"/>
    <row r="22441" hidden="1" x14ac:dyDescent="0.15"/>
    <row r="22442" hidden="1" x14ac:dyDescent="0.15"/>
    <row r="22443" hidden="1" x14ac:dyDescent="0.15"/>
    <row r="22444" hidden="1" x14ac:dyDescent="0.15"/>
    <row r="22445" hidden="1" x14ac:dyDescent="0.15"/>
    <row r="22446" hidden="1" x14ac:dyDescent="0.15"/>
    <row r="22447" hidden="1" x14ac:dyDescent="0.15"/>
    <row r="22448" hidden="1" x14ac:dyDescent="0.15"/>
    <row r="22449" hidden="1" x14ac:dyDescent="0.15"/>
    <row r="22450" hidden="1" x14ac:dyDescent="0.15"/>
    <row r="22451" hidden="1" x14ac:dyDescent="0.15"/>
    <row r="22452" hidden="1" x14ac:dyDescent="0.15"/>
    <row r="22453" hidden="1" x14ac:dyDescent="0.15"/>
    <row r="22454" hidden="1" x14ac:dyDescent="0.15"/>
    <row r="22455" hidden="1" x14ac:dyDescent="0.15"/>
    <row r="22456" hidden="1" x14ac:dyDescent="0.15"/>
    <row r="22457" hidden="1" x14ac:dyDescent="0.15"/>
    <row r="22458" hidden="1" x14ac:dyDescent="0.15"/>
    <row r="22459" hidden="1" x14ac:dyDescent="0.15"/>
    <row r="22460" hidden="1" x14ac:dyDescent="0.15"/>
    <row r="22461" hidden="1" x14ac:dyDescent="0.15"/>
    <row r="22462" hidden="1" x14ac:dyDescent="0.15"/>
    <row r="22463" hidden="1" x14ac:dyDescent="0.15"/>
    <row r="22464" hidden="1" x14ac:dyDescent="0.15"/>
    <row r="22465" hidden="1" x14ac:dyDescent="0.15"/>
    <row r="22466" hidden="1" x14ac:dyDescent="0.15"/>
    <row r="22467" hidden="1" x14ac:dyDescent="0.15"/>
    <row r="22468" hidden="1" x14ac:dyDescent="0.15"/>
    <row r="22469" hidden="1" x14ac:dyDescent="0.15"/>
    <row r="22470" hidden="1" x14ac:dyDescent="0.15"/>
    <row r="22471" hidden="1" x14ac:dyDescent="0.15"/>
    <row r="22472" hidden="1" x14ac:dyDescent="0.15"/>
    <row r="22473" hidden="1" x14ac:dyDescent="0.15"/>
    <row r="22474" hidden="1" x14ac:dyDescent="0.15"/>
    <row r="22475" hidden="1" x14ac:dyDescent="0.15"/>
    <row r="22476" hidden="1" x14ac:dyDescent="0.15"/>
    <row r="22477" hidden="1" x14ac:dyDescent="0.15"/>
    <row r="22478" hidden="1" x14ac:dyDescent="0.15"/>
    <row r="22479" hidden="1" x14ac:dyDescent="0.15"/>
    <row r="22480" hidden="1" x14ac:dyDescent="0.15"/>
    <row r="22481" hidden="1" x14ac:dyDescent="0.15"/>
    <row r="22482" hidden="1" x14ac:dyDescent="0.15"/>
    <row r="22483" hidden="1" x14ac:dyDescent="0.15"/>
    <row r="22484" hidden="1" x14ac:dyDescent="0.15"/>
    <row r="22485" hidden="1" x14ac:dyDescent="0.15"/>
    <row r="22486" hidden="1" x14ac:dyDescent="0.15"/>
    <row r="22487" hidden="1" x14ac:dyDescent="0.15"/>
    <row r="22488" hidden="1" x14ac:dyDescent="0.15"/>
    <row r="22489" hidden="1" x14ac:dyDescent="0.15"/>
    <row r="22490" hidden="1" x14ac:dyDescent="0.15"/>
    <row r="22491" hidden="1" x14ac:dyDescent="0.15"/>
    <row r="22492" hidden="1" x14ac:dyDescent="0.15"/>
    <row r="22493" hidden="1" x14ac:dyDescent="0.15"/>
    <row r="22494" hidden="1" x14ac:dyDescent="0.15"/>
    <row r="22495" hidden="1" x14ac:dyDescent="0.15"/>
    <row r="22496" hidden="1" x14ac:dyDescent="0.15"/>
    <row r="22497" hidden="1" x14ac:dyDescent="0.15"/>
    <row r="22498" hidden="1" x14ac:dyDescent="0.15"/>
    <row r="22499" hidden="1" x14ac:dyDescent="0.15"/>
    <row r="22500" hidden="1" x14ac:dyDescent="0.15"/>
    <row r="22501" hidden="1" x14ac:dyDescent="0.15"/>
    <row r="22502" hidden="1" x14ac:dyDescent="0.15"/>
    <row r="22503" hidden="1" x14ac:dyDescent="0.15"/>
    <row r="22504" hidden="1" x14ac:dyDescent="0.15"/>
    <row r="22505" hidden="1" x14ac:dyDescent="0.15"/>
    <row r="22506" hidden="1" x14ac:dyDescent="0.15"/>
    <row r="22507" hidden="1" x14ac:dyDescent="0.15"/>
    <row r="22508" hidden="1" x14ac:dyDescent="0.15"/>
    <row r="22509" hidden="1" x14ac:dyDescent="0.15"/>
    <row r="22510" hidden="1" x14ac:dyDescent="0.15"/>
    <row r="22511" hidden="1" x14ac:dyDescent="0.15"/>
    <row r="22512" hidden="1" x14ac:dyDescent="0.15"/>
    <row r="22513" hidden="1" x14ac:dyDescent="0.15"/>
    <row r="22514" hidden="1" x14ac:dyDescent="0.15"/>
    <row r="22515" hidden="1" x14ac:dyDescent="0.15"/>
    <row r="22516" hidden="1" x14ac:dyDescent="0.15"/>
    <row r="22517" hidden="1" x14ac:dyDescent="0.15"/>
    <row r="22518" hidden="1" x14ac:dyDescent="0.15"/>
    <row r="22519" hidden="1" x14ac:dyDescent="0.15"/>
    <row r="22520" hidden="1" x14ac:dyDescent="0.15"/>
    <row r="22521" hidden="1" x14ac:dyDescent="0.15"/>
    <row r="22522" hidden="1" x14ac:dyDescent="0.15"/>
    <row r="22523" hidden="1" x14ac:dyDescent="0.15"/>
    <row r="22524" hidden="1" x14ac:dyDescent="0.15"/>
    <row r="22525" hidden="1" x14ac:dyDescent="0.15"/>
    <row r="22526" hidden="1" x14ac:dyDescent="0.15"/>
    <row r="22527" hidden="1" x14ac:dyDescent="0.15"/>
    <row r="22528" hidden="1" x14ac:dyDescent="0.15"/>
    <row r="22529" hidden="1" x14ac:dyDescent="0.15"/>
    <row r="22530" hidden="1" x14ac:dyDescent="0.15"/>
    <row r="22531" hidden="1" x14ac:dyDescent="0.15"/>
    <row r="22532" hidden="1" x14ac:dyDescent="0.15"/>
    <row r="22533" hidden="1" x14ac:dyDescent="0.15"/>
    <row r="22534" hidden="1" x14ac:dyDescent="0.15"/>
    <row r="22535" hidden="1" x14ac:dyDescent="0.15"/>
    <row r="22536" hidden="1" x14ac:dyDescent="0.15"/>
    <row r="22537" hidden="1" x14ac:dyDescent="0.15"/>
    <row r="22538" hidden="1" x14ac:dyDescent="0.15"/>
    <row r="22539" hidden="1" x14ac:dyDescent="0.15"/>
    <row r="22540" hidden="1" x14ac:dyDescent="0.15"/>
    <row r="22541" hidden="1" x14ac:dyDescent="0.15"/>
    <row r="22542" hidden="1" x14ac:dyDescent="0.15"/>
    <row r="22543" hidden="1" x14ac:dyDescent="0.15"/>
    <row r="22544" hidden="1" x14ac:dyDescent="0.15"/>
    <row r="22545" hidden="1" x14ac:dyDescent="0.15"/>
    <row r="22546" hidden="1" x14ac:dyDescent="0.15"/>
    <row r="22547" hidden="1" x14ac:dyDescent="0.15"/>
    <row r="22548" hidden="1" x14ac:dyDescent="0.15"/>
    <row r="22549" hidden="1" x14ac:dyDescent="0.15"/>
    <row r="22550" hidden="1" x14ac:dyDescent="0.15"/>
    <row r="22551" hidden="1" x14ac:dyDescent="0.15"/>
    <row r="22552" hidden="1" x14ac:dyDescent="0.15"/>
    <row r="22553" hidden="1" x14ac:dyDescent="0.15"/>
    <row r="22554" hidden="1" x14ac:dyDescent="0.15"/>
    <row r="22555" hidden="1" x14ac:dyDescent="0.15"/>
    <row r="22556" hidden="1" x14ac:dyDescent="0.15"/>
    <row r="22557" hidden="1" x14ac:dyDescent="0.15"/>
    <row r="22558" hidden="1" x14ac:dyDescent="0.15"/>
    <row r="22559" hidden="1" x14ac:dyDescent="0.15"/>
    <row r="22560" hidden="1" x14ac:dyDescent="0.15"/>
    <row r="22561" hidden="1" x14ac:dyDescent="0.15"/>
    <row r="22562" hidden="1" x14ac:dyDescent="0.15"/>
    <row r="22563" hidden="1" x14ac:dyDescent="0.15"/>
    <row r="22564" hidden="1" x14ac:dyDescent="0.15"/>
    <row r="22565" hidden="1" x14ac:dyDescent="0.15"/>
    <row r="22566" hidden="1" x14ac:dyDescent="0.15"/>
    <row r="22567" hidden="1" x14ac:dyDescent="0.15"/>
    <row r="22568" hidden="1" x14ac:dyDescent="0.15"/>
    <row r="22569" hidden="1" x14ac:dyDescent="0.15"/>
    <row r="22570" hidden="1" x14ac:dyDescent="0.15"/>
    <row r="22571" hidden="1" x14ac:dyDescent="0.15"/>
    <row r="22572" hidden="1" x14ac:dyDescent="0.15"/>
    <row r="22573" hidden="1" x14ac:dyDescent="0.15"/>
    <row r="22574" hidden="1" x14ac:dyDescent="0.15"/>
    <row r="22575" hidden="1" x14ac:dyDescent="0.15"/>
    <row r="22576" hidden="1" x14ac:dyDescent="0.15"/>
    <row r="22577" hidden="1" x14ac:dyDescent="0.15"/>
    <row r="22578" hidden="1" x14ac:dyDescent="0.15"/>
    <row r="22579" hidden="1" x14ac:dyDescent="0.15"/>
    <row r="22580" hidden="1" x14ac:dyDescent="0.15"/>
    <row r="22581" hidden="1" x14ac:dyDescent="0.15"/>
    <row r="22582" hidden="1" x14ac:dyDescent="0.15"/>
    <row r="22583" hidden="1" x14ac:dyDescent="0.15"/>
    <row r="22584" hidden="1" x14ac:dyDescent="0.15"/>
    <row r="22585" hidden="1" x14ac:dyDescent="0.15"/>
    <row r="22586" hidden="1" x14ac:dyDescent="0.15"/>
    <row r="22587" hidden="1" x14ac:dyDescent="0.15"/>
    <row r="22588" hidden="1" x14ac:dyDescent="0.15"/>
    <row r="22589" hidden="1" x14ac:dyDescent="0.15"/>
    <row r="22590" hidden="1" x14ac:dyDescent="0.15"/>
    <row r="22591" hidden="1" x14ac:dyDescent="0.15"/>
    <row r="22592" hidden="1" x14ac:dyDescent="0.15"/>
    <row r="22593" hidden="1" x14ac:dyDescent="0.15"/>
    <row r="22594" hidden="1" x14ac:dyDescent="0.15"/>
    <row r="22595" hidden="1" x14ac:dyDescent="0.15"/>
    <row r="22596" hidden="1" x14ac:dyDescent="0.15"/>
    <row r="22597" hidden="1" x14ac:dyDescent="0.15"/>
    <row r="22598" hidden="1" x14ac:dyDescent="0.15"/>
    <row r="22599" hidden="1" x14ac:dyDescent="0.15"/>
    <row r="22600" hidden="1" x14ac:dyDescent="0.15"/>
    <row r="22601" hidden="1" x14ac:dyDescent="0.15"/>
    <row r="22602" hidden="1" x14ac:dyDescent="0.15"/>
    <row r="22603" hidden="1" x14ac:dyDescent="0.15"/>
    <row r="22604" hidden="1" x14ac:dyDescent="0.15"/>
    <row r="22605" hidden="1" x14ac:dyDescent="0.15"/>
    <row r="22606" hidden="1" x14ac:dyDescent="0.15"/>
    <row r="22607" hidden="1" x14ac:dyDescent="0.15"/>
    <row r="22608" hidden="1" x14ac:dyDescent="0.15"/>
    <row r="22609" hidden="1" x14ac:dyDescent="0.15"/>
    <row r="22610" hidden="1" x14ac:dyDescent="0.15"/>
    <row r="22611" hidden="1" x14ac:dyDescent="0.15"/>
    <row r="22612" hidden="1" x14ac:dyDescent="0.15"/>
    <row r="22613" hidden="1" x14ac:dyDescent="0.15"/>
    <row r="22614" hidden="1" x14ac:dyDescent="0.15"/>
    <row r="22615" hidden="1" x14ac:dyDescent="0.15"/>
    <row r="22616" hidden="1" x14ac:dyDescent="0.15"/>
    <row r="22617" hidden="1" x14ac:dyDescent="0.15"/>
    <row r="22618" hidden="1" x14ac:dyDescent="0.15"/>
    <row r="22619" hidden="1" x14ac:dyDescent="0.15"/>
    <row r="22620" hidden="1" x14ac:dyDescent="0.15"/>
    <row r="22621" hidden="1" x14ac:dyDescent="0.15"/>
    <row r="22622" hidden="1" x14ac:dyDescent="0.15"/>
    <row r="22623" hidden="1" x14ac:dyDescent="0.15"/>
    <row r="22624" hidden="1" x14ac:dyDescent="0.15"/>
    <row r="22625" hidden="1" x14ac:dyDescent="0.15"/>
    <row r="22626" hidden="1" x14ac:dyDescent="0.15"/>
    <row r="22627" hidden="1" x14ac:dyDescent="0.15"/>
    <row r="22628" hidden="1" x14ac:dyDescent="0.15"/>
    <row r="22629" hidden="1" x14ac:dyDescent="0.15"/>
    <row r="22630" hidden="1" x14ac:dyDescent="0.15"/>
    <row r="22631" hidden="1" x14ac:dyDescent="0.15"/>
    <row r="22632" hidden="1" x14ac:dyDescent="0.15"/>
    <row r="22633" hidden="1" x14ac:dyDescent="0.15"/>
    <row r="22634" hidden="1" x14ac:dyDescent="0.15"/>
    <row r="22635" hidden="1" x14ac:dyDescent="0.15"/>
    <row r="22636" hidden="1" x14ac:dyDescent="0.15"/>
    <row r="22637" hidden="1" x14ac:dyDescent="0.15"/>
    <row r="22638" hidden="1" x14ac:dyDescent="0.15"/>
    <row r="22639" hidden="1" x14ac:dyDescent="0.15"/>
    <row r="22640" hidden="1" x14ac:dyDescent="0.15"/>
    <row r="22641" hidden="1" x14ac:dyDescent="0.15"/>
    <row r="22642" hidden="1" x14ac:dyDescent="0.15"/>
    <row r="22643" hidden="1" x14ac:dyDescent="0.15"/>
    <row r="22644" hidden="1" x14ac:dyDescent="0.15"/>
    <row r="22645" hidden="1" x14ac:dyDescent="0.15"/>
    <row r="22646" hidden="1" x14ac:dyDescent="0.15"/>
    <row r="22647" hidden="1" x14ac:dyDescent="0.15"/>
    <row r="22648" hidden="1" x14ac:dyDescent="0.15"/>
    <row r="22649" hidden="1" x14ac:dyDescent="0.15"/>
    <row r="22650" hidden="1" x14ac:dyDescent="0.15"/>
    <row r="22651" hidden="1" x14ac:dyDescent="0.15"/>
    <row r="22652" hidden="1" x14ac:dyDescent="0.15"/>
    <row r="22653" hidden="1" x14ac:dyDescent="0.15"/>
    <row r="22654" hidden="1" x14ac:dyDescent="0.15"/>
    <row r="22655" hidden="1" x14ac:dyDescent="0.15"/>
    <row r="22656" hidden="1" x14ac:dyDescent="0.15"/>
    <row r="22657" hidden="1" x14ac:dyDescent="0.15"/>
    <row r="22658" hidden="1" x14ac:dyDescent="0.15"/>
    <row r="22659" hidden="1" x14ac:dyDescent="0.15"/>
    <row r="22660" hidden="1" x14ac:dyDescent="0.15"/>
    <row r="22661" hidden="1" x14ac:dyDescent="0.15"/>
    <row r="22662" hidden="1" x14ac:dyDescent="0.15"/>
    <row r="22663" hidden="1" x14ac:dyDescent="0.15"/>
    <row r="22664" hidden="1" x14ac:dyDescent="0.15"/>
    <row r="22665" hidden="1" x14ac:dyDescent="0.15"/>
    <row r="22666" hidden="1" x14ac:dyDescent="0.15"/>
    <row r="22667" hidden="1" x14ac:dyDescent="0.15"/>
    <row r="22668" hidden="1" x14ac:dyDescent="0.15"/>
    <row r="22669" hidden="1" x14ac:dyDescent="0.15"/>
    <row r="22670" hidden="1" x14ac:dyDescent="0.15"/>
    <row r="22671" hidden="1" x14ac:dyDescent="0.15"/>
    <row r="22672" hidden="1" x14ac:dyDescent="0.15"/>
    <row r="22673" hidden="1" x14ac:dyDescent="0.15"/>
    <row r="22674" hidden="1" x14ac:dyDescent="0.15"/>
    <row r="22675" hidden="1" x14ac:dyDescent="0.15"/>
    <row r="22676" hidden="1" x14ac:dyDescent="0.15"/>
    <row r="22677" hidden="1" x14ac:dyDescent="0.15"/>
    <row r="22678" hidden="1" x14ac:dyDescent="0.15"/>
    <row r="22679" hidden="1" x14ac:dyDescent="0.15"/>
    <row r="22680" hidden="1" x14ac:dyDescent="0.15"/>
    <row r="22681" hidden="1" x14ac:dyDescent="0.15"/>
    <row r="22682" hidden="1" x14ac:dyDescent="0.15"/>
    <row r="22683" hidden="1" x14ac:dyDescent="0.15"/>
    <row r="22684" hidden="1" x14ac:dyDescent="0.15"/>
    <row r="22685" hidden="1" x14ac:dyDescent="0.15"/>
    <row r="22686" hidden="1" x14ac:dyDescent="0.15"/>
    <row r="22687" hidden="1" x14ac:dyDescent="0.15"/>
    <row r="22688" hidden="1" x14ac:dyDescent="0.15"/>
    <row r="22689" hidden="1" x14ac:dyDescent="0.15"/>
    <row r="22690" hidden="1" x14ac:dyDescent="0.15"/>
    <row r="22691" hidden="1" x14ac:dyDescent="0.15"/>
    <row r="22692" hidden="1" x14ac:dyDescent="0.15"/>
    <row r="22693" hidden="1" x14ac:dyDescent="0.15"/>
    <row r="22694" hidden="1" x14ac:dyDescent="0.15"/>
    <row r="22695" hidden="1" x14ac:dyDescent="0.15"/>
    <row r="22696" hidden="1" x14ac:dyDescent="0.15"/>
    <row r="22697" hidden="1" x14ac:dyDescent="0.15"/>
    <row r="22698" hidden="1" x14ac:dyDescent="0.15"/>
    <row r="22699" hidden="1" x14ac:dyDescent="0.15"/>
    <row r="22700" hidden="1" x14ac:dyDescent="0.15"/>
    <row r="22701" hidden="1" x14ac:dyDescent="0.15"/>
    <row r="22702" hidden="1" x14ac:dyDescent="0.15"/>
    <row r="22703" hidden="1" x14ac:dyDescent="0.15"/>
    <row r="22704" hidden="1" x14ac:dyDescent="0.15"/>
    <row r="22705" hidden="1" x14ac:dyDescent="0.15"/>
    <row r="22706" hidden="1" x14ac:dyDescent="0.15"/>
    <row r="22707" hidden="1" x14ac:dyDescent="0.15"/>
    <row r="22708" hidden="1" x14ac:dyDescent="0.15"/>
    <row r="22709" hidden="1" x14ac:dyDescent="0.15"/>
    <row r="22710" hidden="1" x14ac:dyDescent="0.15"/>
    <row r="22711" hidden="1" x14ac:dyDescent="0.15"/>
    <row r="22712" hidden="1" x14ac:dyDescent="0.15"/>
    <row r="22713" hidden="1" x14ac:dyDescent="0.15"/>
    <row r="22714" hidden="1" x14ac:dyDescent="0.15"/>
    <row r="22715" hidden="1" x14ac:dyDescent="0.15"/>
    <row r="22716" hidden="1" x14ac:dyDescent="0.15"/>
    <row r="22717" hidden="1" x14ac:dyDescent="0.15"/>
    <row r="22718" hidden="1" x14ac:dyDescent="0.15"/>
    <row r="22719" hidden="1" x14ac:dyDescent="0.15"/>
    <row r="22720" hidden="1" x14ac:dyDescent="0.15"/>
    <row r="22721" hidden="1" x14ac:dyDescent="0.15"/>
    <row r="22722" hidden="1" x14ac:dyDescent="0.15"/>
    <row r="22723" hidden="1" x14ac:dyDescent="0.15"/>
    <row r="22724" hidden="1" x14ac:dyDescent="0.15"/>
    <row r="22725" hidden="1" x14ac:dyDescent="0.15"/>
    <row r="22726" hidden="1" x14ac:dyDescent="0.15"/>
    <row r="22727" hidden="1" x14ac:dyDescent="0.15"/>
    <row r="22728" hidden="1" x14ac:dyDescent="0.15"/>
    <row r="22729" hidden="1" x14ac:dyDescent="0.15"/>
    <row r="22730" hidden="1" x14ac:dyDescent="0.15"/>
    <row r="22731" hidden="1" x14ac:dyDescent="0.15"/>
    <row r="22732" hidden="1" x14ac:dyDescent="0.15"/>
    <row r="22733" hidden="1" x14ac:dyDescent="0.15"/>
    <row r="22734" hidden="1" x14ac:dyDescent="0.15"/>
    <row r="22735" hidden="1" x14ac:dyDescent="0.15"/>
    <row r="22736" hidden="1" x14ac:dyDescent="0.15"/>
    <row r="22737" hidden="1" x14ac:dyDescent="0.15"/>
    <row r="22738" hidden="1" x14ac:dyDescent="0.15"/>
    <row r="22739" hidden="1" x14ac:dyDescent="0.15"/>
    <row r="22740" hidden="1" x14ac:dyDescent="0.15"/>
    <row r="22741" hidden="1" x14ac:dyDescent="0.15"/>
    <row r="22742" hidden="1" x14ac:dyDescent="0.15"/>
    <row r="22743" hidden="1" x14ac:dyDescent="0.15"/>
    <row r="22744" hidden="1" x14ac:dyDescent="0.15"/>
    <row r="22745" hidden="1" x14ac:dyDescent="0.15"/>
    <row r="22746" hidden="1" x14ac:dyDescent="0.15"/>
    <row r="22747" hidden="1" x14ac:dyDescent="0.15"/>
    <row r="22748" hidden="1" x14ac:dyDescent="0.15"/>
    <row r="22749" hidden="1" x14ac:dyDescent="0.15"/>
    <row r="22750" hidden="1" x14ac:dyDescent="0.15"/>
    <row r="22751" hidden="1" x14ac:dyDescent="0.15"/>
    <row r="22752" hidden="1" x14ac:dyDescent="0.15"/>
    <row r="22753" hidden="1" x14ac:dyDescent="0.15"/>
    <row r="22754" hidden="1" x14ac:dyDescent="0.15"/>
    <row r="22755" hidden="1" x14ac:dyDescent="0.15"/>
    <row r="22756" hidden="1" x14ac:dyDescent="0.15"/>
    <row r="22757" hidden="1" x14ac:dyDescent="0.15"/>
    <row r="22758" hidden="1" x14ac:dyDescent="0.15"/>
    <row r="22759" hidden="1" x14ac:dyDescent="0.15"/>
    <row r="22760" hidden="1" x14ac:dyDescent="0.15"/>
    <row r="22761" hidden="1" x14ac:dyDescent="0.15"/>
    <row r="22762" hidden="1" x14ac:dyDescent="0.15"/>
    <row r="22763" hidden="1" x14ac:dyDescent="0.15"/>
    <row r="22764" hidden="1" x14ac:dyDescent="0.15"/>
    <row r="22765" hidden="1" x14ac:dyDescent="0.15"/>
    <row r="22766" hidden="1" x14ac:dyDescent="0.15"/>
    <row r="22767" hidden="1" x14ac:dyDescent="0.15"/>
    <row r="22768" hidden="1" x14ac:dyDescent="0.15"/>
    <row r="22769" hidden="1" x14ac:dyDescent="0.15"/>
    <row r="22770" hidden="1" x14ac:dyDescent="0.15"/>
    <row r="22771" hidden="1" x14ac:dyDescent="0.15"/>
    <row r="22772" hidden="1" x14ac:dyDescent="0.15"/>
    <row r="22773" hidden="1" x14ac:dyDescent="0.15"/>
    <row r="22774" hidden="1" x14ac:dyDescent="0.15"/>
    <row r="22775" hidden="1" x14ac:dyDescent="0.15"/>
    <row r="22776" hidden="1" x14ac:dyDescent="0.15"/>
    <row r="22777" hidden="1" x14ac:dyDescent="0.15"/>
    <row r="22778" hidden="1" x14ac:dyDescent="0.15"/>
    <row r="22779" hidden="1" x14ac:dyDescent="0.15"/>
    <row r="22780" hidden="1" x14ac:dyDescent="0.15"/>
    <row r="22781" hidden="1" x14ac:dyDescent="0.15"/>
    <row r="22782" hidden="1" x14ac:dyDescent="0.15"/>
    <row r="22783" hidden="1" x14ac:dyDescent="0.15"/>
    <row r="22784" hidden="1" x14ac:dyDescent="0.15"/>
    <row r="22785" hidden="1" x14ac:dyDescent="0.15"/>
    <row r="22786" hidden="1" x14ac:dyDescent="0.15"/>
    <row r="22787" hidden="1" x14ac:dyDescent="0.15"/>
    <row r="22788" hidden="1" x14ac:dyDescent="0.15"/>
    <row r="22789" hidden="1" x14ac:dyDescent="0.15"/>
    <row r="22790" hidden="1" x14ac:dyDescent="0.15"/>
    <row r="22791" hidden="1" x14ac:dyDescent="0.15"/>
    <row r="22792" hidden="1" x14ac:dyDescent="0.15"/>
    <row r="22793" hidden="1" x14ac:dyDescent="0.15"/>
    <row r="22794" hidden="1" x14ac:dyDescent="0.15"/>
    <row r="22795" hidden="1" x14ac:dyDescent="0.15"/>
    <row r="22796" hidden="1" x14ac:dyDescent="0.15"/>
    <row r="22797" hidden="1" x14ac:dyDescent="0.15"/>
    <row r="22798" hidden="1" x14ac:dyDescent="0.15"/>
    <row r="22799" hidden="1" x14ac:dyDescent="0.15"/>
    <row r="22800" hidden="1" x14ac:dyDescent="0.15"/>
    <row r="22801" hidden="1" x14ac:dyDescent="0.15"/>
    <row r="22802" hidden="1" x14ac:dyDescent="0.15"/>
    <row r="22803" hidden="1" x14ac:dyDescent="0.15"/>
    <row r="22804" hidden="1" x14ac:dyDescent="0.15"/>
    <row r="22805" hidden="1" x14ac:dyDescent="0.15"/>
    <row r="22806" hidden="1" x14ac:dyDescent="0.15"/>
    <row r="22807" hidden="1" x14ac:dyDescent="0.15"/>
    <row r="22808" hidden="1" x14ac:dyDescent="0.15"/>
    <row r="22809" hidden="1" x14ac:dyDescent="0.15"/>
    <row r="22810" hidden="1" x14ac:dyDescent="0.15"/>
    <row r="22811" hidden="1" x14ac:dyDescent="0.15"/>
    <row r="22812" hidden="1" x14ac:dyDescent="0.15"/>
    <row r="22813" hidden="1" x14ac:dyDescent="0.15"/>
    <row r="22814" hidden="1" x14ac:dyDescent="0.15"/>
    <row r="22815" hidden="1" x14ac:dyDescent="0.15"/>
    <row r="22816" hidden="1" x14ac:dyDescent="0.15"/>
    <row r="22817" hidden="1" x14ac:dyDescent="0.15"/>
    <row r="22818" hidden="1" x14ac:dyDescent="0.15"/>
    <row r="22819" hidden="1" x14ac:dyDescent="0.15"/>
    <row r="22820" hidden="1" x14ac:dyDescent="0.15"/>
    <row r="22821" hidden="1" x14ac:dyDescent="0.15"/>
    <row r="22822" hidden="1" x14ac:dyDescent="0.15"/>
    <row r="22823" hidden="1" x14ac:dyDescent="0.15"/>
    <row r="22824" hidden="1" x14ac:dyDescent="0.15"/>
    <row r="22825" hidden="1" x14ac:dyDescent="0.15"/>
    <row r="22826" hidden="1" x14ac:dyDescent="0.15"/>
    <row r="22827" hidden="1" x14ac:dyDescent="0.15"/>
    <row r="22828" hidden="1" x14ac:dyDescent="0.15"/>
    <row r="22829" hidden="1" x14ac:dyDescent="0.15"/>
    <row r="22830" hidden="1" x14ac:dyDescent="0.15"/>
    <row r="22831" hidden="1" x14ac:dyDescent="0.15"/>
    <row r="22832" hidden="1" x14ac:dyDescent="0.15"/>
    <row r="22833" hidden="1" x14ac:dyDescent="0.15"/>
    <row r="22834" hidden="1" x14ac:dyDescent="0.15"/>
    <row r="22835" hidden="1" x14ac:dyDescent="0.15"/>
    <row r="22836" hidden="1" x14ac:dyDescent="0.15"/>
    <row r="22837" hidden="1" x14ac:dyDescent="0.15"/>
    <row r="22838" hidden="1" x14ac:dyDescent="0.15"/>
    <row r="22839" hidden="1" x14ac:dyDescent="0.15"/>
    <row r="22840" hidden="1" x14ac:dyDescent="0.15"/>
    <row r="22841" hidden="1" x14ac:dyDescent="0.15"/>
    <row r="22842" hidden="1" x14ac:dyDescent="0.15"/>
    <row r="22843" hidden="1" x14ac:dyDescent="0.15"/>
    <row r="22844" hidden="1" x14ac:dyDescent="0.15"/>
    <row r="22845" hidden="1" x14ac:dyDescent="0.15"/>
    <row r="22846" hidden="1" x14ac:dyDescent="0.15"/>
    <row r="22847" hidden="1" x14ac:dyDescent="0.15"/>
    <row r="22848" hidden="1" x14ac:dyDescent="0.15"/>
    <row r="22849" hidden="1" x14ac:dyDescent="0.15"/>
    <row r="22850" hidden="1" x14ac:dyDescent="0.15"/>
    <row r="22851" hidden="1" x14ac:dyDescent="0.15"/>
    <row r="22852" hidden="1" x14ac:dyDescent="0.15"/>
    <row r="22853" hidden="1" x14ac:dyDescent="0.15"/>
    <row r="22854" hidden="1" x14ac:dyDescent="0.15"/>
    <row r="22855" hidden="1" x14ac:dyDescent="0.15"/>
    <row r="22856" hidden="1" x14ac:dyDescent="0.15"/>
    <row r="22857" hidden="1" x14ac:dyDescent="0.15"/>
    <row r="22858" hidden="1" x14ac:dyDescent="0.15"/>
    <row r="22859" hidden="1" x14ac:dyDescent="0.15"/>
    <row r="22860" hidden="1" x14ac:dyDescent="0.15"/>
    <row r="22861" hidden="1" x14ac:dyDescent="0.15"/>
    <row r="22862" hidden="1" x14ac:dyDescent="0.15"/>
    <row r="22863" hidden="1" x14ac:dyDescent="0.15"/>
    <row r="22864" hidden="1" x14ac:dyDescent="0.15"/>
    <row r="22865" hidden="1" x14ac:dyDescent="0.15"/>
    <row r="22866" hidden="1" x14ac:dyDescent="0.15"/>
    <row r="22867" hidden="1" x14ac:dyDescent="0.15"/>
    <row r="22868" hidden="1" x14ac:dyDescent="0.15"/>
    <row r="22869" hidden="1" x14ac:dyDescent="0.15"/>
    <row r="22870" hidden="1" x14ac:dyDescent="0.15"/>
    <row r="22871" hidden="1" x14ac:dyDescent="0.15"/>
    <row r="22872" hidden="1" x14ac:dyDescent="0.15"/>
    <row r="22873" hidden="1" x14ac:dyDescent="0.15"/>
    <row r="22874" hidden="1" x14ac:dyDescent="0.15"/>
    <row r="22875" hidden="1" x14ac:dyDescent="0.15"/>
    <row r="22876" hidden="1" x14ac:dyDescent="0.15"/>
    <row r="22877" hidden="1" x14ac:dyDescent="0.15"/>
    <row r="22878" hidden="1" x14ac:dyDescent="0.15"/>
    <row r="22879" hidden="1" x14ac:dyDescent="0.15"/>
    <row r="22880" hidden="1" x14ac:dyDescent="0.15"/>
    <row r="22881" hidden="1" x14ac:dyDescent="0.15"/>
    <row r="22882" hidden="1" x14ac:dyDescent="0.15"/>
    <row r="22883" hidden="1" x14ac:dyDescent="0.15"/>
    <row r="22884" hidden="1" x14ac:dyDescent="0.15"/>
    <row r="22885" hidden="1" x14ac:dyDescent="0.15"/>
    <row r="22886" hidden="1" x14ac:dyDescent="0.15"/>
    <row r="22887" hidden="1" x14ac:dyDescent="0.15"/>
    <row r="22888" hidden="1" x14ac:dyDescent="0.15"/>
    <row r="22889" hidden="1" x14ac:dyDescent="0.15"/>
    <row r="22890" hidden="1" x14ac:dyDescent="0.15"/>
    <row r="22891" hidden="1" x14ac:dyDescent="0.15"/>
    <row r="22892" hidden="1" x14ac:dyDescent="0.15"/>
    <row r="22893" hidden="1" x14ac:dyDescent="0.15"/>
    <row r="22894" hidden="1" x14ac:dyDescent="0.15"/>
    <row r="22895" hidden="1" x14ac:dyDescent="0.15"/>
    <row r="22896" hidden="1" x14ac:dyDescent="0.15"/>
    <row r="22897" hidden="1" x14ac:dyDescent="0.15"/>
    <row r="22898" hidden="1" x14ac:dyDescent="0.15"/>
    <row r="22899" hidden="1" x14ac:dyDescent="0.15"/>
    <row r="22900" hidden="1" x14ac:dyDescent="0.15"/>
    <row r="22901" hidden="1" x14ac:dyDescent="0.15"/>
    <row r="22902" hidden="1" x14ac:dyDescent="0.15"/>
    <row r="22903" hidden="1" x14ac:dyDescent="0.15"/>
    <row r="22904" hidden="1" x14ac:dyDescent="0.15"/>
    <row r="22905" hidden="1" x14ac:dyDescent="0.15"/>
    <row r="22906" hidden="1" x14ac:dyDescent="0.15"/>
    <row r="22907" hidden="1" x14ac:dyDescent="0.15"/>
    <row r="22908" hidden="1" x14ac:dyDescent="0.15"/>
    <row r="22909" hidden="1" x14ac:dyDescent="0.15"/>
    <row r="22910" hidden="1" x14ac:dyDescent="0.15"/>
    <row r="22911" hidden="1" x14ac:dyDescent="0.15"/>
    <row r="22912" hidden="1" x14ac:dyDescent="0.15"/>
    <row r="22913" hidden="1" x14ac:dyDescent="0.15"/>
    <row r="22914" hidden="1" x14ac:dyDescent="0.15"/>
    <row r="22915" hidden="1" x14ac:dyDescent="0.15"/>
    <row r="22916" hidden="1" x14ac:dyDescent="0.15"/>
    <row r="22917" hidden="1" x14ac:dyDescent="0.15"/>
    <row r="22918" hidden="1" x14ac:dyDescent="0.15"/>
    <row r="22919" hidden="1" x14ac:dyDescent="0.15"/>
    <row r="22920" hidden="1" x14ac:dyDescent="0.15"/>
    <row r="22921" hidden="1" x14ac:dyDescent="0.15"/>
    <row r="22922" hidden="1" x14ac:dyDescent="0.15"/>
    <row r="22923" hidden="1" x14ac:dyDescent="0.15"/>
    <row r="22924" hidden="1" x14ac:dyDescent="0.15"/>
    <row r="22925" hidden="1" x14ac:dyDescent="0.15"/>
    <row r="22926" hidden="1" x14ac:dyDescent="0.15"/>
    <row r="22927" hidden="1" x14ac:dyDescent="0.15"/>
    <row r="22928" hidden="1" x14ac:dyDescent="0.15"/>
    <row r="22929" hidden="1" x14ac:dyDescent="0.15"/>
    <row r="22930" hidden="1" x14ac:dyDescent="0.15"/>
    <row r="22931" hidden="1" x14ac:dyDescent="0.15"/>
    <row r="22932" hidden="1" x14ac:dyDescent="0.15"/>
    <row r="22933" hidden="1" x14ac:dyDescent="0.15"/>
    <row r="22934" hidden="1" x14ac:dyDescent="0.15"/>
    <row r="22935" hidden="1" x14ac:dyDescent="0.15"/>
    <row r="22936" hidden="1" x14ac:dyDescent="0.15"/>
    <row r="22937" hidden="1" x14ac:dyDescent="0.15"/>
    <row r="22938" hidden="1" x14ac:dyDescent="0.15"/>
    <row r="22939" hidden="1" x14ac:dyDescent="0.15"/>
    <row r="22940" hidden="1" x14ac:dyDescent="0.15"/>
    <row r="22941" hidden="1" x14ac:dyDescent="0.15"/>
    <row r="22942" hidden="1" x14ac:dyDescent="0.15"/>
    <row r="22943" hidden="1" x14ac:dyDescent="0.15"/>
    <row r="22944" hidden="1" x14ac:dyDescent="0.15"/>
    <row r="22945" hidden="1" x14ac:dyDescent="0.15"/>
    <row r="22946" hidden="1" x14ac:dyDescent="0.15"/>
    <row r="22947" hidden="1" x14ac:dyDescent="0.15"/>
    <row r="22948" hidden="1" x14ac:dyDescent="0.15"/>
    <row r="22949" hidden="1" x14ac:dyDescent="0.15"/>
    <row r="22950" hidden="1" x14ac:dyDescent="0.15"/>
    <row r="22951" hidden="1" x14ac:dyDescent="0.15"/>
    <row r="22952" hidden="1" x14ac:dyDescent="0.15"/>
    <row r="22953" hidden="1" x14ac:dyDescent="0.15"/>
    <row r="22954" hidden="1" x14ac:dyDescent="0.15"/>
    <row r="22955" hidden="1" x14ac:dyDescent="0.15"/>
    <row r="22956" hidden="1" x14ac:dyDescent="0.15"/>
    <row r="22957" hidden="1" x14ac:dyDescent="0.15"/>
    <row r="22958" hidden="1" x14ac:dyDescent="0.15"/>
    <row r="22959" hidden="1" x14ac:dyDescent="0.15"/>
    <row r="22960" hidden="1" x14ac:dyDescent="0.15"/>
    <row r="22961" hidden="1" x14ac:dyDescent="0.15"/>
    <row r="22962" hidden="1" x14ac:dyDescent="0.15"/>
    <row r="22963" hidden="1" x14ac:dyDescent="0.15"/>
    <row r="22964" hidden="1" x14ac:dyDescent="0.15"/>
    <row r="22965" hidden="1" x14ac:dyDescent="0.15"/>
    <row r="22966" hidden="1" x14ac:dyDescent="0.15"/>
    <row r="22967" hidden="1" x14ac:dyDescent="0.15"/>
    <row r="22968" hidden="1" x14ac:dyDescent="0.15"/>
    <row r="22969" hidden="1" x14ac:dyDescent="0.15"/>
    <row r="22970" hidden="1" x14ac:dyDescent="0.15"/>
    <row r="22971" hidden="1" x14ac:dyDescent="0.15"/>
    <row r="22972" hidden="1" x14ac:dyDescent="0.15"/>
    <row r="22973" hidden="1" x14ac:dyDescent="0.15"/>
    <row r="22974" hidden="1" x14ac:dyDescent="0.15"/>
    <row r="22975" hidden="1" x14ac:dyDescent="0.15"/>
    <row r="22976" hidden="1" x14ac:dyDescent="0.15"/>
    <row r="22977" hidden="1" x14ac:dyDescent="0.15"/>
    <row r="22978" hidden="1" x14ac:dyDescent="0.15"/>
    <row r="22979" hidden="1" x14ac:dyDescent="0.15"/>
    <row r="22980" hidden="1" x14ac:dyDescent="0.15"/>
    <row r="22981" hidden="1" x14ac:dyDescent="0.15"/>
    <row r="22982" hidden="1" x14ac:dyDescent="0.15"/>
    <row r="22983" hidden="1" x14ac:dyDescent="0.15"/>
    <row r="22984" hidden="1" x14ac:dyDescent="0.15"/>
    <row r="22985" hidden="1" x14ac:dyDescent="0.15"/>
    <row r="22986" hidden="1" x14ac:dyDescent="0.15"/>
    <row r="22987" hidden="1" x14ac:dyDescent="0.15"/>
    <row r="22988" hidden="1" x14ac:dyDescent="0.15"/>
    <row r="22989" hidden="1" x14ac:dyDescent="0.15"/>
    <row r="22990" hidden="1" x14ac:dyDescent="0.15"/>
    <row r="22991" hidden="1" x14ac:dyDescent="0.15"/>
    <row r="22992" hidden="1" x14ac:dyDescent="0.15"/>
    <row r="22993" hidden="1" x14ac:dyDescent="0.15"/>
    <row r="22994" hidden="1" x14ac:dyDescent="0.15"/>
    <row r="22995" hidden="1" x14ac:dyDescent="0.15"/>
    <row r="22996" hidden="1" x14ac:dyDescent="0.15"/>
    <row r="22997" hidden="1" x14ac:dyDescent="0.15"/>
    <row r="22998" hidden="1" x14ac:dyDescent="0.15"/>
    <row r="22999" hidden="1" x14ac:dyDescent="0.15"/>
    <row r="23000" hidden="1" x14ac:dyDescent="0.15"/>
    <row r="23001" hidden="1" x14ac:dyDescent="0.15"/>
    <row r="23002" hidden="1" x14ac:dyDescent="0.15"/>
    <row r="23003" hidden="1" x14ac:dyDescent="0.15"/>
    <row r="23004" hidden="1" x14ac:dyDescent="0.15"/>
    <row r="23005" hidden="1" x14ac:dyDescent="0.15"/>
    <row r="23006" hidden="1" x14ac:dyDescent="0.15"/>
    <row r="23007" hidden="1" x14ac:dyDescent="0.15"/>
    <row r="23008" hidden="1" x14ac:dyDescent="0.15"/>
    <row r="23009" hidden="1" x14ac:dyDescent="0.15"/>
    <row r="23010" hidden="1" x14ac:dyDescent="0.15"/>
    <row r="23011" hidden="1" x14ac:dyDescent="0.15"/>
    <row r="23012" hidden="1" x14ac:dyDescent="0.15"/>
    <row r="23013" hidden="1" x14ac:dyDescent="0.15"/>
    <row r="23014" hidden="1" x14ac:dyDescent="0.15"/>
    <row r="23015" hidden="1" x14ac:dyDescent="0.15"/>
    <row r="23016" hidden="1" x14ac:dyDescent="0.15"/>
    <row r="23017" hidden="1" x14ac:dyDescent="0.15"/>
    <row r="23018" hidden="1" x14ac:dyDescent="0.15"/>
    <row r="23019" hidden="1" x14ac:dyDescent="0.15"/>
    <row r="23020" hidden="1" x14ac:dyDescent="0.15"/>
    <row r="23021" hidden="1" x14ac:dyDescent="0.15"/>
    <row r="23022" hidden="1" x14ac:dyDescent="0.15"/>
    <row r="23023" hidden="1" x14ac:dyDescent="0.15"/>
    <row r="23024" hidden="1" x14ac:dyDescent="0.15"/>
    <row r="23025" hidden="1" x14ac:dyDescent="0.15"/>
    <row r="23026" hidden="1" x14ac:dyDescent="0.15"/>
    <row r="23027" hidden="1" x14ac:dyDescent="0.15"/>
    <row r="23028" hidden="1" x14ac:dyDescent="0.15"/>
    <row r="23029" hidden="1" x14ac:dyDescent="0.15"/>
    <row r="23030" hidden="1" x14ac:dyDescent="0.15"/>
    <row r="23031" hidden="1" x14ac:dyDescent="0.15"/>
    <row r="23032" hidden="1" x14ac:dyDescent="0.15"/>
    <row r="23033" hidden="1" x14ac:dyDescent="0.15"/>
    <row r="23034" hidden="1" x14ac:dyDescent="0.15"/>
    <row r="23035" hidden="1" x14ac:dyDescent="0.15"/>
    <row r="23036" hidden="1" x14ac:dyDescent="0.15"/>
    <row r="23037" hidden="1" x14ac:dyDescent="0.15"/>
    <row r="23038" hidden="1" x14ac:dyDescent="0.15"/>
    <row r="23039" hidden="1" x14ac:dyDescent="0.15"/>
    <row r="23040" hidden="1" x14ac:dyDescent="0.15"/>
    <row r="23041" hidden="1" x14ac:dyDescent="0.15"/>
    <row r="23042" hidden="1" x14ac:dyDescent="0.15"/>
    <row r="23043" hidden="1" x14ac:dyDescent="0.15"/>
    <row r="23044" hidden="1" x14ac:dyDescent="0.15"/>
    <row r="23045" hidden="1" x14ac:dyDescent="0.15"/>
    <row r="23046" hidden="1" x14ac:dyDescent="0.15"/>
    <row r="23047" hidden="1" x14ac:dyDescent="0.15"/>
    <row r="23048" hidden="1" x14ac:dyDescent="0.15"/>
    <row r="23049" hidden="1" x14ac:dyDescent="0.15"/>
    <row r="23050" hidden="1" x14ac:dyDescent="0.15"/>
    <row r="23051" hidden="1" x14ac:dyDescent="0.15"/>
    <row r="23052" hidden="1" x14ac:dyDescent="0.15"/>
    <row r="23053" hidden="1" x14ac:dyDescent="0.15"/>
    <row r="23054" hidden="1" x14ac:dyDescent="0.15"/>
    <row r="23055" hidden="1" x14ac:dyDescent="0.15"/>
    <row r="23056" hidden="1" x14ac:dyDescent="0.15"/>
    <row r="23057" hidden="1" x14ac:dyDescent="0.15"/>
    <row r="23058" hidden="1" x14ac:dyDescent="0.15"/>
    <row r="23059" hidden="1" x14ac:dyDescent="0.15"/>
    <row r="23060" hidden="1" x14ac:dyDescent="0.15"/>
    <row r="23061" hidden="1" x14ac:dyDescent="0.15"/>
    <row r="23062" hidden="1" x14ac:dyDescent="0.15"/>
    <row r="23063" hidden="1" x14ac:dyDescent="0.15"/>
    <row r="23064" hidden="1" x14ac:dyDescent="0.15"/>
    <row r="23065" hidden="1" x14ac:dyDescent="0.15"/>
    <row r="23066" hidden="1" x14ac:dyDescent="0.15"/>
    <row r="23067" hidden="1" x14ac:dyDescent="0.15"/>
    <row r="23068" hidden="1" x14ac:dyDescent="0.15"/>
    <row r="23069" hidden="1" x14ac:dyDescent="0.15"/>
    <row r="23070" hidden="1" x14ac:dyDescent="0.15"/>
    <row r="23071" hidden="1" x14ac:dyDescent="0.15"/>
    <row r="23072" hidden="1" x14ac:dyDescent="0.15"/>
    <row r="23073" hidden="1" x14ac:dyDescent="0.15"/>
    <row r="23074" hidden="1" x14ac:dyDescent="0.15"/>
    <row r="23075" hidden="1" x14ac:dyDescent="0.15"/>
    <row r="23076" hidden="1" x14ac:dyDescent="0.15"/>
    <row r="23077" hidden="1" x14ac:dyDescent="0.15"/>
    <row r="23078" hidden="1" x14ac:dyDescent="0.15"/>
    <row r="23079" hidden="1" x14ac:dyDescent="0.15"/>
    <row r="23080" hidden="1" x14ac:dyDescent="0.15"/>
    <row r="23081" hidden="1" x14ac:dyDescent="0.15"/>
    <row r="23082" hidden="1" x14ac:dyDescent="0.15"/>
    <row r="23083" hidden="1" x14ac:dyDescent="0.15"/>
    <row r="23084" hidden="1" x14ac:dyDescent="0.15"/>
    <row r="23085" hidden="1" x14ac:dyDescent="0.15"/>
    <row r="23086" hidden="1" x14ac:dyDescent="0.15"/>
    <row r="23087" hidden="1" x14ac:dyDescent="0.15"/>
    <row r="23088" hidden="1" x14ac:dyDescent="0.15"/>
    <row r="23089" hidden="1" x14ac:dyDescent="0.15"/>
    <row r="23090" hidden="1" x14ac:dyDescent="0.15"/>
    <row r="23091" hidden="1" x14ac:dyDescent="0.15"/>
    <row r="23092" hidden="1" x14ac:dyDescent="0.15"/>
    <row r="23093" hidden="1" x14ac:dyDescent="0.15"/>
    <row r="23094" hidden="1" x14ac:dyDescent="0.15"/>
    <row r="23095" hidden="1" x14ac:dyDescent="0.15"/>
    <row r="23096" hidden="1" x14ac:dyDescent="0.15"/>
    <row r="23097" hidden="1" x14ac:dyDescent="0.15"/>
    <row r="23098" hidden="1" x14ac:dyDescent="0.15"/>
    <row r="23099" hidden="1" x14ac:dyDescent="0.15"/>
    <row r="23100" hidden="1" x14ac:dyDescent="0.15"/>
    <row r="23101" hidden="1" x14ac:dyDescent="0.15"/>
    <row r="23102" hidden="1" x14ac:dyDescent="0.15"/>
    <row r="23103" hidden="1" x14ac:dyDescent="0.15"/>
    <row r="23104" hidden="1" x14ac:dyDescent="0.15"/>
    <row r="23105" hidden="1" x14ac:dyDescent="0.15"/>
    <row r="23106" hidden="1" x14ac:dyDescent="0.15"/>
    <row r="23107" hidden="1" x14ac:dyDescent="0.15"/>
    <row r="23108" hidden="1" x14ac:dyDescent="0.15"/>
    <row r="23109" hidden="1" x14ac:dyDescent="0.15"/>
    <row r="23110" hidden="1" x14ac:dyDescent="0.15"/>
    <row r="23111" hidden="1" x14ac:dyDescent="0.15"/>
    <row r="23112" hidden="1" x14ac:dyDescent="0.15"/>
    <row r="23113" hidden="1" x14ac:dyDescent="0.15"/>
    <row r="23114" hidden="1" x14ac:dyDescent="0.15"/>
    <row r="23115" hidden="1" x14ac:dyDescent="0.15"/>
    <row r="23116" hidden="1" x14ac:dyDescent="0.15"/>
    <row r="23117" hidden="1" x14ac:dyDescent="0.15"/>
    <row r="23118" hidden="1" x14ac:dyDescent="0.15"/>
    <row r="23119" hidden="1" x14ac:dyDescent="0.15"/>
    <row r="23120" hidden="1" x14ac:dyDescent="0.15"/>
    <row r="23121" hidden="1" x14ac:dyDescent="0.15"/>
    <row r="23122" hidden="1" x14ac:dyDescent="0.15"/>
    <row r="23123" hidden="1" x14ac:dyDescent="0.15"/>
    <row r="23124" hidden="1" x14ac:dyDescent="0.15"/>
    <row r="23125" hidden="1" x14ac:dyDescent="0.15"/>
    <row r="23126" hidden="1" x14ac:dyDescent="0.15"/>
    <row r="23127" hidden="1" x14ac:dyDescent="0.15"/>
    <row r="23128" hidden="1" x14ac:dyDescent="0.15"/>
    <row r="23129" hidden="1" x14ac:dyDescent="0.15"/>
    <row r="23130" hidden="1" x14ac:dyDescent="0.15"/>
    <row r="23131" hidden="1" x14ac:dyDescent="0.15"/>
    <row r="23132" hidden="1" x14ac:dyDescent="0.15"/>
    <row r="23133" hidden="1" x14ac:dyDescent="0.15"/>
    <row r="23134" hidden="1" x14ac:dyDescent="0.15"/>
    <row r="23135" hidden="1" x14ac:dyDescent="0.15"/>
    <row r="23136" hidden="1" x14ac:dyDescent="0.15"/>
    <row r="23137" hidden="1" x14ac:dyDescent="0.15"/>
    <row r="23138" hidden="1" x14ac:dyDescent="0.15"/>
    <row r="23139" hidden="1" x14ac:dyDescent="0.15"/>
    <row r="23140" hidden="1" x14ac:dyDescent="0.15"/>
    <row r="23141" hidden="1" x14ac:dyDescent="0.15"/>
    <row r="23142" hidden="1" x14ac:dyDescent="0.15"/>
    <row r="23143" hidden="1" x14ac:dyDescent="0.15"/>
    <row r="23144" hidden="1" x14ac:dyDescent="0.15"/>
    <row r="23145" hidden="1" x14ac:dyDescent="0.15"/>
    <row r="23146" hidden="1" x14ac:dyDescent="0.15"/>
    <row r="23147" hidden="1" x14ac:dyDescent="0.15"/>
    <row r="23148" hidden="1" x14ac:dyDescent="0.15"/>
    <row r="23149" hidden="1" x14ac:dyDescent="0.15"/>
    <row r="23150" hidden="1" x14ac:dyDescent="0.15"/>
    <row r="23151" hidden="1" x14ac:dyDescent="0.15"/>
    <row r="23152" hidden="1" x14ac:dyDescent="0.15"/>
    <row r="23153" hidden="1" x14ac:dyDescent="0.15"/>
    <row r="23154" hidden="1" x14ac:dyDescent="0.15"/>
    <row r="23155" hidden="1" x14ac:dyDescent="0.15"/>
    <row r="23156" hidden="1" x14ac:dyDescent="0.15"/>
    <row r="23157" hidden="1" x14ac:dyDescent="0.15"/>
    <row r="23158" hidden="1" x14ac:dyDescent="0.15"/>
    <row r="23159" hidden="1" x14ac:dyDescent="0.15"/>
    <row r="23160" hidden="1" x14ac:dyDescent="0.15"/>
    <row r="23161" hidden="1" x14ac:dyDescent="0.15"/>
    <row r="23162" hidden="1" x14ac:dyDescent="0.15"/>
    <row r="23163" hidden="1" x14ac:dyDescent="0.15"/>
    <row r="23164" hidden="1" x14ac:dyDescent="0.15"/>
    <row r="23165" hidden="1" x14ac:dyDescent="0.15"/>
    <row r="23166" hidden="1" x14ac:dyDescent="0.15"/>
    <row r="23167" hidden="1" x14ac:dyDescent="0.15"/>
    <row r="23168" hidden="1" x14ac:dyDescent="0.15"/>
    <row r="23169" hidden="1" x14ac:dyDescent="0.15"/>
    <row r="23170" hidden="1" x14ac:dyDescent="0.15"/>
    <row r="23171" hidden="1" x14ac:dyDescent="0.15"/>
    <row r="23172" hidden="1" x14ac:dyDescent="0.15"/>
    <row r="23173" hidden="1" x14ac:dyDescent="0.15"/>
    <row r="23174" hidden="1" x14ac:dyDescent="0.15"/>
    <row r="23175" hidden="1" x14ac:dyDescent="0.15"/>
    <row r="23176" hidden="1" x14ac:dyDescent="0.15"/>
    <row r="23177" hidden="1" x14ac:dyDescent="0.15"/>
    <row r="23178" hidden="1" x14ac:dyDescent="0.15"/>
    <row r="23179" hidden="1" x14ac:dyDescent="0.15"/>
    <row r="23180" hidden="1" x14ac:dyDescent="0.15"/>
    <row r="23181" hidden="1" x14ac:dyDescent="0.15"/>
    <row r="23182" hidden="1" x14ac:dyDescent="0.15"/>
    <row r="23183" hidden="1" x14ac:dyDescent="0.15"/>
    <row r="23184" hidden="1" x14ac:dyDescent="0.15"/>
    <row r="23185" hidden="1" x14ac:dyDescent="0.15"/>
    <row r="23186" hidden="1" x14ac:dyDescent="0.15"/>
    <row r="23187" hidden="1" x14ac:dyDescent="0.15"/>
    <row r="23188" hidden="1" x14ac:dyDescent="0.15"/>
    <row r="23189" hidden="1" x14ac:dyDescent="0.15"/>
    <row r="23190" hidden="1" x14ac:dyDescent="0.15"/>
    <row r="23191" hidden="1" x14ac:dyDescent="0.15"/>
    <row r="23192" hidden="1" x14ac:dyDescent="0.15"/>
    <row r="23193" hidden="1" x14ac:dyDescent="0.15"/>
    <row r="23194" hidden="1" x14ac:dyDescent="0.15"/>
    <row r="23195" hidden="1" x14ac:dyDescent="0.15"/>
    <row r="23196" hidden="1" x14ac:dyDescent="0.15"/>
    <row r="23197" hidden="1" x14ac:dyDescent="0.15"/>
    <row r="23198" hidden="1" x14ac:dyDescent="0.15"/>
    <row r="23199" hidden="1" x14ac:dyDescent="0.15"/>
    <row r="23200" hidden="1" x14ac:dyDescent="0.15"/>
    <row r="23201" hidden="1" x14ac:dyDescent="0.15"/>
    <row r="23202" hidden="1" x14ac:dyDescent="0.15"/>
    <row r="23203" hidden="1" x14ac:dyDescent="0.15"/>
    <row r="23204" hidden="1" x14ac:dyDescent="0.15"/>
    <row r="23205" hidden="1" x14ac:dyDescent="0.15"/>
    <row r="23206" hidden="1" x14ac:dyDescent="0.15"/>
    <row r="23207" hidden="1" x14ac:dyDescent="0.15"/>
    <row r="23208" hidden="1" x14ac:dyDescent="0.15"/>
    <row r="23209" hidden="1" x14ac:dyDescent="0.15"/>
    <row r="23210" hidden="1" x14ac:dyDescent="0.15"/>
    <row r="23211" hidden="1" x14ac:dyDescent="0.15"/>
    <row r="23212" hidden="1" x14ac:dyDescent="0.15"/>
    <row r="23213" hidden="1" x14ac:dyDescent="0.15"/>
    <row r="23214" hidden="1" x14ac:dyDescent="0.15"/>
    <row r="23215" hidden="1" x14ac:dyDescent="0.15"/>
    <row r="23216" hidden="1" x14ac:dyDescent="0.15"/>
    <row r="23217" hidden="1" x14ac:dyDescent="0.15"/>
    <row r="23218" hidden="1" x14ac:dyDescent="0.15"/>
    <row r="23219" hidden="1" x14ac:dyDescent="0.15"/>
    <row r="23220" hidden="1" x14ac:dyDescent="0.15"/>
    <row r="23221" hidden="1" x14ac:dyDescent="0.15"/>
    <row r="23222" hidden="1" x14ac:dyDescent="0.15"/>
    <row r="23223" hidden="1" x14ac:dyDescent="0.15"/>
    <row r="23224" hidden="1" x14ac:dyDescent="0.15"/>
    <row r="23225" hidden="1" x14ac:dyDescent="0.15"/>
    <row r="23226" hidden="1" x14ac:dyDescent="0.15"/>
    <row r="23227" hidden="1" x14ac:dyDescent="0.15"/>
    <row r="23228" hidden="1" x14ac:dyDescent="0.15"/>
    <row r="23229" hidden="1" x14ac:dyDescent="0.15"/>
    <row r="23230" hidden="1" x14ac:dyDescent="0.15"/>
    <row r="23231" hidden="1" x14ac:dyDescent="0.15"/>
    <row r="23232" hidden="1" x14ac:dyDescent="0.15"/>
    <row r="23233" hidden="1" x14ac:dyDescent="0.15"/>
    <row r="23234" hidden="1" x14ac:dyDescent="0.15"/>
    <row r="23235" hidden="1" x14ac:dyDescent="0.15"/>
    <row r="23236" hidden="1" x14ac:dyDescent="0.15"/>
    <row r="23237" hidden="1" x14ac:dyDescent="0.15"/>
    <row r="23238" hidden="1" x14ac:dyDescent="0.15"/>
    <row r="23239" hidden="1" x14ac:dyDescent="0.15"/>
    <row r="23240" hidden="1" x14ac:dyDescent="0.15"/>
    <row r="23241" hidden="1" x14ac:dyDescent="0.15"/>
    <row r="23242" hidden="1" x14ac:dyDescent="0.15"/>
    <row r="23243" hidden="1" x14ac:dyDescent="0.15"/>
    <row r="23244" hidden="1" x14ac:dyDescent="0.15"/>
    <row r="23245" hidden="1" x14ac:dyDescent="0.15"/>
    <row r="23246" hidden="1" x14ac:dyDescent="0.15"/>
    <row r="23247" hidden="1" x14ac:dyDescent="0.15"/>
    <row r="23248" hidden="1" x14ac:dyDescent="0.15"/>
    <row r="23249" hidden="1" x14ac:dyDescent="0.15"/>
    <row r="23250" hidden="1" x14ac:dyDescent="0.15"/>
    <row r="23251" hidden="1" x14ac:dyDescent="0.15"/>
    <row r="23252" hidden="1" x14ac:dyDescent="0.15"/>
    <row r="23253" hidden="1" x14ac:dyDescent="0.15"/>
    <row r="23254" hidden="1" x14ac:dyDescent="0.15"/>
    <row r="23255" hidden="1" x14ac:dyDescent="0.15"/>
    <row r="23256" hidden="1" x14ac:dyDescent="0.15"/>
    <row r="23257" hidden="1" x14ac:dyDescent="0.15"/>
    <row r="23258" hidden="1" x14ac:dyDescent="0.15"/>
    <row r="23259" hidden="1" x14ac:dyDescent="0.15"/>
    <row r="23260" hidden="1" x14ac:dyDescent="0.15"/>
    <row r="23261" hidden="1" x14ac:dyDescent="0.15"/>
    <row r="23262" hidden="1" x14ac:dyDescent="0.15"/>
    <row r="23263" hidden="1" x14ac:dyDescent="0.15"/>
    <row r="23264" hidden="1" x14ac:dyDescent="0.15"/>
    <row r="23265" hidden="1" x14ac:dyDescent="0.15"/>
    <row r="23266" hidden="1" x14ac:dyDescent="0.15"/>
    <row r="23267" hidden="1" x14ac:dyDescent="0.15"/>
    <row r="23268" hidden="1" x14ac:dyDescent="0.15"/>
    <row r="23269" hidden="1" x14ac:dyDescent="0.15"/>
    <row r="23270" hidden="1" x14ac:dyDescent="0.15"/>
    <row r="23271" hidden="1" x14ac:dyDescent="0.15"/>
    <row r="23272" hidden="1" x14ac:dyDescent="0.15"/>
    <row r="23273" hidden="1" x14ac:dyDescent="0.15"/>
    <row r="23274" hidden="1" x14ac:dyDescent="0.15"/>
    <row r="23275" hidden="1" x14ac:dyDescent="0.15"/>
    <row r="23276" hidden="1" x14ac:dyDescent="0.15"/>
    <row r="23277" hidden="1" x14ac:dyDescent="0.15"/>
    <row r="23278" hidden="1" x14ac:dyDescent="0.15"/>
    <row r="23279" hidden="1" x14ac:dyDescent="0.15"/>
    <row r="23280" hidden="1" x14ac:dyDescent="0.15"/>
    <row r="23281" hidden="1" x14ac:dyDescent="0.15"/>
    <row r="23282" hidden="1" x14ac:dyDescent="0.15"/>
    <row r="23283" hidden="1" x14ac:dyDescent="0.15"/>
    <row r="23284" hidden="1" x14ac:dyDescent="0.15"/>
    <row r="23285" hidden="1" x14ac:dyDescent="0.15"/>
    <row r="23286" hidden="1" x14ac:dyDescent="0.15"/>
    <row r="23287" hidden="1" x14ac:dyDescent="0.15"/>
    <row r="23288" hidden="1" x14ac:dyDescent="0.15"/>
    <row r="23289" hidden="1" x14ac:dyDescent="0.15"/>
    <row r="23290" hidden="1" x14ac:dyDescent="0.15"/>
    <row r="23291" hidden="1" x14ac:dyDescent="0.15"/>
    <row r="23292" hidden="1" x14ac:dyDescent="0.15"/>
    <row r="23293" hidden="1" x14ac:dyDescent="0.15"/>
    <row r="23294" hidden="1" x14ac:dyDescent="0.15"/>
    <row r="23295" hidden="1" x14ac:dyDescent="0.15"/>
    <row r="23296" hidden="1" x14ac:dyDescent="0.15"/>
    <row r="23297" hidden="1" x14ac:dyDescent="0.15"/>
    <row r="23298" hidden="1" x14ac:dyDescent="0.15"/>
    <row r="23299" hidden="1" x14ac:dyDescent="0.15"/>
    <row r="23300" hidden="1" x14ac:dyDescent="0.15"/>
    <row r="23301" hidden="1" x14ac:dyDescent="0.15"/>
    <row r="23302" hidden="1" x14ac:dyDescent="0.15"/>
    <row r="23303" hidden="1" x14ac:dyDescent="0.15"/>
    <row r="23304" hidden="1" x14ac:dyDescent="0.15"/>
    <row r="23305" hidden="1" x14ac:dyDescent="0.15"/>
    <row r="23306" hidden="1" x14ac:dyDescent="0.15"/>
    <row r="23307" hidden="1" x14ac:dyDescent="0.15"/>
    <row r="23308" hidden="1" x14ac:dyDescent="0.15"/>
    <row r="23309" hidden="1" x14ac:dyDescent="0.15"/>
    <row r="23310" hidden="1" x14ac:dyDescent="0.15"/>
    <row r="23311" hidden="1" x14ac:dyDescent="0.15"/>
    <row r="23312" hidden="1" x14ac:dyDescent="0.15"/>
    <row r="23313" hidden="1" x14ac:dyDescent="0.15"/>
    <row r="23314" hidden="1" x14ac:dyDescent="0.15"/>
    <row r="23315" hidden="1" x14ac:dyDescent="0.15"/>
    <row r="23316" hidden="1" x14ac:dyDescent="0.15"/>
    <row r="23317" hidden="1" x14ac:dyDescent="0.15"/>
    <row r="23318" hidden="1" x14ac:dyDescent="0.15"/>
    <row r="23319" hidden="1" x14ac:dyDescent="0.15"/>
    <row r="23320" hidden="1" x14ac:dyDescent="0.15"/>
    <row r="23321" hidden="1" x14ac:dyDescent="0.15"/>
    <row r="23322" hidden="1" x14ac:dyDescent="0.15"/>
    <row r="23323" hidden="1" x14ac:dyDescent="0.15"/>
    <row r="23324" hidden="1" x14ac:dyDescent="0.15"/>
    <row r="23325" hidden="1" x14ac:dyDescent="0.15"/>
    <row r="23326" hidden="1" x14ac:dyDescent="0.15"/>
    <row r="23327" hidden="1" x14ac:dyDescent="0.15"/>
    <row r="23328" hidden="1" x14ac:dyDescent="0.15"/>
    <row r="23329" hidden="1" x14ac:dyDescent="0.15"/>
    <row r="23330" hidden="1" x14ac:dyDescent="0.15"/>
    <row r="23331" hidden="1" x14ac:dyDescent="0.15"/>
    <row r="23332" hidden="1" x14ac:dyDescent="0.15"/>
    <row r="23333" hidden="1" x14ac:dyDescent="0.15"/>
    <row r="23334" hidden="1" x14ac:dyDescent="0.15"/>
    <row r="23335" hidden="1" x14ac:dyDescent="0.15"/>
    <row r="23336" hidden="1" x14ac:dyDescent="0.15"/>
    <row r="23337" hidden="1" x14ac:dyDescent="0.15"/>
    <row r="23338" hidden="1" x14ac:dyDescent="0.15"/>
    <row r="23339" hidden="1" x14ac:dyDescent="0.15"/>
    <row r="23340" hidden="1" x14ac:dyDescent="0.15"/>
    <row r="23341" hidden="1" x14ac:dyDescent="0.15"/>
    <row r="23342" hidden="1" x14ac:dyDescent="0.15"/>
    <row r="23343" hidden="1" x14ac:dyDescent="0.15"/>
    <row r="23344" hidden="1" x14ac:dyDescent="0.15"/>
    <row r="23345" hidden="1" x14ac:dyDescent="0.15"/>
    <row r="23346" hidden="1" x14ac:dyDescent="0.15"/>
    <row r="23347" hidden="1" x14ac:dyDescent="0.15"/>
    <row r="23348" hidden="1" x14ac:dyDescent="0.15"/>
    <row r="23349" hidden="1" x14ac:dyDescent="0.15"/>
    <row r="23350" hidden="1" x14ac:dyDescent="0.15"/>
    <row r="23351" hidden="1" x14ac:dyDescent="0.15"/>
    <row r="23352" hidden="1" x14ac:dyDescent="0.15"/>
    <row r="23353" hidden="1" x14ac:dyDescent="0.15"/>
    <row r="23354" hidden="1" x14ac:dyDescent="0.15"/>
    <row r="23355" hidden="1" x14ac:dyDescent="0.15"/>
    <row r="23356" hidden="1" x14ac:dyDescent="0.15"/>
    <row r="23357" hidden="1" x14ac:dyDescent="0.15"/>
    <row r="23358" hidden="1" x14ac:dyDescent="0.15"/>
    <row r="23359" hidden="1" x14ac:dyDescent="0.15"/>
    <row r="23360" hidden="1" x14ac:dyDescent="0.15"/>
    <row r="23361" hidden="1" x14ac:dyDescent="0.15"/>
    <row r="23362" hidden="1" x14ac:dyDescent="0.15"/>
    <row r="23363" hidden="1" x14ac:dyDescent="0.15"/>
    <row r="23364" hidden="1" x14ac:dyDescent="0.15"/>
    <row r="23365" hidden="1" x14ac:dyDescent="0.15"/>
    <row r="23366" hidden="1" x14ac:dyDescent="0.15"/>
    <row r="23367" hidden="1" x14ac:dyDescent="0.15"/>
    <row r="23368" hidden="1" x14ac:dyDescent="0.15"/>
    <row r="23369" hidden="1" x14ac:dyDescent="0.15"/>
    <row r="23370" hidden="1" x14ac:dyDescent="0.15"/>
    <row r="23371" hidden="1" x14ac:dyDescent="0.15"/>
    <row r="23372" hidden="1" x14ac:dyDescent="0.15"/>
    <row r="23373" hidden="1" x14ac:dyDescent="0.15"/>
    <row r="23374" hidden="1" x14ac:dyDescent="0.15"/>
    <row r="23375" hidden="1" x14ac:dyDescent="0.15"/>
    <row r="23376" hidden="1" x14ac:dyDescent="0.15"/>
    <row r="23377" hidden="1" x14ac:dyDescent="0.15"/>
    <row r="23378" hidden="1" x14ac:dyDescent="0.15"/>
    <row r="23379" hidden="1" x14ac:dyDescent="0.15"/>
    <row r="23380" hidden="1" x14ac:dyDescent="0.15"/>
    <row r="23381" hidden="1" x14ac:dyDescent="0.15"/>
    <row r="23382" hidden="1" x14ac:dyDescent="0.15"/>
    <row r="23383" hidden="1" x14ac:dyDescent="0.15"/>
    <row r="23384" hidden="1" x14ac:dyDescent="0.15"/>
    <row r="23385" hidden="1" x14ac:dyDescent="0.15"/>
    <row r="23386" hidden="1" x14ac:dyDescent="0.15"/>
    <row r="23387" hidden="1" x14ac:dyDescent="0.15"/>
    <row r="23388" hidden="1" x14ac:dyDescent="0.15"/>
    <row r="23389" hidden="1" x14ac:dyDescent="0.15"/>
    <row r="23390" hidden="1" x14ac:dyDescent="0.15"/>
    <row r="23391" hidden="1" x14ac:dyDescent="0.15"/>
    <row r="23392" hidden="1" x14ac:dyDescent="0.15"/>
    <row r="23393" hidden="1" x14ac:dyDescent="0.15"/>
    <row r="23394" hidden="1" x14ac:dyDescent="0.15"/>
    <row r="23395" hidden="1" x14ac:dyDescent="0.15"/>
    <row r="23396" hidden="1" x14ac:dyDescent="0.15"/>
    <row r="23397" hidden="1" x14ac:dyDescent="0.15"/>
    <row r="23398" hidden="1" x14ac:dyDescent="0.15"/>
    <row r="23399" hidden="1" x14ac:dyDescent="0.15"/>
    <row r="23400" hidden="1" x14ac:dyDescent="0.15"/>
    <row r="23401" hidden="1" x14ac:dyDescent="0.15"/>
    <row r="23402" hidden="1" x14ac:dyDescent="0.15"/>
    <row r="23403" hidden="1" x14ac:dyDescent="0.15"/>
    <row r="23404" hidden="1" x14ac:dyDescent="0.15"/>
    <row r="23405" hidden="1" x14ac:dyDescent="0.15"/>
    <row r="23406" hidden="1" x14ac:dyDescent="0.15"/>
    <row r="23407" hidden="1" x14ac:dyDescent="0.15"/>
    <row r="23408" hidden="1" x14ac:dyDescent="0.15"/>
    <row r="23409" hidden="1" x14ac:dyDescent="0.15"/>
    <row r="23410" hidden="1" x14ac:dyDescent="0.15"/>
    <row r="23411" hidden="1" x14ac:dyDescent="0.15"/>
    <row r="23412" hidden="1" x14ac:dyDescent="0.15"/>
    <row r="23413" hidden="1" x14ac:dyDescent="0.15"/>
    <row r="23414" hidden="1" x14ac:dyDescent="0.15"/>
    <row r="23415" hidden="1" x14ac:dyDescent="0.15"/>
    <row r="23416" hidden="1" x14ac:dyDescent="0.15"/>
    <row r="23417" hidden="1" x14ac:dyDescent="0.15"/>
    <row r="23418" hidden="1" x14ac:dyDescent="0.15"/>
    <row r="23419" hidden="1" x14ac:dyDescent="0.15"/>
    <row r="23420" hidden="1" x14ac:dyDescent="0.15"/>
    <row r="23421" hidden="1" x14ac:dyDescent="0.15"/>
    <row r="23422" hidden="1" x14ac:dyDescent="0.15"/>
    <row r="23423" hidden="1" x14ac:dyDescent="0.15"/>
    <row r="23424" hidden="1" x14ac:dyDescent="0.15"/>
    <row r="23425" hidden="1" x14ac:dyDescent="0.15"/>
    <row r="23426" hidden="1" x14ac:dyDescent="0.15"/>
    <row r="23427" hidden="1" x14ac:dyDescent="0.15"/>
    <row r="23428" hidden="1" x14ac:dyDescent="0.15"/>
    <row r="23429" hidden="1" x14ac:dyDescent="0.15"/>
    <row r="23430" hidden="1" x14ac:dyDescent="0.15"/>
    <row r="23431" hidden="1" x14ac:dyDescent="0.15"/>
    <row r="23432" hidden="1" x14ac:dyDescent="0.15"/>
    <row r="23433" hidden="1" x14ac:dyDescent="0.15"/>
    <row r="23434" hidden="1" x14ac:dyDescent="0.15"/>
    <row r="23435" hidden="1" x14ac:dyDescent="0.15"/>
    <row r="23436" hidden="1" x14ac:dyDescent="0.15"/>
    <row r="23437" hidden="1" x14ac:dyDescent="0.15"/>
    <row r="23438" hidden="1" x14ac:dyDescent="0.15"/>
    <row r="23439" hidden="1" x14ac:dyDescent="0.15"/>
    <row r="23440" hidden="1" x14ac:dyDescent="0.15"/>
    <row r="23441" hidden="1" x14ac:dyDescent="0.15"/>
    <row r="23442" hidden="1" x14ac:dyDescent="0.15"/>
    <row r="23443" hidden="1" x14ac:dyDescent="0.15"/>
    <row r="23444" hidden="1" x14ac:dyDescent="0.15"/>
    <row r="23445" hidden="1" x14ac:dyDescent="0.15"/>
    <row r="23446" hidden="1" x14ac:dyDescent="0.15"/>
    <row r="23447" hidden="1" x14ac:dyDescent="0.15"/>
    <row r="23448" hidden="1" x14ac:dyDescent="0.15"/>
    <row r="23449" hidden="1" x14ac:dyDescent="0.15"/>
    <row r="23450" hidden="1" x14ac:dyDescent="0.15"/>
    <row r="23451" hidden="1" x14ac:dyDescent="0.15"/>
    <row r="23452" hidden="1" x14ac:dyDescent="0.15"/>
    <row r="23453" hidden="1" x14ac:dyDescent="0.15"/>
    <row r="23454" hidden="1" x14ac:dyDescent="0.15"/>
    <row r="23455" hidden="1" x14ac:dyDescent="0.15"/>
    <row r="23456" hidden="1" x14ac:dyDescent="0.15"/>
    <row r="23457" hidden="1" x14ac:dyDescent="0.15"/>
    <row r="23458" hidden="1" x14ac:dyDescent="0.15"/>
    <row r="23459" hidden="1" x14ac:dyDescent="0.15"/>
    <row r="23460" hidden="1" x14ac:dyDescent="0.15"/>
    <row r="23461" hidden="1" x14ac:dyDescent="0.15"/>
    <row r="23462" hidden="1" x14ac:dyDescent="0.15"/>
    <row r="23463" hidden="1" x14ac:dyDescent="0.15"/>
    <row r="23464" hidden="1" x14ac:dyDescent="0.15"/>
    <row r="23465" hidden="1" x14ac:dyDescent="0.15"/>
    <row r="23466" hidden="1" x14ac:dyDescent="0.15"/>
    <row r="23467" hidden="1" x14ac:dyDescent="0.15"/>
    <row r="23468" hidden="1" x14ac:dyDescent="0.15"/>
    <row r="23469" hidden="1" x14ac:dyDescent="0.15"/>
    <row r="23470" hidden="1" x14ac:dyDescent="0.15"/>
    <row r="23471" hidden="1" x14ac:dyDescent="0.15"/>
    <row r="23472" hidden="1" x14ac:dyDescent="0.15"/>
    <row r="23473" hidden="1" x14ac:dyDescent="0.15"/>
    <row r="23474" hidden="1" x14ac:dyDescent="0.15"/>
    <row r="23475" hidden="1" x14ac:dyDescent="0.15"/>
    <row r="23476" hidden="1" x14ac:dyDescent="0.15"/>
    <row r="23477" hidden="1" x14ac:dyDescent="0.15"/>
    <row r="23478" hidden="1" x14ac:dyDescent="0.15"/>
    <row r="23479" hidden="1" x14ac:dyDescent="0.15"/>
    <row r="23480" hidden="1" x14ac:dyDescent="0.15"/>
    <row r="23481" hidden="1" x14ac:dyDescent="0.15"/>
    <row r="23482" hidden="1" x14ac:dyDescent="0.15"/>
    <row r="23483" hidden="1" x14ac:dyDescent="0.15"/>
    <row r="23484" hidden="1" x14ac:dyDescent="0.15"/>
    <row r="23485" hidden="1" x14ac:dyDescent="0.15"/>
    <row r="23486" hidden="1" x14ac:dyDescent="0.15"/>
    <row r="23487" hidden="1" x14ac:dyDescent="0.15"/>
    <row r="23488" hidden="1" x14ac:dyDescent="0.15"/>
    <row r="23489" hidden="1" x14ac:dyDescent="0.15"/>
    <row r="23490" hidden="1" x14ac:dyDescent="0.15"/>
    <row r="23491" hidden="1" x14ac:dyDescent="0.15"/>
    <row r="23492" hidden="1" x14ac:dyDescent="0.15"/>
    <row r="23493" hidden="1" x14ac:dyDescent="0.15"/>
    <row r="23494" hidden="1" x14ac:dyDescent="0.15"/>
    <row r="23495" hidden="1" x14ac:dyDescent="0.15"/>
    <row r="23496" hidden="1" x14ac:dyDescent="0.15"/>
    <row r="23497" hidden="1" x14ac:dyDescent="0.15"/>
    <row r="23498" hidden="1" x14ac:dyDescent="0.15"/>
    <row r="23499" hidden="1" x14ac:dyDescent="0.15"/>
    <row r="23500" hidden="1" x14ac:dyDescent="0.15"/>
    <row r="23501" hidden="1" x14ac:dyDescent="0.15"/>
    <row r="23502" hidden="1" x14ac:dyDescent="0.15"/>
    <row r="23503" hidden="1" x14ac:dyDescent="0.15"/>
    <row r="23504" hidden="1" x14ac:dyDescent="0.15"/>
    <row r="23505" hidden="1" x14ac:dyDescent="0.15"/>
    <row r="23506" hidden="1" x14ac:dyDescent="0.15"/>
    <row r="23507" hidden="1" x14ac:dyDescent="0.15"/>
    <row r="23508" hidden="1" x14ac:dyDescent="0.15"/>
    <row r="23509" hidden="1" x14ac:dyDescent="0.15"/>
    <row r="23510" hidden="1" x14ac:dyDescent="0.15"/>
    <row r="23511" hidden="1" x14ac:dyDescent="0.15"/>
    <row r="23512" hidden="1" x14ac:dyDescent="0.15"/>
    <row r="23513" hidden="1" x14ac:dyDescent="0.15"/>
    <row r="23514" hidden="1" x14ac:dyDescent="0.15"/>
    <row r="23515" hidden="1" x14ac:dyDescent="0.15"/>
    <row r="23516" hidden="1" x14ac:dyDescent="0.15"/>
    <row r="23517" hidden="1" x14ac:dyDescent="0.15"/>
    <row r="23518" hidden="1" x14ac:dyDescent="0.15"/>
    <row r="23519" hidden="1" x14ac:dyDescent="0.15"/>
    <row r="23520" hidden="1" x14ac:dyDescent="0.15"/>
    <row r="23521" hidden="1" x14ac:dyDescent="0.15"/>
    <row r="23522" hidden="1" x14ac:dyDescent="0.15"/>
    <row r="23523" hidden="1" x14ac:dyDescent="0.15"/>
    <row r="23524" hidden="1" x14ac:dyDescent="0.15"/>
    <row r="23525" hidden="1" x14ac:dyDescent="0.15"/>
    <row r="23526" hidden="1" x14ac:dyDescent="0.15"/>
    <row r="23527" hidden="1" x14ac:dyDescent="0.15"/>
    <row r="23528" hidden="1" x14ac:dyDescent="0.15"/>
    <row r="23529" hidden="1" x14ac:dyDescent="0.15"/>
    <row r="23530" hidden="1" x14ac:dyDescent="0.15"/>
    <row r="23531" hidden="1" x14ac:dyDescent="0.15"/>
    <row r="23532" hidden="1" x14ac:dyDescent="0.15"/>
    <row r="23533" hidden="1" x14ac:dyDescent="0.15"/>
    <row r="23534" hidden="1" x14ac:dyDescent="0.15"/>
    <row r="23535" hidden="1" x14ac:dyDescent="0.15"/>
    <row r="23536" hidden="1" x14ac:dyDescent="0.15"/>
    <row r="23537" hidden="1" x14ac:dyDescent="0.15"/>
    <row r="23538" hidden="1" x14ac:dyDescent="0.15"/>
    <row r="23539" hidden="1" x14ac:dyDescent="0.15"/>
    <row r="23540" hidden="1" x14ac:dyDescent="0.15"/>
    <row r="23541" hidden="1" x14ac:dyDescent="0.15"/>
    <row r="23542" hidden="1" x14ac:dyDescent="0.15"/>
    <row r="23543" hidden="1" x14ac:dyDescent="0.15"/>
    <row r="23544" hidden="1" x14ac:dyDescent="0.15"/>
    <row r="23545" hidden="1" x14ac:dyDescent="0.15"/>
    <row r="23546" hidden="1" x14ac:dyDescent="0.15"/>
    <row r="23547" hidden="1" x14ac:dyDescent="0.15"/>
    <row r="23548" hidden="1" x14ac:dyDescent="0.15"/>
    <row r="23549" hidden="1" x14ac:dyDescent="0.15"/>
    <row r="23550" hidden="1" x14ac:dyDescent="0.15"/>
    <row r="23551" hidden="1" x14ac:dyDescent="0.15"/>
    <row r="23552" hidden="1" x14ac:dyDescent="0.15"/>
    <row r="23553" hidden="1" x14ac:dyDescent="0.15"/>
    <row r="23554" hidden="1" x14ac:dyDescent="0.15"/>
    <row r="23555" hidden="1" x14ac:dyDescent="0.15"/>
    <row r="23556" hidden="1" x14ac:dyDescent="0.15"/>
    <row r="23557" hidden="1" x14ac:dyDescent="0.15"/>
    <row r="23558" hidden="1" x14ac:dyDescent="0.15"/>
    <row r="23559" hidden="1" x14ac:dyDescent="0.15"/>
    <row r="23560" hidden="1" x14ac:dyDescent="0.15"/>
    <row r="23561" hidden="1" x14ac:dyDescent="0.15"/>
    <row r="23562" hidden="1" x14ac:dyDescent="0.15"/>
    <row r="23563" hidden="1" x14ac:dyDescent="0.15"/>
    <row r="23564" hidden="1" x14ac:dyDescent="0.15"/>
    <row r="23565" hidden="1" x14ac:dyDescent="0.15"/>
    <row r="23566" hidden="1" x14ac:dyDescent="0.15"/>
    <row r="23567" hidden="1" x14ac:dyDescent="0.15"/>
    <row r="23568" hidden="1" x14ac:dyDescent="0.15"/>
    <row r="23569" hidden="1" x14ac:dyDescent="0.15"/>
    <row r="23570" hidden="1" x14ac:dyDescent="0.15"/>
    <row r="23571" hidden="1" x14ac:dyDescent="0.15"/>
    <row r="23572" hidden="1" x14ac:dyDescent="0.15"/>
    <row r="23573" hidden="1" x14ac:dyDescent="0.15"/>
    <row r="23574" hidden="1" x14ac:dyDescent="0.15"/>
    <row r="23575" hidden="1" x14ac:dyDescent="0.15"/>
    <row r="23576" hidden="1" x14ac:dyDescent="0.15"/>
    <row r="23577" hidden="1" x14ac:dyDescent="0.15"/>
    <row r="23578" hidden="1" x14ac:dyDescent="0.15"/>
    <row r="23579" hidden="1" x14ac:dyDescent="0.15"/>
    <row r="23580" hidden="1" x14ac:dyDescent="0.15"/>
    <row r="23581" hidden="1" x14ac:dyDescent="0.15"/>
    <row r="23582" hidden="1" x14ac:dyDescent="0.15"/>
    <row r="23583" hidden="1" x14ac:dyDescent="0.15"/>
    <row r="23584" hidden="1" x14ac:dyDescent="0.15"/>
    <row r="23585" hidden="1" x14ac:dyDescent="0.15"/>
    <row r="23586" hidden="1" x14ac:dyDescent="0.15"/>
    <row r="23587" hidden="1" x14ac:dyDescent="0.15"/>
    <row r="23588" hidden="1" x14ac:dyDescent="0.15"/>
    <row r="23589" hidden="1" x14ac:dyDescent="0.15"/>
    <row r="23590" hidden="1" x14ac:dyDescent="0.15"/>
    <row r="23591" hidden="1" x14ac:dyDescent="0.15"/>
    <row r="23592" hidden="1" x14ac:dyDescent="0.15"/>
    <row r="23593" hidden="1" x14ac:dyDescent="0.15"/>
    <row r="23594" hidden="1" x14ac:dyDescent="0.15"/>
    <row r="23595" hidden="1" x14ac:dyDescent="0.15"/>
    <row r="23596" hidden="1" x14ac:dyDescent="0.15"/>
    <row r="23597" hidden="1" x14ac:dyDescent="0.15"/>
    <row r="23598" hidden="1" x14ac:dyDescent="0.15"/>
    <row r="23599" hidden="1" x14ac:dyDescent="0.15"/>
    <row r="23600" hidden="1" x14ac:dyDescent="0.15"/>
    <row r="23601" hidden="1" x14ac:dyDescent="0.15"/>
    <row r="23602" hidden="1" x14ac:dyDescent="0.15"/>
    <row r="23603" hidden="1" x14ac:dyDescent="0.15"/>
    <row r="23604" hidden="1" x14ac:dyDescent="0.15"/>
    <row r="23605" hidden="1" x14ac:dyDescent="0.15"/>
    <row r="23606" hidden="1" x14ac:dyDescent="0.15"/>
    <row r="23607" hidden="1" x14ac:dyDescent="0.15"/>
    <row r="23608" hidden="1" x14ac:dyDescent="0.15"/>
    <row r="23609" hidden="1" x14ac:dyDescent="0.15"/>
    <row r="23610" hidden="1" x14ac:dyDescent="0.15"/>
    <row r="23611" hidden="1" x14ac:dyDescent="0.15"/>
    <row r="23612" hidden="1" x14ac:dyDescent="0.15"/>
    <row r="23613" hidden="1" x14ac:dyDescent="0.15"/>
    <row r="23614" hidden="1" x14ac:dyDescent="0.15"/>
    <row r="23615" hidden="1" x14ac:dyDescent="0.15"/>
    <row r="23616" hidden="1" x14ac:dyDescent="0.15"/>
    <row r="23617" hidden="1" x14ac:dyDescent="0.15"/>
    <row r="23618" hidden="1" x14ac:dyDescent="0.15"/>
    <row r="23619" hidden="1" x14ac:dyDescent="0.15"/>
    <row r="23620" hidden="1" x14ac:dyDescent="0.15"/>
    <row r="23621" hidden="1" x14ac:dyDescent="0.15"/>
    <row r="23622" hidden="1" x14ac:dyDescent="0.15"/>
    <row r="23623" hidden="1" x14ac:dyDescent="0.15"/>
    <row r="23624" hidden="1" x14ac:dyDescent="0.15"/>
    <row r="23625" hidden="1" x14ac:dyDescent="0.15"/>
    <row r="23626" hidden="1" x14ac:dyDescent="0.15"/>
    <row r="23627" hidden="1" x14ac:dyDescent="0.15"/>
    <row r="23628" hidden="1" x14ac:dyDescent="0.15"/>
    <row r="23629" hidden="1" x14ac:dyDescent="0.15"/>
    <row r="23630" hidden="1" x14ac:dyDescent="0.15"/>
    <row r="23631" hidden="1" x14ac:dyDescent="0.15"/>
    <row r="23632" hidden="1" x14ac:dyDescent="0.15"/>
    <row r="23633" hidden="1" x14ac:dyDescent="0.15"/>
    <row r="23634" hidden="1" x14ac:dyDescent="0.15"/>
    <row r="23635" hidden="1" x14ac:dyDescent="0.15"/>
    <row r="23636" hidden="1" x14ac:dyDescent="0.15"/>
    <row r="23637" hidden="1" x14ac:dyDescent="0.15"/>
    <row r="23638" hidden="1" x14ac:dyDescent="0.15"/>
    <row r="23639" hidden="1" x14ac:dyDescent="0.15"/>
    <row r="23640" hidden="1" x14ac:dyDescent="0.15"/>
    <row r="23641" hidden="1" x14ac:dyDescent="0.15"/>
    <row r="23642" hidden="1" x14ac:dyDescent="0.15"/>
    <row r="23643" hidden="1" x14ac:dyDescent="0.15"/>
    <row r="23644" hidden="1" x14ac:dyDescent="0.15"/>
    <row r="23645" hidden="1" x14ac:dyDescent="0.15"/>
    <row r="23646" hidden="1" x14ac:dyDescent="0.15"/>
    <row r="23647" hidden="1" x14ac:dyDescent="0.15"/>
    <row r="23648" hidden="1" x14ac:dyDescent="0.15"/>
    <row r="23649" hidden="1" x14ac:dyDescent="0.15"/>
    <row r="23650" hidden="1" x14ac:dyDescent="0.15"/>
    <row r="23651" hidden="1" x14ac:dyDescent="0.15"/>
    <row r="23652" hidden="1" x14ac:dyDescent="0.15"/>
    <row r="23653" hidden="1" x14ac:dyDescent="0.15"/>
    <row r="23654" hidden="1" x14ac:dyDescent="0.15"/>
    <row r="23655" hidden="1" x14ac:dyDescent="0.15"/>
    <row r="23656" hidden="1" x14ac:dyDescent="0.15"/>
    <row r="23657" hidden="1" x14ac:dyDescent="0.15"/>
    <row r="23658" hidden="1" x14ac:dyDescent="0.15"/>
    <row r="23659" hidden="1" x14ac:dyDescent="0.15"/>
    <row r="23660" hidden="1" x14ac:dyDescent="0.15"/>
    <row r="23661" hidden="1" x14ac:dyDescent="0.15"/>
    <row r="23662" hidden="1" x14ac:dyDescent="0.15"/>
    <row r="23663" hidden="1" x14ac:dyDescent="0.15"/>
    <row r="23664" hidden="1" x14ac:dyDescent="0.15"/>
    <row r="23665" hidden="1" x14ac:dyDescent="0.15"/>
    <row r="23666" hidden="1" x14ac:dyDescent="0.15"/>
    <row r="23667" hidden="1" x14ac:dyDescent="0.15"/>
    <row r="23668" hidden="1" x14ac:dyDescent="0.15"/>
    <row r="23669" hidden="1" x14ac:dyDescent="0.15"/>
    <row r="23670" hidden="1" x14ac:dyDescent="0.15"/>
    <row r="23671" hidden="1" x14ac:dyDescent="0.15"/>
    <row r="23672" hidden="1" x14ac:dyDescent="0.15"/>
    <row r="23673" hidden="1" x14ac:dyDescent="0.15"/>
    <row r="23674" hidden="1" x14ac:dyDescent="0.15"/>
    <row r="23675" hidden="1" x14ac:dyDescent="0.15"/>
    <row r="23676" hidden="1" x14ac:dyDescent="0.15"/>
    <row r="23677" hidden="1" x14ac:dyDescent="0.15"/>
    <row r="23678" hidden="1" x14ac:dyDescent="0.15"/>
    <row r="23679" hidden="1" x14ac:dyDescent="0.15"/>
    <row r="23680" hidden="1" x14ac:dyDescent="0.15"/>
    <row r="23681" hidden="1" x14ac:dyDescent="0.15"/>
    <row r="23682" hidden="1" x14ac:dyDescent="0.15"/>
    <row r="23683" hidden="1" x14ac:dyDescent="0.15"/>
    <row r="23684" hidden="1" x14ac:dyDescent="0.15"/>
    <row r="23685" hidden="1" x14ac:dyDescent="0.15"/>
    <row r="23686" hidden="1" x14ac:dyDescent="0.15"/>
    <row r="23687" hidden="1" x14ac:dyDescent="0.15"/>
    <row r="23688" hidden="1" x14ac:dyDescent="0.15"/>
    <row r="23689" hidden="1" x14ac:dyDescent="0.15"/>
    <row r="23690" hidden="1" x14ac:dyDescent="0.15"/>
    <row r="23691" hidden="1" x14ac:dyDescent="0.15"/>
    <row r="23692" hidden="1" x14ac:dyDescent="0.15"/>
    <row r="23693" hidden="1" x14ac:dyDescent="0.15"/>
    <row r="23694" hidden="1" x14ac:dyDescent="0.15"/>
    <row r="23695" hidden="1" x14ac:dyDescent="0.15"/>
    <row r="23696" hidden="1" x14ac:dyDescent="0.15"/>
    <row r="23697" hidden="1" x14ac:dyDescent="0.15"/>
    <row r="23698" hidden="1" x14ac:dyDescent="0.15"/>
    <row r="23699" hidden="1" x14ac:dyDescent="0.15"/>
    <row r="23700" hidden="1" x14ac:dyDescent="0.15"/>
    <row r="23701" hidden="1" x14ac:dyDescent="0.15"/>
    <row r="23702" hidden="1" x14ac:dyDescent="0.15"/>
    <row r="23703" hidden="1" x14ac:dyDescent="0.15"/>
    <row r="23704" hidden="1" x14ac:dyDescent="0.15"/>
    <row r="23705" hidden="1" x14ac:dyDescent="0.15"/>
    <row r="23706" hidden="1" x14ac:dyDescent="0.15"/>
    <row r="23707" hidden="1" x14ac:dyDescent="0.15"/>
    <row r="23708" hidden="1" x14ac:dyDescent="0.15"/>
    <row r="23709" hidden="1" x14ac:dyDescent="0.15"/>
    <row r="23710" hidden="1" x14ac:dyDescent="0.15"/>
    <row r="23711" hidden="1" x14ac:dyDescent="0.15"/>
    <row r="23712" hidden="1" x14ac:dyDescent="0.15"/>
    <row r="23713" hidden="1" x14ac:dyDescent="0.15"/>
    <row r="23714" hidden="1" x14ac:dyDescent="0.15"/>
    <row r="23715" hidden="1" x14ac:dyDescent="0.15"/>
    <row r="23716" hidden="1" x14ac:dyDescent="0.15"/>
    <row r="23717" hidden="1" x14ac:dyDescent="0.15"/>
    <row r="23718" hidden="1" x14ac:dyDescent="0.15"/>
    <row r="23719" hidden="1" x14ac:dyDescent="0.15"/>
    <row r="23720" hidden="1" x14ac:dyDescent="0.15"/>
    <row r="23721" hidden="1" x14ac:dyDescent="0.15"/>
    <row r="23722" hidden="1" x14ac:dyDescent="0.15"/>
    <row r="23723" hidden="1" x14ac:dyDescent="0.15"/>
    <row r="23724" hidden="1" x14ac:dyDescent="0.15"/>
    <row r="23725" hidden="1" x14ac:dyDescent="0.15"/>
    <row r="23726" hidden="1" x14ac:dyDescent="0.15"/>
    <row r="23727" hidden="1" x14ac:dyDescent="0.15"/>
    <row r="23728" hidden="1" x14ac:dyDescent="0.15"/>
    <row r="23729" hidden="1" x14ac:dyDescent="0.15"/>
    <row r="23730" hidden="1" x14ac:dyDescent="0.15"/>
    <row r="23731" hidden="1" x14ac:dyDescent="0.15"/>
    <row r="23732" hidden="1" x14ac:dyDescent="0.15"/>
    <row r="23733" hidden="1" x14ac:dyDescent="0.15"/>
    <row r="23734" hidden="1" x14ac:dyDescent="0.15"/>
    <row r="23735" hidden="1" x14ac:dyDescent="0.15"/>
    <row r="23736" hidden="1" x14ac:dyDescent="0.15"/>
    <row r="23737" hidden="1" x14ac:dyDescent="0.15"/>
    <row r="23738" hidden="1" x14ac:dyDescent="0.15"/>
    <row r="23739" hidden="1" x14ac:dyDescent="0.15"/>
    <row r="23740" hidden="1" x14ac:dyDescent="0.15"/>
    <row r="23741" hidden="1" x14ac:dyDescent="0.15"/>
    <row r="23742" hidden="1" x14ac:dyDescent="0.15"/>
    <row r="23743" hidden="1" x14ac:dyDescent="0.15"/>
    <row r="23744" hidden="1" x14ac:dyDescent="0.15"/>
    <row r="23745" hidden="1" x14ac:dyDescent="0.15"/>
    <row r="23746" hidden="1" x14ac:dyDescent="0.15"/>
    <row r="23747" hidden="1" x14ac:dyDescent="0.15"/>
    <row r="23748" hidden="1" x14ac:dyDescent="0.15"/>
    <row r="23749" hidden="1" x14ac:dyDescent="0.15"/>
    <row r="23750" hidden="1" x14ac:dyDescent="0.15"/>
    <row r="23751" hidden="1" x14ac:dyDescent="0.15"/>
    <row r="23752" hidden="1" x14ac:dyDescent="0.15"/>
    <row r="23753" hidden="1" x14ac:dyDescent="0.15"/>
    <row r="23754" hidden="1" x14ac:dyDescent="0.15"/>
    <row r="23755" hidden="1" x14ac:dyDescent="0.15"/>
    <row r="23756" hidden="1" x14ac:dyDescent="0.15"/>
    <row r="23757" hidden="1" x14ac:dyDescent="0.15"/>
    <row r="23758" hidden="1" x14ac:dyDescent="0.15"/>
    <row r="23759" hidden="1" x14ac:dyDescent="0.15"/>
    <row r="23760" hidden="1" x14ac:dyDescent="0.15"/>
    <row r="23761" hidden="1" x14ac:dyDescent="0.15"/>
    <row r="23762" hidden="1" x14ac:dyDescent="0.15"/>
    <row r="23763" hidden="1" x14ac:dyDescent="0.15"/>
    <row r="23764" hidden="1" x14ac:dyDescent="0.15"/>
    <row r="23765" hidden="1" x14ac:dyDescent="0.15"/>
    <row r="23766" hidden="1" x14ac:dyDescent="0.15"/>
    <row r="23767" hidden="1" x14ac:dyDescent="0.15"/>
    <row r="23768" hidden="1" x14ac:dyDescent="0.15"/>
    <row r="23769" hidden="1" x14ac:dyDescent="0.15"/>
    <row r="23770" hidden="1" x14ac:dyDescent="0.15"/>
    <row r="23771" hidden="1" x14ac:dyDescent="0.15"/>
    <row r="23772" hidden="1" x14ac:dyDescent="0.15"/>
    <row r="23773" hidden="1" x14ac:dyDescent="0.15"/>
    <row r="23774" hidden="1" x14ac:dyDescent="0.15"/>
    <row r="23775" hidden="1" x14ac:dyDescent="0.15"/>
    <row r="23776" hidden="1" x14ac:dyDescent="0.15"/>
    <row r="23777" hidden="1" x14ac:dyDescent="0.15"/>
    <row r="23778" hidden="1" x14ac:dyDescent="0.15"/>
    <row r="23779" hidden="1" x14ac:dyDescent="0.15"/>
    <row r="23780" hidden="1" x14ac:dyDescent="0.15"/>
    <row r="23781" hidden="1" x14ac:dyDescent="0.15"/>
    <row r="23782" hidden="1" x14ac:dyDescent="0.15"/>
    <row r="23783" hidden="1" x14ac:dyDescent="0.15"/>
    <row r="23784" hidden="1" x14ac:dyDescent="0.15"/>
    <row r="23785" hidden="1" x14ac:dyDescent="0.15"/>
    <row r="23786" hidden="1" x14ac:dyDescent="0.15"/>
    <row r="23787" hidden="1" x14ac:dyDescent="0.15"/>
    <row r="23788" hidden="1" x14ac:dyDescent="0.15"/>
    <row r="23789" hidden="1" x14ac:dyDescent="0.15"/>
    <row r="23790" hidden="1" x14ac:dyDescent="0.15"/>
    <row r="23791" hidden="1" x14ac:dyDescent="0.15"/>
    <row r="23792" hidden="1" x14ac:dyDescent="0.15"/>
    <row r="23793" hidden="1" x14ac:dyDescent="0.15"/>
    <row r="23794" hidden="1" x14ac:dyDescent="0.15"/>
    <row r="23795" hidden="1" x14ac:dyDescent="0.15"/>
    <row r="23796" hidden="1" x14ac:dyDescent="0.15"/>
    <row r="23797" hidden="1" x14ac:dyDescent="0.15"/>
    <row r="23798" hidden="1" x14ac:dyDescent="0.15"/>
    <row r="23799" hidden="1" x14ac:dyDescent="0.15"/>
    <row r="23800" hidden="1" x14ac:dyDescent="0.15"/>
    <row r="23801" hidden="1" x14ac:dyDescent="0.15"/>
    <row r="23802" hidden="1" x14ac:dyDescent="0.15"/>
    <row r="23803" hidden="1" x14ac:dyDescent="0.15"/>
    <row r="23804" hidden="1" x14ac:dyDescent="0.15"/>
    <row r="23805" hidden="1" x14ac:dyDescent="0.15"/>
    <row r="23806" hidden="1" x14ac:dyDescent="0.15"/>
    <row r="23807" hidden="1" x14ac:dyDescent="0.15"/>
    <row r="23808" hidden="1" x14ac:dyDescent="0.15"/>
    <row r="23809" hidden="1" x14ac:dyDescent="0.15"/>
    <row r="23810" hidden="1" x14ac:dyDescent="0.15"/>
    <row r="23811" hidden="1" x14ac:dyDescent="0.15"/>
    <row r="23812" hidden="1" x14ac:dyDescent="0.15"/>
    <row r="23813" hidden="1" x14ac:dyDescent="0.15"/>
    <row r="23814" hidden="1" x14ac:dyDescent="0.15"/>
    <row r="23815" hidden="1" x14ac:dyDescent="0.15"/>
    <row r="23816" hidden="1" x14ac:dyDescent="0.15"/>
    <row r="23817" hidden="1" x14ac:dyDescent="0.15"/>
    <row r="23818" hidden="1" x14ac:dyDescent="0.15"/>
    <row r="23819" hidden="1" x14ac:dyDescent="0.15"/>
    <row r="23820" hidden="1" x14ac:dyDescent="0.15"/>
    <row r="23821" hidden="1" x14ac:dyDescent="0.15"/>
    <row r="23822" hidden="1" x14ac:dyDescent="0.15"/>
    <row r="23823" hidden="1" x14ac:dyDescent="0.15"/>
    <row r="23824" hidden="1" x14ac:dyDescent="0.15"/>
    <row r="23825" hidden="1" x14ac:dyDescent="0.15"/>
    <row r="23826" hidden="1" x14ac:dyDescent="0.15"/>
    <row r="23827" hidden="1" x14ac:dyDescent="0.15"/>
    <row r="23828" hidden="1" x14ac:dyDescent="0.15"/>
    <row r="23829" hidden="1" x14ac:dyDescent="0.15"/>
    <row r="23830" hidden="1" x14ac:dyDescent="0.15"/>
    <row r="23831" hidden="1" x14ac:dyDescent="0.15"/>
    <row r="23832" hidden="1" x14ac:dyDescent="0.15"/>
    <row r="23833" hidden="1" x14ac:dyDescent="0.15"/>
    <row r="23834" hidden="1" x14ac:dyDescent="0.15"/>
    <row r="23835" hidden="1" x14ac:dyDescent="0.15"/>
    <row r="23836" hidden="1" x14ac:dyDescent="0.15"/>
    <row r="23837" hidden="1" x14ac:dyDescent="0.15"/>
    <row r="23838" hidden="1" x14ac:dyDescent="0.15"/>
    <row r="23839" hidden="1" x14ac:dyDescent="0.15"/>
    <row r="23840" hidden="1" x14ac:dyDescent="0.15"/>
    <row r="23841" hidden="1" x14ac:dyDescent="0.15"/>
    <row r="23842" hidden="1" x14ac:dyDescent="0.15"/>
    <row r="23843" hidden="1" x14ac:dyDescent="0.15"/>
    <row r="23844" hidden="1" x14ac:dyDescent="0.15"/>
    <row r="23845" hidden="1" x14ac:dyDescent="0.15"/>
    <row r="23846" hidden="1" x14ac:dyDescent="0.15"/>
    <row r="23847" hidden="1" x14ac:dyDescent="0.15"/>
    <row r="23848" hidden="1" x14ac:dyDescent="0.15"/>
    <row r="23849" hidden="1" x14ac:dyDescent="0.15"/>
    <row r="23850" hidden="1" x14ac:dyDescent="0.15"/>
    <row r="23851" hidden="1" x14ac:dyDescent="0.15"/>
    <row r="23852" hidden="1" x14ac:dyDescent="0.15"/>
    <row r="23853" hidden="1" x14ac:dyDescent="0.15"/>
    <row r="23854" hidden="1" x14ac:dyDescent="0.15"/>
    <row r="23855" hidden="1" x14ac:dyDescent="0.15"/>
    <row r="23856" hidden="1" x14ac:dyDescent="0.15"/>
    <row r="23857" hidden="1" x14ac:dyDescent="0.15"/>
    <row r="23858" hidden="1" x14ac:dyDescent="0.15"/>
    <row r="23859" hidden="1" x14ac:dyDescent="0.15"/>
    <row r="23860" hidden="1" x14ac:dyDescent="0.15"/>
    <row r="23861" hidden="1" x14ac:dyDescent="0.15"/>
    <row r="23862" hidden="1" x14ac:dyDescent="0.15"/>
    <row r="23863" hidden="1" x14ac:dyDescent="0.15"/>
    <row r="23864" hidden="1" x14ac:dyDescent="0.15"/>
    <row r="23865" hidden="1" x14ac:dyDescent="0.15"/>
    <row r="23866" hidden="1" x14ac:dyDescent="0.15"/>
    <row r="23867" hidden="1" x14ac:dyDescent="0.15"/>
    <row r="23868" hidden="1" x14ac:dyDescent="0.15"/>
    <row r="23869" hidden="1" x14ac:dyDescent="0.15"/>
    <row r="23870" hidden="1" x14ac:dyDescent="0.15"/>
    <row r="23871" hidden="1" x14ac:dyDescent="0.15"/>
    <row r="23872" hidden="1" x14ac:dyDescent="0.15"/>
    <row r="23873" hidden="1" x14ac:dyDescent="0.15"/>
    <row r="23874" hidden="1" x14ac:dyDescent="0.15"/>
    <row r="23875" hidden="1" x14ac:dyDescent="0.15"/>
    <row r="23876" hidden="1" x14ac:dyDescent="0.15"/>
    <row r="23877" hidden="1" x14ac:dyDescent="0.15"/>
    <row r="23878" hidden="1" x14ac:dyDescent="0.15"/>
    <row r="23879" hidden="1" x14ac:dyDescent="0.15"/>
    <row r="23880" hidden="1" x14ac:dyDescent="0.15"/>
    <row r="23881" hidden="1" x14ac:dyDescent="0.15"/>
    <row r="23882" hidden="1" x14ac:dyDescent="0.15"/>
    <row r="23883" hidden="1" x14ac:dyDescent="0.15"/>
    <row r="23884" hidden="1" x14ac:dyDescent="0.15"/>
    <row r="23885" hidden="1" x14ac:dyDescent="0.15"/>
    <row r="23886" hidden="1" x14ac:dyDescent="0.15"/>
    <row r="23887" hidden="1" x14ac:dyDescent="0.15"/>
    <row r="23888" hidden="1" x14ac:dyDescent="0.15"/>
    <row r="23889" hidden="1" x14ac:dyDescent="0.15"/>
    <row r="23890" hidden="1" x14ac:dyDescent="0.15"/>
    <row r="23891" hidden="1" x14ac:dyDescent="0.15"/>
    <row r="23892" hidden="1" x14ac:dyDescent="0.15"/>
    <row r="23893" hidden="1" x14ac:dyDescent="0.15"/>
    <row r="23894" hidden="1" x14ac:dyDescent="0.15"/>
    <row r="23895" hidden="1" x14ac:dyDescent="0.15"/>
    <row r="23896" hidden="1" x14ac:dyDescent="0.15"/>
    <row r="23897" hidden="1" x14ac:dyDescent="0.15"/>
    <row r="23898" hidden="1" x14ac:dyDescent="0.15"/>
    <row r="23899" hidden="1" x14ac:dyDescent="0.15"/>
    <row r="23900" hidden="1" x14ac:dyDescent="0.15"/>
    <row r="23901" hidden="1" x14ac:dyDescent="0.15"/>
    <row r="23902" hidden="1" x14ac:dyDescent="0.15"/>
    <row r="23903" hidden="1" x14ac:dyDescent="0.15"/>
    <row r="23904" hidden="1" x14ac:dyDescent="0.15"/>
    <row r="23905" hidden="1" x14ac:dyDescent="0.15"/>
    <row r="23906" hidden="1" x14ac:dyDescent="0.15"/>
    <row r="23907" hidden="1" x14ac:dyDescent="0.15"/>
    <row r="23908" hidden="1" x14ac:dyDescent="0.15"/>
    <row r="23909" hidden="1" x14ac:dyDescent="0.15"/>
    <row r="23910" hidden="1" x14ac:dyDescent="0.15"/>
    <row r="23911" hidden="1" x14ac:dyDescent="0.15"/>
    <row r="23912" hidden="1" x14ac:dyDescent="0.15"/>
    <row r="23913" hidden="1" x14ac:dyDescent="0.15"/>
    <row r="23914" hidden="1" x14ac:dyDescent="0.15"/>
    <row r="23915" hidden="1" x14ac:dyDescent="0.15"/>
    <row r="23916" hidden="1" x14ac:dyDescent="0.15"/>
    <row r="23917" hidden="1" x14ac:dyDescent="0.15"/>
    <row r="23918" hidden="1" x14ac:dyDescent="0.15"/>
    <row r="23919" hidden="1" x14ac:dyDescent="0.15"/>
    <row r="23920" hidden="1" x14ac:dyDescent="0.15"/>
    <row r="23921" hidden="1" x14ac:dyDescent="0.15"/>
    <row r="23922" hidden="1" x14ac:dyDescent="0.15"/>
    <row r="23923" hidden="1" x14ac:dyDescent="0.15"/>
    <row r="23924" hidden="1" x14ac:dyDescent="0.15"/>
    <row r="23925" hidden="1" x14ac:dyDescent="0.15"/>
    <row r="23926" hidden="1" x14ac:dyDescent="0.15"/>
    <row r="23927" hidden="1" x14ac:dyDescent="0.15"/>
    <row r="23928" hidden="1" x14ac:dyDescent="0.15"/>
    <row r="23929" hidden="1" x14ac:dyDescent="0.15"/>
    <row r="23930" hidden="1" x14ac:dyDescent="0.15"/>
    <row r="23931" hidden="1" x14ac:dyDescent="0.15"/>
    <row r="23932" hidden="1" x14ac:dyDescent="0.15"/>
    <row r="23933" hidden="1" x14ac:dyDescent="0.15"/>
    <row r="23934" hidden="1" x14ac:dyDescent="0.15"/>
    <row r="23935" hidden="1" x14ac:dyDescent="0.15"/>
    <row r="23936" hidden="1" x14ac:dyDescent="0.15"/>
    <row r="23937" hidden="1" x14ac:dyDescent="0.15"/>
    <row r="23938" hidden="1" x14ac:dyDescent="0.15"/>
    <row r="23939" hidden="1" x14ac:dyDescent="0.15"/>
    <row r="23940" hidden="1" x14ac:dyDescent="0.15"/>
    <row r="23941" hidden="1" x14ac:dyDescent="0.15"/>
    <row r="23942" hidden="1" x14ac:dyDescent="0.15"/>
    <row r="23943" hidden="1" x14ac:dyDescent="0.15"/>
    <row r="23944" hidden="1" x14ac:dyDescent="0.15"/>
    <row r="23945" hidden="1" x14ac:dyDescent="0.15"/>
    <row r="23946" hidden="1" x14ac:dyDescent="0.15"/>
    <row r="23947" hidden="1" x14ac:dyDescent="0.15"/>
    <row r="23948" hidden="1" x14ac:dyDescent="0.15"/>
    <row r="23949" hidden="1" x14ac:dyDescent="0.15"/>
    <row r="23950" hidden="1" x14ac:dyDescent="0.15"/>
    <row r="23951" hidden="1" x14ac:dyDescent="0.15"/>
    <row r="23952" hidden="1" x14ac:dyDescent="0.15"/>
    <row r="23953" hidden="1" x14ac:dyDescent="0.15"/>
    <row r="23954" hidden="1" x14ac:dyDescent="0.15"/>
    <row r="23955" hidden="1" x14ac:dyDescent="0.15"/>
    <row r="23956" hidden="1" x14ac:dyDescent="0.15"/>
    <row r="23957" hidden="1" x14ac:dyDescent="0.15"/>
    <row r="23958" hidden="1" x14ac:dyDescent="0.15"/>
    <row r="23959" hidden="1" x14ac:dyDescent="0.15"/>
    <row r="23960" hidden="1" x14ac:dyDescent="0.15"/>
    <row r="23961" hidden="1" x14ac:dyDescent="0.15"/>
    <row r="23962" hidden="1" x14ac:dyDescent="0.15"/>
    <row r="23963" hidden="1" x14ac:dyDescent="0.15"/>
    <row r="23964" hidden="1" x14ac:dyDescent="0.15"/>
    <row r="23965" hidden="1" x14ac:dyDescent="0.15"/>
    <row r="23966" hidden="1" x14ac:dyDescent="0.15"/>
    <row r="23967" hidden="1" x14ac:dyDescent="0.15"/>
    <row r="23968" hidden="1" x14ac:dyDescent="0.15"/>
    <row r="23969" hidden="1" x14ac:dyDescent="0.15"/>
    <row r="23970" hidden="1" x14ac:dyDescent="0.15"/>
    <row r="23971" hidden="1" x14ac:dyDescent="0.15"/>
    <row r="23972" hidden="1" x14ac:dyDescent="0.15"/>
    <row r="23973" hidden="1" x14ac:dyDescent="0.15"/>
    <row r="23974" hidden="1" x14ac:dyDescent="0.15"/>
    <row r="23975" hidden="1" x14ac:dyDescent="0.15"/>
    <row r="23976" hidden="1" x14ac:dyDescent="0.15"/>
    <row r="23977" hidden="1" x14ac:dyDescent="0.15"/>
    <row r="23978" hidden="1" x14ac:dyDescent="0.15"/>
    <row r="23979" hidden="1" x14ac:dyDescent="0.15"/>
    <row r="23980" hidden="1" x14ac:dyDescent="0.15"/>
    <row r="23981" hidden="1" x14ac:dyDescent="0.15"/>
    <row r="23982" hidden="1" x14ac:dyDescent="0.15"/>
    <row r="23983" hidden="1" x14ac:dyDescent="0.15"/>
    <row r="23984" hidden="1" x14ac:dyDescent="0.15"/>
    <row r="23985" hidden="1" x14ac:dyDescent="0.15"/>
    <row r="23986" hidden="1" x14ac:dyDescent="0.15"/>
    <row r="23987" hidden="1" x14ac:dyDescent="0.15"/>
    <row r="23988" hidden="1" x14ac:dyDescent="0.15"/>
    <row r="23989" hidden="1" x14ac:dyDescent="0.15"/>
    <row r="23990" hidden="1" x14ac:dyDescent="0.15"/>
    <row r="23991" hidden="1" x14ac:dyDescent="0.15"/>
    <row r="23992" hidden="1" x14ac:dyDescent="0.15"/>
    <row r="23993" hidden="1" x14ac:dyDescent="0.15"/>
    <row r="23994" hidden="1" x14ac:dyDescent="0.15"/>
    <row r="23995" hidden="1" x14ac:dyDescent="0.15"/>
    <row r="23996" hidden="1" x14ac:dyDescent="0.15"/>
    <row r="23997" hidden="1" x14ac:dyDescent="0.15"/>
    <row r="23998" hidden="1" x14ac:dyDescent="0.15"/>
    <row r="23999" hidden="1" x14ac:dyDescent="0.15"/>
    <row r="24000" hidden="1" x14ac:dyDescent="0.15"/>
    <row r="24001" hidden="1" x14ac:dyDescent="0.15"/>
    <row r="24002" hidden="1" x14ac:dyDescent="0.15"/>
    <row r="24003" hidden="1" x14ac:dyDescent="0.15"/>
    <row r="24004" hidden="1" x14ac:dyDescent="0.15"/>
    <row r="24005" hidden="1" x14ac:dyDescent="0.15"/>
    <row r="24006" hidden="1" x14ac:dyDescent="0.15"/>
    <row r="24007" hidden="1" x14ac:dyDescent="0.15"/>
    <row r="24008" hidden="1" x14ac:dyDescent="0.15"/>
    <row r="24009" hidden="1" x14ac:dyDescent="0.15"/>
    <row r="24010" hidden="1" x14ac:dyDescent="0.15"/>
    <row r="24011" hidden="1" x14ac:dyDescent="0.15"/>
    <row r="24012" hidden="1" x14ac:dyDescent="0.15"/>
    <row r="24013" hidden="1" x14ac:dyDescent="0.15"/>
    <row r="24014" hidden="1" x14ac:dyDescent="0.15"/>
    <row r="24015" hidden="1" x14ac:dyDescent="0.15"/>
    <row r="24016" hidden="1" x14ac:dyDescent="0.15"/>
    <row r="24017" hidden="1" x14ac:dyDescent="0.15"/>
    <row r="24018" hidden="1" x14ac:dyDescent="0.15"/>
    <row r="24019" hidden="1" x14ac:dyDescent="0.15"/>
    <row r="24020" hidden="1" x14ac:dyDescent="0.15"/>
    <row r="24021" hidden="1" x14ac:dyDescent="0.15"/>
    <row r="24022" hidden="1" x14ac:dyDescent="0.15"/>
    <row r="24023" hidden="1" x14ac:dyDescent="0.15"/>
    <row r="24024" hidden="1" x14ac:dyDescent="0.15"/>
    <row r="24025" hidden="1" x14ac:dyDescent="0.15"/>
    <row r="24026" hidden="1" x14ac:dyDescent="0.15"/>
    <row r="24027" hidden="1" x14ac:dyDescent="0.15"/>
    <row r="24028" hidden="1" x14ac:dyDescent="0.15"/>
    <row r="24029" hidden="1" x14ac:dyDescent="0.15"/>
    <row r="24030" hidden="1" x14ac:dyDescent="0.15"/>
    <row r="24031" hidden="1" x14ac:dyDescent="0.15"/>
    <row r="24032" hidden="1" x14ac:dyDescent="0.15"/>
    <row r="24033" hidden="1" x14ac:dyDescent="0.15"/>
    <row r="24034" hidden="1" x14ac:dyDescent="0.15"/>
    <row r="24035" hidden="1" x14ac:dyDescent="0.15"/>
    <row r="24036" hidden="1" x14ac:dyDescent="0.15"/>
    <row r="24037" hidden="1" x14ac:dyDescent="0.15"/>
    <row r="24038" hidden="1" x14ac:dyDescent="0.15"/>
    <row r="24039" hidden="1" x14ac:dyDescent="0.15"/>
    <row r="24040" hidden="1" x14ac:dyDescent="0.15"/>
    <row r="24041" hidden="1" x14ac:dyDescent="0.15"/>
    <row r="24042" hidden="1" x14ac:dyDescent="0.15"/>
    <row r="24043" hidden="1" x14ac:dyDescent="0.15"/>
    <row r="24044" hidden="1" x14ac:dyDescent="0.15"/>
    <row r="24045" hidden="1" x14ac:dyDescent="0.15"/>
    <row r="24046" hidden="1" x14ac:dyDescent="0.15"/>
    <row r="24047" hidden="1" x14ac:dyDescent="0.15"/>
    <row r="24048" hidden="1" x14ac:dyDescent="0.15"/>
    <row r="24049" hidden="1" x14ac:dyDescent="0.15"/>
    <row r="24050" hidden="1" x14ac:dyDescent="0.15"/>
    <row r="24051" hidden="1" x14ac:dyDescent="0.15"/>
    <row r="24052" hidden="1" x14ac:dyDescent="0.15"/>
    <row r="24053" hidden="1" x14ac:dyDescent="0.15"/>
    <row r="24054" hidden="1" x14ac:dyDescent="0.15"/>
    <row r="24055" hidden="1" x14ac:dyDescent="0.15"/>
    <row r="24056" hidden="1" x14ac:dyDescent="0.15"/>
    <row r="24057" hidden="1" x14ac:dyDescent="0.15"/>
    <row r="24058" hidden="1" x14ac:dyDescent="0.15"/>
    <row r="24059" hidden="1" x14ac:dyDescent="0.15"/>
    <row r="24060" hidden="1" x14ac:dyDescent="0.15"/>
    <row r="24061" hidden="1" x14ac:dyDescent="0.15"/>
    <row r="24062" hidden="1" x14ac:dyDescent="0.15"/>
    <row r="24063" hidden="1" x14ac:dyDescent="0.15"/>
    <row r="24064" hidden="1" x14ac:dyDescent="0.15"/>
    <row r="24065" hidden="1" x14ac:dyDescent="0.15"/>
    <row r="24066" hidden="1" x14ac:dyDescent="0.15"/>
    <row r="24067" hidden="1" x14ac:dyDescent="0.15"/>
    <row r="24068" hidden="1" x14ac:dyDescent="0.15"/>
    <row r="24069" hidden="1" x14ac:dyDescent="0.15"/>
    <row r="24070" hidden="1" x14ac:dyDescent="0.15"/>
    <row r="24071" hidden="1" x14ac:dyDescent="0.15"/>
    <row r="24072" hidden="1" x14ac:dyDescent="0.15"/>
    <row r="24073" hidden="1" x14ac:dyDescent="0.15"/>
    <row r="24074" hidden="1" x14ac:dyDescent="0.15"/>
    <row r="24075" hidden="1" x14ac:dyDescent="0.15"/>
    <row r="24076" hidden="1" x14ac:dyDescent="0.15"/>
    <row r="24077" hidden="1" x14ac:dyDescent="0.15"/>
    <row r="24078" hidden="1" x14ac:dyDescent="0.15"/>
    <row r="24079" hidden="1" x14ac:dyDescent="0.15"/>
    <row r="24080" hidden="1" x14ac:dyDescent="0.15"/>
    <row r="24081" hidden="1" x14ac:dyDescent="0.15"/>
    <row r="24082" hidden="1" x14ac:dyDescent="0.15"/>
    <row r="24083" hidden="1" x14ac:dyDescent="0.15"/>
    <row r="24084" hidden="1" x14ac:dyDescent="0.15"/>
    <row r="24085" hidden="1" x14ac:dyDescent="0.15"/>
    <row r="24086" hidden="1" x14ac:dyDescent="0.15"/>
    <row r="24087" hidden="1" x14ac:dyDescent="0.15"/>
    <row r="24088" hidden="1" x14ac:dyDescent="0.15"/>
    <row r="24089" hidden="1" x14ac:dyDescent="0.15"/>
    <row r="24090" hidden="1" x14ac:dyDescent="0.15"/>
    <row r="24091" hidden="1" x14ac:dyDescent="0.15"/>
    <row r="24092" hidden="1" x14ac:dyDescent="0.15"/>
    <row r="24093" hidden="1" x14ac:dyDescent="0.15"/>
    <row r="24094" hidden="1" x14ac:dyDescent="0.15"/>
    <row r="24095" hidden="1" x14ac:dyDescent="0.15"/>
    <row r="24096" hidden="1" x14ac:dyDescent="0.15"/>
    <row r="24097" hidden="1" x14ac:dyDescent="0.15"/>
    <row r="24098" hidden="1" x14ac:dyDescent="0.15"/>
    <row r="24099" hidden="1" x14ac:dyDescent="0.15"/>
    <row r="24100" hidden="1" x14ac:dyDescent="0.15"/>
    <row r="24101" hidden="1" x14ac:dyDescent="0.15"/>
    <row r="24102" hidden="1" x14ac:dyDescent="0.15"/>
    <row r="24103" hidden="1" x14ac:dyDescent="0.15"/>
    <row r="24104" hidden="1" x14ac:dyDescent="0.15"/>
    <row r="24105" hidden="1" x14ac:dyDescent="0.15"/>
    <row r="24106" hidden="1" x14ac:dyDescent="0.15"/>
    <row r="24107" hidden="1" x14ac:dyDescent="0.15"/>
    <row r="24108" hidden="1" x14ac:dyDescent="0.15"/>
    <row r="24109" hidden="1" x14ac:dyDescent="0.15"/>
    <row r="24110" hidden="1" x14ac:dyDescent="0.15"/>
    <row r="24111" hidden="1" x14ac:dyDescent="0.15"/>
    <row r="24112" hidden="1" x14ac:dyDescent="0.15"/>
    <row r="24113" hidden="1" x14ac:dyDescent="0.15"/>
    <row r="24114" hidden="1" x14ac:dyDescent="0.15"/>
    <row r="24115" hidden="1" x14ac:dyDescent="0.15"/>
    <row r="24116" hidden="1" x14ac:dyDescent="0.15"/>
    <row r="24117" hidden="1" x14ac:dyDescent="0.15"/>
    <row r="24118" hidden="1" x14ac:dyDescent="0.15"/>
    <row r="24119" hidden="1" x14ac:dyDescent="0.15"/>
    <row r="24120" hidden="1" x14ac:dyDescent="0.15"/>
    <row r="24121" hidden="1" x14ac:dyDescent="0.15"/>
    <row r="24122" hidden="1" x14ac:dyDescent="0.15"/>
    <row r="24123" hidden="1" x14ac:dyDescent="0.15"/>
    <row r="24124" hidden="1" x14ac:dyDescent="0.15"/>
    <row r="24125" hidden="1" x14ac:dyDescent="0.15"/>
    <row r="24126" hidden="1" x14ac:dyDescent="0.15"/>
    <row r="24127" hidden="1" x14ac:dyDescent="0.15"/>
    <row r="24128" hidden="1" x14ac:dyDescent="0.15"/>
    <row r="24129" hidden="1" x14ac:dyDescent="0.15"/>
    <row r="24130" hidden="1" x14ac:dyDescent="0.15"/>
    <row r="24131" hidden="1" x14ac:dyDescent="0.15"/>
    <row r="24132" hidden="1" x14ac:dyDescent="0.15"/>
    <row r="24133" hidden="1" x14ac:dyDescent="0.15"/>
    <row r="24134" hidden="1" x14ac:dyDescent="0.15"/>
    <row r="24135" hidden="1" x14ac:dyDescent="0.15"/>
    <row r="24136" hidden="1" x14ac:dyDescent="0.15"/>
    <row r="24137" hidden="1" x14ac:dyDescent="0.15"/>
    <row r="24138" hidden="1" x14ac:dyDescent="0.15"/>
    <row r="24139" hidden="1" x14ac:dyDescent="0.15"/>
    <row r="24140" hidden="1" x14ac:dyDescent="0.15"/>
    <row r="24141" hidden="1" x14ac:dyDescent="0.15"/>
    <row r="24142" hidden="1" x14ac:dyDescent="0.15"/>
    <row r="24143" hidden="1" x14ac:dyDescent="0.15"/>
    <row r="24144" hidden="1" x14ac:dyDescent="0.15"/>
    <row r="24145" hidden="1" x14ac:dyDescent="0.15"/>
    <row r="24146" hidden="1" x14ac:dyDescent="0.15"/>
    <row r="24147" hidden="1" x14ac:dyDescent="0.15"/>
    <row r="24148" hidden="1" x14ac:dyDescent="0.15"/>
    <row r="24149" hidden="1" x14ac:dyDescent="0.15"/>
    <row r="24150" hidden="1" x14ac:dyDescent="0.15"/>
    <row r="24151" hidden="1" x14ac:dyDescent="0.15"/>
    <row r="24152" hidden="1" x14ac:dyDescent="0.15"/>
    <row r="24153" hidden="1" x14ac:dyDescent="0.15"/>
    <row r="24154" hidden="1" x14ac:dyDescent="0.15"/>
    <row r="24155" hidden="1" x14ac:dyDescent="0.15"/>
    <row r="24156" hidden="1" x14ac:dyDescent="0.15"/>
    <row r="24157" hidden="1" x14ac:dyDescent="0.15"/>
    <row r="24158" hidden="1" x14ac:dyDescent="0.15"/>
    <row r="24159" hidden="1" x14ac:dyDescent="0.15"/>
    <row r="24160" hidden="1" x14ac:dyDescent="0.15"/>
    <row r="24161" hidden="1" x14ac:dyDescent="0.15"/>
    <row r="24162" hidden="1" x14ac:dyDescent="0.15"/>
    <row r="24163" hidden="1" x14ac:dyDescent="0.15"/>
    <row r="24164" hidden="1" x14ac:dyDescent="0.15"/>
    <row r="24165" hidden="1" x14ac:dyDescent="0.15"/>
    <row r="24166" hidden="1" x14ac:dyDescent="0.15"/>
    <row r="24167" hidden="1" x14ac:dyDescent="0.15"/>
    <row r="24168" hidden="1" x14ac:dyDescent="0.15"/>
    <row r="24169" hidden="1" x14ac:dyDescent="0.15"/>
    <row r="24170" hidden="1" x14ac:dyDescent="0.15"/>
    <row r="24171" hidden="1" x14ac:dyDescent="0.15"/>
    <row r="24172" hidden="1" x14ac:dyDescent="0.15"/>
    <row r="24173" hidden="1" x14ac:dyDescent="0.15"/>
    <row r="24174" hidden="1" x14ac:dyDescent="0.15"/>
    <row r="24175" hidden="1" x14ac:dyDescent="0.15"/>
    <row r="24176" hidden="1" x14ac:dyDescent="0.15"/>
    <row r="24177" hidden="1" x14ac:dyDescent="0.15"/>
    <row r="24178" hidden="1" x14ac:dyDescent="0.15"/>
    <row r="24179" hidden="1" x14ac:dyDescent="0.15"/>
    <row r="24180" hidden="1" x14ac:dyDescent="0.15"/>
    <row r="24181" hidden="1" x14ac:dyDescent="0.15"/>
    <row r="24182" hidden="1" x14ac:dyDescent="0.15"/>
    <row r="24183" hidden="1" x14ac:dyDescent="0.15"/>
    <row r="24184" hidden="1" x14ac:dyDescent="0.15"/>
    <row r="24185" hidden="1" x14ac:dyDescent="0.15"/>
    <row r="24186" hidden="1" x14ac:dyDescent="0.15"/>
    <row r="24187" hidden="1" x14ac:dyDescent="0.15"/>
    <row r="24188" hidden="1" x14ac:dyDescent="0.15"/>
    <row r="24189" hidden="1" x14ac:dyDescent="0.15"/>
    <row r="24190" hidden="1" x14ac:dyDescent="0.15"/>
    <row r="24191" hidden="1" x14ac:dyDescent="0.15"/>
    <row r="24192" hidden="1" x14ac:dyDescent="0.15"/>
    <row r="24193" hidden="1" x14ac:dyDescent="0.15"/>
    <row r="24194" hidden="1" x14ac:dyDescent="0.15"/>
    <row r="24195" hidden="1" x14ac:dyDescent="0.15"/>
    <row r="24196" hidden="1" x14ac:dyDescent="0.15"/>
    <row r="24197" hidden="1" x14ac:dyDescent="0.15"/>
    <row r="24198" hidden="1" x14ac:dyDescent="0.15"/>
    <row r="24199" hidden="1" x14ac:dyDescent="0.15"/>
    <row r="24200" hidden="1" x14ac:dyDescent="0.15"/>
    <row r="24201" hidden="1" x14ac:dyDescent="0.15"/>
    <row r="24202" hidden="1" x14ac:dyDescent="0.15"/>
    <row r="24203" hidden="1" x14ac:dyDescent="0.15"/>
    <row r="24204" hidden="1" x14ac:dyDescent="0.15"/>
    <row r="24205" hidden="1" x14ac:dyDescent="0.15"/>
    <row r="24206" hidden="1" x14ac:dyDescent="0.15"/>
    <row r="24207" hidden="1" x14ac:dyDescent="0.15"/>
    <row r="24208" hidden="1" x14ac:dyDescent="0.15"/>
    <row r="24209" hidden="1" x14ac:dyDescent="0.15"/>
    <row r="24210" hidden="1" x14ac:dyDescent="0.15"/>
    <row r="24211" hidden="1" x14ac:dyDescent="0.15"/>
    <row r="24212" hidden="1" x14ac:dyDescent="0.15"/>
    <row r="24213" hidden="1" x14ac:dyDescent="0.15"/>
    <row r="24214" hidden="1" x14ac:dyDescent="0.15"/>
    <row r="24215" hidden="1" x14ac:dyDescent="0.15"/>
    <row r="24216" hidden="1" x14ac:dyDescent="0.15"/>
    <row r="24217" hidden="1" x14ac:dyDescent="0.15"/>
    <row r="24218" hidden="1" x14ac:dyDescent="0.15"/>
    <row r="24219" hidden="1" x14ac:dyDescent="0.15"/>
    <row r="24220" hidden="1" x14ac:dyDescent="0.15"/>
    <row r="24221" hidden="1" x14ac:dyDescent="0.15"/>
    <row r="24222" hidden="1" x14ac:dyDescent="0.15"/>
    <row r="24223" hidden="1" x14ac:dyDescent="0.15"/>
    <row r="24224" hidden="1" x14ac:dyDescent="0.15"/>
    <row r="24225" hidden="1" x14ac:dyDescent="0.15"/>
    <row r="24226" hidden="1" x14ac:dyDescent="0.15"/>
    <row r="24227" hidden="1" x14ac:dyDescent="0.15"/>
    <row r="24228" hidden="1" x14ac:dyDescent="0.15"/>
    <row r="24229" hidden="1" x14ac:dyDescent="0.15"/>
    <row r="24230" hidden="1" x14ac:dyDescent="0.15"/>
    <row r="24231" hidden="1" x14ac:dyDescent="0.15"/>
    <row r="24232" hidden="1" x14ac:dyDescent="0.15"/>
    <row r="24233" hidden="1" x14ac:dyDescent="0.15"/>
    <row r="24234" hidden="1" x14ac:dyDescent="0.15"/>
    <row r="24235" hidden="1" x14ac:dyDescent="0.15"/>
    <row r="24236" hidden="1" x14ac:dyDescent="0.15"/>
    <row r="24237" hidden="1" x14ac:dyDescent="0.15"/>
    <row r="24238" hidden="1" x14ac:dyDescent="0.15"/>
    <row r="24239" hidden="1" x14ac:dyDescent="0.15"/>
    <row r="24240" hidden="1" x14ac:dyDescent="0.15"/>
    <row r="24241" hidden="1" x14ac:dyDescent="0.15"/>
    <row r="24242" hidden="1" x14ac:dyDescent="0.15"/>
    <row r="24243" hidden="1" x14ac:dyDescent="0.15"/>
    <row r="24244" hidden="1" x14ac:dyDescent="0.15"/>
    <row r="24245" hidden="1" x14ac:dyDescent="0.15"/>
    <row r="24246" hidden="1" x14ac:dyDescent="0.15"/>
    <row r="24247" hidden="1" x14ac:dyDescent="0.15"/>
    <row r="24248" hidden="1" x14ac:dyDescent="0.15"/>
    <row r="24249" hidden="1" x14ac:dyDescent="0.15"/>
    <row r="24250" hidden="1" x14ac:dyDescent="0.15"/>
    <row r="24251" hidden="1" x14ac:dyDescent="0.15"/>
    <row r="24252" hidden="1" x14ac:dyDescent="0.15"/>
    <row r="24253" hidden="1" x14ac:dyDescent="0.15"/>
    <row r="24254" hidden="1" x14ac:dyDescent="0.15"/>
    <row r="24255" hidden="1" x14ac:dyDescent="0.15"/>
    <row r="24256" hidden="1" x14ac:dyDescent="0.15"/>
    <row r="24257" hidden="1" x14ac:dyDescent="0.15"/>
    <row r="24258" hidden="1" x14ac:dyDescent="0.15"/>
    <row r="24259" hidden="1" x14ac:dyDescent="0.15"/>
    <row r="24260" hidden="1" x14ac:dyDescent="0.15"/>
    <row r="24261" hidden="1" x14ac:dyDescent="0.15"/>
    <row r="24262" hidden="1" x14ac:dyDescent="0.15"/>
    <row r="24263" hidden="1" x14ac:dyDescent="0.15"/>
    <row r="24264" hidden="1" x14ac:dyDescent="0.15"/>
    <row r="24265" hidden="1" x14ac:dyDescent="0.15"/>
    <row r="24266" hidden="1" x14ac:dyDescent="0.15"/>
    <row r="24267" hidden="1" x14ac:dyDescent="0.15"/>
    <row r="24268" hidden="1" x14ac:dyDescent="0.15"/>
    <row r="24269" hidden="1" x14ac:dyDescent="0.15"/>
    <row r="24270" hidden="1" x14ac:dyDescent="0.15"/>
    <row r="24271" hidden="1" x14ac:dyDescent="0.15"/>
    <row r="24272" hidden="1" x14ac:dyDescent="0.15"/>
    <row r="24273" hidden="1" x14ac:dyDescent="0.15"/>
    <row r="24274" hidden="1" x14ac:dyDescent="0.15"/>
    <row r="24275" hidden="1" x14ac:dyDescent="0.15"/>
    <row r="24276" hidden="1" x14ac:dyDescent="0.15"/>
    <row r="24277" hidden="1" x14ac:dyDescent="0.15"/>
    <row r="24278" hidden="1" x14ac:dyDescent="0.15"/>
    <row r="24279" hidden="1" x14ac:dyDescent="0.15"/>
    <row r="24280" hidden="1" x14ac:dyDescent="0.15"/>
    <row r="24281" hidden="1" x14ac:dyDescent="0.15"/>
    <row r="24282" hidden="1" x14ac:dyDescent="0.15"/>
    <row r="24283" hidden="1" x14ac:dyDescent="0.15"/>
    <row r="24284" hidden="1" x14ac:dyDescent="0.15"/>
    <row r="24285" hidden="1" x14ac:dyDescent="0.15"/>
    <row r="24286" hidden="1" x14ac:dyDescent="0.15"/>
    <row r="24287" hidden="1" x14ac:dyDescent="0.15"/>
    <row r="24288" hidden="1" x14ac:dyDescent="0.15"/>
    <row r="24289" hidden="1" x14ac:dyDescent="0.15"/>
    <row r="24290" hidden="1" x14ac:dyDescent="0.15"/>
    <row r="24291" hidden="1" x14ac:dyDescent="0.15"/>
    <row r="24292" hidden="1" x14ac:dyDescent="0.15"/>
    <row r="24293" hidden="1" x14ac:dyDescent="0.15"/>
    <row r="24294" hidden="1" x14ac:dyDescent="0.15"/>
    <row r="24295" hidden="1" x14ac:dyDescent="0.15"/>
    <row r="24296" hidden="1" x14ac:dyDescent="0.15"/>
    <row r="24297" hidden="1" x14ac:dyDescent="0.15"/>
    <row r="24298" hidden="1" x14ac:dyDescent="0.15"/>
    <row r="24299" hidden="1" x14ac:dyDescent="0.15"/>
    <row r="24300" hidden="1" x14ac:dyDescent="0.15"/>
    <row r="24301" hidden="1" x14ac:dyDescent="0.15"/>
    <row r="24302" hidden="1" x14ac:dyDescent="0.15"/>
    <row r="24303" hidden="1" x14ac:dyDescent="0.15"/>
    <row r="24304" hidden="1" x14ac:dyDescent="0.15"/>
    <row r="24305" hidden="1" x14ac:dyDescent="0.15"/>
    <row r="24306" hidden="1" x14ac:dyDescent="0.15"/>
    <row r="24307" hidden="1" x14ac:dyDescent="0.15"/>
    <row r="24308" hidden="1" x14ac:dyDescent="0.15"/>
    <row r="24309" hidden="1" x14ac:dyDescent="0.15"/>
    <row r="24310" hidden="1" x14ac:dyDescent="0.15"/>
    <row r="24311" hidden="1" x14ac:dyDescent="0.15"/>
    <row r="24312" hidden="1" x14ac:dyDescent="0.15"/>
    <row r="24313" hidden="1" x14ac:dyDescent="0.15"/>
    <row r="24314" hidden="1" x14ac:dyDescent="0.15"/>
    <row r="24315" hidden="1" x14ac:dyDescent="0.15"/>
    <row r="24316" hidden="1" x14ac:dyDescent="0.15"/>
    <row r="24317" hidden="1" x14ac:dyDescent="0.15"/>
    <row r="24318" hidden="1" x14ac:dyDescent="0.15"/>
    <row r="24319" hidden="1" x14ac:dyDescent="0.15"/>
    <row r="24320" hidden="1" x14ac:dyDescent="0.15"/>
    <row r="24321" hidden="1" x14ac:dyDescent="0.15"/>
    <row r="24322" hidden="1" x14ac:dyDescent="0.15"/>
    <row r="24323" hidden="1" x14ac:dyDescent="0.15"/>
    <row r="24324" hidden="1" x14ac:dyDescent="0.15"/>
    <row r="24325" hidden="1" x14ac:dyDescent="0.15"/>
    <row r="24326" hidden="1" x14ac:dyDescent="0.15"/>
    <row r="24327" hidden="1" x14ac:dyDescent="0.15"/>
    <row r="24328" hidden="1" x14ac:dyDescent="0.15"/>
    <row r="24329" hidden="1" x14ac:dyDescent="0.15"/>
    <row r="24330" hidden="1" x14ac:dyDescent="0.15"/>
    <row r="24331" hidden="1" x14ac:dyDescent="0.15"/>
    <row r="24332" hidden="1" x14ac:dyDescent="0.15"/>
    <row r="24333" hidden="1" x14ac:dyDescent="0.15"/>
    <row r="24334" hidden="1" x14ac:dyDescent="0.15"/>
    <row r="24335" hidden="1" x14ac:dyDescent="0.15"/>
    <row r="24336" hidden="1" x14ac:dyDescent="0.15"/>
    <row r="24337" hidden="1" x14ac:dyDescent="0.15"/>
    <row r="24338" hidden="1" x14ac:dyDescent="0.15"/>
    <row r="24339" hidden="1" x14ac:dyDescent="0.15"/>
    <row r="24340" hidden="1" x14ac:dyDescent="0.15"/>
    <row r="24341" hidden="1" x14ac:dyDescent="0.15"/>
    <row r="24342" hidden="1" x14ac:dyDescent="0.15"/>
    <row r="24343" hidden="1" x14ac:dyDescent="0.15"/>
    <row r="24344" hidden="1" x14ac:dyDescent="0.15"/>
    <row r="24345" hidden="1" x14ac:dyDescent="0.15"/>
    <row r="24346" hidden="1" x14ac:dyDescent="0.15"/>
    <row r="24347" hidden="1" x14ac:dyDescent="0.15"/>
    <row r="24348" hidden="1" x14ac:dyDescent="0.15"/>
    <row r="24349" hidden="1" x14ac:dyDescent="0.15"/>
    <row r="24350" hidden="1" x14ac:dyDescent="0.15"/>
    <row r="24351" hidden="1" x14ac:dyDescent="0.15"/>
    <row r="24352" hidden="1" x14ac:dyDescent="0.15"/>
    <row r="24353" hidden="1" x14ac:dyDescent="0.15"/>
    <row r="24354" hidden="1" x14ac:dyDescent="0.15"/>
    <row r="24355" hidden="1" x14ac:dyDescent="0.15"/>
    <row r="24356" hidden="1" x14ac:dyDescent="0.15"/>
    <row r="24357" hidden="1" x14ac:dyDescent="0.15"/>
    <row r="24358" hidden="1" x14ac:dyDescent="0.15"/>
    <row r="24359" hidden="1" x14ac:dyDescent="0.15"/>
    <row r="24360" hidden="1" x14ac:dyDescent="0.15"/>
    <row r="24361" hidden="1" x14ac:dyDescent="0.15"/>
    <row r="24362" hidden="1" x14ac:dyDescent="0.15"/>
    <row r="24363" hidden="1" x14ac:dyDescent="0.15"/>
    <row r="24364" hidden="1" x14ac:dyDescent="0.15"/>
    <row r="24365" hidden="1" x14ac:dyDescent="0.15"/>
    <row r="24366" hidden="1" x14ac:dyDescent="0.15"/>
    <row r="24367" hidden="1" x14ac:dyDescent="0.15"/>
    <row r="24368" hidden="1" x14ac:dyDescent="0.15"/>
    <row r="24369" hidden="1" x14ac:dyDescent="0.15"/>
    <row r="24370" hidden="1" x14ac:dyDescent="0.15"/>
    <row r="24371" hidden="1" x14ac:dyDescent="0.15"/>
    <row r="24372" hidden="1" x14ac:dyDescent="0.15"/>
    <row r="24373" hidden="1" x14ac:dyDescent="0.15"/>
    <row r="24374" hidden="1" x14ac:dyDescent="0.15"/>
    <row r="24375" hidden="1" x14ac:dyDescent="0.15"/>
    <row r="24376" hidden="1" x14ac:dyDescent="0.15"/>
    <row r="24377" hidden="1" x14ac:dyDescent="0.15"/>
    <row r="24378" hidden="1" x14ac:dyDescent="0.15"/>
    <row r="24379" hidden="1" x14ac:dyDescent="0.15"/>
    <row r="24380" hidden="1" x14ac:dyDescent="0.15"/>
    <row r="24381" hidden="1" x14ac:dyDescent="0.15"/>
    <row r="24382" hidden="1" x14ac:dyDescent="0.15"/>
    <row r="24383" hidden="1" x14ac:dyDescent="0.15"/>
    <row r="24384" hidden="1" x14ac:dyDescent="0.15"/>
    <row r="24385" hidden="1" x14ac:dyDescent="0.15"/>
    <row r="24386" hidden="1" x14ac:dyDescent="0.15"/>
    <row r="24387" hidden="1" x14ac:dyDescent="0.15"/>
    <row r="24388" hidden="1" x14ac:dyDescent="0.15"/>
    <row r="24389" hidden="1" x14ac:dyDescent="0.15"/>
    <row r="24390" hidden="1" x14ac:dyDescent="0.15"/>
    <row r="24391" hidden="1" x14ac:dyDescent="0.15"/>
    <row r="24392" hidden="1" x14ac:dyDescent="0.15"/>
    <row r="24393" hidden="1" x14ac:dyDescent="0.15"/>
    <row r="24394" hidden="1" x14ac:dyDescent="0.15"/>
    <row r="24395" hidden="1" x14ac:dyDescent="0.15"/>
    <row r="24396" hidden="1" x14ac:dyDescent="0.15"/>
    <row r="24397" hidden="1" x14ac:dyDescent="0.15"/>
    <row r="24398" hidden="1" x14ac:dyDescent="0.15"/>
    <row r="24399" hidden="1" x14ac:dyDescent="0.15"/>
    <row r="24400" hidden="1" x14ac:dyDescent="0.15"/>
    <row r="24401" hidden="1" x14ac:dyDescent="0.15"/>
    <row r="24402" hidden="1" x14ac:dyDescent="0.15"/>
    <row r="24403" hidden="1" x14ac:dyDescent="0.15"/>
    <row r="24404" hidden="1" x14ac:dyDescent="0.15"/>
    <row r="24405" hidden="1" x14ac:dyDescent="0.15"/>
    <row r="24406" hidden="1" x14ac:dyDescent="0.15"/>
    <row r="24407" hidden="1" x14ac:dyDescent="0.15"/>
    <row r="24408" hidden="1" x14ac:dyDescent="0.15"/>
    <row r="24409" hidden="1" x14ac:dyDescent="0.15"/>
    <row r="24410" hidden="1" x14ac:dyDescent="0.15"/>
    <row r="24411" hidden="1" x14ac:dyDescent="0.15"/>
    <row r="24412" hidden="1" x14ac:dyDescent="0.15"/>
    <row r="24413" hidden="1" x14ac:dyDescent="0.15"/>
    <row r="24414" hidden="1" x14ac:dyDescent="0.15"/>
    <row r="24415" hidden="1" x14ac:dyDescent="0.15"/>
    <row r="24416" hidden="1" x14ac:dyDescent="0.15"/>
    <row r="24417" hidden="1" x14ac:dyDescent="0.15"/>
    <row r="24418" hidden="1" x14ac:dyDescent="0.15"/>
    <row r="24419" hidden="1" x14ac:dyDescent="0.15"/>
    <row r="24420" hidden="1" x14ac:dyDescent="0.15"/>
    <row r="24421" hidden="1" x14ac:dyDescent="0.15"/>
    <row r="24422" hidden="1" x14ac:dyDescent="0.15"/>
    <row r="24423" hidden="1" x14ac:dyDescent="0.15"/>
    <row r="24424" hidden="1" x14ac:dyDescent="0.15"/>
    <row r="24425" hidden="1" x14ac:dyDescent="0.15"/>
    <row r="24426" hidden="1" x14ac:dyDescent="0.15"/>
    <row r="24427" hidden="1" x14ac:dyDescent="0.15"/>
    <row r="24428" hidden="1" x14ac:dyDescent="0.15"/>
    <row r="24429" hidden="1" x14ac:dyDescent="0.15"/>
    <row r="24430" hidden="1" x14ac:dyDescent="0.15"/>
    <row r="24431" hidden="1" x14ac:dyDescent="0.15"/>
    <row r="24432" hidden="1" x14ac:dyDescent="0.15"/>
    <row r="24433" hidden="1" x14ac:dyDescent="0.15"/>
    <row r="24434" hidden="1" x14ac:dyDescent="0.15"/>
    <row r="24435" hidden="1" x14ac:dyDescent="0.15"/>
    <row r="24436" hidden="1" x14ac:dyDescent="0.15"/>
    <row r="24437" hidden="1" x14ac:dyDescent="0.15"/>
    <row r="24438" hidden="1" x14ac:dyDescent="0.15"/>
    <row r="24439" hidden="1" x14ac:dyDescent="0.15"/>
    <row r="24440" hidden="1" x14ac:dyDescent="0.15"/>
    <row r="24441" hidden="1" x14ac:dyDescent="0.15"/>
    <row r="24442" hidden="1" x14ac:dyDescent="0.15"/>
    <row r="24443" hidden="1" x14ac:dyDescent="0.15"/>
    <row r="24444" hidden="1" x14ac:dyDescent="0.15"/>
    <row r="24445" hidden="1" x14ac:dyDescent="0.15"/>
    <row r="24446" hidden="1" x14ac:dyDescent="0.15"/>
    <row r="24447" hidden="1" x14ac:dyDescent="0.15"/>
    <row r="24448" hidden="1" x14ac:dyDescent="0.15"/>
    <row r="24449" hidden="1" x14ac:dyDescent="0.15"/>
    <row r="24450" hidden="1" x14ac:dyDescent="0.15"/>
    <row r="24451" hidden="1" x14ac:dyDescent="0.15"/>
    <row r="24452" hidden="1" x14ac:dyDescent="0.15"/>
    <row r="24453" hidden="1" x14ac:dyDescent="0.15"/>
    <row r="24454" hidden="1" x14ac:dyDescent="0.15"/>
    <row r="24455" hidden="1" x14ac:dyDescent="0.15"/>
    <row r="24456" hidden="1" x14ac:dyDescent="0.15"/>
    <row r="24457" hidden="1" x14ac:dyDescent="0.15"/>
    <row r="24458" hidden="1" x14ac:dyDescent="0.15"/>
    <row r="24459" hidden="1" x14ac:dyDescent="0.15"/>
    <row r="24460" hidden="1" x14ac:dyDescent="0.15"/>
    <row r="24461" hidden="1" x14ac:dyDescent="0.15"/>
    <row r="24462" hidden="1" x14ac:dyDescent="0.15"/>
    <row r="24463" hidden="1" x14ac:dyDescent="0.15"/>
    <row r="24464" hidden="1" x14ac:dyDescent="0.15"/>
    <row r="24465" hidden="1" x14ac:dyDescent="0.15"/>
    <row r="24466" hidden="1" x14ac:dyDescent="0.15"/>
    <row r="24467" hidden="1" x14ac:dyDescent="0.15"/>
    <row r="24468" hidden="1" x14ac:dyDescent="0.15"/>
    <row r="24469" hidden="1" x14ac:dyDescent="0.15"/>
    <row r="24470" hidden="1" x14ac:dyDescent="0.15"/>
    <row r="24471" hidden="1" x14ac:dyDescent="0.15"/>
    <row r="24472" hidden="1" x14ac:dyDescent="0.15"/>
    <row r="24473" hidden="1" x14ac:dyDescent="0.15"/>
    <row r="24474" hidden="1" x14ac:dyDescent="0.15"/>
    <row r="24475" hidden="1" x14ac:dyDescent="0.15"/>
    <row r="24476" hidden="1" x14ac:dyDescent="0.15"/>
    <row r="24477" hidden="1" x14ac:dyDescent="0.15"/>
    <row r="24478" hidden="1" x14ac:dyDescent="0.15"/>
    <row r="24479" hidden="1" x14ac:dyDescent="0.15"/>
    <row r="24480" hidden="1" x14ac:dyDescent="0.15"/>
    <row r="24481" hidden="1" x14ac:dyDescent="0.15"/>
    <row r="24482" hidden="1" x14ac:dyDescent="0.15"/>
    <row r="24483" hidden="1" x14ac:dyDescent="0.15"/>
    <row r="24484" hidden="1" x14ac:dyDescent="0.15"/>
    <row r="24485" hidden="1" x14ac:dyDescent="0.15"/>
    <row r="24486" hidden="1" x14ac:dyDescent="0.15"/>
    <row r="24487" hidden="1" x14ac:dyDescent="0.15"/>
    <row r="24488" hidden="1" x14ac:dyDescent="0.15"/>
    <row r="24489" hidden="1" x14ac:dyDescent="0.15"/>
    <row r="24490" hidden="1" x14ac:dyDescent="0.15"/>
    <row r="24491" hidden="1" x14ac:dyDescent="0.15"/>
    <row r="24492" hidden="1" x14ac:dyDescent="0.15"/>
    <row r="24493" hidden="1" x14ac:dyDescent="0.15"/>
    <row r="24494" hidden="1" x14ac:dyDescent="0.15"/>
    <row r="24495" hidden="1" x14ac:dyDescent="0.15"/>
    <row r="24496" hidden="1" x14ac:dyDescent="0.15"/>
    <row r="24497" hidden="1" x14ac:dyDescent="0.15"/>
    <row r="24498" hidden="1" x14ac:dyDescent="0.15"/>
    <row r="24499" hidden="1" x14ac:dyDescent="0.15"/>
    <row r="24500" hidden="1" x14ac:dyDescent="0.15"/>
    <row r="24501" hidden="1" x14ac:dyDescent="0.15"/>
    <row r="24502" hidden="1" x14ac:dyDescent="0.15"/>
    <row r="24503" hidden="1" x14ac:dyDescent="0.15"/>
    <row r="24504" hidden="1" x14ac:dyDescent="0.15"/>
    <row r="24505" hidden="1" x14ac:dyDescent="0.15"/>
    <row r="24506" hidden="1" x14ac:dyDescent="0.15"/>
    <row r="24507" hidden="1" x14ac:dyDescent="0.15"/>
    <row r="24508" hidden="1" x14ac:dyDescent="0.15"/>
    <row r="24509" hidden="1" x14ac:dyDescent="0.15"/>
    <row r="24510" hidden="1" x14ac:dyDescent="0.15"/>
    <row r="24511" hidden="1" x14ac:dyDescent="0.15"/>
    <row r="24512" hidden="1" x14ac:dyDescent="0.15"/>
    <row r="24513" hidden="1" x14ac:dyDescent="0.15"/>
    <row r="24514" hidden="1" x14ac:dyDescent="0.15"/>
    <row r="24515" hidden="1" x14ac:dyDescent="0.15"/>
    <row r="24516" hidden="1" x14ac:dyDescent="0.15"/>
    <row r="24517" hidden="1" x14ac:dyDescent="0.15"/>
    <row r="24518" hidden="1" x14ac:dyDescent="0.15"/>
    <row r="24519" hidden="1" x14ac:dyDescent="0.15"/>
    <row r="24520" hidden="1" x14ac:dyDescent="0.15"/>
    <row r="24521" hidden="1" x14ac:dyDescent="0.15"/>
    <row r="24522" hidden="1" x14ac:dyDescent="0.15"/>
    <row r="24523" hidden="1" x14ac:dyDescent="0.15"/>
    <row r="24524" hidden="1" x14ac:dyDescent="0.15"/>
    <row r="24525" hidden="1" x14ac:dyDescent="0.15"/>
    <row r="24526" hidden="1" x14ac:dyDescent="0.15"/>
    <row r="24527" hidden="1" x14ac:dyDescent="0.15"/>
    <row r="24528" hidden="1" x14ac:dyDescent="0.15"/>
    <row r="24529" hidden="1" x14ac:dyDescent="0.15"/>
    <row r="24530" hidden="1" x14ac:dyDescent="0.15"/>
    <row r="24531" hidden="1" x14ac:dyDescent="0.15"/>
    <row r="24532" hidden="1" x14ac:dyDescent="0.15"/>
    <row r="24533" hidden="1" x14ac:dyDescent="0.15"/>
    <row r="24534" hidden="1" x14ac:dyDescent="0.15"/>
    <row r="24535" hidden="1" x14ac:dyDescent="0.15"/>
    <row r="24536" hidden="1" x14ac:dyDescent="0.15"/>
    <row r="24537" hidden="1" x14ac:dyDescent="0.15"/>
    <row r="24538" hidden="1" x14ac:dyDescent="0.15"/>
    <row r="24539" hidden="1" x14ac:dyDescent="0.15"/>
    <row r="24540" hidden="1" x14ac:dyDescent="0.15"/>
    <row r="24541" hidden="1" x14ac:dyDescent="0.15"/>
    <row r="24542" hidden="1" x14ac:dyDescent="0.15"/>
    <row r="24543" hidden="1" x14ac:dyDescent="0.15"/>
    <row r="24544" hidden="1" x14ac:dyDescent="0.15"/>
    <row r="24545" hidden="1" x14ac:dyDescent="0.15"/>
    <row r="24546" hidden="1" x14ac:dyDescent="0.15"/>
    <row r="24547" hidden="1" x14ac:dyDescent="0.15"/>
    <row r="24548" hidden="1" x14ac:dyDescent="0.15"/>
    <row r="24549" hidden="1" x14ac:dyDescent="0.15"/>
    <row r="24550" hidden="1" x14ac:dyDescent="0.15"/>
    <row r="24551" hidden="1" x14ac:dyDescent="0.15"/>
    <row r="24552" hidden="1" x14ac:dyDescent="0.15"/>
    <row r="24553" hidden="1" x14ac:dyDescent="0.15"/>
    <row r="24554" hidden="1" x14ac:dyDescent="0.15"/>
    <row r="24555" hidden="1" x14ac:dyDescent="0.15"/>
    <row r="24556" hidden="1" x14ac:dyDescent="0.15"/>
    <row r="24557" hidden="1" x14ac:dyDescent="0.15"/>
    <row r="24558" hidden="1" x14ac:dyDescent="0.15"/>
    <row r="24559" hidden="1" x14ac:dyDescent="0.15"/>
    <row r="24560" hidden="1" x14ac:dyDescent="0.15"/>
    <row r="24561" hidden="1" x14ac:dyDescent="0.15"/>
    <row r="24562" hidden="1" x14ac:dyDescent="0.15"/>
    <row r="24563" hidden="1" x14ac:dyDescent="0.15"/>
    <row r="24564" hidden="1" x14ac:dyDescent="0.15"/>
    <row r="24565" hidden="1" x14ac:dyDescent="0.15"/>
    <row r="24566" hidden="1" x14ac:dyDescent="0.15"/>
    <row r="24567" hidden="1" x14ac:dyDescent="0.15"/>
    <row r="24568" hidden="1" x14ac:dyDescent="0.15"/>
    <row r="24569" hidden="1" x14ac:dyDescent="0.15"/>
    <row r="24570" hidden="1" x14ac:dyDescent="0.15"/>
    <row r="24571" hidden="1" x14ac:dyDescent="0.15"/>
    <row r="24572" hidden="1" x14ac:dyDescent="0.15"/>
    <row r="24573" hidden="1" x14ac:dyDescent="0.15"/>
    <row r="24574" hidden="1" x14ac:dyDescent="0.15"/>
    <row r="24575" hidden="1" x14ac:dyDescent="0.15"/>
    <row r="24576" hidden="1" x14ac:dyDescent="0.15"/>
    <row r="24577" hidden="1" x14ac:dyDescent="0.15"/>
    <row r="24578" hidden="1" x14ac:dyDescent="0.15"/>
    <row r="24579" hidden="1" x14ac:dyDescent="0.15"/>
    <row r="24580" hidden="1" x14ac:dyDescent="0.15"/>
    <row r="24581" hidden="1" x14ac:dyDescent="0.15"/>
    <row r="24582" hidden="1" x14ac:dyDescent="0.15"/>
    <row r="24583" hidden="1" x14ac:dyDescent="0.15"/>
    <row r="24584" hidden="1" x14ac:dyDescent="0.15"/>
    <row r="24585" hidden="1" x14ac:dyDescent="0.15"/>
    <row r="24586" hidden="1" x14ac:dyDescent="0.15"/>
    <row r="24587" hidden="1" x14ac:dyDescent="0.15"/>
    <row r="24588" hidden="1" x14ac:dyDescent="0.15"/>
    <row r="24589" hidden="1" x14ac:dyDescent="0.15"/>
    <row r="24590" hidden="1" x14ac:dyDescent="0.15"/>
    <row r="24591" hidden="1" x14ac:dyDescent="0.15"/>
    <row r="24592" hidden="1" x14ac:dyDescent="0.15"/>
    <row r="24593" hidden="1" x14ac:dyDescent="0.15"/>
    <row r="24594" hidden="1" x14ac:dyDescent="0.15"/>
    <row r="24595" hidden="1" x14ac:dyDescent="0.15"/>
    <row r="24596" hidden="1" x14ac:dyDescent="0.15"/>
    <row r="24597" hidden="1" x14ac:dyDescent="0.15"/>
    <row r="24598" hidden="1" x14ac:dyDescent="0.15"/>
    <row r="24599" hidden="1" x14ac:dyDescent="0.15"/>
    <row r="24600" hidden="1" x14ac:dyDescent="0.15"/>
    <row r="24601" hidden="1" x14ac:dyDescent="0.15"/>
    <row r="24602" hidden="1" x14ac:dyDescent="0.15"/>
    <row r="24603" hidden="1" x14ac:dyDescent="0.15"/>
    <row r="24604" hidden="1" x14ac:dyDescent="0.15"/>
    <row r="24605" hidden="1" x14ac:dyDescent="0.15"/>
    <row r="24606" hidden="1" x14ac:dyDescent="0.15"/>
    <row r="24607" hidden="1" x14ac:dyDescent="0.15"/>
    <row r="24608" hidden="1" x14ac:dyDescent="0.15"/>
    <row r="24609" hidden="1" x14ac:dyDescent="0.15"/>
    <row r="24610" hidden="1" x14ac:dyDescent="0.15"/>
    <row r="24611" hidden="1" x14ac:dyDescent="0.15"/>
    <row r="24612" hidden="1" x14ac:dyDescent="0.15"/>
    <row r="24613" hidden="1" x14ac:dyDescent="0.15"/>
    <row r="24614" hidden="1" x14ac:dyDescent="0.15"/>
    <row r="24615" hidden="1" x14ac:dyDescent="0.15"/>
    <row r="24616" hidden="1" x14ac:dyDescent="0.15"/>
    <row r="24617" hidden="1" x14ac:dyDescent="0.15"/>
    <row r="24618" hidden="1" x14ac:dyDescent="0.15"/>
    <row r="24619" hidden="1" x14ac:dyDescent="0.15"/>
    <row r="24620" hidden="1" x14ac:dyDescent="0.15"/>
    <row r="24621" hidden="1" x14ac:dyDescent="0.15"/>
    <row r="24622" hidden="1" x14ac:dyDescent="0.15"/>
    <row r="24623" hidden="1" x14ac:dyDescent="0.15"/>
    <row r="24624" hidden="1" x14ac:dyDescent="0.15"/>
    <row r="24625" hidden="1" x14ac:dyDescent="0.15"/>
    <row r="24626" hidden="1" x14ac:dyDescent="0.15"/>
    <row r="24627" hidden="1" x14ac:dyDescent="0.15"/>
    <row r="24628" hidden="1" x14ac:dyDescent="0.15"/>
    <row r="24629" hidden="1" x14ac:dyDescent="0.15"/>
    <row r="24630" hidden="1" x14ac:dyDescent="0.15"/>
    <row r="24631" hidden="1" x14ac:dyDescent="0.15"/>
    <row r="24632" hidden="1" x14ac:dyDescent="0.15"/>
    <row r="24633" hidden="1" x14ac:dyDescent="0.15"/>
    <row r="24634" hidden="1" x14ac:dyDescent="0.15"/>
    <row r="24635" hidden="1" x14ac:dyDescent="0.15"/>
    <row r="24636" hidden="1" x14ac:dyDescent="0.15"/>
    <row r="24637" hidden="1" x14ac:dyDescent="0.15"/>
    <row r="24638" hidden="1" x14ac:dyDescent="0.15"/>
    <row r="24639" hidden="1" x14ac:dyDescent="0.15"/>
    <row r="24640" hidden="1" x14ac:dyDescent="0.15"/>
    <row r="24641" hidden="1" x14ac:dyDescent="0.15"/>
    <row r="24642" hidden="1" x14ac:dyDescent="0.15"/>
    <row r="24643" hidden="1" x14ac:dyDescent="0.15"/>
    <row r="24644" hidden="1" x14ac:dyDescent="0.15"/>
    <row r="24645" hidden="1" x14ac:dyDescent="0.15"/>
    <row r="24646" hidden="1" x14ac:dyDescent="0.15"/>
    <row r="24647" hidden="1" x14ac:dyDescent="0.15"/>
    <row r="24648" hidden="1" x14ac:dyDescent="0.15"/>
    <row r="24649" hidden="1" x14ac:dyDescent="0.15"/>
    <row r="24650" hidden="1" x14ac:dyDescent="0.15"/>
    <row r="24651" hidden="1" x14ac:dyDescent="0.15"/>
    <row r="24652" hidden="1" x14ac:dyDescent="0.15"/>
    <row r="24653" hidden="1" x14ac:dyDescent="0.15"/>
    <row r="24654" hidden="1" x14ac:dyDescent="0.15"/>
    <row r="24655" hidden="1" x14ac:dyDescent="0.15"/>
    <row r="24656" hidden="1" x14ac:dyDescent="0.15"/>
    <row r="24657" hidden="1" x14ac:dyDescent="0.15"/>
    <row r="24658" hidden="1" x14ac:dyDescent="0.15"/>
    <row r="24659" hidden="1" x14ac:dyDescent="0.15"/>
    <row r="24660" hidden="1" x14ac:dyDescent="0.15"/>
    <row r="24661" hidden="1" x14ac:dyDescent="0.15"/>
    <row r="24662" hidden="1" x14ac:dyDescent="0.15"/>
    <row r="24663" hidden="1" x14ac:dyDescent="0.15"/>
    <row r="24664" hidden="1" x14ac:dyDescent="0.15"/>
    <row r="24665" hidden="1" x14ac:dyDescent="0.15"/>
    <row r="24666" hidden="1" x14ac:dyDescent="0.15"/>
    <row r="24667" hidden="1" x14ac:dyDescent="0.15"/>
    <row r="24668" hidden="1" x14ac:dyDescent="0.15"/>
    <row r="24669" hidden="1" x14ac:dyDescent="0.15"/>
    <row r="24670" hidden="1" x14ac:dyDescent="0.15"/>
    <row r="24671" hidden="1" x14ac:dyDescent="0.15"/>
    <row r="24672" hidden="1" x14ac:dyDescent="0.15"/>
    <row r="24673" hidden="1" x14ac:dyDescent="0.15"/>
    <row r="24674" hidden="1" x14ac:dyDescent="0.15"/>
    <row r="24675" hidden="1" x14ac:dyDescent="0.15"/>
    <row r="24676" hidden="1" x14ac:dyDescent="0.15"/>
    <row r="24677" hidden="1" x14ac:dyDescent="0.15"/>
    <row r="24678" hidden="1" x14ac:dyDescent="0.15"/>
    <row r="24679" hidden="1" x14ac:dyDescent="0.15"/>
    <row r="24680" hidden="1" x14ac:dyDescent="0.15"/>
    <row r="24681" hidden="1" x14ac:dyDescent="0.15"/>
    <row r="24682" hidden="1" x14ac:dyDescent="0.15"/>
    <row r="24683" hidden="1" x14ac:dyDescent="0.15"/>
    <row r="24684" hidden="1" x14ac:dyDescent="0.15"/>
    <row r="24685" hidden="1" x14ac:dyDescent="0.15"/>
    <row r="24686" hidden="1" x14ac:dyDescent="0.15"/>
    <row r="24687" hidden="1" x14ac:dyDescent="0.15"/>
    <row r="24688" hidden="1" x14ac:dyDescent="0.15"/>
    <row r="24689" hidden="1" x14ac:dyDescent="0.15"/>
    <row r="24690" hidden="1" x14ac:dyDescent="0.15"/>
    <row r="24691" hidden="1" x14ac:dyDescent="0.15"/>
    <row r="24692" hidden="1" x14ac:dyDescent="0.15"/>
    <row r="24693" hidden="1" x14ac:dyDescent="0.15"/>
    <row r="24694" hidden="1" x14ac:dyDescent="0.15"/>
    <row r="24695" hidden="1" x14ac:dyDescent="0.15"/>
    <row r="24696" hidden="1" x14ac:dyDescent="0.15"/>
    <row r="24697" hidden="1" x14ac:dyDescent="0.15"/>
    <row r="24698" hidden="1" x14ac:dyDescent="0.15"/>
    <row r="24699" hidden="1" x14ac:dyDescent="0.15"/>
    <row r="24700" hidden="1" x14ac:dyDescent="0.15"/>
    <row r="24701" hidden="1" x14ac:dyDescent="0.15"/>
    <row r="24702" hidden="1" x14ac:dyDescent="0.15"/>
    <row r="24703" hidden="1" x14ac:dyDescent="0.15"/>
    <row r="24704" hidden="1" x14ac:dyDescent="0.15"/>
    <row r="24705" hidden="1" x14ac:dyDescent="0.15"/>
    <row r="24706" hidden="1" x14ac:dyDescent="0.15"/>
    <row r="24707" hidden="1" x14ac:dyDescent="0.15"/>
    <row r="24708" hidden="1" x14ac:dyDescent="0.15"/>
    <row r="24709" hidden="1" x14ac:dyDescent="0.15"/>
    <row r="24710" hidden="1" x14ac:dyDescent="0.15"/>
    <row r="24711" hidden="1" x14ac:dyDescent="0.15"/>
    <row r="24712" hidden="1" x14ac:dyDescent="0.15"/>
    <row r="24713" hidden="1" x14ac:dyDescent="0.15"/>
    <row r="24714" hidden="1" x14ac:dyDescent="0.15"/>
    <row r="24715" hidden="1" x14ac:dyDescent="0.15"/>
    <row r="24716" hidden="1" x14ac:dyDescent="0.15"/>
    <row r="24717" hidden="1" x14ac:dyDescent="0.15"/>
    <row r="24718" hidden="1" x14ac:dyDescent="0.15"/>
    <row r="24719" hidden="1" x14ac:dyDescent="0.15"/>
    <row r="24720" hidden="1" x14ac:dyDescent="0.15"/>
    <row r="24721" hidden="1" x14ac:dyDescent="0.15"/>
    <row r="24722" hidden="1" x14ac:dyDescent="0.15"/>
    <row r="24723" hidden="1" x14ac:dyDescent="0.15"/>
    <row r="24724" hidden="1" x14ac:dyDescent="0.15"/>
    <row r="24725" hidden="1" x14ac:dyDescent="0.15"/>
    <row r="24726" hidden="1" x14ac:dyDescent="0.15"/>
    <row r="24727" hidden="1" x14ac:dyDescent="0.15"/>
    <row r="24728" hidden="1" x14ac:dyDescent="0.15"/>
    <row r="24729" hidden="1" x14ac:dyDescent="0.15"/>
    <row r="24730" hidden="1" x14ac:dyDescent="0.15"/>
    <row r="24731" hidden="1" x14ac:dyDescent="0.15"/>
    <row r="24732" hidden="1" x14ac:dyDescent="0.15"/>
    <row r="24733" hidden="1" x14ac:dyDescent="0.15"/>
    <row r="24734" hidden="1" x14ac:dyDescent="0.15"/>
    <row r="24735" hidden="1" x14ac:dyDescent="0.15"/>
    <row r="24736" hidden="1" x14ac:dyDescent="0.15"/>
    <row r="24737" hidden="1" x14ac:dyDescent="0.15"/>
    <row r="24738" hidden="1" x14ac:dyDescent="0.15"/>
    <row r="24739" hidden="1" x14ac:dyDescent="0.15"/>
    <row r="24740" hidden="1" x14ac:dyDescent="0.15"/>
    <row r="24741" hidden="1" x14ac:dyDescent="0.15"/>
    <row r="24742" hidden="1" x14ac:dyDescent="0.15"/>
    <row r="24743" hidden="1" x14ac:dyDescent="0.15"/>
    <row r="24744" hidden="1" x14ac:dyDescent="0.15"/>
    <row r="24745" hidden="1" x14ac:dyDescent="0.15"/>
    <row r="24746" hidden="1" x14ac:dyDescent="0.15"/>
    <row r="24747" hidden="1" x14ac:dyDescent="0.15"/>
    <row r="24748" hidden="1" x14ac:dyDescent="0.15"/>
    <row r="24749" hidden="1" x14ac:dyDescent="0.15"/>
    <row r="24750" hidden="1" x14ac:dyDescent="0.15"/>
    <row r="24751" hidden="1" x14ac:dyDescent="0.15"/>
    <row r="24752" hidden="1" x14ac:dyDescent="0.15"/>
    <row r="24753" hidden="1" x14ac:dyDescent="0.15"/>
    <row r="24754" hidden="1" x14ac:dyDescent="0.15"/>
    <row r="24755" hidden="1" x14ac:dyDescent="0.15"/>
    <row r="24756" hidden="1" x14ac:dyDescent="0.15"/>
    <row r="24757" hidden="1" x14ac:dyDescent="0.15"/>
    <row r="24758" hidden="1" x14ac:dyDescent="0.15"/>
    <row r="24759" hidden="1" x14ac:dyDescent="0.15"/>
    <row r="24760" hidden="1" x14ac:dyDescent="0.15"/>
    <row r="24761" hidden="1" x14ac:dyDescent="0.15"/>
    <row r="24762" hidden="1" x14ac:dyDescent="0.15"/>
    <row r="24763" hidden="1" x14ac:dyDescent="0.15"/>
    <row r="24764" hidden="1" x14ac:dyDescent="0.15"/>
    <row r="24765" hidden="1" x14ac:dyDescent="0.15"/>
    <row r="24766" hidden="1" x14ac:dyDescent="0.15"/>
    <row r="24767" hidden="1" x14ac:dyDescent="0.15"/>
    <row r="24768" hidden="1" x14ac:dyDescent="0.15"/>
    <row r="24769" hidden="1" x14ac:dyDescent="0.15"/>
    <row r="24770" hidden="1" x14ac:dyDescent="0.15"/>
    <row r="24771" hidden="1" x14ac:dyDescent="0.15"/>
    <row r="24772" hidden="1" x14ac:dyDescent="0.15"/>
    <row r="24773" hidden="1" x14ac:dyDescent="0.15"/>
    <row r="24774" hidden="1" x14ac:dyDescent="0.15"/>
    <row r="24775" hidden="1" x14ac:dyDescent="0.15"/>
    <row r="24776" hidden="1" x14ac:dyDescent="0.15"/>
    <row r="24777" hidden="1" x14ac:dyDescent="0.15"/>
    <row r="24778" hidden="1" x14ac:dyDescent="0.15"/>
    <row r="24779" hidden="1" x14ac:dyDescent="0.15"/>
    <row r="24780" hidden="1" x14ac:dyDescent="0.15"/>
    <row r="24781" hidden="1" x14ac:dyDescent="0.15"/>
    <row r="24782" hidden="1" x14ac:dyDescent="0.15"/>
    <row r="24783" hidden="1" x14ac:dyDescent="0.15"/>
    <row r="24784" hidden="1" x14ac:dyDescent="0.15"/>
    <row r="24785" hidden="1" x14ac:dyDescent="0.15"/>
    <row r="24786" hidden="1" x14ac:dyDescent="0.15"/>
    <row r="24787" hidden="1" x14ac:dyDescent="0.15"/>
    <row r="24788" hidden="1" x14ac:dyDescent="0.15"/>
    <row r="24789" hidden="1" x14ac:dyDescent="0.15"/>
    <row r="24790" hidden="1" x14ac:dyDescent="0.15"/>
    <row r="24791" hidden="1" x14ac:dyDescent="0.15"/>
    <row r="24792" hidden="1" x14ac:dyDescent="0.15"/>
    <row r="24793" hidden="1" x14ac:dyDescent="0.15"/>
    <row r="24794" hidden="1" x14ac:dyDescent="0.15"/>
    <row r="24795" hidden="1" x14ac:dyDescent="0.15"/>
    <row r="24796" hidden="1" x14ac:dyDescent="0.15"/>
    <row r="24797" hidden="1" x14ac:dyDescent="0.15"/>
    <row r="24798" hidden="1" x14ac:dyDescent="0.15"/>
    <row r="24799" hidden="1" x14ac:dyDescent="0.15"/>
    <row r="24800" hidden="1" x14ac:dyDescent="0.15"/>
    <row r="24801" hidden="1" x14ac:dyDescent="0.15"/>
    <row r="24802" hidden="1" x14ac:dyDescent="0.15"/>
    <row r="24803" hidden="1" x14ac:dyDescent="0.15"/>
    <row r="24804" hidden="1" x14ac:dyDescent="0.15"/>
    <row r="24805" hidden="1" x14ac:dyDescent="0.15"/>
    <row r="24806" hidden="1" x14ac:dyDescent="0.15"/>
    <row r="24807" hidden="1" x14ac:dyDescent="0.15"/>
    <row r="24808" hidden="1" x14ac:dyDescent="0.15"/>
    <row r="24809" hidden="1" x14ac:dyDescent="0.15"/>
    <row r="24810" hidden="1" x14ac:dyDescent="0.15"/>
    <row r="24811" hidden="1" x14ac:dyDescent="0.15"/>
    <row r="24812" hidden="1" x14ac:dyDescent="0.15"/>
    <row r="24813" hidden="1" x14ac:dyDescent="0.15"/>
    <row r="24814" hidden="1" x14ac:dyDescent="0.15"/>
    <row r="24815" hidden="1" x14ac:dyDescent="0.15"/>
    <row r="24816" hidden="1" x14ac:dyDescent="0.15"/>
    <row r="24817" hidden="1" x14ac:dyDescent="0.15"/>
    <row r="24818" hidden="1" x14ac:dyDescent="0.15"/>
    <row r="24819" hidden="1" x14ac:dyDescent="0.15"/>
    <row r="24820" hidden="1" x14ac:dyDescent="0.15"/>
    <row r="24821" hidden="1" x14ac:dyDescent="0.15"/>
    <row r="24822" hidden="1" x14ac:dyDescent="0.15"/>
    <row r="24823" hidden="1" x14ac:dyDescent="0.15"/>
    <row r="24824" hidden="1" x14ac:dyDescent="0.15"/>
    <row r="24825" hidden="1" x14ac:dyDescent="0.15"/>
    <row r="24826" hidden="1" x14ac:dyDescent="0.15"/>
    <row r="24827" hidden="1" x14ac:dyDescent="0.15"/>
    <row r="24828" hidden="1" x14ac:dyDescent="0.15"/>
    <row r="24829" hidden="1" x14ac:dyDescent="0.15"/>
    <row r="24830" hidden="1" x14ac:dyDescent="0.15"/>
    <row r="24831" hidden="1" x14ac:dyDescent="0.15"/>
    <row r="24832" hidden="1" x14ac:dyDescent="0.15"/>
    <row r="24833" hidden="1" x14ac:dyDescent="0.15"/>
    <row r="24834" hidden="1" x14ac:dyDescent="0.15"/>
    <row r="24835" hidden="1" x14ac:dyDescent="0.15"/>
    <row r="24836" hidden="1" x14ac:dyDescent="0.15"/>
    <row r="24837" hidden="1" x14ac:dyDescent="0.15"/>
    <row r="24838" hidden="1" x14ac:dyDescent="0.15"/>
    <row r="24839" hidden="1" x14ac:dyDescent="0.15"/>
    <row r="24840" hidden="1" x14ac:dyDescent="0.15"/>
    <row r="24841" hidden="1" x14ac:dyDescent="0.15"/>
    <row r="24842" hidden="1" x14ac:dyDescent="0.15"/>
    <row r="24843" hidden="1" x14ac:dyDescent="0.15"/>
    <row r="24844" hidden="1" x14ac:dyDescent="0.15"/>
    <row r="24845" hidden="1" x14ac:dyDescent="0.15"/>
    <row r="24846" hidden="1" x14ac:dyDescent="0.15"/>
    <row r="24847" hidden="1" x14ac:dyDescent="0.15"/>
    <row r="24848" hidden="1" x14ac:dyDescent="0.15"/>
    <row r="24849" hidden="1" x14ac:dyDescent="0.15"/>
    <row r="24850" hidden="1" x14ac:dyDescent="0.15"/>
    <row r="24851" hidden="1" x14ac:dyDescent="0.15"/>
    <row r="24852" hidden="1" x14ac:dyDescent="0.15"/>
    <row r="24853" hidden="1" x14ac:dyDescent="0.15"/>
    <row r="24854" hidden="1" x14ac:dyDescent="0.15"/>
    <row r="24855" hidden="1" x14ac:dyDescent="0.15"/>
    <row r="24856" hidden="1" x14ac:dyDescent="0.15"/>
    <row r="24857" hidden="1" x14ac:dyDescent="0.15"/>
    <row r="24858" hidden="1" x14ac:dyDescent="0.15"/>
    <row r="24859" hidden="1" x14ac:dyDescent="0.15"/>
    <row r="24860" hidden="1" x14ac:dyDescent="0.15"/>
    <row r="24861" hidden="1" x14ac:dyDescent="0.15"/>
    <row r="24862" hidden="1" x14ac:dyDescent="0.15"/>
    <row r="24863" hidden="1" x14ac:dyDescent="0.15"/>
    <row r="24864" hidden="1" x14ac:dyDescent="0.15"/>
    <row r="24865" hidden="1" x14ac:dyDescent="0.15"/>
    <row r="24866" hidden="1" x14ac:dyDescent="0.15"/>
    <row r="24867" hidden="1" x14ac:dyDescent="0.15"/>
    <row r="24868" hidden="1" x14ac:dyDescent="0.15"/>
    <row r="24869" hidden="1" x14ac:dyDescent="0.15"/>
    <row r="24870" hidden="1" x14ac:dyDescent="0.15"/>
    <row r="24871" hidden="1" x14ac:dyDescent="0.15"/>
    <row r="24872" hidden="1" x14ac:dyDescent="0.15"/>
    <row r="24873" hidden="1" x14ac:dyDescent="0.15"/>
    <row r="24874" hidden="1" x14ac:dyDescent="0.15"/>
    <row r="24875" hidden="1" x14ac:dyDescent="0.15"/>
    <row r="24876" hidden="1" x14ac:dyDescent="0.15"/>
    <row r="24877" hidden="1" x14ac:dyDescent="0.15"/>
    <row r="24878" hidden="1" x14ac:dyDescent="0.15"/>
    <row r="24879" hidden="1" x14ac:dyDescent="0.15"/>
    <row r="24880" hidden="1" x14ac:dyDescent="0.15"/>
    <row r="24881" hidden="1" x14ac:dyDescent="0.15"/>
    <row r="24882" hidden="1" x14ac:dyDescent="0.15"/>
    <row r="24883" hidden="1" x14ac:dyDescent="0.15"/>
    <row r="24884" hidden="1" x14ac:dyDescent="0.15"/>
    <row r="24885" hidden="1" x14ac:dyDescent="0.15"/>
    <row r="24886" hidden="1" x14ac:dyDescent="0.15"/>
    <row r="24887" hidden="1" x14ac:dyDescent="0.15"/>
    <row r="24888" hidden="1" x14ac:dyDescent="0.15"/>
    <row r="24889" hidden="1" x14ac:dyDescent="0.15"/>
    <row r="24890" hidden="1" x14ac:dyDescent="0.15"/>
    <row r="24891" hidden="1" x14ac:dyDescent="0.15"/>
    <row r="24892" hidden="1" x14ac:dyDescent="0.15"/>
    <row r="24893" hidden="1" x14ac:dyDescent="0.15"/>
    <row r="24894" hidden="1" x14ac:dyDescent="0.15"/>
    <row r="24895" hidden="1" x14ac:dyDescent="0.15"/>
    <row r="24896" hidden="1" x14ac:dyDescent="0.15"/>
    <row r="24897" hidden="1" x14ac:dyDescent="0.15"/>
    <row r="24898" hidden="1" x14ac:dyDescent="0.15"/>
    <row r="24899" hidden="1" x14ac:dyDescent="0.15"/>
    <row r="24900" hidden="1" x14ac:dyDescent="0.15"/>
    <row r="24901" hidden="1" x14ac:dyDescent="0.15"/>
    <row r="24902" hidden="1" x14ac:dyDescent="0.15"/>
    <row r="24903" hidden="1" x14ac:dyDescent="0.15"/>
    <row r="24904" hidden="1" x14ac:dyDescent="0.15"/>
    <row r="24905" hidden="1" x14ac:dyDescent="0.15"/>
    <row r="24906" hidden="1" x14ac:dyDescent="0.15"/>
    <row r="24907" hidden="1" x14ac:dyDescent="0.15"/>
    <row r="24908" hidden="1" x14ac:dyDescent="0.15"/>
    <row r="24909" hidden="1" x14ac:dyDescent="0.15"/>
    <row r="24910" hidden="1" x14ac:dyDescent="0.15"/>
    <row r="24911" hidden="1" x14ac:dyDescent="0.15"/>
    <row r="24912" hidden="1" x14ac:dyDescent="0.15"/>
    <row r="24913" hidden="1" x14ac:dyDescent="0.15"/>
    <row r="24914" hidden="1" x14ac:dyDescent="0.15"/>
    <row r="24915" hidden="1" x14ac:dyDescent="0.15"/>
    <row r="24916" hidden="1" x14ac:dyDescent="0.15"/>
    <row r="24917" hidden="1" x14ac:dyDescent="0.15"/>
    <row r="24918" hidden="1" x14ac:dyDescent="0.15"/>
    <row r="24919" hidden="1" x14ac:dyDescent="0.15"/>
    <row r="24920" hidden="1" x14ac:dyDescent="0.15"/>
    <row r="24921" hidden="1" x14ac:dyDescent="0.15"/>
    <row r="24922" hidden="1" x14ac:dyDescent="0.15"/>
    <row r="24923" hidden="1" x14ac:dyDescent="0.15"/>
    <row r="24924" hidden="1" x14ac:dyDescent="0.15"/>
    <row r="24925" hidden="1" x14ac:dyDescent="0.15"/>
    <row r="24926" hidden="1" x14ac:dyDescent="0.15"/>
    <row r="24927" hidden="1" x14ac:dyDescent="0.15"/>
    <row r="24928" hidden="1" x14ac:dyDescent="0.15"/>
    <row r="24929" hidden="1" x14ac:dyDescent="0.15"/>
    <row r="24930" hidden="1" x14ac:dyDescent="0.15"/>
    <row r="24931" hidden="1" x14ac:dyDescent="0.15"/>
    <row r="24932" hidden="1" x14ac:dyDescent="0.15"/>
    <row r="24933" hidden="1" x14ac:dyDescent="0.15"/>
    <row r="24934" hidden="1" x14ac:dyDescent="0.15"/>
    <row r="24935" hidden="1" x14ac:dyDescent="0.15"/>
    <row r="24936" hidden="1" x14ac:dyDescent="0.15"/>
    <row r="24937" hidden="1" x14ac:dyDescent="0.15"/>
    <row r="24938" hidden="1" x14ac:dyDescent="0.15"/>
    <row r="24939" hidden="1" x14ac:dyDescent="0.15"/>
    <row r="24940" hidden="1" x14ac:dyDescent="0.15"/>
    <row r="24941" hidden="1" x14ac:dyDescent="0.15"/>
    <row r="24942" hidden="1" x14ac:dyDescent="0.15"/>
    <row r="24943" hidden="1" x14ac:dyDescent="0.15"/>
    <row r="24944" hidden="1" x14ac:dyDescent="0.15"/>
    <row r="24945" hidden="1" x14ac:dyDescent="0.15"/>
    <row r="24946" hidden="1" x14ac:dyDescent="0.15"/>
    <row r="24947" hidden="1" x14ac:dyDescent="0.15"/>
    <row r="24948" hidden="1" x14ac:dyDescent="0.15"/>
    <row r="24949" hidden="1" x14ac:dyDescent="0.15"/>
    <row r="24950" hidden="1" x14ac:dyDescent="0.15"/>
    <row r="24951" hidden="1" x14ac:dyDescent="0.15"/>
    <row r="24952" hidden="1" x14ac:dyDescent="0.15"/>
    <row r="24953" hidden="1" x14ac:dyDescent="0.15"/>
    <row r="24954" hidden="1" x14ac:dyDescent="0.15"/>
    <row r="24955" hidden="1" x14ac:dyDescent="0.15"/>
    <row r="24956" hidden="1" x14ac:dyDescent="0.15"/>
    <row r="24957" hidden="1" x14ac:dyDescent="0.15"/>
    <row r="24958" hidden="1" x14ac:dyDescent="0.15"/>
    <row r="24959" hidden="1" x14ac:dyDescent="0.15"/>
    <row r="24960" hidden="1" x14ac:dyDescent="0.15"/>
    <row r="24961" hidden="1" x14ac:dyDescent="0.15"/>
    <row r="24962" hidden="1" x14ac:dyDescent="0.15"/>
    <row r="24963" hidden="1" x14ac:dyDescent="0.15"/>
    <row r="24964" hidden="1" x14ac:dyDescent="0.15"/>
    <row r="24965" hidden="1" x14ac:dyDescent="0.15"/>
    <row r="24966" hidden="1" x14ac:dyDescent="0.15"/>
    <row r="24967" hidden="1" x14ac:dyDescent="0.15"/>
    <row r="24968" hidden="1" x14ac:dyDescent="0.15"/>
    <row r="24969" hidden="1" x14ac:dyDescent="0.15"/>
    <row r="24970" hidden="1" x14ac:dyDescent="0.15"/>
    <row r="24971" hidden="1" x14ac:dyDescent="0.15"/>
    <row r="24972" hidden="1" x14ac:dyDescent="0.15"/>
    <row r="24973" hidden="1" x14ac:dyDescent="0.15"/>
    <row r="24974" hidden="1" x14ac:dyDescent="0.15"/>
    <row r="24975" hidden="1" x14ac:dyDescent="0.15"/>
    <row r="24976" hidden="1" x14ac:dyDescent="0.15"/>
    <row r="24977" hidden="1" x14ac:dyDescent="0.15"/>
    <row r="24978" hidden="1" x14ac:dyDescent="0.15"/>
    <row r="24979" hidden="1" x14ac:dyDescent="0.15"/>
    <row r="24980" hidden="1" x14ac:dyDescent="0.15"/>
    <row r="24981" hidden="1" x14ac:dyDescent="0.15"/>
    <row r="24982" hidden="1" x14ac:dyDescent="0.15"/>
    <row r="24983" hidden="1" x14ac:dyDescent="0.15"/>
    <row r="24984" hidden="1" x14ac:dyDescent="0.15"/>
    <row r="24985" hidden="1" x14ac:dyDescent="0.15"/>
    <row r="24986" hidden="1" x14ac:dyDescent="0.15"/>
    <row r="24987" hidden="1" x14ac:dyDescent="0.15"/>
    <row r="24988" hidden="1" x14ac:dyDescent="0.15"/>
    <row r="24989" hidden="1" x14ac:dyDescent="0.15"/>
    <row r="24990" hidden="1" x14ac:dyDescent="0.15"/>
    <row r="24991" hidden="1" x14ac:dyDescent="0.15"/>
    <row r="24992" hidden="1" x14ac:dyDescent="0.15"/>
    <row r="24993" hidden="1" x14ac:dyDescent="0.15"/>
    <row r="24994" hidden="1" x14ac:dyDescent="0.15"/>
    <row r="24995" hidden="1" x14ac:dyDescent="0.15"/>
    <row r="24996" hidden="1" x14ac:dyDescent="0.15"/>
    <row r="24997" hidden="1" x14ac:dyDescent="0.15"/>
    <row r="24998" hidden="1" x14ac:dyDescent="0.15"/>
    <row r="24999" hidden="1" x14ac:dyDescent="0.15"/>
    <row r="25000" hidden="1" x14ac:dyDescent="0.15"/>
    <row r="25001" hidden="1" x14ac:dyDescent="0.15"/>
    <row r="25002" hidden="1" x14ac:dyDescent="0.15"/>
    <row r="25003" hidden="1" x14ac:dyDescent="0.15"/>
    <row r="25004" hidden="1" x14ac:dyDescent="0.15"/>
    <row r="25005" hidden="1" x14ac:dyDescent="0.15"/>
    <row r="25006" hidden="1" x14ac:dyDescent="0.15"/>
    <row r="25007" hidden="1" x14ac:dyDescent="0.15"/>
    <row r="25008" hidden="1" x14ac:dyDescent="0.15"/>
    <row r="25009" hidden="1" x14ac:dyDescent="0.15"/>
    <row r="25010" hidden="1" x14ac:dyDescent="0.15"/>
    <row r="25011" hidden="1" x14ac:dyDescent="0.15"/>
    <row r="25012" hidden="1" x14ac:dyDescent="0.15"/>
    <row r="25013" hidden="1" x14ac:dyDescent="0.15"/>
    <row r="25014" hidden="1" x14ac:dyDescent="0.15"/>
    <row r="25015" hidden="1" x14ac:dyDescent="0.15"/>
    <row r="25016" hidden="1" x14ac:dyDescent="0.15"/>
    <row r="25017" hidden="1" x14ac:dyDescent="0.15"/>
    <row r="25018" hidden="1" x14ac:dyDescent="0.15"/>
    <row r="25019" hidden="1" x14ac:dyDescent="0.15"/>
    <row r="25020" hidden="1" x14ac:dyDescent="0.15"/>
    <row r="25021" hidden="1" x14ac:dyDescent="0.15"/>
    <row r="25022" hidden="1" x14ac:dyDescent="0.15"/>
    <row r="25023" hidden="1" x14ac:dyDescent="0.15"/>
    <row r="25024" hidden="1" x14ac:dyDescent="0.15"/>
    <row r="25025" hidden="1" x14ac:dyDescent="0.15"/>
    <row r="25026" hidden="1" x14ac:dyDescent="0.15"/>
    <row r="25027" hidden="1" x14ac:dyDescent="0.15"/>
    <row r="25028" hidden="1" x14ac:dyDescent="0.15"/>
    <row r="25029" hidden="1" x14ac:dyDescent="0.15"/>
    <row r="25030" hidden="1" x14ac:dyDescent="0.15"/>
    <row r="25031" hidden="1" x14ac:dyDescent="0.15"/>
    <row r="25032" hidden="1" x14ac:dyDescent="0.15"/>
    <row r="25033" hidden="1" x14ac:dyDescent="0.15"/>
    <row r="25034" hidden="1" x14ac:dyDescent="0.15"/>
    <row r="25035" hidden="1" x14ac:dyDescent="0.15"/>
    <row r="25036" hidden="1" x14ac:dyDescent="0.15"/>
    <row r="25037" hidden="1" x14ac:dyDescent="0.15"/>
    <row r="25038" hidden="1" x14ac:dyDescent="0.15"/>
    <row r="25039" hidden="1" x14ac:dyDescent="0.15"/>
    <row r="25040" hidden="1" x14ac:dyDescent="0.15"/>
    <row r="25041" hidden="1" x14ac:dyDescent="0.15"/>
    <row r="25042" hidden="1" x14ac:dyDescent="0.15"/>
    <row r="25043" hidden="1" x14ac:dyDescent="0.15"/>
    <row r="25044" hidden="1" x14ac:dyDescent="0.15"/>
    <row r="25045" hidden="1" x14ac:dyDescent="0.15"/>
    <row r="25046" hidden="1" x14ac:dyDescent="0.15"/>
    <row r="25047" hidden="1" x14ac:dyDescent="0.15"/>
    <row r="25048" hidden="1" x14ac:dyDescent="0.15"/>
    <row r="25049" hidden="1" x14ac:dyDescent="0.15"/>
    <row r="25050" hidden="1" x14ac:dyDescent="0.15"/>
    <row r="25051" hidden="1" x14ac:dyDescent="0.15"/>
    <row r="25052" hidden="1" x14ac:dyDescent="0.15"/>
    <row r="25053" hidden="1" x14ac:dyDescent="0.15"/>
    <row r="25054" hidden="1" x14ac:dyDescent="0.15"/>
    <row r="25055" hidden="1" x14ac:dyDescent="0.15"/>
    <row r="25056" hidden="1" x14ac:dyDescent="0.15"/>
    <row r="25057" hidden="1" x14ac:dyDescent="0.15"/>
    <row r="25058" hidden="1" x14ac:dyDescent="0.15"/>
    <row r="25059" hidden="1" x14ac:dyDescent="0.15"/>
    <row r="25060" hidden="1" x14ac:dyDescent="0.15"/>
    <row r="25061" hidden="1" x14ac:dyDescent="0.15"/>
    <row r="25062" hidden="1" x14ac:dyDescent="0.15"/>
    <row r="25063" hidden="1" x14ac:dyDescent="0.15"/>
    <row r="25064" hidden="1" x14ac:dyDescent="0.15"/>
    <row r="25065" hidden="1" x14ac:dyDescent="0.15"/>
    <row r="25066" hidden="1" x14ac:dyDescent="0.15"/>
    <row r="25067" hidden="1" x14ac:dyDescent="0.15"/>
    <row r="25068" hidden="1" x14ac:dyDescent="0.15"/>
    <row r="25069" hidden="1" x14ac:dyDescent="0.15"/>
    <row r="25070" hidden="1" x14ac:dyDescent="0.15"/>
    <row r="25071" hidden="1" x14ac:dyDescent="0.15"/>
    <row r="25072" hidden="1" x14ac:dyDescent="0.15"/>
    <row r="25073" hidden="1" x14ac:dyDescent="0.15"/>
    <row r="25074" hidden="1" x14ac:dyDescent="0.15"/>
    <row r="25075" hidden="1" x14ac:dyDescent="0.15"/>
    <row r="25076" hidden="1" x14ac:dyDescent="0.15"/>
    <row r="25077" hidden="1" x14ac:dyDescent="0.15"/>
    <row r="25078" hidden="1" x14ac:dyDescent="0.15"/>
    <row r="25079" hidden="1" x14ac:dyDescent="0.15"/>
    <row r="25080" hidden="1" x14ac:dyDescent="0.15"/>
    <row r="25081" hidden="1" x14ac:dyDescent="0.15"/>
    <row r="25082" hidden="1" x14ac:dyDescent="0.15"/>
    <row r="25083" hidden="1" x14ac:dyDescent="0.15"/>
    <row r="25084" hidden="1" x14ac:dyDescent="0.15"/>
    <row r="25085" hidden="1" x14ac:dyDescent="0.15"/>
    <row r="25086" hidden="1" x14ac:dyDescent="0.15"/>
    <row r="25087" hidden="1" x14ac:dyDescent="0.15"/>
    <row r="25088" hidden="1" x14ac:dyDescent="0.15"/>
    <row r="25089" hidden="1" x14ac:dyDescent="0.15"/>
    <row r="25090" hidden="1" x14ac:dyDescent="0.15"/>
    <row r="25091" hidden="1" x14ac:dyDescent="0.15"/>
    <row r="25092" hidden="1" x14ac:dyDescent="0.15"/>
    <row r="25093" hidden="1" x14ac:dyDescent="0.15"/>
    <row r="25094" hidden="1" x14ac:dyDescent="0.15"/>
    <row r="25095" hidden="1" x14ac:dyDescent="0.15"/>
    <row r="25096" hidden="1" x14ac:dyDescent="0.15"/>
    <row r="25097" hidden="1" x14ac:dyDescent="0.15"/>
    <row r="25098" hidden="1" x14ac:dyDescent="0.15"/>
    <row r="25099" hidden="1" x14ac:dyDescent="0.15"/>
    <row r="25100" hidden="1" x14ac:dyDescent="0.15"/>
    <row r="25101" hidden="1" x14ac:dyDescent="0.15"/>
    <row r="25102" hidden="1" x14ac:dyDescent="0.15"/>
    <row r="25103" hidden="1" x14ac:dyDescent="0.15"/>
    <row r="25104" hidden="1" x14ac:dyDescent="0.15"/>
    <row r="25105" hidden="1" x14ac:dyDescent="0.15"/>
    <row r="25106" hidden="1" x14ac:dyDescent="0.15"/>
    <row r="25107" hidden="1" x14ac:dyDescent="0.15"/>
    <row r="25108" hidden="1" x14ac:dyDescent="0.15"/>
    <row r="25109" hidden="1" x14ac:dyDescent="0.15"/>
    <row r="25110" hidden="1" x14ac:dyDescent="0.15"/>
    <row r="25111" hidden="1" x14ac:dyDescent="0.15"/>
    <row r="25112" hidden="1" x14ac:dyDescent="0.15"/>
    <row r="25113" hidden="1" x14ac:dyDescent="0.15"/>
    <row r="25114" hidden="1" x14ac:dyDescent="0.15"/>
    <row r="25115" hidden="1" x14ac:dyDescent="0.15"/>
    <row r="25116" hidden="1" x14ac:dyDescent="0.15"/>
    <row r="25117" hidden="1" x14ac:dyDescent="0.15"/>
    <row r="25118" hidden="1" x14ac:dyDescent="0.15"/>
    <row r="25119" hidden="1" x14ac:dyDescent="0.15"/>
    <row r="25120" hidden="1" x14ac:dyDescent="0.15"/>
    <row r="25121" hidden="1" x14ac:dyDescent="0.15"/>
    <row r="25122" hidden="1" x14ac:dyDescent="0.15"/>
    <row r="25123" hidden="1" x14ac:dyDescent="0.15"/>
    <row r="25124" hidden="1" x14ac:dyDescent="0.15"/>
    <row r="25125" hidden="1" x14ac:dyDescent="0.15"/>
    <row r="25126" hidden="1" x14ac:dyDescent="0.15"/>
    <row r="25127" hidden="1" x14ac:dyDescent="0.15"/>
    <row r="25128" hidden="1" x14ac:dyDescent="0.15"/>
    <row r="25129" hidden="1" x14ac:dyDescent="0.15"/>
    <row r="25130" hidden="1" x14ac:dyDescent="0.15"/>
    <row r="25131" hidden="1" x14ac:dyDescent="0.15"/>
    <row r="25132" hidden="1" x14ac:dyDescent="0.15"/>
    <row r="25133" hidden="1" x14ac:dyDescent="0.15"/>
    <row r="25134" hidden="1" x14ac:dyDescent="0.15"/>
    <row r="25135" hidden="1" x14ac:dyDescent="0.15"/>
    <row r="25136" hidden="1" x14ac:dyDescent="0.15"/>
    <row r="25137" hidden="1" x14ac:dyDescent="0.15"/>
    <row r="25138" hidden="1" x14ac:dyDescent="0.15"/>
    <row r="25139" hidden="1" x14ac:dyDescent="0.15"/>
    <row r="25140" hidden="1" x14ac:dyDescent="0.15"/>
    <row r="25141" hidden="1" x14ac:dyDescent="0.15"/>
    <row r="25142" hidden="1" x14ac:dyDescent="0.15"/>
    <row r="25143" hidden="1" x14ac:dyDescent="0.15"/>
    <row r="25144" hidden="1" x14ac:dyDescent="0.15"/>
    <row r="25145" hidden="1" x14ac:dyDescent="0.15"/>
    <row r="25146" hidden="1" x14ac:dyDescent="0.15"/>
    <row r="25147" hidden="1" x14ac:dyDescent="0.15"/>
    <row r="25148" hidden="1" x14ac:dyDescent="0.15"/>
    <row r="25149" hidden="1" x14ac:dyDescent="0.15"/>
    <row r="25150" hidden="1" x14ac:dyDescent="0.15"/>
    <row r="25151" hidden="1" x14ac:dyDescent="0.15"/>
    <row r="25152" hidden="1" x14ac:dyDescent="0.15"/>
    <row r="25153" hidden="1" x14ac:dyDescent="0.15"/>
    <row r="25154" hidden="1" x14ac:dyDescent="0.15"/>
    <row r="25155" hidden="1" x14ac:dyDescent="0.15"/>
    <row r="25156" hidden="1" x14ac:dyDescent="0.15"/>
    <row r="25157" hidden="1" x14ac:dyDescent="0.15"/>
    <row r="25158" hidden="1" x14ac:dyDescent="0.15"/>
    <row r="25159" hidden="1" x14ac:dyDescent="0.15"/>
    <row r="25160" hidden="1" x14ac:dyDescent="0.15"/>
    <row r="25161" hidden="1" x14ac:dyDescent="0.15"/>
    <row r="25162" hidden="1" x14ac:dyDescent="0.15"/>
    <row r="25163" hidden="1" x14ac:dyDescent="0.15"/>
    <row r="25164" hidden="1" x14ac:dyDescent="0.15"/>
    <row r="25165" hidden="1" x14ac:dyDescent="0.15"/>
    <row r="25166" hidden="1" x14ac:dyDescent="0.15"/>
    <row r="25167" hidden="1" x14ac:dyDescent="0.15"/>
    <row r="25168" hidden="1" x14ac:dyDescent="0.15"/>
    <row r="25169" hidden="1" x14ac:dyDescent="0.15"/>
    <row r="25170" hidden="1" x14ac:dyDescent="0.15"/>
    <row r="25171" hidden="1" x14ac:dyDescent="0.15"/>
    <row r="25172" hidden="1" x14ac:dyDescent="0.15"/>
    <row r="25173" hidden="1" x14ac:dyDescent="0.15"/>
    <row r="25174" hidden="1" x14ac:dyDescent="0.15"/>
    <row r="25175" hidden="1" x14ac:dyDescent="0.15"/>
    <row r="25176" hidden="1" x14ac:dyDescent="0.15"/>
    <row r="25177" hidden="1" x14ac:dyDescent="0.15"/>
    <row r="25178" hidden="1" x14ac:dyDescent="0.15"/>
    <row r="25179" hidden="1" x14ac:dyDescent="0.15"/>
    <row r="25180" hidden="1" x14ac:dyDescent="0.15"/>
    <row r="25181" hidden="1" x14ac:dyDescent="0.15"/>
    <row r="25182" hidden="1" x14ac:dyDescent="0.15"/>
    <row r="25183" hidden="1" x14ac:dyDescent="0.15"/>
    <row r="25184" hidden="1" x14ac:dyDescent="0.15"/>
    <row r="25185" hidden="1" x14ac:dyDescent="0.15"/>
    <row r="25186" hidden="1" x14ac:dyDescent="0.15"/>
    <row r="25187" hidden="1" x14ac:dyDescent="0.15"/>
    <row r="25188" hidden="1" x14ac:dyDescent="0.15"/>
    <row r="25189" hidden="1" x14ac:dyDescent="0.15"/>
    <row r="25190" hidden="1" x14ac:dyDescent="0.15"/>
    <row r="25191" hidden="1" x14ac:dyDescent="0.15"/>
    <row r="25192" hidden="1" x14ac:dyDescent="0.15"/>
    <row r="25193" hidden="1" x14ac:dyDescent="0.15"/>
    <row r="25194" hidden="1" x14ac:dyDescent="0.15"/>
    <row r="25195" hidden="1" x14ac:dyDescent="0.15"/>
    <row r="25196" hidden="1" x14ac:dyDescent="0.15"/>
    <row r="25197" hidden="1" x14ac:dyDescent="0.15"/>
    <row r="25198" hidden="1" x14ac:dyDescent="0.15"/>
    <row r="25199" hidden="1" x14ac:dyDescent="0.15"/>
    <row r="25200" hidden="1" x14ac:dyDescent="0.15"/>
    <row r="25201" hidden="1" x14ac:dyDescent="0.15"/>
    <row r="25202" hidden="1" x14ac:dyDescent="0.15"/>
    <row r="25203" hidden="1" x14ac:dyDescent="0.15"/>
    <row r="25204" hidden="1" x14ac:dyDescent="0.15"/>
    <row r="25205" hidden="1" x14ac:dyDescent="0.15"/>
    <row r="25206" hidden="1" x14ac:dyDescent="0.15"/>
    <row r="25207" hidden="1" x14ac:dyDescent="0.15"/>
    <row r="25208" hidden="1" x14ac:dyDescent="0.15"/>
    <row r="25209" hidden="1" x14ac:dyDescent="0.15"/>
    <row r="25210" hidden="1" x14ac:dyDescent="0.15"/>
    <row r="25211" hidden="1" x14ac:dyDescent="0.15"/>
    <row r="25212" hidden="1" x14ac:dyDescent="0.15"/>
    <row r="25213" hidden="1" x14ac:dyDescent="0.15"/>
    <row r="25214" hidden="1" x14ac:dyDescent="0.15"/>
    <row r="25215" hidden="1" x14ac:dyDescent="0.15"/>
    <row r="25216" hidden="1" x14ac:dyDescent="0.15"/>
    <row r="25217" hidden="1" x14ac:dyDescent="0.15"/>
    <row r="25218" hidden="1" x14ac:dyDescent="0.15"/>
    <row r="25219" hidden="1" x14ac:dyDescent="0.15"/>
    <row r="25220" hidden="1" x14ac:dyDescent="0.15"/>
    <row r="25221" hidden="1" x14ac:dyDescent="0.15"/>
    <row r="25222" hidden="1" x14ac:dyDescent="0.15"/>
    <row r="25223" hidden="1" x14ac:dyDescent="0.15"/>
    <row r="25224" hidden="1" x14ac:dyDescent="0.15"/>
    <row r="25225" hidden="1" x14ac:dyDescent="0.15"/>
    <row r="25226" hidden="1" x14ac:dyDescent="0.15"/>
    <row r="25227" hidden="1" x14ac:dyDescent="0.15"/>
    <row r="25228" hidden="1" x14ac:dyDescent="0.15"/>
    <row r="25229" hidden="1" x14ac:dyDescent="0.15"/>
    <row r="25230" hidden="1" x14ac:dyDescent="0.15"/>
    <row r="25231" hidden="1" x14ac:dyDescent="0.15"/>
    <row r="25232" hidden="1" x14ac:dyDescent="0.15"/>
    <row r="25233" hidden="1" x14ac:dyDescent="0.15"/>
    <row r="25234" hidden="1" x14ac:dyDescent="0.15"/>
    <row r="25235" hidden="1" x14ac:dyDescent="0.15"/>
    <row r="25236" hidden="1" x14ac:dyDescent="0.15"/>
    <row r="25237" hidden="1" x14ac:dyDescent="0.15"/>
    <row r="25238" hidden="1" x14ac:dyDescent="0.15"/>
    <row r="25239" hidden="1" x14ac:dyDescent="0.15"/>
    <row r="25240" hidden="1" x14ac:dyDescent="0.15"/>
    <row r="25241" hidden="1" x14ac:dyDescent="0.15"/>
    <row r="25242" hidden="1" x14ac:dyDescent="0.15"/>
    <row r="25243" hidden="1" x14ac:dyDescent="0.15"/>
    <row r="25244" hidden="1" x14ac:dyDescent="0.15"/>
    <row r="25245" hidden="1" x14ac:dyDescent="0.15"/>
    <row r="25246" hidden="1" x14ac:dyDescent="0.15"/>
    <row r="25247" hidden="1" x14ac:dyDescent="0.15"/>
    <row r="25248" hidden="1" x14ac:dyDescent="0.15"/>
    <row r="25249" hidden="1" x14ac:dyDescent="0.15"/>
    <row r="25250" hidden="1" x14ac:dyDescent="0.15"/>
    <row r="25251" hidden="1" x14ac:dyDescent="0.15"/>
    <row r="25252" hidden="1" x14ac:dyDescent="0.15"/>
    <row r="25253" hidden="1" x14ac:dyDescent="0.15"/>
    <row r="25254" hidden="1" x14ac:dyDescent="0.15"/>
    <row r="25255" hidden="1" x14ac:dyDescent="0.15"/>
    <row r="25256" hidden="1" x14ac:dyDescent="0.15"/>
    <row r="25257" hidden="1" x14ac:dyDescent="0.15"/>
    <row r="25258" hidden="1" x14ac:dyDescent="0.15"/>
    <row r="25259" hidden="1" x14ac:dyDescent="0.15"/>
    <row r="25260" hidden="1" x14ac:dyDescent="0.15"/>
    <row r="25261" hidden="1" x14ac:dyDescent="0.15"/>
    <row r="25262" hidden="1" x14ac:dyDescent="0.15"/>
    <row r="25263" hidden="1" x14ac:dyDescent="0.15"/>
    <row r="25264" hidden="1" x14ac:dyDescent="0.15"/>
    <row r="25265" hidden="1" x14ac:dyDescent="0.15"/>
    <row r="25266" hidden="1" x14ac:dyDescent="0.15"/>
    <row r="25267" hidden="1" x14ac:dyDescent="0.15"/>
    <row r="25268" hidden="1" x14ac:dyDescent="0.15"/>
    <row r="25269" hidden="1" x14ac:dyDescent="0.15"/>
    <row r="25270" hidden="1" x14ac:dyDescent="0.15"/>
    <row r="25271" hidden="1" x14ac:dyDescent="0.15"/>
    <row r="25272" hidden="1" x14ac:dyDescent="0.15"/>
    <row r="25273" hidden="1" x14ac:dyDescent="0.15"/>
    <row r="25274" hidden="1" x14ac:dyDescent="0.15"/>
    <row r="25275" hidden="1" x14ac:dyDescent="0.15"/>
    <row r="25276" hidden="1" x14ac:dyDescent="0.15"/>
    <row r="25277" hidden="1" x14ac:dyDescent="0.15"/>
    <row r="25278" hidden="1" x14ac:dyDescent="0.15"/>
    <row r="25279" hidden="1" x14ac:dyDescent="0.15"/>
    <row r="25280" hidden="1" x14ac:dyDescent="0.15"/>
    <row r="25281" hidden="1" x14ac:dyDescent="0.15"/>
    <row r="25282" hidden="1" x14ac:dyDescent="0.15"/>
    <row r="25283" hidden="1" x14ac:dyDescent="0.15"/>
    <row r="25284" hidden="1" x14ac:dyDescent="0.15"/>
    <row r="25285" hidden="1" x14ac:dyDescent="0.15"/>
    <row r="25286" hidden="1" x14ac:dyDescent="0.15"/>
    <row r="25287" hidden="1" x14ac:dyDescent="0.15"/>
    <row r="25288" hidden="1" x14ac:dyDescent="0.15"/>
    <row r="25289" hidden="1" x14ac:dyDescent="0.15"/>
    <row r="25290" hidden="1" x14ac:dyDescent="0.15"/>
    <row r="25291" hidden="1" x14ac:dyDescent="0.15"/>
    <row r="25292" hidden="1" x14ac:dyDescent="0.15"/>
    <row r="25293" hidden="1" x14ac:dyDescent="0.15"/>
    <row r="25294" hidden="1" x14ac:dyDescent="0.15"/>
    <row r="25295" hidden="1" x14ac:dyDescent="0.15"/>
    <row r="25296" hidden="1" x14ac:dyDescent="0.15"/>
    <row r="25297" hidden="1" x14ac:dyDescent="0.15"/>
    <row r="25298" hidden="1" x14ac:dyDescent="0.15"/>
    <row r="25299" hidden="1" x14ac:dyDescent="0.15"/>
    <row r="25300" hidden="1" x14ac:dyDescent="0.15"/>
    <row r="25301" hidden="1" x14ac:dyDescent="0.15"/>
    <row r="25302" hidden="1" x14ac:dyDescent="0.15"/>
    <row r="25303" hidden="1" x14ac:dyDescent="0.15"/>
    <row r="25304" hidden="1" x14ac:dyDescent="0.15"/>
    <row r="25305" hidden="1" x14ac:dyDescent="0.15"/>
    <row r="25306" hidden="1" x14ac:dyDescent="0.15"/>
    <row r="25307" hidden="1" x14ac:dyDescent="0.15"/>
    <row r="25308" hidden="1" x14ac:dyDescent="0.15"/>
    <row r="25309" hidden="1" x14ac:dyDescent="0.15"/>
    <row r="25310" hidden="1" x14ac:dyDescent="0.15"/>
    <row r="25311" hidden="1" x14ac:dyDescent="0.15"/>
    <row r="25312" hidden="1" x14ac:dyDescent="0.15"/>
    <row r="25313" hidden="1" x14ac:dyDescent="0.15"/>
    <row r="25314" hidden="1" x14ac:dyDescent="0.15"/>
    <row r="25315" hidden="1" x14ac:dyDescent="0.15"/>
    <row r="25316" hidden="1" x14ac:dyDescent="0.15"/>
    <row r="25317" hidden="1" x14ac:dyDescent="0.15"/>
    <row r="25318" hidden="1" x14ac:dyDescent="0.15"/>
    <row r="25319" hidden="1" x14ac:dyDescent="0.15"/>
    <row r="25320" hidden="1" x14ac:dyDescent="0.15"/>
    <row r="25321" hidden="1" x14ac:dyDescent="0.15"/>
    <row r="25322" hidden="1" x14ac:dyDescent="0.15"/>
    <row r="25323" hidden="1" x14ac:dyDescent="0.15"/>
    <row r="25324" hidden="1" x14ac:dyDescent="0.15"/>
    <row r="25325" hidden="1" x14ac:dyDescent="0.15"/>
    <row r="25326" hidden="1" x14ac:dyDescent="0.15"/>
    <row r="25327" hidden="1" x14ac:dyDescent="0.15"/>
    <row r="25328" hidden="1" x14ac:dyDescent="0.15"/>
    <row r="25329" hidden="1" x14ac:dyDescent="0.15"/>
    <row r="25330" hidden="1" x14ac:dyDescent="0.15"/>
    <row r="25331" hidden="1" x14ac:dyDescent="0.15"/>
    <row r="25332" hidden="1" x14ac:dyDescent="0.15"/>
    <row r="25333" hidden="1" x14ac:dyDescent="0.15"/>
    <row r="25334" hidden="1" x14ac:dyDescent="0.15"/>
    <row r="25335" hidden="1" x14ac:dyDescent="0.15"/>
    <row r="25336" hidden="1" x14ac:dyDescent="0.15"/>
    <row r="25337" hidden="1" x14ac:dyDescent="0.15"/>
    <row r="25338" hidden="1" x14ac:dyDescent="0.15"/>
    <row r="25339" hidden="1" x14ac:dyDescent="0.15"/>
    <row r="25340" hidden="1" x14ac:dyDescent="0.15"/>
    <row r="25341" hidden="1" x14ac:dyDescent="0.15"/>
    <row r="25342" hidden="1" x14ac:dyDescent="0.15"/>
    <row r="25343" hidden="1" x14ac:dyDescent="0.15"/>
    <row r="25344" hidden="1" x14ac:dyDescent="0.15"/>
    <row r="25345" hidden="1" x14ac:dyDescent="0.15"/>
    <row r="25346" hidden="1" x14ac:dyDescent="0.15"/>
    <row r="25347" hidden="1" x14ac:dyDescent="0.15"/>
    <row r="25348" hidden="1" x14ac:dyDescent="0.15"/>
    <row r="25349" hidden="1" x14ac:dyDescent="0.15"/>
    <row r="25350" hidden="1" x14ac:dyDescent="0.15"/>
    <row r="25351" hidden="1" x14ac:dyDescent="0.15"/>
    <row r="25352" hidden="1" x14ac:dyDescent="0.15"/>
    <row r="25353" hidden="1" x14ac:dyDescent="0.15"/>
    <row r="25354" hidden="1" x14ac:dyDescent="0.15"/>
    <row r="25355" hidden="1" x14ac:dyDescent="0.15"/>
    <row r="25356" hidden="1" x14ac:dyDescent="0.15"/>
    <row r="25357" hidden="1" x14ac:dyDescent="0.15"/>
    <row r="25358" hidden="1" x14ac:dyDescent="0.15"/>
    <row r="25359" hidden="1" x14ac:dyDescent="0.15"/>
    <row r="25360" hidden="1" x14ac:dyDescent="0.15"/>
    <row r="25361" hidden="1" x14ac:dyDescent="0.15"/>
    <row r="25362" hidden="1" x14ac:dyDescent="0.15"/>
    <row r="25363" hidden="1" x14ac:dyDescent="0.15"/>
    <row r="25364" hidden="1" x14ac:dyDescent="0.15"/>
    <row r="25365" hidden="1" x14ac:dyDescent="0.15"/>
    <row r="25366" hidden="1" x14ac:dyDescent="0.15"/>
    <row r="25367" hidden="1" x14ac:dyDescent="0.15"/>
    <row r="25368" hidden="1" x14ac:dyDescent="0.15"/>
    <row r="25369" hidden="1" x14ac:dyDescent="0.15"/>
    <row r="25370" hidden="1" x14ac:dyDescent="0.15"/>
    <row r="25371" hidden="1" x14ac:dyDescent="0.15"/>
    <row r="25372" hidden="1" x14ac:dyDescent="0.15"/>
    <row r="25373" hidden="1" x14ac:dyDescent="0.15"/>
    <row r="25374" hidden="1" x14ac:dyDescent="0.15"/>
    <row r="25375" hidden="1" x14ac:dyDescent="0.15"/>
    <row r="25376" hidden="1" x14ac:dyDescent="0.15"/>
    <row r="25377" hidden="1" x14ac:dyDescent="0.15"/>
    <row r="25378" hidden="1" x14ac:dyDescent="0.15"/>
    <row r="25379" hidden="1" x14ac:dyDescent="0.15"/>
    <row r="25380" hidden="1" x14ac:dyDescent="0.15"/>
    <row r="25381" hidden="1" x14ac:dyDescent="0.15"/>
    <row r="25382" hidden="1" x14ac:dyDescent="0.15"/>
    <row r="25383" hidden="1" x14ac:dyDescent="0.15"/>
    <row r="25384" hidden="1" x14ac:dyDescent="0.15"/>
    <row r="25385" hidden="1" x14ac:dyDescent="0.15"/>
    <row r="25386" hidden="1" x14ac:dyDescent="0.15"/>
    <row r="25387" hidden="1" x14ac:dyDescent="0.15"/>
    <row r="25388" hidden="1" x14ac:dyDescent="0.15"/>
    <row r="25389" hidden="1" x14ac:dyDescent="0.15"/>
    <row r="25390" hidden="1" x14ac:dyDescent="0.15"/>
    <row r="25391" hidden="1" x14ac:dyDescent="0.15"/>
    <row r="25392" hidden="1" x14ac:dyDescent="0.15"/>
    <row r="25393" hidden="1" x14ac:dyDescent="0.15"/>
    <row r="25394" hidden="1" x14ac:dyDescent="0.15"/>
    <row r="25395" hidden="1" x14ac:dyDescent="0.15"/>
    <row r="25396" hidden="1" x14ac:dyDescent="0.15"/>
    <row r="25397" hidden="1" x14ac:dyDescent="0.15"/>
    <row r="25398" hidden="1" x14ac:dyDescent="0.15"/>
    <row r="25399" hidden="1" x14ac:dyDescent="0.15"/>
    <row r="25400" hidden="1" x14ac:dyDescent="0.15"/>
    <row r="25401" hidden="1" x14ac:dyDescent="0.15"/>
    <row r="25402" hidden="1" x14ac:dyDescent="0.15"/>
    <row r="25403" hidden="1" x14ac:dyDescent="0.15"/>
    <row r="25404" hidden="1" x14ac:dyDescent="0.15"/>
    <row r="25405" hidden="1" x14ac:dyDescent="0.15"/>
    <row r="25406" hidden="1" x14ac:dyDescent="0.15"/>
    <row r="25407" hidden="1" x14ac:dyDescent="0.15"/>
    <row r="25408" hidden="1" x14ac:dyDescent="0.15"/>
    <row r="25409" hidden="1" x14ac:dyDescent="0.15"/>
    <row r="25410" hidden="1" x14ac:dyDescent="0.15"/>
    <row r="25411" hidden="1" x14ac:dyDescent="0.15"/>
    <row r="25412" hidden="1" x14ac:dyDescent="0.15"/>
    <row r="25413" hidden="1" x14ac:dyDescent="0.15"/>
    <row r="25414" hidden="1" x14ac:dyDescent="0.15"/>
    <row r="25415" hidden="1" x14ac:dyDescent="0.15"/>
    <row r="25416" hidden="1" x14ac:dyDescent="0.15"/>
    <row r="25417" hidden="1" x14ac:dyDescent="0.15"/>
    <row r="25418" hidden="1" x14ac:dyDescent="0.15"/>
    <row r="25419" hidden="1" x14ac:dyDescent="0.15"/>
    <row r="25420" hidden="1" x14ac:dyDescent="0.15"/>
    <row r="25421" hidden="1" x14ac:dyDescent="0.15"/>
    <row r="25422" hidden="1" x14ac:dyDescent="0.15"/>
    <row r="25423" hidden="1" x14ac:dyDescent="0.15"/>
    <row r="25424" hidden="1" x14ac:dyDescent="0.15"/>
    <row r="25425" hidden="1" x14ac:dyDescent="0.15"/>
    <row r="25426" hidden="1" x14ac:dyDescent="0.15"/>
    <row r="25427" hidden="1" x14ac:dyDescent="0.15"/>
    <row r="25428" hidden="1" x14ac:dyDescent="0.15"/>
    <row r="25429" hidden="1" x14ac:dyDescent="0.15"/>
    <row r="25430" hidden="1" x14ac:dyDescent="0.15"/>
    <row r="25431" hidden="1" x14ac:dyDescent="0.15"/>
    <row r="25432" hidden="1" x14ac:dyDescent="0.15"/>
    <row r="25433" hidden="1" x14ac:dyDescent="0.15"/>
    <row r="25434" hidden="1" x14ac:dyDescent="0.15"/>
    <row r="25435" hidden="1" x14ac:dyDescent="0.15"/>
    <row r="25436" hidden="1" x14ac:dyDescent="0.15"/>
    <row r="25437" hidden="1" x14ac:dyDescent="0.15"/>
    <row r="25438" hidden="1" x14ac:dyDescent="0.15"/>
    <row r="25439" hidden="1" x14ac:dyDescent="0.15"/>
    <row r="25440" hidden="1" x14ac:dyDescent="0.15"/>
    <row r="25441" hidden="1" x14ac:dyDescent="0.15"/>
    <row r="25442" hidden="1" x14ac:dyDescent="0.15"/>
    <row r="25443" hidden="1" x14ac:dyDescent="0.15"/>
    <row r="25444" hidden="1" x14ac:dyDescent="0.15"/>
    <row r="25445" hidden="1" x14ac:dyDescent="0.15"/>
    <row r="25446" hidden="1" x14ac:dyDescent="0.15"/>
    <row r="25447" hidden="1" x14ac:dyDescent="0.15"/>
    <row r="25448" hidden="1" x14ac:dyDescent="0.15"/>
    <row r="25449" hidden="1" x14ac:dyDescent="0.15"/>
    <row r="25450" hidden="1" x14ac:dyDescent="0.15"/>
    <row r="25451" hidden="1" x14ac:dyDescent="0.15"/>
    <row r="25452" hidden="1" x14ac:dyDescent="0.15"/>
    <row r="25453" hidden="1" x14ac:dyDescent="0.15"/>
    <row r="25454" hidden="1" x14ac:dyDescent="0.15"/>
    <row r="25455" hidden="1" x14ac:dyDescent="0.15"/>
    <row r="25456" hidden="1" x14ac:dyDescent="0.15"/>
    <row r="25457" hidden="1" x14ac:dyDescent="0.15"/>
    <row r="25458" hidden="1" x14ac:dyDescent="0.15"/>
    <row r="25459" hidden="1" x14ac:dyDescent="0.15"/>
    <row r="25460" hidden="1" x14ac:dyDescent="0.15"/>
    <row r="25461" hidden="1" x14ac:dyDescent="0.15"/>
    <row r="25462" hidden="1" x14ac:dyDescent="0.15"/>
    <row r="25463" hidden="1" x14ac:dyDescent="0.15"/>
    <row r="25464" hidden="1" x14ac:dyDescent="0.15"/>
    <row r="25465" hidden="1" x14ac:dyDescent="0.15"/>
    <row r="25466" hidden="1" x14ac:dyDescent="0.15"/>
    <row r="25467" hidden="1" x14ac:dyDescent="0.15"/>
    <row r="25468" hidden="1" x14ac:dyDescent="0.15"/>
    <row r="25469" hidden="1" x14ac:dyDescent="0.15"/>
    <row r="25470" hidden="1" x14ac:dyDescent="0.15"/>
    <row r="25471" hidden="1" x14ac:dyDescent="0.15"/>
    <row r="25472" hidden="1" x14ac:dyDescent="0.15"/>
    <row r="25473" hidden="1" x14ac:dyDescent="0.15"/>
    <row r="25474" hidden="1" x14ac:dyDescent="0.15"/>
    <row r="25475" hidden="1" x14ac:dyDescent="0.15"/>
    <row r="25476" hidden="1" x14ac:dyDescent="0.15"/>
    <row r="25477" hidden="1" x14ac:dyDescent="0.15"/>
    <row r="25478" hidden="1" x14ac:dyDescent="0.15"/>
    <row r="25479" hidden="1" x14ac:dyDescent="0.15"/>
    <row r="25480" hidden="1" x14ac:dyDescent="0.15"/>
    <row r="25481" hidden="1" x14ac:dyDescent="0.15"/>
    <row r="25482" hidden="1" x14ac:dyDescent="0.15"/>
    <row r="25483" hidden="1" x14ac:dyDescent="0.15"/>
    <row r="25484" hidden="1" x14ac:dyDescent="0.15"/>
    <row r="25485" hidden="1" x14ac:dyDescent="0.15"/>
    <row r="25486" hidden="1" x14ac:dyDescent="0.15"/>
    <row r="25487" hidden="1" x14ac:dyDescent="0.15"/>
    <row r="25488" hidden="1" x14ac:dyDescent="0.15"/>
    <row r="25489" hidden="1" x14ac:dyDescent="0.15"/>
    <row r="25490" hidden="1" x14ac:dyDescent="0.15"/>
    <row r="25491" hidden="1" x14ac:dyDescent="0.15"/>
    <row r="25492" hidden="1" x14ac:dyDescent="0.15"/>
    <row r="25493" hidden="1" x14ac:dyDescent="0.15"/>
    <row r="25494" hidden="1" x14ac:dyDescent="0.15"/>
    <row r="25495" hidden="1" x14ac:dyDescent="0.15"/>
    <row r="25496" hidden="1" x14ac:dyDescent="0.15"/>
    <row r="25497" hidden="1" x14ac:dyDescent="0.15"/>
    <row r="25498" hidden="1" x14ac:dyDescent="0.15"/>
    <row r="25499" hidden="1" x14ac:dyDescent="0.15"/>
    <row r="25500" hidden="1" x14ac:dyDescent="0.15"/>
    <row r="25501" hidden="1" x14ac:dyDescent="0.15"/>
    <row r="25502" hidden="1" x14ac:dyDescent="0.15"/>
    <row r="25503" hidden="1" x14ac:dyDescent="0.15"/>
    <row r="25504" hidden="1" x14ac:dyDescent="0.15"/>
    <row r="25505" hidden="1" x14ac:dyDescent="0.15"/>
    <row r="25506" hidden="1" x14ac:dyDescent="0.15"/>
    <row r="25507" hidden="1" x14ac:dyDescent="0.15"/>
    <row r="25508" hidden="1" x14ac:dyDescent="0.15"/>
    <row r="25509" hidden="1" x14ac:dyDescent="0.15"/>
    <row r="25510" hidden="1" x14ac:dyDescent="0.15"/>
    <row r="25511" hidden="1" x14ac:dyDescent="0.15"/>
    <row r="25512" hidden="1" x14ac:dyDescent="0.15"/>
    <row r="25513" hidden="1" x14ac:dyDescent="0.15"/>
    <row r="25514" hidden="1" x14ac:dyDescent="0.15"/>
    <row r="25515" hidden="1" x14ac:dyDescent="0.15"/>
    <row r="25516" hidden="1" x14ac:dyDescent="0.15"/>
    <row r="25517" hidden="1" x14ac:dyDescent="0.15"/>
    <row r="25518" hidden="1" x14ac:dyDescent="0.15"/>
    <row r="25519" hidden="1" x14ac:dyDescent="0.15"/>
    <row r="25520" hidden="1" x14ac:dyDescent="0.15"/>
    <row r="25521" hidden="1" x14ac:dyDescent="0.15"/>
    <row r="25522" hidden="1" x14ac:dyDescent="0.15"/>
    <row r="25523" hidden="1" x14ac:dyDescent="0.15"/>
    <row r="25524" hidden="1" x14ac:dyDescent="0.15"/>
    <row r="25525" hidden="1" x14ac:dyDescent="0.15"/>
    <row r="25526" hidden="1" x14ac:dyDescent="0.15"/>
    <row r="25527" hidden="1" x14ac:dyDescent="0.15"/>
    <row r="25528" hidden="1" x14ac:dyDescent="0.15"/>
    <row r="25529" hidden="1" x14ac:dyDescent="0.15"/>
    <row r="25530" hidden="1" x14ac:dyDescent="0.15"/>
    <row r="25531" hidden="1" x14ac:dyDescent="0.15"/>
    <row r="25532" hidden="1" x14ac:dyDescent="0.15"/>
    <row r="25533" hidden="1" x14ac:dyDescent="0.15"/>
    <row r="25534" hidden="1" x14ac:dyDescent="0.15"/>
    <row r="25535" hidden="1" x14ac:dyDescent="0.15"/>
    <row r="25536" hidden="1" x14ac:dyDescent="0.15"/>
    <row r="25537" hidden="1" x14ac:dyDescent="0.15"/>
    <row r="25538" hidden="1" x14ac:dyDescent="0.15"/>
    <row r="25539" hidden="1" x14ac:dyDescent="0.15"/>
    <row r="25540" hidden="1" x14ac:dyDescent="0.15"/>
    <row r="25541" hidden="1" x14ac:dyDescent="0.15"/>
    <row r="25542" hidden="1" x14ac:dyDescent="0.15"/>
    <row r="25543" hidden="1" x14ac:dyDescent="0.15"/>
    <row r="25544" hidden="1" x14ac:dyDescent="0.15"/>
    <row r="25545" hidden="1" x14ac:dyDescent="0.15"/>
    <row r="25546" hidden="1" x14ac:dyDescent="0.15"/>
    <row r="25547" hidden="1" x14ac:dyDescent="0.15"/>
    <row r="25548" hidden="1" x14ac:dyDescent="0.15"/>
    <row r="25549" hidden="1" x14ac:dyDescent="0.15"/>
    <row r="25550" hidden="1" x14ac:dyDescent="0.15"/>
    <row r="25551" hidden="1" x14ac:dyDescent="0.15"/>
    <row r="25552" hidden="1" x14ac:dyDescent="0.15"/>
    <row r="25553" hidden="1" x14ac:dyDescent="0.15"/>
    <row r="25554" hidden="1" x14ac:dyDescent="0.15"/>
    <row r="25555" hidden="1" x14ac:dyDescent="0.15"/>
    <row r="25556" hidden="1" x14ac:dyDescent="0.15"/>
    <row r="25557" hidden="1" x14ac:dyDescent="0.15"/>
    <row r="25558" hidden="1" x14ac:dyDescent="0.15"/>
    <row r="25559" hidden="1" x14ac:dyDescent="0.15"/>
    <row r="25560" hidden="1" x14ac:dyDescent="0.15"/>
    <row r="25561" hidden="1" x14ac:dyDescent="0.15"/>
    <row r="25562" hidden="1" x14ac:dyDescent="0.15"/>
    <row r="25563" hidden="1" x14ac:dyDescent="0.15"/>
    <row r="25564" hidden="1" x14ac:dyDescent="0.15"/>
    <row r="25565" hidden="1" x14ac:dyDescent="0.15"/>
    <row r="25566" hidden="1" x14ac:dyDescent="0.15"/>
    <row r="25567" hidden="1" x14ac:dyDescent="0.15"/>
    <row r="25568" hidden="1" x14ac:dyDescent="0.15"/>
    <row r="25569" hidden="1" x14ac:dyDescent="0.15"/>
    <row r="25570" hidden="1" x14ac:dyDescent="0.15"/>
    <row r="25571" hidden="1" x14ac:dyDescent="0.15"/>
    <row r="25572" hidden="1" x14ac:dyDescent="0.15"/>
    <row r="25573" hidden="1" x14ac:dyDescent="0.15"/>
    <row r="25574" hidden="1" x14ac:dyDescent="0.15"/>
    <row r="25575" hidden="1" x14ac:dyDescent="0.15"/>
    <row r="25576" hidden="1" x14ac:dyDescent="0.15"/>
    <row r="25577" hidden="1" x14ac:dyDescent="0.15"/>
    <row r="25578" hidden="1" x14ac:dyDescent="0.15"/>
    <row r="25579" hidden="1" x14ac:dyDescent="0.15"/>
    <row r="25580" hidden="1" x14ac:dyDescent="0.15"/>
    <row r="25581" hidden="1" x14ac:dyDescent="0.15"/>
    <row r="25582" hidden="1" x14ac:dyDescent="0.15"/>
    <row r="25583" hidden="1" x14ac:dyDescent="0.15"/>
    <row r="25584" hidden="1" x14ac:dyDescent="0.15"/>
    <row r="25585" hidden="1" x14ac:dyDescent="0.15"/>
    <row r="25586" hidden="1" x14ac:dyDescent="0.15"/>
    <row r="25587" hidden="1" x14ac:dyDescent="0.15"/>
    <row r="25588" hidden="1" x14ac:dyDescent="0.15"/>
    <row r="25589" hidden="1" x14ac:dyDescent="0.15"/>
    <row r="25590" hidden="1" x14ac:dyDescent="0.15"/>
    <row r="25591" hidden="1" x14ac:dyDescent="0.15"/>
    <row r="25592" hidden="1" x14ac:dyDescent="0.15"/>
    <row r="25593" hidden="1" x14ac:dyDescent="0.15"/>
    <row r="25594" hidden="1" x14ac:dyDescent="0.15"/>
    <row r="25595" hidden="1" x14ac:dyDescent="0.15"/>
    <row r="25596" hidden="1" x14ac:dyDescent="0.15"/>
    <row r="25597" hidden="1" x14ac:dyDescent="0.15"/>
    <row r="25598" hidden="1" x14ac:dyDescent="0.15"/>
    <row r="25599" hidden="1" x14ac:dyDescent="0.15"/>
    <row r="25600" hidden="1" x14ac:dyDescent="0.15"/>
    <row r="25601" hidden="1" x14ac:dyDescent="0.15"/>
    <row r="25602" hidden="1" x14ac:dyDescent="0.15"/>
    <row r="25603" hidden="1" x14ac:dyDescent="0.15"/>
    <row r="25604" hidden="1" x14ac:dyDescent="0.15"/>
    <row r="25605" hidden="1" x14ac:dyDescent="0.15"/>
    <row r="25606" hidden="1" x14ac:dyDescent="0.15"/>
    <row r="25607" hidden="1" x14ac:dyDescent="0.15"/>
    <row r="25608" hidden="1" x14ac:dyDescent="0.15"/>
    <row r="25609" hidden="1" x14ac:dyDescent="0.15"/>
    <row r="25610" hidden="1" x14ac:dyDescent="0.15"/>
    <row r="25611" hidden="1" x14ac:dyDescent="0.15"/>
    <row r="25612" hidden="1" x14ac:dyDescent="0.15"/>
    <row r="25613" hidden="1" x14ac:dyDescent="0.15"/>
    <row r="25614" hidden="1" x14ac:dyDescent="0.15"/>
    <row r="25615" hidden="1" x14ac:dyDescent="0.15"/>
    <row r="25616" hidden="1" x14ac:dyDescent="0.15"/>
    <row r="25617" hidden="1" x14ac:dyDescent="0.15"/>
    <row r="25618" hidden="1" x14ac:dyDescent="0.15"/>
    <row r="25619" hidden="1" x14ac:dyDescent="0.15"/>
    <row r="25620" hidden="1" x14ac:dyDescent="0.15"/>
    <row r="25621" hidden="1" x14ac:dyDescent="0.15"/>
    <row r="25622" hidden="1" x14ac:dyDescent="0.15"/>
    <row r="25623" hidden="1" x14ac:dyDescent="0.15"/>
    <row r="25624" hidden="1" x14ac:dyDescent="0.15"/>
    <row r="25625" hidden="1" x14ac:dyDescent="0.15"/>
    <row r="25626" hidden="1" x14ac:dyDescent="0.15"/>
    <row r="25627" hidden="1" x14ac:dyDescent="0.15"/>
    <row r="25628" hidden="1" x14ac:dyDescent="0.15"/>
    <row r="25629" hidden="1" x14ac:dyDescent="0.15"/>
    <row r="25630" hidden="1" x14ac:dyDescent="0.15"/>
    <row r="25631" hidden="1" x14ac:dyDescent="0.15"/>
    <row r="25632" hidden="1" x14ac:dyDescent="0.15"/>
    <row r="25633" hidden="1" x14ac:dyDescent="0.15"/>
    <row r="25634" hidden="1" x14ac:dyDescent="0.15"/>
    <row r="25635" hidden="1" x14ac:dyDescent="0.15"/>
    <row r="25636" hidden="1" x14ac:dyDescent="0.15"/>
    <row r="25637" hidden="1" x14ac:dyDescent="0.15"/>
    <row r="25638" hidden="1" x14ac:dyDescent="0.15"/>
    <row r="25639" hidden="1" x14ac:dyDescent="0.15"/>
    <row r="25640" hidden="1" x14ac:dyDescent="0.15"/>
    <row r="25641" hidden="1" x14ac:dyDescent="0.15"/>
    <row r="25642" hidden="1" x14ac:dyDescent="0.15"/>
    <row r="25643" hidden="1" x14ac:dyDescent="0.15"/>
    <row r="25644" hidden="1" x14ac:dyDescent="0.15"/>
    <row r="25645" hidden="1" x14ac:dyDescent="0.15"/>
    <row r="25646" hidden="1" x14ac:dyDescent="0.15"/>
    <row r="25647" hidden="1" x14ac:dyDescent="0.15"/>
    <row r="25648" hidden="1" x14ac:dyDescent="0.15"/>
    <row r="25649" hidden="1" x14ac:dyDescent="0.15"/>
    <row r="25650" hidden="1" x14ac:dyDescent="0.15"/>
    <row r="25651" hidden="1" x14ac:dyDescent="0.15"/>
    <row r="25652" hidden="1" x14ac:dyDescent="0.15"/>
    <row r="25653" hidden="1" x14ac:dyDescent="0.15"/>
    <row r="25654" hidden="1" x14ac:dyDescent="0.15"/>
    <row r="25655" hidden="1" x14ac:dyDescent="0.15"/>
    <row r="25656" hidden="1" x14ac:dyDescent="0.15"/>
    <row r="25657" hidden="1" x14ac:dyDescent="0.15"/>
    <row r="25658" hidden="1" x14ac:dyDescent="0.15"/>
    <row r="25659" hidden="1" x14ac:dyDescent="0.15"/>
    <row r="25660" hidden="1" x14ac:dyDescent="0.15"/>
    <row r="25661" hidden="1" x14ac:dyDescent="0.15"/>
    <row r="25662" hidden="1" x14ac:dyDescent="0.15"/>
    <row r="25663" hidden="1" x14ac:dyDescent="0.15"/>
    <row r="25664" hidden="1" x14ac:dyDescent="0.15"/>
    <row r="25665" hidden="1" x14ac:dyDescent="0.15"/>
    <row r="25666" hidden="1" x14ac:dyDescent="0.15"/>
    <row r="25667" hidden="1" x14ac:dyDescent="0.15"/>
    <row r="25668" hidden="1" x14ac:dyDescent="0.15"/>
    <row r="25669" hidden="1" x14ac:dyDescent="0.15"/>
    <row r="25670" hidden="1" x14ac:dyDescent="0.15"/>
    <row r="25671" hidden="1" x14ac:dyDescent="0.15"/>
    <row r="25672" hidden="1" x14ac:dyDescent="0.15"/>
    <row r="25673" hidden="1" x14ac:dyDescent="0.15"/>
    <row r="25674" hidden="1" x14ac:dyDescent="0.15"/>
    <row r="25675" hidden="1" x14ac:dyDescent="0.15"/>
    <row r="25676" hidden="1" x14ac:dyDescent="0.15"/>
    <row r="25677" hidden="1" x14ac:dyDescent="0.15"/>
    <row r="25678" hidden="1" x14ac:dyDescent="0.15"/>
    <row r="25679" hidden="1" x14ac:dyDescent="0.15"/>
    <row r="25680" hidden="1" x14ac:dyDescent="0.15"/>
    <row r="25681" hidden="1" x14ac:dyDescent="0.15"/>
    <row r="25682" hidden="1" x14ac:dyDescent="0.15"/>
    <row r="25683" hidden="1" x14ac:dyDescent="0.15"/>
    <row r="25684" hidden="1" x14ac:dyDescent="0.15"/>
    <row r="25685" hidden="1" x14ac:dyDescent="0.15"/>
    <row r="25686" hidden="1" x14ac:dyDescent="0.15"/>
    <row r="25687" hidden="1" x14ac:dyDescent="0.15"/>
    <row r="25688" hidden="1" x14ac:dyDescent="0.15"/>
    <row r="25689" hidden="1" x14ac:dyDescent="0.15"/>
    <row r="25690" hidden="1" x14ac:dyDescent="0.15"/>
    <row r="25691" hidden="1" x14ac:dyDescent="0.15"/>
    <row r="25692" hidden="1" x14ac:dyDescent="0.15"/>
    <row r="25693" hidden="1" x14ac:dyDescent="0.15"/>
    <row r="25694" hidden="1" x14ac:dyDescent="0.15"/>
    <row r="25695" hidden="1" x14ac:dyDescent="0.15"/>
    <row r="25696" hidden="1" x14ac:dyDescent="0.15"/>
    <row r="25697" hidden="1" x14ac:dyDescent="0.15"/>
    <row r="25698" hidden="1" x14ac:dyDescent="0.15"/>
    <row r="25699" hidden="1" x14ac:dyDescent="0.15"/>
    <row r="25700" hidden="1" x14ac:dyDescent="0.15"/>
    <row r="25701" hidden="1" x14ac:dyDescent="0.15"/>
    <row r="25702" hidden="1" x14ac:dyDescent="0.15"/>
    <row r="25703" hidden="1" x14ac:dyDescent="0.15"/>
    <row r="25704" hidden="1" x14ac:dyDescent="0.15"/>
    <row r="25705" hidden="1" x14ac:dyDescent="0.15"/>
    <row r="25706" hidden="1" x14ac:dyDescent="0.15"/>
    <row r="25707" hidden="1" x14ac:dyDescent="0.15"/>
    <row r="25708" hidden="1" x14ac:dyDescent="0.15"/>
    <row r="25709" hidden="1" x14ac:dyDescent="0.15"/>
    <row r="25710" hidden="1" x14ac:dyDescent="0.15"/>
    <row r="25711" hidden="1" x14ac:dyDescent="0.15"/>
    <row r="25712" hidden="1" x14ac:dyDescent="0.15"/>
    <row r="25713" hidden="1" x14ac:dyDescent="0.15"/>
    <row r="25714" hidden="1" x14ac:dyDescent="0.15"/>
    <row r="25715" hidden="1" x14ac:dyDescent="0.15"/>
    <row r="25716" hidden="1" x14ac:dyDescent="0.15"/>
    <row r="25717" hidden="1" x14ac:dyDescent="0.15"/>
    <row r="25718" hidden="1" x14ac:dyDescent="0.15"/>
    <row r="25719" hidden="1" x14ac:dyDescent="0.15"/>
    <row r="25720" hidden="1" x14ac:dyDescent="0.15"/>
    <row r="25721" hidden="1" x14ac:dyDescent="0.15"/>
    <row r="25722" hidden="1" x14ac:dyDescent="0.15"/>
    <row r="25723" hidden="1" x14ac:dyDescent="0.15"/>
    <row r="25724" hidden="1" x14ac:dyDescent="0.15"/>
    <row r="25725" hidden="1" x14ac:dyDescent="0.15"/>
    <row r="25726" hidden="1" x14ac:dyDescent="0.15"/>
    <row r="25727" hidden="1" x14ac:dyDescent="0.15"/>
    <row r="25728" hidden="1" x14ac:dyDescent="0.15"/>
    <row r="25729" hidden="1" x14ac:dyDescent="0.15"/>
    <row r="25730" hidden="1" x14ac:dyDescent="0.15"/>
    <row r="25731" hidden="1" x14ac:dyDescent="0.15"/>
    <row r="25732" hidden="1" x14ac:dyDescent="0.15"/>
    <row r="25733" hidden="1" x14ac:dyDescent="0.15"/>
    <row r="25734" hidden="1" x14ac:dyDescent="0.15"/>
    <row r="25735" hidden="1" x14ac:dyDescent="0.15"/>
    <row r="25736" hidden="1" x14ac:dyDescent="0.15"/>
    <row r="25737" hidden="1" x14ac:dyDescent="0.15"/>
    <row r="25738" hidden="1" x14ac:dyDescent="0.15"/>
    <row r="25739" hidden="1" x14ac:dyDescent="0.15"/>
    <row r="25740" hidden="1" x14ac:dyDescent="0.15"/>
    <row r="25741" hidden="1" x14ac:dyDescent="0.15"/>
    <row r="25742" hidden="1" x14ac:dyDescent="0.15"/>
    <row r="25743" hidden="1" x14ac:dyDescent="0.15"/>
    <row r="25744" hidden="1" x14ac:dyDescent="0.15"/>
    <row r="25745" hidden="1" x14ac:dyDescent="0.15"/>
    <row r="25746" hidden="1" x14ac:dyDescent="0.15"/>
    <row r="25747" hidden="1" x14ac:dyDescent="0.15"/>
    <row r="25748" hidden="1" x14ac:dyDescent="0.15"/>
    <row r="25749" hidden="1" x14ac:dyDescent="0.15"/>
    <row r="25750" hidden="1" x14ac:dyDescent="0.15"/>
    <row r="25751" hidden="1" x14ac:dyDescent="0.15"/>
    <row r="25752" hidden="1" x14ac:dyDescent="0.15"/>
    <row r="25753" hidden="1" x14ac:dyDescent="0.15"/>
    <row r="25754" hidden="1" x14ac:dyDescent="0.15"/>
    <row r="25755" hidden="1" x14ac:dyDescent="0.15"/>
    <row r="25756" hidden="1" x14ac:dyDescent="0.15"/>
    <row r="25757" hidden="1" x14ac:dyDescent="0.15"/>
    <row r="25758" hidden="1" x14ac:dyDescent="0.15"/>
    <row r="25759" hidden="1" x14ac:dyDescent="0.15"/>
    <row r="25760" hidden="1" x14ac:dyDescent="0.15"/>
    <row r="25761" hidden="1" x14ac:dyDescent="0.15"/>
    <row r="25762" hidden="1" x14ac:dyDescent="0.15"/>
    <row r="25763" hidden="1" x14ac:dyDescent="0.15"/>
    <row r="25764" hidden="1" x14ac:dyDescent="0.15"/>
    <row r="25765" hidden="1" x14ac:dyDescent="0.15"/>
    <row r="25766" hidden="1" x14ac:dyDescent="0.15"/>
    <row r="25767" hidden="1" x14ac:dyDescent="0.15"/>
    <row r="25768" hidden="1" x14ac:dyDescent="0.15"/>
    <row r="25769" hidden="1" x14ac:dyDescent="0.15"/>
    <row r="25770" hidden="1" x14ac:dyDescent="0.15"/>
    <row r="25771" hidden="1" x14ac:dyDescent="0.15"/>
    <row r="25772" hidden="1" x14ac:dyDescent="0.15"/>
    <row r="25773" hidden="1" x14ac:dyDescent="0.15"/>
    <row r="25774" hidden="1" x14ac:dyDescent="0.15"/>
    <row r="25775" hidden="1" x14ac:dyDescent="0.15"/>
    <row r="25776" hidden="1" x14ac:dyDescent="0.15"/>
    <row r="25777" hidden="1" x14ac:dyDescent="0.15"/>
    <row r="25778" hidden="1" x14ac:dyDescent="0.15"/>
    <row r="25779" hidden="1" x14ac:dyDescent="0.15"/>
    <row r="25780" hidden="1" x14ac:dyDescent="0.15"/>
    <row r="25781" hidden="1" x14ac:dyDescent="0.15"/>
    <row r="25782" hidden="1" x14ac:dyDescent="0.15"/>
    <row r="25783" hidden="1" x14ac:dyDescent="0.15"/>
    <row r="25784" hidden="1" x14ac:dyDescent="0.15"/>
    <row r="25785" hidden="1" x14ac:dyDescent="0.15"/>
    <row r="25786" hidden="1" x14ac:dyDescent="0.15"/>
    <row r="25787" hidden="1" x14ac:dyDescent="0.15"/>
    <row r="25788" hidden="1" x14ac:dyDescent="0.15"/>
    <row r="25789" hidden="1" x14ac:dyDescent="0.15"/>
    <row r="25790" hidden="1" x14ac:dyDescent="0.15"/>
    <row r="25791" hidden="1" x14ac:dyDescent="0.15"/>
    <row r="25792" hidden="1" x14ac:dyDescent="0.15"/>
    <row r="25793" hidden="1" x14ac:dyDescent="0.15"/>
    <row r="25794" hidden="1" x14ac:dyDescent="0.15"/>
    <row r="25795" hidden="1" x14ac:dyDescent="0.15"/>
    <row r="25796" hidden="1" x14ac:dyDescent="0.15"/>
    <row r="25797" hidden="1" x14ac:dyDescent="0.15"/>
    <row r="25798" hidden="1" x14ac:dyDescent="0.15"/>
    <row r="25799" hidden="1" x14ac:dyDescent="0.15"/>
    <row r="25800" hidden="1" x14ac:dyDescent="0.15"/>
    <row r="25801" hidden="1" x14ac:dyDescent="0.15"/>
    <row r="25802" hidden="1" x14ac:dyDescent="0.15"/>
    <row r="25803" hidden="1" x14ac:dyDescent="0.15"/>
    <row r="25804" hidden="1" x14ac:dyDescent="0.15"/>
    <row r="25805" hidden="1" x14ac:dyDescent="0.15"/>
    <row r="25806" hidden="1" x14ac:dyDescent="0.15"/>
    <row r="25807" hidden="1" x14ac:dyDescent="0.15"/>
    <row r="25808" hidden="1" x14ac:dyDescent="0.15"/>
    <row r="25809" hidden="1" x14ac:dyDescent="0.15"/>
    <row r="25810" hidden="1" x14ac:dyDescent="0.15"/>
    <row r="25811" hidden="1" x14ac:dyDescent="0.15"/>
    <row r="25812" hidden="1" x14ac:dyDescent="0.15"/>
    <row r="25813" hidden="1" x14ac:dyDescent="0.15"/>
    <row r="25814" hidden="1" x14ac:dyDescent="0.15"/>
    <row r="25815" hidden="1" x14ac:dyDescent="0.15"/>
    <row r="25816" hidden="1" x14ac:dyDescent="0.15"/>
    <row r="25817" hidden="1" x14ac:dyDescent="0.15"/>
    <row r="25818" hidden="1" x14ac:dyDescent="0.15"/>
    <row r="25819" hidden="1" x14ac:dyDescent="0.15"/>
    <row r="25820" hidden="1" x14ac:dyDescent="0.15"/>
    <row r="25821" hidden="1" x14ac:dyDescent="0.15"/>
    <row r="25822" hidden="1" x14ac:dyDescent="0.15"/>
    <row r="25823" hidden="1" x14ac:dyDescent="0.15"/>
    <row r="25824" hidden="1" x14ac:dyDescent="0.15"/>
    <row r="25825" hidden="1" x14ac:dyDescent="0.15"/>
    <row r="25826" hidden="1" x14ac:dyDescent="0.15"/>
    <row r="25827" hidden="1" x14ac:dyDescent="0.15"/>
    <row r="25828" hidden="1" x14ac:dyDescent="0.15"/>
    <row r="25829" hidden="1" x14ac:dyDescent="0.15"/>
    <row r="25830" hidden="1" x14ac:dyDescent="0.15"/>
    <row r="25831" hidden="1" x14ac:dyDescent="0.15"/>
    <row r="25832" hidden="1" x14ac:dyDescent="0.15"/>
    <row r="25833" hidden="1" x14ac:dyDescent="0.15"/>
    <row r="25834" hidden="1" x14ac:dyDescent="0.15"/>
    <row r="25835" hidden="1" x14ac:dyDescent="0.15"/>
    <row r="25836" hidden="1" x14ac:dyDescent="0.15"/>
    <row r="25837" hidden="1" x14ac:dyDescent="0.15"/>
    <row r="25838" hidden="1" x14ac:dyDescent="0.15"/>
    <row r="25839" hidden="1" x14ac:dyDescent="0.15"/>
    <row r="25840" hidden="1" x14ac:dyDescent="0.15"/>
    <row r="25841" hidden="1" x14ac:dyDescent="0.15"/>
    <row r="25842" hidden="1" x14ac:dyDescent="0.15"/>
    <row r="25843" hidden="1" x14ac:dyDescent="0.15"/>
    <row r="25844" hidden="1" x14ac:dyDescent="0.15"/>
    <row r="25845" hidden="1" x14ac:dyDescent="0.15"/>
    <row r="25846" hidden="1" x14ac:dyDescent="0.15"/>
    <row r="25847" hidden="1" x14ac:dyDescent="0.15"/>
    <row r="25848" hidden="1" x14ac:dyDescent="0.15"/>
    <row r="25849" hidden="1" x14ac:dyDescent="0.15"/>
    <row r="25850" hidden="1" x14ac:dyDescent="0.15"/>
    <row r="25851" hidden="1" x14ac:dyDescent="0.15"/>
    <row r="25852" hidden="1" x14ac:dyDescent="0.15"/>
    <row r="25853" hidden="1" x14ac:dyDescent="0.15"/>
    <row r="25854" hidden="1" x14ac:dyDescent="0.15"/>
    <row r="25855" hidden="1" x14ac:dyDescent="0.15"/>
    <row r="25856" hidden="1" x14ac:dyDescent="0.15"/>
    <row r="25857" hidden="1" x14ac:dyDescent="0.15"/>
    <row r="25858" hidden="1" x14ac:dyDescent="0.15"/>
    <row r="25859" hidden="1" x14ac:dyDescent="0.15"/>
    <row r="25860" hidden="1" x14ac:dyDescent="0.15"/>
    <row r="25861" hidden="1" x14ac:dyDescent="0.15"/>
    <row r="25862" hidden="1" x14ac:dyDescent="0.15"/>
    <row r="25863" hidden="1" x14ac:dyDescent="0.15"/>
    <row r="25864" hidden="1" x14ac:dyDescent="0.15"/>
    <row r="25865" hidden="1" x14ac:dyDescent="0.15"/>
    <row r="25866" hidden="1" x14ac:dyDescent="0.15"/>
    <row r="25867" hidden="1" x14ac:dyDescent="0.15"/>
    <row r="25868" hidden="1" x14ac:dyDescent="0.15"/>
    <row r="25869" hidden="1" x14ac:dyDescent="0.15"/>
    <row r="25870" hidden="1" x14ac:dyDescent="0.15"/>
    <row r="25871" hidden="1" x14ac:dyDescent="0.15"/>
    <row r="25872" hidden="1" x14ac:dyDescent="0.15"/>
    <row r="25873" hidden="1" x14ac:dyDescent="0.15"/>
    <row r="25874" hidden="1" x14ac:dyDescent="0.15"/>
    <row r="25875" hidden="1" x14ac:dyDescent="0.15"/>
    <row r="25876" hidden="1" x14ac:dyDescent="0.15"/>
    <row r="25877" hidden="1" x14ac:dyDescent="0.15"/>
    <row r="25878" hidden="1" x14ac:dyDescent="0.15"/>
    <row r="25879" hidden="1" x14ac:dyDescent="0.15"/>
    <row r="25880" hidden="1" x14ac:dyDescent="0.15"/>
    <row r="25881" hidden="1" x14ac:dyDescent="0.15"/>
    <row r="25882" hidden="1" x14ac:dyDescent="0.15"/>
    <row r="25883" hidden="1" x14ac:dyDescent="0.15"/>
    <row r="25884" hidden="1" x14ac:dyDescent="0.15"/>
    <row r="25885" hidden="1" x14ac:dyDescent="0.15"/>
    <row r="25886" hidden="1" x14ac:dyDescent="0.15"/>
    <row r="25887" hidden="1" x14ac:dyDescent="0.15"/>
    <row r="25888" hidden="1" x14ac:dyDescent="0.15"/>
    <row r="25889" hidden="1" x14ac:dyDescent="0.15"/>
    <row r="25890" hidden="1" x14ac:dyDescent="0.15"/>
    <row r="25891" hidden="1" x14ac:dyDescent="0.15"/>
    <row r="25892" hidden="1" x14ac:dyDescent="0.15"/>
    <row r="25893" hidden="1" x14ac:dyDescent="0.15"/>
    <row r="25894" hidden="1" x14ac:dyDescent="0.15"/>
    <row r="25895" hidden="1" x14ac:dyDescent="0.15"/>
    <row r="25896" hidden="1" x14ac:dyDescent="0.15"/>
    <row r="25897" hidden="1" x14ac:dyDescent="0.15"/>
    <row r="25898" hidden="1" x14ac:dyDescent="0.15"/>
    <row r="25899" hidden="1" x14ac:dyDescent="0.15"/>
    <row r="25900" hidden="1" x14ac:dyDescent="0.15"/>
    <row r="25901" hidden="1" x14ac:dyDescent="0.15"/>
    <row r="25902" hidden="1" x14ac:dyDescent="0.15"/>
    <row r="25903" hidden="1" x14ac:dyDescent="0.15"/>
    <row r="25904" hidden="1" x14ac:dyDescent="0.15"/>
    <row r="25905" hidden="1" x14ac:dyDescent="0.15"/>
    <row r="25906" hidden="1" x14ac:dyDescent="0.15"/>
    <row r="25907" hidden="1" x14ac:dyDescent="0.15"/>
    <row r="25908" hidden="1" x14ac:dyDescent="0.15"/>
    <row r="25909" hidden="1" x14ac:dyDescent="0.15"/>
    <row r="25910" hidden="1" x14ac:dyDescent="0.15"/>
    <row r="25911" hidden="1" x14ac:dyDescent="0.15"/>
    <row r="25912" hidden="1" x14ac:dyDescent="0.15"/>
    <row r="25913" hidden="1" x14ac:dyDescent="0.15"/>
    <row r="25914" hidden="1" x14ac:dyDescent="0.15"/>
    <row r="25915" hidden="1" x14ac:dyDescent="0.15"/>
    <row r="25916" hidden="1" x14ac:dyDescent="0.15"/>
    <row r="25917" hidden="1" x14ac:dyDescent="0.15"/>
    <row r="25918" hidden="1" x14ac:dyDescent="0.15"/>
    <row r="25919" hidden="1" x14ac:dyDescent="0.15"/>
    <row r="25920" hidden="1" x14ac:dyDescent="0.15"/>
    <row r="25921" hidden="1" x14ac:dyDescent="0.15"/>
    <row r="25922" hidden="1" x14ac:dyDescent="0.15"/>
    <row r="25923" hidden="1" x14ac:dyDescent="0.15"/>
    <row r="25924" hidden="1" x14ac:dyDescent="0.15"/>
    <row r="25925" hidden="1" x14ac:dyDescent="0.15"/>
    <row r="25926" hidden="1" x14ac:dyDescent="0.15"/>
    <row r="25927" hidden="1" x14ac:dyDescent="0.15"/>
    <row r="25928" hidden="1" x14ac:dyDescent="0.15"/>
    <row r="25929" hidden="1" x14ac:dyDescent="0.15"/>
    <row r="25930" hidden="1" x14ac:dyDescent="0.15"/>
    <row r="25931" hidden="1" x14ac:dyDescent="0.15"/>
    <row r="25932" hidden="1" x14ac:dyDescent="0.15"/>
    <row r="25933" hidden="1" x14ac:dyDescent="0.15"/>
    <row r="25934" hidden="1" x14ac:dyDescent="0.15"/>
    <row r="25935" hidden="1" x14ac:dyDescent="0.15"/>
    <row r="25936" hidden="1" x14ac:dyDescent="0.15"/>
    <row r="25937" hidden="1" x14ac:dyDescent="0.15"/>
    <row r="25938" hidden="1" x14ac:dyDescent="0.15"/>
    <row r="25939" hidden="1" x14ac:dyDescent="0.15"/>
    <row r="25940" hidden="1" x14ac:dyDescent="0.15"/>
    <row r="25941" hidden="1" x14ac:dyDescent="0.15"/>
    <row r="25942" hidden="1" x14ac:dyDescent="0.15"/>
    <row r="25943" hidden="1" x14ac:dyDescent="0.15"/>
    <row r="25944" hidden="1" x14ac:dyDescent="0.15"/>
    <row r="25945" hidden="1" x14ac:dyDescent="0.15"/>
    <row r="25946" hidden="1" x14ac:dyDescent="0.15"/>
    <row r="25947" hidden="1" x14ac:dyDescent="0.15"/>
    <row r="25948" hidden="1" x14ac:dyDescent="0.15"/>
    <row r="25949" hidden="1" x14ac:dyDescent="0.15"/>
    <row r="25950" hidden="1" x14ac:dyDescent="0.15"/>
    <row r="25951" hidden="1" x14ac:dyDescent="0.15"/>
    <row r="25952" hidden="1" x14ac:dyDescent="0.15"/>
    <row r="25953" hidden="1" x14ac:dyDescent="0.15"/>
    <row r="25954" hidden="1" x14ac:dyDescent="0.15"/>
    <row r="25955" hidden="1" x14ac:dyDescent="0.15"/>
    <row r="25956" hidden="1" x14ac:dyDescent="0.15"/>
    <row r="25957" hidden="1" x14ac:dyDescent="0.15"/>
    <row r="25958" hidden="1" x14ac:dyDescent="0.15"/>
    <row r="25959" hidden="1" x14ac:dyDescent="0.15"/>
    <row r="25960" hidden="1" x14ac:dyDescent="0.15"/>
    <row r="25961" hidden="1" x14ac:dyDescent="0.15"/>
    <row r="25962" hidden="1" x14ac:dyDescent="0.15"/>
    <row r="25963" hidden="1" x14ac:dyDescent="0.15"/>
    <row r="25964" hidden="1" x14ac:dyDescent="0.15"/>
    <row r="25965" hidden="1" x14ac:dyDescent="0.15"/>
    <row r="25966" hidden="1" x14ac:dyDescent="0.15"/>
    <row r="25967" hidden="1" x14ac:dyDescent="0.15"/>
    <row r="25968" hidden="1" x14ac:dyDescent="0.15"/>
    <row r="25969" hidden="1" x14ac:dyDescent="0.15"/>
    <row r="25970" hidden="1" x14ac:dyDescent="0.15"/>
    <row r="25971" hidden="1" x14ac:dyDescent="0.15"/>
    <row r="25972" hidden="1" x14ac:dyDescent="0.15"/>
    <row r="25973" hidden="1" x14ac:dyDescent="0.15"/>
    <row r="25974" hidden="1" x14ac:dyDescent="0.15"/>
    <row r="25975" hidden="1" x14ac:dyDescent="0.15"/>
    <row r="25976" hidden="1" x14ac:dyDescent="0.15"/>
    <row r="25977" hidden="1" x14ac:dyDescent="0.15"/>
    <row r="25978" hidden="1" x14ac:dyDescent="0.15"/>
    <row r="25979" hidden="1" x14ac:dyDescent="0.15"/>
    <row r="25980" hidden="1" x14ac:dyDescent="0.15"/>
    <row r="25981" hidden="1" x14ac:dyDescent="0.15"/>
    <row r="25982" hidden="1" x14ac:dyDescent="0.15"/>
    <row r="25983" hidden="1" x14ac:dyDescent="0.15"/>
    <row r="25984" hidden="1" x14ac:dyDescent="0.15"/>
    <row r="25985" hidden="1" x14ac:dyDescent="0.15"/>
    <row r="25986" hidden="1" x14ac:dyDescent="0.15"/>
    <row r="25987" hidden="1" x14ac:dyDescent="0.15"/>
    <row r="25988" hidden="1" x14ac:dyDescent="0.15"/>
    <row r="25989" hidden="1" x14ac:dyDescent="0.15"/>
    <row r="25990" hidden="1" x14ac:dyDescent="0.15"/>
    <row r="25991" hidden="1" x14ac:dyDescent="0.15"/>
    <row r="25992" hidden="1" x14ac:dyDescent="0.15"/>
    <row r="25993" hidden="1" x14ac:dyDescent="0.15"/>
    <row r="25994" hidden="1" x14ac:dyDescent="0.15"/>
    <row r="25995" hidden="1" x14ac:dyDescent="0.15"/>
    <row r="25996" hidden="1" x14ac:dyDescent="0.15"/>
    <row r="25997" hidden="1" x14ac:dyDescent="0.15"/>
    <row r="25998" hidden="1" x14ac:dyDescent="0.15"/>
    <row r="25999" hidden="1" x14ac:dyDescent="0.15"/>
    <row r="26000" hidden="1" x14ac:dyDescent="0.15"/>
    <row r="26001" hidden="1" x14ac:dyDescent="0.15"/>
    <row r="26002" hidden="1" x14ac:dyDescent="0.15"/>
    <row r="26003" hidden="1" x14ac:dyDescent="0.15"/>
    <row r="26004" hidden="1" x14ac:dyDescent="0.15"/>
    <row r="26005" hidden="1" x14ac:dyDescent="0.15"/>
    <row r="26006" hidden="1" x14ac:dyDescent="0.15"/>
    <row r="26007" hidden="1" x14ac:dyDescent="0.15"/>
    <row r="26008" hidden="1" x14ac:dyDescent="0.15"/>
    <row r="26009" hidden="1" x14ac:dyDescent="0.15"/>
    <row r="26010" hidden="1" x14ac:dyDescent="0.15"/>
    <row r="26011" hidden="1" x14ac:dyDescent="0.15"/>
    <row r="26012" hidden="1" x14ac:dyDescent="0.15"/>
    <row r="26013" hidden="1" x14ac:dyDescent="0.15"/>
    <row r="26014" hidden="1" x14ac:dyDescent="0.15"/>
    <row r="26015" hidden="1" x14ac:dyDescent="0.15"/>
    <row r="26016" hidden="1" x14ac:dyDescent="0.15"/>
    <row r="26017" hidden="1" x14ac:dyDescent="0.15"/>
    <row r="26018" hidden="1" x14ac:dyDescent="0.15"/>
    <row r="26019" hidden="1" x14ac:dyDescent="0.15"/>
    <row r="26020" hidden="1" x14ac:dyDescent="0.15"/>
    <row r="26021" hidden="1" x14ac:dyDescent="0.15"/>
    <row r="26022" hidden="1" x14ac:dyDescent="0.15"/>
    <row r="26023" hidden="1" x14ac:dyDescent="0.15"/>
    <row r="26024" hidden="1" x14ac:dyDescent="0.15"/>
    <row r="26025" hidden="1" x14ac:dyDescent="0.15"/>
    <row r="26026" hidden="1" x14ac:dyDescent="0.15"/>
    <row r="26027" hidden="1" x14ac:dyDescent="0.15"/>
    <row r="26028" hidden="1" x14ac:dyDescent="0.15"/>
    <row r="26029" hidden="1" x14ac:dyDescent="0.15"/>
    <row r="26030" hidden="1" x14ac:dyDescent="0.15"/>
    <row r="26031" hidden="1" x14ac:dyDescent="0.15"/>
    <row r="26032" hidden="1" x14ac:dyDescent="0.15"/>
    <row r="26033" hidden="1" x14ac:dyDescent="0.15"/>
    <row r="26034" hidden="1" x14ac:dyDescent="0.15"/>
    <row r="26035" hidden="1" x14ac:dyDescent="0.15"/>
    <row r="26036" hidden="1" x14ac:dyDescent="0.15"/>
    <row r="26037" hidden="1" x14ac:dyDescent="0.15"/>
    <row r="26038" hidden="1" x14ac:dyDescent="0.15"/>
    <row r="26039" hidden="1" x14ac:dyDescent="0.15"/>
    <row r="26040" hidden="1" x14ac:dyDescent="0.15"/>
    <row r="26041" hidden="1" x14ac:dyDescent="0.15"/>
    <row r="26042" hidden="1" x14ac:dyDescent="0.15"/>
    <row r="26043" hidden="1" x14ac:dyDescent="0.15"/>
    <row r="26044" hidden="1" x14ac:dyDescent="0.15"/>
    <row r="26045" hidden="1" x14ac:dyDescent="0.15"/>
    <row r="26046" hidden="1" x14ac:dyDescent="0.15"/>
    <row r="26047" hidden="1" x14ac:dyDescent="0.15"/>
    <row r="26048" hidden="1" x14ac:dyDescent="0.15"/>
    <row r="26049" hidden="1" x14ac:dyDescent="0.15"/>
    <row r="26050" hidden="1" x14ac:dyDescent="0.15"/>
    <row r="26051" hidden="1" x14ac:dyDescent="0.15"/>
    <row r="26052" hidden="1" x14ac:dyDescent="0.15"/>
    <row r="26053" hidden="1" x14ac:dyDescent="0.15"/>
    <row r="26054" hidden="1" x14ac:dyDescent="0.15"/>
    <row r="26055" hidden="1" x14ac:dyDescent="0.15"/>
    <row r="26056" hidden="1" x14ac:dyDescent="0.15"/>
    <row r="26057" hidden="1" x14ac:dyDescent="0.15"/>
    <row r="26058" hidden="1" x14ac:dyDescent="0.15"/>
    <row r="26059" hidden="1" x14ac:dyDescent="0.15"/>
    <row r="26060" hidden="1" x14ac:dyDescent="0.15"/>
    <row r="26061" hidden="1" x14ac:dyDescent="0.15"/>
    <row r="26062" hidden="1" x14ac:dyDescent="0.15"/>
    <row r="26063" hidden="1" x14ac:dyDescent="0.15"/>
    <row r="26064" hidden="1" x14ac:dyDescent="0.15"/>
    <row r="26065" hidden="1" x14ac:dyDescent="0.15"/>
    <row r="26066" hidden="1" x14ac:dyDescent="0.15"/>
    <row r="26067" hidden="1" x14ac:dyDescent="0.15"/>
    <row r="26068" hidden="1" x14ac:dyDescent="0.15"/>
    <row r="26069" hidden="1" x14ac:dyDescent="0.15"/>
    <row r="26070" hidden="1" x14ac:dyDescent="0.15"/>
    <row r="26071" hidden="1" x14ac:dyDescent="0.15"/>
    <row r="26072" hidden="1" x14ac:dyDescent="0.15"/>
    <row r="26073" hidden="1" x14ac:dyDescent="0.15"/>
    <row r="26074" hidden="1" x14ac:dyDescent="0.15"/>
    <row r="26075" hidden="1" x14ac:dyDescent="0.15"/>
    <row r="26076" hidden="1" x14ac:dyDescent="0.15"/>
    <row r="26077" hidden="1" x14ac:dyDescent="0.15"/>
    <row r="26078" hidden="1" x14ac:dyDescent="0.15"/>
    <row r="26079" hidden="1" x14ac:dyDescent="0.15"/>
    <row r="26080" hidden="1" x14ac:dyDescent="0.15"/>
    <row r="26081" hidden="1" x14ac:dyDescent="0.15"/>
    <row r="26082" hidden="1" x14ac:dyDescent="0.15"/>
    <row r="26083" hidden="1" x14ac:dyDescent="0.15"/>
    <row r="26084" hidden="1" x14ac:dyDescent="0.15"/>
    <row r="26085" hidden="1" x14ac:dyDescent="0.15"/>
    <row r="26086" hidden="1" x14ac:dyDescent="0.15"/>
    <row r="26087" hidden="1" x14ac:dyDescent="0.15"/>
    <row r="26088" hidden="1" x14ac:dyDescent="0.15"/>
    <row r="26089" hidden="1" x14ac:dyDescent="0.15"/>
    <row r="26090" hidden="1" x14ac:dyDescent="0.15"/>
    <row r="26091" hidden="1" x14ac:dyDescent="0.15"/>
    <row r="26092" hidden="1" x14ac:dyDescent="0.15"/>
    <row r="26093" hidden="1" x14ac:dyDescent="0.15"/>
    <row r="26094" hidden="1" x14ac:dyDescent="0.15"/>
    <row r="26095" hidden="1" x14ac:dyDescent="0.15"/>
    <row r="26096" hidden="1" x14ac:dyDescent="0.15"/>
    <row r="26097" hidden="1" x14ac:dyDescent="0.15"/>
    <row r="26098" hidden="1" x14ac:dyDescent="0.15"/>
    <row r="26099" hidden="1" x14ac:dyDescent="0.15"/>
    <row r="26100" hidden="1" x14ac:dyDescent="0.15"/>
    <row r="26101" hidden="1" x14ac:dyDescent="0.15"/>
    <row r="26102" hidden="1" x14ac:dyDescent="0.15"/>
    <row r="26103" hidden="1" x14ac:dyDescent="0.15"/>
    <row r="26104" hidden="1" x14ac:dyDescent="0.15"/>
    <row r="26105" hidden="1" x14ac:dyDescent="0.15"/>
    <row r="26106" hidden="1" x14ac:dyDescent="0.15"/>
    <row r="26107" hidden="1" x14ac:dyDescent="0.15"/>
    <row r="26108" hidden="1" x14ac:dyDescent="0.15"/>
    <row r="26109" hidden="1" x14ac:dyDescent="0.15"/>
    <row r="26110" hidden="1" x14ac:dyDescent="0.15"/>
    <row r="26111" hidden="1" x14ac:dyDescent="0.15"/>
    <row r="26112" hidden="1" x14ac:dyDescent="0.15"/>
    <row r="26113" hidden="1" x14ac:dyDescent="0.15"/>
    <row r="26114" hidden="1" x14ac:dyDescent="0.15"/>
    <row r="26115" hidden="1" x14ac:dyDescent="0.15"/>
    <row r="26116" hidden="1" x14ac:dyDescent="0.15"/>
    <row r="26117" hidden="1" x14ac:dyDescent="0.15"/>
    <row r="26118" hidden="1" x14ac:dyDescent="0.15"/>
    <row r="26119" hidden="1" x14ac:dyDescent="0.15"/>
    <row r="26120" hidden="1" x14ac:dyDescent="0.15"/>
    <row r="26121" hidden="1" x14ac:dyDescent="0.15"/>
    <row r="26122" hidden="1" x14ac:dyDescent="0.15"/>
    <row r="26123" hidden="1" x14ac:dyDescent="0.15"/>
    <row r="26124" hidden="1" x14ac:dyDescent="0.15"/>
    <row r="26125" hidden="1" x14ac:dyDescent="0.15"/>
    <row r="26126" hidden="1" x14ac:dyDescent="0.15"/>
    <row r="26127" hidden="1" x14ac:dyDescent="0.15"/>
    <row r="26128" hidden="1" x14ac:dyDescent="0.15"/>
    <row r="26129" hidden="1" x14ac:dyDescent="0.15"/>
    <row r="26130" hidden="1" x14ac:dyDescent="0.15"/>
    <row r="26131" hidden="1" x14ac:dyDescent="0.15"/>
    <row r="26132" hidden="1" x14ac:dyDescent="0.15"/>
    <row r="26133" hidden="1" x14ac:dyDescent="0.15"/>
    <row r="26134" hidden="1" x14ac:dyDescent="0.15"/>
    <row r="26135" hidden="1" x14ac:dyDescent="0.15"/>
    <row r="26136" hidden="1" x14ac:dyDescent="0.15"/>
    <row r="26137" hidden="1" x14ac:dyDescent="0.15"/>
    <row r="26138" hidden="1" x14ac:dyDescent="0.15"/>
    <row r="26139" hidden="1" x14ac:dyDescent="0.15"/>
    <row r="26140" hidden="1" x14ac:dyDescent="0.15"/>
    <row r="26141" hidden="1" x14ac:dyDescent="0.15"/>
    <row r="26142" hidden="1" x14ac:dyDescent="0.15"/>
    <row r="26143" hidden="1" x14ac:dyDescent="0.15"/>
    <row r="26144" hidden="1" x14ac:dyDescent="0.15"/>
    <row r="26145" hidden="1" x14ac:dyDescent="0.15"/>
    <row r="26146" hidden="1" x14ac:dyDescent="0.15"/>
    <row r="26147" hidden="1" x14ac:dyDescent="0.15"/>
    <row r="26148" hidden="1" x14ac:dyDescent="0.15"/>
    <row r="26149" hidden="1" x14ac:dyDescent="0.15"/>
    <row r="26150" hidden="1" x14ac:dyDescent="0.15"/>
    <row r="26151" hidden="1" x14ac:dyDescent="0.15"/>
    <row r="26152" hidden="1" x14ac:dyDescent="0.15"/>
    <row r="26153" hidden="1" x14ac:dyDescent="0.15"/>
    <row r="26154" hidden="1" x14ac:dyDescent="0.15"/>
    <row r="26155" hidden="1" x14ac:dyDescent="0.15"/>
    <row r="26156" hidden="1" x14ac:dyDescent="0.15"/>
    <row r="26157" hidden="1" x14ac:dyDescent="0.15"/>
    <row r="26158" hidden="1" x14ac:dyDescent="0.15"/>
    <row r="26159" hidden="1" x14ac:dyDescent="0.15"/>
    <row r="26160" hidden="1" x14ac:dyDescent="0.15"/>
    <row r="26161" hidden="1" x14ac:dyDescent="0.15"/>
    <row r="26162" hidden="1" x14ac:dyDescent="0.15"/>
    <row r="26163" hidden="1" x14ac:dyDescent="0.15"/>
    <row r="26164" hidden="1" x14ac:dyDescent="0.15"/>
    <row r="26165" hidden="1" x14ac:dyDescent="0.15"/>
    <row r="26166" hidden="1" x14ac:dyDescent="0.15"/>
    <row r="26167" hidden="1" x14ac:dyDescent="0.15"/>
    <row r="26168" hidden="1" x14ac:dyDescent="0.15"/>
    <row r="26169" hidden="1" x14ac:dyDescent="0.15"/>
    <row r="26170" hidden="1" x14ac:dyDescent="0.15"/>
    <row r="26171" hidden="1" x14ac:dyDescent="0.15"/>
    <row r="26172" hidden="1" x14ac:dyDescent="0.15"/>
    <row r="26173" hidden="1" x14ac:dyDescent="0.15"/>
    <row r="26174" hidden="1" x14ac:dyDescent="0.15"/>
    <row r="26175" hidden="1" x14ac:dyDescent="0.15"/>
    <row r="26176" hidden="1" x14ac:dyDescent="0.15"/>
    <row r="26177" hidden="1" x14ac:dyDescent="0.15"/>
    <row r="26178" hidden="1" x14ac:dyDescent="0.15"/>
    <row r="26179" hidden="1" x14ac:dyDescent="0.15"/>
    <row r="26180" hidden="1" x14ac:dyDescent="0.15"/>
    <row r="26181" hidden="1" x14ac:dyDescent="0.15"/>
    <row r="26182" hidden="1" x14ac:dyDescent="0.15"/>
    <row r="26183" hidden="1" x14ac:dyDescent="0.15"/>
    <row r="26184" hidden="1" x14ac:dyDescent="0.15"/>
    <row r="26185" hidden="1" x14ac:dyDescent="0.15"/>
    <row r="26186" hidden="1" x14ac:dyDescent="0.15"/>
    <row r="26187" hidden="1" x14ac:dyDescent="0.15"/>
    <row r="26188" hidden="1" x14ac:dyDescent="0.15"/>
    <row r="26189" hidden="1" x14ac:dyDescent="0.15"/>
    <row r="26190" hidden="1" x14ac:dyDescent="0.15"/>
    <row r="26191" hidden="1" x14ac:dyDescent="0.15"/>
    <row r="26192" hidden="1" x14ac:dyDescent="0.15"/>
    <row r="26193" hidden="1" x14ac:dyDescent="0.15"/>
    <row r="26194" hidden="1" x14ac:dyDescent="0.15"/>
    <row r="26195" hidden="1" x14ac:dyDescent="0.15"/>
    <row r="26196" hidden="1" x14ac:dyDescent="0.15"/>
    <row r="26197" hidden="1" x14ac:dyDescent="0.15"/>
    <row r="26198" hidden="1" x14ac:dyDescent="0.15"/>
    <row r="26199" hidden="1" x14ac:dyDescent="0.15"/>
    <row r="26200" hidden="1" x14ac:dyDescent="0.15"/>
    <row r="26201" hidden="1" x14ac:dyDescent="0.15"/>
    <row r="26202" hidden="1" x14ac:dyDescent="0.15"/>
    <row r="26203" hidden="1" x14ac:dyDescent="0.15"/>
    <row r="26204" hidden="1" x14ac:dyDescent="0.15"/>
    <row r="26205" hidden="1" x14ac:dyDescent="0.15"/>
    <row r="26206" hidden="1" x14ac:dyDescent="0.15"/>
    <row r="26207" hidden="1" x14ac:dyDescent="0.15"/>
    <row r="26208" hidden="1" x14ac:dyDescent="0.15"/>
    <row r="26209" hidden="1" x14ac:dyDescent="0.15"/>
    <row r="26210" hidden="1" x14ac:dyDescent="0.15"/>
    <row r="26211" hidden="1" x14ac:dyDescent="0.15"/>
    <row r="26212" hidden="1" x14ac:dyDescent="0.15"/>
    <row r="26213" hidden="1" x14ac:dyDescent="0.15"/>
    <row r="26214" hidden="1" x14ac:dyDescent="0.15"/>
    <row r="26215" hidden="1" x14ac:dyDescent="0.15"/>
    <row r="26216" hidden="1" x14ac:dyDescent="0.15"/>
    <row r="26217" hidden="1" x14ac:dyDescent="0.15"/>
    <row r="26218" hidden="1" x14ac:dyDescent="0.15"/>
    <row r="26219" hidden="1" x14ac:dyDescent="0.15"/>
    <row r="26220" hidden="1" x14ac:dyDescent="0.15"/>
    <row r="26221" hidden="1" x14ac:dyDescent="0.15"/>
    <row r="26222" hidden="1" x14ac:dyDescent="0.15"/>
    <row r="26223" hidden="1" x14ac:dyDescent="0.15"/>
    <row r="26224" hidden="1" x14ac:dyDescent="0.15"/>
    <row r="26225" hidden="1" x14ac:dyDescent="0.15"/>
    <row r="26226" hidden="1" x14ac:dyDescent="0.15"/>
    <row r="26227" hidden="1" x14ac:dyDescent="0.15"/>
    <row r="26228" hidden="1" x14ac:dyDescent="0.15"/>
    <row r="26229" hidden="1" x14ac:dyDescent="0.15"/>
    <row r="26230" hidden="1" x14ac:dyDescent="0.15"/>
    <row r="26231" hidden="1" x14ac:dyDescent="0.15"/>
    <row r="26232" hidden="1" x14ac:dyDescent="0.15"/>
    <row r="26233" hidden="1" x14ac:dyDescent="0.15"/>
    <row r="26234" hidden="1" x14ac:dyDescent="0.15"/>
    <row r="26235" hidden="1" x14ac:dyDescent="0.15"/>
    <row r="26236" hidden="1" x14ac:dyDescent="0.15"/>
    <row r="26237" hidden="1" x14ac:dyDescent="0.15"/>
    <row r="26238" hidden="1" x14ac:dyDescent="0.15"/>
    <row r="26239" hidden="1" x14ac:dyDescent="0.15"/>
    <row r="26240" hidden="1" x14ac:dyDescent="0.15"/>
    <row r="26241" hidden="1" x14ac:dyDescent="0.15"/>
    <row r="26242" hidden="1" x14ac:dyDescent="0.15"/>
    <row r="26243" hidden="1" x14ac:dyDescent="0.15"/>
    <row r="26244" hidden="1" x14ac:dyDescent="0.15"/>
    <row r="26245" hidden="1" x14ac:dyDescent="0.15"/>
    <row r="26246" hidden="1" x14ac:dyDescent="0.15"/>
    <row r="26247" hidden="1" x14ac:dyDescent="0.15"/>
    <row r="26248" hidden="1" x14ac:dyDescent="0.15"/>
    <row r="26249" hidden="1" x14ac:dyDescent="0.15"/>
    <row r="26250" hidden="1" x14ac:dyDescent="0.15"/>
    <row r="26251" hidden="1" x14ac:dyDescent="0.15"/>
    <row r="26252" hidden="1" x14ac:dyDescent="0.15"/>
    <row r="26253" hidden="1" x14ac:dyDescent="0.15"/>
    <row r="26254" hidden="1" x14ac:dyDescent="0.15"/>
    <row r="26255" hidden="1" x14ac:dyDescent="0.15"/>
    <row r="26256" hidden="1" x14ac:dyDescent="0.15"/>
    <row r="26257" hidden="1" x14ac:dyDescent="0.15"/>
    <row r="26258" hidden="1" x14ac:dyDescent="0.15"/>
    <row r="26259" hidden="1" x14ac:dyDescent="0.15"/>
    <row r="26260" hidden="1" x14ac:dyDescent="0.15"/>
    <row r="26261" hidden="1" x14ac:dyDescent="0.15"/>
    <row r="26262" hidden="1" x14ac:dyDescent="0.15"/>
    <row r="26263" hidden="1" x14ac:dyDescent="0.15"/>
    <row r="26264" hidden="1" x14ac:dyDescent="0.15"/>
    <row r="26265" hidden="1" x14ac:dyDescent="0.15"/>
    <row r="26266" hidden="1" x14ac:dyDescent="0.15"/>
    <row r="26267" hidden="1" x14ac:dyDescent="0.15"/>
    <row r="26268" hidden="1" x14ac:dyDescent="0.15"/>
    <row r="26269" hidden="1" x14ac:dyDescent="0.15"/>
    <row r="26270" hidden="1" x14ac:dyDescent="0.15"/>
    <row r="26271" hidden="1" x14ac:dyDescent="0.15"/>
    <row r="26272" hidden="1" x14ac:dyDescent="0.15"/>
    <row r="26273" hidden="1" x14ac:dyDescent="0.15"/>
    <row r="26274" hidden="1" x14ac:dyDescent="0.15"/>
    <row r="26275" hidden="1" x14ac:dyDescent="0.15"/>
    <row r="26276" hidden="1" x14ac:dyDescent="0.15"/>
    <row r="26277" hidden="1" x14ac:dyDescent="0.15"/>
    <row r="26278" hidden="1" x14ac:dyDescent="0.15"/>
    <row r="26279" hidden="1" x14ac:dyDescent="0.15"/>
    <row r="26280" hidden="1" x14ac:dyDescent="0.15"/>
    <row r="26281" hidden="1" x14ac:dyDescent="0.15"/>
    <row r="26282" hidden="1" x14ac:dyDescent="0.15"/>
    <row r="26283" hidden="1" x14ac:dyDescent="0.15"/>
    <row r="26284" hidden="1" x14ac:dyDescent="0.15"/>
    <row r="26285" hidden="1" x14ac:dyDescent="0.15"/>
    <row r="26286" hidden="1" x14ac:dyDescent="0.15"/>
    <row r="26287" hidden="1" x14ac:dyDescent="0.15"/>
    <row r="26288" hidden="1" x14ac:dyDescent="0.15"/>
    <row r="26289" hidden="1" x14ac:dyDescent="0.15"/>
    <row r="26290" hidden="1" x14ac:dyDescent="0.15"/>
    <row r="26291" hidden="1" x14ac:dyDescent="0.15"/>
    <row r="26292" hidden="1" x14ac:dyDescent="0.15"/>
    <row r="26293" hidden="1" x14ac:dyDescent="0.15"/>
    <row r="26294" hidden="1" x14ac:dyDescent="0.15"/>
    <row r="26295" hidden="1" x14ac:dyDescent="0.15"/>
    <row r="26296" hidden="1" x14ac:dyDescent="0.15"/>
    <row r="26297" hidden="1" x14ac:dyDescent="0.15"/>
    <row r="26298" hidden="1" x14ac:dyDescent="0.15"/>
    <row r="26299" hidden="1" x14ac:dyDescent="0.15"/>
    <row r="26300" hidden="1" x14ac:dyDescent="0.15"/>
    <row r="26301" hidden="1" x14ac:dyDescent="0.15"/>
    <row r="26302" hidden="1" x14ac:dyDescent="0.15"/>
    <row r="26303" hidden="1" x14ac:dyDescent="0.15"/>
    <row r="26304" hidden="1" x14ac:dyDescent="0.15"/>
    <row r="26305" hidden="1" x14ac:dyDescent="0.15"/>
    <row r="26306" hidden="1" x14ac:dyDescent="0.15"/>
    <row r="26307" hidden="1" x14ac:dyDescent="0.15"/>
    <row r="26308" hidden="1" x14ac:dyDescent="0.15"/>
    <row r="26309" hidden="1" x14ac:dyDescent="0.15"/>
    <row r="26310" hidden="1" x14ac:dyDescent="0.15"/>
    <row r="26311" hidden="1" x14ac:dyDescent="0.15"/>
    <row r="26312" hidden="1" x14ac:dyDescent="0.15"/>
    <row r="26313" hidden="1" x14ac:dyDescent="0.15"/>
    <row r="26314" hidden="1" x14ac:dyDescent="0.15"/>
    <row r="26315" hidden="1" x14ac:dyDescent="0.15"/>
    <row r="26316" hidden="1" x14ac:dyDescent="0.15"/>
    <row r="26317" hidden="1" x14ac:dyDescent="0.15"/>
    <row r="26318" hidden="1" x14ac:dyDescent="0.15"/>
    <row r="26319" hidden="1" x14ac:dyDescent="0.15"/>
    <row r="26320" hidden="1" x14ac:dyDescent="0.15"/>
    <row r="26321" hidden="1" x14ac:dyDescent="0.15"/>
    <row r="26322" hidden="1" x14ac:dyDescent="0.15"/>
    <row r="26323" hidden="1" x14ac:dyDescent="0.15"/>
    <row r="26324" hidden="1" x14ac:dyDescent="0.15"/>
    <row r="26325" hidden="1" x14ac:dyDescent="0.15"/>
    <row r="26326" hidden="1" x14ac:dyDescent="0.15"/>
    <row r="26327" hidden="1" x14ac:dyDescent="0.15"/>
    <row r="26328" hidden="1" x14ac:dyDescent="0.15"/>
    <row r="26329" hidden="1" x14ac:dyDescent="0.15"/>
    <row r="26330" hidden="1" x14ac:dyDescent="0.15"/>
    <row r="26331" hidden="1" x14ac:dyDescent="0.15"/>
    <row r="26332" hidden="1" x14ac:dyDescent="0.15"/>
    <row r="26333" hidden="1" x14ac:dyDescent="0.15"/>
    <row r="26334" hidden="1" x14ac:dyDescent="0.15"/>
    <row r="26335" hidden="1" x14ac:dyDescent="0.15"/>
    <row r="26336" hidden="1" x14ac:dyDescent="0.15"/>
    <row r="26337" hidden="1" x14ac:dyDescent="0.15"/>
    <row r="26338" hidden="1" x14ac:dyDescent="0.15"/>
    <row r="26339" hidden="1" x14ac:dyDescent="0.15"/>
    <row r="26340" hidden="1" x14ac:dyDescent="0.15"/>
    <row r="26341" hidden="1" x14ac:dyDescent="0.15"/>
    <row r="26342" hidden="1" x14ac:dyDescent="0.15"/>
    <row r="26343" hidden="1" x14ac:dyDescent="0.15"/>
    <row r="26344" hidden="1" x14ac:dyDescent="0.15"/>
    <row r="26345" hidden="1" x14ac:dyDescent="0.15"/>
    <row r="26346" hidden="1" x14ac:dyDescent="0.15"/>
    <row r="26347" hidden="1" x14ac:dyDescent="0.15"/>
    <row r="26348" hidden="1" x14ac:dyDescent="0.15"/>
    <row r="26349" hidden="1" x14ac:dyDescent="0.15"/>
    <row r="26350" hidden="1" x14ac:dyDescent="0.15"/>
    <row r="26351" hidden="1" x14ac:dyDescent="0.15"/>
    <row r="26352" hidden="1" x14ac:dyDescent="0.15"/>
    <row r="26353" hidden="1" x14ac:dyDescent="0.15"/>
    <row r="26354" hidden="1" x14ac:dyDescent="0.15"/>
    <row r="26355" hidden="1" x14ac:dyDescent="0.15"/>
    <row r="26356" hidden="1" x14ac:dyDescent="0.15"/>
    <row r="26357" hidden="1" x14ac:dyDescent="0.15"/>
    <row r="26358" hidden="1" x14ac:dyDescent="0.15"/>
    <row r="26359" hidden="1" x14ac:dyDescent="0.15"/>
    <row r="26360" hidden="1" x14ac:dyDescent="0.15"/>
    <row r="26361" hidden="1" x14ac:dyDescent="0.15"/>
    <row r="26362" hidden="1" x14ac:dyDescent="0.15"/>
    <row r="26363" hidden="1" x14ac:dyDescent="0.15"/>
    <row r="26364" hidden="1" x14ac:dyDescent="0.15"/>
    <row r="26365" hidden="1" x14ac:dyDescent="0.15"/>
    <row r="26366" hidden="1" x14ac:dyDescent="0.15"/>
    <row r="26367" hidden="1" x14ac:dyDescent="0.15"/>
    <row r="26368" hidden="1" x14ac:dyDescent="0.15"/>
    <row r="26369" hidden="1" x14ac:dyDescent="0.15"/>
    <row r="26370" hidden="1" x14ac:dyDescent="0.15"/>
    <row r="26371" hidden="1" x14ac:dyDescent="0.15"/>
    <row r="26372" hidden="1" x14ac:dyDescent="0.15"/>
    <row r="26373" hidden="1" x14ac:dyDescent="0.15"/>
    <row r="26374" hidden="1" x14ac:dyDescent="0.15"/>
    <row r="26375" hidden="1" x14ac:dyDescent="0.15"/>
    <row r="26376" hidden="1" x14ac:dyDescent="0.15"/>
    <row r="26377" hidden="1" x14ac:dyDescent="0.15"/>
    <row r="26378" hidden="1" x14ac:dyDescent="0.15"/>
    <row r="26379" hidden="1" x14ac:dyDescent="0.15"/>
    <row r="26380" hidden="1" x14ac:dyDescent="0.15"/>
    <row r="26381" hidden="1" x14ac:dyDescent="0.15"/>
    <row r="26382" hidden="1" x14ac:dyDescent="0.15"/>
    <row r="26383" hidden="1" x14ac:dyDescent="0.15"/>
    <row r="26384" hidden="1" x14ac:dyDescent="0.15"/>
    <row r="26385" hidden="1" x14ac:dyDescent="0.15"/>
    <row r="26386" hidden="1" x14ac:dyDescent="0.15"/>
    <row r="26387" hidden="1" x14ac:dyDescent="0.15"/>
    <row r="26388" hidden="1" x14ac:dyDescent="0.15"/>
    <row r="26389" hidden="1" x14ac:dyDescent="0.15"/>
    <row r="26390" hidden="1" x14ac:dyDescent="0.15"/>
    <row r="26391" hidden="1" x14ac:dyDescent="0.15"/>
    <row r="26392" hidden="1" x14ac:dyDescent="0.15"/>
    <row r="26393" hidden="1" x14ac:dyDescent="0.15"/>
    <row r="26394" hidden="1" x14ac:dyDescent="0.15"/>
    <row r="26395" hidden="1" x14ac:dyDescent="0.15"/>
    <row r="26396" hidden="1" x14ac:dyDescent="0.15"/>
    <row r="26397" hidden="1" x14ac:dyDescent="0.15"/>
    <row r="26398" hidden="1" x14ac:dyDescent="0.15"/>
    <row r="26399" hidden="1" x14ac:dyDescent="0.15"/>
    <row r="26400" hidden="1" x14ac:dyDescent="0.15"/>
    <row r="26401" hidden="1" x14ac:dyDescent="0.15"/>
    <row r="26402" hidden="1" x14ac:dyDescent="0.15"/>
    <row r="26403" hidden="1" x14ac:dyDescent="0.15"/>
    <row r="26404" hidden="1" x14ac:dyDescent="0.15"/>
    <row r="26405" hidden="1" x14ac:dyDescent="0.15"/>
    <row r="26406" hidden="1" x14ac:dyDescent="0.15"/>
    <row r="26407" hidden="1" x14ac:dyDescent="0.15"/>
    <row r="26408" hidden="1" x14ac:dyDescent="0.15"/>
    <row r="26409" hidden="1" x14ac:dyDescent="0.15"/>
    <row r="26410" hidden="1" x14ac:dyDescent="0.15"/>
    <row r="26411" hidden="1" x14ac:dyDescent="0.15"/>
    <row r="26412" hidden="1" x14ac:dyDescent="0.15"/>
    <row r="26413" hidden="1" x14ac:dyDescent="0.15"/>
    <row r="26414" hidden="1" x14ac:dyDescent="0.15"/>
    <row r="26415" hidden="1" x14ac:dyDescent="0.15"/>
    <row r="26416" hidden="1" x14ac:dyDescent="0.15"/>
    <row r="26417" hidden="1" x14ac:dyDescent="0.15"/>
    <row r="26418" hidden="1" x14ac:dyDescent="0.15"/>
    <row r="26419" hidden="1" x14ac:dyDescent="0.15"/>
    <row r="26420" hidden="1" x14ac:dyDescent="0.15"/>
    <row r="26421" hidden="1" x14ac:dyDescent="0.15"/>
    <row r="26422" hidden="1" x14ac:dyDescent="0.15"/>
    <row r="26423" hidden="1" x14ac:dyDescent="0.15"/>
    <row r="26424" hidden="1" x14ac:dyDescent="0.15"/>
    <row r="26425" hidden="1" x14ac:dyDescent="0.15"/>
    <row r="26426" hidden="1" x14ac:dyDescent="0.15"/>
    <row r="26427" hidden="1" x14ac:dyDescent="0.15"/>
    <row r="26428" hidden="1" x14ac:dyDescent="0.15"/>
    <row r="26429" hidden="1" x14ac:dyDescent="0.15"/>
    <row r="26430" hidden="1" x14ac:dyDescent="0.15"/>
    <row r="26431" hidden="1" x14ac:dyDescent="0.15"/>
    <row r="26432" hidden="1" x14ac:dyDescent="0.15"/>
    <row r="26433" hidden="1" x14ac:dyDescent="0.15"/>
    <row r="26434" hidden="1" x14ac:dyDescent="0.15"/>
    <row r="26435" hidden="1" x14ac:dyDescent="0.15"/>
    <row r="26436" hidden="1" x14ac:dyDescent="0.15"/>
    <row r="26437" hidden="1" x14ac:dyDescent="0.15"/>
    <row r="26438" hidden="1" x14ac:dyDescent="0.15"/>
    <row r="26439" hidden="1" x14ac:dyDescent="0.15"/>
    <row r="26440" hidden="1" x14ac:dyDescent="0.15"/>
    <row r="26441" hidden="1" x14ac:dyDescent="0.15"/>
    <row r="26442" hidden="1" x14ac:dyDescent="0.15"/>
    <row r="26443" hidden="1" x14ac:dyDescent="0.15"/>
    <row r="26444" hidden="1" x14ac:dyDescent="0.15"/>
    <row r="26445" hidden="1" x14ac:dyDescent="0.15"/>
    <row r="26446" hidden="1" x14ac:dyDescent="0.15"/>
    <row r="26447" hidden="1" x14ac:dyDescent="0.15"/>
    <row r="26448" hidden="1" x14ac:dyDescent="0.15"/>
    <row r="26449" hidden="1" x14ac:dyDescent="0.15"/>
    <row r="26450" hidden="1" x14ac:dyDescent="0.15"/>
    <row r="26451" hidden="1" x14ac:dyDescent="0.15"/>
    <row r="26452" hidden="1" x14ac:dyDescent="0.15"/>
    <row r="26453" hidden="1" x14ac:dyDescent="0.15"/>
    <row r="26454" hidden="1" x14ac:dyDescent="0.15"/>
    <row r="26455" hidden="1" x14ac:dyDescent="0.15"/>
    <row r="26456" hidden="1" x14ac:dyDescent="0.15"/>
    <row r="26457" hidden="1" x14ac:dyDescent="0.15"/>
    <row r="26458" hidden="1" x14ac:dyDescent="0.15"/>
    <row r="26459" hidden="1" x14ac:dyDescent="0.15"/>
    <row r="26460" hidden="1" x14ac:dyDescent="0.15"/>
    <row r="26461" hidden="1" x14ac:dyDescent="0.15"/>
    <row r="26462" hidden="1" x14ac:dyDescent="0.15"/>
    <row r="26463" hidden="1" x14ac:dyDescent="0.15"/>
    <row r="26464" hidden="1" x14ac:dyDescent="0.15"/>
    <row r="26465" hidden="1" x14ac:dyDescent="0.15"/>
    <row r="26466" hidden="1" x14ac:dyDescent="0.15"/>
    <row r="26467" hidden="1" x14ac:dyDescent="0.15"/>
    <row r="26468" hidden="1" x14ac:dyDescent="0.15"/>
    <row r="26469" hidden="1" x14ac:dyDescent="0.15"/>
    <row r="26470" hidden="1" x14ac:dyDescent="0.15"/>
    <row r="26471" hidden="1" x14ac:dyDescent="0.15"/>
    <row r="26472" hidden="1" x14ac:dyDescent="0.15"/>
    <row r="26473" hidden="1" x14ac:dyDescent="0.15"/>
    <row r="26474" hidden="1" x14ac:dyDescent="0.15"/>
    <row r="26475" hidden="1" x14ac:dyDescent="0.15"/>
    <row r="26476" hidden="1" x14ac:dyDescent="0.15"/>
    <row r="26477" hidden="1" x14ac:dyDescent="0.15"/>
    <row r="26478" hidden="1" x14ac:dyDescent="0.15"/>
    <row r="26479" hidden="1" x14ac:dyDescent="0.15"/>
    <row r="26480" hidden="1" x14ac:dyDescent="0.15"/>
    <row r="26481" hidden="1" x14ac:dyDescent="0.15"/>
    <row r="26482" hidden="1" x14ac:dyDescent="0.15"/>
    <row r="26483" hidden="1" x14ac:dyDescent="0.15"/>
    <row r="26484" hidden="1" x14ac:dyDescent="0.15"/>
    <row r="26485" hidden="1" x14ac:dyDescent="0.15"/>
    <row r="26486" hidden="1" x14ac:dyDescent="0.15"/>
    <row r="26487" hidden="1" x14ac:dyDescent="0.15"/>
    <row r="26488" hidden="1" x14ac:dyDescent="0.15"/>
    <row r="26489" hidden="1" x14ac:dyDescent="0.15"/>
    <row r="26490" hidden="1" x14ac:dyDescent="0.15"/>
    <row r="26491" hidden="1" x14ac:dyDescent="0.15"/>
    <row r="26492" hidden="1" x14ac:dyDescent="0.15"/>
    <row r="26493" hidden="1" x14ac:dyDescent="0.15"/>
    <row r="26494" hidden="1" x14ac:dyDescent="0.15"/>
    <row r="26495" hidden="1" x14ac:dyDescent="0.15"/>
    <row r="26496" hidden="1" x14ac:dyDescent="0.15"/>
    <row r="26497" hidden="1" x14ac:dyDescent="0.15"/>
    <row r="26498" hidden="1" x14ac:dyDescent="0.15"/>
    <row r="26499" hidden="1" x14ac:dyDescent="0.15"/>
    <row r="26500" hidden="1" x14ac:dyDescent="0.15"/>
    <row r="26501" hidden="1" x14ac:dyDescent="0.15"/>
    <row r="26502" hidden="1" x14ac:dyDescent="0.15"/>
    <row r="26503" hidden="1" x14ac:dyDescent="0.15"/>
    <row r="26504" hidden="1" x14ac:dyDescent="0.15"/>
    <row r="26505" hidden="1" x14ac:dyDescent="0.15"/>
    <row r="26506" hidden="1" x14ac:dyDescent="0.15"/>
    <row r="26507" hidden="1" x14ac:dyDescent="0.15"/>
    <row r="26508" hidden="1" x14ac:dyDescent="0.15"/>
    <row r="26509" hidden="1" x14ac:dyDescent="0.15"/>
    <row r="26510" hidden="1" x14ac:dyDescent="0.15"/>
    <row r="26511" hidden="1" x14ac:dyDescent="0.15"/>
    <row r="26512" hidden="1" x14ac:dyDescent="0.15"/>
    <row r="26513" hidden="1" x14ac:dyDescent="0.15"/>
    <row r="26514" hidden="1" x14ac:dyDescent="0.15"/>
    <row r="26515" hidden="1" x14ac:dyDescent="0.15"/>
    <row r="26516" hidden="1" x14ac:dyDescent="0.15"/>
    <row r="26517" hidden="1" x14ac:dyDescent="0.15"/>
    <row r="26518" hidden="1" x14ac:dyDescent="0.15"/>
    <row r="26519" hidden="1" x14ac:dyDescent="0.15"/>
    <row r="26520" hidden="1" x14ac:dyDescent="0.15"/>
    <row r="26521" hidden="1" x14ac:dyDescent="0.15"/>
    <row r="26522" hidden="1" x14ac:dyDescent="0.15"/>
    <row r="26523" hidden="1" x14ac:dyDescent="0.15"/>
    <row r="26524" hidden="1" x14ac:dyDescent="0.15"/>
    <row r="26525" hidden="1" x14ac:dyDescent="0.15"/>
    <row r="26526" hidden="1" x14ac:dyDescent="0.15"/>
    <row r="26527" hidden="1" x14ac:dyDescent="0.15"/>
    <row r="26528" hidden="1" x14ac:dyDescent="0.15"/>
    <row r="26529" hidden="1" x14ac:dyDescent="0.15"/>
    <row r="26530" hidden="1" x14ac:dyDescent="0.15"/>
    <row r="26531" hidden="1" x14ac:dyDescent="0.15"/>
    <row r="26532" hidden="1" x14ac:dyDescent="0.15"/>
    <row r="26533" hidden="1" x14ac:dyDescent="0.15"/>
    <row r="26534" hidden="1" x14ac:dyDescent="0.15"/>
    <row r="26535" hidden="1" x14ac:dyDescent="0.15"/>
    <row r="26536" hidden="1" x14ac:dyDescent="0.15"/>
    <row r="26537" hidden="1" x14ac:dyDescent="0.15"/>
    <row r="26538" hidden="1" x14ac:dyDescent="0.15"/>
    <row r="26539" hidden="1" x14ac:dyDescent="0.15"/>
    <row r="26540" hidden="1" x14ac:dyDescent="0.15"/>
    <row r="26541" hidden="1" x14ac:dyDescent="0.15"/>
    <row r="26542" hidden="1" x14ac:dyDescent="0.15"/>
    <row r="26543" hidden="1" x14ac:dyDescent="0.15"/>
    <row r="26544" hidden="1" x14ac:dyDescent="0.15"/>
    <row r="26545" hidden="1" x14ac:dyDescent="0.15"/>
    <row r="26546" hidden="1" x14ac:dyDescent="0.15"/>
    <row r="26547" hidden="1" x14ac:dyDescent="0.15"/>
    <row r="26548" hidden="1" x14ac:dyDescent="0.15"/>
    <row r="26549" hidden="1" x14ac:dyDescent="0.15"/>
    <row r="26550" hidden="1" x14ac:dyDescent="0.15"/>
    <row r="26551" hidden="1" x14ac:dyDescent="0.15"/>
    <row r="26552" hidden="1" x14ac:dyDescent="0.15"/>
    <row r="26553" hidden="1" x14ac:dyDescent="0.15"/>
    <row r="26554" hidden="1" x14ac:dyDescent="0.15"/>
    <row r="26555" hidden="1" x14ac:dyDescent="0.15"/>
    <row r="26556" hidden="1" x14ac:dyDescent="0.15"/>
    <row r="26557" hidden="1" x14ac:dyDescent="0.15"/>
    <row r="26558" hidden="1" x14ac:dyDescent="0.15"/>
    <row r="26559" hidden="1" x14ac:dyDescent="0.15"/>
    <row r="26560" hidden="1" x14ac:dyDescent="0.15"/>
    <row r="26561" hidden="1" x14ac:dyDescent="0.15"/>
    <row r="26562" hidden="1" x14ac:dyDescent="0.15"/>
    <row r="26563" hidden="1" x14ac:dyDescent="0.15"/>
    <row r="26564" hidden="1" x14ac:dyDescent="0.15"/>
    <row r="26565" hidden="1" x14ac:dyDescent="0.15"/>
    <row r="26566" hidden="1" x14ac:dyDescent="0.15"/>
    <row r="26567" hidden="1" x14ac:dyDescent="0.15"/>
    <row r="26568" hidden="1" x14ac:dyDescent="0.15"/>
    <row r="26569" hidden="1" x14ac:dyDescent="0.15"/>
    <row r="26570" hidden="1" x14ac:dyDescent="0.15"/>
    <row r="26571" hidden="1" x14ac:dyDescent="0.15"/>
    <row r="26572" hidden="1" x14ac:dyDescent="0.15"/>
    <row r="26573" hidden="1" x14ac:dyDescent="0.15"/>
    <row r="26574" hidden="1" x14ac:dyDescent="0.15"/>
    <row r="26575" hidden="1" x14ac:dyDescent="0.15"/>
    <row r="26576" hidden="1" x14ac:dyDescent="0.15"/>
    <row r="26577" hidden="1" x14ac:dyDescent="0.15"/>
    <row r="26578" hidden="1" x14ac:dyDescent="0.15"/>
    <row r="26579" hidden="1" x14ac:dyDescent="0.15"/>
    <row r="26580" hidden="1" x14ac:dyDescent="0.15"/>
    <row r="26581" hidden="1" x14ac:dyDescent="0.15"/>
    <row r="26582" hidden="1" x14ac:dyDescent="0.15"/>
    <row r="26583" hidden="1" x14ac:dyDescent="0.15"/>
    <row r="26584" hidden="1" x14ac:dyDescent="0.15"/>
    <row r="26585" hidden="1" x14ac:dyDescent="0.15"/>
    <row r="26586" hidden="1" x14ac:dyDescent="0.15"/>
    <row r="26587" hidden="1" x14ac:dyDescent="0.15"/>
    <row r="26588" hidden="1" x14ac:dyDescent="0.15"/>
    <row r="26589" hidden="1" x14ac:dyDescent="0.15"/>
    <row r="26590" hidden="1" x14ac:dyDescent="0.15"/>
    <row r="26591" hidden="1" x14ac:dyDescent="0.15"/>
    <row r="26592" hidden="1" x14ac:dyDescent="0.15"/>
    <row r="26593" hidden="1" x14ac:dyDescent="0.15"/>
    <row r="26594" hidden="1" x14ac:dyDescent="0.15"/>
    <row r="26595" hidden="1" x14ac:dyDescent="0.15"/>
    <row r="26596" hidden="1" x14ac:dyDescent="0.15"/>
    <row r="26597" hidden="1" x14ac:dyDescent="0.15"/>
    <row r="26598" hidden="1" x14ac:dyDescent="0.15"/>
    <row r="26599" hidden="1" x14ac:dyDescent="0.15"/>
    <row r="26600" hidden="1" x14ac:dyDescent="0.15"/>
    <row r="26601" hidden="1" x14ac:dyDescent="0.15"/>
    <row r="26602" hidden="1" x14ac:dyDescent="0.15"/>
    <row r="26603" hidden="1" x14ac:dyDescent="0.15"/>
    <row r="26604" hidden="1" x14ac:dyDescent="0.15"/>
    <row r="26605" hidden="1" x14ac:dyDescent="0.15"/>
    <row r="26606" hidden="1" x14ac:dyDescent="0.15"/>
    <row r="26607" hidden="1" x14ac:dyDescent="0.15"/>
    <row r="26608" hidden="1" x14ac:dyDescent="0.15"/>
    <row r="26609" hidden="1" x14ac:dyDescent="0.15"/>
    <row r="26610" hidden="1" x14ac:dyDescent="0.15"/>
    <row r="26611" hidden="1" x14ac:dyDescent="0.15"/>
    <row r="26612" hidden="1" x14ac:dyDescent="0.15"/>
    <row r="26613" hidden="1" x14ac:dyDescent="0.15"/>
    <row r="26614" hidden="1" x14ac:dyDescent="0.15"/>
    <row r="26615" hidden="1" x14ac:dyDescent="0.15"/>
    <row r="26616" hidden="1" x14ac:dyDescent="0.15"/>
    <row r="26617" hidden="1" x14ac:dyDescent="0.15"/>
    <row r="26618" hidden="1" x14ac:dyDescent="0.15"/>
    <row r="26619" hidden="1" x14ac:dyDescent="0.15"/>
    <row r="26620" hidden="1" x14ac:dyDescent="0.15"/>
    <row r="26621" hidden="1" x14ac:dyDescent="0.15"/>
    <row r="26622" hidden="1" x14ac:dyDescent="0.15"/>
    <row r="26623" hidden="1" x14ac:dyDescent="0.15"/>
    <row r="26624" hidden="1" x14ac:dyDescent="0.15"/>
    <row r="26625" hidden="1" x14ac:dyDescent="0.15"/>
    <row r="26626" hidden="1" x14ac:dyDescent="0.15"/>
    <row r="26627" hidden="1" x14ac:dyDescent="0.15"/>
    <row r="26628" hidden="1" x14ac:dyDescent="0.15"/>
    <row r="26629" hidden="1" x14ac:dyDescent="0.15"/>
    <row r="26630" hidden="1" x14ac:dyDescent="0.15"/>
    <row r="26631" hidden="1" x14ac:dyDescent="0.15"/>
    <row r="26632" hidden="1" x14ac:dyDescent="0.15"/>
    <row r="26633" hidden="1" x14ac:dyDescent="0.15"/>
    <row r="26634" hidden="1" x14ac:dyDescent="0.15"/>
    <row r="26635" hidden="1" x14ac:dyDescent="0.15"/>
    <row r="26636" hidden="1" x14ac:dyDescent="0.15"/>
    <row r="26637" hidden="1" x14ac:dyDescent="0.15"/>
    <row r="26638" hidden="1" x14ac:dyDescent="0.15"/>
    <row r="26639" hidden="1" x14ac:dyDescent="0.15"/>
    <row r="26640" hidden="1" x14ac:dyDescent="0.15"/>
    <row r="26641" hidden="1" x14ac:dyDescent="0.15"/>
    <row r="26642" hidden="1" x14ac:dyDescent="0.15"/>
    <row r="26643" hidden="1" x14ac:dyDescent="0.15"/>
    <row r="26644" hidden="1" x14ac:dyDescent="0.15"/>
    <row r="26645" hidden="1" x14ac:dyDescent="0.15"/>
    <row r="26646" hidden="1" x14ac:dyDescent="0.15"/>
    <row r="26647" hidden="1" x14ac:dyDescent="0.15"/>
    <row r="26648" hidden="1" x14ac:dyDescent="0.15"/>
    <row r="26649" hidden="1" x14ac:dyDescent="0.15"/>
    <row r="26650" hidden="1" x14ac:dyDescent="0.15"/>
    <row r="26651" hidden="1" x14ac:dyDescent="0.15"/>
    <row r="26652" hidden="1" x14ac:dyDescent="0.15"/>
    <row r="26653" hidden="1" x14ac:dyDescent="0.15"/>
    <row r="26654" hidden="1" x14ac:dyDescent="0.15"/>
    <row r="26655" hidden="1" x14ac:dyDescent="0.15"/>
    <row r="26656" hidden="1" x14ac:dyDescent="0.15"/>
    <row r="26657" hidden="1" x14ac:dyDescent="0.15"/>
    <row r="26658" hidden="1" x14ac:dyDescent="0.15"/>
    <row r="26659" hidden="1" x14ac:dyDescent="0.15"/>
    <row r="26660" hidden="1" x14ac:dyDescent="0.15"/>
    <row r="26661" hidden="1" x14ac:dyDescent="0.15"/>
    <row r="26662" hidden="1" x14ac:dyDescent="0.15"/>
    <row r="26663" hidden="1" x14ac:dyDescent="0.15"/>
    <row r="26664" hidden="1" x14ac:dyDescent="0.15"/>
    <row r="26665" hidden="1" x14ac:dyDescent="0.15"/>
    <row r="26666" hidden="1" x14ac:dyDescent="0.15"/>
    <row r="26667" hidden="1" x14ac:dyDescent="0.15"/>
    <row r="26668" hidden="1" x14ac:dyDescent="0.15"/>
    <row r="26669" hidden="1" x14ac:dyDescent="0.15"/>
    <row r="26670" hidden="1" x14ac:dyDescent="0.15"/>
    <row r="26671" hidden="1" x14ac:dyDescent="0.15"/>
    <row r="26672" hidden="1" x14ac:dyDescent="0.15"/>
    <row r="26673" hidden="1" x14ac:dyDescent="0.15"/>
    <row r="26674" hidden="1" x14ac:dyDescent="0.15"/>
    <row r="26675" hidden="1" x14ac:dyDescent="0.15"/>
    <row r="26676" hidden="1" x14ac:dyDescent="0.15"/>
    <row r="26677" hidden="1" x14ac:dyDescent="0.15"/>
    <row r="26678" hidden="1" x14ac:dyDescent="0.15"/>
    <row r="26679" hidden="1" x14ac:dyDescent="0.15"/>
    <row r="26680" hidden="1" x14ac:dyDescent="0.15"/>
    <row r="26681" hidden="1" x14ac:dyDescent="0.15"/>
    <row r="26682" hidden="1" x14ac:dyDescent="0.15"/>
    <row r="26683" hidden="1" x14ac:dyDescent="0.15"/>
    <row r="26684" hidden="1" x14ac:dyDescent="0.15"/>
    <row r="26685" hidden="1" x14ac:dyDescent="0.15"/>
    <row r="26686" hidden="1" x14ac:dyDescent="0.15"/>
    <row r="26687" hidden="1" x14ac:dyDescent="0.15"/>
    <row r="26688" hidden="1" x14ac:dyDescent="0.15"/>
    <row r="26689" hidden="1" x14ac:dyDescent="0.15"/>
    <row r="26690" hidden="1" x14ac:dyDescent="0.15"/>
    <row r="26691" hidden="1" x14ac:dyDescent="0.15"/>
    <row r="26692" hidden="1" x14ac:dyDescent="0.15"/>
    <row r="26693" hidden="1" x14ac:dyDescent="0.15"/>
    <row r="26694" hidden="1" x14ac:dyDescent="0.15"/>
    <row r="26695" hidden="1" x14ac:dyDescent="0.15"/>
    <row r="26696" hidden="1" x14ac:dyDescent="0.15"/>
    <row r="26697" hidden="1" x14ac:dyDescent="0.15"/>
    <row r="26698" hidden="1" x14ac:dyDescent="0.15"/>
    <row r="26699" hidden="1" x14ac:dyDescent="0.15"/>
    <row r="26700" hidden="1" x14ac:dyDescent="0.15"/>
    <row r="26701" hidden="1" x14ac:dyDescent="0.15"/>
    <row r="26702" hidden="1" x14ac:dyDescent="0.15"/>
    <row r="26703" hidden="1" x14ac:dyDescent="0.15"/>
    <row r="26704" hidden="1" x14ac:dyDescent="0.15"/>
    <row r="26705" hidden="1" x14ac:dyDescent="0.15"/>
    <row r="26706" hidden="1" x14ac:dyDescent="0.15"/>
    <row r="26707" hidden="1" x14ac:dyDescent="0.15"/>
    <row r="26708" hidden="1" x14ac:dyDescent="0.15"/>
    <row r="26709" hidden="1" x14ac:dyDescent="0.15"/>
    <row r="26710" hidden="1" x14ac:dyDescent="0.15"/>
    <row r="26711" hidden="1" x14ac:dyDescent="0.15"/>
    <row r="26712" hidden="1" x14ac:dyDescent="0.15"/>
    <row r="26713" hidden="1" x14ac:dyDescent="0.15"/>
    <row r="26714" hidden="1" x14ac:dyDescent="0.15"/>
    <row r="26715" hidden="1" x14ac:dyDescent="0.15"/>
    <row r="26716" hidden="1" x14ac:dyDescent="0.15"/>
    <row r="26717" hidden="1" x14ac:dyDescent="0.15"/>
    <row r="26718" hidden="1" x14ac:dyDescent="0.15"/>
    <row r="26719" hidden="1" x14ac:dyDescent="0.15"/>
    <row r="26720" hidden="1" x14ac:dyDescent="0.15"/>
    <row r="26721" hidden="1" x14ac:dyDescent="0.15"/>
    <row r="26722" hidden="1" x14ac:dyDescent="0.15"/>
    <row r="26723" hidden="1" x14ac:dyDescent="0.15"/>
    <row r="26724" hidden="1" x14ac:dyDescent="0.15"/>
    <row r="26725" hidden="1" x14ac:dyDescent="0.15"/>
    <row r="26726" hidden="1" x14ac:dyDescent="0.15"/>
    <row r="26727" hidden="1" x14ac:dyDescent="0.15"/>
    <row r="26728" hidden="1" x14ac:dyDescent="0.15"/>
    <row r="26729" hidden="1" x14ac:dyDescent="0.15"/>
    <row r="26730" hidden="1" x14ac:dyDescent="0.15"/>
    <row r="26731" hidden="1" x14ac:dyDescent="0.15"/>
    <row r="26732" hidden="1" x14ac:dyDescent="0.15"/>
    <row r="26733" hidden="1" x14ac:dyDescent="0.15"/>
    <row r="26734" hidden="1" x14ac:dyDescent="0.15"/>
    <row r="26735" hidden="1" x14ac:dyDescent="0.15"/>
    <row r="26736" hidden="1" x14ac:dyDescent="0.15"/>
    <row r="26737" hidden="1" x14ac:dyDescent="0.15"/>
    <row r="26738" hidden="1" x14ac:dyDescent="0.15"/>
    <row r="26739" hidden="1" x14ac:dyDescent="0.15"/>
    <row r="26740" hidden="1" x14ac:dyDescent="0.15"/>
    <row r="26741" hidden="1" x14ac:dyDescent="0.15"/>
    <row r="26742" hidden="1" x14ac:dyDescent="0.15"/>
    <row r="26743" hidden="1" x14ac:dyDescent="0.15"/>
    <row r="26744" hidden="1" x14ac:dyDescent="0.15"/>
    <row r="26745" hidden="1" x14ac:dyDescent="0.15"/>
    <row r="26746" hidden="1" x14ac:dyDescent="0.15"/>
    <row r="26747" hidden="1" x14ac:dyDescent="0.15"/>
    <row r="26748" hidden="1" x14ac:dyDescent="0.15"/>
    <row r="26749" hidden="1" x14ac:dyDescent="0.15"/>
    <row r="26750" hidden="1" x14ac:dyDescent="0.15"/>
    <row r="26751" hidden="1" x14ac:dyDescent="0.15"/>
    <row r="26752" hidden="1" x14ac:dyDescent="0.15"/>
    <row r="26753" hidden="1" x14ac:dyDescent="0.15"/>
    <row r="26754" hidden="1" x14ac:dyDescent="0.15"/>
    <row r="26755" hidden="1" x14ac:dyDescent="0.15"/>
    <row r="26756" hidden="1" x14ac:dyDescent="0.15"/>
    <row r="26757" hidden="1" x14ac:dyDescent="0.15"/>
    <row r="26758" hidden="1" x14ac:dyDescent="0.15"/>
    <row r="26759" hidden="1" x14ac:dyDescent="0.15"/>
    <row r="26760" hidden="1" x14ac:dyDescent="0.15"/>
    <row r="26761" hidden="1" x14ac:dyDescent="0.15"/>
    <row r="26762" hidden="1" x14ac:dyDescent="0.15"/>
    <row r="26763" hidden="1" x14ac:dyDescent="0.15"/>
    <row r="26764" hidden="1" x14ac:dyDescent="0.15"/>
    <row r="26765" hidden="1" x14ac:dyDescent="0.15"/>
    <row r="26766" hidden="1" x14ac:dyDescent="0.15"/>
    <row r="26767" hidden="1" x14ac:dyDescent="0.15"/>
    <row r="26768" hidden="1" x14ac:dyDescent="0.15"/>
    <row r="26769" hidden="1" x14ac:dyDescent="0.15"/>
    <row r="26770" hidden="1" x14ac:dyDescent="0.15"/>
    <row r="26771" hidden="1" x14ac:dyDescent="0.15"/>
    <row r="26772" hidden="1" x14ac:dyDescent="0.15"/>
    <row r="26773" hidden="1" x14ac:dyDescent="0.15"/>
    <row r="26774" hidden="1" x14ac:dyDescent="0.15"/>
    <row r="26775" hidden="1" x14ac:dyDescent="0.15"/>
    <row r="26776" hidden="1" x14ac:dyDescent="0.15"/>
    <row r="26777" hidden="1" x14ac:dyDescent="0.15"/>
    <row r="26778" hidden="1" x14ac:dyDescent="0.15"/>
    <row r="26779" hidden="1" x14ac:dyDescent="0.15"/>
    <row r="26780" hidden="1" x14ac:dyDescent="0.15"/>
    <row r="26781" hidden="1" x14ac:dyDescent="0.15"/>
    <row r="26782" hidden="1" x14ac:dyDescent="0.15"/>
    <row r="26783" hidden="1" x14ac:dyDescent="0.15"/>
    <row r="26784" hidden="1" x14ac:dyDescent="0.15"/>
    <row r="26785" hidden="1" x14ac:dyDescent="0.15"/>
    <row r="26786" hidden="1" x14ac:dyDescent="0.15"/>
    <row r="26787" hidden="1" x14ac:dyDescent="0.15"/>
    <row r="26788" hidden="1" x14ac:dyDescent="0.15"/>
    <row r="26789" hidden="1" x14ac:dyDescent="0.15"/>
    <row r="26790" hidden="1" x14ac:dyDescent="0.15"/>
    <row r="26791" hidden="1" x14ac:dyDescent="0.15"/>
    <row r="26792" hidden="1" x14ac:dyDescent="0.15"/>
    <row r="26793" hidden="1" x14ac:dyDescent="0.15"/>
    <row r="26794" hidden="1" x14ac:dyDescent="0.15"/>
    <row r="26795" hidden="1" x14ac:dyDescent="0.15"/>
    <row r="26796" hidden="1" x14ac:dyDescent="0.15"/>
    <row r="26797" hidden="1" x14ac:dyDescent="0.15"/>
    <row r="26798" hidden="1" x14ac:dyDescent="0.15"/>
    <row r="26799" hidden="1" x14ac:dyDescent="0.15"/>
    <row r="26800" hidden="1" x14ac:dyDescent="0.15"/>
    <row r="26801" hidden="1" x14ac:dyDescent="0.15"/>
    <row r="26802" hidden="1" x14ac:dyDescent="0.15"/>
    <row r="26803" hidden="1" x14ac:dyDescent="0.15"/>
    <row r="26804" hidden="1" x14ac:dyDescent="0.15"/>
    <row r="26805" hidden="1" x14ac:dyDescent="0.15"/>
    <row r="26806" hidden="1" x14ac:dyDescent="0.15"/>
    <row r="26807" hidden="1" x14ac:dyDescent="0.15"/>
    <row r="26808" hidden="1" x14ac:dyDescent="0.15"/>
    <row r="26809" hidden="1" x14ac:dyDescent="0.15"/>
    <row r="26810" hidden="1" x14ac:dyDescent="0.15"/>
    <row r="26811" hidden="1" x14ac:dyDescent="0.15"/>
    <row r="26812" hidden="1" x14ac:dyDescent="0.15"/>
    <row r="26813" hidden="1" x14ac:dyDescent="0.15"/>
    <row r="26814" hidden="1" x14ac:dyDescent="0.15"/>
    <row r="26815" hidden="1" x14ac:dyDescent="0.15"/>
    <row r="26816" hidden="1" x14ac:dyDescent="0.15"/>
    <row r="26817" hidden="1" x14ac:dyDescent="0.15"/>
    <row r="26818" hidden="1" x14ac:dyDescent="0.15"/>
    <row r="26819" hidden="1" x14ac:dyDescent="0.15"/>
    <row r="26820" hidden="1" x14ac:dyDescent="0.15"/>
    <row r="26821" hidden="1" x14ac:dyDescent="0.15"/>
    <row r="26822" hidden="1" x14ac:dyDescent="0.15"/>
    <row r="26823" hidden="1" x14ac:dyDescent="0.15"/>
    <row r="26824" hidden="1" x14ac:dyDescent="0.15"/>
    <row r="26825" hidden="1" x14ac:dyDescent="0.15"/>
    <row r="26826" hidden="1" x14ac:dyDescent="0.15"/>
    <row r="26827" hidden="1" x14ac:dyDescent="0.15"/>
    <row r="26828" hidden="1" x14ac:dyDescent="0.15"/>
    <row r="26829" hidden="1" x14ac:dyDescent="0.15"/>
    <row r="26830" hidden="1" x14ac:dyDescent="0.15"/>
    <row r="26831" hidden="1" x14ac:dyDescent="0.15"/>
    <row r="26832" hidden="1" x14ac:dyDescent="0.15"/>
    <row r="26833" hidden="1" x14ac:dyDescent="0.15"/>
    <row r="26834" hidden="1" x14ac:dyDescent="0.15"/>
    <row r="26835" hidden="1" x14ac:dyDescent="0.15"/>
    <row r="26836" hidden="1" x14ac:dyDescent="0.15"/>
    <row r="26837" hidden="1" x14ac:dyDescent="0.15"/>
    <row r="26838" hidden="1" x14ac:dyDescent="0.15"/>
    <row r="26839" hidden="1" x14ac:dyDescent="0.15"/>
    <row r="26840" hidden="1" x14ac:dyDescent="0.15"/>
    <row r="26841" hidden="1" x14ac:dyDescent="0.15"/>
    <row r="26842" hidden="1" x14ac:dyDescent="0.15"/>
    <row r="26843" hidden="1" x14ac:dyDescent="0.15"/>
    <row r="26844" hidden="1" x14ac:dyDescent="0.15"/>
    <row r="26845" hidden="1" x14ac:dyDescent="0.15"/>
    <row r="26846" hidden="1" x14ac:dyDescent="0.15"/>
    <row r="26847" hidden="1" x14ac:dyDescent="0.15"/>
    <row r="26848" hidden="1" x14ac:dyDescent="0.15"/>
    <row r="26849" hidden="1" x14ac:dyDescent="0.15"/>
    <row r="26850" hidden="1" x14ac:dyDescent="0.15"/>
    <row r="26851" hidden="1" x14ac:dyDescent="0.15"/>
    <row r="26852" hidden="1" x14ac:dyDescent="0.15"/>
    <row r="26853" hidden="1" x14ac:dyDescent="0.15"/>
    <row r="26854" hidden="1" x14ac:dyDescent="0.15"/>
    <row r="26855" hidden="1" x14ac:dyDescent="0.15"/>
    <row r="26856" hidden="1" x14ac:dyDescent="0.15"/>
    <row r="26857" hidden="1" x14ac:dyDescent="0.15"/>
    <row r="26858" hidden="1" x14ac:dyDescent="0.15"/>
    <row r="26859" hidden="1" x14ac:dyDescent="0.15"/>
    <row r="26860" hidden="1" x14ac:dyDescent="0.15"/>
    <row r="26861" hidden="1" x14ac:dyDescent="0.15"/>
    <row r="26862" hidden="1" x14ac:dyDescent="0.15"/>
    <row r="26863" hidden="1" x14ac:dyDescent="0.15"/>
    <row r="26864" hidden="1" x14ac:dyDescent="0.15"/>
    <row r="26865" hidden="1" x14ac:dyDescent="0.15"/>
    <row r="26866" hidden="1" x14ac:dyDescent="0.15"/>
    <row r="26867" hidden="1" x14ac:dyDescent="0.15"/>
    <row r="26868" hidden="1" x14ac:dyDescent="0.15"/>
    <row r="26869" hidden="1" x14ac:dyDescent="0.15"/>
    <row r="26870" hidden="1" x14ac:dyDescent="0.15"/>
    <row r="26871" hidden="1" x14ac:dyDescent="0.15"/>
    <row r="26872" hidden="1" x14ac:dyDescent="0.15"/>
    <row r="26873" hidden="1" x14ac:dyDescent="0.15"/>
    <row r="26874" hidden="1" x14ac:dyDescent="0.15"/>
    <row r="26875" hidden="1" x14ac:dyDescent="0.15"/>
    <row r="26876" hidden="1" x14ac:dyDescent="0.15"/>
    <row r="26877" hidden="1" x14ac:dyDescent="0.15"/>
    <row r="26878" hidden="1" x14ac:dyDescent="0.15"/>
    <row r="26879" hidden="1" x14ac:dyDescent="0.15"/>
    <row r="26880" hidden="1" x14ac:dyDescent="0.15"/>
    <row r="26881" hidden="1" x14ac:dyDescent="0.15"/>
    <row r="26882" hidden="1" x14ac:dyDescent="0.15"/>
    <row r="26883" hidden="1" x14ac:dyDescent="0.15"/>
    <row r="26884" hidden="1" x14ac:dyDescent="0.15"/>
    <row r="26885" hidden="1" x14ac:dyDescent="0.15"/>
    <row r="26886" hidden="1" x14ac:dyDescent="0.15"/>
    <row r="26887" hidden="1" x14ac:dyDescent="0.15"/>
    <row r="26888" hidden="1" x14ac:dyDescent="0.15"/>
    <row r="26889" hidden="1" x14ac:dyDescent="0.15"/>
    <row r="26890" hidden="1" x14ac:dyDescent="0.15"/>
    <row r="26891" hidden="1" x14ac:dyDescent="0.15"/>
    <row r="26892" hidden="1" x14ac:dyDescent="0.15"/>
    <row r="26893" hidden="1" x14ac:dyDescent="0.15"/>
    <row r="26894" hidden="1" x14ac:dyDescent="0.15"/>
    <row r="26895" hidden="1" x14ac:dyDescent="0.15"/>
    <row r="26896" hidden="1" x14ac:dyDescent="0.15"/>
    <row r="26897" hidden="1" x14ac:dyDescent="0.15"/>
    <row r="26898" hidden="1" x14ac:dyDescent="0.15"/>
    <row r="26899" hidden="1" x14ac:dyDescent="0.15"/>
    <row r="26900" hidden="1" x14ac:dyDescent="0.15"/>
    <row r="26901" hidden="1" x14ac:dyDescent="0.15"/>
    <row r="26902" hidden="1" x14ac:dyDescent="0.15"/>
    <row r="26903" hidden="1" x14ac:dyDescent="0.15"/>
    <row r="26904" hidden="1" x14ac:dyDescent="0.15"/>
    <row r="26905" hidden="1" x14ac:dyDescent="0.15"/>
    <row r="26906" hidden="1" x14ac:dyDescent="0.15"/>
    <row r="26907" hidden="1" x14ac:dyDescent="0.15"/>
    <row r="26908" hidden="1" x14ac:dyDescent="0.15"/>
    <row r="26909" hidden="1" x14ac:dyDescent="0.15"/>
    <row r="26910" hidden="1" x14ac:dyDescent="0.15"/>
    <row r="26911" hidden="1" x14ac:dyDescent="0.15"/>
    <row r="26912" hidden="1" x14ac:dyDescent="0.15"/>
    <row r="26913" hidden="1" x14ac:dyDescent="0.15"/>
    <row r="26914" hidden="1" x14ac:dyDescent="0.15"/>
    <row r="26915" hidden="1" x14ac:dyDescent="0.15"/>
    <row r="26916" hidden="1" x14ac:dyDescent="0.15"/>
    <row r="26917" hidden="1" x14ac:dyDescent="0.15"/>
    <row r="26918" hidden="1" x14ac:dyDescent="0.15"/>
    <row r="26919" hidden="1" x14ac:dyDescent="0.15"/>
    <row r="26920" hidden="1" x14ac:dyDescent="0.15"/>
    <row r="26921" hidden="1" x14ac:dyDescent="0.15"/>
    <row r="26922" hidden="1" x14ac:dyDescent="0.15"/>
    <row r="26923" hidden="1" x14ac:dyDescent="0.15"/>
    <row r="26924" hidden="1" x14ac:dyDescent="0.15"/>
    <row r="26925" hidden="1" x14ac:dyDescent="0.15"/>
    <row r="26926" hidden="1" x14ac:dyDescent="0.15"/>
    <row r="26927" hidden="1" x14ac:dyDescent="0.15"/>
    <row r="26928" hidden="1" x14ac:dyDescent="0.15"/>
    <row r="26929" hidden="1" x14ac:dyDescent="0.15"/>
    <row r="26930" hidden="1" x14ac:dyDescent="0.15"/>
    <row r="26931" hidden="1" x14ac:dyDescent="0.15"/>
    <row r="26932" hidden="1" x14ac:dyDescent="0.15"/>
    <row r="26933" hidden="1" x14ac:dyDescent="0.15"/>
    <row r="26934" hidden="1" x14ac:dyDescent="0.15"/>
    <row r="26935" hidden="1" x14ac:dyDescent="0.15"/>
    <row r="26936" hidden="1" x14ac:dyDescent="0.15"/>
    <row r="26937" hidden="1" x14ac:dyDescent="0.15"/>
    <row r="26938" hidden="1" x14ac:dyDescent="0.15"/>
    <row r="26939" hidden="1" x14ac:dyDescent="0.15"/>
    <row r="26940" hidden="1" x14ac:dyDescent="0.15"/>
    <row r="26941" hidden="1" x14ac:dyDescent="0.15"/>
    <row r="26942" hidden="1" x14ac:dyDescent="0.15"/>
    <row r="26943" hidden="1" x14ac:dyDescent="0.15"/>
    <row r="26944" hidden="1" x14ac:dyDescent="0.15"/>
    <row r="26945" hidden="1" x14ac:dyDescent="0.15"/>
    <row r="26946" hidden="1" x14ac:dyDescent="0.15"/>
    <row r="26947" hidden="1" x14ac:dyDescent="0.15"/>
    <row r="26948" hidden="1" x14ac:dyDescent="0.15"/>
    <row r="26949" hidden="1" x14ac:dyDescent="0.15"/>
    <row r="26950" hidden="1" x14ac:dyDescent="0.15"/>
    <row r="26951" hidden="1" x14ac:dyDescent="0.15"/>
    <row r="26952" hidden="1" x14ac:dyDescent="0.15"/>
    <row r="26953" hidden="1" x14ac:dyDescent="0.15"/>
    <row r="26954" hidden="1" x14ac:dyDescent="0.15"/>
    <row r="26955" hidden="1" x14ac:dyDescent="0.15"/>
    <row r="26956" hidden="1" x14ac:dyDescent="0.15"/>
    <row r="26957" hidden="1" x14ac:dyDescent="0.15"/>
    <row r="26958" hidden="1" x14ac:dyDescent="0.15"/>
    <row r="26959" hidden="1" x14ac:dyDescent="0.15"/>
    <row r="26960" hidden="1" x14ac:dyDescent="0.15"/>
    <row r="26961" hidden="1" x14ac:dyDescent="0.15"/>
    <row r="26962" hidden="1" x14ac:dyDescent="0.15"/>
    <row r="26963" hidden="1" x14ac:dyDescent="0.15"/>
    <row r="26964" hidden="1" x14ac:dyDescent="0.15"/>
    <row r="26965" hidden="1" x14ac:dyDescent="0.15"/>
    <row r="26966" hidden="1" x14ac:dyDescent="0.15"/>
    <row r="26967" hidden="1" x14ac:dyDescent="0.15"/>
    <row r="26968" hidden="1" x14ac:dyDescent="0.15"/>
    <row r="26969" hidden="1" x14ac:dyDescent="0.15"/>
    <row r="26970" hidden="1" x14ac:dyDescent="0.15"/>
    <row r="26971" hidden="1" x14ac:dyDescent="0.15"/>
    <row r="26972" hidden="1" x14ac:dyDescent="0.15"/>
    <row r="26973" hidden="1" x14ac:dyDescent="0.15"/>
    <row r="26974" hidden="1" x14ac:dyDescent="0.15"/>
    <row r="26975" hidden="1" x14ac:dyDescent="0.15"/>
    <row r="26976" hidden="1" x14ac:dyDescent="0.15"/>
    <row r="26977" hidden="1" x14ac:dyDescent="0.15"/>
    <row r="26978" hidden="1" x14ac:dyDescent="0.15"/>
    <row r="26979" hidden="1" x14ac:dyDescent="0.15"/>
    <row r="26980" hidden="1" x14ac:dyDescent="0.15"/>
    <row r="26981" hidden="1" x14ac:dyDescent="0.15"/>
    <row r="26982" hidden="1" x14ac:dyDescent="0.15"/>
    <row r="26983" hidden="1" x14ac:dyDescent="0.15"/>
    <row r="26984" hidden="1" x14ac:dyDescent="0.15"/>
    <row r="26985" hidden="1" x14ac:dyDescent="0.15"/>
    <row r="26986" hidden="1" x14ac:dyDescent="0.15"/>
    <row r="26987" hidden="1" x14ac:dyDescent="0.15"/>
    <row r="26988" hidden="1" x14ac:dyDescent="0.15"/>
    <row r="26989" hidden="1" x14ac:dyDescent="0.15"/>
    <row r="26990" hidden="1" x14ac:dyDescent="0.15"/>
    <row r="26991" hidden="1" x14ac:dyDescent="0.15"/>
    <row r="26992" hidden="1" x14ac:dyDescent="0.15"/>
    <row r="26993" hidden="1" x14ac:dyDescent="0.15"/>
    <row r="26994" hidden="1" x14ac:dyDescent="0.15"/>
    <row r="26995" hidden="1" x14ac:dyDescent="0.15"/>
    <row r="26996" hidden="1" x14ac:dyDescent="0.15"/>
    <row r="26997" hidden="1" x14ac:dyDescent="0.15"/>
    <row r="26998" hidden="1" x14ac:dyDescent="0.15"/>
    <row r="26999" hidden="1" x14ac:dyDescent="0.15"/>
    <row r="27000" hidden="1" x14ac:dyDescent="0.15"/>
    <row r="27001" hidden="1" x14ac:dyDescent="0.15"/>
    <row r="27002" hidden="1" x14ac:dyDescent="0.15"/>
    <row r="27003" hidden="1" x14ac:dyDescent="0.15"/>
    <row r="27004" hidden="1" x14ac:dyDescent="0.15"/>
    <row r="27005" hidden="1" x14ac:dyDescent="0.15"/>
    <row r="27006" hidden="1" x14ac:dyDescent="0.15"/>
    <row r="27007" hidden="1" x14ac:dyDescent="0.15"/>
    <row r="27008" hidden="1" x14ac:dyDescent="0.15"/>
    <row r="27009" hidden="1" x14ac:dyDescent="0.15"/>
    <row r="27010" hidden="1" x14ac:dyDescent="0.15"/>
    <row r="27011" hidden="1" x14ac:dyDescent="0.15"/>
    <row r="27012" hidden="1" x14ac:dyDescent="0.15"/>
    <row r="27013" hidden="1" x14ac:dyDescent="0.15"/>
    <row r="27014" hidden="1" x14ac:dyDescent="0.15"/>
    <row r="27015" hidden="1" x14ac:dyDescent="0.15"/>
    <row r="27016" hidden="1" x14ac:dyDescent="0.15"/>
    <row r="27017" hidden="1" x14ac:dyDescent="0.15"/>
    <row r="27018" hidden="1" x14ac:dyDescent="0.15"/>
    <row r="27019" hidden="1" x14ac:dyDescent="0.15"/>
    <row r="27020" hidden="1" x14ac:dyDescent="0.15"/>
    <row r="27021" hidden="1" x14ac:dyDescent="0.15"/>
    <row r="27022" hidden="1" x14ac:dyDescent="0.15"/>
    <row r="27023" hidden="1" x14ac:dyDescent="0.15"/>
    <row r="27024" hidden="1" x14ac:dyDescent="0.15"/>
    <row r="27025" hidden="1" x14ac:dyDescent="0.15"/>
    <row r="27026" hidden="1" x14ac:dyDescent="0.15"/>
    <row r="27027" hidden="1" x14ac:dyDescent="0.15"/>
    <row r="27028" hidden="1" x14ac:dyDescent="0.15"/>
    <row r="27029" hidden="1" x14ac:dyDescent="0.15"/>
    <row r="27030" hidden="1" x14ac:dyDescent="0.15"/>
    <row r="27031" hidden="1" x14ac:dyDescent="0.15"/>
    <row r="27032" hidden="1" x14ac:dyDescent="0.15"/>
    <row r="27033" hidden="1" x14ac:dyDescent="0.15"/>
    <row r="27034" hidden="1" x14ac:dyDescent="0.15"/>
    <row r="27035" hidden="1" x14ac:dyDescent="0.15"/>
    <row r="27036" hidden="1" x14ac:dyDescent="0.15"/>
    <row r="27037" hidden="1" x14ac:dyDescent="0.15"/>
    <row r="27038" hidden="1" x14ac:dyDescent="0.15"/>
    <row r="27039" hidden="1" x14ac:dyDescent="0.15"/>
    <row r="27040" hidden="1" x14ac:dyDescent="0.15"/>
    <row r="27041" hidden="1" x14ac:dyDescent="0.15"/>
    <row r="27042" hidden="1" x14ac:dyDescent="0.15"/>
    <row r="27043" hidden="1" x14ac:dyDescent="0.15"/>
    <row r="27044" hidden="1" x14ac:dyDescent="0.15"/>
    <row r="27045" hidden="1" x14ac:dyDescent="0.15"/>
    <row r="27046" hidden="1" x14ac:dyDescent="0.15"/>
    <row r="27047" hidden="1" x14ac:dyDescent="0.15"/>
    <row r="27048" hidden="1" x14ac:dyDescent="0.15"/>
    <row r="27049" hidden="1" x14ac:dyDescent="0.15"/>
    <row r="27050" hidden="1" x14ac:dyDescent="0.15"/>
    <row r="27051" hidden="1" x14ac:dyDescent="0.15"/>
    <row r="27052" hidden="1" x14ac:dyDescent="0.15"/>
    <row r="27053" hidden="1" x14ac:dyDescent="0.15"/>
    <row r="27054" hidden="1" x14ac:dyDescent="0.15"/>
    <row r="27055" hidden="1" x14ac:dyDescent="0.15"/>
    <row r="27056" hidden="1" x14ac:dyDescent="0.15"/>
    <row r="27057" hidden="1" x14ac:dyDescent="0.15"/>
    <row r="27058" hidden="1" x14ac:dyDescent="0.15"/>
    <row r="27059" hidden="1" x14ac:dyDescent="0.15"/>
    <row r="27060" hidden="1" x14ac:dyDescent="0.15"/>
    <row r="27061" hidden="1" x14ac:dyDescent="0.15"/>
    <row r="27062" hidden="1" x14ac:dyDescent="0.15"/>
    <row r="27063" hidden="1" x14ac:dyDescent="0.15"/>
    <row r="27064" hidden="1" x14ac:dyDescent="0.15"/>
    <row r="27065" hidden="1" x14ac:dyDescent="0.15"/>
    <row r="27066" hidden="1" x14ac:dyDescent="0.15"/>
    <row r="27067" hidden="1" x14ac:dyDescent="0.15"/>
    <row r="27068" hidden="1" x14ac:dyDescent="0.15"/>
    <row r="27069" hidden="1" x14ac:dyDescent="0.15"/>
    <row r="27070" hidden="1" x14ac:dyDescent="0.15"/>
    <row r="27071" hidden="1" x14ac:dyDescent="0.15"/>
    <row r="27072" hidden="1" x14ac:dyDescent="0.15"/>
    <row r="27073" hidden="1" x14ac:dyDescent="0.15"/>
    <row r="27074" hidden="1" x14ac:dyDescent="0.15"/>
    <row r="27075" hidden="1" x14ac:dyDescent="0.15"/>
    <row r="27076" hidden="1" x14ac:dyDescent="0.15"/>
    <row r="27077" hidden="1" x14ac:dyDescent="0.15"/>
    <row r="27078" hidden="1" x14ac:dyDescent="0.15"/>
    <row r="27079" hidden="1" x14ac:dyDescent="0.15"/>
    <row r="27080" hidden="1" x14ac:dyDescent="0.15"/>
    <row r="27081" hidden="1" x14ac:dyDescent="0.15"/>
    <row r="27082" hidden="1" x14ac:dyDescent="0.15"/>
    <row r="27083" hidden="1" x14ac:dyDescent="0.15"/>
    <row r="27084" hidden="1" x14ac:dyDescent="0.15"/>
    <row r="27085" hidden="1" x14ac:dyDescent="0.15"/>
    <row r="27086" hidden="1" x14ac:dyDescent="0.15"/>
    <row r="27087" hidden="1" x14ac:dyDescent="0.15"/>
    <row r="27088" hidden="1" x14ac:dyDescent="0.15"/>
    <row r="27089" hidden="1" x14ac:dyDescent="0.15"/>
    <row r="27090" hidden="1" x14ac:dyDescent="0.15"/>
    <row r="27091" hidden="1" x14ac:dyDescent="0.15"/>
    <row r="27092" hidden="1" x14ac:dyDescent="0.15"/>
    <row r="27093" hidden="1" x14ac:dyDescent="0.15"/>
    <row r="27094" hidden="1" x14ac:dyDescent="0.15"/>
    <row r="27095" hidden="1" x14ac:dyDescent="0.15"/>
    <row r="27096" hidden="1" x14ac:dyDescent="0.15"/>
    <row r="27097" hidden="1" x14ac:dyDescent="0.15"/>
    <row r="27098" hidden="1" x14ac:dyDescent="0.15"/>
    <row r="27099" hidden="1" x14ac:dyDescent="0.15"/>
    <row r="27100" hidden="1" x14ac:dyDescent="0.15"/>
    <row r="27101" hidden="1" x14ac:dyDescent="0.15"/>
    <row r="27102" hidden="1" x14ac:dyDescent="0.15"/>
    <row r="27103" hidden="1" x14ac:dyDescent="0.15"/>
    <row r="27104" hidden="1" x14ac:dyDescent="0.15"/>
    <row r="27105" hidden="1" x14ac:dyDescent="0.15"/>
    <row r="27106" hidden="1" x14ac:dyDescent="0.15"/>
    <row r="27107" hidden="1" x14ac:dyDescent="0.15"/>
    <row r="27108" hidden="1" x14ac:dyDescent="0.15"/>
    <row r="27109" hidden="1" x14ac:dyDescent="0.15"/>
    <row r="27110" hidden="1" x14ac:dyDescent="0.15"/>
    <row r="27111" hidden="1" x14ac:dyDescent="0.15"/>
    <row r="27112" hidden="1" x14ac:dyDescent="0.15"/>
    <row r="27113" hidden="1" x14ac:dyDescent="0.15"/>
    <row r="27114" hidden="1" x14ac:dyDescent="0.15"/>
    <row r="27115" hidden="1" x14ac:dyDescent="0.15"/>
    <row r="27116" hidden="1" x14ac:dyDescent="0.15"/>
    <row r="27117" hidden="1" x14ac:dyDescent="0.15"/>
    <row r="27118" hidden="1" x14ac:dyDescent="0.15"/>
    <row r="27119" hidden="1" x14ac:dyDescent="0.15"/>
    <row r="27120" hidden="1" x14ac:dyDescent="0.15"/>
    <row r="27121" hidden="1" x14ac:dyDescent="0.15"/>
    <row r="27122" hidden="1" x14ac:dyDescent="0.15"/>
    <row r="27123" hidden="1" x14ac:dyDescent="0.15"/>
    <row r="27124" hidden="1" x14ac:dyDescent="0.15"/>
    <row r="27125" hidden="1" x14ac:dyDescent="0.15"/>
    <row r="27126" hidden="1" x14ac:dyDescent="0.15"/>
    <row r="27127" hidden="1" x14ac:dyDescent="0.15"/>
    <row r="27128" hidden="1" x14ac:dyDescent="0.15"/>
    <row r="27129" hidden="1" x14ac:dyDescent="0.15"/>
    <row r="27130" hidden="1" x14ac:dyDescent="0.15"/>
    <row r="27131" hidden="1" x14ac:dyDescent="0.15"/>
    <row r="27132" hidden="1" x14ac:dyDescent="0.15"/>
    <row r="27133" hidden="1" x14ac:dyDescent="0.15"/>
    <row r="27134" hidden="1" x14ac:dyDescent="0.15"/>
    <row r="27135" hidden="1" x14ac:dyDescent="0.15"/>
    <row r="27136" hidden="1" x14ac:dyDescent="0.15"/>
    <row r="27137" hidden="1" x14ac:dyDescent="0.15"/>
    <row r="27138" hidden="1" x14ac:dyDescent="0.15"/>
    <row r="27139" hidden="1" x14ac:dyDescent="0.15"/>
    <row r="27140" hidden="1" x14ac:dyDescent="0.15"/>
    <row r="27141" hidden="1" x14ac:dyDescent="0.15"/>
    <row r="27142" hidden="1" x14ac:dyDescent="0.15"/>
    <row r="27143" hidden="1" x14ac:dyDescent="0.15"/>
    <row r="27144" hidden="1" x14ac:dyDescent="0.15"/>
    <row r="27145" hidden="1" x14ac:dyDescent="0.15"/>
    <row r="27146" hidden="1" x14ac:dyDescent="0.15"/>
    <row r="27147" hidden="1" x14ac:dyDescent="0.15"/>
    <row r="27148" hidden="1" x14ac:dyDescent="0.15"/>
    <row r="27149" hidden="1" x14ac:dyDescent="0.15"/>
    <row r="27150" hidden="1" x14ac:dyDescent="0.15"/>
    <row r="27151" hidden="1" x14ac:dyDescent="0.15"/>
    <row r="27152" hidden="1" x14ac:dyDescent="0.15"/>
    <row r="27153" hidden="1" x14ac:dyDescent="0.15"/>
    <row r="27154" hidden="1" x14ac:dyDescent="0.15"/>
    <row r="27155" hidden="1" x14ac:dyDescent="0.15"/>
    <row r="27156" hidden="1" x14ac:dyDescent="0.15"/>
    <row r="27157" hidden="1" x14ac:dyDescent="0.15"/>
    <row r="27158" hidden="1" x14ac:dyDescent="0.15"/>
    <row r="27159" hidden="1" x14ac:dyDescent="0.15"/>
    <row r="27160" hidden="1" x14ac:dyDescent="0.15"/>
    <row r="27161" hidden="1" x14ac:dyDescent="0.15"/>
    <row r="27162" hidden="1" x14ac:dyDescent="0.15"/>
    <row r="27163" hidden="1" x14ac:dyDescent="0.15"/>
    <row r="27164" hidden="1" x14ac:dyDescent="0.15"/>
    <row r="27165" hidden="1" x14ac:dyDescent="0.15"/>
    <row r="27166" hidden="1" x14ac:dyDescent="0.15"/>
    <row r="27167" hidden="1" x14ac:dyDescent="0.15"/>
    <row r="27168" hidden="1" x14ac:dyDescent="0.15"/>
    <row r="27169" hidden="1" x14ac:dyDescent="0.15"/>
    <row r="27170" hidden="1" x14ac:dyDescent="0.15"/>
    <row r="27171" hidden="1" x14ac:dyDescent="0.15"/>
    <row r="27172" hidden="1" x14ac:dyDescent="0.15"/>
    <row r="27173" hidden="1" x14ac:dyDescent="0.15"/>
    <row r="27174" hidden="1" x14ac:dyDescent="0.15"/>
    <row r="27175" hidden="1" x14ac:dyDescent="0.15"/>
    <row r="27176" hidden="1" x14ac:dyDescent="0.15"/>
    <row r="27177" hidden="1" x14ac:dyDescent="0.15"/>
    <row r="27178" hidden="1" x14ac:dyDescent="0.15"/>
    <row r="27179" hidden="1" x14ac:dyDescent="0.15"/>
    <row r="27180" hidden="1" x14ac:dyDescent="0.15"/>
    <row r="27181" hidden="1" x14ac:dyDescent="0.15"/>
    <row r="27182" hidden="1" x14ac:dyDescent="0.15"/>
    <row r="27183" hidden="1" x14ac:dyDescent="0.15"/>
    <row r="27184" hidden="1" x14ac:dyDescent="0.15"/>
    <row r="27185" hidden="1" x14ac:dyDescent="0.15"/>
    <row r="27186" hidden="1" x14ac:dyDescent="0.15"/>
    <row r="27187" hidden="1" x14ac:dyDescent="0.15"/>
    <row r="27188" hidden="1" x14ac:dyDescent="0.15"/>
    <row r="27189" hidden="1" x14ac:dyDescent="0.15"/>
    <row r="27190" hidden="1" x14ac:dyDescent="0.15"/>
    <row r="27191" hidden="1" x14ac:dyDescent="0.15"/>
    <row r="27192" hidden="1" x14ac:dyDescent="0.15"/>
    <row r="27193" hidden="1" x14ac:dyDescent="0.15"/>
    <row r="27194" hidden="1" x14ac:dyDescent="0.15"/>
    <row r="27195" hidden="1" x14ac:dyDescent="0.15"/>
    <row r="27196" hidden="1" x14ac:dyDescent="0.15"/>
    <row r="27197" hidden="1" x14ac:dyDescent="0.15"/>
    <row r="27198" hidden="1" x14ac:dyDescent="0.15"/>
    <row r="27199" hidden="1" x14ac:dyDescent="0.15"/>
    <row r="27200" hidden="1" x14ac:dyDescent="0.15"/>
    <row r="27201" hidden="1" x14ac:dyDescent="0.15"/>
    <row r="27202" hidden="1" x14ac:dyDescent="0.15"/>
    <row r="27203" hidden="1" x14ac:dyDescent="0.15"/>
    <row r="27204" hidden="1" x14ac:dyDescent="0.15"/>
    <row r="27205" hidden="1" x14ac:dyDescent="0.15"/>
    <row r="27206" hidden="1" x14ac:dyDescent="0.15"/>
    <row r="27207" hidden="1" x14ac:dyDescent="0.15"/>
    <row r="27208" hidden="1" x14ac:dyDescent="0.15"/>
    <row r="27209" hidden="1" x14ac:dyDescent="0.15"/>
    <row r="27210" hidden="1" x14ac:dyDescent="0.15"/>
    <row r="27211" hidden="1" x14ac:dyDescent="0.15"/>
    <row r="27212" hidden="1" x14ac:dyDescent="0.15"/>
    <row r="27213" hidden="1" x14ac:dyDescent="0.15"/>
    <row r="27214" hidden="1" x14ac:dyDescent="0.15"/>
    <row r="27215" hidden="1" x14ac:dyDescent="0.15"/>
    <row r="27216" hidden="1" x14ac:dyDescent="0.15"/>
    <row r="27217" hidden="1" x14ac:dyDescent="0.15"/>
    <row r="27218" hidden="1" x14ac:dyDescent="0.15"/>
    <row r="27219" hidden="1" x14ac:dyDescent="0.15"/>
    <row r="27220" hidden="1" x14ac:dyDescent="0.15"/>
    <row r="27221" hidden="1" x14ac:dyDescent="0.15"/>
    <row r="27222" hidden="1" x14ac:dyDescent="0.15"/>
    <row r="27223" hidden="1" x14ac:dyDescent="0.15"/>
    <row r="27224" hidden="1" x14ac:dyDescent="0.15"/>
    <row r="27225" hidden="1" x14ac:dyDescent="0.15"/>
    <row r="27226" hidden="1" x14ac:dyDescent="0.15"/>
    <row r="27227" hidden="1" x14ac:dyDescent="0.15"/>
    <row r="27228" hidden="1" x14ac:dyDescent="0.15"/>
    <row r="27229" hidden="1" x14ac:dyDescent="0.15"/>
    <row r="27230" hidden="1" x14ac:dyDescent="0.15"/>
    <row r="27231" hidden="1" x14ac:dyDescent="0.15"/>
    <row r="27232" hidden="1" x14ac:dyDescent="0.15"/>
    <row r="27233" hidden="1" x14ac:dyDescent="0.15"/>
    <row r="27234" hidden="1" x14ac:dyDescent="0.15"/>
    <row r="27235" hidden="1" x14ac:dyDescent="0.15"/>
    <row r="27236" hidden="1" x14ac:dyDescent="0.15"/>
    <row r="27237" hidden="1" x14ac:dyDescent="0.15"/>
    <row r="27238" hidden="1" x14ac:dyDescent="0.15"/>
    <row r="27239" hidden="1" x14ac:dyDescent="0.15"/>
    <row r="27240" hidden="1" x14ac:dyDescent="0.15"/>
    <row r="27241" hidden="1" x14ac:dyDescent="0.15"/>
    <row r="27242" hidden="1" x14ac:dyDescent="0.15"/>
    <row r="27243" hidden="1" x14ac:dyDescent="0.15"/>
    <row r="27244" hidden="1" x14ac:dyDescent="0.15"/>
    <row r="27245" hidden="1" x14ac:dyDescent="0.15"/>
    <row r="27246" hidden="1" x14ac:dyDescent="0.15"/>
    <row r="27247" hidden="1" x14ac:dyDescent="0.15"/>
    <row r="27248" hidden="1" x14ac:dyDescent="0.15"/>
    <row r="27249" hidden="1" x14ac:dyDescent="0.15"/>
    <row r="27250" hidden="1" x14ac:dyDescent="0.15"/>
    <row r="27251" hidden="1" x14ac:dyDescent="0.15"/>
    <row r="27252" hidden="1" x14ac:dyDescent="0.15"/>
    <row r="27253" hidden="1" x14ac:dyDescent="0.15"/>
    <row r="27254" hidden="1" x14ac:dyDescent="0.15"/>
    <row r="27255" hidden="1" x14ac:dyDescent="0.15"/>
    <row r="27256" hidden="1" x14ac:dyDescent="0.15"/>
    <row r="27257" hidden="1" x14ac:dyDescent="0.15"/>
    <row r="27258" hidden="1" x14ac:dyDescent="0.15"/>
    <row r="27259" hidden="1" x14ac:dyDescent="0.15"/>
    <row r="27260" hidden="1" x14ac:dyDescent="0.15"/>
    <row r="27261" hidden="1" x14ac:dyDescent="0.15"/>
    <row r="27262" hidden="1" x14ac:dyDescent="0.15"/>
    <row r="27263" hidden="1" x14ac:dyDescent="0.15"/>
    <row r="27264" hidden="1" x14ac:dyDescent="0.15"/>
    <row r="27265" hidden="1" x14ac:dyDescent="0.15"/>
    <row r="27266" hidden="1" x14ac:dyDescent="0.15"/>
    <row r="27267" hidden="1" x14ac:dyDescent="0.15"/>
    <row r="27268" hidden="1" x14ac:dyDescent="0.15"/>
    <row r="27269" hidden="1" x14ac:dyDescent="0.15"/>
    <row r="27270" hidden="1" x14ac:dyDescent="0.15"/>
    <row r="27271" hidden="1" x14ac:dyDescent="0.15"/>
    <row r="27272" hidden="1" x14ac:dyDescent="0.15"/>
    <row r="27273" hidden="1" x14ac:dyDescent="0.15"/>
    <row r="27274" hidden="1" x14ac:dyDescent="0.15"/>
    <row r="27275" hidden="1" x14ac:dyDescent="0.15"/>
    <row r="27276" hidden="1" x14ac:dyDescent="0.15"/>
    <row r="27277" hidden="1" x14ac:dyDescent="0.15"/>
    <row r="27278" hidden="1" x14ac:dyDescent="0.15"/>
    <row r="27279" hidden="1" x14ac:dyDescent="0.15"/>
    <row r="27280" hidden="1" x14ac:dyDescent="0.15"/>
    <row r="27281" hidden="1" x14ac:dyDescent="0.15"/>
    <row r="27282" hidden="1" x14ac:dyDescent="0.15"/>
    <row r="27283" hidden="1" x14ac:dyDescent="0.15"/>
    <row r="27284" hidden="1" x14ac:dyDescent="0.15"/>
    <row r="27285" hidden="1" x14ac:dyDescent="0.15"/>
    <row r="27286" hidden="1" x14ac:dyDescent="0.15"/>
    <row r="27287" hidden="1" x14ac:dyDescent="0.15"/>
    <row r="27288" hidden="1" x14ac:dyDescent="0.15"/>
    <row r="27289" hidden="1" x14ac:dyDescent="0.15"/>
    <row r="27290" hidden="1" x14ac:dyDescent="0.15"/>
    <row r="27291" hidden="1" x14ac:dyDescent="0.15"/>
    <row r="27292" hidden="1" x14ac:dyDescent="0.15"/>
    <row r="27293" hidden="1" x14ac:dyDescent="0.15"/>
    <row r="27294" hidden="1" x14ac:dyDescent="0.15"/>
    <row r="27295" hidden="1" x14ac:dyDescent="0.15"/>
    <row r="27296" hidden="1" x14ac:dyDescent="0.15"/>
    <row r="27297" hidden="1" x14ac:dyDescent="0.15"/>
    <row r="27298" hidden="1" x14ac:dyDescent="0.15"/>
    <row r="27299" hidden="1" x14ac:dyDescent="0.15"/>
    <row r="27300" hidden="1" x14ac:dyDescent="0.15"/>
    <row r="27301" hidden="1" x14ac:dyDescent="0.15"/>
    <row r="27302" hidden="1" x14ac:dyDescent="0.15"/>
    <row r="27303" hidden="1" x14ac:dyDescent="0.15"/>
    <row r="27304" hidden="1" x14ac:dyDescent="0.15"/>
    <row r="27305" hidden="1" x14ac:dyDescent="0.15"/>
    <row r="27306" hidden="1" x14ac:dyDescent="0.15"/>
    <row r="27307" hidden="1" x14ac:dyDescent="0.15"/>
    <row r="27308" hidden="1" x14ac:dyDescent="0.15"/>
    <row r="27309" hidden="1" x14ac:dyDescent="0.15"/>
    <row r="27310" hidden="1" x14ac:dyDescent="0.15"/>
    <row r="27311" hidden="1" x14ac:dyDescent="0.15"/>
    <row r="27312" hidden="1" x14ac:dyDescent="0.15"/>
    <row r="27313" hidden="1" x14ac:dyDescent="0.15"/>
    <row r="27314" hidden="1" x14ac:dyDescent="0.15"/>
    <row r="27315" hidden="1" x14ac:dyDescent="0.15"/>
    <row r="27316" hidden="1" x14ac:dyDescent="0.15"/>
    <row r="27317" hidden="1" x14ac:dyDescent="0.15"/>
    <row r="27318" hidden="1" x14ac:dyDescent="0.15"/>
    <row r="27319" hidden="1" x14ac:dyDescent="0.15"/>
    <row r="27320" hidden="1" x14ac:dyDescent="0.15"/>
    <row r="27321" hidden="1" x14ac:dyDescent="0.15"/>
    <row r="27322" hidden="1" x14ac:dyDescent="0.15"/>
    <row r="27323" hidden="1" x14ac:dyDescent="0.15"/>
    <row r="27324" hidden="1" x14ac:dyDescent="0.15"/>
    <row r="27325" hidden="1" x14ac:dyDescent="0.15"/>
    <row r="27326" hidden="1" x14ac:dyDescent="0.15"/>
    <row r="27327" hidden="1" x14ac:dyDescent="0.15"/>
    <row r="27328" hidden="1" x14ac:dyDescent="0.15"/>
    <row r="27329" hidden="1" x14ac:dyDescent="0.15"/>
    <row r="27330" hidden="1" x14ac:dyDescent="0.15"/>
    <row r="27331" hidden="1" x14ac:dyDescent="0.15"/>
    <row r="27332" hidden="1" x14ac:dyDescent="0.15"/>
    <row r="27333" hidden="1" x14ac:dyDescent="0.15"/>
    <row r="27334" hidden="1" x14ac:dyDescent="0.15"/>
    <row r="27335" hidden="1" x14ac:dyDescent="0.15"/>
    <row r="27336" hidden="1" x14ac:dyDescent="0.15"/>
    <row r="27337" hidden="1" x14ac:dyDescent="0.15"/>
    <row r="27338" hidden="1" x14ac:dyDescent="0.15"/>
    <row r="27339" hidden="1" x14ac:dyDescent="0.15"/>
    <row r="27340" hidden="1" x14ac:dyDescent="0.15"/>
    <row r="27341" hidden="1" x14ac:dyDescent="0.15"/>
    <row r="27342" hidden="1" x14ac:dyDescent="0.15"/>
    <row r="27343" hidden="1" x14ac:dyDescent="0.15"/>
    <row r="27344" hidden="1" x14ac:dyDescent="0.15"/>
    <row r="27345" hidden="1" x14ac:dyDescent="0.15"/>
    <row r="27346" hidden="1" x14ac:dyDescent="0.15"/>
    <row r="27347" hidden="1" x14ac:dyDescent="0.15"/>
    <row r="27348" hidden="1" x14ac:dyDescent="0.15"/>
    <row r="27349" hidden="1" x14ac:dyDescent="0.15"/>
    <row r="27350" hidden="1" x14ac:dyDescent="0.15"/>
    <row r="27351" hidden="1" x14ac:dyDescent="0.15"/>
    <row r="27352" hidden="1" x14ac:dyDescent="0.15"/>
    <row r="27353" hidden="1" x14ac:dyDescent="0.15"/>
    <row r="27354" hidden="1" x14ac:dyDescent="0.15"/>
    <row r="27355" hidden="1" x14ac:dyDescent="0.15"/>
    <row r="27356" hidden="1" x14ac:dyDescent="0.15"/>
    <row r="27357" hidden="1" x14ac:dyDescent="0.15"/>
    <row r="27358" hidden="1" x14ac:dyDescent="0.15"/>
    <row r="27359" hidden="1" x14ac:dyDescent="0.15"/>
    <row r="27360" hidden="1" x14ac:dyDescent="0.15"/>
    <row r="27361" hidden="1" x14ac:dyDescent="0.15"/>
    <row r="27362" hidden="1" x14ac:dyDescent="0.15"/>
    <row r="27363" hidden="1" x14ac:dyDescent="0.15"/>
    <row r="27364" hidden="1" x14ac:dyDescent="0.15"/>
    <row r="27365" hidden="1" x14ac:dyDescent="0.15"/>
    <row r="27366" hidden="1" x14ac:dyDescent="0.15"/>
    <row r="27367" hidden="1" x14ac:dyDescent="0.15"/>
    <row r="27368" hidden="1" x14ac:dyDescent="0.15"/>
    <row r="27369" hidden="1" x14ac:dyDescent="0.15"/>
    <row r="27370" hidden="1" x14ac:dyDescent="0.15"/>
    <row r="27371" hidden="1" x14ac:dyDescent="0.15"/>
    <row r="27372" hidden="1" x14ac:dyDescent="0.15"/>
    <row r="27373" hidden="1" x14ac:dyDescent="0.15"/>
    <row r="27374" hidden="1" x14ac:dyDescent="0.15"/>
    <row r="27375" hidden="1" x14ac:dyDescent="0.15"/>
    <row r="27376" hidden="1" x14ac:dyDescent="0.15"/>
    <row r="27377" hidden="1" x14ac:dyDescent="0.15"/>
    <row r="27378" hidden="1" x14ac:dyDescent="0.15"/>
    <row r="27379" hidden="1" x14ac:dyDescent="0.15"/>
    <row r="27380" hidden="1" x14ac:dyDescent="0.15"/>
    <row r="27381" hidden="1" x14ac:dyDescent="0.15"/>
    <row r="27382" hidden="1" x14ac:dyDescent="0.15"/>
    <row r="27383" hidden="1" x14ac:dyDescent="0.15"/>
    <row r="27384" hidden="1" x14ac:dyDescent="0.15"/>
    <row r="27385" hidden="1" x14ac:dyDescent="0.15"/>
    <row r="27386" hidden="1" x14ac:dyDescent="0.15"/>
    <row r="27387" hidden="1" x14ac:dyDescent="0.15"/>
    <row r="27388" hidden="1" x14ac:dyDescent="0.15"/>
    <row r="27389" hidden="1" x14ac:dyDescent="0.15"/>
    <row r="27390" hidden="1" x14ac:dyDescent="0.15"/>
    <row r="27391" hidden="1" x14ac:dyDescent="0.15"/>
    <row r="27392" hidden="1" x14ac:dyDescent="0.15"/>
    <row r="27393" hidden="1" x14ac:dyDescent="0.15"/>
    <row r="27394" hidden="1" x14ac:dyDescent="0.15"/>
    <row r="27395" hidden="1" x14ac:dyDescent="0.15"/>
    <row r="27396" hidden="1" x14ac:dyDescent="0.15"/>
    <row r="27397" hidden="1" x14ac:dyDescent="0.15"/>
    <row r="27398" hidden="1" x14ac:dyDescent="0.15"/>
    <row r="27399" hidden="1" x14ac:dyDescent="0.15"/>
    <row r="27400" hidden="1" x14ac:dyDescent="0.15"/>
    <row r="27401" hidden="1" x14ac:dyDescent="0.15"/>
    <row r="27402" hidden="1" x14ac:dyDescent="0.15"/>
    <row r="27403" hidden="1" x14ac:dyDescent="0.15"/>
    <row r="27404" hidden="1" x14ac:dyDescent="0.15"/>
    <row r="27405" hidden="1" x14ac:dyDescent="0.15"/>
    <row r="27406" hidden="1" x14ac:dyDescent="0.15"/>
    <row r="27407" hidden="1" x14ac:dyDescent="0.15"/>
    <row r="27408" hidden="1" x14ac:dyDescent="0.15"/>
    <row r="27409" hidden="1" x14ac:dyDescent="0.15"/>
    <row r="27410" hidden="1" x14ac:dyDescent="0.15"/>
    <row r="27411" hidden="1" x14ac:dyDescent="0.15"/>
    <row r="27412" hidden="1" x14ac:dyDescent="0.15"/>
    <row r="27413" hidden="1" x14ac:dyDescent="0.15"/>
    <row r="27414" hidden="1" x14ac:dyDescent="0.15"/>
    <row r="27415" hidden="1" x14ac:dyDescent="0.15"/>
    <row r="27416" hidden="1" x14ac:dyDescent="0.15"/>
    <row r="27417" hidden="1" x14ac:dyDescent="0.15"/>
    <row r="27418" hidden="1" x14ac:dyDescent="0.15"/>
    <row r="27419" hidden="1" x14ac:dyDescent="0.15"/>
    <row r="27420" hidden="1" x14ac:dyDescent="0.15"/>
    <row r="27421" hidden="1" x14ac:dyDescent="0.15"/>
    <row r="27422" hidden="1" x14ac:dyDescent="0.15"/>
    <row r="27423" hidden="1" x14ac:dyDescent="0.15"/>
    <row r="27424" hidden="1" x14ac:dyDescent="0.15"/>
    <row r="27425" hidden="1" x14ac:dyDescent="0.15"/>
    <row r="27426" hidden="1" x14ac:dyDescent="0.15"/>
    <row r="27427" hidden="1" x14ac:dyDescent="0.15"/>
    <row r="27428" hidden="1" x14ac:dyDescent="0.15"/>
    <row r="27429" hidden="1" x14ac:dyDescent="0.15"/>
    <row r="27430" hidden="1" x14ac:dyDescent="0.15"/>
    <row r="27431" hidden="1" x14ac:dyDescent="0.15"/>
    <row r="27432" hidden="1" x14ac:dyDescent="0.15"/>
    <row r="27433" hidden="1" x14ac:dyDescent="0.15"/>
    <row r="27434" hidden="1" x14ac:dyDescent="0.15"/>
    <row r="27435" hidden="1" x14ac:dyDescent="0.15"/>
    <row r="27436" hidden="1" x14ac:dyDescent="0.15"/>
    <row r="27437" hidden="1" x14ac:dyDescent="0.15"/>
    <row r="27438" hidden="1" x14ac:dyDescent="0.15"/>
    <row r="27439" hidden="1" x14ac:dyDescent="0.15"/>
    <row r="27440" hidden="1" x14ac:dyDescent="0.15"/>
    <row r="27441" hidden="1" x14ac:dyDescent="0.15"/>
    <row r="27442" hidden="1" x14ac:dyDescent="0.15"/>
    <row r="27443" hidden="1" x14ac:dyDescent="0.15"/>
    <row r="27444" hidden="1" x14ac:dyDescent="0.15"/>
    <row r="27445" hidden="1" x14ac:dyDescent="0.15"/>
    <row r="27446" hidden="1" x14ac:dyDescent="0.15"/>
    <row r="27447" hidden="1" x14ac:dyDescent="0.15"/>
    <row r="27448" hidden="1" x14ac:dyDescent="0.15"/>
    <row r="27449" hidden="1" x14ac:dyDescent="0.15"/>
    <row r="27450" hidden="1" x14ac:dyDescent="0.15"/>
    <row r="27451" hidden="1" x14ac:dyDescent="0.15"/>
    <row r="27452" hidden="1" x14ac:dyDescent="0.15"/>
    <row r="27453" hidden="1" x14ac:dyDescent="0.15"/>
    <row r="27454" hidden="1" x14ac:dyDescent="0.15"/>
    <row r="27455" hidden="1" x14ac:dyDescent="0.15"/>
    <row r="27456" hidden="1" x14ac:dyDescent="0.15"/>
    <row r="27457" hidden="1" x14ac:dyDescent="0.15"/>
    <row r="27458" hidden="1" x14ac:dyDescent="0.15"/>
    <row r="27459" hidden="1" x14ac:dyDescent="0.15"/>
    <row r="27460" hidden="1" x14ac:dyDescent="0.15"/>
    <row r="27461" hidden="1" x14ac:dyDescent="0.15"/>
    <row r="27462" hidden="1" x14ac:dyDescent="0.15"/>
    <row r="27463" hidden="1" x14ac:dyDescent="0.15"/>
    <row r="27464" hidden="1" x14ac:dyDescent="0.15"/>
    <row r="27465" hidden="1" x14ac:dyDescent="0.15"/>
    <row r="27466" hidden="1" x14ac:dyDescent="0.15"/>
    <row r="27467" hidden="1" x14ac:dyDescent="0.15"/>
    <row r="27468" hidden="1" x14ac:dyDescent="0.15"/>
    <row r="27469" hidden="1" x14ac:dyDescent="0.15"/>
    <row r="27470" hidden="1" x14ac:dyDescent="0.15"/>
    <row r="27471" hidden="1" x14ac:dyDescent="0.15"/>
    <row r="27472" hidden="1" x14ac:dyDescent="0.15"/>
    <row r="27473" hidden="1" x14ac:dyDescent="0.15"/>
    <row r="27474" hidden="1" x14ac:dyDescent="0.15"/>
    <row r="27475" hidden="1" x14ac:dyDescent="0.15"/>
    <row r="27476" hidden="1" x14ac:dyDescent="0.15"/>
    <row r="27477" hidden="1" x14ac:dyDescent="0.15"/>
    <row r="27478" hidden="1" x14ac:dyDescent="0.15"/>
    <row r="27479" hidden="1" x14ac:dyDescent="0.15"/>
    <row r="27480" hidden="1" x14ac:dyDescent="0.15"/>
    <row r="27481" hidden="1" x14ac:dyDescent="0.15"/>
    <row r="27482" hidden="1" x14ac:dyDescent="0.15"/>
    <row r="27483" hidden="1" x14ac:dyDescent="0.15"/>
    <row r="27484" hidden="1" x14ac:dyDescent="0.15"/>
    <row r="27485" hidden="1" x14ac:dyDescent="0.15"/>
    <row r="27486" hidden="1" x14ac:dyDescent="0.15"/>
    <row r="27487" hidden="1" x14ac:dyDescent="0.15"/>
    <row r="27488" hidden="1" x14ac:dyDescent="0.15"/>
    <row r="27489" hidden="1" x14ac:dyDescent="0.15"/>
    <row r="27490" hidden="1" x14ac:dyDescent="0.15"/>
    <row r="27491" hidden="1" x14ac:dyDescent="0.15"/>
    <row r="27492" hidden="1" x14ac:dyDescent="0.15"/>
    <row r="27493" hidden="1" x14ac:dyDescent="0.15"/>
    <row r="27494" hidden="1" x14ac:dyDescent="0.15"/>
    <row r="27495" hidden="1" x14ac:dyDescent="0.15"/>
    <row r="27496" hidden="1" x14ac:dyDescent="0.15"/>
    <row r="27497" hidden="1" x14ac:dyDescent="0.15"/>
    <row r="27498" hidden="1" x14ac:dyDescent="0.15"/>
    <row r="27499" hidden="1" x14ac:dyDescent="0.15"/>
    <row r="27500" hidden="1" x14ac:dyDescent="0.15"/>
    <row r="27501" hidden="1" x14ac:dyDescent="0.15"/>
    <row r="27502" hidden="1" x14ac:dyDescent="0.15"/>
    <row r="27503" hidden="1" x14ac:dyDescent="0.15"/>
    <row r="27504" hidden="1" x14ac:dyDescent="0.15"/>
    <row r="27505" hidden="1" x14ac:dyDescent="0.15"/>
    <row r="27506" hidden="1" x14ac:dyDescent="0.15"/>
    <row r="27507" hidden="1" x14ac:dyDescent="0.15"/>
    <row r="27508" hidden="1" x14ac:dyDescent="0.15"/>
    <row r="27509" hidden="1" x14ac:dyDescent="0.15"/>
    <row r="27510" hidden="1" x14ac:dyDescent="0.15"/>
    <row r="27511" hidden="1" x14ac:dyDescent="0.15"/>
    <row r="27512" hidden="1" x14ac:dyDescent="0.15"/>
    <row r="27513" hidden="1" x14ac:dyDescent="0.15"/>
    <row r="27514" hidden="1" x14ac:dyDescent="0.15"/>
    <row r="27515" hidden="1" x14ac:dyDescent="0.15"/>
    <row r="27516" hidden="1" x14ac:dyDescent="0.15"/>
    <row r="27517" hidden="1" x14ac:dyDescent="0.15"/>
    <row r="27518" hidden="1" x14ac:dyDescent="0.15"/>
    <row r="27519" hidden="1" x14ac:dyDescent="0.15"/>
    <row r="27520" hidden="1" x14ac:dyDescent="0.15"/>
    <row r="27521" hidden="1" x14ac:dyDescent="0.15"/>
    <row r="27522" hidden="1" x14ac:dyDescent="0.15"/>
    <row r="27523" hidden="1" x14ac:dyDescent="0.15"/>
    <row r="27524" hidden="1" x14ac:dyDescent="0.15"/>
    <row r="27525" hidden="1" x14ac:dyDescent="0.15"/>
    <row r="27526" hidden="1" x14ac:dyDescent="0.15"/>
    <row r="27527" hidden="1" x14ac:dyDescent="0.15"/>
    <row r="27528" hidden="1" x14ac:dyDescent="0.15"/>
    <row r="27529" hidden="1" x14ac:dyDescent="0.15"/>
    <row r="27530" hidden="1" x14ac:dyDescent="0.15"/>
    <row r="27531" hidden="1" x14ac:dyDescent="0.15"/>
    <row r="27532" hidden="1" x14ac:dyDescent="0.15"/>
    <row r="27533" hidden="1" x14ac:dyDescent="0.15"/>
    <row r="27534" hidden="1" x14ac:dyDescent="0.15"/>
    <row r="27535" hidden="1" x14ac:dyDescent="0.15"/>
    <row r="27536" hidden="1" x14ac:dyDescent="0.15"/>
    <row r="27537" hidden="1" x14ac:dyDescent="0.15"/>
    <row r="27538" hidden="1" x14ac:dyDescent="0.15"/>
    <row r="27539" hidden="1" x14ac:dyDescent="0.15"/>
    <row r="27540" hidden="1" x14ac:dyDescent="0.15"/>
    <row r="27541" hidden="1" x14ac:dyDescent="0.15"/>
    <row r="27542" hidden="1" x14ac:dyDescent="0.15"/>
    <row r="27543" hidden="1" x14ac:dyDescent="0.15"/>
    <row r="27544" hidden="1" x14ac:dyDescent="0.15"/>
    <row r="27545" hidden="1" x14ac:dyDescent="0.15"/>
    <row r="27546" hidden="1" x14ac:dyDescent="0.15"/>
    <row r="27547" hidden="1" x14ac:dyDescent="0.15"/>
    <row r="27548" hidden="1" x14ac:dyDescent="0.15"/>
    <row r="27549" hidden="1" x14ac:dyDescent="0.15"/>
    <row r="27550" hidden="1" x14ac:dyDescent="0.15"/>
    <row r="27551" hidden="1" x14ac:dyDescent="0.15"/>
    <row r="27552" hidden="1" x14ac:dyDescent="0.15"/>
    <row r="27553" hidden="1" x14ac:dyDescent="0.15"/>
    <row r="27554" hidden="1" x14ac:dyDescent="0.15"/>
    <row r="27555" hidden="1" x14ac:dyDescent="0.15"/>
    <row r="27556" hidden="1" x14ac:dyDescent="0.15"/>
    <row r="27557" hidden="1" x14ac:dyDescent="0.15"/>
    <row r="27558" hidden="1" x14ac:dyDescent="0.15"/>
    <row r="27559" hidden="1" x14ac:dyDescent="0.15"/>
    <row r="27560" hidden="1" x14ac:dyDescent="0.15"/>
    <row r="27561" hidden="1" x14ac:dyDescent="0.15"/>
    <row r="27562" hidden="1" x14ac:dyDescent="0.15"/>
    <row r="27563" hidden="1" x14ac:dyDescent="0.15"/>
    <row r="27564" hidden="1" x14ac:dyDescent="0.15"/>
    <row r="27565" hidden="1" x14ac:dyDescent="0.15"/>
    <row r="27566" hidden="1" x14ac:dyDescent="0.15"/>
    <row r="27567" hidden="1" x14ac:dyDescent="0.15"/>
    <row r="27568" hidden="1" x14ac:dyDescent="0.15"/>
    <row r="27569" hidden="1" x14ac:dyDescent="0.15"/>
    <row r="27570" hidden="1" x14ac:dyDescent="0.15"/>
    <row r="27571" hidden="1" x14ac:dyDescent="0.15"/>
    <row r="27572" hidden="1" x14ac:dyDescent="0.15"/>
    <row r="27573" hidden="1" x14ac:dyDescent="0.15"/>
    <row r="27574" hidden="1" x14ac:dyDescent="0.15"/>
    <row r="27575" hidden="1" x14ac:dyDescent="0.15"/>
    <row r="27576" hidden="1" x14ac:dyDescent="0.15"/>
    <row r="27577" hidden="1" x14ac:dyDescent="0.15"/>
    <row r="27578" hidden="1" x14ac:dyDescent="0.15"/>
    <row r="27579" hidden="1" x14ac:dyDescent="0.15"/>
    <row r="27580" hidden="1" x14ac:dyDescent="0.15"/>
    <row r="27581" hidden="1" x14ac:dyDescent="0.15"/>
    <row r="27582" hidden="1" x14ac:dyDescent="0.15"/>
    <row r="27583" hidden="1" x14ac:dyDescent="0.15"/>
    <row r="27584" hidden="1" x14ac:dyDescent="0.15"/>
    <row r="27585" hidden="1" x14ac:dyDescent="0.15"/>
    <row r="27586" hidden="1" x14ac:dyDescent="0.15"/>
    <row r="27587" hidden="1" x14ac:dyDescent="0.15"/>
    <row r="27588" hidden="1" x14ac:dyDescent="0.15"/>
    <row r="27589" hidden="1" x14ac:dyDescent="0.15"/>
    <row r="27590" hidden="1" x14ac:dyDescent="0.15"/>
    <row r="27591" hidden="1" x14ac:dyDescent="0.15"/>
    <row r="27592" hidden="1" x14ac:dyDescent="0.15"/>
    <row r="27593" hidden="1" x14ac:dyDescent="0.15"/>
    <row r="27594" hidden="1" x14ac:dyDescent="0.15"/>
    <row r="27595" hidden="1" x14ac:dyDescent="0.15"/>
    <row r="27596" hidden="1" x14ac:dyDescent="0.15"/>
    <row r="27597" hidden="1" x14ac:dyDescent="0.15"/>
    <row r="27598" hidden="1" x14ac:dyDescent="0.15"/>
    <row r="27599" hidden="1" x14ac:dyDescent="0.15"/>
    <row r="27600" hidden="1" x14ac:dyDescent="0.15"/>
    <row r="27601" hidden="1" x14ac:dyDescent="0.15"/>
    <row r="27602" hidden="1" x14ac:dyDescent="0.15"/>
    <row r="27603" hidden="1" x14ac:dyDescent="0.15"/>
    <row r="27604" hidden="1" x14ac:dyDescent="0.15"/>
    <row r="27605" hidden="1" x14ac:dyDescent="0.15"/>
    <row r="27606" hidden="1" x14ac:dyDescent="0.15"/>
    <row r="27607" hidden="1" x14ac:dyDescent="0.15"/>
    <row r="27608" hidden="1" x14ac:dyDescent="0.15"/>
    <row r="27609" hidden="1" x14ac:dyDescent="0.15"/>
    <row r="27610" hidden="1" x14ac:dyDescent="0.15"/>
    <row r="27611" hidden="1" x14ac:dyDescent="0.15"/>
    <row r="27612" hidden="1" x14ac:dyDescent="0.15"/>
    <row r="27613" hidden="1" x14ac:dyDescent="0.15"/>
    <row r="27614" hidden="1" x14ac:dyDescent="0.15"/>
    <row r="27615" hidden="1" x14ac:dyDescent="0.15"/>
    <row r="27616" hidden="1" x14ac:dyDescent="0.15"/>
    <row r="27617" hidden="1" x14ac:dyDescent="0.15"/>
    <row r="27618" hidden="1" x14ac:dyDescent="0.15"/>
    <row r="27619" hidden="1" x14ac:dyDescent="0.15"/>
    <row r="27620" hidden="1" x14ac:dyDescent="0.15"/>
    <row r="27621" hidden="1" x14ac:dyDescent="0.15"/>
    <row r="27622" hidden="1" x14ac:dyDescent="0.15"/>
    <row r="27623" hidden="1" x14ac:dyDescent="0.15"/>
    <row r="27624" hidden="1" x14ac:dyDescent="0.15"/>
    <row r="27625" hidden="1" x14ac:dyDescent="0.15"/>
    <row r="27626" hidden="1" x14ac:dyDescent="0.15"/>
    <row r="27627" hidden="1" x14ac:dyDescent="0.15"/>
    <row r="27628" hidden="1" x14ac:dyDescent="0.15"/>
    <row r="27629" hidden="1" x14ac:dyDescent="0.15"/>
    <row r="27630" hidden="1" x14ac:dyDescent="0.15"/>
    <row r="27631" hidden="1" x14ac:dyDescent="0.15"/>
    <row r="27632" hidden="1" x14ac:dyDescent="0.15"/>
    <row r="27633" hidden="1" x14ac:dyDescent="0.15"/>
    <row r="27634" hidden="1" x14ac:dyDescent="0.15"/>
    <row r="27635" hidden="1" x14ac:dyDescent="0.15"/>
    <row r="27636" hidden="1" x14ac:dyDescent="0.15"/>
    <row r="27637" hidden="1" x14ac:dyDescent="0.15"/>
    <row r="27638" hidden="1" x14ac:dyDescent="0.15"/>
    <row r="27639" hidden="1" x14ac:dyDescent="0.15"/>
    <row r="27640" hidden="1" x14ac:dyDescent="0.15"/>
    <row r="27641" hidden="1" x14ac:dyDescent="0.15"/>
    <row r="27642" hidden="1" x14ac:dyDescent="0.15"/>
    <row r="27643" hidden="1" x14ac:dyDescent="0.15"/>
    <row r="27644" hidden="1" x14ac:dyDescent="0.15"/>
    <row r="27645" hidden="1" x14ac:dyDescent="0.15"/>
    <row r="27646" hidden="1" x14ac:dyDescent="0.15"/>
    <row r="27647" hidden="1" x14ac:dyDescent="0.15"/>
    <row r="27648" hidden="1" x14ac:dyDescent="0.15"/>
    <row r="27649" hidden="1" x14ac:dyDescent="0.15"/>
    <row r="27650" hidden="1" x14ac:dyDescent="0.15"/>
    <row r="27651" hidden="1" x14ac:dyDescent="0.15"/>
    <row r="27652" hidden="1" x14ac:dyDescent="0.15"/>
    <row r="27653" hidden="1" x14ac:dyDescent="0.15"/>
    <row r="27654" hidden="1" x14ac:dyDescent="0.15"/>
    <row r="27655" hidden="1" x14ac:dyDescent="0.15"/>
    <row r="27656" hidden="1" x14ac:dyDescent="0.15"/>
    <row r="27657" hidden="1" x14ac:dyDescent="0.15"/>
    <row r="27658" hidden="1" x14ac:dyDescent="0.15"/>
    <row r="27659" hidden="1" x14ac:dyDescent="0.15"/>
    <row r="27660" hidden="1" x14ac:dyDescent="0.15"/>
    <row r="27661" hidden="1" x14ac:dyDescent="0.15"/>
    <row r="27662" hidden="1" x14ac:dyDescent="0.15"/>
    <row r="27663" hidden="1" x14ac:dyDescent="0.15"/>
    <row r="27664" hidden="1" x14ac:dyDescent="0.15"/>
    <row r="27665" hidden="1" x14ac:dyDescent="0.15"/>
    <row r="27666" hidden="1" x14ac:dyDescent="0.15"/>
    <row r="27667" hidden="1" x14ac:dyDescent="0.15"/>
    <row r="27668" hidden="1" x14ac:dyDescent="0.15"/>
    <row r="27669" hidden="1" x14ac:dyDescent="0.15"/>
    <row r="27670" hidden="1" x14ac:dyDescent="0.15"/>
    <row r="27671" hidden="1" x14ac:dyDescent="0.15"/>
    <row r="27672" hidden="1" x14ac:dyDescent="0.15"/>
    <row r="27673" hidden="1" x14ac:dyDescent="0.15"/>
    <row r="27674" hidden="1" x14ac:dyDescent="0.15"/>
    <row r="27675" hidden="1" x14ac:dyDescent="0.15"/>
    <row r="27676" hidden="1" x14ac:dyDescent="0.15"/>
    <row r="27677" hidden="1" x14ac:dyDescent="0.15"/>
    <row r="27678" hidden="1" x14ac:dyDescent="0.15"/>
    <row r="27679" hidden="1" x14ac:dyDescent="0.15"/>
    <row r="27680" hidden="1" x14ac:dyDescent="0.15"/>
    <row r="27681" hidden="1" x14ac:dyDescent="0.15"/>
    <row r="27682" hidden="1" x14ac:dyDescent="0.15"/>
    <row r="27683" hidden="1" x14ac:dyDescent="0.15"/>
    <row r="27684" hidden="1" x14ac:dyDescent="0.15"/>
    <row r="27685" hidden="1" x14ac:dyDescent="0.15"/>
    <row r="27686" hidden="1" x14ac:dyDescent="0.15"/>
    <row r="27687" hidden="1" x14ac:dyDescent="0.15"/>
    <row r="27688" hidden="1" x14ac:dyDescent="0.15"/>
    <row r="27689" hidden="1" x14ac:dyDescent="0.15"/>
    <row r="27690" hidden="1" x14ac:dyDescent="0.15"/>
    <row r="27691" hidden="1" x14ac:dyDescent="0.15"/>
    <row r="27692" hidden="1" x14ac:dyDescent="0.15"/>
    <row r="27693" hidden="1" x14ac:dyDescent="0.15"/>
    <row r="27694" hidden="1" x14ac:dyDescent="0.15"/>
    <row r="27695" hidden="1" x14ac:dyDescent="0.15"/>
    <row r="27696" hidden="1" x14ac:dyDescent="0.15"/>
    <row r="27697" hidden="1" x14ac:dyDescent="0.15"/>
    <row r="27698" hidden="1" x14ac:dyDescent="0.15"/>
    <row r="27699" hidden="1" x14ac:dyDescent="0.15"/>
    <row r="27700" hidden="1" x14ac:dyDescent="0.15"/>
    <row r="27701" hidden="1" x14ac:dyDescent="0.15"/>
    <row r="27702" hidden="1" x14ac:dyDescent="0.15"/>
    <row r="27703" hidden="1" x14ac:dyDescent="0.15"/>
    <row r="27704" hidden="1" x14ac:dyDescent="0.15"/>
    <row r="27705" hidden="1" x14ac:dyDescent="0.15"/>
    <row r="27706" hidden="1" x14ac:dyDescent="0.15"/>
    <row r="27707" hidden="1" x14ac:dyDescent="0.15"/>
    <row r="27708" hidden="1" x14ac:dyDescent="0.15"/>
    <row r="27709" hidden="1" x14ac:dyDescent="0.15"/>
    <row r="27710" hidden="1" x14ac:dyDescent="0.15"/>
    <row r="27711" hidden="1" x14ac:dyDescent="0.15"/>
    <row r="27712" hidden="1" x14ac:dyDescent="0.15"/>
    <row r="27713" hidden="1" x14ac:dyDescent="0.15"/>
    <row r="27714" hidden="1" x14ac:dyDescent="0.15"/>
    <row r="27715" hidden="1" x14ac:dyDescent="0.15"/>
    <row r="27716" hidden="1" x14ac:dyDescent="0.15"/>
    <row r="27717" hidden="1" x14ac:dyDescent="0.15"/>
    <row r="27718" hidden="1" x14ac:dyDescent="0.15"/>
    <row r="27719" hidden="1" x14ac:dyDescent="0.15"/>
    <row r="27720" hidden="1" x14ac:dyDescent="0.15"/>
    <row r="27721" hidden="1" x14ac:dyDescent="0.15"/>
    <row r="27722" hidden="1" x14ac:dyDescent="0.15"/>
    <row r="27723" hidden="1" x14ac:dyDescent="0.15"/>
    <row r="27724" hidden="1" x14ac:dyDescent="0.15"/>
    <row r="27725" hidden="1" x14ac:dyDescent="0.15"/>
    <row r="27726" hidden="1" x14ac:dyDescent="0.15"/>
    <row r="27727" hidden="1" x14ac:dyDescent="0.15"/>
    <row r="27728" hidden="1" x14ac:dyDescent="0.15"/>
    <row r="27729" hidden="1" x14ac:dyDescent="0.15"/>
    <row r="27730" hidden="1" x14ac:dyDescent="0.15"/>
    <row r="27731" hidden="1" x14ac:dyDescent="0.15"/>
    <row r="27732" hidden="1" x14ac:dyDescent="0.15"/>
    <row r="27733" hidden="1" x14ac:dyDescent="0.15"/>
    <row r="27734" hidden="1" x14ac:dyDescent="0.15"/>
    <row r="27735" hidden="1" x14ac:dyDescent="0.15"/>
    <row r="27736" hidden="1" x14ac:dyDescent="0.15"/>
    <row r="27737" hidden="1" x14ac:dyDescent="0.15"/>
    <row r="27738" hidden="1" x14ac:dyDescent="0.15"/>
    <row r="27739" hidden="1" x14ac:dyDescent="0.15"/>
    <row r="27740" hidden="1" x14ac:dyDescent="0.15"/>
    <row r="27741" hidden="1" x14ac:dyDescent="0.15"/>
    <row r="27742" hidden="1" x14ac:dyDescent="0.15"/>
    <row r="27743" hidden="1" x14ac:dyDescent="0.15"/>
    <row r="27744" hidden="1" x14ac:dyDescent="0.15"/>
    <row r="27745" hidden="1" x14ac:dyDescent="0.15"/>
    <row r="27746" hidden="1" x14ac:dyDescent="0.15"/>
    <row r="27747" hidden="1" x14ac:dyDescent="0.15"/>
    <row r="27748" hidden="1" x14ac:dyDescent="0.15"/>
    <row r="27749" hidden="1" x14ac:dyDescent="0.15"/>
    <row r="27750" hidden="1" x14ac:dyDescent="0.15"/>
    <row r="27751" hidden="1" x14ac:dyDescent="0.15"/>
    <row r="27752" hidden="1" x14ac:dyDescent="0.15"/>
    <row r="27753" hidden="1" x14ac:dyDescent="0.15"/>
    <row r="27754" hidden="1" x14ac:dyDescent="0.15"/>
    <row r="27755" hidden="1" x14ac:dyDescent="0.15"/>
    <row r="27756" hidden="1" x14ac:dyDescent="0.15"/>
    <row r="27757" hidden="1" x14ac:dyDescent="0.15"/>
    <row r="27758" hidden="1" x14ac:dyDescent="0.15"/>
    <row r="27759" hidden="1" x14ac:dyDescent="0.15"/>
    <row r="27760" hidden="1" x14ac:dyDescent="0.15"/>
    <row r="27761" hidden="1" x14ac:dyDescent="0.15"/>
    <row r="27762" hidden="1" x14ac:dyDescent="0.15"/>
    <row r="27763" hidden="1" x14ac:dyDescent="0.15"/>
    <row r="27764" hidden="1" x14ac:dyDescent="0.15"/>
    <row r="27765" hidden="1" x14ac:dyDescent="0.15"/>
    <row r="27766" hidden="1" x14ac:dyDescent="0.15"/>
    <row r="27767" hidden="1" x14ac:dyDescent="0.15"/>
    <row r="27768" hidden="1" x14ac:dyDescent="0.15"/>
    <row r="27769" hidden="1" x14ac:dyDescent="0.15"/>
    <row r="27770" hidden="1" x14ac:dyDescent="0.15"/>
    <row r="27771" hidden="1" x14ac:dyDescent="0.15"/>
    <row r="27772" hidden="1" x14ac:dyDescent="0.15"/>
    <row r="27773" hidden="1" x14ac:dyDescent="0.15"/>
    <row r="27774" hidden="1" x14ac:dyDescent="0.15"/>
    <row r="27775" hidden="1" x14ac:dyDescent="0.15"/>
    <row r="27776" hidden="1" x14ac:dyDescent="0.15"/>
    <row r="27777" hidden="1" x14ac:dyDescent="0.15"/>
    <row r="27778" hidden="1" x14ac:dyDescent="0.15"/>
    <row r="27779" hidden="1" x14ac:dyDescent="0.15"/>
    <row r="27780" hidden="1" x14ac:dyDescent="0.15"/>
    <row r="27781" hidden="1" x14ac:dyDescent="0.15"/>
    <row r="27782" hidden="1" x14ac:dyDescent="0.15"/>
    <row r="27783" hidden="1" x14ac:dyDescent="0.15"/>
    <row r="27784" hidden="1" x14ac:dyDescent="0.15"/>
    <row r="27785" hidden="1" x14ac:dyDescent="0.15"/>
    <row r="27786" hidden="1" x14ac:dyDescent="0.15"/>
    <row r="27787" hidden="1" x14ac:dyDescent="0.15"/>
    <row r="27788" hidden="1" x14ac:dyDescent="0.15"/>
    <row r="27789" hidden="1" x14ac:dyDescent="0.15"/>
    <row r="27790" hidden="1" x14ac:dyDescent="0.15"/>
    <row r="27791" hidden="1" x14ac:dyDescent="0.15"/>
    <row r="27792" hidden="1" x14ac:dyDescent="0.15"/>
    <row r="27793" hidden="1" x14ac:dyDescent="0.15"/>
    <row r="27794" hidden="1" x14ac:dyDescent="0.15"/>
    <row r="27795" hidden="1" x14ac:dyDescent="0.15"/>
    <row r="27796" hidden="1" x14ac:dyDescent="0.15"/>
    <row r="27797" hidden="1" x14ac:dyDescent="0.15"/>
    <row r="27798" hidden="1" x14ac:dyDescent="0.15"/>
    <row r="27799" hidden="1" x14ac:dyDescent="0.15"/>
    <row r="27800" hidden="1" x14ac:dyDescent="0.15"/>
    <row r="27801" hidden="1" x14ac:dyDescent="0.15"/>
    <row r="27802" hidden="1" x14ac:dyDescent="0.15"/>
    <row r="27803" hidden="1" x14ac:dyDescent="0.15"/>
    <row r="27804" hidden="1" x14ac:dyDescent="0.15"/>
    <row r="27805" hidden="1" x14ac:dyDescent="0.15"/>
    <row r="27806" hidden="1" x14ac:dyDescent="0.15"/>
    <row r="27807" hidden="1" x14ac:dyDescent="0.15"/>
    <row r="27808" hidden="1" x14ac:dyDescent="0.15"/>
    <row r="27809" hidden="1" x14ac:dyDescent="0.15"/>
    <row r="27810" hidden="1" x14ac:dyDescent="0.15"/>
    <row r="27811" hidden="1" x14ac:dyDescent="0.15"/>
    <row r="27812" hidden="1" x14ac:dyDescent="0.15"/>
    <row r="27813" hidden="1" x14ac:dyDescent="0.15"/>
    <row r="27814" hidden="1" x14ac:dyDescent="0.15"/>
    <row r="27815" hidden="1" x14ac:dyDescent="0.15"/>
    <row r="27816" hidden="1" x14ac:dyDescent="0.15"/>
    <row r="27817" hidden="1" x14ac:dyDescent="0.15"/>
    <row r="27818" hidden="1" x14ac:dyDescent="0.15"/>
    <row r="27819" hidden="1" x14ac:dyDescent="0.15"/>
    <row r="27820" hidden="1" x14ac:dyDescent="0.15"/>
    <row r="27821" hidden="1" x14ac:dyDescent="0.15"/>
    <row r="27822" hidden="1" x14ac:dyDescent="0.15"/>
    <row r="27823" hidden="1" x14ac:dyDescent="0.15"/>
    <row r="27824" hidden="1" x14ac:dyDescent="0.15"/>
    <row r="27825" hidden="1" x14ac:dyDescent="0.15"/>
    <row r="27826" hidden="1" x14ac:dyDescent="0.15"/>
    <row r="27827" hidden="1" x14ac:dyDescent="0.15"/>
    <row r="27828" hidden="1" x14ac:dyDescent="0.15"/>
    <row r="27829" hidden="1" x14ac:dyDescent="0.15"/>
    <row r="27830" hidden="1" x14ac:dyDescent="0.15"/>
    <row r="27831" hidden="1" x14ac:dyDescent="0.15"/>
    <row r="27832" hidden="1" x14ac:dyDescent="0.15"/>
    <row r="27833" hidden="1" x14ac:dyDescent="0.15"/>
    <row r="27834" hidden="1" x14ac:dyDescent="0.15"/>
    <row r="27835" hidden="1" x14ac:dyDescent="0.15"/>
    <row r="27836" hidden="1" x14ac:dyDescent="0.15"/>
    <row r="27837" hidden="1" x14ac:dyDescent="0.15"/>
    <row r="27838" hidden="1" x14ac:dyDescent="0.15"/>
    <row r="27839" hidden="1" x14ac:dyDescent="0.15"/>
    <row r="27840" hidden="1" x14ac:dyDescent="0.15"/>
    <row r="27841" hidden="1" x14ac:dyDescent="0.15"/>
    <row r="27842" hidden="1" x14ac:dyDescent="0.15"/>
    <row r="27843" hidden="1" x14ac:dyDescent="0.15"/>
    <row r="27844" hidden="1" x14ac:dyDescent="0.15"/>
    <row r="27845" hidden="1" x14ac:dyDescent="0.15"/>
    <row r="27846" hidden="1" x14ac:dyDescent="0.15"/>
    <row r="27847" hidden="1" x14ac:dyDescent="0.15"/>
    <row r="27848" hidden="1" x14ac:dyDescent="0.15"/>
    <row r="27849" hidden="1" x14ac:dyDescent="0.15"/>
    <row r="27850" hidden="1" x14ac:dyDescent="0.15"/>
    <row r="27851" hidden="1" x14ac:dyDescent="0.15"/>
    <row r="27852" hidden="1" x14ac:dyDescent="0.15"/>
    <row r="27853" hidden="1" x14ac:dyDescent="0.15"/>
    <row r="27854" hidden="1" x14ac:dyDescent="0.15"/>
    <row r="27855" hidden="1" x14ac:dyDescent="0.15"/>
    <row r="27856" hidden="1" x14ac:dyDescent="0.15"/>
    <row r="27857" hidden="1" x14ac:dyDescent="0.15"/>
    <row r="27858" hidden="1" x14ac:dyDescent="0.15"/>
    <row r="27859" hidden="1" x14ac:dyDescent="0.15"/>
    <row r="27860" hidden="1" x14ac:dyDescent="0.15"/>
    <row r="27861" hidden="1" x14ac:dyDescent="0.15"/>
    <row r="27862" hidden="1" x14ac:dyDescent="0.15"/>
    <row r="27863" hidden="1" x14ac:dyDescent="0.15"/>
    <row r="27864" hidden="1" x14ac:dyDescent="0.15"/>
    <row r="27865" hidden="1" x14ac:dyDescent="0.15"/>
    <row r="27866" hidden="1" x14ac:dyDescent="0.15"/>
    <row r="27867" hidden="1" x14ac:dyDescent="0.15"/>
    <row r="27868" hidden="1" x14ac:dyDescent="0.15"/>
    <row r="27869" hidden="1" x14ac:dyDescent="0.15"/>
    <row r="27870" hidden="1" x14ac:dyDescent="0.15"/>
    <row r="27871" hidden="1" x14ac:dyDescent="0.15"/>
    <row r="27872" hidden="1" x14ac:dyDescent="0.15"/>
    <row r="27873" hidden="1" x14ac:dyDescent="0.15"/>
    <row r="27874" hidden="1" x14ac:dyDescent="0.15"/>
    <row r="27875" hidden="1" x14ac:dyDescent="0.15"/>
    <row r="27876" hidden="1" x14ac:dyDescent="0.15"/>
    <row r="27877" hidden="1" x14ac:dyDescent="0.15"/>
    <row r="27878" hidden="1" x14ac:dyDescent="0.15"/>
    <row r="27879" hidden="1" x14ac:dyDescent="0.15"/>
    <row r="27880" hidden="1" x14ac:dyDescent="0.15"/>
    <row r="27881" hidden="1" x14ac:dyDescent="0.15"/>
    <row r="27882" hidden="1" x14ac:dyDescent="0.15"/>
    <row r="27883" hidden="1" x14ac:dyDescent="0.15"/>
    <row r="27884" hidden="1" x14ac:dyDescent="0.15"/>
    <row r="27885" hidden="1" x14ac:dyDescent="0.15"/>
    <row r="27886" hidden="1" x14ac:dyDescent="0.15"/>
    <row r="27887" hidden="1" x14ac:dyDescent="0.15"/>
    <row r="27888" hidden="1" x14ac:dyDescent="0.15"/>
    <row r="27889" hidden="1" x14ac:dyDescent="0.15"/>
    <row r="27890" hidden="1" x14ac:dyDescent="0.15"/>
    <row r="27891" hidden="1" x14ac:dyDescent="0.15"/>
    <row r="27892" hidden="1" x14ac:dyDescent="0.15"/>
    <row r="27893" hidden="1" x14ac:dyDescent="0.15"/>
    <row r="27894" hidden="1" x14ac:dyDescent="0.15"/>
    <row r="27895" hidden="1" x14ac:dyDescent="0.15"/>
    <row r="27896" hidden="1" x14ac:dyDescent="0.15"/>
    <row r="27897" hidden="1" x14ac:dyDescent="0.15"/>
    <row r="27898" hidden="1" x14ac:dyDescent="0.15"/>
    <row r="27899" hidden="1" x14ac:dyDescent="0.15"/>
    <row r="27900" hidden="1" x14ac:dyDescent="0.15"/>
    <row r="27901" hidden="1" x14ac:dyDescent="0.15"/>
    <row r="27902" hidden="1" x14ac:dyDescent="0.15"/>
    <row r="27903" hidden="1" x14ac:dyDescent="0.15"/>
    <row r="27904" hidden="1" x14ac:dyDescent="0.15"/>
    <row r="27905" hidden="1" x14ac:dyDescent="0.15"/>
    <row r="27906" hidden="1" x14ac:dyDescent="0.15"/>
    <row r="27907" hidden="1" x14ac:dyDescent="0.15"/>
    <row r="27908" hidden="1" x14ac:dyDescent="0.15"/>
    <row r="27909" hidden="1" x14ac:dyDescent="0.15"/>
    <row r="27910" hidden="1" x14ac:dyDescent="0.15"/>
    <row r="27911" hidden="1" x14ac:dyDescent="0.15"/>
    <row r="27912" hidden="1" x14ac:dyDescent="0.15"/>
    <row r="27913" hidden="1" x14ac:dyDescent="0.15"/>
    <row r="27914" hidden="1" x14ac:dyDescent="0.15"/>
    <row r="27915" hidden="1" x14ac:dyDescent="0.15"/>
    <row r="27916" hidden="1" x14ac:dyDescent="0.15"/>
    <row r="27917" hidden="1" x14ac:dyDescent="0.15"/>
    <row r="27918" hidden="1" x14ac:dyDescent="0.15"/>
    <row r="27919" hidden="1" x14ac:dyDescent="0.15"/>
    <row r="27920" hidden="1" x14ac:dyDescent="0.15"/>
    <row r="27921" hidden="1" x14ac:dyDescent="0.15"/>
    <row r="27922" hidden="1" x14ac:dyDescent="0.15"/>
    <row r="27923" hidden="1" x14ac:dyDescent="0.15"/>
    <row r="27924" hidden="1" x14ac:dyDescent="0.15"/>
    <row r="27925" hidden="1" x14ac:dyDescent="0.15"/>
    <row r="27926" hidden="1" x14ac:dyDescent="0.15"/>
    <row r="27927" hidden="1" x14ac:dyDescent="0.15"/>
    <row r="27928" hidden="1" x14ac:dyDescent="0.15"/>
    <row r="27929" hidden="1" x14ac:dyDescent="0.15"/>
    <row r="27930" hidden="1" x14ac:dyDescent="0.15"/>
    <row r="27931" hidden="1" x14ac:dyDescent="0.15"/>
    <row r="27932" hidden="1" x14ac:dyDescent="0.15"/>
    <row r="27933" hidden="1" x14ac:dyDescent="0.15"/>
    <row r="27934" hidden="1" x14ac:dyDescent="0.15"/>
    <row r="27935" hidden="1" x14ac:dyDescent="0.15"/>
    <row r="27936" hidden="1" x14ac:dyDescent="0.15"/>
    <row r="27937" hidden="1" x14ac:dyDescent="0.15"/>
    <row r="27938" hidden="1" x14ac:dyDescent="0.15"/>
    <row r="27939" hidden="1" x14ac:dyDescent="0.15"/>
    <row r="27940" hidden="1" x14ac:dyDescent="0.15"/>
    <row r="27941" hidden="1" x14ac:dyDescent="0.15"/>
    <row r="27942" hidden="1" x14ac:dyDescent="0.15"/>
    <row r="27943" hidden="1" x14ac:dyDescent="0.15"/>
    <row r="27944" hidden="1" x14ac:dyDescent="0.15"/>
    <row r="27945" hidden="1" x14ac:dyDescent="0.15"/>
    <row r="27946" hidden="1" x14ac:dyDescent="0.15"/>
    <row r="27947" hidden="1" x14ac:dyDescent="0.15"/>
    <row r="27948" hidden="1" x14ac:dyDescent="0.15"/>
    <row r="27949" hidden="1" x14ac:dyDescent="0.15"/>
    <row r="27950" hidden="1" x14ac:dyDescent="0.15"/>
    <row r="27951" hidden="1" x14ac:dyDescent="0.15"/>
    <row r="27952" hidden="1" x14ac:dyDescent="0.15"/>
    <row r="27953" hidden="1" x14ac:dyDescent="0.15"/>
    <row r="27954" hidden="1" x14ac:dyDescent="0.15"/>
    <row r="27955" hidden="1" x14ac:dyDescent="0.15"/>
    <row r="27956" hidden="1" x14ac:dyDescent="0.15"/>
    <row r="27957" hidden="1" x14ac:dyDescent="0.15"/>
    <row r="27958" hidden="1" x14ac:dyDescent="0.15"/>
    <row r="27959" hidden="1" x14ac:dyDescent="0.15"/>
    <row r="27960" hidden="1" x14ac:dyDescent="0.15"/>
    <row r="27961" hidden="1" x14ac:dyDescent="0.15"/>
    <row r="27962" hidden="1" x14ac:dyDescent="0.15"/>
    <row r="27963" hidden="1" x14ac:dyDescent="0.15"/>
    <row r="27964" hidden="1" x14ac:dyDescent="0.15"/>
    <row r="27965" hidden="1" x14ac:dyDescent="0.15"/>
    <row r="27966" hidden="1" x14ac:dyDescent="0.15"/>
    <row r="27967" hidden="1" x14ac:dyDescent="0.15"/>
    <row r="27968" hidden="1" x14ac:dyDescent="0.15"/>
    <row r="27969" hidden="1" x14ac:dyDescent="0.15"/>
    <row r="27970" hidden="1" x14ac:dyDescent="0.15"/>
    <row r="27971" hidden="1" x14ac:dyDescent="0.15"/>
    <row r="27972" hidden="1" x14ac:dyDescent="0.15"/>
    <row r="27973" hidden="1" x14ac:dyDescent="0.15"/>
    <row r="27974" hidden="1" x14ac:dyDescent="0.15"/>
    <row r="27975" hidden="1" x14ac:dyDescent="0.15"/>
    <row r="27976" hidden="1" x14ac:dyDescent="0.15"/>
    <row r="27977" hidden="1" x14ac:dyDescent="0.15"/>
    <row r="27978" hidden="1" x14ac:dyDescent="0.15"/>
    <row r="27979" hidden="1" x14ac:dyDescent="0.15"/>
    <row r="27980" hidden="1" x14ac:dyDescent="0.15"/>
    <row r="27981" hidden="1" x14ac:dyDescent="0.15"/>
    <row r="27982" hidden="1" x14ac:dyDescent="0.15"/>
    <row r="27983" hidden="1" x14ac:dyDescent="0.15"/>
    <row r="27984" hidden="1" x14ac:dyDescent="0.15"/>
    <row r="27985" hidden="1" x14ac:dyDescent="0.15"/>
    <row r="27986" hidden="1" x14ac:dyDescent="0.15"/>
    <row r="27987" hidden="1" x14ac:dyDescent="0.15"/>
    <row r="27988" hidden="1" x14ac:dyDescent="0.15"/>
    <row r="27989" hidden="1" x14ac:dyDescent="0.15"/>
    <row r="27990" hidden="1" x14ac:dyDescent="0.15"/>
    <row r="27991" hidden="1" x14ac:dyDescent="0.15"/>
    <row r="27992" hidden="1" x14ac:dyDescent="0.15"/>
    <row r="27993" hidden="1" x14ac:dyDescent="0.15"/>
    <row r="27994" hidden="1" x14ac:dyDescent="0.15"/>
    <row r="27995" hidden="1" x14ac:dyDescent="0.15"/>
    <row r="27996" hidden="1" x14ac:dyDescent="0.15"/>
    <row r="27997" hidden="1" x14ac:dyDescent="0.15"/>
    <row r="27998" hidden="1" x14ac:dyDescent="0.15"/>
    <row r="27999" hidden="1" x14ac:dyDescent="0.15"/>
    <row r="28000" hidden="1" x14ac:dyDescent="0.15"/>
    <row r="28001" hidden="1" x14ac:dyDescent="0.15"/>
    <row r="28002" hidden="1" x14ac:dyDescent="0.15"/>
    <row r="28003" hidden="1" x14ac:dyDescent="0.15"/>
    <row r="28004" hidden="1" x14ac:dyDescent="0.15"/>
    <row r="28005" hidden="1" x14ac:dyDescent="0.15"/>
    <row r="28006" hidden="1" x14ac:dyDescent="0.15"/>
    <row r="28007" hidden="1" x14ac:dyDescent="0.15"/>
    <row r="28008" hidden="1" x14ac:dyDescent="0.15"/>
    <row r="28009" hidden="1" x14ac:dyDescent="0.15"/>
    <row r="28010" hidden="1" x14ac:dyDescent="0.15"/>
    <row r="28011" hidden="1" x14ac:dyDescent="0.15"/>
    <row r="28012" hidden="1" x14ac:dyDescent="0.15"/>
    <row r="28013" hidden="1" x14ac:dyDescent="0.15"/>
    <row r="28014" hidden="1" x14ac:dyDescent="0.15"/>
    <row r="28015" hidden="1" x14ac:dyDescent="0.15"/>
    <row r="28016" hidden="1" x14ac:dyDescent="0.15"/>
    <row r="28017" hidden="1" x14ac:dyDescent="0.15"/>
    <row r="28018" hidden="1" x14ac:dyDescent="0.15"/>
    <row r="28019" hidden="1" x14ac:dyDescent="0.15"/>
    <row r="28020" hidden="1" x14ac:dyDescent="0.15"/>
    <row r="28021" hidden="1" x14ac:dyDescent="0.15"/>
    <row r="28022" hidden="1" x14ac:dyDescent="0.15"/>
    <row r="28023" hidden="1" x14ac:dyDescent="0.15"/>
    <row r="28024" hidden="1" x14ac:dyDescent="0.15"/>
    <row r="28025" hidden="1" x14ac:dyDescent="0.15"/>
    <row r="28026" hidden="1" x14ac:dyDescent="0.15"/>
    <row r="28027" hidden="1" x14ac:dyDescent="0.15"/>
    <row r="28028" hidden="1" x14ac:dyDescent="0.15"/>
    <row r="28029" hidden="1" x14ac:dyDescent="0.15"/>
    <row r="28030" hidden="1" x14ac:dyDescent="0.15"/>
    <row r="28031" hidden="1" x14ac:dyDescent="0.15"/>
    <row r="28032" hidden="1" x14ac:dyDescent="0.15"/>
    <row r="28033" hidden="1" x14ac:dyDescent="0.15"/>
    <row r="28034" hidden="1" x14ac:dyDescent="0.15"/>
    <row r="28035" hidden="1" x14ac:dyDescent="0.15"/>
    <row r="28036" hidden="1" x14ac:dyDescent="0.15"/>
    <row r="28037" hidden="1" x14ac:dyDescent="0.15"/>
    <row r="28038" hidden="1" x14ac:dyDescent="0.15"/>
    <row r="28039" hidden="1" x14ac:dyDescent="0.15"/>
    <row r="28040" hidden="1" x14ac:dyDescent="0.15"/>
    <row r="28041" hidden="1" x14ac:dyDescent="0.15"/>
    <row r="28042" hidden="1" x14ac:dyDescent="0.15"/>
    <row r="28043" hidden="1" x14ac:dyDescent="0.15"/>
    <row r="28044" hidden="1" x14ac:dyDescent="0.15"/>
    <row r="28045" hidden="1" x14ac:dyDescent="0.15"/>
    <row r="28046" hidden="1" x14ac:dyDescent="0.15"/>
    <row r="28047" hidden="1" x14ac:dyDescent="0.15"/>
    <row r="28048" hidden="1" x14ac:dyDescent="0.15"/>
    <row r="28049" hidden="1" x14ac:dyDescent="0.15"/>
    <row r="28050" hidden="1" x14ac:dyDescent="0.15"/>
    <row r="28051" hidden="1" x14ac:dyDescent="0.15"/>
    <row r="28052" hidden="1" x14ac:dyDescent="0.15"/>
    <row r="28053" hidden="1" x14ac:dyDescent="0.15"/>
    <row r="28054" hidden="1" x14ac:dyDescent="0.15"/>
    <row r="28055" hidden="1" x14ac:dyDescent="0.15"/>
    <row r="28056" hidden="1" x14ac:dyDescent="0.15"/>
    <row r="28057" hidden="1" x14ac:dyDescent="0.15"/>
    <row r="28058" hidden="1" x14ac:dyDescent="0.15"/>
    <row r="28059" hidden="1" x14ac:dyDescent="0.15"/>
    <row r="28060" hidden="1" x14ac:dyDescent="0.15"/>
    <row r="28061" hidden="1" x14ac:dyDescent="0.15"/>
    <row r="28062" hidden="1" x14ac:dyDescent="0.15"/>
    <row r="28063" hidden="1" x14ac:dyDescent="0.15"/>
    <row r="28064" hidden="1" x14ac:dyDescent="0.15"/>
    <row r="28065" hidden="1" x14ac:dyDescent="0.15"/>
    <row r="28066" hidden="1" x14ac:dyDescent="0.15"/>
    <row r="28067" hidden="1" x14ac:dyDescent="0.15"/>
    <row r="28068" hidden="1" x14ac:dyDescent="0.15"/>
    <row r="28069" hidden="1" x14ac:dyDescent="0.15"/>
    <row r="28070" hidden="1" x14ac:dyDescent="0.15"/>
    <row r="28071" hidden="1" x14ac:dyDescent="0.15"/>
    <row r="28072" hidden="1" x14ac:dyDescent="0.15"/>
    <row r="28073" hidden="1" x14ac:dyDescent="0.15"/>
    <row r="28074" hidden="1" x14ac:dyDescent="0.15"/>
    <row r="28075" hidden="1" x14ac:dyDescent="0.15"/>
    <row r="28076" hidden="1" x14ac:dyDescent="0.15"/>
    <row r="28077" hidden="1" x14ac:dyDescent="0.15"/>
    <row r="28078" hidden="1" x14ac:dyDescent="0.15"/>
    <row r="28079" hidden="1" x14ac:dyDescent="0.15"/>
    <row r="28080" hidden="1" x14ac:dyDescent="0.15"/>
    <row r="28081" hidden="1" x14ac:dyDescent="0.15"/>
    <row r="28082" hidden="1" x14ac:dyDescent="0.15"/>
    <row r="28083" hidden="1" x14ac:dyDescent="0.15"/>
    <row r="28084" hidden="1" x14ac:dyDescent="0.15"/>
    <row r="28085" hidden="1" x14ac:dyDescent="0.15"/>
    <row r="28086" hidden="1" x14ac:dyDescent="0.15"/>
    <row r="28087" hidden="1" x14ac:dyDescent="0.15"/>
    <row r="28088" hidden="1" x14ac:dyDescent="0.15"/>
    <row r="28089" hidden="1" x14ac:dyDescent="0.15"/>
    <row r="28090" hidden="1" x14ac:dyDescent="0.15"/>
    <row r="28091" hidden="1" x14ac:dyDescent="0.15"/>
    <row r="28092" hidden="1" x14ac:dyDescent="0.15"/>
    <row r="28093" hidden="1" x14ac:dyDescent="0.15"/>
    <row r="28094" hidden="1" x14ac:dyDescent="0.15"/>
    <row r="28095" hidden="1" x14ac:dyDescent="0.15"/>
    <row r="28096" hidden="1" x14ac:dyDescent="0.15"/>
    <row r="28097" hidden="1" x14ac:dyDescent="0.15"/>
    <row r="28098" hidden="1" x14ac:dyDescent="0.15"/>
    <row r="28099" hidden="1" x14ac:dyDescent="0.15"/>
    <row r="28100" hidden="1" x14ac:dyDescent="0.15"/>
    <row r="28101" hidden="1" x14ac:dyDescent="0.15"/>
    <row r="28102" hidden="1" x14ac:dyDescent="0.15"/>
    <row r="28103" hidden="1" x14ac:dyDescent="0.15"/>
    <row r="28104" hidden="1" x14ac:dyDescent="0.15"/>
    <row r="28105" hidden="1" x14ac:dyDescent="0.15"/>
    <row r="28106" hidden="1" x14ac:dyDescent="0.15"/>
    <row r="28107" hidden="1" x14ac:dyDescent="0.15"/>
    <row r="28108" hidden="1" x14ac:dyDescent="0.15"/>
    <row r="28109" hidden="1" x14ac:dyDescent="0.15"/>
    <row r="28110" hidden="1" x14ac:dyDescent="0.15"/>
    <row r="28111" hidden="1" x14ac:dyDescent="0.15"/>
    <row r="28112" hidden="1" x14ac:dyDescent="0.15"/>
    <row r="28113" hidden="1" x14ac:dyDescent="0.15"/>
    <row r="28114" hidden="1" x14ac:dyDescent="0.15"/>
    <row r="28115" hidden="1" x14ac:dyDescent="0.15"/>
    <row r="28116" hidden="1" x14ac:dyDescent="0.15"/>
    <row r="28117" hidden="1" x14ac:dyDescent="0.15"/>
    <row r="28118" hidden="1" x14ac:dyDescent="0.15"/>
    <row r="28119" hidden="1" x14ac:dyDescent="0.15"/>
    <row r="28120" hidden="1" x14ac:dyDescent="0.15"/>
    <row r="28121" hidden="1" x14ac:dyDescent="0.15"/>
    <row r="28122" hidden="1" x14ac:dyDescent="0.15"/>
    <row r="28123" hidden="1" x14ac:dyDescent="0.15"/>
    <row r="28124" hidden="1" x14ac:dyDescent="0.15"/>
    <row r="28125" hidden="1" x14ac:dyDescent="0.15"/>
    <row r="28126" hidden="1" x14ac:dyDescent="0.15"/>
    <row r="28127" hidden="1" x14ac:dyDescent="0.15"/>
    <row r="28128" hidden="1" x14ac:dyDescent="0.15"/>
    <row r="28129" hidden="1" x14ac:dyDescent="0.15"/>
    <row r="28130" hidden="1" x14ac:dyDescent="0.15"/>
    <row r="28131" hidden="1" x14ac:dyDescent="0.15"/>
    <row r="28132" hidden="1" x14ac:dyDescent="0.15"/>
    <row r="28133" hidden="1" x14ac:dyDescent="0.15"/>
    <row r="28134" hidden="1" x14ac:dyDescent="0.15"/>
    <row r="28135" hidden="1" x14ac:dyDescent="0.15"/>
    <row r="28136" hidden="1" x14ac:dyDescent="0.15"/>
    <row r="28137" hidden="1" x14ac:dyDescent="0.15"/>
    <row r="28138" hidden="1" x14ac:dyDescent="0.15"/>
    <row r="28139" hidden="1" x14ac:dyDescent="0.15"/>
    <row r="28140" hidden="1" x14ac:dyDescent="0.15"/>
    <row r="28141" hidden="1" x14ac:dyDescent="0.15"/>
    <row r="28142" hidden="1" x14ac:dyDescent="0.15"/>
    <row r="28143" hidden="1" x14ac:dyDescent="0.15"/>
    <row r="28144" hidden="1" x14ac:dyDescent="0.15"/>
    <row r="28145" hidden="1" x14ac:dyDescent="0.15"/>
    <row r="28146" hidden="1" x14ac:dyDescent="0.15"/>
    <row r="28147" hidden="1" x14ac:dyDescent="0.15"/>
    <row r="28148" hidden="1" x14ac:dyDescent="0.15"/>
    <row r="28149" hidden="1" x14ac:dyDescent="0.15"/>
    <row r="28150" hidden="1" x14ac:dyDescent="0.15"/>
    <row r="28151" hidden="1" x14ac:dyDescent="0.15"/>
    <row r="28152" hidden="1" x14ac:dyDescent="0.15"/>
    <row r="28153" hidden="1" x14ac:dyDescent="0.15"/>
    <row r="28154" hidden="1" x14ac:dyDescent="0.15"/>
    <row r="28155" hidden="1" x14ac:dyDescent="0.15"/>
    <row r="28156" hidden="1" x14ac:dyDescent="0.15"/>
    <row r="28157" hidden="1" x14ac:dyDescent="0.15"/>
    <row r="28158" hidden="1" x14ac:dyDescent="0.15"/>
    <row r="28159" hidden="1" x14ac:dyDescent="0.15"/>
    <row r="28160" hidden="1" x14ac:dyDescent="0.15"/>
    <row r="28161" hidden="1" x14ac:dyDescent="0.15"/>
    <row r="28162" hidden="1" x14ac:dyDescent="0.15"/>
    <row r="28163" hidden="1" x14ac:dyDescent="0.15"/>
    <row r="28164" hidden="1" x14ac:dyDescent="0.15"/>
    <row r="28165" hidden="1" x14ac:dyDescent="0.15"/>
    <row r="28166" hidden="1" x14ac:dyDescent="0.15"/>
    <row r="28167" hidden="1" x14ac:dyDescent="0.15"/>
    <row r="28168" hidden="1" x14ac:dyDescent="0.15"/>
    <row r="28169" hidden="1" x14ac:dyDescent="0.15"/>
    <row r="28170" hidden="1" x14ac:dyDescent="0.15"/>
    <row r="28171" hidden="1" x14ac:dyDescent="0.15"/>
    <row r="28172" hidden="1" x14ac:dyDescent="0.15"/>
    <row r="28173" hidden="1" x14ac:dyDescent="0.15"/>
    <row r="28174" hidden="1" x14ac:dyDescent="0.15"/>
    <row r="28175" hidden="1" x14ac:dyDescent="0.15"/>
    <row r="28176" hidden="1" x14ac:dyDescent="0.15"/>
    <row r="28177" hidden="1" x14ac:dyDescent="0.15"/>
    <row r="28178" hidden="1" x14ac:dyDescent="0.15"/>
    <row r="28179" hidden="1" x14ac:dyDescent="0.15"/>
    <row r="28180" hidden="1" x14ac:dyDescent="0.15"/>
    <row r="28181" hidden="1" x14ac:dyDescent="0.15"/>
    <row r="28182" hidden="1" x14ac:dyDescent="0.15"/>
    <row r="28183" hidden="1" x14ac:dyDescent="0.15"/>
    <row r="28184" hidden="1" x14ac:dyDescent="0.15"/>
    <row r="28185" hidden="1" x14ac:dyDescent="0.15"/>
    <row r="28186" hidden="1" x14ac:dyDescent="0.15"/>
    <row r="28187" hidden="1" x14ac:dyDescent="0.15"/>
    <row r="28188" hidden="1" x14ac:dyDescent="0.15"/>
    <row r="28189" hidden="1" x14ac:dyDescent="0.15"/>
    <row r="28190" hidden="1" x14ac:dyDescent="0.15"/>
    <row r="28191" hidden="1" x14ac:dyDescent="0.15"/>
    <row r="28192" hidden="1" x14ac:dyDescent="0.15"/>
    <row r="28193" hidden="1" x14ac:dyDescent="0.15"/>
    <row r="28194" hidden="1" x14ac:dyDescent="0.15"/>
    <row r="28195" hidden="1" x14ac:dyDescent="0.15"/>
    <row r="28196" hidden="1" x14ac:dyDescent="0.15"/>
    <row r="28197" hidden="1" x14ac:dyDescent="0.15"/>
    <row r="28198" hidden="1" x14ac:dyDescent="0.15"/>
    <row r="28199" hidden="1" x14ac:dyDescent="0.15"/>
    <row r="28200" hidden="1" x14ac:dyDescent="0.15"/>
    <row r="28201" hidden="1" x14ac:dyDescent="0.15"/>
    <row r="28202" hidden="1" x14ac:dyDescent="0.15"/>
    <row r="28203" hidden="1" x14ac:dyDescent="0.15"/>
    <row r="28204" hidden="1" x14ac:dyDescent="0.15"/>
    <row r="28205" hidden="1" x14ac:dyDescent="0.15"/>
    <row r="28206" hidden="1" x14ac:dyDescent="0.15"/>
    <row r="28207" hidden="1" x14ac:dyDescent="0.15"/>
    <row r="28208" hidden="1" x14ac:dyDescent="0.15"/>
    <row r="28209" hidden="1" x14ac:dyDescent="0.15"/>
    <row r="28210" hidden="1" x14ac:dyDescent="0.15"/>
    <row r="28211" hidden="1" x14ac:dyDescent="0.15"/>
    <row r="28212" hidden="1" x14ac:dyDescent="0.15"/>
    <row r="28213" hidden="1" x14ac:dyDescent="0.15"/>
    <row r="28214" hidden="1" x14ac:dyDescent="0.15"/>
    <row r="28215" hidden="1" x14ac:dyDescent="0.15"/>
    <row r="28216" hidden="1" x14ac:dyDescent="0.15"/>
    <row r="28217" hidden="1" x14ac:dyDescent="0.15"/>
    <row r="28218" hidden="1" x14ac:dyDescent="0.15"/>
    <row r="28219" hidden="1" x14ac:dyDescent="0.15"/>
    <row r="28220" hidden="1" x14ac:dyDescent="0.15"/>
    <row r="28221" hidden="1" x14ac:dyDescent="0.15"/>
    <row r="28222" hidden="1" x14ac:dyDescent="0.15"/>
    <row r="28223" hidden="1" x14ac:dyDescent="0.15"/>
    <row r="28224" hidden="1" x14ac:dyDescent="0.15"/>
    <row r="28225" hidden="1" x14ac:dyDescent="0.15"/>
    <row r="28226" hidden="1" x14ac:dyDescent="0.15"/>
    <row r="28227" hidden="1" x14ac:dyDescent="0.15"/>
    <row r="28228" hidden="1" x14ac:dyDescent="0.15"/>
    <row r="28229" hidden="1" x14ac:dyDescent="0.15"/>
    <row r="28230" hidden="1" x14ac:dyDescent="0.15"/>
    <row r="28231" hidden="1" x14ac:dyDescent="0.15"/>
    <row r="28232" hidden="1" x14ac:dyDescent="0.15"/>
    <row r="28233" hidden="1" x14ac:dyDescent="0.15"/>
    <row r="28234" hidden="1" x14ac:dyDescent="0.15"/>
    <row r="28235" hidden="1" x14ac:dyDescent="0.15"/>
    <row r="28236" hidden="1" x14ac:dyDescent="0.15"/>
    <row r="28237" hidden="1" x14ac:dyDescent="0.15"/>
    <row r="28238" hidden="1" x14ac:dyDescent="0.15"/>
    <row r="28239" hidden="1" x14ac:dyDescent="0.15"/>
    <row r="28240" hidden="1" x14ac:dyDescent="0.15"/>
    <row r="28241" hidden="1" x14ac:dyDescent="0.15"/>
    <row r="28242" hidden="1" x14ac:dyDescent="0.15"/>
    <row r="28243" hidden="1" x14ac:dyDescent="0.15"/>
    <row r="28244" hidden="1" x14ac:dyDescent="0.15"/>
    <row r="28245" hidden="1" x14ac:dyDescent="0.15"/>
    <row r="28246" hidden="1" x14ac:dyDescent="0.15"/>
    <row r="28247" hidden="1" x14ac:dyDescent="0.15"/>
    <row r="28248" hidden="1" x14ac:dyDescent="0.15"/>
    <row r="28249" hidden="1" x14ac:dyDescent="0.15"/>
    <row r="28250" hidden="1" x14ac:dyDescent="0.15"/>
    <row r="28251" hidden="1" x14ac:dyDescent="0.15"/>
    <row r="28252" hidden="1" x14ac:dyDescent="0.15"/>
    <row r="28253" hidden="1" x14ac:dyDescent="0.15"/>
    <row r="28254" hidden="1" x14ac:dyDescent="0.15"/>
    <row r="28255" hidden="1" x14ac:dyDescent="0.15"/>
    <row r="28256" hidden="1" x14ac:dyDescent="0.15"/>
    <row r="28257" hidden="1" x14ac:dyDescent="0.15"/>
    <row r="28258" hidden="1" x14ac:dyDescent="0.15"/>
    <row r="28259" hidden="1" x14ac:dyDescent="0.15"/>
    <row r="28260" hidden="1" x14ac:dyDescent="0.15"/>
    <row r="28261" hidden="1" x14ac:dyDescent="0.15"/>
    <row r="28262" hidden="1" x14ac:dyDescent="0.15"/>
    <row r="28263" hidden="1" x14ac:dyDescent="0.15"/>
    <row r="28264" hidden="1" x14ac:dyDescent="0.15"/>
    <row r="28265" hidden="1" x14ac:dyDescent="0.15"/>
    <row r="28266" hidden="1" x14ac:dyDescent="0.15"/>
    <row r="28267" hidden="1" x14ac:dyDescent="0.15"/>
    <row r="28268" hidden="1" x14ac:dyDescent="0.15"/>
    <row r="28269" hidden="1" x14ac:dyDescent="0.15"/>
    <row r="28270" hidden="1" x14ac:dyDescent="0.15"/>
    <row r="28271" hidden="1" x14ac:dyDescent="0.15"/>
    <row r="28272" hidden="1" x14ac:dyDescent="0.15"/>
    <row r="28273" hidden="1" x14ac:dyDescent="0.15"/>
    <row r="28274" hidden="1" x14ac:dyDescent="0.15"/>
    <row r="28275" hidden="1" x14ac:dyDescent="0.15"/>
    <row r="28276" hidden="1" x14ac:dyDescent="0.15"/>
    <row r="28277" hidden="1" x14ac:dyDescent="0.15"/>
    <row r="28278" hidden="1" x14ac:dyDescent="0.15"/>
    <row r="28279" hidden="1" x14ac:dyDescent="0.15"/>
    <row r="28280" hidden="1" x14ac:dyDescent="0.15"/>
    <row r="28281" hidden="1" x14ac:dyDescent="0.15"/>
    <row r="28282" hidden="1" x14ac:dyDescent="0.15"/>
    <row r="28283" hidden="1" x14ac:dyDescent="0.15"/>
    <row r="28284" hidden="1" x14ac:dyDescent="0.15"/>
    <row r="28285" hidden="1" x14ac:dyDescent="0.15"/>
    <row r="28286" hidden="1" x14ac:dyDescent="0.15"/>
    <row r="28287" hidden="1" x14ac:dyDescent="0.15"/>
    <row r="28288" hidden="1" x14ac:dyDescent="0.15"/>
    <row r="28289" hidden="1" x14ac:dyDescent="0.15"/>
    <row r="28290" hidden="1" x14ac:dyDescent="0.15"/>
    <row r="28291" hidden="1" x14ac:dyDescent="0.15"/>
    <row r="28292" hidden="1" x14ac:dyDescent="0.15"/>
    <row r="28293" hidden="1" x14ac:dyDescent="0.15"/>
    <row r="28294" hidden="1" x14ac:dyDescent="0.15"/>
    <row r="28295" hidden="1" x14ac:dyDescent="0.15"/>
    <row r="28296" hidden="1" x14ac:dyDescent="0.15"/>
    <row r="28297" hidden="1" x14ac:dyDescent="0.15"/>
    <row r="28298" hidden="1" x14ac:dyDescent="0.15"/>
    <row r="28299" hidden="1" x14ac:dyDescent="0.15"/>
    <row r="28300" hidden="1" x14ac:dyDescent="0.15"/>
    <row r="28301" hidden="1" x14ac:dyDescent="0.15"/>
    <row r="28302" hidden="1" x14ac:dyDescent="0.15"/>
    <row r="28303" hidden="1" x14ac:dyDescent="0.15"/>
    <row r="28304" hidden="1" x14ac:dyDescent="0.15"/>
    <row r="28305" hidden="1" x14ac:dyDescent="0.15"/>
    <row r="28306" hidden="1" x14ac:dyDescent="0.15"/>
    <row r="28307" hidden="1" x14ac:dyDescent="0.15"/>
    <row r="28308" hidden="1" x14ac:dyDescent="0.15"/>
    <row r="28309" hidden="1" x14ac:dyDescent="0.15"/>
    <row r="28310" hidden="1" x14ac:dyDescent="0.15"/>
    <row r="28311" hidden="1" x14ac:dyDescent="0.15"/>
    <row r="28312" hidden="1" x14ac:dyDescent="0.15"/>
    <row r="28313" hidden="1" x14ac:dyDescent="0.15"/>
    <row r="28314" hidden="1" x14ac:dyDescent="0.15"/>
    <row r="28315" hidden="1" x14ac:dyDescent="0.15"/>
    <row r="28316" hidden="1" x14ac:dyDescent="0.15"/>
    <row r="28317" hidden="1" x14ac:dyDescent="0.15"/>
    <row r="28318" hidden="1" x14ac:dyDescent="0.15"/>
    <row r="28319" hidden="1" x14ac:dyDescent="0.15"/>
    <row r="28320" hidden="1" x14ac:dyDescent="0.15"/>
    <row r="28321" hidden="1" x14ac:dyDescent="0.15"/>
    <row r="28322" hidden="1" x14ac:dyDescent="0.15"/>
    <row r="28323" hidden="1" x14ac:dyDescent="0.15"/>
    <row r="28324" hidden="1" x14ac:dyDescent="0.15"/>
    <row r="28325" hidden="1" x14ac:dyDescent="0.15"/>
    <row r="28326" hidden="1" x14ac:dyDescent="0.15"/>
    <row r="28327" hidden="1" x14ac:dyDescent="0.15"/>
    <row r="28328" hidden="1" x14ac:dyDescent="0.15"/>
    <row r="28329" hidden="1" x14ac:dyDescent="0.15"/>
    <row r="28330" hidden="1" x14ac:dyDescent="0.15"/>
    <row r="28331" hidden="1" x14ac:dyDescent="0.15"/>
    <row r="28332" hidden="1" x14ac:dyDescent="0.15"/>
    <row r="28333" hidden="1" x14ac:dyDescent="0.15"/>
    <row r="28334" hidden="1" x14ac:dyDescent="0.15"/>
    <row r="28335" hidden="1" x14ac:dyDescent="0.15"/>
    <row r="28336" hidden="1" x14ac:dyDescent="0.15"/>
    <row r="28337" hidden="1" x14ac:dyDescent="0.15"/>
    <row r="28338" hidden="1" x14ac:dyDescent="0.15"/>
    <row r="28339" hidden="1" x14ac:dyDescent="0.15"/>
    <row r="28340" hidden="1" x14ac:dyDescent="0.15"/>
    <row r="28341" hidden="1" x14ac:dyDescent="0.15"/>
    <row r="28342" hidden="1" x14ac:dyDescent="0.15"/>
    <row r="28343" hidden="1" x14ac:dyDescent="0.15"/>
    <row r="28344" hidden="1" x14ac:dyDescent="0.15"/>
    <row r="28345" hidden="1" x14ac:dyDescent="0.15"/>
    <row r="28346" hidden="1" x14ac:dyDescent="0.15"/>
    <row r="28347" hidden="1" x14ac:dyDescent="0.15"/>
    <row r="28348" hidden="1" x14ac:dyDescent="0.15"/>
    <row r="28349" hidden="1" x14ac:dyDescent="0.15"/>
    <row r="28350" hidden="1" x14ac:dyDescent="0.15"/>
    <row r="28351" hidden="1" x14ac:dyDescent="0.15"/>
    <row r="28352" hidden="1" x14ac:dyDescent="0.15"/>
    <row r="28353" hidden="1" x14ac:dyDescent="0.15"/>
    <row r="28354" hidden="1" x14ac:dyDescent="0.15"/>
    <row r="28355" hidden="1" x14ac:dyDescent="0.15"/>
    <row r="28356" hidden="1" x14ac:dyDescent="0.15"/>
    <row r="28357" hidden="1" x14ac:dyDescent="0.15"/>
    <row r="28358" hidden="1" x14ac:dyDescent="0.15"/>
    <row r="28359" hidden="1" x14ac:dyDescent="0.15"/>
    <row r="28360" hidden="1" x14ac:dyDescent="0.15"/>
    <row r="28361" hidden="1" x14ac:dyDescent="0.15"/>
    <row r="28362" hidden="1" x14ac:dyDescent="0.15"/>
    <row r="28363" hidden="1" x14ac:dyDescent="0.15"/>
    <row r="28364" hidden="1" x14ac:dyDescent="0.15"/>
    <row r="28365" hidden="1" x14ac:dyDescent="0.15"/>
    <row r="28366" hidden="1" x14ac:dyDescent="0.15"/>
    <row r="28367" hidden="1" x14ac:dyDescent="0.15"/>
    <row r="28368" hidden="1" x14ac:dyDescent="0.15"/>
    <row r="28369" hidden="1" x14ac:dyDescent="0.15"/>
    <row r="28370" hidden="1" x14ac:dyDescent="0.15"/>
    <row r="28371" hidden="1" x14ac:dyDescent="0.15"/>
    <row r="28372" hidden="1" x14ac:dyDescent="0.15"/>
    <row r="28373" hidden="1" x14ac:dyDescent="0.15"/>
    <row r="28374" hidden="1" x14ac:dyDescent="0.15"/>
    <row r="28375" hidden="1" x14ac:dyDescent="0.15"/>
    <row r="28376" hidden="1" x14ac:dyDescent="0.15"/>
    <row r="28377" hidden="1" x14ac:dyDescent="0.15"/>
    <row r="28378" hidden="1" x14ac:dyDescent="0.15"/>
    <row r="28379" hidden="1" x14ac:dyDescent="0.15"/>
    <row r="28380" hidden="1" x14ac:dyDescent="0.15"/>
    <row r="28381" hidden="1" x14ac:dyDescent="0.15"/>
    <row r="28382" hidden="1" x14ac:dyDescent="0.15"/>
    <row r="28383" hidden="1" x14ac:dyDescent="0.15"/>
    <row r="28384" hidden="1" x14ac:dyDescent="0.15"/>
    <row r="28385" hidden="1" x14ac:dyDescent="0.15"/>
    <row r="28386" hidden="1" x14ac:dyDescent="0.15"/>
    <row r="28387" hidden="1" x14ac:dyDescent="0.15"/>
    <row r="28388" hidden="1" x14ac:dyDescent="0.15"/>
    <row r="28389" hidden="1" x14ac:dyDescent="0.15"/>
    <row r="28390" hidden="1" x14ac:dyDescent="0.15"/>
    <row r="28391" hidden="1" x14ac:dyDescent="0.15"/>
    <row r="28392" hidden="1" x14ac:dyDescent="0.15"/>
    <row r="28393" hidden="1" x14ac:dyDescent="0.15"/>
    <row r="28394" hidden="1" x14ac:dyDescent="0.15"/>
    <row r="28395" hidden="1" x14ac:dyDescent="0.15"/>
    <row r="28396" hidden="1" x14ac:dyDescent="0.15"/>
    <row r="28397" hidden="1" x14ac:dyDescent="0.15"/>
    <row r="28398" hidden="1" x14ac:dyDescent="0.15"/>
    <row r="28399" hidden="1" x14ac:dyDescent="0.15"/>
    <row r="28400" hidden="1" x14ac:dyDescent="0.15"/>
    <row r="28401" hidden="1" x14ac:dyDescent="0.15"/>
    <row r="28402" hidden="1" x14ac:dyDescent="0.15"/>
    <row r="28403" hidden="1" x14ac:dyDescent="0.15"/>
    <row r="28404" hidden="1" x14ac:dyDescent="0.15"/>
    <row r="28405" hidden="1" x14ac:dyDescent="0.15"/>
    <row r="28406" hidden="1" x14ac:dyDescent="0.15"/>
    <row r="28407" hidden="1" x14ac:dyDescent="0.15"/>
    <row r="28408" hidden="1" x14ac:dyDescent="0.15"/>
    <row r="28409" hidden="1" x14ac:dyDescent="0.15"/>
    <row r="28410" hidden="1" x14ac:dyDescent="0.15"/>
    <row r="28411" hidden="1" x14ac:dyDescent="0.15"/>
    <row r="28412" hidden="1" x14ac:dyDescent="0.15"/>
    <row r="28413" hidden="1" x14ac:dyDescent="0.15"/>
    <row r="28414" hidden="1" x14ac:dyDescent="0.15"/>
    <row r="28415" hidden="1" x14ac:dyDescent="0.15"/>
    <row r="28416" hidden="1" x14ac:dyDescent="0.15"/>
    <row r="28417" hidden="1" x14ac:dyDescent="0.15"/>
    <row r="28418" hidden="1" x14ac:dyDescent="0.15"/>
    <row r="28419" hidden="1" x14ac:dyDescent="0.15"/>
    <row r="28420" hidden="1" x14ac:dyDescent="0.15"/>
    <row r="28421" hidden="1" x14ac:dyDescent="0.15"/>
    <row r="28422" hidden="1" x14ac:dyDescent="0.15"/>
    <row r="28423" hidden="1" x14ac:dyDescent="0.15"/>
    <row r="28424" hidden="1" x14ac:dyDescent="0.15"/>
    <row r="28425" hidden="1" x14ac:dyDescent="0.15"/>
    <row r="28426" hidden="1" x14ac:dyDescent="0.15"/>
    <row r="28427" hidden="1" x14ac:dyDescent="0.15"/>
    <row r="28428" hidden="1" x14ac:dyDescent="0.15"/>
    <row r="28429" hidden="1" x14ac:dyDescent="0.15"/>
    <row r="28430" hidden="1" x14ac:dyDescent="0.15"/>
    <row r="28431" hidden="1" x14ac:dyDescent="0.15"/>
    <row r="28432" hidden="1" x14ac:dyDescent="0.15"/>
    <row r="28433" hidden="1" x14ac:dyDescent="0.15"/>
    <row r="28434" hidden="1" x14ac:dyDescent="0.15"/>
    <row r="28435" hidden="1" x14ac:dyDescent="0.15"/>
    <row r="28436" hidden="1" x14ac:dyDescent="0.15"/>
    <row r="28437" hidden="1" x14ac:dyDescent="0.15"/>
    <row r="28438" hidden="1" x14ac:dyDescent="0.15"/>
    <row r="28439" hidden="1" x14ac:dyDescent="0.15"/>
    <row r="28440" hidden="1" x14ac:dyDescent="0.15"/>
    <row r="28441" hidden="1" x14ac:dyDescent="0.15"/>
    <row r="28442" hidden="1" x14ac:dyDescent="0.15"/>
    <row r="28443" hidden="1" x14ac:dyDescent="0.15"/>
    <row r="28444" hidden="1" x14ac:dyDescent="0.15"/>
    <row r="28445" hidden="1" x14ac:dyDescent="0.15"/>
    <row r="28446" hidden="1" x14ac:dyDescent="0.15"/>
    <row r="28447" hidden="1" x14ac:dyDescent="0.15"/>
    <row r="28448" hidden="1" x14ac:dyDescent="0.15"/>
    <row r="28449" hidden="1" x14ac:dyDescent="0.15"/>
    <row r="28450" hidden="1" x14ac:dyDescent="0.15"/>
    <row r="28451" hidden="1" x14ac:dyDescent="0.15"/>
    <row r="28452" hidden="1" x14ac:dyDescent="0.15"/>
    <row r="28453" hidden="1" x14ac:dyDescent="0.15"/>
    <row r="28454" hidden="1" x14ac:dyDescent="0.15"/>
    <row r="28455" hidden="1" x14ac:dyDescent="0.15"/>
    <row r="28456" hidden="1" x14ac:dyDescent="0.15"/>
    <row r="28457" hidden="1" x14ac:dyDescent="0.15"/>
    <row r="28458" hidden="1" x14ac:dyDescent="0.15"/>
    <row r="28459" hidden="1" x14ac:dyDescent="0.15"/>
    <row r="28460" hidden="1" x14ac:dyDescent="0.15"/>
    <row r="28461" hidden="1" x14ac:dyDescent="0.15"/>
    <row r="28462" hidden="1" x14ac:dyDescent="0.15"/>
    <row r="28463" hidden="1" x14ac:dyDescent="0.15"/>
    <row r="28464" hidden="1" x14ac:dyDescent="0.15"/>
    <row r="28465" hidden="1" x14ac:dyDescent="0.15"/>
    <row r="28466" hidden="1" x14ac:dyDescent="0.15"/>
    <row r="28467" hidden="1" x14ac:dyDescent="0.15"/>
    <row r="28468" hidden="1" x14ac:dyDescent="0.15"/>
    <row r="28469" hidden="1" x14ac:dyDescent="0.15"/>
    <row r="28470" hidden="1" x14ac:dyDescent="0.15"/>
    <row r="28471" hidden="1" x14ac:dyDescent="0.15"/>
    <row r="28472" hidden="1" x14ac:dyDescent="0.15"/>
    <row r="28473" hidden="1" x14ac:dyDescent="0.15"/>
    <row r="28474" hidden="1" x14ac:dyDescent="0.15"/>
    <row r="28475" hidden="1" x14ac:dyDescent="0.15"/>
    <row r="28476" hidden="1" x14ac:dyDescent="0.15"/>
    <row r="28477" hidden="1" x14ac:dyDescent="0.15"/>
    <row r="28478" hidden="1" x14ac:dyDescent="0.15"/>
    <row r="28479" hidden="1" x14ac:dyDescent="0.15"/>
    <row r="28480" hidden="1" x14ac:dyDescent="0.15"/>
    <row r="28481" hidden="1" x14ac:dyDescent="0.15"/>
    <row r="28482" hidden="1" x14ac:dyDescent="0.15"/>
    <row r="28483" hidden="1" x14ac:dyDescent="0.15"/>
    <row r="28484" hidden="1" x14ac:dyDescent="0.15"/>
    <row r="28485" hidden="1" x14ac:dyDescent="0.15"/>
    <row r="28486" hidden="1" x14ac:dyDescent="0.15"/>
    <row r="28487" hidden="1" x14ac:dyDescent="0.15"/>
    <row r="28488" hidden="1" x14ac:dyDescent="0.15"/>
    <row r="28489" hidden="1" x14ac:dyDescent="0.15"/>
    <row r="28490" hidden="1" x14ac:dyDescent="0.15"/>
    <row r="28491" hidden="1" x14ac:dyDescent="0.15"/>
    <row r="28492" hidden="1" x14ac:dyDescent="0.15"/>
    <row r="28493" hidden="1" x14ac:dyDescent="0.15"/>
    <row r="28494" hidden="1" x14ac:dyDescent="0.15"/>
    <row r="28495" hidden="1" x14ac:dyDescent="0.15"/>
    <row r="28496" hidden="1" x14ac:dyDescent="0.15"/>
    <row r="28497" hidden="1" x14ac:dyDescent="0.15"/>
    <row r="28498" hidden="1" x14ac:dyDescent="0.15"/>
    <row r="28499" hidden="1" x14ac:dyDescent="0.15"/>
    <row r="28500" hidden="1" x14ac:dyDescent="0.15"/>
    <row r="28501" hidden="1" x14ac:dyDescent="0.15"/>
    <row r="28502" hidden="1" x14ac:dyDescent="0.15"/>
    <row r="28503" hidden="1" x14ac:dyDescent="0.15"/>
    <row r="28504" hidden="1" x14ac:dyDescent="0.15"/>
    <row r="28505" hidden="1" x14ac:dyDescent="0.15"/>
    <row r="28506" hidden="1" x14ac:dyDescent="0.15"/>
    <row r="28507" hidden="1" x14ac:dyDescent="0.15"/>
    <row r="28508" hidden="1" x14ac:dyDescent="0.15"/>
    <row r="28509" hidden="1" x14ac:dyDescent="0.15"/>
    <row r="28510" hidden="1" x14ac:dyDescent="0.15"/>
    <row r="28511" hidden="1" x14ac:dyDescent="0.15"/>
    <row r="28512" hidden="1" x14ac:dyDescent="0.15"/>
    <row r="28513" hidden="1" x14ac:dyDescent="0.15"/>
    <row r="28514" hidden="1" x14ac:dyDescent="0.15"/>
    <row r="28515" hidden="1" x14ac:dyDescent="0.15"/>
    <row r="28516" hidden="1" x14ac:dyDescent="0.15"/>
    <row r="28517" hidden="1" x14ac:dyDescent="0.15"/>
    <row r="28518" hidden="1" x14ac:dyDescent="0.15"/>
    <row r="28519" hidden="1" x14ac:dyDescent="0.15"/>
    <row r="28520" hidden="1" x14ac:dyDescent="0.15"/>
    <row r="28521" hidden="1" x14ac:dyDescent="0.15"/>
    <row r="28522" hidden="1" x14ac:dyDescent="0.15"/>
    <row r="28523" hidden="1" x14ac:dyDescent="0.15"/>
    <row r="28524" hidden="1" x14ac:dyDescent="0.15"/>
    <row r="28525" hidden="1" x14ac:dyDescent="0.15"/>
    <row r="28526" hidden="1" x14ac:dyDescent="0.15"/>
    <row r="28527" hidden="1" x14ac:dyDescent="0.15"/>
    <row r="28528" hidden="1" x14ac:dyDescent="0.15"/>
    <row r="28529" hidden="1" x14ac:dyDescent="0.15"/>
    <row r="28530" hidden="1" x14ac:dyDescent="0.15"/>
    <row r="28531" hidden="1" x14ac:dyDescent="0.15"/>
    <row r="28532" hidden="1" x14ac:dyDescent="0.15"/>
    <row r="28533" hidden="1" x14ac:dyDescent="0.15"/>
    <row r="28534" hidden="1" x14ac:dyDescent="0.15"/>
    <row r="28535" hidden="1" x14ac:dyDescent="0.15"/>
    <row r="28536" hidden="1" x14ac:dyDescent="0.15"/>
    <row r="28537" hidden="1" x14ac:dyDescent="0.15"/>
    <row r="28538" hidden="1" x14ac:dyDescent="0.15"/>
    <row r="28539" hidden="1" x14ac:dyDescent="0.15"/>
    <row r="28540" hidden="1" x14ac:dyDescent="0.15"/>
    <row r="28541" hidden="1" x14ac:dyDescent="0.15"/>
    <row r="28542" hidden="1" x14ac:dyDescent="0.15"/>
    <row r="28543" hidden="1" x14ac:dyDescent="0.15"/>
    <row r="28544" hidden="1" x14ac:dyDescent="0.15"/>
    <row r="28545" hidden="1" x14ac:dyDescent="0.15"/>
    <row r="28546" hidden="1" x14ac:dyDescent="0.15"/>
    <row r="28547" hidden="1" x14ac:dyDescent="0.15"/>
    <row r="28548" hidden="1" x14ac:dyDescent="0.15"/>
    <row r="28549" hidden="1" x14ac:dyDescent="0.15"/>
    <row r="28550" hidden="1" x14ac:dyDescent="0.15"/>
    <row r="28551" hidden="1" x14ac:dyDescent="0.15"/>
    <row r="28552" hidden="1" x14ac:dyDescent="0.15"/>
    <row r="28553" hidden="1" x14ac:dyDescent="0.15"/>
    <row r="28554" hidden="1" x14ac:dyDescent="0.15"/>
    <row r="28555" hidden="1" x14ac:dyDescent="0.15"/>
    <row r="28556" hidden="1" x14ac:dyDescent="0.15"/>
    <row r="28557" hidden="1" x14ac:dyDescent="0.15"/>
    <row r="28558" hidden="1" x14ac:dyDescent="0.15"/>
    <row r="28559" hidden="1" x14ac:dyDescent="0.15"/>
    <row r="28560" hidden="1" x14ac:dyDescent="0.15"/>
    <row r="28561" hidden="1" x14ac:dyDescent="0.15"/>
    <row r="28562" hidden="1" x14ac:dyDescent="0.15"/>
    <row r="28563" hidden="1" x14ac:dyDescent="0.15"/>
    <row r="28564" hidden="1" x14ac:dyDescent="0.15"/>
    <row r="28565" hidden="1" x14ac:dyDescent="0.15"/>
    <row r="28566" hidden="1" x14ac:dyDescent="0.15"/>
    <row r="28567" hidden="1" x14ac:dyDescent="0.15"/>
    <row r="28568" hidden="1" x14ac:dyDescent="0.15"/>
    <row r="28569" hidden="1" x14ac:dyDescent="0.15"/>
    <row r="28570" hidden="1" x14ac:dyDescent="0.15"/>
    <row r="28571" hidden="1" x14ac:dyDescent="0.15"/>
    <row r="28572" hidden="1" x14ac:dyDescent="0.15"/>
    <row r="28573" hidden="1" x14ac:dyDescent="0.15"/>
    <row r="28574" hidden="1" x14ac:dyDescent="0.15"/>
    <row r="28575" hidden="1" x14ac:dyDescent="0.15"/>
    <row r="28576" hidden="1" x14ac:dyDescent="0.15"/>
    <row r="28577" hidden="1" x14ac:dyDescent="0.15"/>
    <row r="28578" hidden="1" x14ac:dyDescent="0.15"/>
    <row r="28579" hidden="1" x14ac:dyDescent="0.15"/>
    <row r="28580" hidden="1" x14ac:dyDescent="0.15"/>
    <row r="28581" hidden="1" x14ac:dyDescent="0.15"/>
    <row r="28582" hidden="1" x14ac:dyDescent="0.15"/>
    <row r="28583" hidden="1" x14ac:dyDescent="0.15"/>
    <row r="28584" hidden="1" x14ac:dyDescent="0.15"/>
    <row r="28585" hidden="1" x14ac:dyDescent="0.15"/>
    <row r="28586" hidden="1" x14ac:dyDescent="0.15"/>
    <row r="28587" hidden="1" x14ac:dyDescent="0.15"/>
    <row r="28588" hidden="1" x14ac:dyDescent="0.15"/>
    <row r="28589" hidden="1" x14ac:dyDescent="0.15"/>
    <row r="28590" hidden="1" x14ac:dyDescent="0.15"/>
    <row r="28591" hidden="1" x14ac:dyDescent="0.15"/>
    <row r="28592" hidden="1" x14ac:dyDescent="0.15"/>
    <row r="28593" hidden="1" x14ac:dyDescent="0.15"/>
    <row r="28594" hidden="1" x14ac:dyDescent="0.15"/>
    <row r="28595" hidden="1" x14ac:dyDescent="0.15"/>
    <row r="28596" hidden="1" x14ac:dyDescent="0.15"/>
    <row r="28597" hidden="1" x14ac:dyDescent="0.15"/>
    <row r="28598" hidden="1" x14ac:dyDescent="0.15"/>
    <row r="28599" hidden="1" x14ac:dyDescent="0.15"/>
    <row r="28600" hidden="1" x14ac:dyDescent="0.15"/>
    <row r="28601" hidden="1" x14ac:dyDescent="0.15"/>
    <row r="28602" hidden="1" x14ac:dyDescent="0.15"/>
    <row r="28603" hidden="1" x14ac:dyDescent="0.15"/>
    <row r="28604" hidden="1" x14ac:dyDescent="0.15"/>
    <row r="28605" hidden="1" x14ac:dyDescent="0.15"/>
    <row r="28606" hidden="1" x14ac:dyDescent="0.15"/>
    <row r="28607" hidden="1" x14ac:dyDescent="0.15"/>
    <row r="28608" hidden="1" x14ac:dyDescent="0.15"/>
    <row r="28609" hidden="1" x14ac:dyDescent="0.15"/>
    <row r="28610" hidden="1" x14ac:dyDescent="0.15"/>
    <row r="28611" hidden="1" x14ac:dyDescent="0.15"/>
    <row r="28612" hidden="1" x14ac:dyDescent="0.15"/>
    <row r="28613" hidden="1" x14ac:dyDescent="0.15"/>
    <row r="28614" hidden="1" x14ac:dyDescent="0.15"/>
    <row r="28615" hidden="1" x14ac:dyDescent="0.15"/>
    <row r="28616" hidden="1" x14ac:dyDescent="0.15"/>
    <row r="28617" hidden="1" x14ac:dyDescent="0.15"/>
    <row r="28618" hidden="1" x14ac:dyDescent="0.15"/>
    <row r="28619" hidden="1" x14ac:dyDescent="0.15"/>
    <row r="28620" hidden="1" x14ac:dyDescent="0.15"/>
    <row r="28621" hidden="1" x14ac:dyDescent="0.15"/>
    <row r="28622" hidden="1" x14ac:dyDescent="0.15"/>
    <row r="28623" hidden="1" x14ac:dyDescent="0.15"/>
    <row r="28624" hidden="1" x14ac:dyDescent="0.15"/>
    <row r="28625" hidden="1" x14ac:dyDescent="0.15"/>
    <row r="28626" hidden="1" x14ac:dyDescent="0.15"/>
    <row r="28627" hidden="1" x14ac:dyDescent="0.15"/>
    <row r="28628" hidden="1" x14ac:dyDescent="0.15"/>
    <row r="28629" hidden="1" x14ac:dyDescent="0.15"/>
    <row r="28630" hidden="1" x14ac:dyDescent="0.15"/>
    <row r="28631" hidden="1" x14ac:dyDescent="0.15"/>
    <row r="28632" hidden="1" x14ac:dyDescent="0.15"/>
    <row r="28633" hidden="1" x14ac:dyDescent="0.15"/>
    <row r="28634" hidden="1" x14ac:dyDescent="0.15"/>
    <row r="28635" hidden="1" x14ac:dyDescent="0.15"/>
    <row r="28636" hidden="1" x14ac:dyDescent="0.15"/>
    <row r="28637" hidden="1" x14ac:dyDescent="0.15"/>
    <row r="28638" hidden="1" x14ac:dyDescent="0.15"/>
    <row r="28639" hidden="1" x14ac:dyDescent="0.15"/>
    <row r="28640" hidden="1" x14ac:dyDescent="0.15"/>
    <row r="28641" hidden="1" x14ac:dyDescent="0.15"/>
    <row r="28642" hidden="1" x14ac:dyDescent="0.15"/>
    <row r="28643" hidden="1" x14ac:dyDescent="0.15"/>
    <row r="28644" hidden="1" x14ac:dyDescent="0.15"/>
    <row r="28645" hidden="1" x14ac:dyDescent="0.15"/>
    <row r="28646" hidden="1" x14ac:dyDescent="0.15"/>
    <row r="28647" hidden="1" x14ac:dyDescent="0.15"/>
    <row r="28648" hidden="1" x14ac:dyDescent="0.15"/>
    <row r="28649" hidden="1" x14ac:dyDescent="0.15"/>
    <row r="28650" hidden="1" x14ac:dyDescent="0.15"/>
    <row r="28651" hidden="1" x14ac:dyDescent="0.15"/>
    <row r="28652" hidden="1" x14ac:dyDescent="0.15"/>
    <row r="28653" hidden="1" x14ac:dyDescent="0.15"/>
    <row r="28654" hidden="1" x14ac:dyDescent="0.15"/>
    <row r="28655" hidden="1" x14ac:dyDescent="0.15"/>
    <row r="28656" hidden="1" x14ac:dyDescent="0.15"/>
    <row r="28657" hidden="1" x14ac:dyDescent="0.15"/>
    <row r="28658" hidden="1" x14ac:dyDescent="0.15"/>
    <row r="28659" hidden="1" x14ac:dyDescent="0.15"/>
    <row r="28660" hidden="1" x14ac:dyDescent="0.15"/>
    <row r="28661" hidden="1" x14ac:dyDescent="0.15"/>
    <row r="28662" hidden="1" x14ac:dyDescent="0.15"/>
    <row r="28663" hidden="1" x14ac:dyDescent="0.15"/>
    <row r="28664" hidden="1" x14ac:dyDescent="0.15"/>
    <row r="28665" hidden="1" x14ac:dyDescent="0.15"/>
    <row r="28666" hidden="1" x14ac:dyDescent="0.15"/>
    <row r="28667" hidden="1" x14ac:dyDescent="0.15"/>
    <row r="28668" hidden="1" x14ac:dyDescent="0.15"/>
    <row r="28669" hidden="1" x14ac:dyDescent="0.15"/>
    <row r="28670" hidden="1" x14ac:dyDescent="0.15"/>
    <row r="28671" hidden="1" x14ac:dyDescent="0.15"/>
    <row r="28672" hidden="1" x14ac:dyDescent="0.15"/>
    <row r="28673" hidden="1" x14ac:dyDescent="0.15"/>
    <row r="28674" hidden="1" x14ac:dyDescent="0.15"/>
    <row r="28675" hidden="1" x14ac:dyDescent="0.15"/>
    <row r="28676" hidden="1" x14ac:dyDescent="0.15"/>
    <row r="28677" hidden="1" x14ac:dyDescent="0.15"/>
    <row r="28678" hidden="1" x14ac:dyDescent="0.15"/>
    <row r="28679" hidden="1" x14ac:dyDescent="0.15"/>
    <row r="28680" hidden="1" x14ac:dyDescent="0.15"/>
    <row r="28681" hidden="1" x14ac:dyDescent="0.15"/>
    <row r="28682" hidden="1" x14ac:dyDescent="0.15"/>
    <row r="28683" hidden="1" x14ac:dyDescent="0.15"/>
    <row r="28684" hidden="1" x14ac:dyDescent="0.15"/>
    <row r="28685" hidden="1" x14ac:dyDescent="0.15"/>
    <row r="28686" hidden="1" x14ac:dyDescent="0.15"/>
    <row r="28687" hidden="1" x14ac:dyDescent="0.15"/>
    <row r="28688" hidden="1" x14ac:dyDescent="0.15"/>
    <row r="28689" hidden="1" x14ac:dyDescent="0.15"/>
    <row r="28690" hidden="1" x14ac:dyDescent="0.15"/>
    <row r="28691" hidden="1" x14ac:dyDescent="0.15"/>
    <row r="28692" hidden="1" x14ac:dyDescent="0.15"/>
    <row r="28693" hidden="1" x14ac:dyDescent="0.15"/>
    <row r="28694" hidden="1" x14ac:dyDescent="0.15"/>
    <row r="28695" hidden="1" x14ac:dyDescent="0.15"/>
    <row r="28696" hidden="1" x14ac:dyDescent="0.15"/>
    <row r="28697" hidden="1" x14ac:dyDescent="0.15"/>
    <row r="28698" hidden="1" x14ac:dyDescent="0.15"/>
    <row r="28699" hidden="1" x14ac:dyDescent="0.15"/>
    <row r="28700" hidden="1" x14ac:dyDescent="0.15"/>
    <row r="28701" hidden="1" x14ac:dyDescent="0.15"/>
    <row r="28702" hidden="1" x14ac:dyDescent="0.15"/>
    <row r="28703" hidden="1" x14ac:dyDescent="0.15"/>
    <row r="28704" hidden="1" x14ac:dyDescent="0.15"/>
    <row r="28705" hidden="1" x14ac:dyDescent="0.15"/>
    <row r="28706" hidden="1" x14ac:dyDescent="0.15"/>
    <row r="28707" hidden="1" x14ac:dyDescent="0.15"/>
    <row r="28708" hidden="1" x14ac:dyDescent="0.15"/>
    <row r="28709" hidden="1" x14ac:dyDescent="0.15"/>
    <row r="28710" hidden="1" x14ac:dyDescent="0.15"/>
    <row r="28711" hidden="1" x14ac:dyDescent="0.15"/>
    <row r="28712" hidden="1" x14ac:dyDescent="0.15"/>
    <row r="28713" hidden="1" x14ac:dyDescent="0.15"/>
    <row r="28714" hidden="1" x14ac:dyDescent="0.15"/>
    <row r="28715" hidden="1" x14ac:dyDescent="0.15"/>
    <row r="28716" hidden="1" x14ac:dyDescent="0.15"/>
    <row r="28717" hidden="1" x14ac:dyDescent="0.15"/>
    <row r="28718" hidden="1" x14ac:dyDescent="0.15"/>
    <row r="28719" hidden="1" x14ac:dyDescent="0.15"/>
    <row r="28720" hidden="1" x14ac:dyDescent="0.15"/>
    <row r="28721" hidden="1" x14ac:dyDescent="0.15"/>
    <row r="28722" hidden="1" x14ac:dyDescent="0.15"/>
    <row r="28723" hidden="1" x14ac:dyDescent="0.15"/>
    <row r="28724" hidden="1" x14ac:dyDescent="0.15"/>
    <row r="28725" hidden="1" x14ac:dyDescent="0.15"/>
    <row r="28726" hidden="1" x14ac:dyDescent="0.15"/>
    <row r="28727" hidden="1" x14ac:dyDescent="0.15"/>
    <row r="28728" hidden="1" x14ac:dyDescent="0.15"/>
    <row r="28729" hidden="1" x14ac:dyDescent="0.15"/>
    <row r="28730" hidden="1" x14ac:dyDescent="0.15"/>
    <row r="28731" hidden="1" x14ac:dyDescent="0.15"/>
    <row r="28732" hidden="1" x14ac:dyDescent="0.15"/>
    <row r="28733" hidden="1" x14ac:dyDescent="0.15"/>
    <row r="28734" hidden="1" x14ac:dyDescent="0.15"/>
    <row r="28735" hidden="1" x14ac:dyDescent="0.15"/>
    <row r="28736" hidden="1" x14ac:dyDescent="0.15"/>
    <row r="28737" hidden="1" x14ac:dyDescent="0.15"/>
    <row r="28738" hidden="1" x14ac:dyDescent="0.15"/>
    <row r="28739" hidden="1" x14ac:dyDescent="0.15"/>
    <row r="28740" hidden="1" x14ac:dyDescent="0.15"/>
    <row r="28741" hidden="1" x14ac:dyDescent="0.15"/>
    <row r="28742" hidden="1" x14ac:dyDescent="0.15"/>
    <row r="28743" hidden="1" x14ac:dyDescent="0.15"/>
    <row r="28744" hidden="1" x14ac:dyDescent="0.15"/>
    <row r="28745" hidden="1" x14ac:dyDescent="0.15"/>
    <row r="28746" hidden="1" x14ac:dyDescent="0.15"/>
    <row r="28747" hidden="1" x14ac:dyDescent="0.15"/>
    <row r="28748" hidden="1" x14ac:dyDescent="0.15"/>
    <row r="28749" hidden="1" x14ac:dyDescent="0.15"/>
    <row r="28750" hidden="1" x14ac:dyDescent="0.15"/>
    <row r="28751" hidden="1" x14ac:dyDescent="0.15"/>
    <row r="28752" hidden="1" x14ac:dyDescent="0.15"/>
    <row r="28753" hidden="1" x14ac:dyDescent="0.15"/>
    <row r="28754" hidden="1" x14ac:dyDescent="0.15"/>
    <row r="28755" hidden="1" x14ac:dyDescent="0.15"/>
    <row r="28756" hidden="1" x14ac:dyDescent="0.15"/>
    <row r="28757" hidden="1" x14ac:dyDescent="0.15"/>
    <row r="28758" hidden="1" x14ac:dyDescent="0.15"/>
    <row r="28759" hidden="1" x14ac:dyDescent="0.15"/>
    <row r="28760" hidden="1" x14ac:dyDescent="0.15"/>
    <row r="28761" hidden="1" x14ac:dyDescent="0.15"/>
    <row r="28762" hidden="1" x14ac:dyDescent="0.15"/>
    <row r="28763" hidden="1" x14ac:dyDescent="0.15"/>
    <row r="28764" hidden="1" x14ac:dyDescent="0.15"/>
    <row r="28765" hidden="1" x14ac:dyDescent="0.15"/>
    <row r="28766" hidden="1" x14ac:dyDescent="0.15"/>
    <row r="28767" hidden="1" x14ac:dyDescent="0.15"/>
    <row r="28768" hidden="1" x14ac:dyDescent="0.15"/>
    <row r="28769" hidden="1" x14ac:dyDescent="0.15"/>
    <row r="28770" hidden="1" x14ac:dyDescent="0.15"/>
    <row r="28771" hidden="1" x14ac:dyDescent="0.15"/>
    <row r="28772" hidden="1" x14ac:dyDescent="0.15"/>
    <row r="28773" hidden="1" x14ac:dyDescent="0.15"/>
    <row r="28774" hidden="1" x14ac:dyDescent="0.15"/>
    <row r="28775" hidden="1" x14ac:dyDescent="0.15"/>
    <row r="28776" hidden="1" x14ac:dyDescent="0.15"/>
    <row r="28777" hidden="1" x14ac:dyDescent="0.15"/>
    <row r="28778" hidden="1" x14ac:dyDescent="0.15"/>
    <row r="28779" hidden="1" x14ac:dyDescent="0.15"/>
    <row r="28780" hidden="1" x14ac:dyDescent="0.15"/>
    <row r="28781" hidden="1" x14ac:dyDescent="0.15"/>
    <row r="28782" hidden="1" x14ac:dyDescent="0.15"/>
    <row r="28783" hidden="1" x14ac:dyDescent="0.15"/>
    <row r="28784" hidden="1" x14ac:dyDescent="0.15"/>
    <row r="28785" hidden="1" x14ac:dyDescent="0.15"/>
    <row r="28786" hidden="1" x14ac:dyDescent="0.15"/>
    <row r="28787" hidden="1" x14ac:dyDescent="0.15"/>
    <row r="28788" hidden="1" x14ac:dyDescent="0.15"/>
    <row r="28789" hidden="1" x14ac:dyDescent="0.15"/>
    <row r="28790" hidden="1" x14ac:dyDescent="0.15"/>
    <row r="28791" hidden="1" x14ac:dyDescent="0.15"/>
    <row r="28792" hidden="1" x14ac:dyDescent="0.15"/>
    <row r="28793" hidden="1" x14ac:dyDescent="0.15"/>
    <row r="28794" hidden="1" x14ac:dyDescent="0.15"/>
    <row r="28795" hidden="1" x14ac:dyDescent="0.15"/>
    <row r="28796" hidden="1" x14ac:dyDescent="0.15"/>
    <row r="28797" hidden="1" x14ac:dyDescent="0.15"/>
    <row r="28798" hidden="1" x14ac:dyDescent="0.15"/>
    <row r="28799" hidden="1" x14ac:dyDescent="0.15"/>
    <row r="28800" hidden="1" x14ac:dyDescent="0.15"/>
    <row r="28801" hidden="1" x14ac:dyDescent="0.15"/>
    <row r="28802" hidden="1" x14ac:dyDescent="0.15"/>
    <row r="28803" hidden="1" x14ac:dyDescent="0.15"/>
    <row r="28804" hidden="1" x14ac:dyDescent="0.15"/>
    <row r="28805" hidden="1" x14ac:dyDescent="0.15"/>
    <row r="28806" hidden="1" x14ac:dyDescent="0.15"/>
    <row r="28807" hidden="1" x14ac:dyDescent="0.15"/>
    <row r="28808" hidden="1" x14ac:dyDescent="0.15"/>
    <row r="28809" hidden="1" x14ac:dyDescent="0.15"/>
    <row r="28810" hidden="1" x14ac:dyDescent="0.15"/>
    <row r="28811" hidden="1" x14ac:dyDescent="0.15"/>
    <row r="28812" hidden="1" x14ac:dyDescent="0.15"/>
    <row r="28813" hidden="1" x14ac:dyDescent="0.15"/>
    <row r="28814" hidden="1" x14ac:dyDescent="0.15"/>
    <row r="28815" hidden="1" x14ac:dyDescent="0.15"/>
    <row r="28816" hidden="1" x14ac:dyDescent="0.15"/>
    <row r="28817" hidden="1" x14ac:dyDescent="0.15"/>
    <row r="28818" hidden="1" x14ac:dyDescent="0.15"/>
    <row r="28819" hidden="1" x14ac:dyDescent="0.15"/>
    <row r="28820" hidden="1" x14ac:dyDescent="0.15"/>
    <row r="28821" hidden="1" x14ac:dyDescent="0.15"/>
    <row r="28822" hidden="1" x14ac:dyDescent="0.15"/>
    <row r="28823" hidden="1" x14ac:dyDescent="0.15"/>
    <row r="28824" hidden="1" x14ac:dyDescent="0.15"/>
    <row r="28825" hidden="1" x14ac:dyDescent="0.15"/>
    <row r="28826" hidden="1" x14ac:dyDescent="0.15"/>
    <row r="28827" hidden="1" x14ac:dyDescent="0.15"/>
    <row r="28828" hidden="1" x14ac:dyDescent="0.15"/>
    <row r="28829" hidden="1" x14ac:dyDescent="0.15"/>
    <row r="28830" hidden="1" x14ac:dyDescent="0.15"/>
    <row r="28831" hidden="1" x14ac:dyDescent="0.15"/>
    <row r="28832" hidden="1" x14ac:dyDescent="0.15"/>
    <row r="28833" hidden="1" x14ac:dyDescent="0.15"/>
    <row r="28834" hidden="1" x14ac:dyDescent="0.15"/>
    <row r="28835" hidden="1" x14ac:dyDescent="0.15"/>
    <row r="28836" hidden="1" x14ac:dyDescent="0.15"/>
    <row r="28837" hidden="1" x14ac:dyDescent="0.15"/>
    <row r="28838" hidden="1" x14ac:dyDescent="0.15"/>
    <row r="28839" hidden="1" x14ac:dyDescent="0.15"/>
    <row r="28840" hidden="1" x14ac:dyDescent="0.15"/>
    <row r="28841" hidden="1" x14ac:dyDescent="0.15"/>
    <row r="28842" hidden="1" x14ac:dyDescent="0.15"/>
    <row r="28843" hidden="1" x14ac:dyDescent="0.15"/>
    <row r="28844" hidden="1" x14ac:dyDescent="0.15"/>
    <row r="28845" hidden="1" x14ac:dyDescent="0.15"/>
    <row r="28846" hidden="1" x14ac:dyDescent="0.15"/>
    <row r="28847" hidden="1" x14ac:dyDescent="0.15"/>
    <row r="28848" hidden="1" x14ac:dyDescent="0.15"/>
    <row r="28849" hidden="1" x14ac:dyDescent="0.15"/>
    <row r="28850" hidden="1" x14ac:dyDescent="0.15"/>
    <row r="28851" hidden="1" x14ac:dyDescent="0.15"/>
    <row r="28852" hidden="1" x14ac:dyDescent="0.15"/>
    <row r="28853" hidden="1" x14ac:dyDescent="0.15"/>
    <row r="28854" hidden="1" x14ac:dyDescent="0.15"/>
    <row r="28855" hidden="1" x14ac:dyDescent="0.15"/>
    <row r="28856" hidden="1" x14ac:dyDescent="0.15"/>
    <row r="28857" hidden="1" x14ac:dyDescent="0.15"/>
    <row r="28858" hidden="1" x14ac:dyDescent="0.15"/>
    <row r="28859" hidden="1" x14ac:dyDescent="0.15"/>
    <row r="28860" hidden="1" x14ac:dyDescent="0.15"/>
    <row r="28861" hidden="1" x14ac:dyDescent="0.15"/>
    <row r="28862" hidden="1" x14ac:dyDescent="0.15"/>
    <row r="28863" hidden="1" x14ac:dyDescent="0.15"/>
    <row r="28864" hidden="1" x14ac:dyDescent="0.15"/>
    <row r="28865" hidden="1" x14ac:dyDescent="0.15"/>
    <row r="28866" hidden="1" x14ac:dyDescent="0.15"/>
    <row r="28867" hidden="1" x14ac:dyDescent="0.15"/>
    <row r="28868" hidden="1" x14ac:dyDescent="0.15"/>
    <row r="28869" hidden="1" x14ac:dyDescent="0.15"/>
    <row r="28870" hidden="1" x14ac:dyDescent="0.15"/>
    <row r="28871" hidden="1" x14ac:dyDescent="0.15"/>
    <row r="28872" hidden="1" x14ac:dyDescent="0.15"/>
    <row r="28873" hidden="1" x14ac:dyDescent="0.15"/>
    <row r="28874" hidden="1" x14ac:dyDescent="0.15"/>
    <row r="28875" hidden="1" x14ac:dyDescent="0.15"/>
    <row r="28876" hidden="1" x14ac:dyDescent="0.15"/>
    <row r="28877" hidden="1" x14ac:dyDescent="0.15"/>
    <row r="28878" hidden="1" x14ac:dyDescent="0.15"/>
    <row r="28879" hidden="1" x14ac:dyDescent="0.15"/>
    <row r="28880" hidden="1" x14ac:dyDescent="0.15"/>
    <row r="28881" hidden="1" x14ac:dyDescent="0.15"/>
    <row r="28882" hidden="1" x14ac:dyDescent="0.15"/>
    <row r="28883" hidden="1" x14ac:dyDescent="0.15"/>
    <row r="28884" hidden="1" x14ac:dyDescent="0.15"/>
    <row r="28885" hidden="1" x14ac:dyDescent="0.15"/>
    <row r="28886" hidden="1" x14ac:dyDescent="0.15"/>
    <row r="28887" hidden="1" x14ac:dyDescent="0.15"/>
    <row r="28888" hidden="1" x14ac:dyDescent="0.15"/>
    <row r="28889" hidden="1" x14ac:dyDescent="0.15"/>
    <row r="28890" hidden="1" x14ac:dyDescent="0.15"/>
    <row r="28891" hidden="1" x14ac:dyDescent="0.15"/>
    <row r="28892" hidden="1" x14ac:dyDescent="0.15"/>
    <row r="28893" hidden="1" x14ac:dyDescent="0.15"/>
    <row r="28894" hidden="1" x14ac:dyDescent="0.15"/>
    <row r="28895" hidden="1" x14ac:dyDescent="0.15"/>
    <row r="28896" hidden="1" x14ac:dyDescent="0.15"/>
    <row r="28897" hidden="1" x14ac:dyDescent="0.15"/>
    <row r="28898" hidden="1" x14ac:dyDescent="0.15"/>
    <row r="28899" hidden="1" x14ac:dyDescent="0.15"/>
    <row r="28900" hidden="1" x14ac:dyDescent="0.15"/>
    <row r="28901" hidden="1" x14ac:dyDescent="0.15"/>
    <row r="28902" hidden="1" x14ac:dyDescent="0.15"/>
    <row r="28903" hidden="1" x14ac:dyDescent="0.15"/>
    <row r="28904" hidden="1" x14ac:dyDescent="0.15"/>
    <row r="28905" hidden="1" x14ac:dyDescent="0.15"/>
    <row r="28906" hidden="1" x14ac:dyDescent="0.15"/>
    <row r="28907" hidden="1" x14ac:dyDescent="0.15"/>
    <row r="28908" hidden="1" x14ac:dyDescent="0.15"/>
    <row r="28909" hidden="1" x14ac:dyDescent="0.15"/>
    <row r="28910" hidden="1" x14ac:dyDescent="0.15"/>
    <row r="28911" hidden="1" x14ac:dyDescent="0.15"/>
    <row r="28912" hidden="1" x14ac:dyDescent="0.15"/>
    <row r="28913" hidden="1" x14ac:dyDescent="0.15"/>
    <row r="28914" hidden="1" x14ac:dyDescent="0.15"/>
    <row r="28915" hidden="1" x14ac:dyDescent="0.15"/>
    <row r="28916" hidden="1" x14ac:dyDescent="0.15"/>
    <row r="28917" hidden="1" x14ac:dyDescent="0.15"/>
    <row r="28918" hidden="1" x14ac:dyDescent="0.15"/>
    <row r="28919" hidden="1" x14ac:dyDescent="0.15"/>
    <row r="28920" hidden="1" x14ac:dyDescent="0.15"/>
    <row r="28921" hidden="1" x14ac:dyDescent="0.15"/>
    <row r="28922" hidden="1" x14ac:dyDescent="0.15"/>
    <row r="28923" hidden="1" x14ac:dyDescent="0.15"/>
    <row r="28924" hidden="1" x14ac:dyDescent="0.15"/>
    <row r="28925" hidden="1" x14ac:dyDescent="0.15"/>
    <row r="28926" hidden="1" x14ac:dyDescent="0.15"/>
    <row r="28927" hidden="1" x14ac:dyDescent="0.15"/>
    <row r="28928" hidden="1" x14ac:dyDescent="0.15"/>
    <row r="28929" hidden="1" x14ac:dyDescent="0.15"/>
    <row r="28930" hidden="1" x14ac:dyDescent="0.15"/>
    <row r="28931" hidden="1" x14ac:dyDescent="0.15"/>
    <row r="28932" hidden="1" x14ac:dyDescent="0.15"/>
    <row r="28933" hidden="1" x14ac:dyDescent="0.15"/>
    <row r="28934" hidden="1" x14ac:dyDescent="0.15"/>
    <row r="28935" hidden="1" x14ac:dyDescent="0.15"/>
    <row r="28936" hidden="1" x14ac:dyDescent="0.15"/>
    <row r="28937" hidden="1" x14ac:dyDescent="0.15"/>
    <row r="28938" hidden="1" x14ac:dyDescent="0.15"/>
    <row r="28939" hidden="1" x14ac:dyDescent="0.15"/>
    <row r="28940" hidden="1" x14ac:dyDescent="0.15"/>
    <row r="28941" hidden="1" x14ac:dyDescent="0.15"/>
    <row r="28942" hidden="1" x14ac:dyDescent="0.15"/>
    <row r="28943" hidden="1" x14ac:dyDescent="0.15"/>
    <row r="28944" hidden="1" x14ac:dyDescent="0.15"/>
    <row r="28945" hidden="1" x14ac:dyDescent="0.15"/>
    <row r="28946" hidden="1" x14ac:dyDescent="0.15"/>
    <row r="28947" hidden="1" x14ac:dyDescent="0.15"/>
    <row r="28948" hidden="1" x14ac:dyDescent="0.15"/>
    <row r="28949" hidden="1" x14ac:dyDescent="0.15"/>
    <row r="28950" hidden="1" x14ac:dyDescent="0.15"/>
    <row r="28951" hidden="1" x14ac:dyDescent="0.15"/>
    <row r="28952" hidden="1" x14ac:dyDescent="0.15"/>
    <row r="28953" hidden="1" x14ac:dyDescent="0.15"/>
    <row r="28954" hidden="1" x14ac:dyDescent="0.15"/>
    <row r="28955" hidden="1" x14ac:dyDescent="0.15"/>
    <row r="28956" hidden="1" x14ac:dyDescent="0.15"/>
    <row r="28957" hidden="1" x14ac:dyDescent="0.15"/>
    <row r="28958" hidden="1" x14ac:dyDescent="0.15"/>
    <row r="28959" hidden="1" x14ac:dyDescent="0.15"/>
    <row r="28960" hidden="1" x14ac:dyDescent="0.15"/>
    <row r="28961" hidden="1" x14ac:dyDescent="0.15"/>
    <row r="28962" hidden="1" x14ac:dyDescent="0.15"/>
    <row r="28963" hidden="1" x14ac:dyDescent="0.15"/>
    <row r="28964" hidden="1" x14ac:dyDescent="0.15"/>
    <row r="28965" hidden="1" x14ac:dyDescent="0.15"/>
    <row r="28966" hidden="1" x14ac:dyDescent="0.15"/>
    <row r="28967" hidden="1" x14ac:dyDescent="0.15"/>
    <row r="28968" hidden="1" x14ac:dyDescent="0.15"/>
    <row r="28969" hidden="1" x14ac:dyDescent="0.15"/>
    <row r="28970" hidden="1" x14ac:dyDescent="0.15"/>
    <row r="28971" hidden="1" x14ac:dyDescent="0.15"/>
    <row r="28972" hidden="1" x14ac:dyDescent="0.15"/>
    <row r="28973" hidden="1" x14ac:dyDescent="0.15"/>
    <row r="28974" hidden="1" x14ac:dyDescent="0.15"/>
    <row r="28975" hidden="1" x14ac:dyDescent="0.15"/>
    <row r="28976" hidden="1" x14ac:dyDescent="0.15"/>
    <row r="28977" hidden="1" x14ac:dyDescent="0.15"/>
    <row r="28978" hidden="1" x14ac:dyDescent="0.15"/>
    <row r="28979" hidden="1" x14ac:dyDescent="0.15"/>
    <row r="28980" hidden="1" x14ac:dyDescent="0.15"/>
    <row r="28981" hidden="1" x14ac:dyDescent="0.15"/>
    <row r="28982" hidden="1" x14ac:dyDescent="0.15"/>
    <row r="28983" hidden="1" x14ac:dyDescent="0.15"/>
    <row r="28984" hidden="1" x14ac:dyDescent="0.15"/>
    <row r="28985" hidden="1" x14ac:dyDescent="0.15"/>
    <row r="28986" hidden="1" x14ac:dyDescent="0.15"/>
    <row r="28987" hidden="1" x14ac:dyDescent="0.15"/>
    <row r="28988" hidden="1" x14ac:dyDescent="0.15"/>
    <row r="28989" hidden="1" x14ac:dyDescent="0.15"/>
    <row r="28990" hidden="1" x14ac:dyDescent="0.15"/>
    <row r="28991" hidden="1" x14ac:dyDescent="0.15"/>
    <row r="28992" hidden="1" x14ac:dyDescent="0.15"/>
    <row r="28993" hidden="1" x14ac:dyDescent="0.15"/>
    <row r="28994" hidden="1" x14ac:dyDescent="0.15"/>
    <row r="28995" hidden="1" x14ac:dyDescent="0.15"/>
    <row r="28996" hidden="1" x14ac:dyDescent="0.15"/>
    <row r="28997" hidden="1" x14ac:dyDescent="0.15"/>
    <row r="28998" hidden="1" x14ac:dyDescent="0.15"/>
    <row r="28999" hidden="1" x14ac:dyDescent="0.15"/>
    <row r="29000" hidden="1" x14ac:dyDescent="0.15"/>
    <row r="29001" hidden="1" x14ac:dyDescent="0.15"/>
    <row r="29002" hidden="1" x14ac:dyDescent="0.15"/>
    <row r="29003" hidden="1" x14ac:dyDescent="0.15"/>
    <row r="29004" hidden="1" x14ac:dyDescent="0.15"/>
    <row r="29005" hidden="1" x14ac:dyDescent="0.15"/>
    <row r="29006" hidden="1" x14ac:dyDescent="0.15"/>
    <row r="29007" hidden="1" x14ac:dyDescent="0.15"/>
    <row r="29008" hidden="1" x14ac:dyDescent="0.15"/>
    <row r="29009" hidden="1" x14ac:dyDescent="0.15"/>
    <row r="29010" hidden="1" x14ac:dyDescent="0.15"/>
    <row r="29011" hidden="1" x14ac:dyDescent="0.15"/>
    <row r="29012" hidden="1" x14ac:dyDescent="0.15"/>
    <row r="29013" hidden="1" x14ac:dyDescent="0.15"/>
    <row r="29014" hidden="1" x14ac:dyDescent="0.15"/>
    <row r="29015" hidden="1" x14ac:dyDescent="0.15"/>
    <row r="29016" hidden="1" x14ac:dyDescent="0.15"/>
    <row r="29017" hidden="1" x14ac:dyDescent="0.15"/>
    <row r="29018" hidden="1" x14ac:dyDescent="0.15"/>
    <row r="29019" hidden="1" x14ac:dyDescent="0.15"/>
    <row r="29020" hidden="1" x14ac:dyDescent="0.15"/>
    <row r="29021" hidden="1" x14ac:dyDescent="0.15"/>
    <row r="29022" hidden="1" x14ac:dyDescent="0.15"/>
    <row r="29023" hidden="1" x14ac:dyDescent="0.15"/>
    <row r="29024" hidden="1" x14ac:dyDescent="0.15"/>
    <row r="29025" hidden="1" x14ac:dyDescent="0.15"/>
    <row r="29026" hidden="1" x14ac:dyDescent="0.15"/>
    <row r="29027" hidden="1" x14ac:dyDescent="0.15"/>
    <row r="29028" hidden="1" x14ac:dyDescent="0.15"/>
    <row r="29029" hidden="1" x14ac:dyDescent="0.15"/>
    <row r="29030" hidden="1" x14ac:dyDescent="0.15"/>
    <row r="29031" hidden="1" x14ac:dyDescent="0.15"/>
    <row r="29032" hidden="1" x14ac:dyDescent="0.15"/>
    <row r="29033" hidden="1" x14ac:dyDescent="0.15"/>
    <row r="29034" hidden="1" x14ac:dyDescent="0.15"/>
    <row r="29035" hidden="1" x14ac:dyDescent="0.15"/>
    <row r="29036" hidden="1" x14ac:dyDescent="0.15"/>
    <row r="29037" hidden="1" x14ac:dyDescent="0.15"/>
    <row r="29038" hidden="1" x14ac:dyDescent="0.15"/>
    <row r="29039" hidden="1" x14ac:dyDescent="0.15"/>
    <row r="29040" hidden="1" x14ac:dyDescent="0.15"/>
    <row r="29041" hidden="1" x14ac:dyDescent="0.15"/>
    <row r="29042" hidden="1" x14ac:dyDescent="0.15"/>
    <row r="29043" hidden="1" x14ac:dyDescent="0.15"/>
    <row r="29044" hidden="1" x14ac:dyDescent="0.15"/>
    <row r="29045" hidden="1" x14ac:dyDescent="0.15"/>
    <row r="29046" hidden="1" x14ac:dyDescent="0.15"/>
    <row r="29047" hidden="1" x14ac:dyDescent="0.15"/>
    <row r="29048" hidden="1" x14ac:dyDescent="0.15"/>
    <row r="29049" hidden="1" x14ac:dyDescent="0.15"/>
    <row r="29050" hidden="1" x14ac:dyDescent="0.15"/>
    <row r="29051" hidden="1" x14ac:dyDescent="0.15"/>
    <row r="29052" hidden="1" x14ac:dyDescent="0.15"/>
    <row r="29053" hidden="1" x14ac:dyDescent="0.15"/>
    <row r="29054" hidden="1" x14ac:dyDescent="0.15"/>
    <row r="29055" hidden="1" x14ac:dyDescent="0.15"/>
    <row r="29056" hidden="1" x14ac:dyDescent="0.15"/>
    <row r="29057" hidden="1" x14ac:dyDescent="0.15"/>
    <row r="29058" hidden="1" x14ac:dyDescent="0.15"/>
    <row r="29059" hidden="1" x14ac:dyDescent="0.15"/>
    <row r="29060" hidden="1" x14ac:dyDescent="0.15"/>
    <row r="29061" hidden="1" x14ac:dyDescent="0.15"/>
    <row r="29062" hidden="1" x14ac:dyDescent="0.15"/>
    <row r="29063" hidden="1" x14ac:dyDescent="0.15"/>
    <row r="29064" hidden="1" x14ac:dyDescent="0.15"/>
    <row r="29065" hidden="1" x14ac:dyDescent="0.15"/>
    <row r="29066" hidden="1" x14ac:dyDescent="0.15"/>
    <row r="29067" hidden="1" x14ac:dyDescent="0.15"/>
    <row r="29068" hidden="1" x14ac:dyDescent="0.15"/>
    <row r="29069" hidden="1" x14ac:dyDescent="0.15"/>
    <row r="29070" hidden="1" x14ac:dyDescent="0.15"/>
    <row r="29071" hidden="1" x14ac:dyDescent="0.15"/>
    <row r="29072" hidden="1" x14ac:dyDescent="0.15"/>
    <row r="29073" hidden="1" x14ac:dyDescent="0.15"/>
    <row r="29074" hidden="1" x14ac:dyDescent="0.15"/>
    <row r="29075" hidden="1" x14ac:dyDescent="0.15"/>
    <row r="29076" hidden="1" x14ac:dyDescent="0.15"/>
    <row r="29077" hidden="1" x14ac:dyDescent="0.15"/>
    <row r="29078" hidden="1" x14ac:dyDescent="0.15"/>
    <row r="29079" hidden="1" x14ac:dyDescent="0.15"/>
    <row r="29080" hidden="1" x14ac:dyDescent="0.15"/>
    <row r="29081" hidden="1" x14ac:dyDescent="0.15"/>
    <row r="29082" hidden="1" x14ac:dyDescent="0.15"/>
    <row r="29083" hidden="1" x14ac:dyDescent="0.15"/>
    <row r="29084" hidden="1" x14ac:dyDescent="0.15"/>
    <row r="29085" hidden="1" x14ac:dyDescent="0.15"/>
    <row r="29086" hidden="1" x14ac:dyDescent="0.15"/>
    <row r="29087" hidden="1" x14ac:dyDescent="0.15"/>
    <row r="29088" hidden="1" x14ac:dyDescent="0.15"/>
    <row r="29089" hidden="1" x14ac:dyDescent="0.15"/>
    <row r="29090" hidden="1" x14ac:dyDescent="0.15"/>
    <row r="29091" hidden="1" x14ac:dyDescent="0.15"/>
    <row r="29092" hidden="1" x14ac:dyDescent="0.15"/>
    <row r="29093" hidden="1" x14ac:dyDescent="0.15"/>
    <row r="29094" hidden="1" x14ac:dyDescent="0.15"/>
    <row r="29095" hidden="1" x14ac:dyDescent="0.15"/>
    <row r="29096" hidden="1" x14ac:dyDescent="0.15"/>
    <row r="29097" hidden="1" x14ac:dyDescent="0.15"/>
    <row r="29098" hidden="1" x14ac:dyDescent="0.15"/>
    <row r="29099" hidden="1" x14ac:dyDescent="0.15"/>
    <row r="29100" hidden="1" x14ac:dyDescent="0.15"/>
    <row r="29101" hidden="1" x14ac:dyDescent="0.15"/>
    <row r="29102" hidden="1" x14ac:dyDescent="0.15"/>
    <row r="29103" hidden="1" x14ac:dyDescent="0.15"/>
    <row r="29104" hidden="1" x14ac:dyDescent="0.15"/>
    <row r="29105" hidden="1" x14ac:dyDescent="0.15"/>
    <row r="29106" hidden="1" x14ac:dyDescent="0.15"/>
    <row r="29107" hidden="1" x14ac:dyDescent="0.15"/>
    <row r="29108" hidden="1" x14ac:dyDescent="0.15"/>
    <row r="29109" hidden="1" x14ac:dyDescent="0.15"/>
    <row r="29110" hidden="1" x14ac:dyDescent="0.15"/>
    <row r="29111" hidden="1" x14ac:dyDescent="0.15"/>
    <row r="29112" hidden="1" x14ac:dyDescent="0.15"/>
    <row r="29113" hidden="1" x14ac:dyDescent="0.15"/>
    <row r="29114" hidden="1" x14ac:dyDescent="0.15"/>
    <row r="29115" hidden="1" x14ac:dyDescent="0.15"/>
    <row r="29116" hidden="1" x14ac:dyDescent="0.15"/>
    <row r="29117" hidden="1" x14ac:dyDescent="0.15"/>
    <row r="29118" hidden="1" x14ac:dyDescent="0.15"/>
    <row r="29119" hidden="1" x14ac:dyDescent="0.15"/>
    <row r="29120" hidden="1" x14ac:dyDescent="0.15"/>
    <row r="29121" hidden="1" x14ac:dyDescent="0.15"/>
    <row r="29122" hidden="1" x14ac:dyDescent="0.15"/>
    <row r="29123" hidden="1" x14ac:dyDescent="0.15"/>
    <row r="29124" hidden="1" x14ac:dyDescent="0.15"/>
    <row r="29125" hidden="1" x14ac:dyDescent="0.15"/>
    <row r="29126" hidden="1" x14ac:dyDescent="0.15"/>
    <row r="29127" hidden="1" x14ac:dyDescent="0.15"/>
    <row r="29128" hidden="1" x14ac:dyDescent="0.15"/>
    <row r="29129" hidden="1" x14ac:dyDescent="0.15"/>
    <row r="29130" hidden="1" x14ac:dyDescent="0.15"/>
    <row r="29131" hidden="1" x14ac:dyDescent="0.15"/>
    <row r="29132" hidden="1" x14ac:dyDescent="0.15"/>
    <row r="29133" hidden="1" x14ac:dyDescent="0.15"/>
    <row r="29134" hidden="1" x14ac:dyDescent="0.15"/>
    <row r="29135" hidden="1" x14ac:dyDescent="0.15"/>
    <row r="29136" hidden="1" x14ac:dyDescent="0.15"/>
    <row r="29137" hidden="1" x14ac:dyDescent="0.15"/>
    <row r="29138" hidden="1" x14ac:dyDescent="0.15"/>
    <row r="29139" hidden="1" x14ac:dyDescent="0.15"/>
    <row r="29140" hidden="1" x14ac:dyDescent="0.15"/>
    <row r="29141" hidden="1" x14ac:dyDescent="0.15"/>
    <row r="29142" hidden="1" x14ac:dyDescent="0.15"/>
    <row r="29143" hidden="1" x14ac:dyDescent="0.15"/>
    <row r="29144" hidden="1" x14ac:dyDescent="0.15"/>
    <row r="29145" hidden="1" x14ac:dyDescent="0.15"/>
    <row r="29146" hidden="1" x14ac:dyDescent="0.15"/>
    <row r="29147" hidden="1" x14ac:dyDescent="0.15"/>
    <row r="29148" hidden="1" x14ac:dyDescent="0.15"/>
    <row r="29149" hidden="1" x14ac:dyDescent="0.15"/>
    <row r="29150" hidden="1" x14ac:dyDescent="0.15"/>
    <row r="29151" hidden="1" x14ac:dyDescent="0.15"/>
    <row r="29152" hidden="1" x14ac:dyDescent="0.15"/>
    <row r="29153" hidden="1" x14ac:dyDescent="0.15"/>
    <row r="29154" hidden="1" x14ac:dyDescent="0.15"/>
    <row r="29155" hidden="1" x14ac:dyDescent="0.15"/>
    <row r="29156" hidden="1" x14ac:dyDescent="0.15"/>
    <row r="29157" hidden="1" x14ac:dyDescent="0.15"/>
    <row r="29158" hidden="1" x14ac:dyDescent="0.15"/>
    <row r="29159" hidden="1" x14ac:dyDescent="0.15"/>
    <row r="29160" hidden="1" x14ac:dyDescent="0.15"/>
    <row r="29161" hidden="1" x14ac:dyDescent="0.15"/>
    <row r="29162" hidden="1" x14ac:dyDescent="0.15"/>
    <row r="29163" hidden="1" x14ac:dyDescent="0.15"/>
    <row r="29164" hidden="1" x14ac:dyDescent="0.15"/>
    <row r="29165" hidden="1" x14ac:dyDescent="0.15"/>
    <row r="29166" hidden="1" x14ac:dyDescent="0.15"/>
    <row r="29167" hidden="1" x14ac:dyDescent="0.15"/>
    <row r="29168" hidden="1" x14ac:dyDescent="0.15"/>
    <row r="29169" hidden="1" x14ac:dyDescent="0.15"/>
    <row r="29170" hidden="1" x14ac:dyDescent="0.15"/>
    <row r="29171" hidden="1" x14ac:dyDescent="0.15"/>
    <row r="29172" hidden="1" x14ac:dyDescent="0.15"/>
    <row r="29173" hidden="1" x14ac:dyDescent="0.15"/>
    <row r="29174" hidden="1" x14ac:dyDescent="0.15"/>
    <row r="29175" hidden="1" x14ac:dyDescent="0.15"/>
    <row r="29176" hidden="1" x14ac:dyDescent="0.15"/>
    <row r="29177" hidden="1" x14ac:dyDescent="0.15"/>
    <row r="29178" hidden="1" x14ac:dyDescent="0.15"/>
    <row r="29179" hidden="1" x14ac:dyDescent="0.15"/>
    <row r="29180" hidden="1" x14ac:dyDescent="0.15"/>
    <row r="29181" hidden="1" x14ac:dyDescent="0.15"/>
    <row r="29182" hidden="1" x14ac:dyDescent="0.15"/>
    <row r="29183" hidden="1" x14ac:dyDescent="0.15"/>
    <row r="29184" hidden="1" x14ac:dyDescent="0.15"/>
    <row r="29185" hidden="1" x14ac:dyDescent="0.15"/>
    <row r="29186" hidden="1" x14ac:dyDescent="0.15"/>
    <row r="29187" hidden="1" x14ac:dyDescent="0.15"/>
    <row r="29188" hidden="1" x14ac:dyDescent="0.15"/>
    <row r="29189" hidden="1" x14ac:dyDescent="0.15"/>
    <row r="29190" hidden="1" x14ac:dyDescent="0.15"/>
    <row r="29191" hidden="1" x14ac:dyDescent="0.15"/>
    <row r="29192" hidden="1" x14ac:dyDescent="0.15"/>
    <row r="29193" hidden="1" x14ac:dyDescent="0.15"/>
    <row r="29194" hidden="1" x14ac:dyDescent="0.15"/>
    <row r="29195" hidden="1" x14ac:dyDescent="0.15"/>
    <row r="29196" hidden="1" x14ac:dyDescent="0.15"/>
    <row r="29197" hidden="1" x14ac:dyDescent="0.15"/>
    <row r="29198" hidden="1" x14ac:dyDescent="0.15"/>
    <row r="29199" hidden="1" x14ac:dyDescent="0.15"/>
    <row r="29200" hidden="1" x14ac:dyDescent="0.15"/>
    <row r="29201" hidden="1" x14ac:dyDescent="0.15"/>
    <row r="29202" hidden="1" x14ac:dyDescent="0.15"/>
    <row r="29203" hidden="1" x14ac:dyDescent="0.15"/>
    <row r="29204" hidden="1" x14ac:dyDescent="0.15"/>
    <row r="29205" hidden="1" x14ac:dyDescent="0.15"/>
    <row r="29206" hidden="1" x14ac:dyDescent="0.15"/>
    <row r="29207" hidden="1" x14ac:dyDescent="0.15"/>
    <row r="29208" hidden="1" x14ac:dyDescent="0.15"/>
    <row r="29209" hidden="1" x14ac:dyDescent="0.15"/>
    <row r="29210" hidden="1" x14ac:dyDescent="0.15"/>
    <row r="29211" hidden="1" x14ac:dyDescent="0.15"/>
    <row r="29212" hidden="1" x14ac:dyDescent="0.15"/>
    <row r="29213" hidden="1" x14ac:dyDescent="0.15"/>
    <row r="29214" hidden="1" x14ac:dyDescent="0.15"/>
    <row r="29215" hidden="1" x14ac:dyDescent="0.15"/>
    <row r="29216" hidden="1" x14ac:dyDescent="0.15"/>
    <row r="29217" hidden="1" x14ac:dyDescent="0.15"/>
    <row r="29218" hidden="1" x14ac:dyDescent="0.15"/>
    <row r="29219" hidden="1" x14ac:dyDescent="0.15"/>
    <row r="29220" hidden="1" x14ac:dyDescent="0.15"/>
    <row r="29221" hidden="1" x14ac:dyDescent="0.15"/>
    <row r="29222" hidden="1" x14ac:dyDescent="0.15"/>
    <row r="29223" hidden="1" x14ac:dyDescent="0.15"/>
    <row r="29224" hidden="1" x14ac:dyDescent="0.15"/>
    <row r="29225" hidden="1" x14ac:dyDescent="0.15"/>
    <row r="29226" hidden="1" x14ac:dyDescent="0.15"/>
    <row r="29227" hidden="1" x14ac:dyDescent="0.15"/>
    <row r="29228" hidden="1" x14ac:dyDescent="0.15"/>
    <row r="29229" hidden="1" x14ac:dyDescent="0.15"/>
    <row r="29230" hidden="1" x14ac:dyDescent="0.15"/>
    <row r="29231" hidden="1" x14ac:dyDescent="0.15"/>
    <row r="29232" hidden="1" x14ac:dyDescent="0.15"/>
    <row r="29233" hidden="1" x14ac:dyDescent="0.15"/>
    <row r="29234" hidden="1" x14ac:dyDescent="0.15"/>
    <row r="29235" hidden="1" x14ac:dyDescent="0.15"/>
    <row r="29236" hidden="1" x14ac:dyDescent="0.15"/>
    <row r="29237" hidden="1" x14ac:dyDescent="0.15"/>
    <row r="29238" hidden="1" x14ac:dyDescent="0.15"/>
    <row r="29239" hidden="1" x14ac:dyDescent="0.15"/>
    <row r="29240" hidden="1" x14ac:dyDescent="0.15"/>
    <row r="29241" hidden="1" x14ac:dyDescent="0.15"/>
    <row r="29242" hidden="1" x14ac:dyDescent="0.15"/>
    <row r="29243" hidden="1" x14ac:dyDescent="0.15"/>
    <row r="29244" hidden="1" x14ac:dyDescent="0.15"/>
    <row r="29245" hidden="1" x14ac:dyDescent="0.15"/>
    <row r="29246" hidden="1" x14ac:dyDescent="0.15"/>
    <row r="29247" hidden="1" x14ac:dyDescent="0.15"/>
    <row r="29248" hidden="1" x14ac:dyDescent="0.15"/>
    <row r="29249" hidden="1" x14ac:dyDescent="0.15"/>
    <row r="29250" hidden="1" x14ac:dyDescent="0.15"/>
    <row r="29251" hidden="1" x14ac:dyDescent="0.15"/>
    <row r="29252" hidden="1" x14ac:dyDescent="0.15"/>
    <row r="29253" hidden="1" x14ac:dyDescent="0.15"/>
    <row r="29254" hidden="1" x14ac:dyDescent="0.15"/>
    <row r="29255" hidden="1" x14ac:dyDescent="0.15"/>
    <row r="29256" hidden="1" x14ac:dyDescent="0.15"/>
    <row r="29257" hidden="1" x14ac:dyDescent="0.15"/>
    <row r="29258" hidden="1" x14ac:dyDescent="0.15"/>
    <row r="29259" hidden="1" x14ac:dyDescent="0.15"/>
    <row r="29260" hidden="1" x14ac:dyDescent="0.15"/>
    <row r="29261" hidden="1" x14ac:dyDescent="0.15"/>
    <row r="29262" hidden="1" x14ac:dyDescent="0.15"/>
    <row r="29263" hidden="1" x14ac:dyDescent="0.15"/>
    <row r="29264" hidden="1" x14ac:dyDescent="0.15"/>
    <row r="29265" hidden="1" x14ac:dyDescent="0.15"/>
    <row r="29266" hidden="1" x14ac:dyDescent="0.15"/>
    <row r="29267" hidden="1" x14ac:dyDescent="0.15"/>
    <row r="29268" hidden="1" x14ac:dyDescent="0.15"/>
    <row r="29269" hidden="1" x14ac:dyDescent="0.15"/>
    <row r="29270" hidden="1" x14ac:dyDescent="0.15"/>
    <row r="29271" hidden="1" x14ac:dyDescent="0.15"/>
    <row r="29272" hidden="1" x14ac:dyDescent="0.15"/>
    <row r="29273" hidden="1" x14ac:dyDescent="0.15"/>
    <row r="29274" hidden="1" x14ac:dyDescent="0.15"/>
    <row r="29275" hidden="1" x14ac:dyDescent="0.15"/>
    <row r="29276" hidden="1" x14ac:dyDescent="0.15"/>
    <row r="29277" hidden="1" x14ac:dyDescent="0.15"/>
    <row r="29278" hidden="1" x14ac:dyDescent="0.15"/>
    <row r="29279" hidden="1" x14ac:dyDescent="0.15"/>
    <row r="29280" hidden="1" x14ac:dyDescent="0.15"/>
    <row r="29281" hidden="1" x14ac:dyDescent="0.15"/>
    <row r="29282" hidden="1" x14ac:dyDescent="0.15"/>
    <row r="29283" hidden="1" x14ac:dyDescent="0.15"/>
    <row r="29284" hidden="1" x14ac:dyDescent="0.15"/>
    <row r="29285" hidden="1" x14ac:dyDescent="0.15"/>
    <row r="29286" hidden="1" x14ac:dyDescent="0.15"/>
    <row r="29287" hidden="1" x14ac:dyDescent="0.15"/>
    <row r="29288" hidden="1" x14ac:dyDescent="0.15"/>
    <row r="29289" hidden="1" x14ac:dyDescent="0.15"/>
    <row r="29290" hidden="1" x14ac:dyDescent="0.15"/>
    <row r="29291" hidden="1" x14ac:dyDescent="0.15"/>
    <row r="29292" hidden="1" x14ac:dyDescent="0.15"/>
    <row r="29293" hidden="1" x14ac:dyDescent="0.15"/>
    <row r="29294" hidden="1" x14ac:dyDescent="0.15"/>
    <row r="29295" hidden="1" x14ac:dyDescent="0.15"/>
    <row r="29296" hidden="1" x14ac:dyDescent="0.15"/>
    <row r="29297" hidden="1" x14ac:dyDescent="0.15"/>
    <row r="29298" hidden="1" x14ac:dyDescent="0.15"/>
    <row r="29299" hidden="1" x14ac:dyDescent="0.15"/>
    <row r="29300" hidden="1" x14ac:dyDescent="0.15"/>
    <row r="29301" hidden="1" x14ac:dyDescent="0.15"/>
    <row r="29302" hidden="1" x14ac:dyDescent="0.15"/>
    <row r="29303" hidden="1" x14ac:dyDescent="0.15"/>
    <row r="29304" hidden="1" x14ac:dyDescent="0.15"/>
    <row r="29305" hidden="1" x14ac:dyDescent="0.15"/>
    <row r="29306" hidden="1" x14ac:dyDescent="0.15"/>
    <row r="29307" hidden="1" x14ac:dyDescent="0.15"/>
    <row r="29308" hidden="1" x14ac:dyDescent="0.15"/>
    <row r="29309" hidden="1" x14ac:dyDescent="0.15"/>
    <row r="29310" hidden="1" x14ac:dyDescent="0.15"/>
    <row r="29311" hidden="1" x14ac:dyDescent="0.15"/>
    <row r="29312" hidden="1" x14ac:dyDescent="0.15"/>
    <row r="29313" hidden="1" x14ac:dyDescent="0.15"/>
    <row r="29314" hidden="1" x14ac:dyDescent="0.15"/>
    <row r="29315" hidden="1" x14ac:dyDescent="0.15"/>
    <row r="29316" hidden="1" x14ac:dyDescent="0.15"/>
    <row r="29317" hidden="1" x14ac:dyDescent="0.15"/>
    <row r="29318" hidden="1" x14ac:dyDescent="0.15"/>
    <row r="29319" hidden="1" x14ac:dyDescent="0.15"/>
    <row r="29320" hidden="1" x14ac:dyDescent="0.15"/>
    <row r="29321" hidden="1" x14ac:dyDescent="0.15"/>
    <row r="29322" hidden="1" x14ac:dyDescent="0.15"/>
    <row r="29323" hidden="1" x14ac:dyDescent="0.15"/>
    <row r="29324" hidden="1" x14ac:dyDescent="0.15"/>
    <row r="29325" hidden="1" x14ac:dyDescent="0.15"/>
    <row r="29326" hidden="1" x14ac:dyDescent="0.15"/>
    <row r="29327" hidden="1" x14ac:dyDescent="0.15"/>
    <row r="29328" hidden="1" x14ac:dyDescent="0.15"/>
    <row r="29329" hidden="1" x14ac:dyDescent="0.15"/>
    <row r="29330" hidden="1" x14ac:dyDescent="0.15"/>
    <row r="29331" hidden="1" x14ac:dyDescent="0.15"/>
    <row r="29332" hidden="1" x14ac:dyDescent="0.15"/>
    <row r="29333" hidden="1" x14ac:dyDescent="0.15"/>
    <row r="29334" hidden="1" x14ac:dyDescent="0.15"/>
    <row r="29335" hidden="1" x14ac:dyDescent="0.15"/>
    <row r="29336" hidden="1" x14ac:dyDescent="0.15"/>
    <row r="29337" hidden="1" x14ac:dyDescent="0.15"/>
    <row r="29338" hidden="1" x14ac:dyDescent="0.15"/>
    <row r="29339" hidden="1" x14ac:dyDescent="0.15"/>
    <row r="29340" hidden="1" x14ac:dyDescent="0.15"/>
    <row r="29341" hidden="1" x14ac:dyDescent="0.15"/>
    <row r="29342" hidden="1" x14ac:dyDescent="0.15"/>
    <row r="29343" hidden="1" x14ac:dyDescent="0.15"/>
    <row r="29344" hidden="1" x14ac:dyDescent="0.15"/>
    <row r="29345" hidden="1" x14ac:dyDescent="0.15"/>
    <row r="29346" hidden="1" x14ac:dyDescent="0.15"/>
    <row r="29347" hidden="1" x14ac:dyDescent="0.15"/>
    <row r="29348" hidden="1" x14ac:dyDescent="0.15"/>
    <row r="29349" hidden="1" x14ac:dyDescent="0.15"/>
    <row r="29350" hidden="1" x14ac:dyDescent="0.15"/>
    <row r="29351" hidden="1" x14ac:dyDescent="0.15"/>
    <row r="29352" hidden="1" x14ac:dyDescent="0.15"/>
    <row r="29353" hidden="1" x14ac:dyDescent="0.15"/>
    <row r="29354" hidden="1" x14ac:dyDescent="0.15"/>
    <row r="29355" hidden="1" x14ac:dyDescent="0.15"/>
    <row r="29356" hidden="1" x14ac:dyDescent="0.15"/>
    <row r="29357" hidden="1" x14ac:dyDescent="0.15"/>
    <row r="29358" hidden="1" x14ac:dyDescent="0.15"/>
    <row r="29359" hidden="1" x14ac:dyDescent="0.15"/>
    <row r="29360" hidden="1" x14ac:dyDescent="0.15"/>
    <row r="29361" hidden="1" x14ac:dyDescent="0.15"/>
    <row r="29362" hidden="1" x14ac:dyDescent="0.15"/>
    <row r="29363" hidden="1" x14ac:dyDescent="0.15"/>
    <row r="29364" hidden="1" x14ac:dyDescent="0.15"/>
    <row r="29365" hidden="1" x14ac:dyDescent="0.15"/>
    <row r="29366" hidden="1" x14ac:dyDescent="0.15"/>
    <row r="29367" hidden="1" x14ac:dyDescent="0.15"/>
    <row r="29368" hidden="1" x14ac:dyDescent="0.15"/>
    <row r="29369" hidden="1" x14ac:dyDescent="0.15"/>
    <row r="29370" hidden="1" x14ac:dyDescent="0.15"/>
    <row r="29371" hidden="1" x14ac:dyDescent="0.15"/>
    <row r="29372" hidden="1" x14ac:dyDescent="0.15"/>
    <row r="29373" hidden="1" x14ac:dyDescent="0.15"/>
    <row r="29374" hidden="1" x14ac:dyDescent="0.15"/>
    <row r="29375" hidden="1" x14ac:dyDescent="0.15"/>
    <row r="29376" hidden="1" x14ac:dyDescent="0.15"/>
    <row r="29377" hidden="1" x14ac:dyDescent="0.15"/>
    <row r="29378" hidden="1" x14ac:dyDescent="0.15"/>
    <row r="29379" hidden="1" x14ac:dyDescent="0.15"/>
    <row r="29380" hidden="1" x14ac:dyDescent="0.15"/>
    <row r="29381" hidden="1" x14ac:dyDescent="0.15"/>
    <row r="29382" hidden="1" x14ac:dyDescent="0.15"/>
    <row r="29383" hidden="1" x14ac:dyDescent="0.15"/>
    <row r="29384" hidden="1" x14ac:dyDescent="0.15"/>
    <row r="29385" hidden="1" x14ac:dyDescent="0.15"/>
    <row r="29386" hidden="1" x14ac:dyDescent="0.15"/>
    <row r="29387" hidden="1" x14ac:dyDescent="0.15"/>
    <row r="29388" hidden="1" x14ac:dyDescent="0.15"/>
    <row r="29389" hidden="1" x14ac:dyDescent="0.15"/>
    <row r="29390" hidden="1" x14ac:dyDescent="0.15"/>
    <row r="29391" hidden="1" x14ac:dyDescent="0.15"/>
    <row r="29392" hidden="1" x14ac:dyDescent="0.15"/>
    <row r="29393" hidden="1" x14ac:dyDescent="0.15"/>
    <row r="29394" hidden="1" x14ac:dyDescent="0.15"/>
    <row r="29395" hidden="1" x14ac:dyDescent="0.15"/>
    <row r="29396" hidden="1" x14ac:dyDescent="0.15"/>
    <row r="29397" hidden="1" x14ac:dyDescent="0.15"/>
    <row r="29398" hidden="1" x14ac:dyDescent="0.15"/>
    <row r="29399" hidden="1" x14ac:dyDescent="0.15"/>
    <row r="29400" hidden="1" x14ac:dyDescent="0.15"/>
    <row r="29401" hidden="1" x14ac:dyDescent="0.15"/>
    <row r="29402" hidden="1" x14ac:dyDescent="0.15"/>
    <row r="29403" hidden="1" x14ac:dyDescent="0.15"/>
    <row r="29404" hidden="1" x14ac:dyDescent="0.15"/>
    <row r="29405" hidden="1" x14ac:dyDescent="0.15"/>
    <row r="29406" hidden="1" x14ac:dyDescent="0.15"/>
    <row r="29407" hidden="1" x14ac:dyDescent="0.15"/>
    <row r="29408" hidden="1" x14ac:dyDescent="0.15"/>
    <row r="29409" hidden="1" x14ac:dyDescent="0.15"/>
    <row r="29410" hidden="1" x14ac:dyDescent="0.15"/>
    <row r="29411" hidden="1" x14ac:dyDescent="0.15"/>
    <row r="29412" hidden="1" x14ac:dyDescent="0.15"/>
    <row r="29413" hidden="1" x14ac:dyDescent="0.15"/>
    <row r="29414" hidden="1" x14ac:dyDescent="0.15"/>
    <row r="29415" hidden="1" x14ac:dyDescent="0.15"/>
    <row r="29416" hidden="1" x14ac:dyDescent="0.15"/>
    <row r="29417" hidden="1" x14ac:dyDescent="0.15"/>
    <row r="29418" hidden="1" x14ac:dyDescent="0.15"/>
    <row r="29419" hidden="1" x14ac:dyDescent="0.15"/>
    <row r="29420" hidden="1" x14ac:dyDescent="0.15"/>
    <row r="29421" hidden="1" x14ac:dyDescent="0.15"/>
    <row r="29422" hidden="1" x14ac:dyDescent="0.15"/>
    <row r="29423" hidden="1" x14ac:dyDescent="0.15"/>
    <row r="29424" hidden="1" x14ac:dyDescent="0.15"/>
    <row r="29425" hidden="1" x14ac:dyDescent="0.15"/>
    <row r="29426" hidden="1" x14ac:dyDescent="0.15"/>
    <row r="29427" hidden="1" x14ac:dyDescent="0.15"/>
    <row r="29428" hidden="1" x14ac:dyDescent="0.15"/>
    <row r="29429" hidden="1" x14ac:dyDescent="0.15"/>
    <row r="29430" hidden="1" x14ac:dyDescent="0.15"/>
    <row r="29431" hidden="1" x14ac:dyDescent="0.15"/>
    <row r="29432" hidden="1" x14ac:dyDescent="0.15"/>
    <row r="29433" hidden="1" x14ac:dyDescent="0.15"/>
    <row r="29434" hidden="1" x14ac:dyDescent="0.15"/>
    <row r="29435" hidden="1" x14ac:dyDescent="0.15"/>
    <row r="29436" hidden="1" x14ac:dyDescent="0.15"/>
    <row r="29437" hidden="1" x14ac:dyDescent="0.15"/>
    <row r="29438" hidden="1" x14ac:dyDescent="0.15"/>
    <row r="29439" hidden="1" x14ac:dyDescent="0.15"/>
    <row r="29440" hidden="1" x14ac:dyDescent="0.15"/>
    <row r="29441" hidden="1" x14ac:dyDescent="0.15"/>
    <row r="29442" hidden="1" x14ac:dyDescent="0.15"/>
    <row r="29443" hidden="1" x14ac:dyDescent="0.15"/>
    <row r="29444" hidden="1" x14ac:dyDescent="0.15"/>
    <row r="29445" hidden="1" x14ac:dyDescent="0.15"/>
    <row r="29446" hidden="1" x14ac:dyDescent="0.15"/>
    <row r="29447" hidden="1" x14ac:dyDescent="0.15"/>
    <row r="29448" hidden="1" x14ac:dyDescent="0.15"/>
    <row r="29449" hidden="1" x14ac:dyDescent="0.15"/>
    <row r="29450" hidden="1" x14ac:dyDescent="0.15"/>
    <row r="29451" hidden="1" x14ac:dyDescent="0.15"/>
    <row r="29452" hidden="1" x14ac:dyDescent="0.15"/>
    <row r="29453" hidden="1" x14ac:dyDescent="0.15"/>
    <row r="29454" hidden="1" x14ac:dyDescent="0.15"/>
    <row r="29455" hidden="1" x14ac:dyDescent="0.15"/>
    <row r="29456" hidden="1" x14ac:dyDescent="0.15"/>
    <row r="29457" hidden="1" x14ac:dyDescent="0.15"/>
    <row r="29458" hidden="1" x14ac:dyDescent="0.15"/>
    <row r="29459" hidden="1" x14ac:dyDescent="0.15"/>
    <row r="29460" hidden="1" x14ac:dyDescent="0.15"/>
    <row r="29461" hidden="1" x14ac:dyDescent="0.15"/>
    <row r="29462" hidden="1" x14ac:dyDescent="0.15"/>
    <row r="29463" hidden="1" x14ac:dyDescent="0.15"/>
    <row r="29464" hidden="1" x14ac:dyDescent="0.15"/>
    <row r="29465" hidden="1" x14ac:dyDescent="0.15"/>
    <row r="29466" hidden="1" x14ac:dyDescent="0.15"/>
    <row r="29467" hidden="1" x14ac:dyDescent="0.15"/>
    <row r="29468" hidden="1" x14ac:dyDescent="0.15"/>
    <row r="29469" hidden="1" x14ac:dyDescent="0.15"/>
    <row r="29470" hidden="1" x14ac:dyDescent="0.15"/>
    <row r="29471" hidden="1" x14ac:dyDescent="0.15"/>
    <row r="29472" hidden="1" x14ac:dyDescent="0.15"/>
    <row r="29473" hidden="1" x14ac:dyDescent="0.15"/>
    <row r="29474" hidden="1" x14ac:dyDescent="0.15"/>
    <row r="29475" hidden="1" x14ac:dyDescent="0.15"/>
    <row r="29476" hidden="1" x14ac:dyDescent="0.15"/>
    <row r="29477" hidden="1" x14ac:dyDescent="0.15"/>
    <row r="29478" hidden="1" x14ac:dyDescent="0.15"/>
    <row r="29479" hidden="1" x14ac:dyDescent="0.15"/>
    <row r="29480" hidden="1" x14ac:dyDescent="0.15"/>
    <row r="29481" hidden="1" x14ac:dyDescent="0.15"/>
    <row r="29482" hidden="1" x14ac:dyDescent="0.15"/>
    <row r="29483" hidden="1" x14ac:dyDescent="0.15"/>
    <row r="29484" hidden="1" x14ac:dyDescent="0.15"/>
    <row r="29485" hidden="1" x14ac:dyDescent="0.15"/>
    <row r="29486" hidden="1" x14ac:dyDescent="0.15"/>
    <row r="29487" hidden="1" x14ac:dyDescent="0.15"/>
    <row r="29488" hidden="1" x14ac:dyDescent="0.15"/>
    <row r="29489" hidden="1" x14ac:dyDescent="0.15"/>
    <row r="29490" hidden="1" x14ac:dyDescent="0.15"/>
    <row r="29491" hidden="1" x14ac:dyDescent="0.15"/>
    <row r="29492" hidden="1" x14ac:dyDescent="0.15"/>
    <row r="29493" hidden="1" x14ac:dyDescent="0.15"/>
    <row r="29494" hidden="1" x14ac:dyDescent="0.15"/>
    <row r="29495" hidden="1" x14ac:dyDescent="0.15"/>
    <row r="29496" hidden="1" x14ac:dyDescent="0.15"/>
    <row r="29497" hidden="1" x14ac:dyDescent="0.15"/>
    <row r="29498" hidden="1" x14ac:dyDescent="0.15"/>
    <row r="29499" hidden="1" x14ac:dyDescent="0.15"/>
    <row r="29500" hidden="1" x14ac:dyDescent="0.15"/>
    <row r="29501" hidden="1" x14ac:dyDescent="0.15"/>
    <row r="29502" hidden="1" x14ac:dyDescent="0.15"/>
    <row r="29503" hidden="1" x14ac:dyDescent="0.15"/>
    <row r="29504" hidden="1" x14ac:dyDescent="0.15"/>
    <row r="29505" hidden="1" x14ac:dyDescent="0.15"/>
    <row r="29506" hidden="1" x14ac:dyDescent="0.15"/>
    <row r="29507" hidden="1" x14ac:dyDescent="0.15"/>
    <row r="29508" hidden="1" x14ac:dyDescent="0.15"/>
    <row r="29509" hidden="1" x14ac:dyDescent="0.15"/>
    <row r="29510" hidden="1" x14ac:dyDescent="0.15"/>
    <row r="29511" hidden="1" x14ac:dyDescent="0.15"/>
    <row r="29512" hidden="1" x14ac:dyDescent="0.15"/>
    <row r="29513" hidden="1" x14ac:dyDescent="0.15"/>
    <row r="29514" hidden="1" x14ac:dyDescent="0.15"/>
    <row r="29515" hidden="1" x14ac:dyDescent="0.15"/>
    <row r="29516" hidden="1" x14ac:dyDescent="0.15"/>
    <row r="29517" hidden="1" x14ac:dyDescent="0.15"/>
    <row r="29518" hidden="1" x14ac:dyDescent="0.15"/>
    <row r="29519" hidden="1" x14ac:dyDescent="0.15"/>
    <row r="29520" hidden="1" x14ac:dyDescent="0.15"/>
    <row r="29521" hidden="1" x14ac:dyDescent="0.15"/>
    <row r="29522" hidden="1" x14ac:dyDescent="0.15"/>
    <row r="29523" hidden="1" x14ac:dyDescent="0.15"/>
    <row r="29524" hidden="1" x14ac:dyDescent="0.15"/>
    <row r="29525" hidden="1" x14ac:dyDescent="0.15"/>
    <row r="29526" hidden="1" x14ac:dyDescent="0.15"/>
    <row r="29527" hidden="1" x14ac:dyDescent="0.15"/>
    <row r="29528" hidden="1" x14ac:dyDescent="0.15"/>
    <row r="29529" hidden="1" x14ac:dyDescent="0.15"/>
    <row r="29530" hidden="1" x14ac:dyDescent="0.15"/>
    <row r="29531" hidden="1" x14ac:dyDescent="0.15"/>
    <row r="29532" hidden="1" x14ac:dyDescent="0.15"/>
    <row r="29533" hidden="1" x14ac:dyDescent="0.15"/>
    <row r="29534" hidden="1" x14ac:dyDescent="0.15"/>
    <row r="29535" hidden="1" x14ac:dyDescent="0.15"/>
    <row r="29536" hidden="1" x14ac:dyDescent="0.15"/>
    <row r="29537" hidden="1" x14ac:dyDescent="0.15"/>
    <row r="29538" hidden="1" x14ac:dyDescent="0.15"/>
    <row r="29539" hidden="1" x14ac:dyDescent="0.15"/>
    <row r="29540" hidden="1" x14ac:dyDescent="0.15"/>
    <row r="29541" hidden="1" x14ac:dyDescent="0.15"/>
    <row r="29542" hidden="1" x14ac:dyDescent="0.15"/>
    <row r="29543" hidden="1" x14ac:dyDescent="0.15"/>
    <row r="29544" hidden="1" x14ac:dyDescent="0.15"/>
    <row r="29545" hidden="1" x14ac:dyDescent="0.15"/>
    <row r="29546" hidden="1" x14ac:dyDescent="0.15"/>
    <row r="29547" hidden="1" x14ac:dyDescent="0.15"/>
    <row r="29548" hidden="1" x14ac:dyDescent="0.15"/>
    <row r="29549" hidden="1" x14ac:dyDescent="0.15"/>
    <row r="29550" hidden="1" x14ac:dyDescent="0.15"/>
    <row r="29551" hidden="1" x14ac:dyDescent="0.15"/>
    <row r="29552" hidden="1" x14ac:dyDescent="0.15"/>
    <row r="29553" hidden="1" x14ac:dyDescent="0.15"/>
    <row r="29554" hidden="1" x14ac:dyDescent="0.15"/>
    <row r="29555" hidden="1" x14ac:dyDescent="0.15"/>
    <row r="29556" hidden="1" x14ac:dyDescent="0.15"/>
    <row r="29557" hidden="1" x14ac:dyDescent="0.15"/>
    <row r="29558" hidden="1" x14ac:dyDescent="0.15"/>
    <row r="29559" hidden="1" x14ac:dyDescent="0.15"/>
    <row r="29560" hidden="1" x14ac:dyDescent="0.15"/>
    <row r="29561" hidden="1" x14ac:dyDescent="0.15"/>
    <row r="29562" hidden="1" x14ac:dyDescent="0.15"/>
    <row r="29563" hidden="1" x14ac:dyDescent="0.15"/>
    <row r="29564" hidden="1" x14ac:dyDescent="0.15"/>
    <row r="29565" hidden="1" x14ac:dyDescent="0.15"/>
    <row r="29566" hidden="1" x14ac:dyDescent="0.15"/>
    <row r="29567" hidden="1" x14ac:dyDescent="0.15"/>
    <row r="29568" hidden="1" x14ac:dyDescent="0.15"/>
    <row r="29569" hidden="1" x14ac:dyDescent="0.15"/>
    <row r="29570" hidden="1" x14ac:dyDescent="0.15"/>
    <row r="29571" hidden="1" x14ac:dyDescent="0.15"/>
    <row r="29572" hidden="1" x14ac:dyDescent="0.15"/>
    <row r="29573" hidden="1" x14ac:dyDescent="0.15"/>
    <row r="29574" hidden="1" x14ac:dyDescent="0.15"/>
    <row r="29575" hidden="1" x14ac:dyDescent="0.15"/>
    <row r="29576" hidden="1" x14ac:dyDescent="0.15"/>
    <row r="29577" hidden="1" x14ac:dyDescent="0.15"/>
    <row r="29578" hidden="1" x14ac:dyDescent="0.15"/>
    <row r="29579" hidden="1" x14ac:dyDescent="0.15"/>
    <row r="29580" hidden="1" x14ac:dyDescent="0.15"/>
    <row r="29581" hidden="1" x14ac:dyDescent="0.15"/>
    <row r="29582" hidden="1" x14ac:dyDescent="0.15"/>
    <row r="29583" hidden="1" x14ac:dyDescent="0.15"/>
    <row r="29584" hidden="1" x14ac:dyDescent="0.15"/>
    <row r="29585" hidden="1" x14ac:dyDescent="0.15"/>
    <row r="29586" hidden="1" x14ac:dyDescent="0.15"/>
    <row r="29587" hidden="1" x14ac:dyDescent="0.15"/>
    <row r="29588" hidden="1" x14ac:dyDescent="0.15"/>
    <row r="29589" hidden="1" x14ac:dyDescent="0.15"/>
    <row r="29590" hidden="1" x14ac:dyDescent="0.15"/>
    <row r="29591" hidden="1" x14ac:dyDescent="0.15"/>
    <row r="29592" hidden="1" x14ac:dyDescent="0.15"/>
    <row r="29593" hidden="1" x14ac:dyDescent="0.15"/>
    <row r="29594" hidden="1" x14ac:dyDescent="0.15"/>
    <row r="29595" hidden="1" x14ac:dyDescent="0.15"/>
    <row r="29596" hidden="1" x14ac:dyDescent="0.15"/>
    <row r="29597" hidden="1" x14ac:dyDescent="0.15"/>
    <row r="29598" hidden="1" x14ac:dyDescent="0.15"/>
    <row r="29599" hidden="1" x14ac:dyDescent="0.15"/>
    <row r="29600" hidden="1" x14ac:dyDescent="0.15"/>
    <row r="29601" hidden="1" x14ac:dyDescent="0.15"/>
    <row r="29602" hidden="1" x14ac:dyDescent="0.15"/>
    <row r="29603" hidden="1" x14ac:dyDescent="0.15"/>
    <row r="29604" hidden="1" x14ac:dyDescent="0.15"/>
    <row r="29605" hidden="1" x14ac:dyDescent="0.15"/>
    <row r="29606" hidden="1" x14ac:dyDescent="0.15"/>
    <row r="29607" hidden="1" x14ac:dyDescent="0.15"/>
    <row r="29608" hidden="1" x14ac:dyDescent="0.15"/>
    <row r="29609" hidden="1" x14ac:dyDescent="0.15"/>
    <row r="29610" hidden="1" x14ac:dyDescent="0.15"/>
    <row r="29611" hidden="1" x14ac:dyDescent="0.15"/>
    <row r="29612" hidden="1" x14ac:dyDescent="0.15"/>
    <row r="29613" hidden="1" x14ac:dyDescent="0.15"/>
    <row r="29614" hidden="1" x14ac:dyDescent="0.15"/>
    <row r="29615" hidden="1" x14ac:dyDescent="0.15"/>
    <row r="29616" hidden="1" x14ac:dyDescent="0.15"/>
    <row r="29617" hidden="1" x14ac:dyDescent="0.15"/>
    <row r="29618" hidden="1" x14ac:dyDescent="0.15"/>
    <row r="29619" hidden="1" x14ac:dyDescent="0.15"/>
    <row r="29620" hidden="1" x14ac:dyDescent="0.15"/>
    <row r="29621" hidden="1" x14ac:dyDescent="0.15"/>
    <row r="29622" hidden="1" x14ac:dyDescent="0.15"/>
    <row r="29623" hidden="1" x14ac:dyDescent="0.15"/>
    <row r="29624" hidden="1" x14ac:dyDescent="0.15"/>
    <row r="29625" hidden="1" x14ac:dyDescent="0.15"/>
    <row r="29626" hidden="1" x14ac:dyDescent="0.15"/>
    <row r="29627" hidden="1" x14ac:dyDescent="0.15"/>
    <row r="29628" hidden="1" x14ac:dyDescent="0.15"/>
    <row r="29629" hidden="1" x14ac:dyDescent="0.15"/>
    <row r="29630" hidden="1" x14ac:dyDescent="0.15"/>
    <row r="29631" hidden="1" x14ac:dyDescent="0.15"/>
    <row r="29632" hidden="1" x14ac:dyDescent="0.15"/>
    <row r="29633" hidden="1" x14ac:dyDescent="0.15"/>
    <row r="29634" hidden="1" x14ac:dyDescent="0.15"/>
    <row r="29635" hidden="1" x14ac:dyDescent="0.15"/>
    <row r="29636" hidden="1" x14ac:dyDescent="0.15"/>
    <row r="29637" hidden="1" x14ac:dyDescent="0.15"/>
    <row r="29638" hidden="1" x14ac:dyDescent="0.15"/>
    <row r="29639" hidden="1" x14ac:dyDescent="0.15"/>
    <row r="29640" hidden="1" x14ac:dyDescent="0.15"/>
    <row r="29641" hidden="1" x14ac:dyDescent="0.15"/>
    <row r="29642" hidden="1" x14ac:dyDescent="0.15"/>
    <row r="29643" hidden="1" x14ac:dyDescent="0.15"/>
    <row r="29644" hidden="1" x14ac:dyDescent="0.15"/>
    <row r="29645" hidden="1" x14ac:dyDescent="0.15"/>
    <row r="29646" hidden="1" x14ac:dyDescent="0.15"/>
    <row r="29647" hidden="1" x14ac:dyDescent="0.15"/>
    <row r="29648" hidden="1" x14ac:dyDescent="0.15"/>
    <row r="29649" hidden="1" x14ac:dyDescent="0.15"/>
    <row r="29650" hidden="1" x14ac:dyDescent="0.15"/>
    <row r="29651" hidden="1" x14ac:dyDescent="0.15"/>
    <row r="29652" hidden="1" x14ac:dyDescent="0.15"/>
    <row r="29653" hidden="1" x14ac:dyDescent="0.15"/>
    <row r="29654" hidden="1" x14ac:dyDescent="0.15"/>
    <row r="29655" hidden="1" x14ac:dyDescent="0.15"/>
    <row r="29656" hidden="1" x14ac:dyDescent="0.15"/>
    <row r="29657" hidden="1" x14ac:dyDescent="0.15"/>
    <row r="29658" hidden="1" x14ac:dyDescent="0.15"/>
    <row r="29659" hidden="1" x14ac:dyDescent="0.15"/>
    <row r="29660" hidden="1" x14ac:dyDescent="0.15"/>
    <row r="29661" hidden="1" x14ac:dyDescent="0.15"/>
    <row r="29662" hidden="1" x14ac:dyDescent="0.15"/>
    <row r="29663" hidden="1" x14ac:dyDescent="0.15"/>
    <row r="29664" hidden="1" x14ac:dyDescent="0.15"/>
    <row r="29665" hidden="1" x14ac:dyDescent="0.15"/>
    <row r="29666" hidden="1" x14ac:dyDescent="0.15"/>
    <row r="29667" hidden="1" x14ac:dyDescent="0.15"/>
    <row r="29668" hidden="1" x14ac:dyDescent="0.15"/>
    <row r="29669" hidden="1" x14ac:dyDescent="0.15"/>
    <row r="29670" hidden="1" x14ac:dyDescent="0.15"/>
    <row r="29671" hidden="1" x14ac:dyDescent="0.15"/>
    <row r="29672" hidden="1" x14ac:dyDescent="0.15"/>
    <row r="29673" hidden="1" x14ac:dyDescent="0.15"/>
    <row r="29674" hidden="1" x14ac:dyDescent="0.15"/>
    <row r="29675" hidden="1" x14ac:dyDescent="0.15"/>
    <row r="29676" hidden="1" x14ac:dyDescent="0.15"/>
    <row r="29677" hidden="1" x14ac:dyDescent="0.15"/>
    <row r="29678" hidden="1" x14ac:dyDescent="0.15"/>
    <row r="29679" hidden="1" x14ac:dyDescent="0.15"/>
    <row r="29680" hidden="1" x14ac:dyDescent="0.15"/>
    <row r="29681" hidden="1" x14ac:dyDescent="0.15"/>
    <row r="29682" hidden="1" x14ac:dyDescent="0.15"/>
    <row r="29683" hidden="1" x14ac:dyDescent="0.15"/>
    <row r="29684" hidden="1" x14ac:dyDescent="0.15"/>
    <row r="29685" hidden="1" x14ac:dyDescent="0.15"/>
    <row r="29686" hidden="1" x14ac:dyDescent="0.15"/>
    <row r="29687" hidden="1" x14ac:dyDescent="0.15"/>
    <row r="29688" hidden="1" x14ac:dyDescent="0.15"/>
    <row r="29689" hidden="1" x14ac:dyDescent="0.15"/>
    <row r="29690" hidden="1" x14ac:dyDescent="0.15"/>
    <row r="29691" hidden="1" x14ac:dyDescent="0.15"/>
    <row r="29692" hidden="1" x14ac:dyDescent="0.15"/>
    <row r="29693" hidden="1" x14ac:dyDescent="0.15"/>
    <row r="29694" hidden="1" x14ac:dyDescent="0.15"/>
    <row r="29695" hidden="1" x14ac:dyDescent="0.15"/>
    <row r="29696" hidden="1" x14ac:dyDescent="0.15"/>
    <row r="29697" hidden="1" x14ac:dyDescent="0.15"/>
    <row r="29698" hidden="1" x14ac:dyDescent="0.15"/>
    <row r="29699" hidden="1" x14ac:dyDescent="0.15"/>
    <row r="29700" hidden="1" x14ac:dyDescent="0.15"/>
    <row r="29701" hidden="1" x14ac:dyDescent="0.15"/>
    <row r="29702" hidden="1" x14ac:dyDescent="0.15"/>
    <row r="29703" hidden="1" x14ac:dyDescent="0.15"/>
    <row r="29704" hidden="1" x14ac:dyDescent="0.15"/>
    <row r="29705" hidden="1" x14ac:dyDescent="0.15"/>
    <row r="29706" hidden="1" x14ac:dyDescent="0.15"/>
    <row r="29707" hidden="1" x14ac:dyDescent="0.15"/>
    <row r="29708" hidden="1" x14ac:dyDescent="0.15"/>
    <row r="29709" hidden="1" x14ac:dyDescent="0.15"/>
    <row r="29710" hidden="1" x14ac:dyDescent="0.15"/>
    <row r="29711" hidden="1" x14ac:dyDescent="0.15"/>
    <row r="29712" hidden="1" x14ac:dyDescent="0.15"/>
    <row r="29713" hidden="1" x14ac:dyDescent="0.15"/>
    <row r="29714" hidden="1" x14ac:dyDescent="0.15"/>
    <row r="29715" hidden="1" x14ac:dyDescent="0.15"/>
    <row r="29716" hidden="1" x14ac:dyDescent="0.15"/>
    <row r="29717" hidden="1" x14ac:dyDescent="0.15"/>
    <row r="29718" hidden="1" x14ac:dyDescent="0.15"/>
    <row r="29719" hidden="1" x14ac:dyDescent="0.15"/>
    <row r="29720" hidden="1" x14ac:dyDescent="0.15"/>
    <row r="29721" hidden="1" x14ac:dyDescent="0.15"/>
    <row r="29722" hidden="1" x14ac:dyDescent="0.15"/>
    <row r="29723" hidden="1" x14ac:dyDescent="0.15"/>
    <row r="29724" hidden="1" x14ac:dyDescent="0.15"/>
    <row r="29725" hidden="1" x14ac:dyDescent="0.15"/>
    <row r="29726" hidden="1" x14ac:dyDescent="0.15"/>
    <row r="29727" hidden="1" x14ac:dyDescent="0.15"/>
    <row r="29728" hidden="1" x14ac:dyDescent="0.15"/>
    <row r="29729" hidden="1" x14ac:dyDescent="0.15"/>
    <row r="29730" hidden="1" x14ac:dyDescent="0.15"/>
    <row r="29731" hidden="1" x14ac:dyDescent="0.15"/>
    <row r="29732" hidden="1" x14ac:dyDescent="0.15"/>
    <row r="29733" hidden="1" x14ac:dyDescent="0.15"/>
    <row r="29734" hidden="1" x14ac:dyDescent="0.15"/>
    <row r="29735" hidden="1" x14ac:dyDescent="0.15"/>
    <row r="29736" hidden="1" x14ac:dyDescent="0.15"/>
    <row r="29737" hidden="1" x14ac:dyDescent="0.15"/>
    <row r="29738" hidden="1" x14ac:dyDescent="0.15"/>
    <row r="29739" hidden="1" x14ac:dyDescent="0.15"/>
    <row r="29740" hidden="1" x14ac:dyDescent="0.15"/>
    <row r="29741" hidden="1" x14ac:dyDescent="0.15"/>
    <row r="29742" hidden="1" x14ac:dyDescent="0.15"/>
    <row r="29743" hidden="1" x14ac:dyDescent="0.15"/>
    <row r="29744" hidden="1" x14ac:dyDescent="0.15"/>
    <row r="29745" hidden="1" x14ac:dyDescent="0.15"/>
    <row r="29746" hidden="1" x14ac:dyDescent="0.15"/>
    <row r="29747" hidden="1" x14ac:dyDescent="0.15"/>
    <row r="29748" hidden="1" x14ac:dyDescent="0.15"/>
    <row r="29749" hidden="1" x14ac:dyDescent="0.15"/>
    <row r="29750" hidden="1" x14ac:dyDescent="0.15"/>
    <row r="29751" hidden="1" x14ac:dyDescent="0.15"/>
    <row r="29752" hidden="1" x14ac:dyDescent="0.15"/>
    <row r="29753" hidden="1" x14ac:dyDescent="0.15"/>
    <row r="29754" hidden="1" x14ac:dyDescent="0.15"/>
    <row r="29755" hidden="1" x14ac:dyDescent="0.15"/>
    <row r="29756" hidden="1" x14ac:dyDescent="0.15"/>
    <row r="29757" hidden="1" x14ac:dyDescent="0.15"/>
    <row r="29758" hidden="1" x14ac:dyDescent="0.15"/>
    <row r="29759" hidden="1" x14ac:dyDescent="0.15"/>
    <row r="29760" hidden="1" x14ac:dyDescent="0.15"/>
    <row r="29761" hidden="1" x14ac:dyDescent="0.15"/>
    <row r="29762" hidden="1" x14ac:dyDescent="0.15"/>
    <row r="29763" hidden="1" x14ac:dyDescent="0.15"/>
    <row r="29764" hidden="1" x14ac:dyDescent="0.15"/>
    <row r="29765" hidden="1" x14ac:dyDescent="0.15"/>
    <row r="29766" hidden="1" x14ac:dyDescent="0.15"/>
    <row r="29767" hidden="1" x14ac:dyDescent="0.15"/>
    <row r="29768" hidden="1" x14ac:dyDescent="0.15"/>
    <row r="29769" hidden="1" x14ac:dyDescent="0.15"/>
    <row r="29770" hidden="1" x14ac:dyDescent="0.15"/>
    <row r="29771" hidden="1" x14ac:dyDescent="0.15"/>
    <row r="29772" hidden="1" x14ac:dyDescent="0.15"/>
    <row r="29773" hidden="1" x14ac:dyDescent="0.15"/>
    <row r="29774" hidden="1" x14ac:dyDescent="0.15"/>
    <row r="29775" hidden="1" x14ac:dyDescent="0.15"/>
    <row r="29776" hidden="1" x14ac:dyDescent="0.15"/>
    <row r="29777" hidden="1" x14ac:dyDescent="0.15"/>
    <row r="29778" hidden="1" x14ac:dyDescent="0.15"/>
    <row r="29779" hidden="1" x14ac:dyDescent="0.15"/>
    <row r="29780" hidden="1" x14ac:dyDescent="0.15"/>
    <row r="29781" hidden="1" x14ac:dyDescent="0.15"/>
    <row r="29782" hidden="1" x14ac:dyDescent="0.15"/>
    <row r="29783" hidden="1" x14ac:dyDescent="0.15"/>
    <row r="29784" hidden="1" x14ac:dyDescent="0.15"/>
    <row r="29785" hidden="1" x14ac:dyDescent="0.15"/>
    <row r="29786" hidden="1" x14ac:dyDescent="0.15"/>
    <row r="29787" hidden="1" x14ac:dyDescent="0.15"/>
    <row r="29788" hidden="1" x14ac:dyDescent="0.15"/>
    <row r="29789" hidden="1" x14ac:dyDescent="0.15"/>
    <row r="29790" hidden="1" x14ac:dyDescent="0.15"/>
    <row r="29791" hidden="1" x14ac:dyDescent="0.15"/>
    <row r="29792" hidden="1" x14ac:dyDescent="0.15"/>
    <row r="29793" hidden="1" x14ac:dyDescent="0.15"/>
    <row r="29794" hidden="1" x14ac:dyDescent="0.15"/>
    <row r="29795" hidden="1" x14ac:dyDescent="0.15"/>
    <row r="29796" hidden="1" x14ac:dyDescent="0.15"/>
    <row r="29797" hidden="1" x14ac:dyDescent="0.15"/>
    <row r="29798" hidden="1" x14ac:dyDescent="0.15"/>
    <row r="29799" hidden="1" x14ac:dyDescent="0.15"/>
    <row r="29800" hidden="1" x14ac:dyDescent="0.15"/>
    <row r="29801" hidden="1" x14ac:dyDescent="0.15"/>
    <row r="29802" hidden="1" x14ac:dyDescent="0.15"/>
    <row r="29803" hidden="1" x14ac:dyDescent="0.15"/>
    <row r="29804" hidden="1" x14ac:dyDescent="0.15"/>
    <row r="29805" hidden="1" x14ac:dyDescent="0.15"/>
    <row r="29806" hidden="1" x14ac:dyDescent="0.15"/>
    <row r="29807" hidden="1" x14ac:dyDescent="0.15"/>
    <row r="29808" hidden="1" x14ac:dyDescent="0.15"/>
    <row r="29809" hidden="1" x14ac:dyDescent="0.15"/>
    <row r="29810" hidden="1" x14ac:dyDescent="0.15"/>
    <row r="29811" hidden="1" x14ac:dyDescent="0.15"/>
    <row r="29812" hidden="1" x14ac:dyDescent="0.15"/>
    <row r="29813" hidden="1" x14ac:dyDescent="0.15"/>
    <row r="29814" hidden="1" x14ac:dyDescent="0.15"/>
    <row r="29815" hidden="1" x14ac:dyDescent="0.15"/>
    <row r="29816" hidden="1" x14ac:dyDescent="0.15"/>
    <row r="29817" hidden="1" x14ac:dyDescent="0.15"/>
    <row r="29818" hidden="1" x14ac:dyDescent="0.15"/>
    <row r="29819" hidden="1" x14ac:dyDescent="0.15"/>
    <row r="29820" hidden="1" x14ac:dyDescent="0.15"/>
    <row r="29821" hidden="1" x14ac:dyDescent="0.15"/>
    <row r="29822" hidden="1" x14ac:dyDescent="0.15"/>
    <row r="29823" hidden="1" x14ac:dyDescent="0.15"/>
    <row r="29824" hidden="1" x14ac:dyDescent="0.15"/>
    <row r="29825" hidden="1" x14ac:dyDescent="0.15"/>
    <row r="29826" hidden="1" x14ac:dyDescent="0.15"/>
    <row r="29827" hidden="1" x14ac:dyDescent="0.15"/>
    <row r="29828" hidden="1" x14ac:dyDescent="0.15"/>
    <row r="29829" hidden="1" x14ac:dyDescent="0.15"/>
    <row r="29830" hidden="1" x14ac:dyDescent="0.15"/>
    <row r="29831" hidden="1" x14ac:dyDescent="0.15"/>
    <row r="29832" hidden="1" x14ac:dyDescent="0.15"/>
    <row r="29833" hidden="1" x14ac:dyDescent="0.15"/>
    <row r="29834" hidden="1" x14ac:dyDescent="0.15"/>
    <row r="29835" hidden="1" x14ac:dyDescent="0.15"/>
    <row r="29836" hidden="1" x14ac:dyDescent="0.15"/>
    <row r="29837" hidden="1" x14ac:dyDescent="0.15"/>
    <row r="29838" hidden="1" x14ac:dyDescent="0.15"/>
    <row r="29839" hidden="1" x14ac:dyDescent="0.15"/>
    <row r="29840" hidden="1" x14ac:dyDescent="0.15"/>
    <row r="29841" hidden="1" x14ac:dyDescent="0.15"/>
    <row r="29842" hidden="1" x14ac:dyDescent="0.15"/>
    <row r="29843" hidden="1" x14ac:dyDescent="0.15"/>
    <row r="29844" hidden="1" x14ac:dyDescent="0.15"/>
    <row r="29845" hidden="1" x14ac:dyDescent="0.15"/>
    <row r="29846" hidden="1" x14ac:dyDescent="0.15"/>
    <row r="29847" hidden="1" x14ac:dyDescent="0.15"/>
    <row r="29848" hidden="1" x14ac:dyDescent="0.15"/>
    <row r="29849" hidden="1" x14ac:dyDescent="0.15"/>
    <row r="29850" hidden="1" x14ac:dyDescent="0.15"/>
    <row r="29851" hidden="1" x14ac:dyDescent="0.15"/>
    <row r="29852" hidden="1" x14ac:dyDescent="0.15"/>
    <row r="29853" hidden="1" x14ac:dyDescent="0.15"/>
    <row r="29854" hidden="1" x14ac:dyDescent="0.15"/>
    <row r="29855" hidden="1" x14ac:dyDescent="0.15"/>
    <row r="29856" hidden="1" x14ac:dyDescent="0.15"/>
    <row r="29857" hidden="1" x14ac:dyDescent="0.15"/>
    <row r="29858" hidden="1" x14ac:dyDescent="0.15"/>
    <row r="29859" hidden="1" x14ac:dyDescent="0.15"/>
    <row r="29860" hidden="1" x14ac:dyDescent="0.15"/>
    <row r="29861" hidden="1" x14ac:dyDescent="0.15"/>
    <row r="29862" hidden="1" x14ac:dyDescent="0.15"/>
    <row r="29863" hidden="1" x14ac:dyDescent="0.15"/>
    <row r="29864" hidden="1" x14ac:dyDescent="0.15"/>
    <row r="29865" hidden="1" x14ac:dyDescent="0.15"/>
    <row r="29866" hidden="1" x14ac:dyDescent="0.15"/>
    <row r="29867" hidden="1" x14ac:dyDescent="0.15"/>
    <row r="29868" hidden="1" x14ac:dyDescent="0.15"/>
    <row r="29869" hidden="1" x14ac:dyDescent="0.15"/>
    <row r="29870" hidden="1" x14ac:dyDescent="0.15"/>
    <row r="29871" hidden="1" x14ac:dyDescent="0.15"/>
    <row r="29872" hidden="1" x14ac:dyDescent="0.15"/>
    <row r="29873" hidden="1" x14ac:dyDescent="0.15"/>
    <row r="29874" hidden="1" x14ac:dyDescent="0.15"/>
    <row r="29875" hidden="1" x14ac:dyDescent="0.15"/>
    <row r="29876" hidden="1" x14ac:dyDescent="0.15"/>
    <row r="29877" hidden="1" x14ac:dyDescent="0.15"/>
    <row r="29878" hidden="1" x14ac:dyDescent="0.15"/>
    <row r="29879" hidden="1" x14ac:dyDescent="0.15"/>
    <row r="29880" hidden="1" x14ac:dyDescent="0.15"/>
    <row r="29881" hidden="1" x14ac:dyDescent="0.15"/>
    <row r="29882" hidden="1" x14ac:dyDescent="0.15"/>
    <row r="29883" hidden="1" x14ac:dyDescent="0.15"/>
    <row r="29884" hidden="1" x14ac:dyDescent="0.15"/>
    <row r="29885" hidden="1" x14ac:dyDescent="0.15"/>
    <row r="29886" hidden="1" x14ac:dyDescent="0.15"/>
    <row r="29887" hidden="1" x14ac:dyDescent="0.15"/>
    <row r="29888" hidden="1" x14ac:dyDescent="0.15"/>
    <row r="29889" hidden="1" x14ac:dyDescent="0.15"/>
    <row r="29890" hidden="1" x14ac:dyDescent="0.15"/>
    <row r="29891" hidden="1" x14ac:dyDescent="0.15"/>
    <row r="29892" hidden="1" x14ac:dyDescent="0.15"/>
    <row r="29893" hidden="1" x14ac:dyDescent="0.15"/>
    <row r="29894" hidden="1" x14ac:dyDescent="0.15"/>
    <row r="29895" hidden="1" x14ac:dyDescent="0.15"/>
    <row r="29896" hidden="1" x14ac:dyDescent="0.15"/>
    <row r="29897" hidden="1" x14ac:dyDescent="0.15"/>
    <row r="29898" hidden="1" x14ac:dyDescent="0.15"/>
    <row r="29899" hidden="1" x14ac:dyDescent="0.15"/>
    <row r="29900" hidden="1" x14ac:dyDescent="0.15"/>
    <row r="29901" hidden="1" x14ac:dyDescent="0.15"/>
    <row r="29902" hidden="1" x14ac:dyDescent="0.15"/>
    <row r="29903" hidden="1" x14ac:dyDescent="0.15"/>
    <row r="29904" hidden="1" x14ac:dyDescent="0.15"/>
    <row r="29905" hidden="1" x14ac:dyDescent="0.15"/>
    <row r="29906" hidden="1" x14ac:dyDescent="0.15"/>
    <row r="29907" hidden="1" x14ac:dyDescent="0.15"/>
    <row r="29908" hidden="1" x14ac:dyDescent="0.15"/>
    <row r="29909" hidden="1" x14ac:dyDescent="0.15"/>
    <row r="29910" hidden="1" x14ac:dyDescent="0.15"/>
    <row r="29911" hidden="1" x14ac:dyDescent="0.15"/>
    <row r="29912" hidden="1" x14ac:dyDescent="0.15"/>
    <row r="29913" hidden="1" x14ac:dyDescent="0.15"/>
    <row r="29914" hidden="1" x14ac:dyDescent="0.15"/>
    <row r="29915" hidden="1" x14ac:dyDescent="0.15"/>
    <row r="29916" hidden="1" x14ac:dyDescent="0.15"/>
    <row r="29917" hidden="1" x14ac:dyDescent="0.15"/>
    <row r="29918" hidden="1" x14ac:dyDescent="0.15"/>
    <row r="29919" hidden="1" x14ac:dyDescent="0.15"/>
    <row r="29920" hidden="1" x14ac:dyDescent="0.15"/>
    <row r="29921" hidden="1" x14ac:dyDescent="0.15"/>
    <row r="29922" hidden="1" x14ac:dyDescent="0.15"/>
    <row r="29923" hidden="1" x14ac:dyDescent="0.15"/>
    <row r="29924" hidden="1" x14ac:dyDescent="0.15"/>
    <row r="29925" hidden="1" x14ac:dyDescent="0.15"/>
    <row r="29926" hidden="1" x14ac:dyDescent="0.15"/>
    <row r="29927" hidden="1" x14ac:dyDescent="0.15"/>
    <row r="29928" hidden="1" x14ac:dyDescent="0.15"/>
    <row r="29929" hidden="1" x14ac:dyDescent="0.15"/>
    <row r="29930" hidden="1" x14ac:dyDescent="0.15"/>
    <row r="29931" hidden="1" x14ac:dyDescent="0.15"/>
    <row r="29932" hidden="1" x14ac:dyDescent="0.15"/>
    <row r="29933" hidden="1" x14ac:dyDescent="0.15"/>
    <row r="29934" hidden="1" x14ac:dyDescent="0.15"/>
    <row r="29935" hidden="1" x14ac:dyDescent="0.15"/>
    <row r="29936" hidden="1" x14ac:dyDescent="0.15"/>
    <row r="29937" hidden="1" x14ac:dyDescent="0.15"/>
    <row r="29938" hidden="1" x14ac:dyDescent="0.15"/>
    <row r="29939" hidden="1" x14ac:dyDescent="0.15"/>
    <row r="29940" hidden="1" x14ac:dyDescent="0.15"/>
    <row r="29941" hidden="1" x14ac:dyDescent="0.15"/>
    <row r="29942" hidden="1" x14ac:dyDescent="0.15"/>
    <row r="29943" hidden="1" x14ac:dyDescent="0.15"/>
    <row r="29944" hidden="1" x14ac:dyDescent="0.15"/>
    <row r="29945" hidden="1" x14ac:dyDescent="0.15"/>
    <row r="29946" hidden="1" x14ac:dyDescent="0.15"/>
    <row r="29947" hidden="1" x14ac:dyDescent="0.15"/>
    <row r="29948" hidden="1" x14ac:dyDescent="0.15"/>
    <row r="29949" hidden="1" x14ac:dyDescent="0.15"/>
    <row r="29950" hidden="1" x14ac:dyDescent="0.15"/>
    <row r="29951" hidden="1" x14ac:dyDescent="0.15"/>
    <row r="29952" hidden="1" x14ac:dyDescent="0.15"/>
    <row r="29953" hidden="1" x14ac:dyDescent="0.15"/>
    <row r="29954" hidden="1" x14ac:dyDescent="0.15"/>
    <row r="29955" hidden="1" x14ac:dyDescent="0.15"/>
    <row r="29956" hidden="1" x14ac:dyDescent="0.15"/>
    <row r="29957" hidden="1" x14ac:dyDescent="0.15"/>
    <row r="29958" hidden="1" x14ac:dyDescent="0.15"/>
    <row r="29959" hidden="1" x14ac:dyDescent="0.15"/>
    <row r="29960" hidden="1" x14ac:dyDescent="0.15"/>
    <row r="29961" hidden="1" x14ac:dyDescent="0.15"/>
    <row r="29962" hidden="1" x14ac:dyDescent="0.15"/>
    <row r="29963" hidden="1" x14ac:dyDescent="0.15"/>
    <row r="29964" hidden="1" x14ac:dyDescent="0.15"/>
    <row r="29965" hidden="1" x14ac:dyDescent="0.15"/>
    <row r="29966" hidden="1" x14ac:dyDescent="0.15"/>
    <row r="29967" hidden="1" x14ac:dyDescent="0.15"/>
    <row r="29968" hidden="1" x14ac:dyDescent="0.15"/>
    <row r="29969" hidden="1" x14ac:dyDescent="0.15"/>
    <row r="29970" hidden="1" x14ac:dyDescent="0.15"/>
    <row r="29971" hidden="1" x14ac:dyDescent="0.15"/>
    <row r="29972" hidden="1" x14ac:dyDescent="0.15"/>
    <row r="29973" hidden="1" x14ac:dyDescent="0.15"/>
    <row r="29974" hidden="1" x14ac:dyDescent="0.15"/>
    <row r="29975" hidden="1" x14ac:dyDescent="0.15"/>
    <row r="29976" hidden="1" x14ac:dyDescent="0.15"/>
    <row r="29977" hidden="1" x14ac:dyDescent="0.15"/>
    <row r="29978" hidden="1" x14ac:dyDescent="0.15"/>
    <row r="29979" hidden="1" x14ac:dyDescent="0.15"/>
    <row r="29980" hidden="1" x14ac:dyDescent="0.15"/>
    <row r="29981" hidden="1" x14ac:dyDescent="0.15"/>
    <row r="29982" hidden="1" x14ac:dyDescent="0.15"/>
    <row r="29983" hidden="1" x14ac:dyDescent="0.15"/>
    <row r="29984" hidden="1" x14ac:dyDescent="0.15"/>
    <row r="29985" hidden="1" x14ac:dyDescent="0.15"/>
    <row r="29986" hidden="1" x14ac:dyDescent="0.15"/>
    <row r="29987" hidden="1" x14ac:dyDescent="0.15"/>
    <row r="29988" hidden="1" x14ac:dyDescent="0.15"/>
    <row r="29989" hidden="1" x14ac:dyDescent="0.15"/>
    <row r="29990" hidden="1" x14ac:dyDescent="0.15"/>
    <row r="29991" hidden="1" x14ac:dyDescent="0.15"/>
    <row r="29992" hidden="1" x14ac:dyDescent="0.15"/>
    <row r="29993" hidden="1" x14ac:dyDescent="0.15"/>
    <row r="29994" hidden="1" x14ac:dyDescent="0.15"/>
    <row r="29995" hidden="1" x14ac:dyDescent="0.15"/>
    <row r="29996" hidden="1" x14ac:dyDescent="0.15"/>
    <row r="29997" hidden="1" x14ac:dyDescent="0.15"/>
    <row r="29998" hidden="1" x14ac:dyDescent="0.15"/>
    <row r="29999" hidden="1" x14ac:dyDescent="0.15"/>
    <row r="30000" hidden="1" x14ac:dyDescent="0.15"/>
    <row r="30001" hidden="1" x14ac:dyDescent="0.15"/>
    <row r="30002" hidden="1" x14ac:dyDescent="0.15"/>
    <row r="30003" hidden="1" x14ac:dyDescent="0.15"/>
    <row r="30004" hidden="1" x14ac:dyDescent="0.15"/>
    <row r="30005" hidden="1" x14ac:dyDescent="0.15"/>
    <row r="30006" hidden="1" x14ac:dyDescent="0.15"/>
    <row r="30007" hidden="1" x14ac:dyDescent="0.15"/>
    <row r="30008" hidden="1" x14ac:dyDescent="0.15"/>
    <row r="30009" hidden="1" x14ac:dyDescent="0.15"/>
    <row r="30010" hidden="1" x14ac:dyDescent="0.15"/>
    <row r="30011" hidden="1" x14ac:dyDescent="0.15"/>
    <row r="30012" hidden="1" x14ac:dyDescent="0.15"/>
    <row r="30013" hidden="1" x14ac:dyDescent="0.15"/>
    <row r="30014" hidden="1" x14ac:dyDescent="0.15"/>
    <row r="30015" hidden="1" x14ac:dyDescent="0.15"/>
    <row r="30016" hidden="1" x14ac:dyDescent="0.15"/>
    <row r="30017" hidden="1" x14ac:dyDescent="0.15"/>
    <row r="30018" hidden="1" x14ac:dyDescent="0.15"/>
    <row r="30019" hidden="1" x14ac:dyDescent="0.15"/>
    <row r="30020" hidden="1" x14ac:dyDescent="0.15"/>
    <row r="30021" hidden="1" x14ac:dyDescent="0.15"/>
    <row r="30022" hidden="1" x14ac:dyDescent="0.15"/>
    <row r="30023" hidden="1" x14ac:dyDescent="0.15"/>
    <row r="30024" hidden="1" x14ac:dyDescent="0.15"/>
    <row r="30025" hidden="1" x14ac:dyDescent="0.15"/>
    <row r="30026" hidden="1" x14ac:dyDescent="0.15"/>
    <row r="30027" hidden="1" x14ac:dyDescent="0.15"/>
    <row r="30028" hidden="1" x14ac:dyDescent="0.15"/>
    <row r="30029" hidden="1" x14ac:dyDescent="0.15"/>
    <row r="30030" hidden="1" x14ac:dyDescent="0.15"/>
    <row r="30031" hidden="1" x14ac:dyDescent="0.15"/>
    <row r="30032" hidden="1" x14ac:dyDescent="0.15"/>
    <row r="30033" hidden="1" x14ac:dyDescent="0.15"/>
    <row r="30034" hidden="1" x14ac:dyDescent="0.15"/>
    <row r="30035" hidden="1" x14ac:dyDescent="0.15"/>
    <row r="30036" hidden="1" x14ac:dyDescent="0.15"/>
    <row r="30037" hidden="1" x14ac:dyDescent="0.15"/>
    <row r="30038" hidden="1" x14ac:dyDescent="0.15"/>
    <row r="30039" hidden="1" x14ac:dyDescent="0.15"/>
    <row r="30040" hidden="1" x14ac:dyDescent="0.15"/>
    <row r="30041" hidden="1" x14ac:dyDescent="0.15"/>
    <row r="30042" hidden="1" x14ac:dyDescent="0.15"/>
    <row r="30043" hidden="1" x14ac:dyDescent="0.15"/>
    <row r="30044" hidden="1" x14ac:dyDescent="0.15"/>
    <row r="30045" hidden="1" x14ac:dyDescent="0.15"/>
    <row r="30046" hidden="1" x14ac:dyDescent="0.15"/>
    <row r="30047" hidden="1" x14ac:dyDescent="0.15"/>
    <row r="30048" hidden="1" x14ac:dyDescent="0.15"/>
    <row r="30049" hidden="1" x14ac:dyDescent="0.15"/>
    <row r="30050" hidden="1" x14ac:dyDescent="0.15"/>
    <row r="30051" hidden="1" x14ac:dyDescent="0.15"/>
    <row r="30052" hidden="1" x14ac:dyDescent="0.15"/>
    <row r="30053" hidden="1" x14ac:dyDescent="0.15"/>
    <row r="30054" hidden="1" x14ac:dyDescent="0.15"/>
    <row r="30055" hidden="1" x14ac:dyDescent="0.15"/>
    <row r="30056" hidden="1" x14ac:dyDescent="0.15"/>
    <row r="30057" hidden="1" x14ac:dyDescent="0.15"/>
    <row r="30058" hidden="1" x14ac:dyDescent="0.15"/>
    <row r="30059" hidden="1" x14ac:dyDescent="0.15"/>
    <row r="30060" hidden="1" x14ac:dyDescent="0.15"/>
    <row r="30061" hidden="1" x14ac:dyDescent="0.15"/>
    <row r="30062" hidden="1" x14ac:dyDescent="0.15"/>
    <row r="30063" hidden="1" x14ac:dyDescent="0.15"/>
    <row r="30064" hidden="1" x14ac:dyDescent="0.15"/>
    <row r="30065" hidden="1" x14ac:dyDescent="0.15"/>
    <row r="30066" hidden="1" x14ac:dyDescent="0.15"/>
    <row r="30067" hidden="1" x14ac:dyDescent="0.15"/>
    <row r="30068" hidden="1" x14ac:dyDescent="0.15"/>
    <row r="30069" hidden="1" x14ac:dyDescent="0.15"/>
    <row r="30070" hidden="1" x14ac:dyDescent="0.15"/>
    <row r="30071" hidden="1" x14ac:dyDescent="0.15"/>
    <row r="30072" hidden="1" x14ac:dyDescent="0.15"/>
    <row r="30073" hidden="1" x14ac:dyDescent="0.15"/>
    <row r="30074" hidden="1" x14ac:dyDescent="0.15"/>
    <row r="30075" hidden="1" x14ac:dyDescent="0.15"/>
    <row r="30076" hidden="1" x14ac:dyDescent="0.15"/>
    <row r="30077" hidden="1" x14ac:dyDescent="0.15"/>
    <row r="30078" hidden="1" x14ac:dyDescent="0.15"/>
    <row r="30079" hidden="1" x14ac:dyDescent="0.15"/>
    <row r="30080" hidden="1" x14ac:dyDescent="0.15"/>
    <row r="30081" hidden="1" x14ac:dyDescent="0.15"/>
    <row r="30082" hidden="1" x14ac:dyDescent="0.15"/>
    <row r="30083" hidden="1" x14ac:dyDescent="0.15"/>
    <row r="30084" hidden="1" x14ac:dyDescent="0.15"/>
    <row r="30085" hidden="1" x14ac:dyDescent="0.15"/>
    <row r="30086" hidden="1" x14ac:dyDescent="0.15"/>
    <row r="30087" hidden="1" x14ac:dyDescent="0.15"/>
    <row r="30088" hidden="1" x14ac:dyDescent="0.15"/>
    <row r="30089" hidden="1" x14ac:dyDescent="0.15"/>
    <row r="30090" hidden="1" x14ac:dyDescent="0.15"/>
    <row r="30091" hidden="1" x14ac:dyDescent="0.15"/>
    <row r="30092" hidden="1" x14ac:dyDescent="0.15"/>
    <row r="30093" hidden="1" x14ac:dyDescent="0.15"/>
    <row r="30094" hidden="1" x14ac:dyDescent="0.15"/>
    <row r="30095" hidden="1" x14ac:dyDescent="0.15"/>
    <row r="30096" hidden="1" x14ac:dyDescent="0.15"/>
    <row r="30097" hidden="1" x14ac:dyDescent="0.15"/>
    <row r="30098" hidden="1" x14ac:dyDescent="0.15"/>
    <row r="30099" hidden="1" x14ac:dyDescent="0.15"/>
    <row r="30100" hidden="1" x14ac:dyDescent="0.15"/>
    <row r="30101" hidden="1" x14ac:dyDescent="0.15"/>
    <row r="30102" hidden="1" x14ac:dyDescent="0.15"/>
    <row r="30103" hidden="1" x14ac:dyDescent="0.15"/>
    <row r="30104" hidden="1" x14ac:dyDescent="0.15"/>
    <row r="30105" hidden="1" x14ac:dyDescent="0.15"/>
    <row r="30106" hidden="1" x14ac:dyDescent="0.15"/>
    <row r="30107" hidden="1" x14ac:dyDescent="0.15"/>
    <row r="30108" hidden="1" x14ac:dyDescent="0.15"/>
    <row r="30109" hidden="1" x14ac:dyDescent="0.15"/>
    <row r="30110" hidden="1" x14ac:dyDescent="0.15"/>
    <row r="30111" hidden="1" x14ac:dyDescent="0.15"/>
    <row r="30112" hidden="1" x14ac:dyDescent="0.15"/>
    <row r="30113" hidden="1" x14ac:dyDescent="0.15"/>
    <row r="30114" hidden="1" x14ac:dyDescent="0.15"/>
    <row r="30115" hidden="1" x14ac:dyDescent="0.15"/>
    <row r="30116" hidden="1" x14ac:dyDescent="0.15"/>
    <row r="30117" hidden="1" x14ac:dyDescent="0.15"/>
    <row r="30118" hidden="1" x14ac:dyDescent="0.15"/>
    <row r="30119" hidden="1" x14ac:dyDescent="0.15"/>
    <row r="30120" hidden="1" x14ac:dyDescent="0.15"/>
    <row r="30121" hidden="1" x14ac:dyDescent="0.15"/>
    <row r="30122" hidden="1" x14ac:dyDescent="0.15"/>
    <row r="30123" hidden="1" x14ac:dyDescent="0.15"/>
    <row r="30124" hidden="1" x14ac:dyDescent="0.15"/>
    <row r="30125" hidden="1" x14ac:dyDescent="0.15"/>
    <row r="30126" hidden="1" x14ac:dyDescent="0.15"/>
    <row r="30127" hidden="1" x14ac:dyDescent="0.15"/>
    <row r="30128" hidden="1" x14ac:dyDescent="0.15"/>
    <row r="30129" hidden="1" x14ac:dyDescent="0.15"/>
    <row r="30130" hidden="1" x14ac:dyDescent="0.15"/>
    <row r="30131" hidden="1" x14ac:dyDescent="0.15"/>
    <row r="30132" hidden="1" x14ac:dyDescent="0.15"/>
    <row r="30133" hidden="1" x14ac:dyDescent="0.15"/>
    <row r="30134" hidden="1" x14ac:dyDescent="0.15"/>
    <row r="30135" hidden="1" x14ac:dyDescent="0.15"/>
    <row r="30136" hidden="1" x14ac:dyDescent="0.15"/>
    <row r="30137" hidden="1" x14ac:dyDescent="0.15"/>
    <row r="30138" hidden="1" x14ac:dyDescent="0.15"/>
    <row r="30139" hidden="1" x14ac:dyDescent="0.15"/>
    <row r="30140" hidden="1" x14ac:dyDescent="0.15"/>
    <row r="30141" hidden="1" x14ac:dyDescent="0.15"/>
    <row r="30142" hidden="1" x14ac:dyDescent="0.15"/>
    <row r="30143" hidden="1" x14ac:dyDescent="0.15"/>
    <row r="30144" hidden="1" x14ac:dyDescent="0.15"/>
    <row r="30145" hidden="1" x14ac:dyDescent="0.15"/>
    <row r="30146" hidden="1" x14ac:dyDescent="0.15"/>
    <row r="30147" hidden="1" x14ac:dyDescent="0.15"/>
    <row r="30148" hidden="1" x14ac:dyDescent="0.15"/>
    <row r="30149" hidden="1" x14ac:dyDescent="0.15"/>
    <row r="30150" hidden="1" x14ac:dyDescent="0.15"/>
    <row r="30151" hidden="1" x14ac:dyDescent="0.15"/>
    <row r="30152" hidden="1" x14ac:dyDescent="0.15"/>
    <row r="30153" hidden="1" x14ac:dyDescent="0.15"/>
    <row r="30154" hidden="1" x14ac:dyDescent="0.15"/>
    <row r="30155" hidden="1" x14ac:dyDescent="0.15"/>
    <row r="30156" hidden="1" x14ac:dyDescent="0.15"/>
    <row r="30157" hidden="1" x14ac:dyDescent="0.15"/>
    <row r="30158" hidden="1" x14ac:dyDescent="0.15"/>
    <row r="30159" hidden="1" x14ac:dyDescent="0.15"/>
    <row r="30160" hidden="1" x14ac:dyDescent="0.15"/>
    <row r="30161" hidden="1" x14ac:dyDescent="0.15"/>
    <row r="30162" hidden="1" x14ac:dyDescent="0.15"/>
    <row r="30163" hidden="1" x14ac:dyDescent="0.15"/>
    <row r="30164" hidden="1" x14ac:dyDescent="0.15"/>
    <row r="30165" hidden="1" x14ac:dyDescent="0.15"/>
    <row r="30166" hidden="1" x14ac:dyDescent="0.15"/>
    <row r="30167" hidden="1" x14ac:dyDescent="0.15"/>
    <row r="30168" hidden="1" x14ac:dyDescent="0.15"/>
    <row r="30169" hidden="1" x14ac:dyDescent="0.15"/>
    <row r="30170" hidden="1" x14ac:dyDescent="0.15"/>
    <row r="30171" hidden="1" x14ac:dyDescent="0.15"/>
    <row r="30172" hidden="1" x14ac:dyDescent="0.15"/>
    <row r="30173" hidden="1" x14ac:dyDescent="0.15"/>
    <row r="30174" hidden="1" x14ac:dyDescent="0.15"/>
    <row r="30175" hidden="1" x14ac:dyDescent="0.15"/>
    <row r="30176" hidden="1" x14ac:dyDescent="0.15"/>
    <row r="30177" hidden="1" x14ac:dyDescent="0.15"/>
    <row r="30178" hidden="1" x14ac:dyDescent="0.15"/>
    <row r="30179" hidden="1" x14ac:dyDescent="0.15"/>
    <row r="30180" hidden="1" x14ac:dyDescent="0.15"/>
    <row r="30181" hidden="1" x14ac:dyDescent="0.15"/>
    <row r="30182" hidden="1" x14ac:dyDescent="0.15"/>
    <row r="30183" hidden="1" x14ac:dyDescent="0.15"/>
    <row r="30184" hidden="1" x14ac:dyDescent="0.15"/>
    <row r="30185" hidden="1" x14ac:dyDescent="0.15"/>
    <row r="30186" hidden="1" x14ac:dyDescent="0.15"/>
    <row r="30187" hidden="1" x14ac:dyDescent="0.15"/>
    <row r="30188" hidden="1" x14ac:dyDescent="0.15"/>
    <row r="30189" hidden="1" x14ac:dyDescent="0.15"/>
    <row r="30190" hidden="1" x14ac:dyDescent="0.15"/>
    <row r="30191" hidden="1" x14ac:dyDescent="0.15"/>
    <row r="30192" hidden="1" x14ac:dyDescent="0.15"/>
    <row r="30193" hidden="1" x14ac:dyDescent="0.15"/>
    <row r="30194" hidden="1" x14ac:dyDescent="0.15"/>
    <row r="30195" hidden="1" x14ac:dyDescent="0.15"/>
    <row r="30196" hidden="1" x14ac:dyDescent="0.15"/>
    <row r="30197" hidden="1" x14ac:dyDescent="0.15"/>
    <row r="30198" hidden="1" x14ac:dyDescent="0.15"/>
    <row r="30199" hidden="1" x14ac:dyDescent="0.15"/>
    <row r="30200" hidden="1" x14ac:dyDescent="0.15"/>
    <row r="30201" hidden="1" x14ac:dyDescent="0.15"/>
    <row r="30202" hidden="1" x14ac:dyDescent="0.15"/>
    <row r="30203" hidden="1" x14ac:dyDescent="0.15"/>
    <row r="30204" hidden="1" x14ac:dyDescent="0.15"/>
    <row r="30205" hidden="1" x14ac:dyDescent="0.15"/>
    <row r="30206" hidden="1" x14ac:dyDescent="0.15"/>
    <row r="30207" hidden="1" x14ac:dyDescent="0.15"/>
    <row r="30208" hidden="1" x14ac:dyDescent="0.15"/>
    <row r="30209" hidden="1" x14ac:dyDescent="0.15"/>
    <row r="30210" hidden="1" x14ac:dyDescent="0.15"/>
    <row r="30211" hidden="1" x14ac:dyDescent="0.15"/>
    <row r="30212" hidden="1" x14ac:dyDescent="0.15"/>
    <row r="30213" hidden="1" x14ac:dyDescent="0.15"/>
    <row r="30214" hidden="1" x14ac:dyDescent="0.15"/>
    <row r="30215" hidden="1" x14ac:dyDescent="0.15"/>
    <row r="30216" hidden="1" x14ac:dyDescent="0.15"/>
    <row r="30217" hidden="1" x14ac:dyDescent="0.15"/>
    <row r="30218" hidden="1" x14ac:dyDescent="0.15"/>
    <row r="30219" hidden="1" x14ac:dyDescent="0.15"/>
    <row r="30220" hidden="1" x14ac:dyDescent="0.15"/>
    <row r="30221" hidden="1" x14ac:dyDescent="0.15"/>
    <row r="30222" hidden="1" x14ac:dyDescent="0.15"/>
    <row r="30223" hidden="1" x14ac:dyDescent="0.15"/>
    <row r="30224" hidden="1" x14ac:dyDescent="0.15"/>
    <row r="30225" hidden="1" x14ac:dyDescent="0.15"/>
    <row r="30226" hidden="1" x14ac:dyDescent="0.15"/>
    <row r="30227" hidden="1" x14ac:dyDescent="0.15"/>
    <row r="30228" hidden="1" x14ac:dyDescent="0.15"/>
    <row r="30229" hidden="1" x14ac:dyDescent="0.15"/>
    <row r="30230" hidden="1" x14ac:dyDescent="0.15"/>
    <row r="30231" hidden="1" x14ac:dyDescent="0.15"/>
    <row r="30232" hidden="1" x14ac:dyDescent="0.15"/>
    <row r="30233" hidden="1" x14ac:dyDescent="0.15"/>
    <row r="30234" hidden="1" x14ac:dyDescent="0.15"/>
    <row r="30235" hidden="1" x14ac:dyDescent="0.15"/>
    <row r="30236" hidden="1" x14ac:dyDescent="0.15"/>
    <row r="30237" hidden="1" x14ac:dyDescent="0.15"/>
    <row r="30238" hidden="1" x14ac:dyDescent="0.15"/>
    <row r="30239" hidden="1" x14ac:dyDescent="0.15"/>
    <row r="30240" hidden="1" x14ac:dyDescent="0.15"/>
    <row r="30241" hidden="1" x14ac:dyDescent="0.15"/>
    <row r="30242" hidden="1" x14ac:dyDescent="0.15"/>
    <row r="30243" hidden="1" x14ac:dyDescent="0.15"/>
    <row r="30244" hidden="1" x14ac:dyDescent="0.15"/>
    <row r="30245" hidden="1" x14ac:dyDescent="0.15"/>
    <row r="30246" hidden="1" x14ac:dyDescent="0.15"/>
    <row r="30247" hidden="1" x14ac:dyDescent="0.15"/>
    <row r="30248" hidden="1" x14ac:dyDescent="0.15"/>
    <row r="30249" hidden="1" x14ac:dyDescent="0.15"/>
    <row r="30250" hidden="1" x14ac:dyDescent="0.15"/>
    <row r="30251" hidden="1" x14ac:dyDescent="0.15"/>
    <row r="30252" hidden="1" x14ac:dyDescent="0.15"/>
    <row r="30253" hidden="1" x14ac:dyDescent="0.15"/>
    <row r="30254" hidden="1" x14ac:dyDescent="0.15"/>
    <row r="30255" hidden="1" x14ac:dyDescent="0.15"/>
    <row r="30256" hidden="1" x14ac:dyDescent="0.15"/>
    <row r="30257" hidden="1" x14ac:dyDescent="0.15"/>
    <row r="30258" hidden="1" x14ac:dyDescent="0.15"/>
    <row r="30259" hidden="1" x14ac:dyDescent="0.15"/>
    <row r="30260" hidden="1" x14ac:dyDescent="0.15"/>
    <row r="30261" hidden="1" x14ac:dyDescent="0.15"/>
    <row r="30262" hidden="1" x14ac:dyDescent="0.15"/>
    <row r="30263" hidden="1" x14ac:dyDescent="0.15"/>
    <row r="30264" hidden="1" x14ac:dyDescent="0.15"/>
    <row r="30265" hidden="1" x14ac:dyDescent="0.15"/>
    <row r="30266" hidden="1" x14ac:dyDescent="0.15"/>
    <row r="30267" hidden="1" x14ac:dyDescent="0.15"/>
    <row r="30268" hidden="1" x14ac:dyDescent="0.15"/>
    <row r="30269" hidden="1" x14ac:dyDescent="0.15"/>
    <row r="30270" hidden="1" x14ac:dyDescent="0.15"/>
    <row r="30271" hidden="1" x14ac:dyDescent="0.15"/>
    <row r="30272" hidden="1" x14ac:dyDescent="0.15"/>
    <row r="30273" hidden="1" x14ac:dyDescent="0.15"/>
    <row r="30274" hidden="1" x14ac:dyDescent="0.15"/>
    <row r="30275" hidden="1" x14ac:dyDescent="0.15"/>
    <row r="30276" hidden="1" x14ac:dyDescent="0.15"/>
    <row r="30277" hidden="1" x14ac:dyDescent="0.15"/>
    <row r="30278" hidden="1" x14ac:dyDescent="0.15"/>
    <row r="30279" hidden="1" x14ac:dyDescent="0.15"/>
    <row r="30280" hidden="1" x14ac:dyDescent="0.15"/>
    <row r="30281" hidden="1" x14ac:dyDescent="0.15"/>
    <row r="30282" hidden="1" x14ac:dyDescent="0.15"/>
    <row r="30283" hidden="1" x14ac:dyDescent="0.15"/>
    <row r="30284" hidden="1" x14ac:dyDescent="0.15"/>
    <row r="30285" hidden="1" x14ac:dyDescent="0.15"/>
    <row r="30286" hidden="1" x14ac:dyDescent="0.15"/>
    <row r="30287" hidden="1" x14ac:dyDescent="0.15"/>
    <row r="30288" hidden="1" x14ac:dyDescent="0.15"/>
    <row r="30289" hidden="1" x14ac:dyDescent="0.15"/>
    <row r="30290" hidden="1" x14ac:dyDescent="0.15"/>
    <row r="30291" hidden="1" x14ac:dyDescent="0.15"/>
    <row r="30292" hidden="1" x14ac:dyDescent="0.15"/>
    <row r="30293" hidden="1" x14ac:dyDescent="0.15"/>
    <row r="30294" hidden="1" x14ac:dyDescent="0.15"/>
    <row r="30295" hidden="1" x14ac:dyDescent="0.15"/>
    <row r="30296" hidden="1" x14ac:dyDescent="0.15"/>
    <row r="30297" hidden="1" x14ac:dyDescent="0.15"/>
    <row r="30298" hidden="1" x14ac:dyDescent="0.15"/>
    <row r="30299" hidden="1" x14ac:dyDescent="0.15"/>
    <row r="30300" hidden="1" x14ac:dyDescent="0.15"/>
    <row r="30301" hidden="1" x14ac:dyDescent="0.15"/>
    <row r="30302" hidden="1" x14ac:dyDescent="0.15"/>
    <row r="30303" hidden="1" x14ac:dyDescent="0.15"/>
    <row r="30304" hidden="1" x14ac:dyDescent="0.15"/>
    <row r="30305" hidden="1" x14ac:dyDescent="0.15"/>
    <row r="30306" hidden="1" x14ac:dyDescent="0.15"/>
    <row r="30307" hidden="1" x14ac:dyDescent="0.15"/>
    <row r="30308" hidden="1" x14ac:dyDescent="0.15"/>
    <row r="30309" hidden="1" x14ac:dyDescent="0.15"/>
    <row r="30310" hidden="1" x14ac:dyDescent="0.15"/>
    <row r="30311" hidden="1" x14ac:dyDescent="0.15"/>
    <row r="30312" hidden="1" x14ac:dyDescent="0.15"/>
    <row r="30313" hidden="1" x14ac:dyDescent="0.15"/>
    <row r="30314" hidden="1" x14ac:dyDescent="0.15"/>
    <row r="30315" hidden="1" x14ac:dyDescent="0.15"/>
    <row r="30316" hidden="1" x14ac:dyDescent="0.15"/>
    <row r="30317" hidden="1" x14ac:dyDescent="0.15"/>
    <row r="30318" hidden="1" x14ac:dyDescent="0.15"/>
    <row r="30319" hidden="1" x14ac:dyDescent="0.15"/>
    <row r="30320" hidden="1" x14ac:dyDescent="0.15"/>
    <row r="30321" hidden="1" x14ac:dyDescent="0.15"/>
    <row r="30322" hidden="1" x14ac:dyDescent="0.15"/>
    <row r="30323" hidden="1" x14ac:dyDescent="0.15"/>
    <row r="30324" hidden="1" x14ac:dyDescent="0.15"/>
    <row r="30325" hidden="1" x14ac:dyDescent="0.15"/>
    <row r="30326" hidden="1" x14ac:dyDescent="0.15"/>
    <row r="30327" hidden="1" x14ac:dyDescent="0.15"/>
    <row r="30328" hidden="1" x14ac:dyDescent="0.15"/>
    <row r="30329" hidden="1" x14ac:dyDescent="0.15"/>
    <row r="30330" hidden="1" x14ac:dyDescent="0.15"/>
    <row r="30331" hidden="1" x14ac:dyDescent="0.15"/>
    <row r="30332" hidden="1" x14ac:dyDescent="0.15"/>
    <row r="30333" hidden="1" x14ac:dyDescent="0.15"/>
    <row r="30334" hidden="1" x14ac:dyDescent="0.15"/>
    <row r="30335" hidden="1" x14ac:dyDescent="0.15"/>
    <row r="30336" hidden="1" x14ac:dyDescent="0.15"/>
    <row r="30337" hidden="1" x14ac:dyDescent="0.15"/>
    <row r="30338" hidden="1" x14ac:dyDescent="0.15"/>
    <row r="30339" hidden="1" x14ac:dyDescent="0.15"/>
    <row r="30340" hidden="1" x14ac:dyDescent="0.15"/>
    <row r="30341" hidden="1" x14ac:dyDescent="0.15"/>
    <row r="30342" hidden="1" x14ac:dyDescent="0.15"/>
    <row r="30343" hidden="1" x14ac:dyDescent="0.15"/>
    <row r="30344" hidden="1" x14ac:dyDescent="0.15"/>
    <row r="30345" hidden="1" x14ac:dyDescent="0.15"/>
    <row r="30346" hidden="1" x14ac:dyDescent="0.15"/>
    <row r="30347" hidden="1" x14ac:dyDescent="0.15"/>
    <row r="30348" hidden="1" x14ac:dyDescent="0.15"/>
    <row r="30349" hidden="1" x14ac:dyDescent="0.15"/>
    <row r="30350" hidden="1" x14ac:dyDescent="0.15"/>
    <row r="30351" hidden="1" x14ac:dyDescent="0.15"/>
    <row r="30352" hidden="1" x14ac:dyDescent="0.15"/>
    <row r="30353" hidden="1" x14ac:dyDescent="0.15"/>
    <row r="30354" hidden="1" x14ac:dyDescent="0.15"/>
    <row r="30355" hidden="1" x14ac:dyDescent="0.15"/>
    <row r="30356" hidden="1" x14ac:dyDescent="0.15"/>
    <row r="30357" hidden="1" x14ac:dyDescent="0.15"/>
    <row r="30358" hidden="1" x14ac:dyDescent="0.15"/>
    <row r="30359" hidden="1" x14ac:dyDescent="0.15"/>
    <row r="30360" hidden="1" x14ac:dyDescent="0.15"/>
    <row r="30361" hidden="1" x14ac:dyDescent="0.15"/>
    <row r="30362" hidden="1" x14ac:dyDescent="0.15"/>
    <row r="30363" hidden="1" x14ac:dyDescent="0.15"/>
    <row r="30364" hidden="1" x14ac:dyDescent="0.15"/>
    <row r="30365" hidden="1" x14ac:dyDescent="0.15"/>
    <row r="30366" hidden="1" x14ac:dyDescent="0.15"/>
    <row r="30367" hidden="1" x14ac:dyDescent="0.15"/>
    <row r="30368" hidden="1" x14ac:dyDescent="0.15"/>
    <row r="30369" hidden="1" x14ac:dyDescent="0.15"/>
    <row r="30370" hidden="1" x14ac:dyDescent="0.15"/>
    <row r="30371" hidden="1" x14ac:dyDescent="0.15"/>
    <row r="30372" hidden="1" x14ac:dyDescent="0.15"/>
    <row r="30373" hidden="1" x14ac:dyDescent="0.15"/>
    <row r="30374" hidden="1" x14ac:dyDescent="0.15"/>
    <row r="30375" hidden="1" x14ac:dyDescent="0.15"/>
    <row r="30376" hidden="1" x14ac:dyDescent="0.15"/>
    <row r="30377" hidden="1" x14ac:dyDescent="0.15"/>
    <row r="30378" hidden="1" x14ac:dyDescent="0.15"/>
    <row r="30379" hidden="1" x14ac:dyDescent="0.15"/>
    <row r="30380" hidden="1" x14ac:dyDescent="0.15"/>
    <row r="30381" hidden="1" x14ac:dyDescent="0.15"/>
    <row r="30382" hidden="1" x14ac:dyDescent="0.15"/>
    <row r="30383" hidden="1" x14ac:dyDescent="0.15"/>
    <row r="30384" hidden="1" x14ac:dyDescent="0.15"/>
    <row r="30385" hidden="1" x14ac:dyDescent="0.15"/>
    <row r="30386" hidden="1" x14ac:dyDescent="0.15"/>
    <row r="30387" hidden="1" x14ac:dyDescent="0.15"/>
    <row r="30388" hidden="1" x14ac:dyDescent="0.15"/>
    <row r="30389" hidden="1" x14ac:dyDescent="0.15"/>
    <row r="30390" hidden="1" x14ac:dyDescent="0.15"/>
    <row r="30391" hidden="1" x14ac:dyDescent="0.15"/>
    <row r="30392" hidden="1" x14ac:dyDescent="0.15"/>
    <row r="30393" hidden="1" x14ac:dyDescent="0.15"/>
    <row r="30394" hidden="1" x14ac:dyDescent="0.15"/>
    <row r="30395" hidden="1" x14ac:dyDescent="0.15"/>
    <row r="30396" hidden="1" x14ac:dyDescent="0.15"/>
    <row r="30397" hidden="1" x14ac:dyDescent="0.15"/>
    <row r="30398" hidden="1" x14ac:dyDescent="0.15"/>
    <row r="30399" hidden="1" x14ac:dyDescent="0.15"/>
    <row r="30400" hidden="1" x14ac:dyDescent="0.15"/>
    <row r="30401" hidden="1" x14ac:dyDescent="0.15"/>
    <row r="30402" hidden="1" x14ac:dyDescent="0.15"/>
    <row r="30403" hidden="1" x14ac:dyDescent="0.15"/>
    <row r="30404" hidden="1" x14ac:dyDescent="0.15"/>
    <row r="30405" hidden="1" x14ac:dyDescent="0.15"/>
    <row r="30406" hidden="1" x14ac:dyDescent="0.15"/>
    <row r="30407" hidden="1" x14ac:dyDescent="0.15"/>
    <row r="30408" hidden="1" x14ac:dyDescent="0.15"/>
    <row r="30409" hidden="1" x14ac:dyDescent="0.15"/>
    <row r="30410" hidden="1" x14ac:dyDescent="0.15"/>
    <row r="30411" hidden="1" x14ac:dyDescent="0.15"/>
    <row r="30412" hidden="1" x14ac:dyDescent="0.15"/>
    <row r="30413" hidden="1" x14ac:dyDescent="0.15"/>
    <row r="30414" hidden="1" x14ac:dyDescent="0.15"/>
    <row r="30415" hidden="1" x14ac:dyDescent="0.15"/>
    <row r="30416" hidden="1" x14ac:dyDescent="0.15"/>
    <row r="30417" hidden="1" x14ac:dyDescent="0.15"/>
    <row r="30418" hidden="1" x14ac:dyDescent="0.15"/>
    <row r="30419" hidden="1" x14ac:dyDescent="0.15"/>
    <row r="30420" hidden="1" x14ac:dyDescent="0.15"/>
    <row r="30421" hidden="1" x14ac:dyDescent="0.15"/>
    <row r="30422" hidden="1" x14ac:dyDescent="0.15"/>
    <row r="30423" hidden="1" x14ac:dyDescent="0.15"/>
    <row r="30424" hidden="1" x14ac:dyDescent="0.15"/>
    <row r="30425" hidden="1" x14ac:dyDescent="0.15"/>
    <row r="30426" hidden="1" x14ac:dyDescent="0.15"/>
    <row r="30427" hidden="1" x14ac:dyDescent="0.15"/>
    <row r="30428" hidden="1" x14ac:dyDescent="0.15"/>
    <row r="30429" hidden="1" x14ac:dyDescent="0.15"/>
    <row r="30430" hidden="1" x14ac:dyDescent="0.15"/>
    <row r="30431" hidden="1" x14ac:dyDescent="0.15"/>
    <row r="30432" hidden="1" x14ac:dyDescent="0.15"/>
    <row r="30433" hidden="1" x14ac:dyDescent="0.15"/>
    <row r="30434" hidden="1" x14ac:dyDescent="0.15"/>
    <row r="30435" hidden="1" x14ac:dyDescent="0.15"/>
    <row r="30436" hidden="1" x14ac:dyDescent="0.15"/>
    <row r="30437" hidden="1" x14ac:dyDescent="0.15"/>
    <row r="30438" hidden="1" x14ac:dyDescent="0.15"/>
    <row r="30439" hidden="1" x14ac:dyDescent="0.15"/>
    <row r="30440" hidden="1" x14ac:dyDescent="0.15"/>
    <row r="30441" hidden="1" x14ac:dyDescent="0.15"/>
    <row r="30442" hidden="1" x14ac:dyDescent="0.15"/>
    <row r="30443" hidden="1" x14ac:dyDescent="0.15"/>
    <row r="30444" hidden="1" x14ac:dyDescent="0.15"/>
    <row r="30445" hidden="1" x14ac:dyDescent="0.15"/>
    <row r="30446" hidden="1" x14ac:dyDescent="0.15"/>
    <row r="30447" hidden="1" x14ac:dyDescent="0.15"/>
    <row r="30448" hidden="1" x14ac:dyDescent="0.15"/>
    <row r="30449" hidden="1" x14ac:dyDescent="0.15"/>
    <row r="30450" hidden="1" x14ac:dyDescent="0.15"/>
    <row r="30451" hidden="1" x14ac:dyDescent="0.15"/>
    <row r="30452" hidden="1" x14ac:dyDescent="0.15"/>
    <row r="30453" hidden="1" x14ac:dyDescent="0.15"/>
    <row r="30454" hidden="1" x14ac:dyDescent="0.15"/>
    <row r="30455" hidden="1" x14ac:dyDescent="0.15"/>
    <row r="30456" hidden="1" x14ac:dyDescent="0.15"/>
    <row r="30457" hidden="1" x14ac:dyDescent="0.15"/>
    <row r="30458" hidden="1" x14ac:dyDescent="0.15"/>
    <row r="30459" hidden="1" x14ac:dyDescent="0.15"/>
    <row r="30460" hidden="1" x14ac:dyDescent="0.15"/>
    <row r="30461" hidden="1" x14ac:dyDescent="0.15"/>
    <row r="30462" hidden="1" x14ac:dyDescent="0.15"/>
    <row r="30463" hidden="1" x14ac:dyDescent="0.15"/>
    <row r="30464" hidden="1" x14ac:dyDescent="0.15"/>
    <row r="30465" hidden="1" x14ac:dyDescent="0.15"/>
    <row r="30466" hidden="1" x14ac:dyDescent="0.15"/>
    <row r="30467" hidden="1" x14ac:dyDescent="0.15"/>
    <row r="30468" hidden="1" x14ac:dyDescent="0.15"/>
    <row r="30469" hidden="1" x14ac:dyDescent="0.15"/>
    <row r="30470" hidden="1" x14ac:dyDescent="0.15"/>
    <row r="30471" hidden="1" x14ac:dyDescent="0.15"/>
    <row r="30472" hidden="1" x14ac:dyDescent="0.15"/>
    <row r="30473" hidden="1" x14ac:dyDescent="0.15"/>
    <row r="30474" hidden="1" x14ac:dyDescent="0.15"/>
    <row r="30475" hidden="1" x14ac:dyDescent="0.15"/>
    <row r="30476" hidden="1" x14ac:dyDescent="0.15"/>
    <row r="30477" hidden="1" x14ac:dyDescent="0.15"/>
    <row r="30478" hidden="1" x14ac:dyDescent="0.15"/>
    <row r="30479" hidden="1" x14ac:dyDescent="0.15"/>
    <row r="30480" hidden="1" x14ac:dyDescent="0.15"/>
    <row r="30481" hidden="1" x14ac:dyDescent="0.15"/>
    <row r="30482" hidden="1" x14ac:dyDescent="0.15"/>
    <row r="30483" hidden="1" x14ac:dyDescent="0.15"/>
    <row r="30484" hidden="1" x14ac:dyDescent="0.15"/>
    <row r="30485" hidden="1" x14ac:dyDescent="0.15"/>
    <row r="30486" hidden="1" x14ac:dyDescent="0.15"/>
    <row r="30487" hidden="1" x14ac:dyDescent="0.15"/>
    <row r="30488" hidden="1" x14ac:dyDescent="0.15"/>
    <row r="30489" hidden="1" x14ac:dyDescent="0.15"/>
    <row r="30490" hidden="1" x14ac:dyDescent="0.15"/>
    <row r="30491" hidden="1" x14ac:dyDescent="0.15"/>
    <row r="30492" hidden="1" x14ac:dyDescent="0.15"/>
    <row r="30493" hidden="1" x14ac:dyDescent="0.15"/>
    <row r="30494" hidden="1" x14ac:dyDescent="0.15"/>
    <row r="30495" hidden="1" x14ac:dyDescent="0.15"/>
    <row r="30496" hidden="1" x14ac:dyDescent="0.15"/>
    <row r="30497" hidden="1" x14ac:dyDescent="0.15"/>
    <row r="30498" hidden="1" x14ac:dyDescent="0.15"/>
    <row r="30499" hidden="1" x14ac:dyDescent="0.15"/>
    <row r="30500" hidden="1" x14ac:dyDescent="0.15"/>
    <row r="30501" hidden="1" x14ac:dyDescent="0.15"/>
    <row r="30502" hidden="1" x14ac:dyDescent="0.15"/>
    <row r="30503" hidden="1" x14ac:dyDescent="0.15"/>
    <row r="30504" hidden="1" x14ac:dyDescent="0.15"/>
    <row r="30505" hidden="1" x14ac:dyDescent="0.15"/>
    <row r="30506" hidden="1" x14ac:dyDescent="0.15"/>
    <row r="30507" hidden="1" x14ac:dyDescent="0.15"/>
    <row r="30508" hidden="1" x14ac:dyDescent="0.15"/>
    <row r="30509" hidden="1" x14ac:dyDescent="0.15"/>
    <row r="30510" hidden="1" x14ac:dyDescent="0.15"/>
    <row r="30511" hidden="1" x14ac:dyDescent="0.15"/>
    <row r="30512" hidden="1" x14ac:dyDescent="0.15"/>
    <row r="30513" hidden="1" x14ac:dyDescent="0.15"/>
    <row r="30514" hidden="1" x14ac:dyDescent="0.15"/>
    <row r="30515" hidden="1" x14ac:dyDescent="0.15"/>
    <row r="30516" hidden="1" x14ac:dyDescent="0.15"/>
    <row r="30517" hidden="1" x14ac:dyDescent="0.15"/>
    <row r="30518" hidden="1" x14ac:dyDescent="0.15"/>
    <row r="30519" hidden="1" x14ac:dyDescent="0.15"/>
    <row r="30520" hidden="1" x14ac:dyDescent="0.15"/>
    <row r="30521" hidden="1" x14ac:dyDescent="0.15"/>
    <row r="30522" hidden="1" x14ac:dyDescent="0.15"/>
    <row r="30523" hidden="1" x14ac:dyDescent="0.15"/>
    <row r="30524" hidden="1" x14ac:dyDescent="0.15"/>
    <row r="30525" hidden="1" x14ac:dyDescent="0.15"/>
    <row r="30526" hidden="1" x14ac:dyDescent="0.15"/>
    <row r="30527" hidden="1" x14ac:dyDescent="0.15"/>
    <row r="30528" hidden="1" x14ac:dyDescent="0.15"/>
    <row r="30529" hidden="1" x14ac:dyDescent="0.15"/>
    <row r="30530" hidden="1" x14ac:dyDescent="0.15"/>
    <row r="30531" hidden="1" x14ac:dyDescent="0.15"/>
    <row r="30532" hidden="1" x14ac:dyDescent="0.15"/>
    <row r="30533" hidden="1" x14ac:dyDescent="0.15"/>
    <row r="30534" hidden="1" x14ac:dyDescent="0.15"/>
    <row r="30535" hidden="1" x14ac:dyDescent="0.15"/>
    <row r="30536" hidden="1" x14ac:dyDescent="0.15"/>
    <row r="30537" hidden="1" x14ac:dyDescent="0.15"/>
    <row r="30538" hidden="1" x14ac:dyDescent="0.15"/>
    <row r="30539" hidden="1" x14ac:dyDescent="0.15"/>
    <row r="30540" hidden="1" x14ac:dyDescent="0.15"/>
    <row r="30541" hidden="1" x14ac:dyDescent="0.15"/>
    <row r="30542" hidden="1" x14ac:dyDescent="0.15"/>
    <row r="30543" hidden="1" x14ac:dyDescent="0.15"/>
    <row r="30544" hidden="1" x14ac:dyDescent="0.15"/>
    <row r="30545" hidden="1" x14ac:dyDescent="0.15"/>
    <row r="30546" hidden="1" x14ac:dyDescent="0.15"/>
    <row r="30547" hidden="1" x14ac:dyDescent="0.15"/>
    <row r="30548" hidden="1" x14ac:dyDescent="0.15"/>
    <row r="30549" hidden="1" x14ac:dyDescent="0.15"/>
    <row r="30550" hidden="1" x14ac:dyDescent="0.15"/>
    <row r="30551" hidden="1" x14ac:dyDescent="0.15"/>
    <row r="30552" hidden="1" x14ac:dyDescent="0.15"/>
    <row r="30553" hidden="1" x14ac:dyDescent="0.15"/>
    <row r="30554" hidden="1" x14ac:dyDescent="0.15"/>
    <row r="30555" hidden="1" x14ac:dyDescent="0.15"/>
    <row r="30556" hidden="1" x14ac:dyDescent="0.15"/>
    <row r="30557" hidden="1" x14ac:dyDescent="0.15"/>
    <row r="30558" hidden="1" x14ac:dyDescent="0.15"/>
    <row r="30559" hidden="1" x14ac:dyDescent="0.15"/>
    <row r="30560" hidden="1" x14ac:dyDescent="0.15"/>
    <row r="30561" hidden="1" x14ac:dyDescent="0.15"/>
    <row r="30562" hidden="1" x14ac:dyDescent="0.15"/>
    <row r="30563" hidden="1" x14ac:dyDescent="0.15"/>
    <row r="30564" hidden="1" x14ac:dyDescent="0.15"/>
    <row r="30565" hidden="1" x14ac:dyDescent="0.15"/>
    <row r="30566" hidden="1" x14ac:dyDescent="0.15"/>
    <row r="30567" hidden="1" x14ac:dyDescent="0.15"/>
    <row r="30568" hidden="1" x14ac:dyDescent="0.15"/>
    <row r="30569" hidden="1" x14ac:dyDescent="0.15"/>
    <row r="30570" hidden="1" x14ac:dyDescent="0.15"/>
    <row r="30571" hidden="1" x14ac:dyDescent="0.15"/>
    <row r="30572" hidden="1" x14ac:dyDescent="0.15"/>
    <row r="30573" hidden="1" x14ac:dyDescent="0.15"/>
    <row r="30574" hidden="1" x14ac:dyDescent="0.15"/>
    <row r="30575" hidden="1" x14ac:dyDescent="0.15"/>
    <row r="30576" hidden="1" x14ac:dyDescent="0.15"/>
    <row r="30577" hidden="1" x14ac:dyDescent="0.15"/>
    <row r="30578" hidden="1" x14ac:dyDescent="0.15"/>
    <row r="30579" hidden="1" x14ac:dyDescent="0.15"/>
    <row r="30580" hidden="1" x14ac:dyDescent="0.15"/>
    <row r="30581" hidden="1" x14ac:dyDescent="0.15"/>
    <row r="30582" hidden="1" x14ac:dyDescent="0.15"/>
    <row r="30583" hidden="1" x14ac:dyDescent="0.15"/>
    <row r="30584" hidden="1" x14ac:dyDescent="0.15"/>
    <row r="30585" hidden="1" x14ac:dyDescent="0.15"/>
    <row r="30586" hidden="1" x14ac:dyDescent="0.15"/>
    <row r="30587" hidden="1" x14ac:dyDescent="0.15"/>
    <row r="30588" hidden="1" x14ac:dyDescent="0.15"/>
    <row r="30589" hidden="1" x14ac:dyDescent="0.15"/>
    <row r="30590" hidden="1" x14ac:dyDescent="0.15"/>
    <row r="30591" hidden="1" x14ac:dyDescent="0.15"/>
    <row r="30592" hidden="1" x14ac:dyDescent="0.15"/>
    <row r="30593" hidden="1" x14ac:dyDescent="0.15"/>
    <row r="30594" hidden="1" x14ac:dyDescent="0.15"/>
    <row r="30595" hidden="1" x14ac:dyDescent="0.15"/>
    <row r="30596" hidden="1" x14ac:dyDescent="0.15"/>
    <row r="30597" hidden="1" x14ac:dyDescent="0.15"/>
    <row r="30598" hidden="1" x14ac:dyDescent="0.15"/>
    <row r="30599" hidden="1" x14ac:dyDescent="0.15"/>
    <row r="30600" hidden="1" x14ac:dyDescent="0.15"/>
    <row r="30601" hidden="1" x14ac:dyDescent="0.15"/>
    <row r="30602" hidden="1" x14ac:dyDescent="0.15"/>
    <row r="30603" hidden="1" x14ac:dyDescent="0.15"/>
    <row r="30604" hidden="1" x14ac:dyDescent="0.15"/>
    <row r="30605" hidden="1" x14ac:dyDescent="0.15"/>
    <row r="30606" hidden="1" x14ac:dyDescent="0.15"/>
    <row r="30607" hidden="1" x14ac:dyDescent="0.15"/>
    <row r="30608" hidden="1" x14ac:dyDescent="0.15"/>
    <row r="30609" hidden="1" x14ac:dyDescent="0.15"/>
    <row r="30610" hidden="1" x14ac:dyDescent="0.15"/>
    <row r="30611" hidden="1" x14ac:dyDescent="0.15"/>
    <row r="30612" hidden="1" x14ac:dyDescent="0.15"/>
    <row r="30613" hidden="1" x14ac:dyDescent="0.15"/>
    <row r="30614" hidden="1" x14ac:dyDescent="0.15"/>
    <row r="30615" hidden="1" x14ac:dyDescent="0.15"/>
    <row r="30616" hidden="1" x14ac:dyDescent="0.15"/>
    <row r="30617" hidden="1" x14ac:dyDescent="0.15"/>
    <row r="30618" hidden="1" x14ac:dyDescent="0.15"/>
    <row r="30619" hidden="1" x14ac:dyDescent="0.15"/>
    <row r="30620" hidden="1" x14ac:dyDescent="0.15"/>
    <row r="30621" hidden="1" x14ac:dyDescent="0.15"/>
    <row r="30622" hidden="1" x14ac:dyDescent="0.15"/>
    <row r="30623" hidden="1" x14ac:dyDescent="0.15"/>
    <row r="30624" hidden="1" x14ac:dyDescent="0.15"/>
    <row r="30625" hidden="1" x14ac:dyDescent="0.15"/>
    <row r="30626" hidden="1" x14ac:dyDescent="0.15"/>
    <row r="30627" hidden="1" x14ac:dyDescent="0.15"/>
    <row r="30628" hidden="1" x14ac:dyDescent="0.15"/>
    <row r="30629" hidden="1" x14ac:dyDescent="0.15"/>
    <row r="30630" hidden="1" x14ac:dyDescent="0.15"/>
    <row r="30631" hidden="1" x14ac:dyDescent="0.15"/>
    <row r="30632" hidden="1" x14ac:dyDescent="0.15"/>
    <row r="30633" hidden="1" x14ac:dyDescent="0.15"/>
    <row r="30634" hidden="1" x14ac:dyDescent="0.15"/>
    <row r="30635" hidden="1" x14ac:dyDescent="0.15"/>
    <row r="30636" hidden="1" x14ac:dyDescent="0.15"/>
    <row r="30637" hidden="1" x14ac:dyDescent="0.15"/>
    <row r="30638" hidden="1" x14ac:dyDescent="0.15"/>
    <row r="30639" hidden="1" x14ac:dyDescent="0.15"/>
    <row r="30640" hidden="1" x14ac:dyDescent="0.15"/>
    <row r="30641" hidden="1" x14ac:dyDescent="0.15"/>
    <row r="30642" hidden="1" x14ac:dyDescent="0.15"/>
    <row r="30643" hidden="1" x14ac:dyDescent="0.15"/>
    <row r="30644" hidden="1" x14ac:dyDescent="0.15"/>
    <row r="30645" hidden="1" x14ac:dyDescent="0.15"/>
    <row r="30646" hidden="1" x14ac:dyDescent="0.15"/>
    <row r="30647" hidden="1" x14ac:dyDescent="0.15"/>
    <row r="30648" hidden="1" x14ac:dyDescent="0.15"/>
    <row r="30649" hidden="1" x14ac:dyDescent="0.15"/>
    <row r="30650" hidden="1" x14ac:dyDescent="0.15"/>
    <row r="30651" hidden="1" x14ac:dyDescent="0.15"/>
    <row r="30652" hidden="1" x14ac:dyDescent="0.15"/>
    <row r="30653" hidden="1" x14ac:dyDescent="0.15"/>
    <row r="30654" hidden="1" x14ac:dyDescent="0.15"/>
    <row r="30655" hidden="1" x14ac:dyDescent="0.15"/>
    <row r="30656" hidden="1" x14ac:dyDescent="0.15"/>
    <row r="30657" hidden="1" x14ac:dyDescent="0.15"/>
    <row r="30658" hidden="1" x14ac:dyDescent="0.15"/>
    <row r="30659" hidden="1" x14ac:dyDescent="0.15"/>
    <row r="30660" hidden="1" x14ac:dyDescent="0.15"/>
    <row r="30661" hidden="1" x14ac:dyDescent="0.15"/>
    <row r="30662" hidden="1" x14ac:dyDescent="0.15"/>
    <row r="30663" hidden="1" x14ac:dyDescent="0.15"/>
    <row r="30664" hidden="1" x14ac:dyDescent="0.15"/>
    <row r="30665" hidden="1" x14ac:dyDescent="0.15"/>
    <row r="30666" hidden="1" x14ac:dyDescent="0.15"/>
    <row r="30667" hidden="1" x14ac:dyDescent="0.15"/>
    <row r="30668" hidden="1" x14ac:dyDescent="0.15"/>
    <row r="30669" hidden="1" x14ac:dyDescent="0.15"/>
    <row r="30670" hidden="1" x14ac:dyDescent="0.15"/>
    <row r="30671" hidden="1" x14ac:dyDescent="0.15"/>
    <row r="30672" hidden="1" x14ac:dyDescent="0.15"/>
    <row r="30673" hidden="1" x14ac:dyDescent="0.15"/>
    <row r="30674" hidden="1" x14ac:dyDescent="0.15"/>
    <row r="30675" hidden="1" x14ac:dyDescent="0.15"/>
    <row r="30676" hidden="1" x14ac:dyDescent="0.15"/>
    <row r="30677" hidden="1" x14ac:dyDescent="0.15"/>
    <row r="30678" hidden="1" x14ac:dyDescent="0.15"/>
    <row r="30679" hidden="1" x14ac:dyDescent="0.15"/>
    <row r="30680" hidden="1" x14ac:dyDescent="0.15"/>
    <row r="30681" hidden="1" x14ac:dyDescent="0.15"/>
    <row r="30682" hidden="1" x14ac:dyDescent="0.15"/>
    <row r="30683" hidden="1" x14ac:dyDescent="0.15"/>
    <row r="30684" hidden="1" x14ac:dyDescent="0.15"/>
    <row r="30685" hidden="1" x14ac:dyDescent="0.15"/>
    <row r="30686" hidden="1" x14ac:dyDescent="0.15"/>
    <row r="30687" hidden="1" x14ac:dyDescent="0.15"/>
    <row r="30688" hidden="1" x14ac:dyDescent="0.15"/>
    <row r="30689" hidden="1" x14ac:dyDescent="0.15"/>
    <row r="30690" hidden="1" x14ac:dyDescent="0.15"/>
    <row r="30691" hidden="1" x14ac:dyDescent="0.15"/>
    <row r="30692" hidden="1" x14ac:dyDescent="0.15"/>
    <row r="30693" hidden="1" x14ac:dyDescent="0.15"/>
    <row r="30694" hidden="1" x14ac:dyDescent="0.15"/>
    <row r="30695" hidden="1" x14ac:dyDescent="0.15"/>
    <row r="30696" hidden="1" x14ac:dyDescent="0.15"/>
    <row r="30697" hidden="1" x14ac:dyDescent="0.15"/>
    <row r="30698" hidden="1" x14ac:dyDescent="0.15"/>
    <row r="30699" hidden="1" x14ac:dyDescent="0.15"/>
    <row r="30700" hidden="1" x14ac:dyDescent="0.15"/>
    <row r="30701" hidden="1" x14ac:dyDescent="0.15"/>
    <row r="30702" hidden="1" x14ac:dyDescent="0.15"/>
    <row r="30703" hidden="1" x14ac:dyDescent="0.15"/>
    <row r="30704" hidden="1" x14ac:dyDescent="0.15"/>
    <row r="30705" hidden="1" x14ac:dyDescent="0.15"/>
    <row r="30706" hidden="1" x14ac:dyDescent="0.15"/>
    <row r="30707" hidden="1" x14ac:dyDescent="0.15"/>
    <row r="30708" hidden="1" x14ac:dyDescent="0.15"/>
    <row r="30709" hidden="1" x14ac:dyDescent="0.15"/>
    <row r="30710" hidden="1" x14ac:dyDescent="0.15"/>
    <row r="30711" hidden="1" x14ac:dyDescent="0.15"/>
    <row r="30712" hidden="1" x14ac:dyDescent="0.15"/>
    <row r="30713" hidden="1" x14ac:dyDescent="0.15"/>
    <row r="30714" hidden="1" x14ac:dyDescent="0.15"/>
    <row r="30715" hidden="1" x14ac:dyDescent="0.15"/>
    <row r="30716" hidden="1" x14ac:dyDescent="0.15"/>
    <row r="30717" hidden="1" x14ac:dyDescent="0.15"/>
    <row r="30718" hidden="1" x14ac:dyDescent="0.15"/>
    <row r="30719" hidden="1" x14ac:dyDescent="0.15"/>
    <row r="30720" hidden="1" x14ac:dyDescent="0.15"/>
    <row r="30721" hidden="1" x14ac:dyDescent="0.15"/>
    <row r="30722" hidden="1" x14ac:dyDescent="0.15"/>
    <row r="30723" hidden="1" x14ac:dyDescent="0.15"/>
    <row r="30724" hidden="1" x14ac:dyDescent="0.15"/>
    <row r="30725" hidden="1" x14ac:dyDescent="0.15"/>
    <row r="30726" hidden="1" x14ac:dyDescent="0.15"/>
    <row r="30727" hidden="1" x14ac:dyDescent="0.15"/>
    <row r="30728" hidden="1" x14ac:dyDescent="0.15"/>
    <row r="30729" hidden="1" x14ac:dyDescent="0.15"/>
    <row r="30730" hidden="1" x14ac:dyDescent="0.15"/>
    <row r="30731" hidden="1" x14ac:dyDescent="0.15"/>
    <row r="30732" hidden="1" x14ac:dyDescent="0.15"/>
    <row r="30733" hidden="1" x14ac:dyDescent="0.15"/>
    <row r="30734" hidden="1" x14ac:dyDescent="0.15"/>
    <row r="30735" hidden="1" x14ac:dyDescent="0.15"/>
    <row r="30736" hidden="1" x14ac:dyDescent="0.15"/>
    <row r="30737" hidden="1" x14ac:dyDescent="0.15"/>
    <row r="30738" hidden="1" x14ac:dyDescent="0.15"/>
    <row r="30739" hidden="1" x14ac:dyDescent="0.15"/>
    <row r="30740" hidden="1" x14ac:dyDescent="0.15"/>
    <row r="30741" hidden="1" x14ac:dyDescent="0.15"/>
    <row r="30742" hidden="1" x14ac:dyDescent="0.15"/>
    <row r="30743" hidden="1" x14ac:dyDescent="0.15"/>
    <row r="30744" hidden="1" x14ac:dyDescent="0.15"/>
    <row r="30745" hidden="1" x14ac:dyDescent="0.15"/>
    <row r="30746" hidden="1" x14ac:dyDescent="0.15"/>
    <row r="30747" hidden="1" x14ac:dyDescent="0.15"/>
    <row r="30748" hidden="1" x14ac:dyDescent="0.15"/>
    <row r="30749" hidden="1" x14ac:dyDescent="0.15"/>
    <row r="30750" hidden="1" x14ac:dyDescent="0.15"/>
    <row r="30751" hidden="1" x14ac:dyDescent="0.15"/>
    <row r="30752" hidden="1" x14ac:dyDescent="0.15"/>
    <row r="30753" hidden="1" x14ac:dyDescent="0.15"/>
    <row r="30754" hidden="1" x14ac:dyDescent="0.15"/>
    <row r="30755" hidden="1" x14ac:dyDescent="0.15"/>
    <row r="30756" hidden="1" x14ac:dyDescent="0.15"/>
    <row r="30757" hidden="1" x14ac:dyDescent="0.15"/>
    <row r="30758" hidden="1" x14ac:dyDescent="0.15"/>
    <row r="30759" hidden="1" x14ac:dyDescent="0.15"/>
    <row r="30760" hidden="1" x14ac:dyDescent="0.15"/>
    <row r="30761" hidden="1" x14ac:dyDescent="0.15"/>
    <row r="30762" hidden="1" x14ac:dyDescent="0.15"/>
    <row r="30763" hidden="1" x14ac:dyDescent="0.15"/>
    <row r="30764" hidden="1" x14ac:dyDescent="0.15"/>
    <row r="30765" hidden="1" x14ac:dyDescent="0.15"/>
    <row r="30766" hidden="1" x14ac:dyDescent="0.15"/>
    <row r="30767" hidden="1" x14ac:dyDescent="0.15"/>
    <row r="30768" hidden="1" x14ac:dyDescent="0.15"/>
    <row r="30769" hidden="1" x14ac:dyDescent="0.15"/>
    <row r="30770" hidden="1" x14ac:dyDescent="0.15"/>
    <row r="30771" hidden="1" x14ac:dyDescent="0.15"/>
    <row r="30772" hidden="1" x14ac:dyDescent="0.15"/>
    <row r="30773" hidden="1" x14ac:dyDescent="0.15"/>
    <row r="30774" hidden="1" x14ac:dyDescent="0.15"/>
    <row r="30775" hidden="1" x14ac:dyDescent="0.15"/>
    <row r="30776" hidden="1" x14ac:dyDescent="0.15"/>
    <row r="30777" hidden="1" x14ac:dyDescent="0.15"/>
    <row r="30778" hidden="1" x14ac:dyDescent="0.15"/>
    <row r="30779" hidden="1" x14ac:dyDescent="0.15"/>
    <row r="30780" hidden="1" x14ac:dyDescent="0.15"/>
    <row r="30781" hidden="1" x14ac:dyDescent="0.15"/>
    <row r="30782" hidden="1" x14ac:dyDescent="0.15"/>
    <row r="30783" hidden="1" x14ac:dyDescent="0.15"/>
    <row r="30784" hidden="1" x14ac:dyDescent="0.15"/>
    <row r="30785" hidden="1" x14ac:dyDescent="0.15"/>
    <row r="30786" hidden="1" x14ac:dyDescent="0.15"/>
    <row r="30787" hidden="1" x14ac:dyDescent="0.15"/>
    <row r="30788" hidden="1" x14ac:dyDescent="0.15"/>
    <row r="30789" hidden="1" x14ac:dyDescent="0.15"/>
    <row r="30790" hidden="1" x14ac:dyDescent="0.15"/>
    <row r="30791" hidden="1" x14ac:dyDescent="0.15"/>
    <row r="30792" hidden="1" x14ac:dyDescent="0.15"/>
    <row r="30793" hidden="1" x14ac:dyDescent="0.15"/>
    <row r="30794" hidden="1" x14ac:dyDescent="0.15"/>
    <row r="30795" hidden="1" x14ac:dyDescent="0.15"/>
    <row r="30796" hidden="1" x14ac:dyDescent="0.15"/>
    <row r="30797" hidden="1" x14ac:dyDescent="0.15"/>
    <row r="30798" hidden="1" x14ac:dyDescent="0.15"/>
    <row r="30799" hidden="1" x14ac:dyDescent="0.15"/>
    <row r="30800" hidden="1" x14ac:dyDescent="0.15"/>
    <row r="30801" hidden="1" x14ac:dyDescent="0.15"/>
    <row r="30802" hidden="1" x14ac:dyDescent="0.15"/>
    <row r="30803" hidden="1" x14ac:dyDescent="0.15"/>
    <row r="30804" hidden="1" x14ac:dyDescent="0.15"/>
    <row r="30805" hidden="1" x14ac:dyDescent="0.15"/>
    <row r="30806" hidden="1" x14ac:dyDescent="0.15"/>
    <row r="30807" hidden="1" x14ac:dyDescent="0.15"/>
    <row r="30808" hidden="1" x14ac:dyDescent="0.15"/>
    <row r="30809" hidden="1" x14ac:dyDescent="0.15"/>
    <row r="30810" hidden="1" x14ac:dyDescent="0.15"/>
    <row r="30811" hidden="1" x14ac:dyDescent="0.15"/>
    <row r="30812" hidden="1" x14ac:dyDescent="0.15"/>
    <row r="30813" hidden="1" x14ac:dyDescent="0.15"/>
    <row r="30814" hidden="1" x14ac:dyDescent="0.15"/>
    <row r="30815" hidden="1" x14ac:dyDescent="0.15"/>
    <row r="30816" hidden="1" x14ac:dyDescent="0.15"/>
    <row r="30817" hidden="1" x14ac:dyDescent="0.15"/>
    <row r="30818" hidden="1" x14ac:dyDescent="0.15"/>
    <row r="30819" hidden="1" x14ac:dyDescent="0.15"/>
    <row r="30820" hidden="1" x14ac:dyDescent="0.15"/>
    <row r="30821" hidden="1" x14ac:dyDescent="0.15"/>
    <row r="30822" hidden="1" x14ac:dyDescent="0.15"/>
    <row r="30823" hidden="1" x14ac:dyDescent="0.15"/>
    <row r="30824" hidden="1" x14ac:dyDescent="0.15"/>
    <row r="30825" hidden="1" x14ac:dyDescent="0.15"/>
    <row r="30826" hidden="1" x14ac:dyDescent="0.15"/>
    <row r="30827" hidden="1" x14ac:dyDescent="0.15"/>
    <row r="30828" hidden="1" x14ac:dyDescent="0.15"/>
    <row r="30829" hidden="1" x14ac:dyDescent="0.15"/>
    <row r="30830" hidden="1" x14ac:dyDescent="0.15"/>
    <row r="30831" hidden="1" x14ac:dyDescent="0.15"/>
    <row r="30832" hidden="1" x14ac:dyDescent="0.15"/>
    <row r="30833" hidden="1" x14ac:dyDescent="0.15"/>
    <row r="30834" hidden="1" x14ac:dyDescent="0.15"/>
    <row r="30835" hidden="1" x14ac:dyDescent="0.15"/>
    <row r="30836" hidden="1" x14ac:dyDescent="0.15"/>
    <row r="30837" hidden="1" x14ac:dyDescent="0.15"/>
    <row r="30838" hidden="1" x14ac:dyDescent="0.15"/>
    <row r="30839" hidden="1" x14ac:dyDescent="0.15"/>
    <row r="30840" hidden="1" x14ac:dyDescent="0.15"/>
    <row r="30841" hidden="1" x14ac:dyDescent="0.15"/>
    <row r="30842" hidden="1" x14ac:dyDescent="0.15"/>
    <row r="30843" hidden="1" x14ac:dyDescent="0.15"/>
    <row r="30844" hidden="1" x14ac:dyDescent="0.15"/>
    <row r="30845" hidden="1" x14ac:dyDescent="0.15"/>
    <row r="30846" hidden="1" x14ac:dyDescent="0.15"/>
    <row r="30847" hidden="1" x14ac:dyDescent="0.15"/>
    <row r="30848" hidden="1" x14ac:dyDescent="0.15"/>
    <row r="30849" hidden="1" x14ac:dyDescent="0.15"/>
    <row r="30850" hidden="1" x14ac:dyDescent="0.15"/>
    <row r="30851" hidden="1" x14ac:dyDescent="0.15"/>
    <row r="30852" hidden="1" x14ac:dyDescent="0.15"/>
    <row r="30853" hidden="1" x14ac:dyDescent="0.15"/>
    <row r="30854" hidden="1" x14ac:dyDescent="0.15"/>
    <row r="30855" hidden="1" x14ac:dyDescent="0.15"/>
    <row r="30856" hidden="1" x14ac:dyDescent="0.15"/>
    <row r="30857" hidden="1" x14ac:dyDescent="0.15"/>
    <row r="30858" hidden="1" x14ac:dyDescent="0.15"/>
    <row r="30859" hidden="1" x14ac:dyDescent="0.15"/>
    <row r="30860" hidden="1" x14ac:dyDescent="0.15"/>
    <row r="30861" hidden="1" x14ac:dyDescent="0.15"/>
    <row r="30862" hidden="1" x14ac:dyDescent="0.15"/>
    <row r="30863" hidden="1" x14ac:dyDescent="0.15"/>
    <row r="30864" hidden="1" x14ac:dyDescent="0.15"/>
    <row r="30865" hidden="1" x14ac:dyDescent="0.15"/>
    <row r="30866" hidden="1" x14ac:dyDescent="0.15"/>
    <row r="30867" hidden="1" x14ac:dyDescent="0.15"/>
    <row r="30868" hidden="1" x14ac:dyDescent="0.15"/>
    <row r="30869" hidden="1" x14ac:dyDescent="0.15"/>
    <row r="30870" hidden="1" x14ac:dyDescent="0.15"/>
    <row r="30871" hidden="1" x14ac:dyDescent="0.15"/>
    <row r="30872" hidden="1" x14ac:dyDescent="0.15"/>
    <row r="30873" hidden="1" x14ac:dyDescent="0.15"/>
    <row r="30874" hidden="1" x14ac:dyDescent="0.15"/>
    <row r="30875" hidden="1" x14ac:dyDescent="0.15"/>
    <row r="30876" hidden="1" x14ac:dyDescent="0.15"/>
    <row r="30877" hidden="1" x14ac:dyDescent="0.15"/>
    <row r="30878" hidden="1" x14ac:dyDescent="0.15"/>
    <row r="30879" hidden="1" x14ac:dyDescent="0.15"/>
    <row r="30880" hidden="1" x14ac:dyDescent="0.15"/>
    <row r="30881" hidden="1" x14ac:dyDescent="0.15"/>
    <row r="30882" hidden="1" x14ac:dyDescent="0.15"/>
    <row r="30883" hidden="1" x14ac:dyDescent="0.15"/>
    <row r="30884" hidden="1" x14ac:dyDescent="0.15"/>
    <row r="30885" hidden="1" x14ac:dyDescent="0.15"/>
    <row r="30886" hidden="1" x14ac:dyDescent="0.15"/>
    <row r="30887" hidden="1" x14ac:dyDescent="0.15"/>
    <row r="30888" hidden="1" x14ac:dyDescent="0.15"/>
    <row r="30889" hidden="1" x14ac:dyDescent="0.15"/>
    <row r="30890" hidden="1" x14ac:dyDescent="0.15"/>
    <row r="30891" hidden="1" x14ac:dyDescent="0.15"/>
    <row r="30892" hidden="1" x14ac:dyDescent="0.15"/>
    <row r="30893" hidden="1" x14ac:dyDescent="0.15"/>
    <row r="30894" hidden="1" x14ac:dyDescent="0.15"/>
    <row r="30895" hidden="1" x14ac:dyDescent="0.15"/>
    <row r="30896" hidden="1" x14ac:dyDescent="0.15"/>
    <row r="30897" hidden="1" x14ac:dyDescent="0.15"/>
    <row r="30898" hidden="1" x14ac:dyDescent="0.15"/>
    <row r="30899" hidden="1" x14ac:dyDescent="0.15"/>
    <row r="30900" hidden="1" x14ac:dyDescent="0.15"/>
    <row r="30901" hidden="1" x14ac:dyDescent="0.15"/>
    <row r="30902" hidden="1" x14ac:dyDescent="0.15"/>
    <row r="30903" hidden="1" x14ac:dyDescent="0.15"/>
    <row r="30904" hidden="1" x14ac:dyDescent="0.15"/>
    <row r="30905" hidden="1" x14ac:dyDescent="0.15"/>
    <row r="30906" hidden="1" x14ac:dyDescent="0.15"/>
    <row r="30907" hidden="1" x14ac:dyDescent="0.15"/>
    <row r="30908" hidden="1" x14ac:dyDescent="0.15"/>
    <row r="30909" hidden="1" x14ac:dyDescent="0.15"/>
    <row r="30910" hidden="1" x14ac:dyDescent="0.15"/>
    <row r="30911" hidden="1" x14ac:dyDescent="0.15"/>
    <row r="30912" hidden="1" x14ac:dyDescent="0.15"/>
    <row r="30913" hidden="1" x14ac:dyDescent="0.15"/>
    <row r="30914" hidden="1" x14ac:dyDescent="0.15"/>
    <row r="30915" hidden="1" x14ac:dyDescent="0.15"/>
    <row r="30916" hidden="1" x14ac:dyDescent="0.15"/>
    <row r="30917" hidden="1" x14ac:dyDescent="0.15"/>
    <row r="30918" hidden="1" x14ac:dyDescent="0.15"/>
    <row r="30919" hidden="1" x14ac:dyDescent="0.15"/>
    <row r="30920" hidden="1" x14ac:dyDescent="0.15"/>
    <row r="30921" hidden="1" x14ac:dyDescent="0.15"/>
    <row r="30922" hidden="1" x14ac:dyDescent="0.15"/>
    <row r="30923" hidden="1" x14ac:dyDescent="0.15"/>
    <row r="30924" hidden="1" x14ac:dyDescent="0.15"/>
    <row r="30925" hidden="1" x14ac:dyDescent="0.15"/>
    <row r="30926" hidden="1" x14ac:dyDescent="0.15"/>
    <row r="30927" hidden="1" x14ac:dyDescent="0.15"/>
    <row r="30928" hidden="1" x14ac:dyDescent="0.15"/>
    <row r="30929" hidden="1" x14ac:dyDescent="0.15"/>
    <row r="30930" hidden="1" x14ac:dyDescent="0.15"/>
    <row r="30931" hidden="1" x14ac:dyDescent="0.15"/>
    <row r="30932" hidden="1" x14ac:dyDescent="0.15"/>
    <row r="30933" hidden="1" x14ac:dyDescent="0.15"/>
    <row r="30934" hidden="1" x14ac:dyDescent="0.15"/>
    <row r="30935" hidden="1" x14ac:dyDescent="0.15"/>
    <row r="30936" hidden="1" x14ac:dyDescent="0.15"/>
    <row r="30937" hidden="1" x14ac:dyDescent="0.15"/>
    <row r="30938" hidden="1" x14ac:dyDescent="0.15"/>
    <row r="30939" hidden="1" x14ac:dyDescent="0.15"/>
    <row r="30940" hidden="1" x14ac:dyDescent="0.15"/>
    <row r="30941" hidden="1" x14ac:dyDescent="0.15"/>
    <row r="30942" hidden="1" x14ac:dyDescent="0.15"/>
    <row r="30943" hidden="1" x14ac:dyDescent="0.15"/>
    <row r="30944" hidden="1" x14ac:dyDescent="0.15"/>
    <row r="30945" hidden="1" x14ac:dyDescent="0.15"/>
    <row r="30946" hidden="1" x14ac:dyDescent="0.15"/>
    <row r="30947" hidden="1" x14ac:dyDescent="0.15"/>
    <row r="30948" hidden="1" x14ac:dyDescent="0.15"/>
    <row r="30949" hidden="1" x14ac:dyDescent="0.15"/>
    <row r="30950" hidden="1" x14ac:dyDescent="0.15"/>
    <row r="30951" hidden="1" x14ac:dyDescent="0.15"/>
    <row r="30952" hidden="1" x14ac:dyDescent="0.15"/>
    <row r="30953" hidden="1" x14ac:dyDescent="0.15"/>
    <row r="30954" hidden="1" x14ac:dyDescent="0.15"/>
    <row r="30955" hidden="1" x14ac:dyDescent="0.15"/>
    <row r="30956" hidden="1" x14ac:dyDescent="0.15"/>
    <row r="30957" hidden="1" x14ac:dyDescent="0.15"/>
    <row r="30958" hidden="1" x14ac:dyDescent="0.15"/>
    <row r="30959" hidden="1" x14ac:dyDescent="0.15"/>
    <row r="30960" hidden="1" x14ac:dyDescent="0.15"/>
    <row r="30961" hidden="1" x14ac:dyDescent="0.15"/>
    <row r="30962" hidden="1" x14ac:dyDescent="0.15"/>
    <row r="30963" hidden="1" x14ac:dyDescent="0.15"/>
    <row r="30964" hidden="1" x14ac:dyDescent="0.15"/>
    <row r="30965" hidden="1" x14ac:dyDescent="0.15"/>
    <row r="30966" hidden="1" x14ac:dyDescent="0.15"/>
    <row r="30967" hidden="1" x14ac:dyDescent="0.15"/>
    <row r="30968" hidden="1" x14ac:dyDescent="0.15"/>
    <row r="30969" hidden="1" x14ac:dyDescent="0.15"/>
    <row r="30970" hidden="1" x14ac:dyDescent="0.15"/>
    <row r="30971" hidden="1" x14ac:dyDescent="0.15"/>
    <row r="30972" hidden="1" x14ac:dyDescent="0.15"/>
    <row r="30973" hidden="1" x14ac:dyDescent="0.15"/>
    <row r="30974" hidden="1" x14ac:dyDescent="0.15"/>
    <row r="30975" hidden="1" x14ac:dyDescent="0.15"/>
    <row r="30976" hidden="1" x14ac:dyDescent="0.15"/>
    <row r="30977" hidden="1" x14ac:dyDescent="0.15"/>
    <row r="30978" hidden="1" x14ac:dyDescent="0.15"/>
    <row r="30979" hidden="1" x14ac:dyDescent="0.15"/>
    <row r="30980" hidden="1" x14ac:dyDescent="0.15"/>
    <row r="30981" hidden="1" x14ac:dyDescent="0.15"/>
    <row r="30982" hidden="1" x14ac:dyDescent="0.15"/>
    <row r="30983" hidden="1" x14ac:dyDescent="0.15"/>
    <row r="30984" hidden="1" x14ac:dyDescent="0.15"/>
    <row r="30985" hidden="1" x14ac:dyDescent="0.15"/>
    <row r="30986" hidden="1" x14ac:dyDescent="0.15"/>
    <row r="30987" hidden="1" x14ac:dyDescent="0.15"/>
    <row r="30988" hidden="1" x14ac:dyDescent="0.15"/>
    <row r="30989" hidden="1" x14ac:dyDescent="0.15"/>
    <row r="30990" hidden="1" x14ac:dyDescent="0.15"/>
    <row r="30991" hidden="1" x14ac:dyDescent="0.15"/>
    <row r="30992" hidden="1" x14ac:dyDescent="0.15"/>
    <row r="30993" hidden="1" x14ac:dyDescent="0.15"/>
    <row r="30994" hidden="1" x14ac:dyDescent="0.15"/>
    <row r="30995" hidden="1" x14ac:dyDescent="0.15"/>
    <row r="30996" hidden="1" x14ac:dyDescent="0.15"/>
    <row r="30997" hidden="1" x14ac:dyDescent="0.15"/>
    <row r="30998" hidden="1" x14ac:dyDescent="0.15"/>
    <row r="30999" hidden="1" x14ac:dyDescent="0.15"/>
    <row r="31000" hidden="1" x14ac:dyDescent="0.15"/>
    <row r="31001" hidden="1" x14ac:dyDescent="0.15"/>
    <row r="31002" hidden="1" x14ac:dyDescent="0.15"/>
    <row r="31003" hidden="1" x14ac:dyDescent="0.15"/>
    <row r="31004" hidden="1" x14ac:dyDescent="0.15"/>
    <row r="31005" hidden="1" x14ac:dyDescent="0.15"/>
    <row r="31006" hidden="1" x14ac:dyDescent="0.15"/>
    <row r="31007" hidden="1" x14ac:dyDescent="0.15"/>
    <row r="31008" hidden="1" x14ac:dyDescent="0.15"/>
    <row r="31009" hidden="1" x14ac:dyDescent="0.15"/>
    <row r="31010" hidden="1" x14ac:dyDescent="0.15"/>
    <row r="31011" hidden="1" x14ac:dyDescent="0.15"/>
    <row r="31012" hidden="1" x14ac:dyDescent="0.15"/>
    <row r="31013" hidden="1" x14ac:dyDescent="0.15"/>
    <row r="31014" hidden="1" x14ac:dyDescent="0.15"/>
    <row r="31015" hidden="1" x14ac:dyDescent="0.15"/>
    <row r="31016" hidden="1" x14ac:dyDescent="0.15"/>
    <row r="31017" hidden="1" x14ac:dyDescent="0.15"/>
    <row r="31018" hidden="1" x14ac:dyDescent="0.15"/>
    <row r="31019" hidden="1" x14ac:dyDescent="0.15"/>
    <row r="31020" hidden="1" x14ac:dyDescent="0.15"/>
    <row r="31021" hidden="1" x14ac:dyDescent="0.15"/>
    <row r="31022" hidden="1" x14ac:dyDescent="0.15"/>
    <row r="31023" hidden="1" x14ac:dyDescent="0.15"/>
    <row r="31024" hidden="1" x14ac:dyDescent="0.15"/>
    <row r="31025" hidden="1" x14ac:dyDescent="0.15"/>
    <row r="31026" hidden="1" x14ac:dyDescent="0.15"/>
    <row r="31027" hidden="1" x14ac:dyDescent="0.15"/>
    <row r="31028" hidden="1" x14ac:dyDescent="0.15"/>
    <row r="31029" hidden="1" x14ac:dyDescent="0.15"/>
    <row r="31030" hidden="1" x14ac:dyDescent="0.15"/>
    <row r="31031" hidden="1" x14ac:dyDescent="0.15"/>
    <row r="31032" hidden="1" x14ac:dyDescent="0.15"/>
    <row r="31033" hidden="1" x14ac:dyDescent="0.15"/>
    <row r="31034" hidden="1" x14ac:dyDescent="0.15"/>
    <row r="31035" hidden="1" x14ac:dyDescent="0.15"/>
    <row r="31036" hidden="1" x14ac:dyDescent="0.15"/>
    <row r="31037" hidden="1" x14ac:dyDescent="0.15"/>
    <row r="31038" hidden="1" x14ac:dyDescent="0.15"/>
    <row r="31039" hidden="1" x14ac:dyDescent="0.15"/>
    <row r="31040" hidden="1" x14ac:dyDescent="0.15"/>
    <row r="31041" hidden="1" x14ac:dyDescent="0.15"/>
    <row r="31042" hidden="1" x14ac:dyDescent="0.15"/>
    <row r="31043" hidden="1" x14ac:dyDescent="0.15"/>
    <row r="31044" hidden="1" x14ac:dyDescent="0.15"/>
    <row r="31045" hidden="1" x14ac:dyDescent="0.15"/>
    <row r="31046" hidden="1" x14ac:dyDescent="0.15"/>
    <row r="31047" hidden="1" x14ac:dyDescent="0.15"/>
    <row r="31048" hidden="1" x14ac:dyDescent="0.15"/>
    <row r="31049" hidden="1" x14ac:dyDescent="0.15"/>
    <row r="31050" hidden="1" x14ac:dyDescent="0.15"/>
    <row r="31051" hidden="1" x14ac:dyDescent="0.15"/>
    <row r="31052" hidden="1" x14ac:dyDescent="0.15"/>
    <row r="31053" hidden="1" x14ac:dyDescent="0.15"/>
    <row r="31054" hidden="1" x14ac:dyDescent="0.15"/>
    <row r="31055" hidden="1" x14ac:dyDescent="0.15"/>
    <row r="31056" hidden="1" x14ac:dyDescent="0.15"/>
    <row r="31057" hidden="1" x14ac:dyDescent="0.15"/>
    <row r="31058" hidden="1" x14ac:dyDescent="0.15"/>
    <row r="31059" hidden="1" x14ac:dyDescent="0.15"/>
    <row r="31060" hidden="1" x14ac:dyDescent="0.15"/>
    <row r="31061" hidden="1" x14ac:dyDescent="0.15"/>
    <row r="31062" hidden="1" x14ac:dyDescent="0.15"/>
    <row r="31063" hidden="1" x14ac:dyDescent="0.15"/>
    <row r="31064" hidden="1" x14ac:dyDescent="0.15"/>
    <row r="31065" hidden="1" x14ac:dyDescent="0.15"/>
    <row r="31066" hidden="1" x14ac:dyDescent="0.15"/>
    <row r="31067" hidden="1" x14ac:dyDescent="0.15"/>
    <row r="31068" hidden="1" x14ac:dyDescent="0.15"/>
    <row r="31069" hidden="1" x14ac:dyDescent="0.15"/>
    <row r="31070" hidden="1" x14ac:dyDescent="0.15"/>
    <row r="31071" hidden="1" x14ac:dyDescent="0.15"/>
    <row r="31072" hidden="1" x14ac:dyDescent="0.15"/>
    <row r="31073" hidden="1" x14ac:dyDescent="0.15"/>
    <row r="31074" hidden="1" x14ac:dyDescent="0.15"/>
    <row r="31075" hidden="1" x14ac:dyDescent="0.15"/>
    <row r="31076" hidden="1" x14ac:dyDescent="0.15"/>
    <row r="31077" hidden="1" x14ac:dyDescent="0.15"/>
    <row r="31078" hidden="1" x14ac:dyDescent="0.15"/>
    <row r="31079" hidden="1" x14ac:dyDescent="0.15"/>
    <row r="31080" hidden="1" x14ac:dyDescent="0.15"/>
    <row r="31081" hidden="1" x14ac:dyDescent="0.15"/>
    <row r="31082" hidden="1" x14ac:dyDescent="0.15"/>
    <row r="31083" hidden="1" x14ac:dyDescent="0.15"/>
    <row r="31084" hidden="1" x14ac:dyDescent="0.15"/>
    <row r="31085" hidden="1" x14ac:dyDescent="0.15"/>
    <row r="31086" hidden="1" x14ac:dyDescent="0.15"/>
    <row r="31087" hidden="1" x14ac:dyDescent="0.15"/>
    <row r="31088" hidden="1" x14ac:dyDescent="0.15"/>
    <row r="31089" hidden="1" x14ac:dyDescent="0.15"/>
    <row r="31090" hidden="1" x14ac:dyDescent="0.15"/>
    <row r="31091" hidden="1" x14ac:dyDescent="0.15"/>
    <row r="31092" hidden="1" x14ac:dyDescent="0.15"/>
    <row r="31093" hidden="1" x14ac:dyDescent="0.15"/>
    <row r="31094" hidden="1" x14ac:dyDescent="0.15"/>
    <row r="31095" hidden="1" x14ac:dyDescent="0.15"/>
    <row r="31096" hidden="1" x14ac:dyDescent="0.15"/>
    <row r="31097" hidden="1" x14ac:dyDescent="0.15"/>
    <row r="31098" hidden="1" x14ac:dyDescent="0.15"/>
    <row r="31099" hidden="1" x14ac:dyDescent="0.15"/>
    <row r="31100" hidden="1" x14ac:dyDescent="0.15"/>
    <row r="31101" hidden="1" x14ac:dyDescent="0.15"/>
    <row r="31102" hidden="1" x14ac:dyDescent="0.15"/>
    <row r="31103" hidden="1" x14ac:dyDescent="0.15"/>
    <row r="31104" hidden="1" x14ac:dyDescent="0.15"/>
    <row r="31105" hidden="1" x14ac:dyDescent="0.15"/>
    <row r="31106" hidden="1" x14ac:dyDescent="0.15"/>
    <row r="31107" hidden="1" x14ac:dyDescent="0.15"/>
    <row r="31108" hidden="1" x14ac:dyDescent="0.15"/>
    <row r="31109" hidden="1" x14ac:dyDescent="0.15"/>
    <row r="31110" hidden="1" x14ac:dyDescent="0.15"/>
    <row r="31111" hidden="1" x14ac:dyDescent="0.15"/>
    <row r="31112" hidden="1" x14ac:dyDescent="0.15"/>
    <row r="31113" hidden="1" x14ac:dyDescent="0.15"/>
    <row r="31114" hidden="1" x14ac:dyDescent="0.15"/>
    <row r="31115" hidden="1" x14ac:dyDescent="0.15"/>
    <row r="31116" hidden="1" x14ac:dyDescent="0.15"/>
    <row r="31117" hidden="1" x14ac:dyDescent="0.15"/>
    <row r="31118" hidden="1" x14ac:dyDescent="0.15"/>
    <row r="31119" hidden="1" x14ac:dyDescent="0.15"/>
    <row r="31120" hidden="1" x14ac:dyDescent="0.15"/>
    <row r="31121" hidden="1" x14ac:dyDescent="0.15"/>
    <row r="31122" hidden="1" x14ac:dyDescent="0.15"/>
    <row r="31123" hidden="1" x14ac:dyDescent="0.15"/>
    <row r="31124" hidden="1" x14ac:dyDescent="0.15"/>
    <row r="31125" hidden="1" x14ac:dyDescent="0.15"/>
    <row r="31126" hidden="1" x14ac:dyDescent="0.15"/>
    <row r="31127" hidden="1" x14ac:dyDescent="0.15"/>
    <row r="31128" hidden="1" x14ac:dyDescent="0.15"/>
    <row r="31129" hidden="1" x14ac:dyDescent="0.15"/>
    <row r="31130" hidden="1" x14ac:dyDescent="0.15"/>
    <row r="31131" hidden="1" x14ac:dyDescent="0.15"/>
    <row r="31132" hidden="1" x14ac:dyDescent="0.15"/>
    <row r="31133" hidden="1" x14ac:dyDescent="0.15"/>
    <row r="31134" hidden="1" x14ac:dyDescent="0.15"/>
    <row r="31135" hidden="1" x14ac:dyDescent="0.15"/>
    <row r="31136" hidden="1" x14ac:dyDescent="0.15"/>
    <row r="31137" hidden="1" x14ac:dyDescent="0.15"/>
    <row r="31138" hidden="1" x14ac:dyDescent="0.15"/>
    <row r="31139" hidden="1" x14ac:dyDescent="0.15"/>
    <row r="31140" hidden="1" x14ac:dyDescent="0.15"/>
    <row r="31141" hidden="1" x14ac:dyDescent="0.15"/>
    <row r="31142" hidden="1" x14ac:dyDescent="0.15"/>
    <row r="31143" hidden="1" x14ac:dyDescent="0.15"/>
    <row r="31144" hidden="1" x14ac:dyDescent="0.15"/>
    <row r="31145" hidden="1" x14ac:dyDescent="0.15"/>
    <row r="31146" hidden="1" x14ac:dyDescent="0.15"/>
    <row r="31147" hidden="1" x14ac:dyDescent="0.15"/>
    <row r="31148" hidden="1" x14ac:dyDescent="0.15"/>
    <row r="31149" hidden="1" x14ac:dyDescent="0.15"/>
    <row r="31150" hidden="1" x14ac:dyDescent="0.15"/>
    <row r="31151" hidden="1" x14ac:dyDescent="0.15"/>
    <row r="31152" hidden="1" x14ac:dyDescent="0.15"/>
    <row r="31153" hidden="1" x14ac:dyDescent="0.15"/>
    <row r="31154" hidden="1" x14ac:dyDescent="0.15"/>
    <row r="31155" hidden="1" x14ac:dyDescent="0.15"/>
    <row r="31156" hidden="1" x14ac:dyDescent="0.15"/>
    <row r="31157" hidden="1" x14ac:dyDescent="0.15"/>
    <row r="31158" hidden="1" x14ac:dyDescent="0.15"/>
    <row r="31159" hidden="1" x14ac:dyDescent="0.15"/>
    <row r="31160" hidden="1" x14ac:dyDescent="0.15"/>
    <row r="31161" hidden="1" x14ac:dyDescent="0.15"/>
    <row r="31162" hidden="1" x14ac:dyDescent="0.15"/>
    <row r="31163" hidden="1" x14ac:dyDescent="0.15"/>
    <row r="31164" hidden="1" x14ac:dyDescent="0.15"/>
    <row r="31165" hidden="1" x14ac:dyDescent="0.15"/>
    <row r="31166" hidden="1" x14ac:dyDescent="0.15"/>
    <row r="31167" hidden="1" x14ac:dyDescent="0.15"/>
    <row r="31168" hidden="1" x14ac:dyDescent="0.15"/>
    <row r="31169" hidden="1" x14ac:dyDescent="0.15"/>
    <row r="31170" hidden="1" x14ac:dyDescent="0.15"/>
    <row r="31171" hidden="1" x14ac:dyDescent="0.15"/>
    <row r="31172" hidden="1" x14ac:dyDescent="0.15"/>
    <row r="31173" hidden="1" x14ac:dyDescent="0.15"/>
    <row r="31174" hidden="1" x14ac:dyDescent="0.15"/>
    <row r="31175" hidden="1" x14ac:dyDescent="0.15"/>
    <row r="31176" hidden="1" x14ac:dyDescent="0.15"/>
    <row r="31177" hidden="1" x14ac:dyDescent="0.15"/>
    <row r="31178" hidden="1" x14ac:dyDescent="0.15"/>
    <row r="31179" hidden="1" x14ac:dyDescent="0.15"/>
    <row r="31180" hidden="1" x14ac:dyDescent="0.15"/>
    <row r="31181" hidden="1" x14ac:dyDescent="0.15"/>
    <row r="31182" hidden="1" x14ac:dyDescent="0.15"/>
    <row r="31183" hidden="1" x14ac:dyDescent="0.15"/>
    <row r="31184" hidden="1" x14ac:dyDescent="0.15"/>
    <row r="31185" hidden="1" x14ac:dyDescent="0.15"/>
    <row r="31186" hidden="1" x14ac:dyDescent="0.15"/>
    <row r="31187" hidden="1" x14ac:dyDescent="0.15"/>
    <row r="31188" hidden="1" x14ac:dyDescent="0.15"/>
    <row r="31189" hidden="1" x14ac:dyDescent="0.15"/>
    <row r="31190" hidden="1" x14ac:dyDescent="0.15"/>
    <row r="31191" hidden="1" x14ac:dyDescent="0.15"/>
    <row r="31192" hidden="1" x14ac:dyDescent="0.15"/>
    <row r="31193" hidden="1" x14ac:dyDescent="0.15"/>
    <row r="31194" hidden="1" x14ac:dyDescent="0.15"/>
    <row r="31195" hidden="1" x14ac:dyDescent="0.15"/>
    <row r="31196" hidden="1" x14ac:dyDescent="0.15"/>
    <row r="31197" hidden="1" x14ac:dyDescent="0.15"/>
    <row r="31198" hidden="1" x14ac:dyDescent="0.15"/>
    <row r="31199" hidden="1" x14ac:dyDescent="0.15"/>
    <row r="31200" hidden="1" x14ac:dyDescent="0.15"/>
    <row r="31201" hidden="1" x14ac:dyDescent="0.15"/>
    <row r="31202" hidden="1" x14ac:dyDescent="0.15"/>
    <row r="31203" hidden="1" x14ac:dyDescent="0.15"/>
    <row r="31204" hidden="1" x14ac:dyDescent="0.15"/>
    <row r="31205" hidden="1" x14ac:dyDescent="0.15"/>
    <row r="31206" hidden="1" x14ac:dyDescent="0.15"/>
    <row r="31207" hidden="1" x14ac:dyDescent="0.15"/>
    <row r="31208" hidden="1" x14ac:dyDescent="0.15"/>
    <row r="31209" hidden="1" x14ac:dyDescent="0.15"/>
    <row r="31210" hidden="1" x14ac:dyDescent="0.15"/>
    <row r="31211" hidden="1" x14ac:dyDescent="0.15"/>
    <row r="31212" hidden="1" x14ac:dyDescent="0.15"/>
    <row r="31213" hidden="1" x14ac:dyDescent="0.15"/>
    <row r="31214" hidden="1" x14ac:dyDescent="0.15"/>
    <row r="31215" hidden="1" x14ac:dyDescent="0.15"/>
    <row r="31216" hidden="1" x14ac:dyDescent="0.15"/>
    <row r="31217" hidden="1" x14ac:dyDescent="0.15"/>
    <row r="31218" hidden="1" x14ac:dyDescent="0.15"/>
    <row r="31219" hidden="1" x14ac:dyDescent="0.15"/>
    <row r="31220" hidden="1" x14ac:dyDescent="0.15"/>
    <row r="31221" hidden="1" x14ac:dyDescent="0.15"/>
    <row r="31222" hidden="1" x14ac:dyDescent="0.15"/>
    <row r="31223" hidden="1" x14ac:dyDescent="0.15"/>
    <row r="31224" hidden="1" x14ac:dyDescent="0.15"/>
    <row r="31225" hidden="1" x14ac:dyDescent="0.15"/>
    <row r="31226" hidden="1" x14ac:dyDescent="0.15"/>
    <row r="31227" hidden="1" x14ac:dyDescent="0.15"/>
    <row r="31228" hidden="1" x14ac:dyDescent="0.15"/>
    <row r="31229" hidden="1" x14ac:dyDescent="0.15"/>
    <row r="31230" hidden="1" x14ac:dyDescent="0.15"/>
    <row r="31231" hidden="1" x14ac:dyDescent="0.15"/>
    <row r="31232" hidden="1" x14ac:dyDescent="0.15"/>
    <row r="31233" hidden="1" x14ac:dyDescent="0.15"/>
    <row r="31234" hidden="1" x14ac:dyDescent="0.15"/>
    <row r="31235" hidden="1" x14ac:dyDescent="0.15"/>
    <row r="31236" hidden="1" x14ac:dyDescent="0.15"/>
    <row r="31237" hidden="1" x14ac:dyDescent="0.15"/>
    <row r="31238" hidden="1" x14ac:dyDescent="0.15"/>
    <row r="31239" hidden="1" x14ac:dyDescent="0.15"/>
    <row r="31240" hidden="1" x14ac:dyDescent="0.15"/>
    <row r="31241" hidden="1" x14ac:dyDescent="0.15"/>
    <row r="31242" hidden="1" x14ac:dyDescent="0.15"/>
    <row r="31243" hidden="1" x14ac:dyDescent="0.15"/>
    <row r="31244" hidden="1" x14ac:dyDescent="0.15"/>
    <row r="31245" hidden="1" x14ac:dyDescent="0.15"/>
    <row r="31246" hidden="1" x14ac:dyDescent="0.15"/>
    <row r="31247" hidden="1" x14ac:dyDescent="0.15"/>
    <row r="31248" hidden="1" x14ac:dyDescent="0.15"/>
    <row r="31249" hidden="1" x14ac:dyDescent="0.15"/>
    <row r="31250" hidden="1" x14ac:dyDescent="0.15"/>
    <row r="31251" hidden="1" x14ac:dyDescent="0.15"/>
    <row r="31252" hidden="1" x14ac:dyDescent="0.15"/>
    <row r="31253" hidden="1" x14ac:dyDescent="0.15"/>
    <row r="31254" hidden="1" x14ac:dyDescent="0.15"/>
    <row r="31255" hidden="1" x14ac:dyDescent="0.15"/>
    <row r="31256" hidden="1" x14ac:dyDescent="0.15"/>
    <row r="31257" hidden="1" x14ac:dyDescent="0.15"/>
    <row r="31258" hidden="1" x14ac:dyDescent="0.15"/>
    <row r="31259" hidden="1" x14ac:dyDescent="0.15"/>
    <row r="31260" hidden="1" x14ac:dyDescent="0.15"/>
    <row r="31261" hidden="1" x14ac:dyDescent="0.15"/>
    <row r="31262" hidden="1" x14ac:dyDescent="0.15"/>
    <row r="31263" hidden="1" x14ac:dyDescent="0.15"/>
    <row r="31264" hidden="1" x14ac:dyDescent="0.15"/>
    <row r="31265" hidden="1" x14ac:dyDescent="0.15"/>
    <row r="31266" hidden="1" x14ac:dyDescent="0.15"/>
    <row r="31267" hidden="1" x14ac:dyDescent="0.15"/>
    <row r="31268" hidden="1" x14ac:dyDescent="0.15"/>
    <row r="31269" hidden="1" x14ac:dyDescent="0.15"/>
    <row r="31270" hidden="1" x14ac:dyDescent="0.15"/>
    <row r="31271" hidden="1" x14ac:dyDescent="0.15"/>
    <row r="31272" hidden="1" x14ac:dyDescent="0.15"/>
    <row r="31273" hidden="1" x14ac:dyDescent="0.15"/>
    <row r="31274" hidden="1" x14ac:dyDescent="0.15"/>
    <row r="31275" hidden="1" x14ac:dyDescent="0.15"/>
    <row r="31276" hidden="1" x14ac:dyDescent="0.15"/>
    <row r="31277" hidden="1" x14ac:dyDescent="0.15"/>
    <row r="31278" hidden="1" x14ac:dyDescent="0.15"/>
    <row r="31279" hidden="1" x14ac:dyDescent="0.15"/>
    <row r="31280" hidden="1" x14ac:dyDescent="0.15"/>
    <row r="31281" hidden="1" x14ac:dyDescent="0.15"/>
    <row r="31282" hidden="1" x14ac:dyDescent="0.15"/>
    <row r="31283" hidden="1" x14ac:dyDescent="0.15"/>
    <row r="31284" hidden="1" x14ac:dyDescent="0.15"/>
    <row r="31285" hidden="1" x14ac:dyDescent="0.15"/>
    <row r="31286" hidden="1" x14ac:dyDescent="0.15"/>
    <row r="31287" hidden="1" x14ac:dyDescent="0.15"/>
    <row r="31288" hidden="1" x14ac:dyDescent="0.15"/>
    <row r="31289" hidden="1" x14ac:dyDescent="0.15"/>
    <row r="31290" hidden="1" x14ac:dyDescent="0.15"/>
    <row r="31291" hidden="1" x14ac:dyDescent="0.15"/>
    <row r="31292" hidden="1" x14ac:dyDescent="0.15"/>
    <row r="31293" hidden="1" x14ac:dyDescent="0.15"/>
    <row r="31294" hidden="1" x14ac:dyDescent="0.15"/>
    <row r="31295" hidden="1" x14ac:dyDescent="0.15"/>
    <row r="31296" hidden="1" x14ac:dyDescent="0.15"/>
    <row r="31297" hidden="1" x14ac:dyDescent="0.15"/>
    <row r="31298" hidden="1" x14ac:dyDescent="0.15"/>
    <row r="31299" hidden="1" x14ac:dyDescent="0.15"/>
    <row r="31300" hidden="1" x14ac:dyDescent="0.15"/>
    <row r="31301" hidden="1" x14ac:dyDescent="0.15"/>
    <row r="31302" hidden="1" x14ac:dyDescent="0.15"/>
    <row r="31303" hidden="1" x14ac:dyDescent="0.15"/>
    <row r="31304" hidden="1" x14ac:dyDescent="0.15"/>
    <row r="31305" hidden="1" x14ac:dyDescent="0.15"/>
    <row r="31306" hidden="1" x14ac:dyDescent="0.15"/>
    <row r="31307" hidden="1" x14ac:dyDescent="0.15"/>
    <row r="31308" hidden="1" x14ac:dyDescent="0.15"/>
    <row r="31309" hidden="1" x14ac:dyDescent="0.15"/>
    <row r="31310" hidden="1" x14ac:dyDescent="0.15"/>
    <row r="31311" hidden="1" x14ac:dyDescent="0.15"/>
    <row r="31312" hidden="1" x14ac:dyDescent="0.15"/>
    <row r="31313" hidden="1" x14ac:dyDescent="0.15"/>
    <row r="31314" hidden="1" x14ac:dyDescent="0.15"/>
    <row r="31315" hidden="1" x14ac:dyDescent="0.15"/>
    <row r="31316" hidden="1" x14ac:dyDescent="0.15"/>
    <row r="31317" hidden="1" x14ac:dyDescent="0.15"/>
    <row r="31318" hidden="1" x14ac:dyDescent="0.15"/>
    <row r="31319" hidden="1" x14ac:dyDescent="0.15"/>
    <row r="31320" hidden="1" x14ac:dyDescent="0.15"/>
    <row r="31321" hidden="1" x14ac:dyDescent="0.15"/>
    <row r="31322" hidden="1" x14ac:dyDescent="0.15"/>
    <row r="31323" hidden="1" x14ac:dyDescent="0.15"/>
    <row r="31324" hidden="1" x14ac:dyDescent="0.15"/>
    <row r="31325" hidden="1" x14ac:dyDescent="0.15"/>
    <row r="31326" hidden="1" x14ac:dyDescent="0.15"/>
    <row r="31327" hidden="1" x14ac:dyDescent="0.15"/>
    <row r="31328" hidden="1" x14ac:dyDescent="0.15"/>
    <row r="31329" hidden="1" x14ac:dyDescent="0.15"/>
    <row r="31330" hidden="1" x14ac:dyDescent="0.15"/>
    <row r="31331" hidden="1" x14ac:dyDescent="0.15"/>
    <row r="31332" hidden="1" x14ac:dyDescent="0.15"/>
    <row r="31333" hidden="1" x14ac:dyDescent="0.15"/>
    <row r="31334" hidden="1" x14ac:dyDescent="0.15"/>
    <row r="31335" hidden="1" x14ac:dyDescent="0.15"/>
    <row r="31336" hidden="1" x14ac:dyDescent="0.15"/>
    <row r="31337" hidden="1" x14ac:dyDescent="0.15"/>
    <row r="31338" hidden="1" x14ac:dyDescent="0.15"/>
    <row r="31339" hidden="1" x14ac:dyDescent="0.15"/>
    <row r="31340" hidden="1" x14ac:dyDescent="0.15"/>
    <row r="31341" hidden="1" x14ac:dyDescent="0.15"/>
    <row r="31342" hidden="1" x14ac:dyDescent="0.15"/>
    <row r="31343" hidden="1" x14ac:dyDescent="0.15"/>
    <row r="31344" hidden="1" x14ac:dyDescent="0.15"/>
    <row r="31345" hidden="1" x14ac:dyDescent="0.15"/>
    <row r="31346" hidden="1" x14ac:dyDescent="0.15"/>
    <row r="31347" hidden="1" x14ac:dyDescent="0.15"/>
    <row r="31348" hidden="1" x14ac:dyDescent="0.15"/>
    <row r="31349" hidden="1" x14ac:dyDescent="0.15"/>
    <row r="31350" hidden="1" x14ac:dyDescent="0.15"/>
    <row r="31351" hidden="1" x14ac:dyDescent="0.15"/>
    <row r="31352" hidden="1" x14ac:dyDescent="0.15"/>
    <row r="31353" hidden="1" x14ac:dyDescent="0.15"/>
    <row r="31354" hidden="1" x14ac:dyDescent="0.15"/>
    <row r="31355" hidden="1" x14ac:dyDescent="0.15"/>
    <row r="31356" hidden="1" x14ac:dyDescent="0.15"/>
    <row r="31357" hidden="1" x14ac:dyDescent="0.15"/>
    <row r="31358" hidden="1" x14ac:dyDescent="0.15"/>
    <row r="31359" hidden="1" x14ac:dyDescent="0.15"/>
    <row r="31360" hidden="1" x14ac:dyDescent="0.15"/>
    <row r="31361" hidden="1" x14ac:dyDescent="0.15"/>
    <row r="31362" hidden="1" x14ac:dyDescent="0.15"/>
    <row r="31363" hidden="1" x14ac:dyDescent="0.15"/>
    <row r="31364" hidden="1" x14ac:dyDescent="0.15"/>
    <row r="31365" hidden="1" x14ac:dyDescent="0.15"/>
    <row r="31366" hidden="1" x14ac:dyDescent="0.15"/>
    <row r="31367" hidden="1" x14ac:dyDescent="0.15"/>
    <row r="31368" hidden="1" x14ac:dyDescent="0.15"/>
    <row r="31369" hidden="1" x14ac:dyDescent="0.15"/>
    <row r="31370" hidden="1" x14ac:dyDescent="0.15"/>
    <row r="31371" hidden="1" x14ac:dyDescent="0.15"/>
    <row r="31372" hidden="1" x14ac:dyDescent="0.15"/>
    <row r="31373" hidden="1" x14ac:dyDescent="0.15"/>
    <row r="31374" hidden="1" x14ac:dyDescent="0.15"/>
    <row r="31375" hidden="1" x14ac:dyDescent="0.15"/>
    <row r="31376" hidden="1" x14ac:dyDescent="0.15"/>
    <row r="31377" hidden="1" x14ac:dyDescent="0.15"/>
    <row r="31378" hidden="1" x14ac:dyDescent="0.15"/>
    <row r="31379" hidden="1" x14ac:dyDescent="0.15"/>
    <row r="31380" hidden="1" x14ac:dyDescent="0.15"/>
    <row r="31381" hidden="1" x14ac:dyDescent="0.15"/>
    <row r="31382" hidden="1" x14ac:dyDescent="0.15"/>
    <row r="31383" hidden="1" x14ac:dyDescent="0.15"/>
    <row r="31384" hidden="1" x14ac:dyDescent="0.15"/>
    <row r="31385" hidden="1" x14ac:dyDescent="0.15"/>
    <row r="31386" hidden="1" x14ac:dyDescent="0.15"/>
    <row r="31387" hidden="1" x14ac:dyDescent="0.15"/>
    <row r="31388" hidden="1" x14ac:dyDescent="0.15"/>
    <row r="31389" hidden="1" x14ac:dyDescent="0.15"/>
    <row r="31390" hidden="1" x14ac:dyDescent="0.15"/>
    <row r="31391" hidden="1" x14ac:dyDescent="0.15"/>
    <row r="31392" hidden="1" x14ac:dyDescent="0.15"/>
    <row r="31393" hidden="1" x14ac:dyDescent="0.15"/>
    <row r="31394" hidden="1" x14ac:dyDescent="0.15"/>
    <row r="31395" hidden="1" x14ac:dyDescent="0.15"/>
    <row r="31396" hidden="1" x14ac:dyDescent="0.15"/>
    <row r="31397" hidden="1" x14ac:dyDescent="0.15"/>
    <row r="31398" hidden="1" x14ac:dyDescent="0.15"/>
    <row r="31399" hidden="1" x14ac:dyDescent="0.15"/>
    <row r="31400" hidden="1" x14ac:dyDescent="0.15"/>
    <row r="31401" hidden="1" x14ac:dyDescent="0.15"/>
    <row r="31402" hidden="1" x14ac:dyDescent="0.15"/>
    <row r="31403" hidden="1" x14ac:dyDescent="0.15"/>
    <row r="31404" hidden="1" x14ac:dyDescent="0.15"/>
    <row r="31405" hidden="1" x14ac:dyDescent="0.15"/>
    <row r="31406" hidden="1" x14ac:dyDescent="0.15"/>
    <row r="31407" hidden="1" x14ac:dyDescent="0.15"/>
    <row r="31408" hidden="1" x14ac:dyDescent="0.15"/>
    <row r="31409" hidden="1" x14ac:dyDescent="0.15"/>
    <row r="31410" hidden="1" x14ac:dyDescent="0.15"/>
    <row r="31411" hidden="1" x14ac:dyDescent="0.15"/>
    <row r="31412" hidden="1" x14ac:dyDescent="0.15"/>
    <row r="31413" hidden="1" x14ac:dyDescent="0.15"/>
    <row r="31414" hidden="1" x14ac:dyDescent="0.15"/>
    <row r="31415" hidden="1" x14ac:dyDescent="0.15"/>
    <row r="31416" hidden="1" x14ac:dyDescent="0.15"/>
    <row r="31417" hidden="1" x14ac:dyDescent="0.15"/>
    <row r="31418" hidden="1" x14ac:dyDescent="0.15"/>
    <row r="31419" hidden="1" x14ac:dyDescent="0.15"/>
    <row r="31420" hidden="1" x14ac:dyDescent="0.15"/>
    <row r="31421" hidden="1" x14ac:dyDescent="0.15"/>
    <row r="31422" hidden="1" x14ac:dyDescent="0.15"/>
    <row r="31423" hidden="1" x14ac:dyDescent="0.15"/>
    <row r="31424" hidden="1" x14ac:dyDescent="0.15"/>
    <row r="31425" hidden="1" x14ac:dyDescent="0.15"/>
    <row r="31426" hidden="1" x14ac:dyDescent="0.15"/>
    <row r="31427" hidden="1" x14ac:dyDescent="0.15"/>
    <row r="31428" hidden="1" x14ac:dyDescent="0.15"/>
    <row r="31429" hidden="1" x14ac:dyDescent="0.15"/>
    <row r="31430" hidden="1" x14ac:dyDescent="0.15"/>
    <row r="31431" hidden="1" x14ac:dyDescent="0.15"/>
    <row r="31432" hidden="1" x14ac:dyDescent="0.15"/>
    <row r="31433" hidden="1" x14ac:dyDescent="0.15"/>
    <row r="31434" hidden="1" x14ac:dyDescent="0.15"/>
    <row r="31435" hidden="1" x14ac:dyDescent="0.15"/>
    <row r="31436" hidden="1" x14ac:dyDescent="0.15"/>
    <row r="31437" hidden="1" x14ac:dyDescent="0.15"/>
    <row r="31438" hidden="1" x14ac:dyDescent="0.15"/>
    <row r="31439" hidden="1" x14ac:dyDescent="0.15"/>
    <row r="31440" hidden="1" x14ac:dyDescent="0.15"/>
    <row r="31441" hidden="1" x14ac:dyDescent="0.15"/>
    <row r="31442" hidden="1" x14ac:dyDescent="0.15"/>
    <row r="31443" hidden="1" x14ac:dyDescent="0.15"/>
    <row r="31444" hidden="1" x14ac:dyDescent="0.15"/>
    <row r="31445" hidden="1" x14ac:dyDescent="0.15"/>
    <row r="31446" hidden="1" x14ac:dyDescent="0.15"/>
    <row r="31447" hidden="1" x14ac:dyDescent="0.15"/>
    <row r="31448" hidden="1" x14ac:dyDescent="0.15"/>
    <row r="31449" hidden="1" x14ac:dyDescent="0.15"/>
    <row r="31450" hidden="1" x14ac:dyDescent="0.15"/>
    <row r="31451" hidden="1" x14ac:dyDescent="0.15"/>
    <row r="31452" hidden="1" x14ac:dyDescent="0.15"/>
    <row r="31453" hidden="1" x14ac:dyDescent="0.15"/>
    <row r="31454" hidden="1" x14ac:dyDescent="0.15"/>
    <row r="31455" hidden="1" x14ac:dyDescent="0.15"/>
    <row r="31456" hidden="1" x14ac:dyDescent="0.15"/>
    <row r="31457" hidden="1" x14ac:dyDescent="0.15"/>
    <row r="31458" hidden="1" x14ac:dyDescent="0.15"/>
    <row r="31459" hidden="1" x14ac:dyDescent="0.15"/>
    <row r="31460" hidden="1" x14ac:dyDescent="0.15"/>
    <row r="31461" hidden="1" x14ac:dyDescent="0.15"/>
    <row r="31462" hidden="1" x14ac:dyDescent="0.15"/>
    <row r="31463" hidden="1" x14ac:dyDescent="0.15"/>
    <row r="31464" hidden="1" x14ac:dyDescent="0.15"/>
    <row r="31465" hidden="1" x14ac:dyDescent="0.15"/>
    <row r="31466" hidden="1" x14ac:dyDescent="0.15"/>
    <row r="31467" hidden="1" x14ac:dyDescent="0.15"/>
    <row r="31468" hidden="1" x14ac:dyDescent="0.15"/>
    <row r="31469" hidden="1" x14ac:dyDescent="0.15"/>
    <row r="31470" hidden="1" x14ac:dyDescent="0.15"/>
    <row r="31471" hidden="1" x14ac:dyDescent="0.15"/>
    <row r="31472" hidden="1" x14ac:dyDescent="0.15"/>
    <row r="31473" hidden="1" x14ac:dyDescent="0.15"/>
    <row r="31474" hidden="1" x14ac:dyDescent="0.15"/>
    <row r="31475" hidden="1" x14ac:dyDescent="0.15"/>
    <row r="31476" hidden="1" x14ac:dyDescent="0.15"/>
    <row r="31477" hidden="1" x14ac:dyDescent="0.15"/>
    <row r="31478" hidden="1" x14ac:dyDescent="0.15"/>
    <row r="31479" hidden="1" x14ac:dyDescent="0.15"/>
    <row r="31480" hidden="1" x14ac:dyDescent="0.15"/>
    <row r="31481" hidden="1" x14ac:dyDescent="0.15"/>
    <row r="31482" hidden="1" x14ac:dyDescent="0.15"/>
    <row r="31483" hidden="1" x14ac:dyDescent="0.15"/>
    <row r="31484" hidden="1" x14ac:dyDescent="0.15"/>
    <row r="31485" hidden="1" x14ac:dyDescent="0.15"/>
    <row r="31486" hidden="1" x14ac:dyDescent="0.15"/>
    <row r="31487" hidden="1" x14ac:dyDescent="0.15"/>
    <row r="31488" hidden="1" x14ac:dyDescent="0.15"/>
    <row r="31489" hidden="1" x14ac:dyDescent="0.15"/>
    <row r="31490" hidden="1" x14ac:dyDescent="0.15"/>
    <row r="31491" hidden="1" x14ac:dyDescent="0.15"/>
    <row r="31492" hidden="1" x14ac:dyDescent="0.15"/>
    <row r="31493" hidden="1" x14ac:dyDescent="0.15"/>
    <row r="31494" hidden="1" x14ac:dyDescent="0.15"/>
    <row r="31495" hidden="1" x14ac:dyDescent="0.15"/>
    <row r="31496" hidden="1" x14ac:dyDescent="0.15"/>
    <row r="31497" hidden="1" x14ac:dyDescent="0.15"/>
    <row r="31498" hidden="1" x14ac:dyDescent="0.15"/>
    <row r="31499" hidden="1" x14ac:dyDescent="0.15"/>
    <row r="31500" hidden="1" x14ac:dyDescent="0.15"/>
    <row r="31501" hidden="1" x14ac:dyDescent="0.15"/>
    <row r="31502" hidden="1" x14ac:dyDescent="0.15"/>
    <row r="31503" hidden="1" x14ac:dyDescent="0.15"/>
    <row r="31504" hidden="1" x14ac:dyDescent="0.15"/>
    <row r="31505" hidden="1" x14ac:dyDescent="0.15"/>
    <row r="31506" hidden="1" x14ac:dyDescent="0.15"/>
    <row r="31507" hidden="1" x14ac:dyDescent="0.15"/>
    <row r="31508" hidden="1" x14ac:dyDescent="0.15"/>
    <row r="31509" hidden="1" x14ac:dyDescent="0.15"/>
    <row r="31510" hidden="1" x14ac:dyDescent="0.15"/>
    <row r="31511" hidden="1" x14ac:dyDescent="0.15"/>
    <row r="31512" hidden="1" x14ac:dyDescent="0.15"/>
    <row r="31513" hidden="1" x14ac:dyDescent="0.15"/>
    <row r="31514" hidden="1" x14ac:dyDescent="0.15"/>
    <row r="31515" hidden="1" x14ac:dyDescent="0.15"/>
    <row r="31516" hidden="1" x14ac:dyDescent="0.15"/>
    <row r="31517" hidden="1" x14ac:dyDescent="0.15"/>
    <row r="31518" hidden="1" x14ac:dyDescent="0.15"/>
    <row r="31519" hidden="1" x14ac:dyDescent="0.15"/>
    <row r="31520" hidden="1" x14ac:dyDescent="0.15"/>
    <row r="31521" hidden="1" x14ac:dyDescent="0.15"/>
    <row r="31522" hidden="1" x14ac:dyDescent="0.15"/>
    <row r="31523" hidden="1" x14ac:dyDescent="0.15"/>
    <row r="31524" hidden="1" x14ac:dyDescent="0.15"/>
    <row r="31525" hidden="1" x14ac:dyDescent="0.15"/>
    <row r="31526" hidden="1" x14ac:dyDescent="0.15"/>
    <row r="31527" hidden="1" x14ac:dyDescent="0.15"/>
    <row r="31528" hidden="1" x14ac:dyDescent="0.15"/>
    <row r="31529" hidden="1" x14ac:dyDescent="0.15"/>
    <row r="31530" hidden="1" x14ac:dyDescent="0.15"/>
    <row r="31531" hidden="1" x14ac:dyDescent="0.15"/>
    <row r="31532" hidden="1" x14ac:dyDescent="0.15"/>
    <row r="31533" hidden="1" x14ac:dyDescent="0.15"/>
    <row r="31534" hidden="1" x14ac:dyDescent="0.15"/>
    <row r="31535" hidden="1" x14ac:dyDescent="0.15"/>
    <row r="31536" hidden="1" x14ac:dyDescent="0.15"/>
    <row r="31537" hidden="1" x14ac:dyDescent="0.15"/>
    <row r="31538" hidden="1" x14ac:dyDescent="0.15"/>
    <row r="31539" hidden="1" x14ac:dyDescent="0.15"/>
    <row r="31540" hidden="1" x14ac:dyDescent="0.15"/>
    <row r="31541" hidden="1" x14ac:dyDescent="0.15"/>
    <row r="31542" hidden="1" x14ac:dyDescent="0.15"/>
    <row r="31543" hidden="1" x14ac:dyDescent="0.15"/>
    <row r="31544" hidden="1" x14ac:dyDescent="0.15"/>
    <row r="31545" hidden="1" x14ac:dyDescent="0.15"/>
    <row r="31546" hidden="1" x14ac:dyDescent="0.15"/>
    <row r="31547" hidden="1" x14ac:dyDescent="0.15"/>
    <row r="31548" hidden="1" x14ac:dyDescent="0.15"/>
    <row r="31549" hidden="1" x14ac:dyDescent="0.15"/>
    <row r="31550" hidden="1" x14ac:dyDescent="0.15"/>
    <row r="31551" hidden="1" x14ac:dyDescent="0.15"/>
    <row r="31552" hidden="1" x14ac:dyDescent="0.15"/>
    <row r="31553" hidden="1" x14ac:dyDescent="0.15"/>
    <row r="31554" hidden="1" x14ac:dyDescent="0.15"/>
    <row r="31555" hidden="1" x14ac:dyDescent="0.15"/>
    <row r="31556" hidden="1" x14ac:dyDescent="0.15"/>
    <row r="31557" hidden="1" x14ac:dyDescent="0.15"/>
    <row r="31558" hidden="1" x14ac:dyDescent="0.15"/>
    <row r="31559" hidden="1" x14ac:dyDescent="0.15"/>
    <row r="31560" hidden="1" x14ac:dyDescent="0.15"/>
    <row r="31561" hidden="1" x14ac:dyDescent="0.15"/>
    <row r="31562" hidden="1" x14ac:dyDescent="0.15"/>
    <row r="31563" hidden="1" x14ac:dyDescent="0.15"/>
    <row r="31564" hidden="1" x14ac:dyDescent="0.15"/>
    <row r="31565" hidden="1" x14ac:dyDescent="0.15"/>
    <row r="31566" hidden="1" x14ac:dyDescent="0.15"/>
    <row r="31567" hidden="1" x14ac:dyDescent="0.15"/>
    <row r="31568" hidden="1" x14ac:dyDescent="0.15"/>
    <row r="31569" hidden="1" x14ac:dyDescent="0.15"/>
    <row r="31570" hidden="1" x14ac:dyDescent="0.15"/>
    <row r="31571" hidden="1" x14ac:dyDescent="0.15"/>
    <row r="31572" hidden="1" x14ac:dyDescent="0.15"/>
    <row r="31573" hidden="1" x14ac:dyDescent="0.15"/>
    <row r="31574" hidden="1" x14ac:dyDescent="0.15"/>
    <row r="31575" hidden="1" x14ac:dyDescent="0.15"/>
    <row r="31576" hidden="1" x14ac:dyDescent="0.15"/>
    <row r="31577" hidden="1" x14ac:dyDescent="0.15"/>
    <row r="31578" hidden="1" x14ac:dyDescent="0.15"/>
    <row r="31579" hidden="1" x14ac:dyDescent="0.15"/>
    <row r="31580" hidden="1" x14ac:dyDescent="0.15"/>
    <row r="31581" hidden="1" x14ac:dyDescent="0.15"/>
    <row r="31582" hidden="1" x14ac:dyDescent="0.15"/>
    <row r="31583" hidden="1" x14ac:dyDescent="0.15"/>
    <row r="31584" hidden="1" x14ac:dyDescent="0.15"/>
    <row r="31585" hidden="1" x14ac:dyDescent="0.15"/>
    <row r="31586" hidden="1" x14ac:dyDescent="0.15"/>
    <row r="31587" hidden="1" x14ac:dyDescent="0.15"/>
    <row r="31588" hidden="1" x14ac:dyDescent="0.15"/>
    <row r="31589" hidden="1" x14ac:dyDescent="0.15"/>
    <row r="31590" hidden="1" x14ac:dyDescent="0.15"/>
    <row r="31591" hidden="1" x14ac:dyDescent="0.15"/>
    <row r="31592" hidden="1" x14ac:dyDescent="0.15"/>
    <row r="31593" hidden="1" x14ac:dyDescent="0.15"/>
    <row r="31594" hidden="1" x14ac:dyDescent="0.15"/>
    <row r="31595" hidden="1" x14ac:dyDescent="0.15"/>
    <row r="31596" hidden="1" x14ac:dyDescent="0.15"/>
    <row r="31597" hidden="1" x14ac:dyDescent="0.15"/>
    <row r="31598" hidden="1" x14ac:dyDescent="0.15"/>
    <row r="31599" hidden="1" x14ac:dyDescent="0.15"/>
    <row r="31600" hidden="1" x14ac:dyDescent="0.15"/>
    <row r="31601" hidden="1" x14ac:dyDescent="0.15"/>
    <row r="31602" hidden="1" x14ac:dyDescent="0.15"/>
    <row r="31603" hidden="1" x14ac:dyDescent="0.15"/>
    <row r="31604" hidden="1" x14ac:dyDescent="0.15"/>
    <row r="31605" hidden="1" x14ac:dyDescent="0.15"/>
    <row r="31606" hidden="1" x14ac:dyDescent="0.15"/>
    <row r="31607" hidden="1" x14ac:dyDescent="0.15"/>
    <row r="31608" hidden="1" x14ac:dyDescent="0.15"/>
    <row r="31609" hidden="1" x14ac:dyDescent="0.15"/>
    <row r="31610" hidden="1" x14ac:dyDescent="0.15"/>
    <row r="31611" hidden="1" x14ac:dyDescent="0.15"/>
    <row r="31612" hidden="1" x14ac:dyDescent="0.15"/>
    <row r="31613" hidden="1" x14ac:dyDescent="0.15"/>
    <row r="31614" hidden="1" x14ac:dyDescent="0.15"/>
    <row r="31615" hidden="1" x14ac:dyDescent="0.15"/>
    <row r="31616" hidden="1" x14ac:dyDescent="0.15"/>
    <row r="31617" hidden="1" x14ac:dyDescent="0.15"/>
    <row r="31618" hidden="1" x14ac:dyDescent="0.15"/>
    <row r="31619" hidden="1" x14ac:dyDescent="0.15"/>
    <row r="31620" hidden="1" x14ac:dyDescent="0.15"/>
    <row r="31621" hidden="1" x14ac:dyDescent="0.15"/>
    <row r="31622" hidden="1" x14ac:dyDescent="0.15"/>
    <row r="31623" hidden="1" x14ac:dyDescent="0.15"/>
    <row r="31624" hidden="1" x14ac:dyDescent="0.15"/>
    <row r="31625" hidden="1" x14ac:dyDescent="0.15"/>
    <row r="31626" hidden="1" x14ac:dyDescent="0.15"/>
    <row r="31627" hidden="1" x14ac:dyDescent="0.15"/>
    <row r="31628" hidden="1" x14ac:dyDescent="0.15"/>
    <row r="31629" hidden="1" x14ac:dyDescent="0.15"/>
    <row r="31630" hidden="1" x14ac:dyDescent="0.15"/>
    <row r="31631" hidden="1" x14ac:dyDescent="0.15"/>
    <row r="31632" hidden="1" x14ac:dyDescent="0.15"/>
    <row r="31633" hidden="1" x14ac:dyDescent="0.15"/>
    <row r="31634" hidden="1" x14ac:dyDescent="0.15"/>
    <row r="31635" hidden="1" x14ac:dyDescent="0.15"/>
    <row r="31636" hidden="1" x14ac:dyDescent="0.15"/>
    <row r="31637" hidden="1" x14ac:dyDescent="0.15"/>
    <row r="31638" hidden="1" x14ac:dyDescent="0.15"/>
    <row r="31639" hidden="1" x14ac:dyDescent="0.15"/>
    <row r="31640" hidden="1" x14ac:dyDescent="0.15"/>
    <row r="31641" hidden="1" x14ac:dyDescent="0.15"/>
    <row r="31642" hidden="1" x14ac:dyDescent="0.15"/>
    <row r="31643" hidden="1" x14ac:dyDescent="0.15"/>
    <row r="31644" hidden="1" x14ac:dyDescent="0.15"/>
    <row r="31645" hidden="1" x14ac:dyDescent="0.15"/>
    <row r="31646" hidden="1" x14ac:dyDescent="0.15"/>
    <row r="31647" hidden="1" x14ac:dyDescent="0.15"/>
    <row r="31648" hidden="1" x14ac:dyDescent="0.15"/>
    <row r="31649" hidden="1" x14ac:dyDescent="0.15"/>
    <row r="31650" hidden="1" x14ac:dyDescent="0.15"/>
    <row r="31651" hidden="1" x14ac:dyDescent="0.15"/>
    <row r="31652" hidden="1" x14ac:dyDescent="0.15"/>
    <row r="31653" hidden="1" x14ac:dyDescent="0.15"/>
    <row r="31654" hidden="1" x14ac:dyDescent="0.15"/>
    <row r="31655" hidden="1" x14ac:dyDescent="0.15"/>
    <row r="31656" hidden="1" x14ac:dyDescent="0.15"/>
    <row r="31657" hidden="1" x14ac:dyDescent="0.15"/>
    <row r="31658" hidden="1" x14ac:dyDescent="0.15"/>
    <row r="31659" hidden="1" x14ac:dyDescent="0.15"/>
    <row r="31660" hidden="1" x14ac:dyDescent="0.15"/>
    <row r="31661" hidden="1" x14ac:dyDescent="0.15"/>
    <row r="31662" hidden="1" x14ac:dyDescent="0.15"/>
    <row r="31663" hidden="1" x14ac:dyDescent="0.15"/>
    <row r="31664" hidden="1" x14ac:dyDescent="0.15"/>
    <row r="31665" hidden="1" x14ac:dyDescent="0.15"/>
    <row r="31666" hidden="1" x14ac:dyDescent="0.15"/>
    <row r="31667" hidden="1" x14ac:dyDescent="0.15"/>
    <row r="31668" hidden="1" x14ac:dyDescent="0.15"/>
    <row r="31669" hidden="1" x14ac:dyDescent="0.15"/>
    <row r="31670" hidden="1" x14ac:dyDescent="0.15"/>
    <row r="31671" hidden="1" x14ac:dyDescent="0.15"/>
    <row r="31672" hidden="1" x14ac:dyDescent="0.15"/>
    <row r="31673" hidden="1" x14ac:dyDescent="0.15"/>
    <row r="31674" hidden="1" x14ac:dyDescent="0.15"/>
    <row r="31675" hidden="1" x14ac:dyDescent="0.15"/>
    <row r="31676" hidden="1" x14ac:dyDescent="0.15"/>
    <row r="31677" hidden="1" x14ac:dyDescent="0.15"/>
    <row r="31678" hidden="1" x14ac:dyDescent="0.15"/>
    <row r="31679" hidden="1" x14ac:dyDescent="0.15"/>
    <row r="31680" hidden="1" x14ac:dyDescent="0.15"/>
    <row r="31681" hidden="1" x14ac:dyDescent="0.15"/>
    <row r="31682" hidden="1" x14ac:dyDescent="0.15"/>
    <row r="31683" hidden="1" x14ac:dyDescent="0.15"/>
    <row r="31684" hidden="1" x14ac:dyDescent="0.15"/>
    <row r="31685" hidden="1" x14ac:dyDescent="0.15"/>
    <row r="31686" hidden="1" x14ac:dyDescent="0.15"/>
    <row r="31687" hidden="1" x14ac:dyDescent="0.15"/>
    <row r="31688" hidden="1" x14ac:dyDescent="0.15"/>
    <row r="31689" hidden="1" x14ac:dyDescent="0.15"/>
    <row r="31690" hidden="1" x14ac:dyDescent="0.15"/>
    <row r="31691" hidden="1" x14ac:dyDescent="0.15"/>
    <row r="31692" hidden="1" x14ac:dyDescent="0.15"/>
    <row r="31693" hidden="1" x14ac:dyDescent="0.15"/>
    <row r="31694" hidden="1" x14ac:dyDescent="0.15"/>
    <row r="31695" hidden="1" x14ac:dyDescent="0.15"/>
    <row r="31696" hidden="1" x14ac:dyDescent="0.15"/>
    <row r="31697" hidden="1" x14ac:dyDescent="0.15"/>
    <row r="31698" hidden="1" x14ac:dyDescent="0.15"/>
    <row r="31699" hidden="1" x14ac:dyDescent="0.15"/>
    <row r="31700" hidden="1" x14ac:dyDescent="0.15"/>
    <row r="31701" hidden="1" x14ac:dyDescent="0.15"/>
    <row r="31702" hidden="1" x14ac:dyDescent="0.15"/>
    <row r="31703" hidden="1" x14ac:dyDescent="0.15"/>
    <row r="31704" hidden="1" x14ac:dyDescent="0.15"/>
    <row r="31705" hidden="1" x14ac:dyDescent="0.15"/>
    <row r="31706" hidden="1" x14ac:dyDescent="0.15"/>
    <row r="31707" hidden="1" x14ac:dyDescent="0.15"/>
    <row r="31708" hidden="1" x14ac:dyDescent="0.15"/>
    <row r="31709" hidden="1" x14ac:dyDescent="0.15"/>
    <row r="31710" hidden="1" x14ac:dyDescent="0.15"/>
    <row r="31711" hidden="1" x14ac:dyDescent="0.15"/>
    <row r="31712" hidden="1" x14ac:dyDescent="0.15"/>
    <row r="31713" hidden="1" x14ac:dyDescent="0.15"/>
    <row r="31714" hidden="1" x14ac:dyDescent="0.15"/>
    <row r="31715" hidden="1" x14ac:dyDescent="0.15"/>
    <row r="31716" hidden="1" x14ac:dyDescent="0.15"/>
    <row r="31717" hidden="1" x14ac:dyDescent="0.15"/>
    <row r="31718" hidden="1" x14ac:dyDescent="0.15"/>
    <row r="31719" hidden="1" x14ac:dyDescent="0.15"/>
    <row r="31720" hidden="1" x14ac:dyDescent="0.15"/>
    <row r="31721" hidden="1" x14ac:dyDescent="0.15"/>
    <row r="31722" hidden="1" x14ac:dyDescent="0.15"/>
    <row r="31723" hidden="1" x14ac:dyDescent="0.15"/>
    <row r="31724" hidden="1" x14ac:dyDescent="0.15"/>
    <row r="31725" hidden="1" x14ac:dyDescent="0.15"/>
    <row r="31726" hidden="1" x14ac:dyDescent="0.15"/>
    <row r="31727" hidden="1" x14ac:dyDescent="0.15"/>
    <row r="31728" hidden="1" x14ac:dyDescent="0.15"/>
    <row r="31729" hidden="1" x14ac:dyDescent="0.15"/>
    <row r="31730" hidden="1" x14ac:dyDescent="0.15"/>
    <row r="31731" hidden="1" x14ac:dyDescent="0.15"/>
    <row r="31732" hidden="1" x14ac:dyDescent="0.15"/>
    <row r="31733" hidden="1" x14ac:dyDescent="0.15"/>
    <row r="31734" hidden="1" x14ac:dyDescent="0.15"/>
    <row r="31735" hidden="1" x14ac:dyDescent="0.15"/>
    <row r="31736" hidden="1" x14ac:dyDescent="0.15"/>
    <row r="31737" hidden="1" x14ac:dyDescent="0.15"/>
    <row r="31738" hidden="1" x14ac:dyDescent="0.15"/>
    <row r="31739" hidden="1" x14ac:dyDescent="0.15"/>
    <row r="31740" hidden="1" x14ac:dyDescent="0.15"/>
    <row r="31741" hidden="1" x14ac:dyDescent="0.15"/>
    <row r="31742" hidden="1" x14ac:dyDescent="0.15"/>
    <row r="31743" hidden="1" x14ac:dyDescent="0.15"/>
    <row r="31744" hidden="1" x14ac:dyDescent="0.15"/>
    <row r="31745" hidden="1" x14ac:dyDescent="0.15"/>
    <row r="31746" hidden="1" x14ac:dyDescent="0.15"/>
    <row r="31747" hidden="1" x14ac:dyDescent="0.15"/>
    <row r="31748" hidden="1" x14ac:dyDescent="0.15"/>
    <row r="31749" hidden="1" x14ac:dyDescent="0.15"/>
    <row r="31750" hidden="1" x14ac:dyDescent="0.15"/>
    <row r="31751" hidden="1" x14ac:dyDescent="0.15"/>
    <row r="31752" hidden="1" x14ac:dyDescent="0.15"/>
    <row r="31753" hidden="1" x14ac:dyDescent="0.15"/>
    <row r="31754" hidden="1" x14ac:dyDescent="0.15"/>
    <row r="31755" hidden="1" x14ac:dyDescent="0.15"/>
    <row r="31756" hidden="1" x14ac:dyDescent="0.15"/>
    <row r="31757" hidden="1" x14ac:dyDescent="0.15"/>
    <row r="31758" hidden="1" x14ac:dyDescent="0.15"/>
    <row r="31759" hidden="1" x14ac:dyDescent="0.15"/>
    <row r="31760" hidden="1" x14ac:dyDescent="0.15"/>
    <row r="31761" hidden="1" x14ac:dyDescent="0.15"/>
    <row r="31762" hidden="1" x14ac:dyDescent="0.15"/>
    <row r="31763" hidden="1" x14ac:dyDescent="0.15"/>
    <row r="31764" hidden="1" x14ac:dyDescent="0.15"/>
    <row r="31765" hidden="1" x14ac:dyDescent="0.15"/>
    <row r="31766" hidden="1" x14ac:dyDescent="0.15"/>
    <row r="31767" hidden="1" x14ac:dyDescent="0.15"/>
    <row r="31768" hidden="1" x14ac:dyDescent="0.15"/>
    <row r="31769" hidden="1" x14ac:dyDescent="0.15"/>
    <row r="31770" hidden="1" x14ac:dyDescent="0.15"/>
    <row r="31771" hidden="1" x14ac:dyDescent="0.15"/>
    <row r="31772" hidden="1" x14ac:dyDescent="0.15"/>
    <row r="31773" hidden="1" x14ac:dyDescent="0.15"/>
    <row r="31774" hidden="1" x14ac:dyDescent="0.15"/>
    <row r="31775" hidden="1" x14ac:dyDescent="0.15"/>
    <row r="31776" hidden="1" x14ac:dyDescent="0.15"/>
    <row r="31777" hidden="1" x14ac:dyDescent="0.15"/>
    <row r="31778" hidden="1" x14ac:dyDescent="0.15"/>
    <row r="31779" hidden="1" x14ac:dyDescent="0.15"/>
    <row r="31780" hidden="1" x14ac:dyDescent="0.15"/>
    <row r="31781" hidden="1" x14ac:dyDescent="0.15"/>
    <row r="31782" hidden="1" x14ac:dyDescent="0.15"/>
    <row r="31783" hidden="1" x14ac:dyDescent="0.15"/>
    <row r="31784" hidden="1" x14ac:dyDescent="0.15"/>
    <row r="31785" hidden="1" x14ac:dyDescent="0.15"/>
    <row r="31786" hidden="1" x14ac:dyDescent="0.15"/>
    <row r="31787" hidden="1" x14ac:dyDescent="0.15"/>
    <row r="31788" hidden="1" x14ac:dyDescent="0.15"/>
    <row r="31789" hidden="1" x14ac:dyDescent="0.15"/>
    <row r="31790" hidden="1" x14ac:dyDescent="0.15"/>
    <row r="31791" hidden="1" x14ac:dyDescent="0.15"/>
    <row r="31792" hidden="1" x14ac:dyDescent="0.15"/>
    <row r="31793" hidden="1" x14ac:dyDescent="0.15"/>
    <row r="31794" hidden="1" x14ac:dyDescent="0.15"/>
    <row r="31795" hidden="1" x14ac:dyDescent="0.15"/>
    <row r="31796" hidden="1" x14ac:dyDescent="0.15"/>
    <row r="31797" hidden="1" x14ac:dyDescent="0.15"/>
    <row r="31798" hidden="1" x14ac:dyDescent="0.15"/>
    <row r="31799" hidden="1" x14ac:dyDescent="0.15"/>
    <row r="31800" hidden="1" x14ac:dyDescent="0.15"/>
    <row r="31801" hidden="1" x14ac:dyDescent="0.15"/>
    <row r="31802" hidden="1" x14ac:dyDescent="0.15"/>
    <row r="31803" hidden="1" x14ac:dyDescent="0.15"/>
    <row r="31804" hidden="1" x14ac:dyDescent="0.15"/>
    <row r="31805" hidden="1" x14ac:dyDescent="0.15"/>
    <row r="31806" hidden="1" x14ac:dyDescent="0.15"/>
    <row r="31807" hidden="1" x14ac:dyDescent="0.15"/>
    <row r="31808" hidden="1" x14ac:dyDescent="0.15"/>
    <row r="31809" hidden="1" x14ac:dyDescent="0.15"/>
    <row r="31810" hidden="1" x14ac:dyDescent="0.15"/>
    <row r="31811" hidden="1" x14ac:dyDescent="0.15"/>
    <row r="31812" hidden="1" x14ac:dyDescent="0.15"/>
    <row r="31813" hidden="1" x14ac:dyDescent="0.15"/>
    <row r="31814" hidden="1" x14ac:dyDescent="0.15"/>
    <row r="31815" hidden="1" x14ac:dyDescent="0.15"/>
    <row r="31816" hidden="1" x14ac:dyDescent="0.15"/>
    <row r="31817" hidden="1" x14ac:dyDescent="0.15"/>
    <row r="31818" hidden="1" x14ac:dyDescent="0.15"/>
    <row r="31819" hidden="1" x14ac:dyDescent="0.15"/>
    <row r="31820" hidden="1" x14ac:dyDescent="0.15"/>
    <row r="31821" hidden="1" x14ac:dyDescent="0.15"/>
    <row r="31822" hidden="1" x14ac:dyDescent="0.15"/>
    <row r="31823" hidden="1" x14ac:dyDescent="0.15"/>
    <row r="31824" hidden="1" x14ac:dyDescent="0.15"/>
    <row r="31825" hidden="1" x14ac:dyDescent="0.15"/>
    <row r="31826" hidden="1" x14ac:dyDescent="0.15"/>
    <row r="31827" hidden="1" x14ac:dyDescent="0.15"/>
    <row r="31828" hidden="1" x14ac:dyDescent="0.15"/>
    <row r="31829" hidden="1" x14ac:dyDescent="0.15"/>
    <row r="31830" hidden="1" x14ac:dyDescent="0.15"/>
    <row r="31831" hidden="1" x14ac:dyDescent="0.15"/>
    <row r="31832" hidden="1" x14ac:dyDescent="0.15"/>
    <row r="31833" hidden="1" x14ac:dyDescent="0.15"/>
    <row r="31834" hidden="1" x14ac:dyDescent="0.15"/>
    <row r="31835" hidden="1" x14ac:dyDescent="0.15"/>
    <row r="31836" hidden="1" x14ac:dyDescent="0.15"/>
    <row r="31837" hidden="1" x14ac:dyDescent="0.15"/>
    <row r="31838" hidden="1" x14ac:dyDescent="0.15"/>
    <row r="31839" hidden="1" x14ac:dyDescent="0.15"/>
    <row r="31840" hidden="1" x14ac:dyDescent="0.15"/>
    <row r="31841" hidden="1" x14ac:dyDescent="0.15"/>
    <row r="31842" hidden="1" x14ac:dyDescent="0.15"/>
    <row r="31843" hidden="1" x14ac:dyDescent="0.15"/>
    <row r="31844" hidden="1" x14ac:dyDescent="0.15"/>
    <row r="31845" hidden="1" x14ac:dyDescent="0.15"/>
    <row r="31846" hidden="1" x14ac:dyDescent="0.15"/>
    <row r="31847" hidden="1" x14ac:dyDescent="0.15"/>
    <row r="31848" hidden="1" x14ac:dyDescent="0.15"/>
    <row r="31849" hidden="1" x14ac:dyDescent="0.15"/>
    <row r="31850" hidden="1" x14ac:dyDescent="0.15"/>
    <row r="31851" hidden="1" x14ac:dyDescent="0.15"/>
    <row r="31852" hidden="1" x14ac:dyDescent="0.15"/>
    <row r="31853" hidden="1" x14ac:dyDescent="0.15"/>
    <row r="31854" hidden="1" x14ac:dyDescent="0.15"/>
    <row r="31855" hidden="1" x14ac:dyDescent="0.15"/>
    <row r="31856" hidden="1" x14ac:dyDescent="0.15"/>
    <row r="31857" hidden="1" x14ac:dyDescent="0.15"/>
    <row r="31858" hidden="1" x14ac:dyDescent="0.15"/>
    <row r="31859" hidden="1" x14ac:dyDescent="0.15"/>
    <row r="31860" hidden="1" x14ac:dyDescent="0.15"/>
    <row r="31861" hidden="1" x14ac:dyDescent="0.15"/>
    <row r="31862" hidden="1" x14ac:dyDescent="0.15"/>
    <row r="31863" hidden="1" x14ac:dyDescent="0.15"/>
    <row r="31864" hidden="1" x14ac:dyDescent="0.15"/>
    <row r="31865" hidden="1" x14ac:dyDescent="0.15"/>
    <row r="31866" hidden="1" x14ac:dyDescent="0.15"/>
    <row r="31867" hidden="1" x14ac:dyDescent="0.15"/>
    <row r="31868" hidden="1" x14ac:dyDescent="0.15"/>
    <row r="31869" hidden="1" x14ac:dyDescent="0.15"/>
    <row r="31870" hidden="1" x14ac:dyDescent="0.15"/>
    <row r="31871" hidden="1" x14ac:dyDescent="0.15"/>
    <row r="31872" hidden="1" x14ac:dyDescent="0.15"/>
    <row r="31873" hidden="1" x14ac:dyDescent="0.15"/>
    <row r="31874" hidden="1" x14ac:dyDescent="0.15"/>
    <row r="31875" hidden="1" x14ac:dyDescent="0.15"/>
    <row r="31876" hidden="1" x14ac:dyDescent="0.15"/>
    <row r="31877" hidden="1" x14ac:dyDescent="0.15"/>
    <row r="31878" hidden="1" x14ac:dyDescent="0.15"/>
    <row r="31879" hidden="1" x14ac:dyDescent="0.15"/>
    <row r="31880" hidden="1" x14ac:dyDescent="0.15"/>
    <row r="31881" hidden="1" x14ac:dyDescent="0.15"/>
    <row r="31882" hidden="1" x14ac:dyDescent="0.15"/>
    <row r="31883" hidden="1" x14ac:dyDescent="0.15"/>
    <row r="31884" hidden="1" x14ac:dyDescent="0.15"/>
    <row r="31885" hidden="1" x14ac:dyDescent="0.15"/>
    <row r="31886" hidden="1" x14ac:dyDescent="0.15"/>
    <row r="31887" hidden="1" x14ac:dyDescent="0.15"/>
    <row r="31888" hidden="1" x14ac:dyDescent="0.15"/>
    <row r="31889" hidden="1" x14ac:dyDescent="0.15"/>
    <row r="31890" hidden="1" x14ac:dyDescent="0.15"/>
    <row r="31891" hidden="1" x14ac:dyDescent="0.15"/>
    <row r="31892" hidden="1" x14ac:dyDescent="0.15"/>
    <row r="31893" hidden="1" x14ac:dyDescent="0.15"/>
    <row r="31894" hidden="1" x14ac:dyDescent="0.15"/>
    <row r="31895" hidden="1" x14ac:dyDescent="0.15"/>
    <row r="31896" hidden="1" x14ac:dyDescent="0.15"/>
    <row r="31897" hidden="1" x14ac:dyDescent="0.15"/>
    <row r="31898" hidden="1" x14ac:dyDescent="0.15"/>
    <row r="31899" hidden="1" x14ac:dyDescent="0.15"/>
    <row r="31900" hidden="1" x14ac:dyDescent="0.15"/>
    <row r="31901" hidden="1" x14ac:dyDescent="0.15"/>
    <row r="31902" hidden="1" x14ac:dyDescent="0.15"/>
    <row r="31903" hidden="1" x14ac:dyDescent="0.15"/>
    <row r="31904" hidden="1" x14ac:dyDescent="0.15"/>
    <row r="31905" hidden="1" x14ac:dyDescent="0.15"/>
    <row r="31906" hidden="1" x14ac:dyDescent="0.15"/>
    <row r="31907" hidden="1" x14ac:dyDescent="0.15"/>
    <row r="31908" hidden="1" x14ac:dyDescent="0.15"/>
    <row r="31909" hidden="1" x14ac:dyDescent="0.15"/>
    <row r="31910" hidden="1" x14ac:dyDescent="0.15"/>
    <row r="31911" hidden="1" x14ac:dyDescent="0.15"/>
    <row r="31912" hidden="1" x14ac:dyDescent="0.15"/>
    <row r="31913" hidden="1" x14ac:dyDescent="0.15"/>
    <row r="31914" hidden="1" x14ac:dyDescent="0.15"/>
    <row r="31915" hidden="1" x14ac:dyDescent="0.15"/>
    <row r="31916" hidden="1" x14ac:dyDescent="0.15"/>
    <row r="31917" hidden="1" x14ac:dyDescent="0.15"/>
    <row r="31918" hidden="1" x14ac:dyDescent="0.15"/>
    <row r="31919" hidden="1" x14ac:dyDescent="0.15"/>
    <row r="31920" hidden="1" x14ac:dyDescent="0.15"/>
    <row r="31921" hidden="1" x14ac:dyDescent="0.15"/>
    <row r="31922" hidden="1" x14ac:dyDescent="0.15"/>
    <row r="31923" hidden="1" x14ac:dyDescent="0.15"/>
    <row r="31924" hidden="1" x14ac:dyDescent="0.15"/>
    <row r="31925" hidden="1" x14ac:dyDescent="0.15"/>
    <row r="31926" hidden="1" x14ac:dyDescent="0.15"/>
    <row r="31927" hidden="1" x14ac:dyDescent="0.15"/>
    <row r="31928" hidden="1" x14ac:dyDescent="0.15"/>
    <row r="31929" hidden="1" x14ac:dyDescent="0.15"/>
    <row r="31930" hidden="1" x14ac:dyDescent="0.15"/>
    <row r="31931" hidden="1" x14ac:dyDescent="0.15"/>
    <row r="31932" hidden="1" x14ac:dyDescent="0.15"/>
    <row r="31933" hidden="1" x14ac:dyDescent="0.15"/>
    <row r="31934" hidden="1" x14ac:dyDescent="0.15"/>
    <row r="31935" hidden="1" x14ac:dyDescent="0.15"/>
    <row r="31936" hidden="1" x14ac:dyDescent="0.15"/>
    <row r="31937" hidden="1" x14ac:dyDescent="0.15"/>
    <row r="31938" hidden="1" x14ac:dyDescent="0.15"/>
    <row r="31939" hidden="1" x14ac:dyDescent="0.15"/>
    <row r="31940" hidden="1" x14ac:dyDescent="0.15"/>
    <row r="31941" hidden="1" x14ac:dyDescent="0.15"/>
    <row r="31942" hidden="1" x14ac:dyDescent="0.15"/>
    <row r="31943" hidden="1" x14ac:dyDescent="0.15"/>
    <row r="31944" hidden="1" x14ac:dyDescent="0.15"/>
    <row r="31945" hidden="1" x14ac:dyDescent="0.15"/>
    <row r="31946" hidden="1" x14ac:dyDescent="0.15"/>
    <row r="31947" hidden="1" x14ac:dyDescent="0.15"/>
    <row r="31948" hidden="1" x14ac:dyDescent="0.15"/>
    <row r="31949" hidden="1" x14ac:dyDescent="0.15"/>
    <row r="31950" hidden="1" x14ac:dyDescent="0.15"/>
    <row r="31951" hidden="1" x14ac:dyDescent="0.15"/>
    <row r="31952" hidden="1" x14ac:dyDescent="0.15"/>
    <row r="31953" hidden="1" x14ac:dyDescent="0.15"/>
    <row r="31954" hidden="1" x14ac:dyDescent="0.15"/>
    <row r="31955" hidden="1" x14ac:dyDescent="0.15"/>
    <row r="31956" hidden="1" x14ac:dyDescent="0.15"/>
    <row r="31957" hidden="1" x14ac:dyDescent="0.15"/>
    <row r="31958" hidden="1" x14ac:dyDescent="0.15"/>
    <row r="31959" hidden="1" x14ac:dyDescent="0.15"/>
    <row r="31960" hidden="1" x14ac:dyDescent="0.15"/>
    <row r="31961" hidden="1" x14ac:dyDescent="0.15"/>
    <row r="31962" hidden="1" x14ac:dyDescent="0.15"/>
    <row r="31963" hidden="1" x14ac:dyDescent="0.15"/>
    <row r="31964" hidden="1" x14ac:dyDescent="0.15"/>
    <row r="31965" hidden="1" x14ac:dyDescent="0.15"/>
    <row r="31966" hidden="1" x14ac:dyDescent="0.15"/>
    <row r="31967" hidden="1" x14ac:dyDescent="0.15"/>
    <row r="31968" hidden="1" x14ac:dyDescent="0.15"/>
    <row r="31969" hidden="1" x14ac:dyDescent="0.15"/>
    <row r="31970" hidden="1" x14ac:dyDescent="0.15"/>
    <row r="31971" hidden="1" x14ac:dyDescent="0.15"/>
    <row r="31972" hidden="1" x14ac:dyDescent="0.15"/>
    <row r="31973" hidden="1" x14ac:dyDescent="0.15"/>
    <row r="31974" hidden="1" x14ac:dyDescent="0.15"/>
    <row r="31975" hidden="1" x14ac:dyDescent="0.15"/>
    <row r="31976" hidden="1" x14ac:dyDescent="0.15"/>
    <row r="31977" hidden="1" x14ac:dyDescent="0.15"/>
    <row r="31978" hidden="1" x14ac:dyDescent="0.15"/>
    <row r="31979" hidden="1" x14ac:dyDescent="0.15"/>
    <row r="31980" hidden="1" x14ac:dyDescent="0.15"/>
    <row r="31981" hidden="1" x14ac:dyDescent="0.15"/>
    <row r="31982" hidden="1" x14ac:dyDescent="0.15"/>
    <row r="31983" hidden="1" x14ac:dyDescent="0.15"/>
    <row r="31984" hidden="1" x14ac:dyDescent="0.15"/>
    <row r="31985" hidden="1" x14ac:dyDescent="0.15"/>
    <row r="31986" hidden="1" x14ac:dyDescent="0.15"/>
    <row r="31987" hidden="1" x14ac:dyDescent="0.15"/>
    <row r="31988" hidden="1" x14ac:dyDescent="0.15"/>
    <row r="31989" hidden="1" x14ac:dyDescent="0.15"/>
    <row r="31990" hidden="1" x14ac:dyDescent="0.15"/>
    <row r="31991" hidden="1" x14ac:dyDescent="0.15"/>
    <row r="31992" hidden="1" x14ac:dyDescent="0.15"/>
    <row r="31993" hidden="1" x14ac:dyDescent="0.15"/>
    <row r="31994" hidden="1" x14ac:dyDescent="0.15"/>
    <row r="31995" hidden="1" x14ac:dyDescent="0.15"/>
    <row r="31996" hidden="1" x14ac:dyDescent="0.15"/>
    <row r="31997" hidden="1" x14ac:dyDescent="0.15"/>
    <row r="31998" hidden="1" x14ac:dyDescent="0.15"/>
    <row r="31999" hidden="1" x14ac:dyDescent="0.15"/>
    <row r="32000" hidden="1" x14ac:dyDescent="0.15"/>
    <row r="32001" hidden="1" x14ac:dyDescent="0.15"/>
    <row r="32002" hidden="1" x14ac:dyDescent="0.15"/>
    <row r="32003" hidden="1" x14ac:dyDescent="0.15"/>
    <row r="32004" hidden="1" x14ac:dyDescent="0.15"/>
    <row r="32005" hidden="1" x14ac:dyDescent="0.15"/>
    <row r="32006" hidden="1" x14ac:dyDescent="0.15"/>
    <row r="32007" hidden="1" x14ac:dyDescent="0.15"/>
    <row r="32008" hidden="1" x14ac:dyDescent="0.15"/>
    <row r="32009" hidden="1" x14ac:dyDescent="0.15"/>
    <row r="32010" hidden="1" x14ac:dyDescent="0.15"/>
    <row r="32011" hidden="1" x14ac:dyDescent="0.15"/>
    <row r="32012" hidden="1" x14ac:dyDescent="0.15"/>
    <row r="32013" hidden="1" x14ac:dyDescent="0.15"/>
    <row r="32014" hidden="1" x14ac:dyDescent="0.15"/>
    <row r="32015" hidden="1" x14ac:dyDescent="0.15"/>
    <row r="32016" hidden="1" x14ac:dyDescent="0.15"/>
    <row r="32017" hidden="1" x14ac:dyDescent="0.15"/>
    <row r="32018" hidden="1" x14ac:dyDescent="0.15"/>
    <row r="32019" hidden="1" x14ac:dyDescent="0.15"/>
    <row r="32020" hidden="1" x14ac:dyDescent="0.15"/>
    <row r="32021" hidden="1" x14ac:dyDescent="0.15"/>
    <row r="32022" hidden="1" x14ac:dyDescent="0.15"/>
    <row r="32023" hidden="1" x14ac:dyDescent="0.15"/>
    <row r="32024" hidden="1" x14ac:dyDescent="0.15"/>
    <row r="32025" hidden="1" x14ac:dyDescent="0.15"/>
    <row r="32026" hidden="1" x14ac:dyDescent="0.15"/>
    <row r="32027" hidden="1" x14ac:dyDescent="0.15"/>
    <row r="32028" hidden="1" x14ac:dyDescent="0.15"/>
    <row r="32029" hidden="1" x14ac:dyDescent="0.15"/>
    <row r="32030" hidden="1" x14ac:dyDescent="0.15"/>
    <row r="32031" hidden="1" x14ac:dyDescent="0.15"/>
    <row r="32032" hidden="1" x14ac:dyDescent="0.15"/>
    <row r="32033" hidden="1" x14ac:dyDescent="0.15"/>
    <row r="32034" hidden="1" x14ac:dyDescent="0.15"/>
    <row r="32035" hidden="1" x14ac:dyDescent="0.15"/>
    <row r="32036" hidden="1" x14ac:dyDescent="0.15"/>
    <row r="32037" hidden="1" x14ac:dyDescent="0.15"/>
    <row r="32038" hidden="1" x14ac:dyDescent="0.15"/>
    <row r="32039" hidden="1" x14ac:dyDescent="0.15"/>
    <row r="32040" hidden="1" x14ac:dyDescent="0.15"/>
    <row r="32041" hidden="1" x14ac:dyDescent="0.15"/>
    <row r="32042" hidden="1" x14ac:dyDescent="0.15"/>
    <row r="32043" hidden="1" x14ac:dyDescent="0.15"/>
    <row r="32044" hidden="1" x14ac:dyDescent="0.15"/>
    <row r="32045" hidden="1" x14ac:dyDescent="0.15"/>
    <row r="32046" hidden="1" x14ac:dyDescent="0.15"/>
    <row r="32047" hidden="1" x14ac:dyDescent="0.15"/>
    <row r="32048" hidden="1" x14ac:dyDescent="0.15"/>
    <row r="32049" hidden="1" x14ac:dyDescent="0.15"/>
    <row r="32050" hidden="1" x14ac:dyDescent="0.15"/>
    <row r="32051" hidden="1" x14ac:dyDescent="0.15"/>
    <row r="32052" hidden="1" x14ac:dyDescent="0.15"/>
    <row r="32053" hidden="1" x14ac:dyDescent="0.15"/>
    <row r="32054" hidden="1" x14ac:dyDescent="0.15"/>
    <row r="32055" hidden="1" x14ac:dyDescent="0.15"/>
    <row r="32056" hidden="1" x14ac:dyDescent="0.15"/>
    <row r="32057" hidden="1" x14ac:dyDescent="0.15"/>
    <row r="32058" hidden="1" x14ac:dyDescent="0.15"/>
    <row r="32059" hidden="1" x14ac:dyDescent="0.15"/>
    <row r="32060" hidden="1" x14ac:dyDescent="0.15"/>
    <row r="32061" hidden="1" x14ac:dyDescent="0.15"/>
    <row r="32062" hidden="1" x14ac:dyDescent="0.15"/>
    <row r="32063" hidden="1" x14ac:dyDescent="0.15"/>
    <row r="32064" hidden="1" x14ac:dyDescent="0.15"/>
    <row r="32065" hidden="1" x14ac:dyDescent="0.15"/>
    <row r="32066" hidden="1" x14ac:dyDescent="0.15"/>
    <row r="32067" hidden="1" x14ac:dyDescent="0.15"/>
    <row r="32068" hidden="1" x14ac:dyDescent="0.15"/>
    <row r="32069" hidden="1" x14ac:dyDescent="0.15"/>
    <row r="32070" hidden="1" x14ac:dyDescent="0.15"/>
    <row r="32071" hidden="1" x14ac:dyDescent="0.15"/>
    <row r="32072" hidden="1" x14ac:dyDescent="0.15"/>
    <row r="32073" hidden="1" x14ac:dyDescent="0.15"/>
    <row r="32074" hidden="1" x14ac:dyDescent="0.15"/>
    <row r="32075" hidden="1" x14ac:dyDescent="0.15"/>
    <row r="32076" hidden="1" x14ac:dyDescent="0.15"/>
    <row r="32077" hidden="1" x14ac:dyDescent="0.15"/>
    <row r="32078" hidden="1" x14ac:dyDescent="0.15"/>
    <row r="32079" hidden="1" x14ac:dyDescent="0.15"/>
    <row r="32080" hidden="1" x14ac:dyDescent="0.15"/>
    <row r="32081" hidden="1" x14ac:dyDescent="0.15"/>
    <row r="32082" hidden="1" x14ac:dyDescent="0.15"/>
    <row r="32083" hidden="1" x14ac:dyDescent="0.15"/>
    <row r="32084" hidden="1" x14ac:dyDescent="0.15"/>
    <row r="32085" hidden="1" x14ac:dyDescent="0.15"/>
    <row r="32086" hidden="1" x14ac:dyDescent="0.15"/>
    <row r="32087" hidden="1" x14ac:dyDescent="0.15"/>
    <row r="32088" hidden="1" x14ac:dyDescent="0.15"/>
    <row r="32089" hidden="1" x14ac:dyDescent="0.15"/>
    <row r="32090" hidden="1" x14ac:dyDescent="0.15"/>
    <row r="32091" hidden="1" x14ac:dyDescent="0.15"/>
    <row r="32092" hidden="1" x14ac:dyDescent="0.15"/>
    <row r="32093" hidden="1" x14ac:dyDescent="0.15"/>
    <row r="32094" hidden="1" x14ac:dyDescent="0.15"/>
    <row r="32095" hidden="1" x14ac:dyDescent="0.15"/>
    <row r="32096" hidden="1" x14ac:dyDescent="0.15"/>
    <row r="32097" hidden="1" x14ac:dyDescent="0.15"/>
    <row r="32098" hidden="1" x14ac:dyDescent="0.15"/>
    <row r="32099" hidden="1" x14ac:dyDescent="0.15"/>
    <row r="32100" hidden="1" x14ac:dyDescent="0.15"/>
    <row r="32101" hidden="1" x14ac:dyDescent="0.15"/>
    <row r="32102" hidden="1" x14ac:dyDescent="0.15"/>
    <row r="32103" hidden="1" x14ac:dyDescent="0.15"/>
    <row r="32104" hidden="1" x14ac:dyDescent="0.15"/>
    <row r="32105" hidden="1" x14ac:dyDescent="0.15"/>
    <row r="32106" hidden="1" x14ac:dyDescent="0.15"/>
    <row r="32107" hidden="1" x14ac:dyDescent="0.15"/>
    <row r="32108" hidden="1" x14ac:dyDescent="0.15"/>
    <row r="32109" hidden="1" x14ac:dyDescent="0.15"/>
    <row r="32110" hidden="1" x14ac:dyDescent="0.15"/>
    <row r="32111" hidden="1" x14ac:dyDescent="0.15"/>
    <row r="32112" hidden="1" x14ac:dyDescent="0.15"/>
    <row r="32113" hidden="1" x14ac:dyDescent="0.15"/>
    <row r="32114" hidden="1" x14ac:dyDescent="0.15"/>
    <row r="32115" hidden="1" x14ac:dyDescent="0.15"/>
    <row r="32116" hidden="1" x14ac:dyDescent="0.15"/>
    <row r="32117" hidden="1" x14ac:dyDescent="0.15"/>
    <row r="32118" hidden="1" x14ac:dyDescent="0.15"/>
    <row r="32119" hidden="1" x14ac:dyDescent="0.15"/>
    <row r="32120" hidden="1" x14ac:dyDescent="0.15"/>
    <row r="32121" hidden="1" x14ac:dyDescent="0.15"/>
    <row r="32122" hidden="1" x14ac:dyDescent="0.15"/>
    <row r="32123" hidden="1" x14ac:dyDescent="0.15"/>
    <row r="32124" hidden="1" x14ac:dyDescent="0.15"/>
    <row r="32125" hidden="1" x14ac:dyDescent="0.15"/>
    <row r="32126" hidden="1" x14ac:dyDescent="0.15"/>
    <row r="32127" hidden="1" x14ac:dyDescent="0.15"/>
    <row r="32128" hidden="1" x14ac:dyDescent="0.15"/>
    <row r="32129" hidden="1" x14ac:dyDescent="0.15"/>
    <row r="32130" hidden="1" x14ac:dyDescent="0.15"/>
    <row r="32131" hidden="1" x14ac:dyDescent="0.15"/>
    <row r="32132" hidden="1" x14ac:dyDescent="0.15"/>
    <row r="32133" hidden="1" x14ac:dyDescent="0.15"/>
    <row r="32134" hidden="1" x14ac:dyDescent="0.15"/>
    <row r="32135" hidden="1" x14ac:dyDescent="0.15"/>
    <row r="32136" hidden="1" x14ac:dyDescent="0.15"/>
    <row r="32137" hidden="1" x14ac:dyDescent="0.15"/>
    <row r="32138" hidden="1" x14ac:dyDescent="0.15"/>
    <row r="32139" hidden="1" x14ac:dyDescent="0.15"/>
    <row r="32140" hidden="1" x14ac:dyDescent="0.15"/>
    <row r="32141" hidden="1" x14ac:dyDescent="0.15"/>
    <row r="32142" hidden="1" x14ac:dyDescent="0.15"/>
    <row r="32143" hidden="1" x14ac:dyDescent="0.15"/>
    <row r="32144" hidden="1" x14ac:dyDescent="0.15"/>
    <row r="32145" hidden="1" x14ac:dyDescent="0.15"/>
    <row r="32146" hidden="1" x14ac:dyDescent="0.15"/>
    <row r="32147" hidden="1" x14ac:dyDescent="0.15"/>
    <row r="32148" hidden="1" x14ac:dyDescent="0.15"/>
    <row r="32149" hidden="1" x14ac:dyDescent="0.15"/>
    <row r="32150" hidden="1" x14ac:dyDescent="0.15"/>
    <row r="32151" hidden="1" x14ac:dyDescent="0.15"/>
    <row r="32152" hidden="1" x14ac:dyDescent="0.15"/>
    <row r="32153" hidden="1" x14ac:dyDescent="0.15"/>
    <row r="32154" hidden="1" x14ac:dyDescent="0.15"/>
    <row r="32155" hidden="1" x14ac:dyDescent="0.15"/>
    <row r="32156" hidden="1" x14ac:dyDescent="0.15"/>
    <row r="32157" hidden="1" x14ac:dyDescent="0.15"/>
    <row r="32158" hidden="1" x14ac:dyDescent="0.15"/>
    <row r="32159" hidden="1" x14ac:dyDescent="0.15"/>
    <row r="32160" hidden="1" x14ac:dyDescent="0.15"/>
    <row r="32161" hidden="1" x14ac:dyDescent="0.15"/>
    <row r="32162" hidden="1" x14ac:dyDescent="0.15"/>
    <row r="32163" hidden="1" x14ac:dyDescent="0.15"/>
    <row r="32164" hidden="1" x14ac:dyDescent="0.15"/>
    <row r="32165" hidden="1" x14ac:dyDescent="0.15"/>
    <row r="32166" hidden="1" x14ac:dyDescent="0.15"/>
    <row r="32167" hidden="1" x14ac:dyDescent="0.15"/>
    <row r="32168" hidden="1" x14ac:dyDescent="0.15"/>
    <row r="32169" hidden="1" x14ac:dyDescent="0.15"/>
    <row r="32170" hidden="1" x14ac:dyDescent="0.15"/>
    <row r="32171" hidden="1" x14ac:dyDescent="0.15"/>
    <row r="32172" hidden="1" x14ac:dyDescent="0.15"/>
    <row r="32173" hidden="1" x14ac:dyDescent="0.15"/>
    <row r="32174" hidden="1" x14ac:dyDescent="0.15"/>
    <row r="32175" hidden="1" x14ac:dyDescent="0.15"/>
    <row r="32176" hidden="1" x14ac:dyDescent="0.15"/>
    <row r="32177" hidden="1" x14ac:dyDescent="0.15"/>
    <row r="32178" hidden="1" x14ac:dyDescent="0.15"/>
    <row r="32179" hidden="1" x14ac:dyDescent="0.15"/>
    <row r="32180" hidden="1" x14ac:dyDescent="0.15"/>
    <row r="32181" hidden="1" x14ac:dyDescent="0.15"/>
    <row r="32182" hidden="1" x14ac:dyDescent="0.15"/>
    <row r="32183" hidden="1" x14ac:dyDescent="0.15"/>
    <row r="32184" hidden="1" x14ac:dyDescent="0.15"/>
    <row r="32185" hidden="1" x14ac:dyDescent="0.15"/>
    <row r="32186" hidden="1" x14ac:dyDescent="0.15"/>
    <row r="32187" hidden="1" x14ac:dyDescent="0.15"/>
    <row r="32188" hidden="1" x14ac:dyDescent="0.15"/>
    <row r="32189" hidden="1" x14ac:dyDescent="0.15"/>
    <row r="32190" hidden="1" x14ac:dyDescent="0.15"/>
    <row r="32191" hidden="1" x14ac:dyDescent="0.15"/>
    <row r="32192" hidden="1" x14ac:dyDescent="0.15"/>
    <row r="32193" hidden="1" x14ac:dyDescent="0.15"/>
    <row r="32194" hidden="1" x14ac:dyDescent="0.15"/>
    <row r="32195" hidden="1" x14ac:dyDescent="0.15"/>
    <row r="32196" hidden="1" x14ac:dyDescent="0.15"/>
    <row r="32197" hidden="1" x14ac:dyDescent="0.15"/>
    <row r="32198" hidden="1" x14ac:dyDescent="0.15"/>
    <row r="32199" hidden="1" x14ac:dyDescent="0.15"/>
    <row r="32200" hidden="1" x14ac:dyDescent="0.15"/>
    <row r="32201" hidden="1" x14ac:dyDescent="0.15"/>
    <row r="32202" hidden="1" x14ac:dyDescent="0.15"/>
    <row r="32203" hidden="1" x14ac:dyDescent="0.15"/>
    <row r="32204" hidden="1" x14ac:dyDescent="0.15"/>
    <row r="32205" hidden="1" x14ac:dyDescent="0.15"/>
    <row r="32206" hidden="1" x14ac:dyDescent="0.15"/>
    <row r="32207" hidden="1" x14ac:dyDescent="0.15"/>
    <row r="32208" hidden="1" x14ac:dyDescent="0.15"/>
    <row r="32209" hidden="1" x14ac:dyDescent="0.15"/>
    <row r="32210" hidden="1" x14ac:dyDescent="0.15"/>
    <row r="32211" hidden="1" x14ac:dyDescent="0.15"/>
    <row r="32212" hidden="1" x14ac:dyDescent="0.15"/>
    <row r="32213" hidden="1" x14ac:dyDescent="0.15"/>
    <row r="32214" hidden="1" x14ac:dyDescent="0.15"/>
    <row r="32215" hidden="1" x14ac:dyDescent="0.15"/>
    <row r="32216" hidden="1" x14ac:dyDescent="0.15"/>
    <row r="32217" hidden="1" x14ac:dyDescent="0.15"/>
    <row r="32218" hidden="1" x14ac:dyDescent="0.15"/>
    <row r="32219" hidden="1" x14ac:dyDescent="0.15"/>
    <row r="32220" hidden="1" x14ac:dyDescent="0.15"/>
    <row r="32221" hidden="1" x14ac:dyDescent="0.15"/>
    <row r="32222" hidden="1" x14ac:dyDescent="0.15"/>
    <row r="32223" hidden="1" x14ac:dyDescent="0.15"/>
    <row r="32224" hidden="1" x14ac:dyDescent="0.15"/>
    <row r="32225" hidden="1" x14ac:dyDescent="0.15"/>
    <row r="32226" hidden="1" x14ac:dyDescent="0.15"/>
    <row r="32227" hidden="1" x14ac:dyDescent="0.15"/>
    <row r="32228" hidden="1" x14ac:dyDescent="0.15"/>
    <row r="32229" hidden="1" x14ac:dyDescent="0.15"/>
    <row r="32230" hidden="1" x14ac:dyDescent="0.15"/>
    <row r="32231" hidden="1" x14ac:dyDescent="0.15"/>
    <row r="32232" hidden="1" x14ac:dyDescent="0.15"/>
    <row r="32233" hidden="1" x14ac:dyDescent="0.15"/>
    <row r="32234" hidden="1" x14ac:dyDescent="0.15"/>
    <row r="32235" hidden="1" x14ac:dyDescent="0.15"/>
    <row r="32236" hidden="1" x14ac:dyDescent="0.15"/>
    <row r="32237" hidden="1" x14ac:dyDescent="0.15"/>
    <row r="32238" hidden="1" x14ac:dyDescent="0.15"/>
    <row r="32239" hidden="1" x14ac:dyDescent="0.15"/>
    <row r="32240" hidden="1" x14ac:dyDescent="0.15"/>
    <row r="32241" hidden="1" x14ac:dyDescent="0.15"/>
    <row r="32242" hidden="1" x14ac:dyDescent="0.15"/>
    <row r="32243" hidden="1" x14ac:dyDescent="0.15"/>
    <row r="32244" hidden="1" x14ac:dyDescent="0.15"/>
    <row r="32245" hidden="1" x14ac:dyDescent="0.15"/>
    <row r="32246" hidden="1" x14ac:dyDescent="0.15"/>
    <row r="32247" hidden="1" x14ac:dyDescent="0.15"/>
    <row r="32248" hidden="1" x14ac:dyDescent="0.15"/>
    <row r="32249" hidden="1" x14ac:dyDescent="0.15"/>
    <row r="32250" hidden="1" x14ac:dyDescent="0.15"/>
    <row r="32251" hidden="1" x14ac:dyDescent="0.15"/>
    <row r="32252" hidden="1" x14ac:dyDescent="0.15"/>
    <row r="32253" hidden="1" x14ac:dyDescent="0.15"/>
    <row r="32254" hidden="1" x14ac:dyDescent="0.15"/>
    <row r="32255" hidden="1" x14ac:dyDescent="0.15"/>
    <row r="32256" hidden="1" x14ac:dyDescent="0.15"/>
    <row r="32257" hidden="1" x14ac:dyDescent="0.15"/>
    <row r="32258" hidden="1" x14ac:dyDescent="0.15"/>
    <row r="32259" hidden="1" x14ac:dyDescent="0.15"/>
    <row r="32260" hidden="1" x14ac:dyDescent="0.15"/>
    <row r="32261" hidden="1" x14ac:dyDescent="0.15"/>
    <row r="32262" hidden="1" x14ac:dyDescent="0.15"/>
    <row r="32263" hidden="1" x14ac:dyDescent="0.15"/>
    <row r="32264" hidden="1" x14ac:dyDescent="0.15"/>
    <row r="32265" hidden="1" x14ac:dyDescent="0.15"/>
    <row r="32266" hidden="1" x14ac:dyDescent="0.15"/>
    <row r="32267" hidden="1" x14ac:dyDescent="0.15"/>
    <row r="32268" hidden="1" x14ac:dyDescent="0.15"/>
    <row r="32269" hidden="1" x14ac:dyDescent="0.15"/>
    <row r="32270" hidden="1" x14ac:dyDescent="0.15"/>
    <row r="32271" hidden="1" x14ac:dyDescent="0.15"/>
    <row r="32272" hidden="1" x14ac:dyDescent="0.15"/>
    <row r="32273" hidden="1" x14ac:dyDescent="0.15"/>
    <row r="32274" hidden="1" x14ac:dyDescent="0.15"/>
    <row r="32275" hidden="1" x14ac:dyDescent="0.15"/>
    <row r="32276" hidden="1" x14ac:dyDescent="0.15"/>
    <row r="32277" hidden="1" x14ac:dyDescent="0.15"/>
    <row r="32278" hidden="1" x14ac:dyDescent="0.15"/>
    <row r="32279" hidden="1" x14ac:dyDescent="0.15"/>
    <row r="32280" hidden="1" x14ac:dyDescent="0.15"/>
    <row r="32281" hidden="1" x14ac:dyDescent="0.15"/>
    <row r="32282" hidden="1" x14ac:dyDescent="0.15"/>
    <row r="32283" hidden="1" x14ac:dyDescent="0.15"/>
    <row r="32284" hidden="1" x14ac:dyDescent="0.15"/>
    <row r="32285" hidden="1" x14ac:dyDescent="0.15"/>
    <row r="32286" hidden="1" x14ac:dyDescent="0.15"/>
    <row r="32287" hidden="1" x14ac:dyDescent="0.15"/>
    <row r="32288" hidden="1" x14ac:dyDescent="0.15"/>
    <row r="32289" hidden="1" x14ac:dyDescent="0.15"/>
    <row r="32290" hidden="1" x14ac:dyDescent="0.15"/>
    <row r="32291" hidden="1" x14ac:dyDescent="0.15"/>
    <row r="32292" hidden="1" x14ac:dyDescent="0.15"/>
    <row r="32293" hidden="1" x14ac:dyDescent="0.15"/>
    <row r="32294" hidden="1" x14ac:dyDescent="0.15"/>
    <row r="32295" hidden="1" x14ac:dyDescent="0.15"/>
    <row r="32296" hidden="1" x14ac:dyDescent="0.15"/>
    <row r="32297" hidden="1" x14ac:dyDescent="0.15"/>
    <row r="32298" hidden="1" x14ac:dyDescent="0.15"/>
    <row r="32299" hidden="1" x14ac:dyDescent="0.15"/>
    <row r="32300" hidden="1" x14ac:dyDescent="0.15"/>
    <row r="32301" hidden="1" x14ac:dyDescent="0.15"/>
    <row r="32302" hidden="1" x14ac:dyDescent="0.15"/>
    <row r="32303" hidden="1" x14ac:dyDescent="0.15"/>
    <row r="32304" hidden="1" x14ac:dyDescent="0.15"/>
    <row r="32305" hidden="1" x14ac:dyDescent="0.15"/>
    <row r="32306" hidden="1" x14ac:dyDescent="0.15"/>
    <row r="32307" hidden="1" x14ac:dyDescent="0.15"/>
    <row r="32308" hidden="1" x14ac:dyDescent="0.15"/>
    <row r="32309" hidden="1" x14ac:dyDescent="0.15"/>
    <row r="32310" hidden="1" x14ac:dyDescent="0.15"/>
    <row r="32311" hidden="1" x14ac:dyDescent="0.15"/>
    <row r="32312" hidden="1" x14ac:dyDescent="0.15"/>
    <row r="32313" hidden="1" x14ac:dyDescent="0.15"/>
    <row r="32314" hidden="1" x14ac:dyDescent="0.15"/>
    <row r="32315" hidden="1" x14ac:dyDescent="0.15"/>
    <row r="32316" hidden="1" x14ac:dyDescent="0.15"/>
    <row r="32317" hidden="1" x14ac:dyDescent="0.15"/>
    <row r="32318" hidden="1" x14ac:dyDescent="0.15"/>
    <row r="32319" hidden="1" x14ac:dyDescent="0.15"/>
    <row r="32320" hidden="1" x14ac:dyDescent="0.15"/>
    <row r="32321" hidden="1" x14ac:dyDescent="0.15"/>
    <row r="32322" hidden="1" x14ac:dyDescent="0.15"/>
    <row r="32323" hidden="1" x14ac:dyDescent="0.15"/>
    <row r="32324" hidden="1" x14ac:dyDescent="0.15"/>
    <row r="32325" hidden="1" x14ac:dyDescent="0.15"/>
    <row r="32326" hidden="1" x14ac:dyDescent="0.15"/>
    <row r="32327" hidden="1" x14ac:dyDescent="0.15"/>
    <row r="32328" hidden="1" x14ac:dyDescent="0.15"/>
    <row r="32329" hidden="1" x14ac:dyDescent="0.15"/>
    <row r="32330" hidden="1" x14ac:dyDescent="0.15"/>
    <row r="32331" hidden="1" x14ac:dyDescent="0.15"/>
    <row r="32332" hidden="1" x14ac:dyDescent="0.15"/>
    <row r="32333" hidden="1" x14ac:dyDescent="0.15"/>
    <row r="32334" hidden="1" x14ac:dyDescent="0.15"/>
    <row r="32335" hidden="1" x14ac:dyDescent="0.15"/>
    <row r="32336" hidden="1" x14ac:dyDescent="0.15"/>
    <row r="32337" hidden="1" x14ac:dyDescent="0.15"/>
    <row r="32338" hidden="1" x14ac:dyDescent="0.15"/>
    <row r="32339" hidden="1" x14ac:dyDescent="0.15"/>
    <row r="32340" hidden="1" x14ac:dyDescent="0.15"/>
    <row r="32341" hidden="1" x14ac:dyDescent="0.15"/>
    <row r="32342" hidden="1" x14ac:dyDescent="0.15"/>
    <row r="32343" hidden="1" x14ac:dyDescent="0.15"/>
    <row r="32344" hidden="1" x14ac:dyDescent="0.15"/>
    <row r="32345" hidden="1" x14ac:dyDescent="0.15"/>
    <row r="32346" hidden="1" x14ac:dyDescent="0.15"/>
    <row r="32347" hidden="1" x14ac:dyDescent="0.15"/>
    <row r="32348" hidden="1" x14ac:dyDescent="0.15"/>
    <row r="32349" hidden="1" x14ac:dyDescent="0.15"/>
    <row r="32350" hidden="1" x14ac:dyDescent="0.15"/>
    <row r="32351" hidden="1" x14ac:dyDescent="0.15"/>
    <row r="32352" hidden="1" x14ac:dyDescent="0.15"/>
    <row r="32353" hidden="1" x14ac:dyDescent="0.15"/>
    <row r="32354" hidden="1" x14ac:dyDescent="0.15"/>
    <row r="32355" hidden="1" x14ac:dyDescent="0.15"/>
    <row r="32356" hidden="1" x14ac:dyDescent="0.15"/>
    <row r="32357" hidden="1" x14ac:dyDescent="0.15"/>
    <row r="32358" hidden="1" x14ac:dyDescent="0.15"/>
    <row r="32359" hidden="1" x14ac:dyDescent="0.15"/>
    <row r="32360" hidden="1" x14ac:dyDescent="0.15"/>
    <row r="32361" hidden="1" x14ac:dyDescent="0.15"/>
    <row r="32362" hidden="1" x14ac:dyDescent="0.15"/>
    <row r="32363" hidden="1" x14ac:dyDescent="0.15"/>
    <row r="32364" hidden="1" x14ac:dyDescent="0.15"/>
    <row r="32365" hidden="1" x14ac:dyDescent="0.15"/>
    <row r="32366" hidden="1" x14ac:dyDescent="0.15"/>
    <row r="32367" hidden="1" x14ac:dyDescent="0.15"/>
    <row r="32368" hidden="1" x14ac:dyDescent="0.15"/>
    <row r="32369" hidden="1" x14ac:dyDescent="0.15"/>
    <row r="32370" hidden="1" x14ac:dyDescent="0.15"/>
    <row r="32371" hidden="1" x14ac:dyDescent="0.15"/>
    <row r="32372" hidden="1" x14ac:dyDescent="0.15"/>
    <row r="32373" hidden="1" x14ac:dyDescent="0.15"/>
    <row r="32374" hidden="1" x14ac:dyDescent="0.15"/>
    <row r="32375" hidden="1" x14ac:dyDescent="0.15"/>
    <row r="32376" hidden="1" x14ac:dyDescent="0.15"/>
    <row r="32377" hidden="1" x14ac:dyDescent="0.15"/>
    <row r="32378" hidden="1" x14ac:dyDescent="0.15"/>
    <row r="32379" hidden="1" x14ac:dyDescent="0.15"/>
    <row r="32380" hidden="1" x14ac:dyDescent="0.15"/>
    <row r="32381" hidden="1" x14ac:dyDescent="0.15"/>
    <row r="32382" hidden="1" x14ac:dyDescent="0.15"/>
    <row r="32383" hidden="1" x14ac:dyDescent="0.15"/>
    <row r="32384" hidden="1" x14ac:dyDescent="0.15"/>
    <row r="32385" hidden="1" x14ac:dyDescent="0.15"/>
    <row r="32386" hidden="1" x14ac:dyDescent="0.15"/>
    <row r="32387" hidden="1" x14ac:dyDescent="0.15"/>
    <row r="32388" hidden="1" x14ac:dyDescent="0.15"/>
    <row r="32389" hidden="1" x14ac:dyDescent="0.15"/>
    <row r="32390" hidden="1" x14ac:dyDescent="0.15"/>
    <row r="32391" hidden="1" x14ac:dyDescent="0.15"/>
    <row r="32392" hidden="1" x14ac:dyDescent="0.15"/>
    <row r="32393" hidden="1" x14ac:dyDescent="0.15"/>
    <row r="32394" hidden="1" x14ac:dyDescent="0.15"/>
    <row r="32395" hidden="1" x14ac:dyDescent="0.15"/>
    <row r="32396" hidden="1" x14ac:dyDescent="0.15"/>
    <row r="32397" hidden="1" x14ac:dyDescent="0.15"/>
    <row r="32398" hidden="1" x14ac:dyDescent="0.15"/>
    <row r="32399" hidden="1" x14ac:dyDescent="0.15"/>
    <row r="32400" hidden="1" x14ac:dyDescent="0.15"/>
    <row r="32401" hidden="1" x14ac:dyDescent="0.15"/>
    <row r="32402" hidden="1" x14ac:dyDescent="0.15"/>
    <row r="32403" hidden="1" x14ac:dyDescent="0.15"/>
    <row r="32404" hidden="1" x14ac:dyDescent="0.15"/>
    <row r="32405" hidden="1" x14ac:dyDescent="0.15"/>
    <row r="32406" hidden="1" x14ac:dyDescent="0.15"/>
    <row r="32407" hidden="1" x14ac:dyDescent="0.15"/>
    <row r="32408" hidden="1" x14ac:dyDescent="0.15"/>
    <row r="32409" hidden="1" x14ac:dyDescent="0.15"/>
    <row r="32410" hidden="1" x14ac:dyDescent="0.15"/>
    <row r="32411" hidden="1" x14ac:dyDescent="0.15"/>
    <row r="32412" hidden="1" x14ac:dyDescent="0.15"/>
    <row r="32413" hidden="1" x14ac:dyDescent="0.15"/>
    <row r="32414" hidden="1" x14ac:dyDescent="0.15"/>
    <row r="32415" hidden="1" x14ac:dyDescent="0.15"/>
    <row r="32416" hidden="1" x14ac:dyDescent="0.15"/>
    <row r="32417" hidden="1" x14ac:dyDescent="0.15"/>
    <row r="32418" hidden="1" x14ac:dyDescent="0.15"/>
    <row r="32419" hidden="1" x14ac:dyDescent="0.15"/>
    <row r="32420" hidden="1" x14ac:dyDescent="0.15"/>
    <row r="32421" hidden="1" x14ac:dyDescent="0.15"/>
    <row r="32422" hidden="1" x14ac:dyDescent="0.15"/>
    <row r="32423" hidden="1" x14ac:dyDescent="0.15"/>
    <row r="32424" hidden="1" x14ac:dyDescent="0.15"/>
    <row r="32425" hidden="1" x14ac:dyDescent="0.15"/>
    <row r="32426" hidden="1" x14ac:dyDescent="0.15"/>
    <row r="32427" hidden="1" x14ac:dyDescent="0.15"/>
    <row r="32428" hidden="1" x14ac:dyDescent="0.15"/>
    <row r="32429" hidden="1" x14ac:dyDescent="0.15"/>
    <row r="32430" hidden="1" x14ac:dyDescent="0.15"/>
    <row r="32431" hidden="1" x14ac:dyDescent="0.15"/>
    <row r="32432" hidden="1" x14ac:dyDescent="0.15"/>
    <row r="32433" hidden="1" x14ac:dyDescent="0.15"/>
    <row r="32434" hidden="1" x14ac:dyDescent="0.15"/>
    <row r="32435" hidden="1" x14ac:dyDescent="0.15"/>
    <row r="32436" hidden="1" x14ac:dyDescent="0.15"/>
    <row r="32437" hidden="1" x14ac:dyDescent="0.15"/>
    <row r="32438" hidden="1" x14ac:dyDescent="0.15"/>
    <row r="32439" hidden="1" x14ac:dyDescent="0.15"/>
    <row r="32440" hidden="1" x14ac:dyDescent="0.15"/>
    <row r="32441" hidden="1" x14ac:dyDescent="0.15"/>
    <row r="32442" hidden="1" x14ac:dyDescent="0.15"/>
    <row r="32443" hidden="1" x14ac:dyDescent="0.15"/>
    <row r="32444" hidden="1" x14ac:dyDescent="0.15"/>
    <row r="32445" hidden="1" x14ac:dyDescent="0.15"/>
    <row r="32446" hidden="1" x14ac:dyDescent="0.15"/>
    <row r="32447" hidden="1" x14ac:dyDescent="0.15"/>
    <row r="32448" hidden="1" x14ac:dyDescent="0.15"/>
    <row r="32449" hidden="1" x14ac:dyDescent="0.15"/>
    <row r="32450" hidden="1" x14ac:dyDescent="0.15"/>
    <row r="32451" hidden="1" x14ac:dyDescent="0.15"/>
    <row r="32452" hidden="1" x14ac:dyDescent="0.15"/>
    <row r="32453" hidden="1" x14ac:dyDescent="0.15"/>
    <row r="32454" hidden="1" x14ac:dyDescent="0.15"/>
    <row r="32455" hidden="1" x14ac:dyDescent="0.15"/>
    <row r="32456" hidden="1" x14ac:dyDescent="0.15"/>
    <row r="32457" hidden="1" x14ac:dyDescent="0.15"/>
    <row r="32458" hidden="1" x14ac:dyDescent="0.15"/>
    <row r="32459" hidden="1" x14ac:dyDescent="0.15"/>
    <row r="32460" hidden="1" x14ac:dyDescent="0.15"/>
    <row r="32461" hidden="1" x14ac:dyDescent="0.15"/>
    <row r="32462" hidden="1" x14ac:dyDescent="0.15"/>
    <row r="32463" hidden="1" x14ac:dyDescent="0.15"/>
    <row r="32464" hidden="1" x14ac:dyDescent="0.15"/>
    <row r="32465" hidden="1" x14ac:dyDescent="0.15"/>
    <row r="32466" hidden="1" x14ac:dyDescent="0.15"/>
    <row r="32467" hidden="1" x14ac:dyDescent="0.15"/>
    <row r="32468" hidden="1" x14ac:dyDescent="0.15"/>
    <row r="32469" hidden="1" x14ac:dyDescent="0.15"/>
    <row r="32470" hidden="1" x14ac:dyDescent="0.15"/>
    <row r="32471" hidden="1" x14ac:dyDescent="0.15"/>
    <row r="32472" hidden="1" x14ac:dyDescent="0.15"/>
    <row r="32473" hidden="1" x14ac:dyDescent="0.15"/>
    <row r="32474" hidden="1" x14ac:dyDescent="0.15"/>
    <row r="32475" hidden="1" x14ac:dyDescent="0.15"/>
    <row r="32476" hidden="1" x14ac:dyDescent="0.15"/>
    <row r="32477" hidden="1" x14ac:dyDescent="0.15"/>
    <row r="32478" hidden="1" x14ac:dyDescent="0.15"/>
    <row r="32479" hidden="1" x14ac:dyDescent="0.15"/>
    <row r="32480" hidden="1" x14ac:dyDescent="0.15"/>
    <row r="32481" hidden="1" x14ac:dyDescent="0.15"/>
    <row r="32482" hidden="1" x14ac:dyDescent="0.15"/>
    <row r="32483" hidden="1" x14ac:dyDescent="0.15"/>
    <row r="32484" hidden="1" x14ac:dyDescent="0.15"/>
    <row r="32485" hidden="1" x14ac:dyDescent="0.15"/>
    <row r="32486" hidden="1" x14ac:dyDescent="0.15"/>
    <row r="32487" hidden="1" x14ac:dyDescent="0.15"/>
    <row r="32488" hidden="1" x14ac:dyDescent="0.15"/>
    <row r="32489" hidden="1" x14ac:dyDescent="0.15"/>
    <row r="32490" hidden="1" x14ac:dyDescent="0.15"/>
    <row r="32491" hidden="1" x14ac:dyDescent="0.15"/>
    <row r="32492" hidden="1" x14ac:dyDescent="0.15"/>
    <row r="32493" hidden="1" x14ac:dyDescent="0.15"/>
    <row r="32494" hidden="1" x14ac:dyDescent="0.15"/>
    <row r="32495" hidden="1" x14ac:dyDescent="0.15"/>
    <row r="32496" hidden="1" x14ac:dyDescent="0.15"/>
    <row r="32497" hidden="1" x14ac:dyDescent="0.15"/>
    <row r="32498" hidden="1" x14ac:dyDescent="0.15"/>
    <row r="32499" hidden="1" x14ac:dyDescent="0.15"/>
    <row r="32500" hidden="1" x14ac:dyDescent="0.15"/>
    <row r="32501" hidden="1" x14ac:dyDescent="0.15"/>
    <row r="32502" hidden="1" x14ac:dyDescent="0.15"/>
    <row r="32503" hidden="1" x14ac:dyDescent="0.15"/>
    <row r="32504" hidden="1" x14ac:dyDescent="0.15"/>
    <row r="32505" hidden="1" x14ac:dyDescent="0.15"/>
    <row r="32506" hidden="1" x14ac:dyDescent="0.15"/>
    <row r="32507" hidden="1" x14ac:dyDescent="0.15"/>
    <row r="32508" hidden="1" x14ac:dyDescent="0.15"/>
    <row r="32509" hidden="1" x14ac:dyDescent="0.15"/>
    <row r="32510" hidden="1" x14ac:dyDescent="0.15"/>
    <row r="32511" hidden="1" x14ac:dyDescent="0.15"/>
    <row r="32512" hidden="1" x14ac:dyDescent="0.15"/>
    <row r="32513" hidden="1" x14ac:dyDescent="0.15"/>
    <row r="32514" hidden="1" x14ac:dyDescent="0.15"/>
    <row r="32515" hidden="1" x14ac:dyDescent="0.15"/>
    <row r="32516" hidden="1" x14ac:dyDescent="0.15"/>
    <row r="32517" hidden="1" x14ac:dyDescent="0.15"/>
    <row r="32518" hidden="1" x14ac:dyDescent="0.15"/>
    <row r="32519" hidden="1" x14ac:dyDescent="0.15"/>
    <row r="32520" hidden="1" x14ac:dyDescent="0.15"/>
    <row r="32521" hidden="1" x14ac:dyDescent="0.15"/>
    <row r="32522" hidden="1" x14ac:dyDescent="0.15"/>
    <row r="32523" hidden="1" x14ac:dyDescent="0.15"/>
    <row r="32524" hidden="1" x14ac:dyDescent="0.15"/>
    <row r="32525" hidden="1" x14ac:dyDescent="0.15"/>
    <row r="32526" hidden="1" x14ac:dyDescent="0.15"/>
    <row r="32527" hidden="1" x14ac:dyDescent="0.15"/>
    <row r="32528" hidden="1" x14ac:dyDescent="0.15"/>
    <row r="32529" hidden="1" x14ac:dyDescent="0.15"/>
    <row r="32530" hidden="1" x14ac:dyDescent="0.15"/>
    <row r="32531" hidden="1" x14ac:dyDescent="0.15"/>
    <row r="32532" hidden="1" x14ac:dyDescent="0.15"/>
    <row r="32533" hidden="1" x14ac:dyDescent="0.15"/>
    <row r="32534" hidden="1" x14ac:dyDescent="0.15"/>
    <row r="32535" hidden="1" x14ac:dyDescent="0.15"/>
    <row r="32536" hidden="1" x14ac:dyDescent="0.15"/>
    <row r="32537" hidden="1" x14ac:dyDescent="0.15"/>
    <row r="32538" hidden="1" x14ac:dyDescent="0.15"/>
    <row r="32539" hidden="1" x14ac:dyDescent="0.15"/>
    <row r="32540" hidden="1" x14ac:dyDescent="0.15"/>
    <row r="32541" hidden="1" x14ac:dyDescent="0.15"/>
    <row r="32542" hidden="1" x14ac:dyDescent="0.15"/>
    <row r="32543" hidden="1" x14ac:dyDescent="0.15"/>
    <row r="32544" hidden="1" x14ac:dyDescent="0.15"/>
    <row r="32545" hidden="1" x14ac:dyDescent="0.15"/>
    <row r="32546" hidden="1" x14ac:dyDescent="0.15"/>
    <row r="32547" hidden="1" x14ac:dyDescent="0.15"/>
    <row r="32548" hidden="1" x14ac:dyDescent="0.15"/>
    <row r="32549" hidden="1" x14ac:dyDescent="0.15"/>
    <row r="32550" hidden="1" x14ac:dyDescent="0.15"/>
    <row r="32551" hidden="1" x14ac:dyDescent="0.15"/>
    <row r="32552" hidden="1" x14ac:dyDescent="0.15"/>
    <row r="32553" hidden="1" x14ac:dyDescent="0.15"/>
    <row r="32554" hidden="1" x14ac:dyDescent="0.15"/>
    <row r="32555" hidden="1" x14ac:dyDescent="0.15"/>
    <row r="32556" hidden="1" x14ac:dyDescent="0.15"/>
    <row r="32557" hidden="1" x14ac:dyDescent="0.15"/>
    <row r="32558" hidden="1" x14ac:dyDescent="0.15"/>
    <row r="32559" hidden="1" x14ac:dyDescent="0.15"/>
    <row r="32560" hidden="1" x14ac:dyDescent="0.15"/>
    <row r="32561" hidden="1" x14ac:dyDescent="0.15"/>
    <row r="32562" hidden="1" x14ac:dyDescent="0.15"/>
    <row r="32563" hidden="1" x14ac:dyDescent="0.15"/>
    <row r="32564" hidden="1" x14ac:dyDescent="0.15"/>
    <row r="32565" hidden="1" x14ac:dyDescent="0.15"/>
    <row r="32566" hidden="1" x14ac:dyDescent="0.15"/>
    <row r="32567" hidden="1" x14ac:dyDescent="0.15"/>
    <row r="32568" hidden="1" x14ac:dyDescent="0.15"/>
    <row r="32569" hidden="1" x14ac:dyDescent="0.15"/>
    <row r="32570" hidden="1" x14ac:dyDescent="0.15"/>
    <row r="32571" hidden="1" x14ac:dyDescent="0.15"/>
    <row r="32572" hidden="1" x14ac:dyDescent="0.15"/>
    <row r="32573" hidden="1" x14ac:dyDescent="0.15"/>
    <row r="32574" hidden="1" x14ac:dyDescent="0.15"/>
    <row r="32575" hidden="1" x14ac:dyDescent="0.15"/>
    <row r="32576" hidden="1" x14ac:dyDescent="0.15"/>
    <row r="32577" hidden="1" x14ac:dyDescent="0.15"/>
    <row r="32578" hidden="1" x14ac:dyDescent="0.15"/>
    <row r="32579" hidden="1" x14ac:dyDescent="0.15"/>
    <row r="32580" hidden="1" x14ac:dyDescent="0.15"/>
    <row r="32581" hidden="1" x14ac:dyDescent="0.15"/>
    <row r="32582" hidden="1" x14ac:dyDescent="0.15"/>
    <row r="32583" hidden="1" x14ac:dyDescent="0.15"/>
    <row r="32584" hidden="1" x14ac:dyDescent="0.15"/>
    <row r="32585" hidden="1" x14ac:dyDescent="0.15"/>
    <row r="32586" hidden="1" x14ac:dyDescent="0.15"/>
    <row r="32587" hidden="1" x14ac:dyDescent="0.15"/>
    <row r="32588" hidden="1" x14ac:dyDescent="0.15"/>
    <row r="32589" hidden="1" x14ac:dyDescent="0.15"/>
    <row r="32590" hidden="1" x14ac:dyDescent="0.15"/>
    <row r="32591" hidden="1" x14ac:dyDescent="0.15"/>
    <row r="32592" hidden="1" x14ac:dyDescent="0.15"/>
    <row r="32593" hidden="1" x14ac:dyDescent="0.15"/>
    <row r="32594" hidden="1" x14ac:dyDescent="0.15"/>
    <row r="32595" hidden="1" x14ac:dyDescent="0.15"/>
    <row r="32596" hidden="1" x14ac:dyDescent="0.15"/>
    <row r="32597" hidden="1" x14ac:dyDescent="0.15"/>
    <row r="32598" hidden="1" x14ac:dyDescent="0.15"/>
    <row r="32599" hidden="1" x14ac:dyDescent="0.15"/>
    <row r="32600" hidden="1" x14ac:dyDescent="0.15"/>
    <row r="32601" hidden="1" x14ac:dyDescent="0.15"/>
    <row r="32602" hidden="1" x14ac:dyDescent="0.15"/>
    <row r="32603" hidden="1" x14ac:dyDescent="0.15"/>
    <row r="32604" hidden="1" x14ac:dyDescent="0.15"/>
    <row r="32605" hidden="1" x14ac:dyDescent="0.15"/>
    <row r="32606" hidden="1" x14ac:dyDescent="0.15"/>
    <row r="32607" hidden="1" x14ac:dyDescent="0.15"/>
    <row r="32608" hidden="1" x14ac:dyDescent="0.15"/>
    <row r="32609" hidden="1" x14ac:dyDescent="0.15"/>
    <row r="32610" hidden="1" x14ac:dyDescent="0.15"/>
    <row r="32611" hidden="1" x14ac:dyDescent="0.15"/>
    <row r="32612" hidden="1" x14ac:dyDescent="0.15"/>
    <row r="32613" hidden="1" x14ac:dyDescent="0.15"/>
    <row r="32614" hidden="1" x14ac:dyDescent="0.15"/>
    <row r="32615" hidden="1" x14ac:dyDescent="0.15"/>
    <row r="32616" hidden="1" x14ac:dyDescent="0.15"/>
    <row r="32617" hidden="1" x14ac:dyDescent="0.15"/>
    <row r="32618" hidden="1" x14ac:dyDescent="0.15"/>
    <row r="32619" hidden="1" x14ac:dyDescent="0.15"/>
    <row r="32620" hidden="1" x14ac:dyDescent="0.15"/>
    <row r="32621" hidden="1" x14ac:dyDescent="0.15"/>
    <row r="32622" hidden="1" x14ac:dyDescent="0.15"/>
    <row r="32623" hidden="1" x14ac:dyDescent="0.15"/>
    <row r="32624" hidden="1" x14ac:dyDescent="0.15"/>
    <row r="32625" hidden="1" x14ac:dyDescent="0.15"/>
    <row r="32626" hidden="1" x14ac:dyDescent="0.15"/>
    <row r="32627" hidden="1" x14ac:dyDescent="0.15"/>
    <row r="32628" hidden="1" x14ac:dyDescent="0.15"/>
    <row r="32629" hidden="1" x14ac:dyDescent="0.15"/>
    <row r="32630" hidden="1" x14ac:dyDescent="0.15"/>
    <row r="32631" hidden="1" x14ac:dyDescent="0.15"/>
    <row r="32632" hidden="1" x14ac:dyDescent="0.15"/>
    <row r="32633" hidden="1" x14ac:dyDescent="0.15"/>
    <row r="32634" hidden="1" x14ac:dyDescent="0.15"/>
    <row r="32635" hidden="1" x14ac:dyDescent="0.15"/>
    <row r="32636" hidden="1" x14ac:dyDescent="0.15"/>
    <row r="32637" hidden="1" x14ac:dyDescent="0.15"/>
    <row r="32638" hidden="1" x14ac:dyDescent="0.15"/>
    <row r="32639" hidden="1" x14ac:dyDescent="0.15"/>
    <row r="32640" hidden="1" x14ac:dyDescent="0.15"/>
    <row r="32641" hidden="1" x14ac:dyDescent="0.15"/>
    <row r="32642" hidden="1" x14ac:dyDescent="0.15"/>
    <row r="32643" hidden="1" x14ac:dyDescent="0.15"/>
    <row r="32644" hidden="1" x14ac:dyDescent="0.15"/>
    <row r="32645" hidden="1" x14ac:dyDescent="0.15"/>
    <row r="32646" hidden="1" x14ac:dyDescent="0.15"/>
    <row r="32647" hidden="1" x14ac:dyDescent="0.15"/>
    <row r="32648" hidden="1" x14ac:dyDescent="0.15"/>
    <row r="32649" hidden="1" x14ac:dyDescent="0.15"/>
    <row r="32650" hidden="1" x14ac:dyDescent="0.15"/>
    <row r="32651" hidden="1" x14ac:dyDescent="0.15"/>
    <row r="32652" hidden="1" x14ac:dyDescent="0.15"/>
    <row r="32653" hidden="1" x14ac:dyDescent="0.15"/>
    <row r="32654" hidden="1" x14ac:dyDescent="0.15"/>
    <row r="32655" hidden="1" x14ac:dyDescent="0.15"/>
    <row r="32656" hidden="1" x14ac:dyDescent="0.15"/>
    <row r="32657" hidden="1" x14ac:dyDescent="0.15"/>
    <row r="32658" hidden="1" x14ac:dyDescent="0.15"/>
    <row r="32659" hidden="1" x14ac:dyDescent="0.15"/>
    <row r="32660" hidden="1" x14ac:dyDescent="0.15"/>
    <row r="32661" hidden="1" x14ac:dyDescent="0.15"/>
    <row r="32662" hidden="1" x14ac:dyDescent="0.15"/>
    <row r="32663" hidden="1" x14ac:dyDescent="0.15"/>
    <row r="32664" hidden="1" x14ac:dyDescent="0.15"/>
    <row r="32665" hidden="1" x14ac:dyDescent="0.15"/>
    <row r="32666" hidden="1" x14ac:dyDescent="0.15"/>
    <row r="32667" hidden="1" x14ac:dyDescent="0.15"/>
    <row r="32668" hidden="1" x14ac:dyDescent="0.15"/>
    <row r="32669" hidden="1" x14ac:dyDescent="0.15"/>
    <row r="32670" hidden="1" x14ac:dyDescent="0.15"/>
    <row r="32671" hidden="1" x14ac:dyDescent="0.15"/>
    <row r="32672" hidden="1" x14ac:dyDescent="0.15"/>
    <row r="32673" hidden="1" x14ac:dyDescent="0.15"/>
    <row r="32674" hidden="1" x14ac:dyDescent="0.15"/>
    <row r="32675" hidden="1" x14ac:dyDescent="0.15"/>
    <row r="32676" hidden="1" x14ac:dyDescent="0.15"/>
    <row r="32677" hidden="1" x14ac:dyDescent="0.15"/>
    <row r="32678" hidden="1" x14ac:dyDescent="0.15"/>
    <row r="32679" hidden="1" x14ac:dyDescent="0.15"/>
    <row r="32680" hidden="1" x14ac:dyDescent="0.15"/>
    <row r="32681" hidden="1" x14ac:dyDescent="0.15"/>
    <row r="32682" hidden="1" x14ac:dyDescent="0.15"/>
    <row r="32683" hidden="1" x14ac:dyDescent="0.15"/>
    <row r="32684" hidden="1" x14ac:dyDescent="0.15"/>
    <row r="32685" hidden="1" x14ac:dyDescent="0.15"/>
    <row r="32686" hidden="1" x14ac:dyDescent="0.15"/>
    <row r="32687" hidden="1" x14ac:dyDescent="0.15"/>
    <row r="32688" hidden="1" x14ac:dyDescent="0.15"/>
    <row r="32689" hidden="1" x14ac:dyDescent="0.15"/>
    <row r="32690" hidden="1" x14ac:dyDescent="0.15"/>
    <row r="32691" hidden="1" x14ac:dyDescent="0.15"/>
    <row r="32692" hidden="1" x14ac:dyDescent="0.15"/>
    <row r="32693" hidden="1" x14ac:dyDescent="0.15"/>
    <row r="32694" hidden="1" x14ac:dyDescent="0.15"/>
    <row r="32695" hidden="1" x14ac:dyDescent="0.15"/>
    <row r="32696" hidden="1" x14ac:dyDescent="0.15"/>
    <row r="32697" hidden="1" x14ac:dyDescent="0.15"/>
    <row r="32698" hidden="1" x14ac:dyDescent="0.15"/>
    <row r="32699" hidden="1" x14ac:dyDescent="0.15"/>
    <row r="32700" hidden="1" x14ac:dyDescent="0.15"/>
    <row r="32701" hidden="1" x14ac:dyDescent="0.15"/>
    <row r="32702" hidden="1" x14ac:dyDescent="0.15"/>
    <row r="32703" hidden="1" x14ac:dyDescent="0.15"/>
    <row r="32704" hidden="1" x14ac:dyDescent="0.15"/>
    <row r="32705" hidden="1" x14ac:dyDescent="0.15"/>
    <row r="32706" hidden="1" x14ac:dyDescent="0.15"/>
    <row r="32707" hidden="1" x14ac:dyDescent="0.15"/>
    <row r="32708" hidden="1" x14ac:dyDescent="0.15"/>
    <row r="32709" hidden="1" x14ac:dyDescent="0.15"/>
    <row r="32710" hidden="1" x14ac:dyDescent="0.15"/>
    <row r="32711" hidden="1" x14ac:dyDescent="0.15"/>
    <row r="32712" hidden="1" x14ac:dyDescent="0.15"/>
    <row r="32713" hidden="1" x14ac:dyDescent="0.15"/>
    <row r="32714" hidden="1" x14ac:dyDescent="0.15"/>
    <row r="32715" hidden="1" x14ac:dyDescent="0.15"/>
    <row r="32716" hidden="1" x14ac:dyDescent="0.15"/>
    <row r="32717" hidden="1" x14ac:dyDescent="0.15"/>
    <row r="32718" hidden="1" x14ac:dyDescent="0.15"/>
    <row r="32719" hidden="1" x14ac:dyDescent="0.15"/>
    <row r="32720" hidden="1" x14ac:dyDescent="0.15"/>
    <row r="32721" hidden="1" x14ac:dyDescent="0.15"/>
    <row r="32722" hidden="1" x14ac:dyDescent="0.15"/>
    <row r="32723" hidden="1" x14ac:dyDescent="0.15"/>
    <row r="32724" hidden="1" x14ac:dyDescent="0.15"/>
    <row r="32725" hidden="1" x14ac:dyDescent="0.15"/>
    <row r="32726" hidden="1" x14ac:dyDescent="0.15"/>
    <row r="32727" hidden="1" x14ac:dyDescent="0.15"/>
    <row r="32728" hidden="1" x14ac:dyDescent="0.15"/>
    <row r="32729" hidden="1" x14ac:dyDescent="0.15"/>
    <row r="32730" hidden="1" x14ac:dyDescent="0.15"/>
    <row r="32731" hidden="1" x14ac:dyDescent="0.15"/>
    <row r="32732" hidden="1" x14ac:dyDescent="0.15"/>
    <row r="32733" hidden="1" x14ac:dyDescent="0.15"/>
    <row r="32734" hidden="1" x14ac:dyDescent="0.15"/>
    <row r="32735" hidden="1" x14ac:dyDescent="0.15"/>
    <row r="32736" hidden="1" x14ac:dyDescent="0.15"/>
    <row r="32737" hidden="1" x14ac:dyDescent="0.15"/>
    <row r="32738" hidden="1" x14ac:dyDescent="0.15"/>
    <row r="32739" hidden="1" x14ac:dyDescent="0.15"/>
    <row r="32740" hidden="1" x14ac:dyDescent="0.15"/>
    <row r="32741" hidden="1" x14ac:dyDescent="0.15"/>
    <row r="32742" hidden="1" x14ac:dyDescent="0.15"/>
    <row r="32743" hidden="1" x14ac:dyDescent="0.15"/>
    <row r="32744" hidden="1" x14ac:dyDescent="0.15"/>
    <row r="32745" hidden="1" x14ac:dyDescent="0.15"/>
    <row r="32746" hidden="1" x14ac:dyDescent="0.15"/>
    <row r="32747" hidden="1" x14ac:dyDescent="0.15"/>
    <row r="32748" hidden="1" x14ac:dyDescent="0.15"/>
    <row r="32749" hidden="1" x14ac:dyDescent="0.15"/>
    <row r="32750" hidden="1" x14ac:dyDescent="0.15"/>
    <row r="32751" hidden="1" x14ac:dyDescent="0.15"/>
    <row r="32752" hidden="1" x14ac:dyDescent="0.15"/>
    <row r="32753" hidden="1" x14ac:dyDescent="0.15"/>
    <row r="32754" hidden="1" x14ac:dyDescent="0.15"/>
    <row r="32755" hidden="1" x14ac:dyDescent="0.15"/>
    <row r="32756" hidden="1" x14ac:dyDescent="0.15"/>
    <row r="32757" hidden="1" x14ac:dyDescent="0.15"/>
    <row r="32758" hidden="1" x14ac:dyDescent="0.15"/>
    <row r="32759" hidden="1" x14ac:dyDescent="0.15"/>
    <row r="32760" hidden="1" x14ac:dyDescent="0.15"/>
    <row r="32761" hidden="1" x14ac:dyDescent="0.15"/>
    <row r="32762" hidden="1" x14ac:dyDescent="0.15"/>
    <row r="32763" hidden="1" x14ac:dyDescent="0.15"/>
    <row r="32764" hidden="1" x14ac:dyDescent="0.15"/>
    <row r="32765" hidden="1" x14ac:dyDescent="0.15"/>
    <row r="32766" hidden="1" x14ac:dyDescent="0.15"/>
    <row r="32767" hidden="1" x14ac:dyDescent="0.15"/>
    <row r="32768" hidden="1" x14ac:dyDescent="0.15"/>
    <row r="32769" hidden="1" x14ac:dyDescent="0.15"/>
    <row r="32770" hidden="1" x14ac:dyDescent="0.15"/>
    <row r="32771" hidden="1" x14ac:dyDescent="0.15"/>
    <row r="32772" hidden="1" x14ac:dyDescent="0.15"/>
    <row r="32773" hidden="1" x14ac:dyDescent="0.15"/>
    <row r="32774" hidden="1" x14ac:dyDescent="0.15"/>
    <row r="32775" hidden="1" x14ac:dyDescent="0.15"/>
    <row r="32776" hidden="1" x14ac:dyDescent="0.15"/>
    <row r="32777" hidden="1" x14ac:dyDescent="0.15"/>
    <row r="32778" hidden="1" x14ac:dyDescent="0.15"/>
    <row r="32779" hidden="1" x14ac:dyDescent="0.15"/>
    <row r="32780" hidden="1" x14ac:dyDescent="0.15"/>
    <row r="32781" hidden="1" x14ac:dyDescent="0.15"/>
    <row r="32782" hidden="1" x14ac:dyDescent="0.15"/>
    <row r="32783" hidden="1" x14ac:dyDescent="0.15"/>
    <row r="32784" hidden="1" x14ac:dyDescent="0.15"/>
    <row r="32785" hidden="1" x14ac:dyDescent="0.15"/>
    <row r="32786" hidden="1" x14ac:dyDescent="0.15"/>
    <row r="32787" hidden="1" x14ac:dyDescent="0.15"/>
    <row r="32788" hidden="1" x14ac:dyDescent="0.15"/>
    <row r="32789" hidden="1" x14ac:dyDescent="0.15"/>
    <row r="32790" hidden="1" x14ac:dyDescent="0.15"/>
    <row r="32791" hidden="1" x14ac:dyDescent="0.15"/>
    <row r="32792" hidden="1" x14ac:dyDescent="0.15"/>
    <row r="32793" hidden="1" x14ac:dyDescent="0.15"/>
    <row r="32794" hidden="1" x14ac:dyDescent="0.15"/>
    <row r="32795" hidden="1" x14ac:dyDescent="0.15"/>
    <row r="32796" hidden="1" x14ac:dyDescent="0.15"/>
    <row r="32797" hidden="1" x14ac:dyDescent="0.15"/>
    <row r="32798" hidden="1" x14ac:dyDescent="0.15"/>
    <row r="32799" hidden="1" x14ac:dyDescent="0.15"/>
    <row r="32800" hidden="1" x14ac:dyDescent="0.15"/>
    <row r="32801" hidden="1" x14ac:dyDescent="0.15"/>
    <row r="32802" hidden="1" x14ac:dyDescent="0.15"/>
    <row r="32803" hidden="1" x14ac:dyDescent="0.15"/>
    <row r="32804" hidden="1" x14ac:dyDescent="0.15"/>
    <row r="32805" hidden="1" x14ac:dyDescent="0.15"/>
    <row r="32806" hidden="1" x14ac:dyDescent="0.15"/>
    <row r="32807" hidden="1" x14ac:dyDescent="0.15"/>
    <row r="32808" hidden="1" x14ac:dyDescent="0.15"/>
    <row r="32809" hidden="1" x14ac:dyDescent="0.15"/>
    <row r="32810" hidden="1" x14ac:dyDescent="0.15"/>
    <row r="32811" hidden="1" x14ac:dyDescent="0.15"/>
    <row r="32812" hidden="1" x14ac:dyDescent="0.15"/>
    <row r="32813" hidden="1" x14ac:dyDescent="0.15"/>
    <row r="32814" hidden="1" x14ac:dyDescent="0.15"/>
    <row r="32815" hidden="1" x14ac:dyDescent="0.15"/>
    <row r="32816" hidden="1" x14ac:dyDescent="0.15"/>
    <row r="32817" hidden="1" x14ac:dyDescent="0.15"/>
    <row r="32818" hidden="1" x14ac:dyDescent="0.15"/>
    <row r="32819" hidden="1" x14ac:dyDescent="0.15"/>
    <row r="32820" hidden="1" x14ac:dyDescent="0.15"/>
    <row r="32821" hidden="1" x14ac:dyDescent="0.15"/>
    <row r="32822" hidden="1" x14ac:dyDescent="0.15"/>
    <row r="32823" hidden="1" x14ac:dyDescent="0.15"/>
    <row r="32824" hidden="1" x14ac:dyDescent="0.15"/>
    <row r="32825" hidden="1" x14ac:dyDescent="0.15"/>
    <row r="32826" hidden="1" x14ac:dyDescent="0.15"/>
    <row r="32827" hidden="1" x14ac:dyDescent="0.15"/>
    <row r="32828" hidden="1" x14ac:dyDescent="0.15"/>
    <row r="32829" hidden="1" x14ac:dyDescent="0.15"/>
    <row r="32830" hidden="1" x14ac:dyDescent="0.15"/>
    <row r="32831" hidden="1" x14ac:dyDescent="0.15"/>
    <row r="32832" hidden="1" x14ac:dyDescent="0.15"/>
    <row r="32833" hidden="1" x14ac:dyDescent="0.15"/>
    <row r="32834" hidden="1" x14ac:dyDescent="0.15"/>
    <row r="32835" hidden="1" x14ac:dyDescent="0.15"/>
    <row r="32836" hidden="1" x14ac:dyDescent="0.15"/>
    <row r="32837" hidden="1" x14ac:dyDescent="0.15"/>
    <row r="32838" hidden="1" x14ac:dyDescent="0.15"/>
    <row r="32839" hidden="1" x14ac:dyDescent="0.15"/>
    <row r="32840" hidden="1" x14ac:dyDescent="0.15"/>
    <row r="32841" hidden="1" x14ac:dyDescent="0.15"/>
    <row r="32842" hidden="1" x14ac:dyDescent="0.15"/>
    <row r="32843" hidden="1" x14ac:dyDescent="0.15"/>
    <row r="32844" hidden="1" x14ac:dyDescent="0.15"/>
    <row r="32845" hidden="1" x14ac:dyDescent="0.15"/>
    <row r="32846" hidden="1" x14ac:dyDescent="0.15"/>
    <row r="32847" hidden="1" x14ac:dyDescent="0.15"/>
    <row r="32848" hidden="1" x14ac:dyDescent="0.15"/>
    <row r="32849" hidden="1" x14ac:dyDescent="0.15"/>
    <row r="32850" hidden="1" x14ac:dyDescent="0.15"/>
    <row r="32851" hidden="1" x14ac:dyDescent="0.15"/>
    <row r="32852" hidden="1" x14ac:dyDescent="0.15"/>
    <row r="32853" hidden="1" x14ac:dyDescent="0.15"/>
    <row r="32854" hidden="1" x14ac:dyDescent="0.15"/>
    <row r="32855" hidden="1" x14ac:dyDescent="0.15"/>
    <row r="32856" hidden="1" x14ac:dyDescent="0.15"/>
    <row r="32857" hidden="1" x14ac:dyDescent="0.15"/>
    <row r="32858" hidden="1" x14ac:dyDescent="0.15"/>
    <row r="32859" hidden="1" x14ac:dyDescent="0.15"/>
    <row r="32860" hidden="1" x14ac:dyDescent="0.15"/>
    <row r="32861" hidden="1" x14ac:dyDescent="0.15"/>
    <row r="32862" hidden="1" x14ac:dyDescent="0.15"/>
    <row r="32863" hidden="1" x14ac:dyDescent="0.15"/>
    <row r="32864" hidden="1" x14ac:dyDescent="0.15"/>
    <row r="32865" hidden="1" x14ac:dyDescent="0.15"/>
    <row r="32866" hidden="1" x14ac:dyDescent="0.15"/>
    <row r="32867" hidden="1" x14ac:dyDescent="0.15"/>
    <row r="32868" hidden="1" x14ac:dyDescent="0.15"/>
    <row r="32869" hidden="1" x14ac:dyDescent="0.15"/>
    <row r="32870" hidden="1" x14ac:dyDescent="0.15"/>
    <row r="32871" hidden="1" x14ac:dyDescent="0.15"/>
    <row r="32872" hidden="1" x14ac:dyDescent="0.15"/>
    <row r="32873" hidden="1" x14ac:dyDescent="0.15"/>
    <row r="32874" hidden="1" x14ac:dyDescent="0.15"/>
    <row r="32875" hidden="1" x14ac:dyDescent="0.15"/>
    <row r="32876" hidden="1" x14ac:dyDescent="0.15"/>
    <row r="32877" hidden="1" x14ac:dyDescent="0.15"/>
    <row r="32878" hidden="1" x14ac:dyDescent="0.15"/>
    <row r="32879" hidden="1" x14ac:dyDescent="0.15"/>
    <row r="32880" hidden="1" x14ac:dyDescent="0.15"/>
    <row r="32881" hidden="1" x14ac:dyDescent="0.15"/>
    <row r="32882" hidden="1" x14ac:dyDescent="0.15"/>
    <row r="32883" hidden="1" x14ac:dyDescent="0.15"/>
    <row r="32884" hidden="1" x14ac:dyDescent="0.15"/>
    <row r="32885" hidden="1" x14ac:dyDescent="0.15"/>
    <row r="32886" hidden="1" x14ac:dyDescent="0.15"/>
    <row r="32887" hidden="1" x14ac:dyDescent="0.15"/>
    <row r="32888" hidden="1" x14ac:dyDescent="0.15"/>
    <row r="32889" hidden="1" x14ac:dyDescent="0.15"/>
    <row r="32890" hidden="1" x14ac:dyDescent="0.15"/>
    <row r="32891" hidden="1" x14ac:dyDescent="0.15"/>
    <row r="32892" hidden="1" x14ac:dyDescent="0.15"/>
    <row r="32893" hidden="1" x14ac:dyDescent="0.15"/>
    <row r="32894" hidden="1" x14ac:dyDescent="0.15"/>
    <row r="32895" hidden="1" x14ac:dyDescent="0.15"/>
    <row r="32896" hidden="1" x14ac:dyDescent="0.15"/>
    <row r="32897" hidden="1" x14ac:dyDescent="0.15"/>
    <row r="32898" hidden="1" x14ac:dyDescent="0.15"/>
    <row r="32899" hidden="1" x14ac:dyDescent="0.15"/>
    <row r="32900" hidden="1" x14ac:dyDescent="0.15"/>
    <row r="32901" hidden="1" x14ac:dyDescent="0.15"/>
    <row r="32902" hidden="1" x14ac:dyDescent="0.15"/>
    <row r="32903" hidden="1" x14ac:dyDescent="0.15"/>
    <row r="32904" hidden="1" x14ac:dyDescent="0.15"/>
    <row r="32905" hidden="1" x14ac:dyDescent="0.15"/>
    <row r="32906" hidden="1" x14ac:dyDescent="0.15"/>
    <row r="32907" hidden="1" x14ac:dyDescent="0.15"/>
    <row r="32908" hidden="1" x14ac:dyDescent="0.15"/>
    <row r="32909" hidden="1" x14ac:dyDescent="0.15"/>
    <row r="32910" hidden="1" x14ac:dyDescent="0.15"/>
    <row r="32911" hidden="1" x14ac:dyDescent="0.15"/>
    <row r="32912" hidden="1" x14ac:dyDescent="0.15"/>
    <row r="32913" hidden="1" x14ac:dyDescent="0.15"/>
    <row r="32914" hidden="1" x14ac:dyDescent="0.15"/>
    <row r="32915" hidden="1" x14ac:dyDescent="0.15"/>
    <row r="32916" hidden="1" x14ac:dyDescent="0.15"/>
    <row r="32917" hidden="1" x14ac:dyDescent="0.15"/>
    <row r="32918" hidden="1" x14ac:dyDescent="0.15"/>
    <row r="32919" hidden="1" x14ac:dyDescent="0.15"/>
    <row r="32920" hidden="1" x14ac:dyDescent="0.15"/>
    <row r="32921" hidden="1" x14ac:dyDescent="0.15"/>
    <row r="32922" hidden="1" x14ac:dyDescent="0.15"/>
    <row r="32923" hidden="1" x14ac:dyDescent="0.15"/>
    <row r="32924" hidden="1" x14ac:dyDescent="0.15"/>
    <row r="32925" hidden="1" x14ac:dyDescent="0.15"/>
    <row r="32926" hidden="1" x14ac:dyDescent="0.15"/>
    <row r="32927" hidden="1" x14ac:dyDescent="0.15"/>
    <row r="32928" hidden="1" x14ac:dyDescent="0.15"/>
    <row r="32929" hidden="1" x14ac:dyDescent="0.15"/>
    <row r="32930" hidden="1" x14ac:dyDescent="0.15"/>
    <row r="32931" hidden="1" x14ac:dyDescent="0.15"/>
    <row r="32932" hidden="1" x14ac:dyDescent="0.15"/>
    <row r="32933" hidden="1" x14ac:dyDescent="0.15"/>
    <row r="32934" hidden="1" x14ac:dyDescent="0.15"/>
    <row r="32935" hidden="1" x14ac:dyDescent="0.15"/>
    <row r="32936" hidden="1" x14ac:dyDescent="0.15"/>
    <row r="32937" hidden="1" x14ac:dyDescent="0.15"/>
    <row r="32938" hidden="1" x14ac:dyDescent="0.15"/>
    <row r="32939" hidden="1" x14ac:dyDescent="0.15"/>
    <row r="32940" hidden="1" x14ac:dyDescent="0.15"/>
    <row r="32941" hidden="1" x14ac:dyDescent="0.15"/>
    <row r="32942" hidden="1" x14ac:dyDescent="0.15"/>
    <row r="32943" hidden="1" x14ac:dyDescent="0.15"/>
    <row r="32944" hidden="1" x14ac:dyDescent="0.15"/>
    <row r="32945" hidden="1" x14ac:dyDescent="0.15"/>
    <row r="32946" hidden="1" x14ac:dyDescent="0.15"/>
    <row r="32947" hidden="1" x14ac:dyDescent="0.15"/>
    <row r="32948" hidden="1" x14ac:dyDescent="0.15"/>
    <row r="32949" hidden="1" x14ac:dyDescent="0.15"/>
    <row r="32950" hidden="1" x14ac:dyDescent="0.15"/>
    <row r="32951" hidden="1" x14ac:dyDescent="0.15"/>
    <row r="32952" hidden="1" x14ac:dyDescent="0.15"/>
    <row r="32953" hidden="1" x14ac:dyDescent="0.15"/>
    <row r="32954" hidden="1" x14ac:dyDescent="0.15"/>
    <row r="32955" hidden="1" x14ac:dyDescent="0.15"/>
    <row r="32956" hidden="1" x14ac:dyDescent="0.15"/>
    <row r="32957" hidden="1" x14ac:dyDescent="0.15"/>
    <row r="32958" hidden="1" x14ac:dyDescent="0.15"/>
    <row r="32959" hidden="1" x14ac:dyDescent="0.15"/>
    <row r="32960" hidden="1" x14ac:dyDescent="0.15"/>
    <row r="32961" hidden="1" x14ac:dyDescent="0.15"/>
    <row r="32962" hidden="1" x14ac:dyDescent="0.15"/>
    <row r="32963" hidden="1" x14ac:dyDescent="0.15"/>
    <row r="32964" hidden="1" x14ac:dyDescent="0.15"/>
    <row r="32965" hidden="1" x14ac:dyDescent="0.15"/>
    <row r="32966" hidden="1" x14ac:dyDescent="0.15"/>
    <row r="32967" hidden="1" x14ac:dyDescent="0.15"/>
    <row r="32968" hidden="1" x14ac:dyDescent="0.15"/>
    <row r="32969" hidden="1" x14ac:dyDescent="0.15"/>
    <row r="32970" hidden="1" x14ac:dyDescent="0.15"/>
    <row r="32971" hidden="1" x14ac:dyDescent="0.15"/>
    <row r="32972" hidden="1" x14ac:dyDescent="0.15"/>
    <row r="32973" hidden="1" x14ac:dyDescent="0.15"/>
    <row r="32974" hidden="1" x14ac:dyDescent="0.15"/>
    <row r="32975" hidden="1" x14ac:dyDescent="0.15"/>
    <row r="32976" hidden="1" x14ac:dyDescent="0.15"/>
    <row r="32977" hidden="1" x14ac:dyDescent="0.15"/>
    <row r="32978" hidden="1" x14ac:dyDescent="0.15"/>
    <row r="32979" hidden="1" x14ac:dyDescent="0.15"/>
    <row r="32980" hidden="1" x14ac:dyDescent="0.15"/>
    <row r="32981" hidden="1" x14ac:dyDescent="0.15"/>
    <row r="32982" hidden="1" x14ac:dyDescent="0.15"/>
    <row r="32983" hidden="1" x14ac:dyDescent="0.15"/>
    <row r="32984" hidden="1" x14ac:dyDescent="0.15"/>
    <row r="32985" hidden="1" x14ac:dyDescent="0.15"/>
    <row r="32986" hidden="1" x14ac:dyDescent="0.15"/>
    <row r="32987" hidden="1" x14ac:dyDescent="0.15"/>
    <row r="32988" hidden="1" x14ac:dyDescent="0.15"/>
    <row r="32989" hidden="1" x14ac:dyDescent="0.15"/>
    <row r="32990" hidden="1" x14ac:dyDescent="0.15"/>
    <row r="32991" hidden="1" x14ac:dyDescent="0.15"/>
    <row r="32992" hidden="1" x14ac:dyDescent="0.15"/>
    <row r="32993" hidden="1" x14ac:dyDescent="0.15"/>
    <row r="32994" hidden="1" x14ac:dyDescent="0.15"/>
    <row r="32995" hidden="1" x14ac:dyDescent="0.15"/>
    <row r="32996" hidden="1" x14ac:dyDescent="0.15"/>
    <row r="32997" hidden="1" x14ac:dyDescent="0.15"/>
    <row r="32998" hidden="1" x14ac:dyDescent="0.15"/>
    <row r="32999" hidden="1" x14ac:dyDescent="0.15"/>
    <row r="33000" hidden="1" x14ac:dyDescent="0.15"/>
    <row r="33001" hidden="1" x14ac:dyDescent="0.15"/>
    <row r="33002" hidden="1" x14ac:dyDescent="0.15"/>
    <row r="33003" hidden="1" x14ac:dyDescent="0.15"/>
    <row r="33004" hidden="1" x14ac:dyDescent="0.15"/>
    <row r="33005" hidden="1" x14ac:dyDescent="0.15"/>
    <row r="33006" hidden="1" x14ac:dyDescent="0.15"/>
    <row r="33007" hidden="1" x14ac:dyDescent="0.15"/>
    <row r="33008" hidden="1" x14ac:dyDescent="0.15"/>
    <row r="33009" hidden="1" x14ac:dyDescent="0.15"/>
    <row r="33010" hidden="1" x14ac:dyDescent="0.15"/>
    <row r="33011" hidden="1" x14ac:dyDescent="0.15"/>
    <row r="33012" hidden="1" x14ac:dyDescent="0.15"/>
    <row r="33013" hidden="1" x14ac:dyDescent="0.15"/>
    <row r="33014" hidden="1" x14ac:dyDescent="0.15"/>
    <row r="33015" hidden="1" x14ac:dyDescent="0.15"/>
    <row r="33016" hidden="1" x14ac:dyDescent="0.15"/>
    <row r="33017" hidden="1" x14ac:dyDescent="0.15"/>
    <row r="33018" hidden="1" x14ac:dyDescent="0.15"/>
    <row r="33019" hidden="1" x14ac:dyDescent="0.15"/>
    <row r="33020" hidden="1" x14ac:dyDescent="0.15"/>
    <row r="33021" hidden="1" x14ac:dyDescent="0.15"/>
    <row r="33022" hidden="1" x14ac:dyDescent="0.15"/>
    <row r="33023" hidden="1" x14ac:dyDescent="0.15"/>
    <row r="33024" hidden="1" x14ac:dyDescent="0.15"/>
    <row r="33025" hidden="1" x14ac:dyDescent="0.15"/>
    <row r="33026" hidden="1" x14ac:dyDescent="0.15"/>
    <row r="33027" hidden="1" x14ac:dyDescent="0.15"/>
    <row r="33028" hidden="1" x14ac:dyDescent="0.15"/>
    <row r="33029" hidden="1" x14ac:dyDescent="0.15"/>
    <row r="33030" hidden="1" x14ac:dyDescent="0.15"/>
    <row r="33031" hidden="1" x14ac:dyDescent="0.15"/>
    <row r="33032" hidden="1" x14ac:dyDescent="0.15"/>
    <row r="33033" hidden="1" x14ac:dyDescent="0.15"/>
    <row r="33034" hidden="1" x14ac:dyDescent="0.15"/>
    <row r="33035" hidden="1" x14ac:dyDescent="0.15"/>
    <row r="33036" hidden="1" x14ac:dyDescent="0.15"/>
    <row r="33037" hidden="1" x14ac:dyDescent="0.15"/>
    <row r="33038" hidden="1" x14ac:dyDescent="0.15"/>
    <row r="33039" hidden="1" x14ac:dyDescent="0.15"/>
    <row r="33040" hidden="1" x14ac:dyDescent="0.15"/>
    <row r="33041" hidden="1" x14ac:dyDescent="0.15"/>
    <row r="33042" hidden="1" x14ac:dyDescent="0.15"/>
    <row r="33043" hidden="1" x14ac:dyDescent="0.15"/>
    <row r="33044" hidden="1" x14ac:dyDescent="0.15"/>
    <row r="33045" hidden="1" x14ac:dyDescent="0.15"/>
    <row r="33046" hidden="1" x14ac:dyDescent="0.15"/>
    <row r="33047" hidden="1" x14ac:dyDescent="0.15"/>
    <row r="33048" hidden="1" x14ac:dyDescent="0.15"/>
    <row r="33049" hidden="1" x14ac:dyDescent="0.15"/>
    <row r="33050" hidden="1" x14ac:dyDescent="0.15"/>
    <row r="33051" hidden="1" x14ac:dyDescent="0.15"/>
    <row r="33052" hidden="1" x14ac:dyDescent="0.15"/>
    <row r="33053" hidden="1" x14ac:dyDescent="0.15"/>
    <row r="33054" hidden="1" x14ac:dyDescent="0.15"/>
    <row r="33055" hidden="1" x14ac:dyDescent="0.15"/>
    <row r="33056" hidden="1" x14ac:dyDescent="0.15"/>
    <row r="33057" hidden="1" x14ac:dyDescent="0.15"/>
    <row r="33058" hidden="1" x14ac:dyDescent="0.15"/>
    <row r="33059" hidden="1" x14ac:dyDescent="0.15"/>
    <row r="33060" hidden="1" x14ac:dyDescent="0.15"/>
    <row r="33061" hidden="1" x14ac:dyDescent="0.15"/>
    <row r="33062" hidden="1" x14ac:dyDescent="0.15"/>
    <row r="33063" hidden="1" x14ac:dyDescent="0.15"/>
    <row r="33064" hidden="1" x14ac:dyDescent="0.15"/>
    <row r="33065" hidden="1" x14ac:dyDescent="0.15"/>
    <row r="33066" hidden="1" x14ac:dyDescent="0.15"/>
    <row r="33067" hidden="1" x14ac:dyDescent="0.15"/>
    <row r="33068" hidden="1" x14ac:dyDescent="0.15"/>
    <row r="33069" hidden="1" x14ac:dyDescent="0.15"/>
    <row r="33070" hidden="1" x14ac:dyDescent="0.15"/>
    <row r="33071" hidden="1" x14ac:dyDescent="0.15"/>
    <row r="33072" hidden="1" x14ac:dyDescent="0.15"/>
    <row r="33073" hidden="1" x14ac:dyDescent="0.15"/>
    <row r="33074" hidden="1" x14ac:dyDescent="0.15"/>
    <row r="33075" hidden="1" x14ac:dyDescent="0.15"/>
    <row r="33076" hidden="1" x14ac:dyDescent="0.15"/>
    <row r="33077" hidden="1" x14ac:dyDescent="0.15"/>
    <row r="33078" hidden="1" x14ac:dyDescent="0.15"/>
    <row r="33079" hidden="1" x14ac:dyDescent="0.15"/>
    <row r="33080" hidden="1" x14ac:dyDescent="0.15"/>
    <row r="33081" hidden="1" x14ac:dyDescent="0.15"/>
    <row r="33082" hidden="1" x14ac:dyDescent="0.15"/>
    <row r="33083" hidden="1" x14ac:dyDescent="0.15"/>
    <row r="33084" hidden="1" x14ac:dyDescent="0.15"/>
    <row r="33085" hidden="1" x14ac:dyDescent="0.15"/>
    <row r="33086" hidden="1" x14ac:dyDescent="0.15"/>
    <row r="33087" hidden="1" x14ac:dyDescent="0.15"/>
    <row r="33088" hidden="1" x14ac:dyDescent="0.15"/>
    <row r="33089" hidden="1" x14ac:dyDescent="0.15"/>
    <row r="33090" hidden="1" x14ac:dyDescent="0.15"/>
    <row r="33091" hidden="1" x14ac:dyDescent="0.15"/>
    <row r="33092" hidden="1" x14ac:dyDescent="0.15"/>
    <row r="33093" hidden="1" x14ac:dyDescent="0.15"/>
    <row r="33094" hidden="1" x14ac:dyDescent="0.15"/>
    <row r="33095" hidden="1" x14ac:dyDescent="0.15"/>
    <row r="33096" hidden="1" x14ac:dyDescent="0.15"/>
    <row r="33097" hidden="1" x14ac:dyDescent="0.15"/>
    <row r="33098" hidden="1" x14ac:dyDescent="0.15"/>
    <row r="33099" hidden="1" x14ac:dyDescent="0.15"/>
    <row r="33100" hidden="1" x14ac:dyDescent="0.15"/>
    <row r="33101" hidden="1" x14ac:dyDescent="0.15"/>
    <row r="33102" hidden="1" x14ac:dyDescent="0.15"/>
    <row r="33103" hidden="1" x14ac:dyDescent="0.15"/>
    <row r="33104" hidden="1" x14ac:dyDescent="0.15"/>
    <row r="33105" hidden="1" x14ac:dyDescent="0.15"/>
    <row r="33106" hidden="1" x14ac:dyDescent="0.15"/>
    <row r="33107" hidden="1" x14ac:dyDescent="0.15"/>
    <row r="33108" hidden="1" x14ac:dyDescent="0.15"/>
    <row r="33109" hidden="1" x14ac:dyDescent="0.15"/>
    <row r="33110" hidden="1" x14ac:dyDescent="0.15"/>
    <row r="33111" hidden="1" x14ac:dyDescent="0.15"/>
    <row r="33112" hidden="1" x14ac:dyDescent="0.15"/>
    <row r="33113" hidden="1" x14ac:dyDescent="0.15"/>
    <row r="33114" hidden="1" x14ac:dyDescent="0.15"/>
    <row r="33115" hidden="1" x14ac:dyDescent="0.15"/>
    <row r="33116" hidden="1" x14ac:dyDescent="0.15"/>
    <row r="33117" hidden="1" x14ac:dyDescent="0.15"/>
    <row r="33118" hidden="1" x14ac:dyDescent="0.15"/>
    <row r="33119" hidden="1" x14ac:dyDescent="0.15"/>
    <row r="33120" hidden="1" x14ac:dyDescent="0.15"/>
    <row r="33121" hidden="1" x14ac:dyDescent="0.15"/>
    <row r="33122" hidden="1" x14ac:dyDescent="0.15"/>
    <row r="33123" hidden="1" x14ac:dyDescent="0.15"/>
    <row r="33124" hidden="1" x14ac:dyDescent="0.15"/>
    <row r="33125" hidden="1" x14ac:dyDescent="0.15"/>
    <row r="33126" hidden="1" x14ac:dyDescent="0.15"/>
    <row r="33127" hidden="1" x14ac:dyDescent="0.15"/>
    <row r="33128" hidden="1" x14ac:dyDescent="0.15"/>
    <row r="33129" hidden="1" x14ac:dyDescent="0.15"/>
    <row r="33130" hidden="1" x14ac:dyDescent="0.15"/>
    <row r="33131" hidden="1" x14ac:dyDescent="0.15"/>
    <row r="33132" hidden="1" x14ac:dyDescent="0.15"/>
    <row r="33133" hidden="1" x14ac:dyDescent="0.15"/>
    <row r="33134" hidden="1" x14ac:dyDescent="0.15"/>
    <row r="33135" hidden="1" x14ac:dyDescent="0.15"/>
    <row r="33136" hidden="1" x14ac:dyDescent="0.15"/>
    <row r="33137" hidden="1" x14ac:dyDescent="0.15"/>
    <row r="33138" hidden="1" x14ac:dyDescent="0.15"/>
    <row r="33139" hidden="1" x14ac:dyDescent="0.15"/>
    <row r="33140" hidden="1" x14ac:dyDescent="0.15"/>
    <row r="33141" hidden="1" x14ac:dyDescent="0.15"/>
    <row r="33142" hidden="1" x14ac:dyDescent="0.15"/>
    <row r="33143" hidden="1" x14ac:dyDescent="0.15"/>
    <row r="33144" hidden="1" x14ac:dyDescent="0.15"/>
    <row r="33145" hidden="1" x14ac:dyDescent="0.15"/>
    <row r="33146" hidden="1" x14ac:dyDescent="0.15"/>
    <row r="33147" hidden="1" x14ac:dyDescent="0.15"/>
    <row r="33148" hidden="1" x14ac:dyDescent="0.15"/>
    <row r="33149" hidden="1" x14ac:dyDescent="0.15"/>
    <row r="33150" hidden="1" x14ac:dyDescent="0.15"/>
    <row r="33151" hidden="1" x14ac:dyDescent="0.15"/>
    <row r="33152" hidden="1" x14ac:dyDescent="0.15"/>
    <row r="33153" hidden="1" x14ac:dyDescent="0.15"/>
    <row r="33154" hidden="1" x14ac:dyDescent="0.15"/>
    <row r="33155" hidden="1" x14ac:dyDescent="0.15"/>
    <row r="33156" hidden="1" x14ac:dyDescent="0.15"/>
    <row r="33157" hidden="1" x14ac:dyDescent="0.15"/>
    <row r="33158" hidden="1" x14ac:dyDescent="0.15"/>
    <row r="33159" hidden="1" x14ac:dyDescent="0.15"/>
    <row r="33160" hidden="1" x14ac:dyDescent="0.15"/>
    <row r="33161" hidden="1" x14ac:dyDescent="0.15"/>
    <row r="33162" hidden="1" x14ac:dyDescent="0.15"/>
    <row r="33163" hidden="1" x14ac:dyDescent="0.15"/>
    <row r="33164" hidden="1" x14ac:dyDescent="0.15"/>
    <row r="33165" hidden="1" x14ac:dyDescent="0.15"/>
    <row r="33166" hidden="1" x14ac:dyDescent="0.15"/>
    <row r="33167" hidden="1" x14ac:dyDescent="0.15"/>
    <row r="33168" hidden="1" x14ac:dyDescent="0.15"/>
    <row r="33169" hidden="1" x14ac:dyDescent="0.15"/>
    <row r="33170" hidden="1" x14ac:dyDescent="0.15"/>
    <row r="33171" hidden="1" x14ac:dyDescent="0.15"/>
    <row r="33172" hidden="1" x14ac:dyDescent="0.15"/>
    <row r="33173" hidden="1" x14ac:dyDescent="0.15"/>
    <row r="33174" hidden="1" x14ac:dyDescent="0.15"/>
    <row r="33175" hidden="1" x14ac:dyDescent="0.15"/>
    <row r="33176" hidden="1" x14ac:dyDescent="0.15"/>
    <row r="33177" hidden="1" x14ac:dyDescent="0.15"/>
    <row r="33178" hidden="1" x14ac:dyDescent="0.15"/>
    <row r="33179" hidden="1" x14ac:dyDescent="0.15"/>
    <row r="33180" hidden="1" x14ac:dyDescent="0.15"/>
    <row r="33181" hidden="1" x14ac:dyDescent="0.15"/>
    <row r="33182" hidden="1" x14ac:dyDescent="0.15"/>
    <row r="33183" hidden="1" x14ac:dyDescent="0.15"/>
    <row r="33184" hidden="1" x14ac:dyDescent="0.15"/>
    <row r="33185" hidden="1" x14ac:dyDescent="0.15"/>
    <row r="33186" hidden="1" x14ac:dyDescent="0.15"/>
    <row r="33187" hidden="1" x14ac:dyDescent="0.15"/>
    <row r="33188" hidden="1" x14ac:dyDescent="0.15"/>
    <row r="33189" hidden="1" x14ac:dyDescent="0.15"/>
    <row r="33190" hidden="1" x14ac:dyDescent="0.15"/>
    <row r="33191" hidden="1" x14ac:dyDescent="0.15"/>
    <row r="33192" hidden="1" x14ac:dyDescent="0.15"/>
    <row r="33193" hidden="1" x14ac:dyDescent="0.15"/>
    <row r="33194" hidden="1" x14ac:dyDescent="0.15"/>
    <row r="33195" hidden="1" x14ac:dyDescent="0.15"/>
    <row r="33196" hidden="1" x14ac:dyDescent="0.15"/>
    <row r="33197" hidden="1" x14ac:dyDescent="0.15"/>
    <row r="33198" hidden="1" x14ac:dyDescent="0.15"/>
    <row r="33199" hidden="1" x14ac:dyDescent="0.15"/>
    <row r="33200" hidden="1" x14ac:dyDescent="0.15"/>
    <row r="33201" hidden="1" x14ac:dyDescent="0.15"/>
    <row r="33202" hidden="1" x14ac:dyDescent="0.15"/>
    <row r="33203" hidden="1" x14ac:dyDescent="0.15"/>
    <row r="33204" hidden="1" x14ac:dyDescent="0.15"/>
    <row r="33205" hidden="1" x14ac:dyDescent="0.15"/>
    <row r="33206" hidden="1" x14ac:dyDescent="0.15"/>
    <row r="33207" hidden="1" x14ac:dyDescent="0.15"/>
    <row r="33208" hidden="1" x14ac:dyDescent="0.15"/>
    <row r="33209" hidden="1" x14ac:dyDescent="0.15"/>
    <row r="33210" hidden="1" x14ac:dyDescent="0.15"/>
    <row r="33211" hidden="1" x14ac:dyDescent="0.15"/>
    <row r="33212" hidden="1" x14ac:dyDescent="0.15"/>
    <row r="33213" hidden="1" x14ac:dyDescent="0.15"/>
    <row r="33214" hidden="1" x14ac:dyDescent="0.15"/>
    <row r="33215" hidden="1" x14ac:dyDescent="0.15"/>
    <row r="33216" hidden="1" x14ac:dyDescent="0.15"/>
    <row r="33217" hidden="1" x14ac:dyDescent="0.15"/>
    <row r="33218" hidden="1" x14ac:dyDescent="0.15"/>
    <row r="33219" hidden="1" x14ac:dyDescent="0.15"/>
    <row r="33220" hidden="1" x14ac:dyDescent="0.15"/>
    <row r="33221" hidden="1" x14ac:dyDescent="0.15"/>
    <row r="33222" hidden="1" x14ac:dyDescent="0.15"/>
    <row r="33223" hidden="1" x14ac:dyDescent="0.15"/>
    <row r="33224" hidden="1" x14ac:dyDescent="0.15"/>
    <row r="33225" hidden="1" x14ac:dyDescent="0.15"/>
    <row r="33226" hidden="1" x14ac:dyDescent="0.15"/>
    <row r="33227" hidden="1" x14ac:dyDescent="0.15"/>
    <row r="33228" hidden="1" x14ac:dyDescent="0.15"/>
    <row r="33229" hidden="1" x14ac:dyDescent="0.15"/>
    <row r="33230" hidden="1" x14ac:dyDescent="0.15"/>
    <row r="33231" hidden="1" x14ac:dyDescent="0.15"/>
    <row r="33232" hidden="1" x14ac:dyDescent="0.15"/>
    <row r="33233" hidden="1" x14ac:dyDescent="0.15"/>
    <row r="33234" hidden="1" x14ac:dyDescent="0.15"/>
    <row r="33235" hidden="1" x14ac:dyDescent="0.15"/>
    <row r="33236" hidden="1" x14ac:dyDescent="0.15"/>
    <row r="33237" hidden="1" x14ac:dyDescent="0.15"/>
    <row r="33238" hidden="1" x14ac:dyDescent="0.15"/>
    <row r="33239" hidden="1" x14ac:dyDescent="0.15"/>
    <row r="33240" hidden="1" x14ac:dyDescent="0.15"/>
    <row r="33241" hidden="1" x14ac:dyDescent="0.15"/>
    <row r="33242" hidden="1" x14ac:dyDescent="0.15"/>
    <row r="33243" hidden="1" x14ac:dyDescent="0.15"/>
    <row r="33244" hidden="1" x14ac:dyDescent="0.15"/>
    <row r="33245" hidden="1" x14ac:dyDescent="0.15"/>
    <row r="33246" hidden="1" x14ac:dyDescent="0.15"/>
    <row r="33247" hidden="1" x14ac:dyDescent="0.15"/>
    <row r="33248" hidden="1" x14ac:dyDescent="0.15"/>
    <row r="33249" hidden="1" x14ac:dyDescent="0.15"/>
    <row r="33250" hidden="1" x14ac:dyDescent="0.15"/>
    <row r="33251" hidden="1" x14ac:dyDescent="0.15"/>
    <row r="33252" hidden="1" x14ac:dyDescent="0.15"/>
    <row r="33253" hidden="1" x14ac:dyDescent="0.15"/>
    <row r="33254" hidden="1" x14ac:dyDescent="0.15"/>
    <row r="33255" hidden="1" x14ac:dyDescent="0.15"/>
    <row r="33256" hidden="1" x14ac:dyDescent="0.15"/>
    <row r="33257" hidden="1" x14ac:dyDescent="0.15"/>
    <row r="33258" hidden="1" x14ac:dyDescent="0.15"/>
    <row r="33259" hidden="1" x14ac:dyDescent="0.15"/>
    <row r="33260" hidden="1" x14ac:dyDescent="0.15"/>
    <row r="33261" hidden="1" x14ac:dyDescent="0.15"/>
    <row r="33262" hidden="1" x14ac:dyDescent="0.15"/>
    <row r="33263" hidden="1" x14ac:dyDescent="0.15"/>
    <row r="33264" hidden="1" x14ac:dyDescent="0.15"/>
    <row r="33265" hidden="1" x14ac:dyDescent="0.15"/>
    <row r="33266" hidden="1" x14ac:dyDescent="0.15"/>
    <row r="33267" hidden="1" x14ac:dyDescent="0.15"/>
    <row r="33268" hidden="1" x14ac:dyDescent="0.15"/>
    <row r="33269" hidden="1" x14ac:dyDescent="0.15"/>
    <row r="33270" hidden="1" x14ac:dyDescent="0.15"/>
    <row r="33271" hidden="1" x14ac:dyDescent="0.15"/>
    <row r="33272" hidden="1" x14ac:dyDescent="0.15"/>
    <row r="33273" hidden="1" x14ac:dyDescent="0.15"/>
    <row r="33274" hidden="1" x14ac:dyDescent="0.15"/>
    <row r="33275" hidden="1" x14ac:dyDescent="0.15"/>
    <row r="33276" hidden="1" x14ac:dyDescent="0.15"/>
    <row r="33277" hidden="1" x14ac:dyDescent="0.15"/>
    <row r="33278" hidden="1" x14ac:dyDescent="0.15"/>
    <row r="33279" hidden="1" x14ac:dyDescent="0.15"/>
    <row r="33280" hidden="1" x14ac:dyDescent="0.15"/>
    <row r="33281" hidden="1" x14ac:dyDescent="0.15"/>
    <row r="33282" hidden="1" x14ac:dyDescent="0.15"/>
    <row r="33283" hidden="1" x14ac:dyDescent="0.15"/>
    <row r="33284" hidden="1" x14ac:dyDescent="0.15"/>
    <row r="33285" hidden="1" x14ac:dyDescent="0.15"/>
    <row r="33286" hidden="1" x14ac:dyDescent="0.15"/>
    <row r="33287" hidden="1" x14ac:dyDescent="0.15"/>
    <row r="33288" hidden="1" x14ac:dyDescent="0.15"/>
    <row r="33289" hidden="1" x14ac:dyDescent="0.15"/>
    <row r="33290" hidden="1" x14ac:dyDescent="0.15"/>
    <row r="33291" hidden="1" x14ac:dyDescent="0.15"/>
    <row r="33292" hidden="1" x14ac:dyDescent="0.15"/>
    <row r="33293" hidden="1" x14ac:dyDescent="0.15"/>
    <row r="33294" hidden="1" x14ac:dyDescent="0.15"/>
    <row r="33295" hidden="1" x14ac:dyDescent="0.15"/>
    <row r="33296" hidden="1" x14ac:dyDescent="0.15"/>
    <row r="33297" hidden="1" x14ac:dyDescent="0.15"/>
    <row r="33298" hidden="1" x14ac:dyDescent="0.15"/>
    <row r="33299" hidden="1" x14ac:dyDescent="0.15"/>
    <row r="33300" hidden="1" x14ac:dyDescent="0.15"/>
    <row r="33301" hidden="1" x14ac:dyDescent="0.15"/>
    <row r="33302" hidden="1" x14ac:dyDescent="0.15"/>
    <row r="33303" hidden="1" x14ac:dyDescent="0.15"/>
    <row r="33304" hidden="1" x14ac:dyDescent="0.15"/>
    <row r="33305" hidden="1" x14ac:dyDescent="0.15"/>
    <row r="33306" hidden="1" x14ac:dyDescent="0.15"/>
    <row r="33307" hidden="1" x14ac:dyDescent="0.15"/>
    <row r="33308" hidden="1" x14ac:dyDescent="0.15"/>
    <row r="33309" hidden="1" x14ac:dyDescent="0.15"/>
    <row r="33310" hidden="1" x14ac:dyDescent="0.15"/>
    <row r="33311" hidden="1" x14ac:dyDescent="0.15"/>
    <row r="33312" hidden="1" x14ac:dyDescent="0.15"/>
    <row r="33313" hidden="1" x14ac:dyDescent="0.15"/>
    <row r="33314" hidden="1" x14ac:dyDescent="0.15"/>
    <row r="33315" hidden="1" x14ac:dyDescent="0.15"/>
    <row r="33316" hidden="1" x14ac:dyDescent="0.15"/>
    <row r="33317" hidden="1" x14ac:dyDescent="0.15"/>
    <row r="33318" hidden="1" x14ac:dyDescent="0.15"/>
    <row r="33319" hidden="1" x14ac:dyDescent="0.15"/>
    <row r="33320" hidden="1" x14ac:dyDescent="0.15"/>
    <row r="33321" hidden="1" x14ac:dyDescent="0.15"/>
    <row r="33322" hidden="1" x14ac:dyDescent="0.15"/>
    <row r="33323" hidden="1" x14ac:dyDescent="0.15"/>
    <row r="33324" hidden="1" x14ac:dyDescent="0.15"/>
    <row r="33325" hidden="1" x14ac:dyDescent="0.15"/>
    <row r="33326" hidden="1" x14ac:dyDescent="0.15"/>
    <row r="33327" hidden="1" x14ac:dyDescent="0.15"/>
    <row r="33328" hidden="1" x14ac:dyDescent="0.15"/>
    <row r="33329" hidden="1" x14ac:dyDescent="0.15"/>
    <row r="33330" hidden="1" x14ac:dyDescent="0.15"/>
    <row r="33331" hidden="1" x14ac:dyDescent="0.15"/>
    <row r="33332" hidden="1" x14ac:dyDescent="0.15"/>
    <row r="33333" hidden="1" x14ac:dyDescent="0.15"/>
    <row r="33334" hidden="1" x14ac:dyDescent="0.15"/>
    <row r="33335" hidden="1" x14ac:dyDescent="0.15"/>
    <row r="33336" hidden="1" x14ac:dyDescent="0.15"/>
    <row r="33337" hidden="1" x14ac:dyDescent="0.15"/>
    <row r="33338" hidden="1" x14ac:dyDescent="0.15"/>
    <row r="33339" hidden="1" x14ac:dyDescent="0.15"/>
    <row r="33340" hidden="1" x14ac:dyDescent="0.15"/>
    <row r="33341" hidden="1" x14ac:dyDescent="0.15"/>
    <row r="33342" hidden="1" x14ac:dyDescent="0.15"/>
    <row r="33343" hidden="1" x14ac:dyDescent="0.15"/>
    <row r="33344" hidden="1" x14ac:dyDescent="0.15"/>
    <row r="33345" hidden="1" x14ac:dyDescent="0.15"/>
    <row r="33346" hidden="1" x14ac:dyDescent="0.15"/>
    <row r="33347" hidden="1" x14ac:dyDescent="0.15"/>
    <row r="33348" hidden="1" x14ac:dyDescent="0.15"/>
    <row r="33349" hidden="1" x14ac:dyDescent="0.15"/>
    <row r="33350" hidden="1" x14ac:dyDescent="0.15"/>
    <row r="33351" hidden="1" x14ac:dyDescent="0.15"/>
    <row r="33352" hidden="1" x14ac:dyDescent="0.15"/>
    <row r="33353" hidden="1" x14ac:dyDescent="0.15"/>
    <row r="33354" hidden="1" x14ac:dyDescent="0.15"/>
    <row r="33355" hidden="1" x14ac:dyDescent="0.15"/>
    <row r="33356" hidden="1" x14ac:dyDescent="0.15"/>
    <row r="33357" hidden="1" x14ac:dyDescent="0.15"/>
    <row r="33358" hidden="1" x14ac:dyDescent="0.15"/>
    <row r="33359" hidden="1" x14ac:dyDescent="0.15"/>
    <row r="33360" hidden="1" x14ac:dyDescent="0.15"/>
    <row r="33361" hidden="1" x14ac:dyDescent="0.15"/>
    <row r="33362" hidden="1" x14ac:dyDescent="0.15"/>
    <row r="33363" hidden="1" x14ac:dyDescent="0.15"/>
    <row r="33364" hidden="1" x14ac:dyDescent="0.15"/>
    <row r="33365" hidden="1" x14ac:dyDescent="0.15"/>
    <row r="33366" hidden="1" x14ac:dyDescent="0.15"/>
    <row r="33367" hidden="1" x14ac:dyDescent="0.15"/>
    <row r="33368" hidden="1" x14ac:dyDescent="0.15"/>
    <row r="33369" hidden="1" x14ac:dyDescent="0.15"/>
    <row r="33370" hidden="1" x14ac:dyDescent="0.15"/>
    <row r="33371" hidden="1" x14ac:dyDescent="0.15"/>
    <row r="33372" hidden="1" x14ac:dyDescent="0.15"/>
    <row r="33373" hidden="1" x14ac:dyDescent="0.15"/>
    <row r="33374" hidden="1" x14ac:dyDescent="0.15"/>
    <row r="33375" hidden="1" x14ac:dyDescent="0.15"/>
    <row r="33376" hidden="1" x14ac:dyDescent="0.15"/>
    <row r="33377" hidden="1" x14ac:dyDescent="0.15"/>
    <row r="33378" hidden="1" x14ac:dyDescent="0.15"/>
    <row r="33379" hidden="1" x14ac:dyDescent="0.15"/>
    <row r="33380" hidden="1" x14ac:dyDescent="0.15"/>
    <row r="33381" hidden="1" x14ac:dyDescent="0.15"/>
    <row r="33382" hidden="1" x14ac:dyDescent="0.15"/>
    <row r="33383" hidden="1" x14ac:dyDescent="0.15"/>
    <row r="33384" hidden="1" x14ac:dyDescent="0.15"/>
    <row r="33385" hidden="1" x14ac:dyDescent="0.15"/>
    <row r="33386" hidden="1" x14ac:dyDescent="0.15"/>
    <row r="33387" hidden="1" x14ac:dyDescent="0.15"/>
    <row r="33388" hidden="1" x14ac:dyDescent="0.15"/>
    <row r="33389" hidden="1" x14ac:dyDescent="0.15"/>
    <row r="33390" hidden="1" x14ac:dyDescent="0.15"/>
    <row r="33391" hidden="1" x14ac:dyDescent="0.15"/>
    <row r="33392" hidden="1" x14ac:dyDescent="0.15"/>
    <row r="33393" hidden="1" x14ac:dyDescent="0.15"/>
    <row r="33394" hidden="1" x14ac:dyDescent="0.15"/>
    <row r="33395" hidden="1" x14ac:dyDescent="0.15"/>
    <row r="33396" hidden="1" x14ac:dyDescent="0.15"/>
    <row r="33397" hidden="1" x14ac:dyDescent="0.15"/>
    <row r="33398" hidden="1" x14ac:dyDescent="0.15"/>
    <row r="33399" hidden="1" x14ac:dyDescent="0.15"/>
    <row r="33400" hidden="1" x14ac:dyDescent="0.15"/>
    <row r="33401" hidden="1" x14ac:dyDescent="0.15"/>
    <row r="33402" hidden="1" x14ac:dyDescent="0.15"/>
    <row r="33403" hidden="1" x14ac:dyDescent="0.15"/>
    <row r="33404" hidden="1" x14ac:dyDescent="0.15"/>
    <row r="33405" hidden="1" x14ac:dyDescent="0.15"/>
    <row r="33406" hidden="1" x14ac:dyDescent="0.15"/>
    <row r="33407" hidden="1" x14ac:dyDescent="0.15"/>
    <row r="33408" hidden="1" x14ac:dyDescent="0.15"/>
    <row r="33409" hidden="1" x14ac:dyDescent="0.15"/>
    <row r="33410" hidden="1" x14ac:dyDescent="0.15"/>
    <row r="33411" hidden="1" x14ac:dyDescent="0.15"/>
    <row r="33412" hidden="1" x14ac:dyDescent="0.15"/>
    <row r="33413" hidden="1" x14ac:dyDescent="0.15"/>
    <row r="33414" hidden="1" x14ac:dyDescent="0.15"/>
    <row r="33415" hidden="1" x14ac:dyDescent="0.15"/>
    <row r="33416" hidden="1" x14ac:dyDescent="0.15"/>
    <row r="33417" hidden="1" x14ac:dyDescent="0.15"/>
    <row r="33418" hidden="1" x14ac:dyDescent="0.15"/>
    <row r="33419" hidden="1" x14ac:dyDescent="0.15"/>
    <row r="33420" hidden="1" x14ac:dyDescent="0.15"/>
    <row r="33421" hidden="1" x14ac:dyDescent="0.15"/>
    <row r="33422" hidden="1" x14ac:dyDescent="0.15"/>
    <row r="33423" hidden="1" x14ac:dyDescent="0.15"/>
    <row r="33424" hidden="1" x14ac:dyDescent="0.15"/>
    <row r="33425" hidden="1" x14ac:dyDescent="0.15"/>
    <row r="33426" hidden="1" x14ac:dyDescent="0.15"/>
    <row r="33427" hidden="1" x14ac:dyDescent="0.15"/>
    <row r="33428" hidden="1" x14ac:dyDescent="0.15"/>
    <row r="33429" hidden="1" x14ac:dyDescent="0.15"/>
    <row r="33430" hidden="1" x14ac:dyDescent="0.15"/>
    <row r="33431" hidden="1" x14ac:dyDescent="0.15"/>
    <row r="33432" hidden="1" x14ac:dyDescent="0.15"/>
    <row r="33433" hidden="1" x14ac:dyDescent="0.15"/>
    <row r="33434" hidden="1" x14ac:dyDescent="0.15"/>
    <row r="33435" hidden="1" x14ac:dyDescent="0.15"/>
    <row r="33436" hidden="1" x14ac:dyDescent="0.15"/>
    <row r="33437" hidden="1" x14ac:dyDescent="0.15"/>
    <row r="33438" hidden="1" x14ac:dyDescent="0.15"/>
    <row r="33439" hidden="1" x14ac:dyDescent="0.15"/>
    <row r="33440" hidden="1" x14ac:dyDescent="0.15"/>
    <row r="33441" hidden="1" x14ac:dyDescent="0.15"/>
    <row r="33442" hidden="1" x14ac:dyDescent="0.15"/>
    <row r="33443" hidden="1" x14ac:dyDescent="0.15"/>
    <row r="33444" hidden="1" x14ac:dyDescent="0.15"/>
    <row r="33445" hidden="1" x14ac:dyDescent="0.15"/>
    <row r="33446" hidden="1" x14ac:dyDescent="0.15"/>
    <row r="33447" hidden="1" x14ac:dyDescent="0.15"/>
    <row r="33448" hidden="1" x14ac:dyDescent="0.15"/>
    <row r="33449" hidden="1" x14ac:dyDescent="0.15"/>
    <row r="33450" hidden="1" x14ac:dyDescent="0.15"/>
    <row r="33451" hidden="1" x14ac:dyDescent="0.15"/>
    <row r="33452" hidden="1" x14ac:dyDescent="0.15"/>
    <row r="33453" hidden="1" x14ac:dyDescent="0.15"/>
    <row r="33454" hidden="1" x14ac:dyDescent="0.15"/>
    <row r="33455" hidden="1" x14ac:dyDescent="0.15"/>
    <row r="33456" hidden="1" x14ac:dyDescent="0.15"/>
    <row r="33457" hidden="1" x14ac:dyDescent="0.15"/>
    <row r="33458" hidden="1" x14ac:dyDescent="0.15"/>
    <row r="33459" hidden="1" x14ac:dyDescent="0.15"/>
    <row r="33460" hidden="1" x14ac:dyDescent="0.15"/>
    <row r="33461" hidden="1" x14ac:dyDescent="0.15"/>
    <row r="33462" hidden="1" x14ac:dyDescent="0.15"/>
    <row r="33463" hidden="1" x14ac:dyDescent="0.15"/>
    <row r="33464" hidden="1" x14ac:dyDescent="0.15"/>
    <row r="33465" hidden="1" x14ac:dyDescent="0.15"/>
    <row r="33466" hidden="1" x14ac:dyDescent="0.15"/>
    <row r="33467" hidden="1" x14ac:dyDescent="0.15"/>
    <row r="33468" hidden="1" x14ac:dyDescent="0.15"/>
    <row r="33469" hidden="1" x14ac:dyDescent="0.15"/>
    <row r="33470" hidden="1" x14ac:dyDescent="0.15"/>
    <row r="33471" hidden="1" x14ac:dyDescent="0.15"/>
    <row r="33472" hidden="1" x14ac:dyDescent="0.15"/>
    <row r="33473" hidden="1" x14ac:dyDescent="0.15"/>
    <row r="33474" hidden="1" x14ac:dyDescent="0.15"/>
    <row r="33475" hidden="1" x14ac:dyDescent="0.15"/>
    <row r="33476" hidden="1" x14ac:dyDescent="0.15"/>
    <row r="33477" hidden="1" x14ac:dyDescent="0.15"/>
    <row r="33478" hidden="1" x14ac:dyDescent="0.15"/>
    <row r="33479" hidden="1" x14ac:dyDescent="0.15"/>
    <row r="33480" hidden="1" x14ac:dyDescent="0.15"/>
    <row r="33481" hidden="1" x14ac:dyDescent="0.15"/>
    <row r="33482" hidden="1" x14ac:dyDescent="0.15"/>
    <row r="33483" hidden="1" x14ac:dyDescent="0.15"/>
    <row r="33484" hidden="1" x14ac:dyDescent="0.15"/>
    <row r="33485" hidden="1" x14ac:dyDescent="0.15"/>
    <row r="33486" hidden="1" x14ac:dyDescent="0.15"/>
    <row r="33487" hidden="1" x14ac:dyDescent="0.15"/>
    <row r="33488" hidden="1" x14ac:dyDescent="0.15"/>
    <row r="33489" hidden="1" x14ac:dyDescent="0.15"/>
    <row r="33490" hidden="1" x14ac:dyDescent="0.15"/>
    <row r="33491" hidden="1" x14ac:dyDescent="0.15"/>
    <row r="33492" hidden="1" x14ac:dyDescent="0.15"/>
    <row r="33493" hidden="1" x14ac:dyDescent="0.15"/>
    <row r="33494" hidden="1" x14ac:dyDescent="0.15"/>
    <row r="33495" hidden="1" x14ac:dyDescent="0.15"/>
    <row r="33496" hidden="1" x14ac:dyDescent="0.15"/>
    <row r="33497" hidden="1" x14ac:dyDescent="0.15"/>
    <row r="33498" hidden="1" x14ac:dyDescent="0.15"/>
    <row r="33499" hidden="1" x14ac:dyDescent="0.15"/>
    <row r="33500" hidden="1" x14ac:dyDescent="0.15"/>
    <row r="33501" hidden="1" x14ac:dyDescent="0.15"/>
    <row r="33502" hidden="1" x14ac:dyDescent="0.15"/>
    <row r="33503" hidden="1" x14ac:dyDescent="0.15"/>
    <row r="33504" hidden="1" x14ac:dyDescent="0.15"/>
    <row r="33505" hidden="1" x14ac:dyDescent="0.15"/>
    <row r="33506" hidden="1" x14ac:dyDescent="0.15"/>
    <row r="33507" hidden="1" x14ac:dyDescent="0.15"/>
    <row r="33508" hidden="1" x14ac:dyDescent="0.15"/>
    <row r="33509" hidden="1" x14ac:dyDescent="0.15"/>
    <row r="33510" hidden="1" x14ac:dyDescent="0.15"/>
    <row r="33511" hidden="1" x14ac:dyDescent="0.15"/>
    <row r="33512" hidden="1" x14ac:dyDescent="0.15"/>
    <row r="33513" hidden="1" x14ac:dyDescent="0.15"/>
    <row r="33514" hidden="1" x14ac:dyDescent="0.15"/>
    <row r="33515" hidden="1" x14ac:dyDescent="0.15"/>
    <row r="33516" hidden="1" x14ac:dyDescent="0.15"/>
    <row r="33517" hidden="1" x14ac:dyDescent="0.15"/>
    <row r="33518" hidden="1" x14ac:dyDescent="0.15"/>
    <row r="33519" hidden="1" x14ac:dyDescent="0.15"/>
    <row r="33520" hidden="1" x14ac:dyDescent="0.15"/>
    <row r="33521" hidden="1" x14ac:dyDescent="0.15"/>
    <row r="33522" hidden="1" x14ac:dyDescent="0.15"/>
    <row r="33523" hidden="1" x14ac:dyDescent="0.15"/>
    <row r="33524" hidden="1" x14ac:dyDescent="0.15"/>
    <row r="33525" hidden="1" x14ac:dyDescent="0.15"/>
    <row r="33526" hidden="1" x14ac:dyDescent="0.15"/>
    <row r="33527" hidden="1" x14ac:dyDescent="0.15"/>
    <row r="33528" hidden="1" x14ac:dyDescent="0.15"/>
    <row r="33529" hidden="1" x14ac:dyDescent="0.15"/>
    <row r="33530" hidden="1" x14ac:dyDescent="0.15"/>
    <row r="33531" hidden="1" x14ac:dyDescent="0.15"/>
    <row r="33532" hidden="1" x14ac:dyDescent="0.15"/>
    <row r="33533" hidden="1" x14ac:dyDescent="0.15"/>
    <row r="33534" hidden="1" x14ac:dyDescent="0.15"/>
    <row r="33535" hidden="1" x14ac:dyDescent="0.15"/>
    <row r="33536" hidden="1" x14ac:dyDescent="0.15"/>
    <row r="33537" hidden="1" x14ac:dyDescent="0.15"/>
    <row r="33538" hidden="1" x14ac:dyDescent="0.15"/>
    <row r="33539" hidden="1" x14ac:dyDescent="0.15"/>
    <row r="33540" hidden="1" x14ac:dyDescent="0.15"/>
    <row r="33541" hidden="1" x14ac:dyDescent="0.15"/>
    <row r="33542" hidden="1" x14ac:dyDescent="0.15"/>
    <row r="33543" hidden="1" x14ac:dyDescent="0.15"/>
    <row r="33544" hidden="1" x14ac:dyDescent="0.15"/>
    <row r="33545" hidden="1" x14ac:dyDescent="0.15"/>
    <row r="33546" hidden="1" x14ac:dyDescent="0.15"/>
    <row r="33547" hidden="1" x14ac:dyDescent="0.15"/>
    <row r="33548" hidden="1" x14ac:dyDescent="0.15"/>
    <row r="33549" hidden="1" x14ac:dyDescent="0.15"/>
    <row r="33550" hidden="1" x14ac:dyDescent="0.15"/>
    <row r="33551" hidden="1" x14ac:dyDescent="0.15"/>
    <row r="33552" hidden="1" x14ac:dyDescent="0.15"/>
    <row r="33553" hidden="1" x14ac:dyDescent="0.15"/>
    <row r="33554" hidden="1" x14ac:dyDescent="0.15"/>
    <row r="33555" hidden="1" x14ac:dyDescent="0.15"/>
    <row r="33556" hidden="1" x14ac:dyDescent="0.15"/>
    <row r="33557" hidden="1" x14ac:dyDescent="0.15"/>
    <row r="33558" hidden="1" x14ac:dyDescent="0.15"/>
    <row r="33559" hidden="1" x14ac:dyDescent="0.15"/>
    <row r="33560" hidden="1" x14ac:dyDescent="0.15"/>
    <row r="33561" hidden="1" x14ac:dyDescent="0.15"/>
    <row r="33562" hidden="1" x14ac:dyDescent="0.15"/>
    <row r="33563" hidden="1" x14ac:dyDescent="0.15"/>
    <row r="33564" hidden="1" x14ac:dyDescent="0.15"/>
    <row r="33565" hidden="1" x14ac:dyDescent="0.15"/>
    <row r="33566" hidden="1" x14ac:dyDescent="0.15"/>
    <row r="33567" hidden="1" x14ac:dyDescent="0.15"/>
    <row r="33568" hidden="1" x14ac:dyDescent="0.15"/>
    <row r="33569" hidden="1" x14ac:dyDescent="0.15"/>
    <row r="33570" hidden="1" x14ac:dyDescent="0.15"/>
    <row r="33571" hidden="1" x14ac:dyDescent="0.15"/>
    <row r="33572" hidden="1" x14ac:dyDescent="0.15"/>
    <row r="33573" hidden="1" x14ac:dyDescent="0.15"/>
    <row r="33574" hidden="1" x14ac:dyDescent="0.15"/>
    <row r="33575" hidden="1" x14ac:dyDescent="0.15"/>
    <row r="33576" hidden="1" x14ac:dyDescent="0.15"/>
    <row r="33577" hidden="1" x14ac:dyDescent="0.15"/>
    <row r="33578" hidden="1" x14ac:dyDescent="0.15"/>
    <row r="33579" hidden="1" x14ac:dyDescent="0.15"/>
    <row r="33580" hidden="1" x14ac:dyDescent="0.15"/>
    <row r="33581" hidden="1" x14ac:dyDescent="0.15"/>
    <row r="33582" hidden="1" x14ac:dyDescent="0.15"/>
    <row r="33583" hidden="1" x14ac:dyDescent="0.15"/>
    <row r="33584" hidden="1" x14ac:dyDescent="0.15"/>
    <row r="33585" hidden="1" x14ac:dyDescent="0.15"/>
    <row r="33586" hidden="1" x14ac:dyDescent="0.15"/>
    <row r="33587" hidden="1" x14ac:dyDescent="0.15"/>
    <row r="33588" hidden="1" x14ac:dyDescent="0.15"/>
    <row r="33589" hidden="1" x14ac:dyDescent="0.15"/>
    <row r="33590" hidden="1" x14ac:dyDescent="0.15"/>
    <row r="33591" hidden="1" x14ac:dyDescent="0.15"/>
    <row r="33592" hidden="1" x14ac:dyDescent="0.15"/>
    <row r="33593" hidden="1" x14ac:dyDescent="0.15"/>
    <row r="33594" hidden="1" x14ac:dyDescent="0.15"/>
    <row r="33595" hidden="1" x14ac:dyDescent="0.15"/>
    <row r="33596" hidden="1" x14ac:dyDescent="0.15"/>
    <row r="33597" hidden="1" x14ac:dyDescent="0.15"/>
    <row r="33598" hidden="1" x14ac:dyDescent="0.15"/>
    <row r="33599" hidden="1" x14ac:dyDescent="0.15"/>
    <row r="33600" hidden="1" x14ac:dyDescent="0.15"/>
    <row r="33601" hidden="1" x14ac:dyDescent="0.15"/>
    <row r="33602" hidden="1" x14ac:dyDescent="0.15"/>
    <row r="33603" hidden="1" x14ac:dyDescent="0.15"/>
    <row r="33604" hidden="1" x14ac:dyDescent="0.15"/>
    <row r="33605" hidden="1" x14ac:dyDescent="0.15"/>
    <row r="33606" hidden="1" x14ac:dyDescent="0.15"/>
    <row r="33607" hidden="1" x14ac:dyDescent="0.15"/>
    <row r="33608" hidden="1" x14ac:dyDescent="0.15"/>
    <row r="33609" hidden="1" x14ac:dyDescent="0.15"/>
    <row r="33610" hidden="1" x14ac:dyDescent="0.15"/>
    <row r="33611" hidden="1" x14ac:dyDescent="0.15"/>
    <row r="33612" hidden="1" x14ac:dyDescent="0.15"/>
    <row r="33613" hidden="1" x14ac:dyDescent="0.15"/>
    <row r="33614" hidden="1" x14ac:dyDescent="0.15"/>
    <row r="33615" hidden="1" x14ac:dyDescent="0.15"/>
    <row r="33616" hidden="1" x14ac:dyDescent="0.15"/>
    <row r="33617" hidden="1" x14ac:dyDescent="0.15"/>
    <row r="33618" hidden="1" x14ac:dyDescent="0.15"/>
    <row r="33619" hidden="1" x14ac:dyDescent="0.15"/>
    <row r="33620" hidden="1" x14ac:dyDescent="0.15"/>
    <row r="33621" hidden="1" x14ac:dyDescent="0.15"/>
    <row r="33622" hidden="1" x14ac:dyDescent="0.15"/>
    <row r="33623" hidden="1" x14ac:dyDescent="0.15"/>
    <row r="33624" hidden="1" x14ac:dyDescent="0.15"/>
    <row r="33625" hidden="1" x14ac:dyDescent="0.15"/>
    <row r="33626" hidden="1" x14ac:dyDescent="0.15"/>
    <row r="33627" hidden="1" x14ac:dyDescent="0.15"/>
    <row r="33628" hidden="1" x14ac:dyDescent="0.15"/>
    <row r="33629" hidden="1" x14ac:dyDescent="0.15"/>
    <row r="33630" hidden="1" x14ac:dyDescent="0.15"/>
    <row r="33631" hidden="1" x14ac:dyDescent="0.15"/>
    <row r="33632" hidden="1" x14ac:dyDescent="0.15"/>
    <row r="33633" hidden="1" x14ac:dyDescent="0.15"/>
    <row r="33634" hidden="1" x14ac:dyDescent="0.15"/>
    <row r="33635" hidden="1" x14ac:dyDescent="0.15"/>
    <row r="33636" hidden="1" x14ac:dyDescent="0.15"/>
    <row r="33637" hidden="1" x14ac:dyDescent="0.15"/>
    <row r="33638" hidden="1" x14ac:dyDescent="0.15"/>
    <row r="33639" hidden="1" x14ac:dyDescent="0.15"/>
    <row r="33640" hidden="1" x14ac:dyDescent="0.15"/>
    <row r="33641" hidden="1" x14ac:dyDescent="0.15"/>
    <row r="33642" hidden="1" x14ac:dyDescent="0.15"/>
    <row r="33643" hidden="1" x14ac:dyDescent="0.15"/>
    <row r="33644" hidden="1" x14ac:dyDescent="0.15"/>
    <row r="33645" hidden="1" x14ac:dyDescent="0.15"/>
    <row r="33646" hidden="1" x14ac:dyDescent="0.15"/>
    <row r="33647" hidden="1" x14ac:dyDescent="0.15"/>
    <row r="33648" hidden="1" x14ac:dyDescent="0.15"/>
    <row r="33649" hidden="1" x14ac:dyDescent="0.15"/>
    <row r="33650" hidden="1" x14ac:dyDescent="0.15"/>
    <row r="33651" hidden="1" x14ac:dyDescent="0.15"/>
    <row r="33652" hidden="1" x14ac:dyDescent="0.15"/>
    <row r="33653" hidden="1" x14ac:dyDescent="0.15"/>
    <row r="33654" hidden="1" x14ac:dyDescent="0.15"/>
    <row r="33655" hidden="1" x14ac:dyDescent="0.15"/>
    <row r="33656" hidden="1" x14ac:dyDescent="0.15"/>
    <row r="33657" hidden="1" x14ac:dyDescent="0.15"/>
    <row r="33658" hidden="1" x14ac:dyDescent="0.15"/>
    <row r="33659" hidden="1" x14ac:dyDescent="0.15"/>
    <row r="33660" hidden="1" x14ac:dyDescent="0.15"/>
    <row r="33661" hidden="1" x14ac:dyDescent="0.15"/>
    <row r="33662" hidden="1" x14ac:dyDescent="0.15"/>
    <row r="33663" hidden="1" x14ac:dyDescent="0.15"/>
    <row r="33664" hidden="1" x14ac:dyDescent="0.15"/>
    <row r="33665" hidden="1" x14ac:dyDescent="0.15"/>
    <row r="33666" hidden="1" x14ac:dyDescent="0.15"/>
    <row r="33667" hidden="1" x14ac:dyDescent="0.15"/>
    <row r="33668" hidden="1" x14ac:dyDescent="0.15"/>
    <row r="33669" hidden="1" x14ac:dyDescent="0.15"/>
    <row r="33670" hidden="1" x14ac:dyDescent="0.15"/>
    <row r="33671" hidden="1" x14ac:dyDescent="0.15"/>
    <row r="33672" hidden="1" x14ac:dyDescent="0.15"/>
    <row r="33673" hidden="1" x14ac:dyDescent="0.15"/>
    <row r="33674" hidden="1" x14ac:dyDescent="0.15"/>
    <row r="33675" hidden="1" x14ac:dyDescent="0.15"/>
    <row r="33676" hidden="1" x14ac:dyDescent="0.15"/>
    <row r="33677" hidden="1" x14ac:dyDescent="0.15"/>
    <row r="33678" hidden="1" x14ac:dyDescent="0.15"/>
    <row r="33679" hidden="1" x14ac:dyDescent="0.15"/>
    <row r="33680" hidden="1" x14ac:dyDescent="0.15"/>
    <row r="33681" hidden="1" x14ac:dyDescent="0.15"/>
    <row r="33682" hidden="1" x14ac:dyDescent="0.15"/>
    <row r="33683" hidden="1" x14ac:dyDescent="0.15"/>
    <row r="33684" hidden="1" x14ac:dyDescent="0.15"/>
    <row r="33685" hidden="1" x14ac:dyDescent="0.15"/>
    <row r="33686" hidden="1" x14ac:dyDescent="0.15"/>
    <row r="33687" hidden="1" x14ac:dyDescent="0.15"/>
    <row r="33688" hidden="1" x14ac:dyDescent="0.15"/>
    <row r="33689" hidden="1" x14ac:dyDescent="0.15"/>
    <row r="33690" hidden="1" x14ac:dyDescent="0.15"/>
    <row r="33691" hidden="1" x14ac:dyDescent="0.15"/>
    <row r="33692" hidden="1" x14ac:dyDescent="0.15"/>
    <row r="33693" hidden="1" x14ac:dyDescent="0.15"/>
    <row r="33694" hidden="1" x14ac:dyDescent="0.15"/>
    <row r="33695" hidden="1" x14ac:dyDescent="0.15"/>
    <row r="33696" hidden="1" x14ac:dyDescent="0.15"/>
    <row r="33697" hidden="1" x14ac:dyDescent="0.15"/>
    <row r="33698" hidden="1" x14ac:dyDescent="0.15"/>
    <row r="33699" hidden="1" x14ac:dyDescent="0.15"/>
    <row r="33700" hidden="1" x14ac:dyDescent="0.15"/>
    <row r="33701" hidden="1" x14ac:dyDescent="0.15"/>
    <row r="33702" hidden="1" x14ac:dyDescent="0.15"/>
    <row r="33703" hidden="1" x14ac:dyDescent="0.15"/>
    <row r="33704" hidden="1" x14ac:dyDescent="0.15"/>
    <row r="33705" hidden="1" x14ac:dyDescent="0.15"/>
    <row r="33706" hidden="1" x14ac:dyDescent="0.15"/>
    <row r="33707" hidden="1" x14ac:dyDescent="0.15"/>
    <row r="33708" hidden="1" x14ac:dyDescent="0.15"/>
    <row r="33709" hidden="1" x14ac:dyDescent="0.15"/>
    <row r="33710" hidden="1" x14ac:dyDescent="0.15"/>
    <row r="33711" hidden="1" x14ac:dyDescent="0.15"/>
    <row r="33712" hidden="1" x14ac:dyDescent="0.15"/>
    <row r="33713" hidden="1" x14ac:dyDescent="0.15"/>
    <row r="33714" hidden="1" x14ac:dyDescent="0.15"/>
    <row r="33715" hidden="1" x14ac:dyDescent="0.15"/>
    <row r="33716" hidden="1" x14ac:dyDescent="0.15"/>
    <row r="33717" hidden="1" x14ac:dyDescent="0.15"/>
    <row r="33718" hidden="1" x14ac:dyDescent="0.15"/>
    <row r="33719" hidden="1" x14ac:dyDescent="0.15"/>
    <row r="33720" hidden="1" x14ac:dyDescent="0.15"/>
    <row r="33721" hidden="1" x14ac:dyDescent="0.15"/>
    <row r="33722" hidden="1" x14ac:dyDescent="0.15"/>
    <row r="33723" hidden="1" x14ac:dyDescent="0.15"/>
    <row r="33724" hidden="1" x14ac:dyDescent="0.15"/>
    <row r="33725" hidden="1" x14ac:dyDescent="0.15"/>
    <row r="33726" hidden="1" x14ac:dyDescent="0.15"/>
    <row r="33727" hidden="1" x14ac:dyDescent="0.15"/>
    <row r="33728" hidden="1" x14ac:dyDescent="0.15"/>
    <row r="33729" hidden="1" x14ac:dyDescent="0.15"/>
    <row r="33730" hidden="1" x14ac:dyDescent="0.15"/>
    <row r="33731" hidden="1" x14ac:dyDescent="0.15"/>
    <row r="33732" hidden="1" x14ac:dyDescent="0.15"/>
    <row r="33733" hidden="1" x14ac:dyDescent="0.15"/>
    <row r="33734" hidden="1" x14ac:dyDescent="0.15"/>
    <row r="33735" hidden="1" x14ac:dyDescent="0.15"/>
    <row r="33736" hidden="1" x14ac:dyDescent="0.15"/>
    <row r="33737" hidden="1" x14ac:dyDescent="0.15"/>
    <row r="33738" hidden="1" x14ac:dyDescent="0.15"/>
    <row r="33739" hidden="1" x14ac:dyDescent="0.15"/>
    <row r="33740" hidden="1" x14ac:dyDescent="0.15"/>
    <row r="33741" hidden="1" x14ac:dyDescent="0.15"/>
    <row r="33742" hidden="1" x14ac:dyDescent="0.15"/>
    <row r="33743" hidden="1" x14ac:dyDescent="0.15"/>
    <row r="33744" hidden="1" x14ac:dyDescent="0.15"/>
    <row r="33745" hidden="1" x14ac:dyDescent="0.15"/>
    <row r="33746" hidden="1" x14ac:dyDescent="0.15"/>
    <row r="33747" hidden="1" x14ac:dyDescent="0.15"/>
    <row r="33748" hidden="1" x14ac:dyDescent="0.15"/>
    <row r="33749" hidden="1" x14ac:dyDescent="0.15"/>
    <row r="33750" hidden="1" x14ac:dyDescent="0.15"/>
    <row r="33751" hidden="1" x14ac:dyDescent="0.15"/>
    <row r="33752" hidden="1" x14ac:dyDescent="0.15"/>
    <row r="33753" hidden="1" x14ac:dyDescent="0.15"/>
    <row r="33754" hidden="1" x14ac:dyDescent="0.15"/>
    <row r="33755" hidden="1" x14ac:dyDescent="0.15"/>
    <row r="33756" hidden="1" x14ac:dyDescent="0.15"/>
    <row r="33757" hidden="1" x14ac:dyDescent="0.15"/>
    <row r="33758" hidden="1" x14ac:dyDescent="0.15"/>
    <row r="33759" hidden="1" x14ac:dyDescent="0.15"/>
    <row r="33760" hidden="1" x14ac:dyDescent="0.15"/>
    <row r="33761" hidden="1" x14ac:dyDescent="0.15"/>
    <row r="33762" hidden="1" x14ac:dyDescent="0.15"/>
    <row r="33763" hidden="1" x14ac:dyDescent="0.15"/>
    <row r="33764" hidden="1" x14ac:dyDescent="0.15"/>
    <row r="33765" hidden="1" x14ac:dyDescent="0.15"/>
    <row r="33766" hidden="1" x14ac:dyDescent="0.15"/>
    <row r="33767" hidden="1" x14ac:dyDescent="0.15"/>
    <row r="33768" hidden="1" x14ac:dyDescent="0.15"/>
    <row r="33769" hidden="1" x14ac:dyDescent="0.15"/>
    <row r="33770" hidden="1" x14ac:dyDescent="0.15"/>
    <row r="33771" hidden="1" x14ac:dyDescent="0.15"/>
    <row r="33772" hidden="1" x14ac:dyDescent="0.15"/>
    <row r="33773" hidden="1" x14ac:dyDescent="0.15"/>
    <row r="33774" hidden="1" x14ac:dyDescent="0.15"/>
    <row r="33775" hidden="1" x14ac:dyDescent="0.15"/>
    <row r="33776" hidden="1" x14ac:dyDescent="0.15"/>
    <row r="33777" hidden="1" x14ac:dyDescent="0.15"/>
    <row r="33778" hidden="1" x14ac:dyDescent="0.15"/>
    <row r="33779" hidden="1" x14ac:dyDescent="0.15"/>
    <row r="33780" hidden="1" x14ac:dyDescent="0.15"/>
    <row r="33781" hidden="1" x14ac:dyDescent="0.15"/>
    <row r="33782" hidden="1" x14ac:dyDescent="0.15"/>
    <row r="33783" hidden="1" x14ac:dyDescent="0.15"/>
    <row r="33784" hidden="1" x14ac:dyDescent="0.15"/>
    <row r="33785" hidden="1" x14ac:dyDescent="0.15"/>
    <row r="33786" hidden="1" x14ac:dyDescent="0.15"/>
    <row r="33787" hidden="1" x14ac:dyDescent="0.15"/>
    <row r="33788" hidden="1" x14ac:dyDescent="0.15"/>
    <row r="33789" hidden="1" x14ac:dyDescent="0.15"/>
    <row r="33790" hidden="1" x14ac:dyDescent="0.15"/>
    <row r="33791" hidden="1" x14ac:dyDescent="0.15"/>
    <row r="33792" hidden="1" x14ac:dyDescent="0.15"/>
    <row r="33793" hidden="1" x14ac:dyDescent="0.15"/>
    <row r="33794" hidden="1" x14ac:dyDescent="0.15"/>
    <row r="33795" hidden="1" x14ac:dyDescent="0.15"/>
    <row r="33796" hidden="1" x14ac:dyDescent="0.15"/>
    <row r="33797" hidden="1" x14ac:dyDescent="0.15"/>
    <row r="33798" hidden="1" x14ac:dyDescent="0.15"/>
    <row r="33799" hidden="1" x14ac:dyDescent="0.15"/>
    <row r="33800" hidden="1" x14ac:dyDescent="0.15"/>
    <row r="33801" hidden="1" x14ac:dyDescent="0.15"/>
    <row r="33802" hidden="1" x14ac:dyDescent="0.15"/>
    <row r="33803" hidden="1" x14ac:dyDescent="0.15"/>
    <row r="33804" hidden="1" x14ac:dyDescent="0.15"/>
    <row r="33805" hidden="1" x14ac:dyDescent="0.15"/>
    <row r="33806" hidden="1" x14ac:dyDescent="0.15"/>
    <row r="33807" hidden="1" x14ac:dyDescent="0.15"/>
    <row r="33808" hidden="1" x14ac:dyDescent="0.15"/>
    <row r="33809" hidden="1" x14ac:dyDescent="0.15"/>
    <row r="33810" hidden="1" x14ac:dyDescent="0.15"/>
    <row r="33811" hidden="1" x14ac:dyDescent="0.15"/>
    <row r="33812" hidden="1" x14ac:dyDescent="0.15"/>
    <row r="33813" hidden="1" x14ac:dyDescent="0.15"/>
    <row r="33814" hidden="1" x14ac:dyDescent="0.15"/>
    <row r="33815" hidden="1" x14ac:dyDescent="0.15"/>
    <row r="33816" hidden="1" x14ac:dyDescent="0.15"/>
    <row r="33817" hidden="1" x14ac:dyDescent="0.15"/>
    <row r="33818" hidden="1" x14ac:dyDescent="0.15"/>
    <row r="33819" hidden="1" x14ac:dyDescent="0.15"/>
    <row r="33820" hidden="1" x14ac:dyDescent="0.15"/>
    <row r="33821" hidden="1" x14ac:dyDescent="0.15"/>
    <row r="33822" hidden="1" x14ac:dyDescent="0.15"/>
    <row r="33823" hidden="1" x14ac:dyDescent="0.15"/>
    <row r="33824" hidden="1" x14ac:dyDescent="0.15"/>
    <row r="33825" hidden="1" x14ac:dyDescent="0.15"/>
    <row r="33826" hidden="1" x14ac:dyDescent="0.15"/>
    <row r="33827" hidden="1" x14ac:dyDescent="0.15"/>
    <row r="33828" hidden="1" x14ac:dyDescent="0.15"/>
    <row r="33829" hidden="1" x14ac:dyDescent="0.15"/>
    <row r="33830" hidden="1" x14ac:dyDescent="0.15"/>
    <row r="33831" hidden="1" x14ac:dyDescent="0.15"/>
    <row r="33832" hidden="1" x14ac:dyDescent="0.15"/>
    <row r="33833" hidden="1" x14ac:dyDescent="0.15"/>
    <row r="33834" hidden="1" x14ac:dyDescent="0.15"/>
    <row r="33835" hidden="1" x14ac:dyDescent="0.15"/>
    <row r="33836" hidden="1" x14ac:dyDescent="0.15"/>
    <row r="33837" hidden="1" x14ac:dyDescent="0.15"/>
    <row r="33838" hidden="1" x14ac:dyDescent="0.15"/>
    <row r="33839" hidden="1" x14ac:dyDescent="0.15"/>
    <row r="33840" hidden="1" x14ac:dyDescent="0.15"/>
    <row r="33841" hidden="1" x14ac:dyDescent="0.15"/>
    <row r="33842" hidden="1" x14ac:dyDescent="0.15"/>
    <row r="33843" hidden="1" x14ac:dyDescent="0.15"/>
    <row r="33844" hidden="1" x14ac:dyDescent="0.15"/>
    <row r="33845" hidden="1" x14ac:dyDescent="0.15"/>
    <row r="33846" hidden="1" x14ac:dyDescent="0.15"/>
    <row r="33847" hidden="1" x14ac:dyDescent="0.15"/>
    <row r="33848" hidden="1" x14ac:dyDescent="0.15"/>
    <row r="33849" hidden="1" x14ac:dyDescent="0.15"/>
    <row r="33850" hidden="1" x14ac:dyDescent="0.15"/>
    <row r="33851" hidden="1" x14ac:dyDescent="0.15"/>
    <row r="33852" hidden="1" x14ac:dyDescent="0.15"/>
    <row r="33853" hidden="1" x14ac:dyDescent="0.15"/>
    <row r="33854" hidden="1" x14ac:dyDescent="0.15"/>
    <row r="33855" hidden="1" x14ac:dyDescent="0.15"/>
    <row r="33856" hidden="1" x14ac:dyDescent="0.15"/>
    <row r="33857" hidden="1" x14ac:dyDescent="0.15"/>
    <row r="33858" hidden="1" x14ac:dyDescent="0.15"/>
    <row r="33859" hidden="1" x14ac:dyDescent="0.15"/>
    <row r="33860" hidden="1" x14ac:dyDescent="0.15"/>
    <row r="33861" hidden="1" x14ac:dyDescent="0.15"/>
    <row r="33862" hidden="1" x14ac:dyDescent="0.15"/>
    <row r="33863" hidden="1" x14ac:dyDescent="0.15"/>
    <row r="33864" hidden="1" x14ac:dyDescent="0.15"/>
    <row r="33865" hidden="1" x14ac:dyDescent="0.15"/>
    <row r="33866" hidden="1" x14ac:dyDescent="0.15"/>
    <row r="33867" hidden="1" x14ac:dyDescent="0.15"/>
    <row r="33868" hidden="1" x14ac:dyDescent="0.15"/>
    <row r="33869" hidden="1" x14ac:dyDescent="0.15"/>
    <row r="33870" hidden="1" x14ac:dyDescent="0.15"/>
    <row r="33871" hidden="1" x14ac:dyDescent="0.15"/>
    <row r="33872" hidden="1" x14ac:dyDescent="0.15"/>
    <row r="33873" hidden="1" x14ac:dyDescent="0.15"/>
    <row r="33874" hidden="1" x14ac:dyDescent="0.15"/>
    <row r="33875" hidden="1" x14ac:dyDescent="0.15"/>
    <row r="33876" hidden="1" x14ac:dyDescent="0.15"/>
    <row r="33877" hidden="1" x14ac:dyDescent="0.15"/>
    <row r="33878" hidden="1" x14ac:dyDescent="0.15"/>
    <row r="33879" hidden="1" x14ac:dyDescent="0.15"/>
    <row r="33880" hidden="1" x14ac:dyDescent="0.15"/>
    <row r="33881" hidden="1" x14ac:dyDescent="0.15"/>
    <row r="33882" hidden="1" x14ac:dyDescent="0.15"/>
    <row r="33883" hidden="1" x14ac:dyDescent="0.15"/>
    <row r="33884" hidden="1" x14ac:dyDescent="0.15"/>
    <row r="33885" hidden="1" x14ac:dyDescent="0.15"/>
    <row r="33886" hidden="1" x14ac:dyDescent="0.15"/>
    <row r="33887" hidden="1" x14ac:dyDescent="0.15"/>
    <row r="33888" hidden="1" x14ac:dyDescent="0.15"/>
    <row r="33889" hidden="1" x14ac:dyDescent="0.15"/>
    <row r="33890" hidden="1" x14ac:dyDescent="0.15"/>
    <row r="33891" hidden="1" x14ac:dyDescent="0.15"/>
    <row r="33892" hidden="1" x14ac:dyDescent="0.15"/>
    <row r="33893" hidden="1" x14ac:dyDescent="0.15"/>
    <row r="33894" hidden="1" x14ac:dyDescent="0.15"/>
    <row r="33895" hidden="1" x14ac:dyDescent="0.15"/>
    <row r="33896" hidden="1" x14ac:dyDescent="0.15"/>
    <row r="33897" hidden="1" x14ac:dyDescent="0.15"/>
    <row r="33898" hidden="1" x14ac:dyDescent="0.15"/>
    <row r="33899" hidden="1" x14ac:dyDescent="0.15"/>
    <row r="33900" hidden="1" x14ac:dyDescent="0.15"/>
    <row r="33901" hidden="1" x14ac:dyDescent="0.15"/>
    <row r="33902" hidden="1" x14ac:dyDescent="0.15"/>
    <row r="33903" hidden="1" x14ac:dyDescent="0.15"/>
    <row r="33904" hidden="1" x14ac:dyDescent="0.15"/>
    <row r="33905" hidden="1" x14ac:dyDescent="0.15"/>
    <row r="33906" hidden="1" x14ac:dyDescent="0.15"/>
    <row r="33907" hidden="1" x14ac:dyDescent="0.15"/>
    <row r="33908" hidden="1" x14ac:dyDescent="0.15"/>
    <row r="33909" hidden="1" x14ac:dyDescent="0.15"/>
    <row r="33910" hidden="1" x14ac:dyDescent="0.15"/>
    <row r="33911" hidden="1" x14ac:dyDescent="0.15"/>
    <row r="33912" hidden="1" x14ac:dyDescent="0.15"/>
    <row r="33913" hidden="1" x14ac:dyDescent="0.15"/>
    <row r="33914" hidden="1" x14ac:dyDescent="0.15"/>
    <row r="33915" hidden="1" x14ac:dyDescent="0.15"/>
    <row r="33916" hidden="1" x14ac:dyDescent="0.15"/>
    <row r="33917" hidden="1" x14ac:dyDescent="0.15"/>
    <row r="33918" hidden="1" x14ac:dyDescent="0.15"/>
    <row r="33919" hidden="1" x14ac:dyDescent="0.15"/>
    <row r="33920" hidden="1" x14ac:dyDescent="0.15"/>
    <row r="33921" hidden="1" x14ac:dyDescent="0.15"/>
    <row r="33922" hidden="1" x14ac:dyDescent="0.15"/>
    <row r="33923" hidden="1" x14ac:dyDescent="0.15"/>
    <row r="33924" hidden="1" x14ac:dyDescent="0.15"/>
    <row r="33925" hidden="1" x14ac:dyDescent="0.15"/>
    <row r="33926" hidden="1" x14ac:dyDescent="0.15"/>
    <row r="33927" hidden="1" x14ac:dyDescent="0.15"/>
    <row r="33928" hidden="1" x14ac:dyDescent="0.15"/>
    <row r="33929" hidden="1" x14ac:dyDescent="0.15"/>
    <row r="33930" hidden="1" x14ac:dyDescent="0.15"/>
    <row r="33931" hidden="1" x14ac:dyDescent="0.15"/>
    <row r="33932" hidden="1" x14ac:dyDescent="0.15"/>
    <row r="33933" hidden="1" x14ac:dyDescent="0.15"/>
    <row r="33934" hidden="1" x14ac:dyDescent="0.15"/>
    <row r="33935" hidden="1" x14ac:dyDescent="0.15"/>
    <row r="33936" hidden="1" x14ac:dyDescent="0.15"/>
    <row r="33937" hidden="1" x14ac:dyDescent="0.15"/>
    <row r="33938" hidden="1" x14ac:dyDescent="0.15"/>
    <row r="33939" hidden="1" x14ac:dyDescent="0.15"/>
    <row r="33940" hidden="1" x14ac:dyDescent="0.15"/>
    <row r="33941" hidden="1" x14ac:dyDescent="0.15"/>
    <row r="33942" hidden="1" x14ac:dyDescent="0.15"/>
    <row r="33943" hidden="1" x14ac:dyDescent="0.15"/>
    <row r="33944" hidden="1" x14ac:dyDescent="0.15"/>
    <row r="33945" hidden="1" x14ac:dyDescent="0.15"/>
    <row r="33946" hidden="1" x14ac:dyDescent="0.15"/>
    <row r="33947" hidden="1" x14ac:dyDescent="0.15"/>
    <row r="33948" hidden="1" x14ac:dyDescent="0.15"/>
    <row r="33949" hidden="1" x14ac:dyDescent="0.15"/>
    <row r="33950" hidden="1" x14ac:dyDescent="0.15"/>
    <row r="33951" hidden="1" x14ac:dyDescent="0.15"/>
    <row r="33952" hidden="1" x14ac:dyDescent="0.15"/>
    <row r="33953" hidden="1" x14ac:dyDescent="0.15"/>
    <row r="33954" hidden="1" x14ac:dyDescent="0.15"/>
    <row r="33955" hidden="1" x14ac:dyDescent="0.15"/>
    <row r="33956" hidden="1" x14ac:dyDescent="0.15"/>
    <row r="33957" hidden="1" x14ac:dyDescent="0.15"/>
    <row r="33958" hidden="1" x14ac:dyDescent="0.15"/>
    <row r="33959" hidden="1" x14ac:dyDescent="0.15"/>
    <row r="33960" hidden="1" x14ac:dyDescent="0.15"/>
    <row r="33961" hidden="1" x14ac:dyDescent="0.15"/>
    <row r="33962" hidden="1" x14ac:dyDescent="0.15"/>
    <row r="33963" hidden="1" x14ac:dyDescent="0.15"/>
    <row r="33964" hidden="1" x14ac:dyDescent="0.15"/>
    <row r="33965" hidden="1" x14ac:dyDescent="0.15"/>
    <row r="33966" hidden="1" x14ac:dyDescent="0.15"/>
    <row r="33967" hidden="1" x14ac:dyDescent="0.15"/>
    <row r="33968" hidden="1" x14ac:dyDescent="0.15"/>
    <row r="33969" hidden="1" x14ac:dyDescent="0.15"/>
    <row r="33970" hidden="1" x14ac:dyDescent="0.15"/>
    <row r="33971" hidden="1" x14ac:dyDescent="0.15"/>
    <row r="33972" hidden="1" x14ac:dyDescent="0.15"/>
    <row r="33973" hidden="1" x14ac:dyDescent="0.15"/>
    <row r="33974" hidden="1" x14ac:dyDescent="0.15"/>
    <row r="33975" hidden="1" x14ac:dyDescent="0.15"/>
    <row r="33976" hidden="1" x14ac:dyDescent="0.15"/>
    <row r="33977" hidden="1" x14ac:dyDescent="0.15"/>
    <row r="33978" hidden="1" x14ac:dyDescent="0.15"/>
    <row r="33979" hidden="1" x14ac:dyDescent="0.15"/>
    <row r="33980" hidden="1" x14ac:dyDescent="0.15"/>
    <row r="33981" hidden="1" x14ac:dyDescent="0.15"/>
    <row r="33982" hidden="1" x14ac:dyDescent="0.15"/>
    <row r="33983" hidden="1" x14ac:dyDescent="0.15"/>
    <row r="33984" hidden="1" x14ac:dyDescent="0.15"/>
    <row r="33985" hidden="1" x14ac:dyDescent="0.15"/>
    <row r="33986" hidden="1" x14ac:dyDescent="0.15"/>
    <row r="33987" hidden="1" x14ac:dyDescent="0.15"/>
    <row r="33988" hidden="1" x14ac:dyDescent="0.15"/>
    <row r="33989" hidden="1" x14ac:dyDescent="0.15"/>
    <row r="33990" hidden="1" x14ac:dyDescent="0.15"/>
    <row r="33991" hidden="1" x14ac:dyDescent="0.15"/>
    <row r="33992" hidden="1" x14ac:dyDescent="0.15"/>
    <row r="33993" hidden="1" x14ac:dyDescent="0.15"/>
    <row r="33994" hidden="1" x14ac:dyDescent="0.15"/>
    <row r="33995" hidden="1" x14ac:dyDescent="0.15"/>
    <row r="33996" hidden="1" x14ac:dyDescent="0.15"/>
    <row r="33997" hidden="1" x14ac:dyDescent="0.15"/>
    <row r="33998" hidden="1" x14ac:dyDescent="0.15"/>
    <row r="33999" hidden="1" x14ac:dyDescent="0.15"/>
    <row r="34000" hidden="1" x14ac:dyDescent="0.15"/>
    <row r="34001" hidden="1" x14ac:dyDescent="0.15"/>
    <row r="34002" hidden="1" x14ac:dyDescent="0.15"/>
    <row r="34003" hidden="1" x14ac:dyDescent="0.15"/>
    <row r="34004" hidden="1" x14ac:dyDescent="0.15"/>
    <row r="34005" hidden="1" x14ac:dyDescent="0.15"/>
    <row r="34006" hidden="1" x14ac:dyDescent="0.15"/>
    <row r="34007" hidden="1" x14ac:dyDescent="0.15"/>
    <row r="34008" hidden="1" x14ac:dyDescent="0.15"/>
    <row r="34009" hidden="1" x14ac:dyDescent="0.15"/>
    <row r="34010" hidden="1" x14ac:dyDescent="0.15"/>
    <row r="34011" hidden="1" x14ac:dyDescent="0.15"/>
    <row r="34012" hidden="1" x14ac:dyDescent="0.15"/>
    <row r="34013" hidden="1" x14ac:dyDescent="0.15"/>
    <row r="34014" hidden="1" x14ac:dyDescent="0.15"/>
    <row r="34015" hidden="1" x14ac:dyDescent="0.15"/>
    <row r="34016" hidden="1" x14ac:dyDescent="0.15"/>
    <row r="34017" hidden="1" x14ac:dyDescent="0.15"/>
    <row r="34018" hidden="1" x14ac:dyDescent="0.15"/>
    <row r="34019" hidden="1" x14ac:dyDescent="0.15"/>
    <row r="34020" hidden="1" x14ac:dyDescent="0.15"/>
    <row r="34021" hidden="1" x14ac:dyDescent="0.15"/>
    <row r="34022" hidden="1" x14ac:dyDescent="0.15"/>
    <row r="34023" hidden="1" x14ac:dyDescent="0.15"/>
    <row r="34024" hidden="1" x14ac:dyDescent="0.15"/>
    <row r="34025" hidden="1" x14ac:dyDescent="0.15"/>
    <row r="34026" hidden="1" x14ac:dyDescent="0.15"/>
    <row r="34027" hidden="1" x14ac:dyDescent="0.15"/>
    <row r="34028" hidden="1" x14ac:dyDescent="0.15"/>
    <row r="34029" hidden="1" x14ac:dyDescent="0.15"/>
    <row r="34030" hidden="1" x14ac:dyDescent="0.15"/>
    <row r="34031" hidden="1" x14ac:dyDescent="0.15"/>
    <row r="34032" hidden="1" x14ac:dyDescent="0.15"/>
    <row r="34033" hidden="1" x14ac:dyDescent="0.15"/>
    <row r="34034" hidden="1" x14ac:dyDescent="0.15"/>
    <row r="34035" hidden="1" x14ac:dyDescent="0.15"/>
    <row r="34036" hidden="1" x14ac:dyDescent="0.15"/>
    <row r="34037" hidden="1" x14ac:dyDescent="0.15"/>
    <row r="34038" hidden="1" x14ac:dyDescent="0.15"/>
    <row r="34039" hidden="1" x14ac:dyDescent="0.15"/>
    <row r="34040" hidden="1" x14ac:dyDescent="0.15"/>
    <row r="34041" hidden="1" x14ac:dyDescent="0.15"/>
    <row r="34042" hidden="1" x14ac:dyDescent="0.15"/>
    <row r="34043" hidden="1" x14ac:dyDescent="0.15"/>
    <row r="34044" hidden="1" x14ac:dyDescent="0.15"/>
    <row r="34045" hidden="1" x14ac:dyDescent="0.15"/>
    <row r="34046" hidden="1" x14ac:dyDescent="0.15"/>
    <row r="34047" hidden="1" x14ac:dyDescent="0.15"/>
    <row r="34048" hidden="1" x14ac:dyDescent="0.15"/>
    <row r="34049" hidden="1" x14ac:dyDescent="0.15"/>
    <row r="34050" hidden="1" x14ac:dyDescent="0.15"/>
    <row r="34051" hidden="1" x14ac:dyDescent="0.15"/>
    <row r="34052" hidden="1" x14ac:dyDescent="0.15"/>
    <row r="34053" hidden="1" x14ac:dyDescent="0.15"/>
    <row r="34054" hidden="1" x14ac:dyDescent="0.15"/>
    <row r="34055" hidden="1" x14ac:dyDescent="0.15"/>
    <row r="34056" hidden="1" x14ac:dyDescent="0.15"/>
    <row r="34057" hidden="1" x14ac:dyDescent="0.15"/>
    <row r="34058" hidden="1" x14ac:dyDescent="0.15"/>
    <row r="34059" hidden="1" x14ac:dyDescent="0.15"/>
    <row r="34060" hidden="1" x14ac:dyDescent="0.15"/>
    <row r="34061" hidden="1" x14ac:dyDescent="0.15"/>
    <row r="34062" hidden="1" x14ac:dyDescent="0.15"/>
    <row r="34063" hidden="1" x14ac:dyDescent="0.15"/>
    <row r="34064" hidden="1" x14ac:dyDescent="0.15"/>
    <row r="34065" hidden="1" x14ac:dyDescent="0.15"/>
    <row r="34066" hidden="1" x14ac:dyDescent="0.15"/>
    <row r="34067" hidden="1" x14ac:dyDescent="0.15"/>
    <row r="34068" hidden="1" x14ac:dyDescent="0.15"/>
    <row r="34069" hidden="1" x14ac:dyDescent="0.15"/>
    <row r="34070" hidden="1" x14ac:dyDescent="0.15"/>
    <row r="34071" hidden="1" x14ac:dyDescent="0.15"/>
    <row r="34072" hidden="1" x14ac:dyDescent="0.15"/>
    <row r="34073" hidden="1" x14ac:dyDescent="0.15"/>
    <row r="34074" hidden="1" x14ac:dyDescent="0.15"/>
    <row r="34075" hidden="1" x14ac:dyDescent="0.15"/>
    <row r="34076" hidden="1" x14ac:dyDescent="0.15"/>
    <row r="34077" hidden="1" x14ac:dyDescent="0.15"/>
    <row r="34078" hidden="1" x14ac:dyDescent="0.15"/>
    <row r="34079" hidden="1" x14ac:dyDescent="0.15"/>
    <row r="34080" hidden="1" x14ac:dyDescent="0.15"/>
    <row r="34081" hidden="1" x14ac:dyDescent="0.15"/>
    <row r="34082" hidden="1" x14ac:dyDescent="0.15"/>
    <row r="34083" hidden="1" x14ac:dyDescent="0.15"/>
    <row r="34084" hidden="1" x14ac:dyDescent="0.15"/>
    <row r="34085" hidden="1" x14ac:dyDescent="0.15"/>
    <row r="34086" hidden="1" x14ac:dyDescent="0.15"/>
    <row r="34087" hidden="1" x14ac:dyDescent="0.15"/>
    <row r="34088" hidden="1" x14ac:dyDescent="0.15"/>
    <row r="34089" hidden="1" x14ac:dyDescent="0.15"/>
    <row r="34090" hidden="1" x14ac:dyDescent="0.15"/>
    <row r="34091" hidden="1" x14ac:dyDescent="0.15"/>
    <row r="34092" hidden="1" x14ac:dyDescent="0.15"/>
    <row r="34093" hidden="1" x14ac:dyDescent="0.15"/>
    <row r="34094" hidden="1" x14ac:dyDescent="0.15"/>
    <row r="34095" hidden="1" x14ac:dyDescent="0.15"/>
    <row r="34096" hidden="1" x14ac:dyDescent="0.15"/>
    <row r="34097" hidden="1" x14ac:dyDescent="0.15"/>
    <row r="34098" hidden="1" x14ac:dyDescent="0.15"/>
    <row r="34099" hidden="1" x14ac:dyDescent="0.15"/>
    <row r="34100" hidden="1" x14ac:dyDescent="0.15"/>
    <row r="34101" hidden="1" x14ac:dyDescent="0.15"/>
    <row r="34102" hidden="1" x14ac:dyDescent="0.15"/>
    <row r="34103" hidden="1" x14ac:dyDescent="0.15"/>
    <row r="34104" hidden="1" x14ac:dyDescent="0.15"/>
    <row r="34105" hidden="1" x14ac:dyDescent="0.15"/>
    <row r="34106" hidden="1" x14ac:dyDescent="0.15"/>
    <row r="34107" hidden="1" x14ac:dyDescent="0.15"/>
    <row r="34108" hidden="1" x14ac:dyDescent="0.15"/>
    <row r="34109" hidden="1" x14ac:dyDescent="0.15"/>
    <row r="34110" hidden="1" x14ac:dyDescent="0.15"/>
    <row r="34111" hidden="1" x14ac:dyDescent="0.15"/>
    <row r="34112" hidden="1" x14ac:dyDescent="0.15"/>
    <row r="34113" hidden="1" x14ac:dyDescent="0.15"/>
    <row r="34114" hidden="1" x14ac:dyDescent="0.15"/>
    <row r="34115" hidden="1" x14ac:dyDescent="0.15"/>
    <row r="34116" hidden="1" x14ac:dyDescent="0.15"/>
    <row r="34117" hidden="1" x14ac:dyDescent="0.15"/>
    <row r="34118" hidden="1" x14ac:dyDescent="0.15"/>
    <row r="34119" hidden="1" x14ac:dyDescent="0.15"/>
    <row r="34120" hidden="1" x14ac:dyDescent="0.15"/>
    <row r="34121" hidden="1" x14ac:dyDescent="0.15"/>
    <row r="34122" hidden="1" x14ac:dyDescent="0.15"/>
    <row r="34123" hidden="1" x14ac:dyDescent="0.15"/>
    <row r="34124" hidden="1" x14ac:dyDescent="0.15"/>
    <row r="34125" hidden="1" x14ac:dyDescent="0.15"/>
    <row r="34126" hidden="1" x14ac:dyDescent="0.15"/>
    <row r="34127" hidden="1" x14ac:dyDescent="0.15"/>
    <row r="34128" hidden="1" x14ac:dyDescent="0.15"/>
    <row r="34129" hidden="1" x14ac:dyDescent="0.15"/>
    <row r="34130" hidden="1" x14ac:dyDescent="0.15"/>
    <row r="34131" hidden="1" x14ac:dyDescent="0.15"/>
    <row r="34132" hidden="1" x14ac:dyDescent="0.15"/>
    <row r="34133" hidden="1" x14ac:dyDescent="0.15"/>
    <row r="34134" hidden="1" x14ac:dyDescent="0.15"/>
    <row r="34135" hidden="1" x14ac:dyDescent="0.15"/>
    <row r="34136" hidden="1" x14ac:dyDescent="0.15"/>
    <row r="34137" hidden="1" x14ac:dyDescent="0.15"/>
    <row r="34138" hidden="1" x14ac:dyDescent="0.15"/>
    <row r="34139" hidden="1" x14ac:dyDescent="0.15"/>
    <row r="34140" hidden="1" x14ac:dyDescent="0.15"/>
    <row r="34141" hidden="1" x14ac:dyDescent="0.15"/>
    <row r="34142" hidden="1" x14ac:dyDescent="0.15"/>
    <row r="34143" hidden="1" x14ac:dyDescent="0.15"/>
    <row r="34144" hidden="1" x14ac:dyDescent="0.15"/>
    <row r="34145" hidden="1" x14ac:dyDescent="0.15"/>
    <row r="34146" hidden="1" x14ac:dyDescent="0.15"/>
    <row r="34147" hidden="1" x14ac:dyDescent="0.15"/>
    <row r="34148" hidden="1" x14ac:dyDescent="0.15"/>
    <row r="34149" hidden="1" x14ac:dyDescent="0.15"/>
    <row r="34150" hidden="1" x14ac:dyDescent="0.15"/>
    <row r="34151" hidden="1" x14ac:dyDescent="0.15"/>
    <row r="34152" hidden="1" x14ac:dyDescent="0.15"/>
    <row r="34153" hidden="1" x14ac:dyDescent="0.15"/>
    <row r="34154" hidden="1" x14ac:dyDescent="0.15"/>
    <row r="34155" hidden="1" x14ac:dyDescent="0.15"/>
    <row r="34156" hidden="1" x14ac:dyDescent="0.15"/>
    <row r="34157" hidden="1" x14ac:dyDescent="0.15"/>
    <row r="34158" hidden="1" x14ac:dyDescent="0.15"/>
    <row r="34159" hidden="1" x14ac:dyDescent="0.15"/>
    <row r="34160" hidden="1" x14ac:dyDescent="0.15"/>
    <row r="34161" hidden="1" x14ac:dyDescent="0.15"/>
    <row r="34162" hidden="1" x14ac:dyDescent="0.15"/>
    <row r="34163" hidden="1" x14ac:dyDescent="0.15"/>
    <row r="34164" hidden="1" x14ac:dyDescent="0.15"/>
    <row r="34165" hidden="1" x14ac:dyDescent="0.15"/>
    <row r="34166" hidden="1" x14ac:dyDescent="0.15"/>
    <row r="34167" hidden="1" x14ac:dyDescent="0.15"/>
    <row r="34168" hidden="1" x14ac:dyDescent="0.15"/>
    <row r="34169" hidden="1" x14ac:dyDescent="0.15"/>
    <row r="34170" hidden="1" x14ac:dyDescent="0.15"/>
    <row r="34171" hidden="1" x14ac:dyDescent="0.15"/>
    <row r="34172" hidden="1" x14ac:dyDescent="0.15"/>
    <row r="34173" hidden="1" x14ac:dyDescent="0.15"/>
    <row r="34174" hidden="1" x14ac:dyDescent="0.15"/>
    <row r="34175" hidden="1" x14ac:dyDescent="0.15"/>
    <row r="34176" hidden="1" x14ac:dyDescent="0.15"/>
    <row r="34177" hidden="1" x14ac:dyDescent="0.15"/>
    <row r="34178" hidden="1" x14ac:dyDescent="0.15"/>
    <row r="34179" hidden="1" x14ac:dyDescent="0.15"/>
    <row r="34180" hidden="1" x14ac:dyDescent="0.15"/>
    <row r="34181" hidden="1" x14ac:dyDescent="0.15"/>
    <row r="34182" hidden="1" x14ac:dyDescent="0.15"/>
    <row r="34183" hidden="1" x14ac:dyDescent="0.15"/>
    <row r="34184" hidden="1" x14ac:dyDescent="0.15"/>
    <row r="34185" hidden="1" x14ac:dyDescent="0.15"/>
    <row r="34186" hidden="1" x14ac:dyDescent="0.15"/>
    <row r="34187" hidden="1" x14ac:dyDescent="0.15"/>
    <row r="34188" hidden="1" x14ac:dyDescent="0.15"/>
    <row r="34189" hidden="1" x14ac:dyDescent="0.15"/>
    <row r="34190" hidden="1" x14ac:dyDescent="0.15"/>
    <row r="34191" hidden="1" x14ac:dyDescent="0.15"/>
    <row r="34192" hidden="1" x14ac:dyDescent="0.15"/>
    <row r="34193" hidden="1" x14ac:dyDescent="0.15"/>
    <row r="34194" hidden="1" x14ac:dyDescent="0.15"/>
    <row r="34195" hidden="1" x14ac:dyDescent="0.15"/>
    <row r="34196" hidden="1" x14ac:dyDescent="0.15"/>
    <row r="34197" hidden="1" x14ac:dyDescent="0.15"/>
    <row r="34198" hidden="1" x14ac:dyDescent="0.15"/>
    <row r="34199" hidden="1" x14ac:dyDescent="0.15"/>
    <row r="34200" hidden="1" x14ac:dyDescent="0.15"/>
    <row r="34201" hidden="1" x14ac:dyDescent="0.15"/>
    <row r="34202" hidden="1" x14ac:dyDescent="0.15"/>
    <row r="34203" hidden="1" x14ac:dyDescent="0.15"/>
    <row r="34204" hidden="1" x14ac:dyDescent="0.15"/>
    <row r="34205" hidden="1" x14ac:dyDescent="0.15"/>
    <row r="34206" hidden="1" x14ac:dyDescent="0.15"/>
    <row r="34207" hidden="1" x14ac:dyDescent="0.15"/>
    <row r="34208" hidden="1" x14ac:dyDescent="0.15"/>
    <row r="34209" hidden="1" x14ac:dyDescent="0.15"/>
    <row r="34210" hidden="1" x14ac:dyDescent="0.15"/>
    <row r="34211" hidden="1" x14ac:dyDescent="0.15"/>
    <row r="34212" hidden="1" x14ac:dyDescent="0.15"/>
    <row r="34213" hidden="1" x14ac:dyDescent="0.15"/>
    <row r="34214" hidden="1" x14ac:dyDescent="0.15"/>
    <row r="34215" hidden="1" x14ac:dyDescent="0.15"/>
    <row r="34216" hidden="1" x14ac:dyDescent="0.15"/>
    <row r="34217" hidden="1" x14ac:dyDescent="0.15"/>
    <row r="34218" hidden="1" x14ac:dyDescent="0.15"/>
    <row r="34219" hidden="1" x14ac:dyDescent="0.15"/>
    <row r="34220" hidden="1" x14ac:dyDescent="0.15"/>
    <row r="34221" hidden="1" x14ac:dyDescent="0.15"/>
    <row r="34222" hidden="1" x14ac:dyDescent="0.15"/>
    <row r="34223" hidden="1" x14ac:dyDescent="0.15"/>
    <row r="34224" hidden="1" x14ac:dyDescent="0.15"/>
    <row r="34225" hidden="1" x14ac:dyDescent="0.15"/>
    <row r="34226" hidden="1" x14ac:dyDescent="0.15"/>
    <row r="34227" hidden="1" x14ac:dyDescent="0.15"/>
    <row r="34228" hidden="1" x14ac:dyDescent="0.15"/>
    <row r="34229" hidden="1" x14ac:dyDescent="0.15"/>
    <row r="34230" hidden="1" x14ac:dyDescent="0.15"/>
    <row r="34231" hidden="1" x14ac:dyDescent="0.15"/>
    <row r="34232" hidden="1" x14ac:dyDescent="0.15"/>
    <row r="34233" hidden="1" x14ac:dyDescent="0.15"/>
    <row r="34234" hidden="1" x14ac:dyDescent="0.15"/>
    <row r="34235" hidden="1" x14ac:dyDescent="0.15"/>
    <row r="34236" hidden="1" x14ac:dyDescent="0.15"/>
    <row r="34237" hidden="1" x14ac:dyDescent="0.15"/>
    <row r="34238" hidden="1" x14ac:dyDescent="0.15"/>
    <row r="34239" hidden="1" x14ac:dyDescent="0.15"/>
    <row r="34240" hidden="1" x14ac:dyDescent="0.15"/>
    <row r="34241" hidden="1" x14ac:dyDescent="0.15"/>
    <row r="34242" hidden="1" x14ac:dyDescent="0.15"/>
    <row r="34243" hidden="1" x14ac:dyDescent="0.15"/>
    <row r="34244" hidden="1" x14ac:dyDescent="0.15"/>
    <row r="34245" hidden="1" x14ac:dyDescent="0.15"/>
    <row r="34246" hidden="1" x14ac:dyDescent="0.15"/>
    <row r="34247" hidden="1" x14ac:dyDescent="0.15"/>
    <row r="34248" hidden="1" x14ac:dyDescent="0.15"/>
    <row r="34249" hidden="1" x14ac:dyDescent="0.15"/>
    <row r="34250" hidden="1" x14ac:dyDescent="0.15"/>
    <row r="34251" hidden="1" x14ac:dyDescent="0.15"/>
    <row r="34252" hidden="1" x14ac:dyDescent="0.15"/>
    <row r="34253" hidden="1" x14ac:dyDescent="0.15"/>
    <row r="34254" hidden="1" x14ac:dyDescent="0.15"/>
    <row r="34255" hidden="1" x14ac:dyDescent="0.15"/>
    <row r="34256" hidden="1" x14ac:dyDescent="0.15"/>
    <row r="34257" hidden="1" x14ac:dyDescent="0.15"/>
    <row r="34258" hidden="1" x14ac:dyDescent="0.15"/>
    <row r="34259" hidden="1" x14ac:dyDescent="0.15"/>
    <row r="34260" hidden="1" x14ac:dyDescent="0.15"/>
    <row r="34261" hidden="1" x14ac:dyDescent="0.15"/>
    <row r="34262" hidden="1" x14ac:dyDescent="0.15"/>
    <row r="34263" hidden="1" x14ac:dyDescent="0.15"/>
    <row r="34264" hidden="1" x14ac:dyDescent="0.15"/>
    <row r="34265" hidden="1" x14ac:dyDescent="0.15"/>
    <row r="34266" hidden="1" x14ac:dyDescent="0.15"/>
    <row r="34267" hidden="1" x14ac:dyDescent="0.15"/>
    <row r="34268" hidden="1" x14ac:dyDescent="0.15"/>
    <row r="34269" hidden="1" x14ac:dyDescent="0.15"/>
    <row r="34270" hidden="1" x14ac:dyDescent="0.15"/>
    <row r="34271" hidden="1" x14ac:dyDescent="0.15"/>
    <row r="34272" hidden="1" x14ac:dyDescent="0.15"/>
    <row r="34273" hidden="1" x14ac:dyDescent="0.15"/>
    <row r="34274" hidden="1" x14ac:dyDescent="0.15"/>
    <row r="34275" hidden="1" x14ac:dyDescent="0.15"/>
    <row r="34276" hidden="1" x14ac:dyDescent="0.15"/>
    <row r="34277" hidden="1" x14ac:dyDescent="0.15"/>
    <row r="34278" hidden="1" x14ac:dyDescent="0.15"/>
    <row r="34279" hidden="1" x14ac:dyDescent="0.15"/>
    <row r="34280" hidden="1" x14ac:dyDescent="0.15"/>
    <row r="34281" hidden="1" x14ac:dyDescent="0.15"/>
    <row r="34282" hidden="1" x14ac:dyDescent="0.15"/>
    <row r="34283" hidden="1" x14ac:dyDescent="0.15"/>
    <row r="34284" hidden="1" x14ac:dyDescent="0.15"/>
    <row r="34285" hidden="1" x14ac:dyDescent="0.15"/>
    <row r="34286" hidden="1" x14ac:dyDescent="0.15"/>
    <row r="34287" hidden="1" x14ac:dyDescent="0.15"/>
    <row r="34288" hidden="1" x14ac:dyDescent="0.15"/>
    <row r="34289" hidden="1" x14ac:dyDescent="0.15"/>
    <row r="34290" hidden="1" x14ac:dyDescent="0.15"/>
    <row r="34291" hidden="1" x14ac:dyDescent="0.15"/>
    <row r="34292" hidden="1" x14ac:dyDescent="0.15"/>
    <row r="34293" hidden="1" x14ac:dyDescent="0.15"/>
    <row r="34294" hidden="1" x14ac:dyDescent="0.15"/>
    <row r="34295" hidden="1" x14ac:dyDescent="0.15"/>
    <row r="34296" hidden="1" x14ac:dyDescent="0.15"/>
    <row r="34297" hidden="1" x14ac:dyDescent="0.15"/>
    <row r="34298" hidden="1" x14ac:dyDescent="0.15"/>
    <row r="34299" hidden="1" x14ac:dyDescent="0.15"/>
    <row r="34300" hidden="1" x14ac:dyDescent="0.15"/>
    <row r="34301" hidden="1" x14ac:dyDescent="0.15"/>
    <row r="34302" hidden="1" x14ac:dyDescent="0.15"/>
    <row r="34303" hidden="1" x14ac:dyDescent="0.15"/>
    <row r="34304" hidden="1" x14ac:dyDescent="0.15"/>
    <row r="34305" hidden="1" x14ac:dyDescent="0.15"/>
    <row r="34306" hidden="1" x14ac:dyDescent="0.15"/>
    <row r="34307" hidden="1" x14ac:dyDescent="0.15"/>
    <row r="34308" hidden="1" x14ac:dyDescent="0.15"/>
    <row r="34309" hidden="1" x14ac:dyDescent="0.15"/>
    <row r="34310" hidden="1" x14ac:dyDescent="0.15"/>
    <row r="34311" hidden="1" x14ac:dyDescent="0.15"/>
    <row r="34312" hidden="1" x14ac:dyDescent="0.15"/>
    <row r="34313" hidden="1" x14ac:dyDescent="0.15"/>
    <row r="34314" hidden="1" x14ac:dyDescent="0.15"/>
    <row r="34315" hidden="1" x14ac:dyDescent="0.15"/>
    <row r="34316" hidden="1" x14ac:dyDescent="0.15"/>
    <row r="34317" hidden="1" x14ac:dyDescent="0.15"/>
    <row r="34318" hidden="1" x14ac:dyDescent="0.15"/>
    <row r="34319" hidden="1" x14ac:dyDescent="0.15"/>
    <row r="34320" hidden="1" x14ac:dyDescent="0.15"/>
    <row r="34321" hidden="1" x14ac:dyDescent="0.15"/>
    <row r="34322" hidden="1" x14ac:dyDescent="0.15"/>
    <row r="34323" hidden="1" x14ac:dyDescent="0.15"/>
    <row r="34324" hidden="1" x14ac:dyDescent="0.15"/>
    <row r="34325" hidden="1" x14ac:dyDescent="0.15"/>
    <row r="34326" hidden="1" x14ac:dyDescent="0.15"/>
    <row r="34327" hidden="1" x14ac:dyDescent="0.15"/>
    <row r="34328" hidden="1" x14ac:dyDescent="0.15"/>
    <row r="34329" hidden="1" x14ac:dyDescent="0.15"/>
    <row r="34330" hidden="1" x14ac:dyDescent="0.15"/>
    <row r="34331" hidden="1" x14ac:dyDescent="0.15"/>
    <row r="34332" hidden="1" x14ac:dyDescent="0.15"/>
    <row r="34333" hidden="1" x14ac:dyDescent="0.15"/>
    <row r="34334" hidden="1" x14ac:dyDescent="0.15"/>
    <row r="34335" hidden="1" x14ac:dyDescent="0.15"/>
    <row r="34336" hidden="1" x14ac:dyDescent="0.15"/>
    <row r="34337" hidden="1" x14ac:dyDescent="0.15"/>
    <row r="34338" hidden="1" x14ac:dyDescent="0.15"/>
    <row r="34339" hidden="1" x14ac:dyDescent="0.15"/>
    <row r="34340" hidden="1" x14ac:dyDescent="0.15"/>
    <row r="34341" hidden="1" x14ac:dyDescent="0.15"/>
    <row r="34342" hidden="1" x14ac:dyDescent="0.15"/>
    <row r="34343" hidden="1" x14ac:dyDescent="0.15"/>
    <row r="34344" hidden="1" x14ac:dyDescent="0.15"/>
    <row r="34345" hidden="1" x14ac:dyDescent="0.15"/>
    <row r="34346" hidden="1" x14ac:dyDescent="0.15"/>
    <row r="34347" hidden="1" x14ac:dyDescent="0.15"/>
    <row r="34348" hidden="1" x14ac:dyDescent="0.15"/>
    <row r="34349" hidden="1" x14ac:dyDescent="0.15"/>
    <row r="34350" hidden="1" x14ac:dyDescent="0.15"/>
    <row r="34351" hidden="1" x14ac:dyDescent="0.15"/>
    <row r="34352" hidden="1" x14ac:dyDescent="0.15"/>
    <row r="34353" hidden="1" x14ac:dyDescent="0.15"/>
    <row r="34354" hidden="1" x14ac:dyDescent="0.15"/>
    <row r="34355" hidden="1" x14ac:dyDescent="0.15"/>
    <row r="34356" hidden="1" x14ac:dyDescent="0.15"/>
    <row r="34357" hidden="1" x14ac:dyDescent="0.15"/>
    <row r="34358" hidden="1" x14ac:dyDescent="0.15"/>
    <row r="34359" hidden="1" x14ac:dyDescent="0.15"/>
    <row r="34360" hidden="1" x14ac:dyDescent="0.15"/>
    <row r="34361" hidden="1" x14ac:dyDescent="0.15"/>
    <row r="34362" hidden="1" x14ac:dyDescent="0.15"/>
    <row r="34363" hidden="1" x14ac:dyDescent="0.15"/>
    <row r="34364" hidden="1" x14ac:dyDescent="0.15"/>
    <row r="34365" hidden="1" x14ac:dyDescent="0.15"/>
    <row r="34366" hidden="1" x14ac:dyDescent="0.15"/>
    <row r="34367" hidden="1" x14ac:dyDescent="0.15"/>
    <row r="34368" hidden="1" x14ac:dyDescent="0.15"/>
    <row r="34369" hidden="1" x14ac:dyDescent="0.15"/>
    <row r="34370" hidden="1" x14ac:dyDescent="0.15"/>
    <row r="34371" hidden="1" x14ac:dyDescent="0.15"/>
    <row r="34372" hidden="1" x14ac:dyDescent="0.15"/>
    <row r="34373" hidden="1" x14ac:dyDescent="0.15"/>
    <row r="34374" hidden="1" x14ac:dyDescent="0.15"/>
    <row r="34375" hidden="1" x14ac:dyDescent="0.15"/>
    <row r="34376" hidden="1" x14ac:dyDescent="0.15"/>
    <row r="34377" hidden="1" x14ac:dyDescent="0.15"/>
    <row r="34378" hidden="1" x14ac:dyDescent="0.15"/>
    <row r="34379" hidden="1" x14ac:dyDescent="0.15"/>
    <row r="34380" hidden="1" x14ac:dyDescent="0.15"/>
    <row r="34381" hidden="1" x14ac:dyDescent="0.15"/>
    <row r="34382" hidden="1" x14ac:dyDescent="0.15"/>
    <row r="34383" hidden="1" x14ac:dyDescent="0.15"/>
    <row r="34384" hidden="1" x14ac:dyDescent="0.15"/>
    <row r="34385" hidden="1" x14ac:dyDescent="0.15"/>
    <row r="34386" hidden="1" x14ac:dyDescent="0.15"/>
    <row r="34387" hidden="1" x14ac:dyDescent="0.15"/>
    <row r="34388" hidden="1" x14ac:dyDescent="0.15"/>
    <row r="34389" hidden="1" x14ac:dyDescent="0.15"/>
    <row r="34390" hidden="1" x14ac:dyDescent="0.15"/>
    <row r="34391" hidden="1" x14ac:dyDescent="0.15"/>
    <row r="34392" hidden="1" x14ac:dyDescent="0.15"/>
    <row r="34393" hidden="1" x14ac:dyDescent="0.15"/>
    <row r="34394" hidden="1" x14ac:dyDescent="0.15"/>
    <row r="34395" hidden="1" x14ac:dyDescent="0.15"/>
    <row r="34396" hidden="1" x14ac:dyDescent="0.15"/>
    <row r="34397" hidden="1" x14ac:dyDescent="0.15"/>
    <row r="34398" hidden="1" x14ac:dyDescent="0.15"/>
    <row r="34399" hidden="1" x14ac:dyDescent="0.15"/>
    <row r="34400" hidden="1" x14ac:dyDescent="0.15"/>
    <row r="34401" hidden="1" x14ac:dyDescent="0.15"/>
    <row r="34402" hidden="1" x14ac:dyDescent="0.15"/>
    <row r="34403" hidden="1" x14ac:dyDescent="0.15"/>
    <row r="34404" hidden="1" x14ac:dyDescent="0.15"/>
    <row r="34405" hidden="1" x14ac:dyDescent="0.15"/>
    <row r="34406" hidden="1" x14ac:dyDescent="0.15"/>
    <row r="34407" hidden="1" x14ac:dyDescent="0.15"/>
    <row r="34408" hidden="1" x14ac:dyDescent="0.15"/>
    <row r="34409" hidden="1" x14ac:dyDescent="0.15"/>
    <row r="34410" hidden="1" x14ac:dyDescent="0.15"/>
    <row r="34411" hidden="1" x14ac:dyDescent="0.15"/>
    <row r="34412" hidden="1" x14ac:dyDescent="0.15"/>
    <row r="34413" hidden="1" x14ac:dyDescent="0.15"/>
    <row r="34414" hidden="1" x14ac:dyDescent="0.15"/>
    <row r="34415" hidden="1" x14ac:dyDescent="0.15"/>
    <row r="34416" hidden="1" x14ac:dyDescent="0.15"/>
    <row r="34417" hidden="1" x14ac:dyDescent="0.15"/>
    <row r="34418" hidden="1" x14ac:dyDescent="0.15"/>
    <row r="34419" hidden="1" x14ac:dyDescent="0.15"/>
    <row r="34420" hidden="1" x14ac:dyDescent="0.15"/>
    <row r="34421" hidden="1" x14ac:dyDescent="0.15"/>
    <row r="34422" hidden="1" x14ac:dyDescent="0.15"/>
    <row r="34423" hidden="1" x14ac:dyDescent="0.15"/>
    <row r="34424" hidden="1" x14ac:dyDescent="0.15"/>
    <row r="34425" hidden="1" x14ac:dyDescent="0.15"/>
    <row r="34426" hidden="1" x14ac:dyDescent="0.15"/>
    <row r="34427" hidden="1" x14ac:dyDescent="0.15"/>
    <row r="34428" hidden="1" x14ac:dyDescent="0.15"/>
    <row r="34429" hidden="1" x14ac:dyDescent="0.15"/>
    <row r="34430" hidden="1" x14ac:dyDescent="0.15"/>
    <row r="34431" hidden="1" x14ac:dyDescent="0.15"/>
    <row r="34432" hidden="1" x14ac:dyDescent="0.15"/>
    <row r="34433" hidden="1" x14ac:dyDescent="0.15"/>
    <row r="34434" hidden="1" x14ac:dyDescent="0.15"/>
    <row r="34435" hidden="1" x14ac:dyDescent="0.15"/>
    <row r="34436" hidden="1" x14ac:dyDescent="0.15"/>
    <row r="34437" hidden="1" x14ac:dyDescent="0.15"/>
    <row r="34438" hidden="1" x14ac:dyDescent="0.15"/>
    <row r="34439" hidden="1" x14ac:dyDescent="0.15"/>
    <row r="34440" hidden="1" x14ac:dyDescent="0.15"/>
    <row r="34441" hidden="1" x14ac:dyDescent="0.15"/>
    <row r="34442" hidden="1" x14ac:dyDescent="0.15"/>
    <row r="34443" hidden="1" x14ac:dyDescent="0.15"/>
    <row r="34444" hidden="1" x14ac:dyDescent="0.15"/>
    <row r="34445" hidden="1" x14ac:dyDescent="0.15"/>
    <row r="34446" hidden="1" x14ac:dyDescent="0.15"/>
    <row r="34447" hidden="1" x14ac:dyDescent="0.15"/>
    <row r="34448" hidden="1" x14ac:dyDescent="0.15"/>
    <row r="34449" hidden="1" x14ac:dyDescent="0.15"/>
    <row r="34450" hidden="1" x14ac:dyDescent="0.15"/>
    <row r="34451" hidden="1" x14ac:dyDescent="0.15"/>
    <row r="34452" hidden="1" x14ac:dyDescent="0.15"/>
    <row r="34453" hidden="1" x14ac:dyDescent="0.15"/>
    <row r="34454" hidden="1" x14ac:dyDescent="0.15"/>
    <row r="34455" hidden="1" x14ac:dyDescent="0.15"/>
    <row r="34456" hidden="1" x14ac:dyDescent="0.15"/>
    <row r="34457" hidden="1" x14ac:dyDescent="0.15"/>
    <row r="34458" hidden="1" x14ac:dyDescent="0.15"/>
    <row r="34459" hidden="1" x14ac:dyDescent="0.15"/>
    <row r="34460" hidden="1" x14ac:dyDescent="0.15"/>
    <row r="34461" hidden="1" x14ac:dyDescent="0.15"/>
    <row r="34462" hidden="1" x14ac:dyDescent="0.15"/>
    <row r="34463" hidden="1" x14ac:dyDescent="0.15"/>
    <row r="34464" hidden="1" x14ac:dyDescent="0.15"/>
    <row r="34465" hidden="1" x14ac:dyDescent="0.15"/>
    <row r="34466" hidden="1" x14ac:dyDescent="0.15"/>
    <row r="34467" hidden="1" x14ac:dyDescent="0.15"/>
    <row r="34468" hidden="1" x14ac:dyDescent="0.15"/>
    <row r="34469" hidden="1" x14ac:dyDescent="0.15"/>
    <row r="34470" hidden="1" x14ac:dyDescent="0.15"/>
    <row r="34471" hidden="1" x14ac:dyDescent="0.15"/>
    <row r="34472" hidden="1" x14ac:dyDescent="0.15"/>
    <row r="34473" hidden="1" x14ac:dyDescent="0.15"/>
    <row r="34474" hidden="1" x14ac:dyDescent="0.15"/>
    <row r="34475" hidden="1" x14ac:dyDescent="0.15"/>
    <row r="34476" hidden="1" x14ac:dyDescent="0.15"/>
    <row r="34477" hidden="1" x14ac:dyDescent="0.15"/>
    <row r="34478" hidden="1" x14ac:dyDescent="0.15"/>
    <row r="34479" hidden="1" x14ac:dyDescent="0.15"/>
    <row r="34480" hidden="1" x14ac:dyDescent="0.15"/>
    <row r="34481" hidden="1" x14ac:dyDescent="0.15"/>
    <row r="34482" hidden="1" x14ac:dyDescent="0.15"/>
    <row r="34483" hidden="1" x14ac:dyDescent="0.15"/>
    <row r="34484" hidden="1" x14ac:dyDescent="0.15"/>
    <row r="34485" hidden="1" x14ac:dyDescent="0.15"/>
    <row r="34486" hidden="1" x14ac:dyDescent="0.15"/>
    <row r="34487" hidden="1" x14ac:dyDescent="0.15"/>
    <row r="34488" hidden="1" x14ac:dyDescent="0.15"/>
    <row r="34489" hidden="1" x14ac:dyDescent="0.15"/>
    <row r="34490" hidden="1" x14ac:dyDescent="0.15"/>
    <row r="34491" hidden="1" x14ac:dyDescent="0.15"/>
    <row r="34492" hidden="1" x14ac:dyDescent="0.15"/>
    <row r="34493" hidden="1" x14ac:dyDescent="0.15"/>
    <row r="34494" hidden="1" x14ac:dyDescent="0.15"/>
    <row r="34495" hidden="1" x14ac:dyDescent="0.15"/>
    <row r="34496" hidden="1" x14ac:dyDescent="0.15"/>
    <row r="34497" hidden="1" x14ac:dyDescent="0.15"/>
    <row r="34498" hidden="1" x14ac:dyDescent="0.15"/>
    <row r="34499" hidden="1" x14ac:dyDescent="0.15"/>
    <row r="34500" hidden="1" x14ac:dyDescent="0.15"/>
    <row r="34501" hidden="1" x14ac:dyDescent="0.15"/>
    <row r="34502" hidden="1" x14ac:dyDescent="0.15"/>
    <row r="34503" hidden="1" x14ac:dyDescent="0.15"/>
    <row r="34504" hidden="1" x14ac:dyDescent="0.15"/>
    <row r="34505" hidden="1" x14ac:dyDescent="0.15"/>
    <row r="34506" hidden="1" x14ac:dyDescent="0.15"/>
    <row r="34507" hidden="1" x14ac:dyDescent="0.15"/>
    <row r="34508" hidden="1" x14ac:dyDescent="0.15"/>
    <row r="34509" hidden="1" x14ac:dyDescent="0.15"/>
    <row r="34510" hidden="1" x14ac:dyDescent="0.15"/>
    <row r="34511" hidden="1" x14ac:dyDescent="0.15"/>
    <row r="34512" hidden="1" x14ac:dyDescent="0.15"/>
    <row r="34513" hidden="1" x14ac:dyDescent="0.15"/>
    <row r="34514" hidden="1" x14ac:dyDescent="0.15"/>
    <row r="34515" hidden="1" x14ac:dyDescent="0.15"/>
    <row r="34516" hidden="1" x14ac:dyDescent="0.15"/>
    <row r="34517" hidden="1" x14ac:dyDescent="0.15"/>
    <row r="34518" hidden="1" x14ac:dyDescent="0.15"/>
    <row r="34519" hidden="1" x14ac:dyDescent="0.15"/>
    <row r="34520" hidden="1" x14ac:dyDescent="0.15"/>
    <row r="34521" hidden="1" x14ac:dyDescent="0.15"/>
    <row r="34522" hidden="1" x14ac:dyDescent="0.15"/>
    <row r="34523" hidden="1" x14ac:dyDescent="0.15"/>
    <row r="34524" hidden="1" x14ac:dyDescent="0.15"/>
    <row r="34525" hidden="1" x14ac:dyDescent="0.15"/>
    <row r="34526" hidden="1" x14ac:dyDescent="0.15"/>
    <row r="34527" hidden="1" x14ac:dyDescent="0.15"/>
    <row r="34528" hidden="1" x14ac:dyDescent="0.15"/>
    <row r="34529" hidden="1" x14ac:dyDescent="0.15"/>
    <row r="34530" hidden="1" x14ac:dyDescent="0.15"/>
    <row r="34531" hidden="1" x14ac:dyDescent="0.15"/>
    <row r="34532" hidden="1" x14ac:dyDescent="0.15"/>
    <row r="34533" hidden="1" x14ac:dyDescent="0.15"/>
    <row r="34534" hidden="1" x14ac:dyDescent="0.15"/>
    <row r="34535" hidden="1" x14ac:dyDescent="0.15"/>
    <row r="34536" hidden="1" x14ac:dyDescent="0.15"/>
    <row r="34537" hidden="1" x14ac:dyDescent="0.15"/>
    <row r="34538" hidden="1" x14ac:dyDescent="0.15"/>
    <row r="34539" hidden="1" x14ac:dyDescent="0.15"/>
    <row r="34540" hidden="1" x14ac:dyDescent="0.15"/>
    <row r="34541" hidden="1" x14ac:dyDescent="0.15"/>
    <row r="34542" hidden="1" x14ac:dyDescent="0.15"/>
    <row r="34543" hidden="1" x14ac:dyDescent="0.15"/>
    <row r="34544" hidden="1" x14ac:dyDescent="0.15"/>
    <row r="34545" hidden="1" x14ac:dyDescent="0.15"/>
    <row r="34546" hidden="1" x14ac:dyDescent="0.15"/>
    <row r="34547" hidden="1" x14ac:dyDescent="0.15"/>
    <row r="34548" hidden="1" x14ac:dyDescent="0.15"/>
    <row r="34549" hidden="1" x14ac:dyDescent="0.15"/>
    <row r="34550" hidden="1" x14ac:dyDescent="0.15"/>
    <row r="34551" hidden="1" x14ac:dyDescent="0.15"/>
    <row r="34552" hidden="1" x14ac:dyDescent="0.15"/>
    <row r="34553" hidden="1" x14ac:dyDescent="0.15"/>
    <row r="34554" hidden="1" x14ac:dyDescent="0.15"/>
    <row r="34555" hidden="1" x14ac:dyDescent="0.15"/>
    <row r="34556" hidden="1" x14ac:dyDescent="0.15"/>
    <row r="34557" hidden="1" x14ac:dyDescent="0.15"/>
    <row r="34558" hidden="1" x14ac:dyDescent="0.15"/>
    <row r="34559" hidden="1" x14ac:dyDescent="0.15"/>
    <row r="34560" hidden="1" x14ac:dyDescent="0.15"/>
    <row r="34561" hidden="1" x14ac:dyDescent="0.15"/>
    <row r="34562" hidden="1" x14ac:dyDescent="0.15"/>
    <row r="34563" hidden="1" x14ac:dyDescent="0.15"/>
    <row r="34564" hidden="1" x14ac:dyDescent="0.15"/>
    <row r="34565" hidden="1" x14ac:dyDescent="0.15"/>
    <row r="34566" hidden="1" x14ac:dyDescent="0.15"/>
    <row r="34567" hidden="1" x14ac:dyDescent="0.15"/>
    <row r="34568" hidden="1" x14ac:dyDescent="0.15"/>
    <row r="34569" hidden="1" x14ac:dyDescent="0.15"/>
    <row r="34570" hidden="1" x14ac:dyDescent="0.15"/>
    <row r="34571" hidden="1" x14ac:dyDescent="0.15"/>
    <row r="34572" hidden="1" x14ac:dyDescent="0.15"/>
    <row r="34573" hidden="1" x14ac:dyDescent="0.15"/>
    <row r="34574" hidden="1" x14ac:dyDescent="0.15"/>
    <row r="34575" hidden="1" x14ac:dyDescent="0.15"/>
    <row r="34576" hidden="1" x14ac:dyDescent="0.15"/>
    <row r="34577" hidden="1" x14ac:dyDescent="0.15"/>
    <row r="34578" hidden="1" x14ac:dyDescent="0.15"/>
    <row r="34579" hidden="1" x14ac:dyDescent="0.15"/>
    <row r="34580" hidden="1" x14ac:dyDescent="0.15"/>
    <row r="34581" hidden="1" x14ac:dyDescent="0.15"/>
    <row r="34582" hidden="1" x14ac:dyDescent="0.15"/>
    <row r="34583" hidden="1" x14ac:dyDescent="0.15"/>
    <row r="34584" hidden="1" x14ac:dyDescent="0.15"/>
    <row r="34585" hidden="1" x14ac:dyDescent="0.15"/>
    <row r="34586" hidden="1" x14ac:dyDescent="0.15"/>
    <row r="34587" hidden="1" x14ac:dyDescent="0.15"/>
    <row r="34588" hidden="1" x14ac:dyDescent="0.15"/>
    <row r="34589" hidden="1" x14ac:dyDescent="0.15"/>
    <row r="34590" hidden="1" x14ac:dyDescent="0.15"/>
    <row r="34591" hidden="1" x14ac:dyDescent="0.15"/>
    <row r="34592" hidden="1" x14ac:dyDescent="0.15"/>
    <row r="34593" hidden="1" x14ac:dyDescent="0.15"/>
    <row r="34594" hidden="1" x14ac:dyDescent="0.15"/>
    <row r="34595" hidden="1" x14ac:dyDescent="0.15"/>
    <row r="34596" hidden="1" x14ac:dyDescent="0.15"/>
    <row r="34597" hidden="1" x14ac:dyDescent="0.15"/>
    <row r="34598" hidden="1" x14ac:dyDescent="0.15"/>
    <row r="34599" hidden="1" x14ac:dyDescent="0.15"/>
    <row r="34600" hidden="1" x14ac:dyDescent="0.15"/>
    <row r="34601" hidden="1" x14ac:dyDescent="0.15"/>
    <row r="34602" hidden="1" x14ac:dyDescent="0.15"/>
    <row r="34603" hidden="1" x14ac:dyDescent="0.15"/>
    <row r="34604" hidden="1" x14ac:dyDescent="0.15"/>
    <row r="34605" hidden="1" x14ac:dyDescent="0.15"/>
    <row r="34606" hidden="1" x14ac:dyDescent="0.15"/>
    <row r="34607" hidden="1" x14ac:dyDescent="0.15"/>
    <row r="34608" hidden="1" x14ac:dyDescent="0.15"/>
    <row r="34609" hidden="1" x14ac:dyDescent="0.15"/>
    <row r="34610" hidden="1" x14ac:dyDescent="0.15"/>
    <row r="34611" hidden="1" x14ac:dyDescent="0.15"/>
    <row r="34612" hidden="1" x14ac:dyDescent="0.15"/>
    <row r="34613" hidden="1" x14ac:dyDescent="0.15"/>
    <row r="34614" hidden="1" x14ac:dyDescent="0.15"/>
    <row r="34615" hidden="1" x14ac:dyDescent="0.15"/>
    <row r="34616" hidden="1" x14ac:dyDescent="0.15"/>
    <row r="34617" hidden="1" x14ac:dyDescent="0.15"/>
    <row r="34618" hidden="1" x14ac:dyDescent="0.15"/>
    <row r="34619" hidden="1" x14ac:dyDescent="0.15"/>
    <row r="34620" hidden="1" x14ac:dyDescent="0.15"/>
    <row r="34621" hidden="1" x14ac:dyDescent="0.15"/>
    <row r="34622" hidden="1" x14ac:dyDescent="0.15"/>
    <row r="34623" hidden="1" x14ac:dyDescent="0.15"/>
    <row r="34624" hidden="1" x14ac:dyDescent="0.15"/>
    <row r="34625" hidden="1" x14ac:dyDescent="0.15"/>
    <row r="34626" hidden="1" x14ac:dyDescent="0.15"/>
    <row r="34627" hidden="1" x14ac:dyDescent="0.15"/>
    <row r="34628" hidden="1" x14ac:dyDescent="0.15"/>
    <row r="34629" hidden="1" x14ac:dyDescent="0.15"/>
    <row r="34630" hidden="1" x14ac:dyDescent="0.15"/>
    <row r="34631" hidden="1" x14ac:dyDescent="0.15"/>
    <row r="34632" hidden="1" x14ac:dyDescent="0.15"/>
    <row r="34633" hidden="1" x14ac:dyDescent="0.15"/>
    <row r="34634" hidden="1" x14ac:dyDescent="0.15"/>
    <row r="34635" hidden="1" x14ac:dyDescent="0.15"/>
    <row r="34636" hidden="1" x14ac:dyDescent="0.15"/>
    <row r="34637" hidden="1" x14ac:dyDescent="0.15"/>
    <row r="34638" hidden="1" x14ac:dyDescent="0.15"/>
    <row r="34639" hidden="1" x14ac:dyDescent="0.15"/>
    <row r="34640" hidden="1" x14ac:dyDescent="0.15"/>
    <row r="34641" hidden="1" x14ac:dyDescent="0.15"/>
    <row r="34642" hidden="1" x14ac:dyDescent="0.15"/>
    <row r="34643" hidden="1" x14ac:dyDescent="0.15"/>
    <row r="34644" hidden="1" x14ac:dyDescent="0.15"/>
    <row r="34645" hidden="1" x14ac:dyDescent="0.15"/>
    <row r="34646" hidden="1" x14ac:dyDescent="0.15"/>
    <row r="34647" hidden="1" x14ac:dyDescent="0.15"/>
    <row r="34648" hidden="1" x14ac:dyDescent="0.15"/>
    <row r="34649" hidden="1" x14ac:dyDescent="0.15"/>
    <row r="34650" hidden="1" x14ac:dyDescent="0.15"/>
    <row r="34651" hidden="1" x14ac:dyDescent="0.15"/>
    <row r="34652" hidden="1" x14ac:dyDescent="0.15"/>
    <row r="34653" hidden="1" x14ac:dyDescent="0.15"/>
    <row r="34654" hidden="1" x14ac:dyDescent="0.15"/>
    <row r="34655" hidden="1" x14ac:dyDescent="0.15"/>
    <row r="34656" hidden="1" x14ac:dyDescent="0.15"/>
    <row r="34657" hidden="1" x14ac:dyDescent="0.15"/>
    <row r="34658" hidden="1" x14ac:dyDescent="0.15"/>
    <row r="34659" hidden="1" x14ac:dyDescent="0.15"/>
    <row r="34660" hidden="1" x14ac:dyDescent="0.15"/>
    <row r="34661" hidden="1" x14ac:dyDescent="0.15"/>
    <row r="34662" hidden="1" x14ac:dyDescent="0.15"/>
    <row r="34663" hidden="1" x14ac:dyDescent="0.15"/>
    <row r="34664" hidden="1" x14ac:dyDescent="0.15"/>
    <row r="34665" hidden="1" x14ac:dyDescent="0.15"/>
    <row r="34666" hidden="1" x14ac:dyDescent="0.15"/>
    <row r="34667" hidden="1" x14ac:dyDescent="0.15"/>
    <row r="34668" hidden="1" x14ac:dyDescent="0.15"/>
    <row r="34669" hidden="1" x14ac:dyDescent="0.15"/>
    <row r="34670" hidden="1" x14ac:dyDescent="0.15"/>
    <row r="34671" hidden="1" x14ac:dyDescent="0.15"/>
    <row r="34672" hidden="1" x14ac:dyDescent="0.15"/>
    <row r="34673" hidden="1" x14ac:dyDescent="0.15"/>
    <row r="34674" hidden="1" x14ac:dyDescent="0.15"/>
    <row r="34675" hidden="1" x14ac:dyDescent="0.15"/>
    <row r="34676" hidden="1" x14ac:dyDescent="0.15"/>
    <row r="34677" hidden="1" x14ac:dyDescent="0.15"/>
    <row r="34678" hidden="1" x14ac:dyDescent="0.15"/>
    <row r="34679" hidden="1" x14ac:dyDescent="0.15"/>
    <row r="34680" hidden="1" x14ac:dyDescent="0.15"/>
    <row r="34681" hidden="1" x14ac:dyDescent="0.15"/>
    <row r="34682" hidden="1" x14ac:dyDescent="0.15"/>
    <row r="34683" hidden="1" x14ac:dyDescent="0.15"/>
    <row r="34684" hidden="1" x14ac:dyDescent="0.15"/>
    <row r="34685" hidden="1" x14ac:dyDescent="0.15"/>
    <row r="34686" hidden="1" x14ac:dyDescent="0.15"/>
    <row r="34687" hidden="1" x14ac:dyDescent="0.15"/>
    <row r="34688" hidden="1" x14ac:dyDescent="0.15"/>
    <row r="34689" hidden="1" x14ac:dyDescent="0.15"/>
    <row r="34690" hidden="1" x14ac:dyDescent="0.15"/>
    <row r="34691" hidden="1" x14ac:dyDescent="0.15"/>
    <row r="34692" hidden="1" x14ac:dyDescent="0.15"/>
    <row r="34693" hidden="1" x14ac:dyDescent="0.15"/>
    <row r="34694" hidden="1" x14ac:dyDescent="0.15"/>
    <row r="34695" hidden="1" x14ac:dyDescent="0.15"/>
    <row r="34696" hidden="1" x14ac:dyDescent="0.15"/>
    <row r="34697" hidden="1" x14ac:dyDescent="0.15"/>
    <row r="34698" hidden="1" x14ac:dyDescent="0.15"/>
    <row r="34699" hidden="1" x14ac:dyDescent="0.15"/>
    <row r="34700" hidden="1" x14ac:dyDescent="0.15"/>
    <row r="34701" hidden="1" x14ac:dyDescent="0.15"/>
    <row r="34702" hidden="1" x14ac:dyDescent="0.15"/>
    <row r="34703" hidden="1" x14ac:dyDescent="0.15"/>
    <row r="34704" hidden="1" x14ac:dyDescent="0.15"/>
    <row r="34705" hidden="1" x14ac:dyDescent="0.15"/>
    <row r="34706" hidden="1" x14ac:dyDescent="0.15"/>
    <row r="34707" hidden="1" x14ac:dyDescent="0.15"/>
    <row r="34708" hidden="1" x14ac:dyDescent="0.15"/>
    <row r="34709" hidden="1" x14ac:dyDescent="0.15"/>
    <row r="34710" hidden="1" x14ac:dyDescent="0.15"/>
    <row r="34711" hidden="1" x14ac:dyDescent="0.15"/>
    <row r="34712" hidden="1" x14ac:dyDescent="0.15"/>
    <row r="34713" hidden="1" x14ac:dyDescent="0.15"/>
    <row r="34714" hidden="1" x14ac:dyDescent="0.15"/>
    <row r="34715" hidden="1" x14ac:dyDescent="0.15"/>
    <row r="34716" hidden="1" x14ac:dyDescent="0.15"/>
    <row r="34717" hidden="1" x14ac:dyDescent="0.15"/>
    <row r="34718" hidden="1" x14ac:dyDescent="0.15"/>
    <row r="34719" hidden="1" x14ac:dyDescent="0.15"/>
    <row r="34720" hidden="1" x14ac:dyDescent="0.15"/>
    <row r="34721" hidden="1" x14ac:dyDescent="0.15"/>
    <row r="34722" hidden="1" x14ac:dyDescent="0.15"/>
    <row r="34723" hidden="1" x14ac:dyDescent="0.15"/>
    <row r="34724" hidden="1" x14ac:dyDescent="0.15"/>
    <row r="34725" hidden="1" x14ac:dyDescent="0.15"/>
    <row r="34726" hidden="1" x14ac:dyDescent="0.15"/>
    <row r="34727" hidden="1" x14ac:dyDescent="0.15"/>
    <row r="34728" hidden="1" x14ac:dyDescent="0.15"/>
    <row r="34729" hidden="1" x14ac:dyDescent="0.15"/>
    <row r="34730" hidden="1" x14ac:dyDescent="0.15"/>
    <row r="34731" hidden="1" x14ac:dyDescent="0.15"/>
    <row r="34732" hidden="1" x14ac:dyDescent="0.15"/>
    <row r="34733" hidden="1" x14ac:dyDescent="0.15"/>
    <row r="34734" hidden="1" x14ac:dyDescent="0.15"/>
    <row r="34735" hidden="1" x14ac:dyDescent="0.15"/>
    <row r="34736" hidden="1" x14ac:dyDescent="0.15"/>
    <row r="34737" hidden="1" x14ac:dyDescent="0.15"/>
    <row r="34738" hidden="1" x14ac:dyDescent="0.15"/>
    <row r="34739" hidden="1" x14ac:dyDescent="0.15"/>
    <row r="34740" hidden="1" x14ac:dyDescent="0.15"/>
    <row r="34741" hidden="1" x14ac:dyDescent="0.15"/>
    <row r="34742" hidden="1" x14ac:dyDescent="0.15"/>
    <row r="34743" hidden="1" x14ac:dyDescent="0.15"/>
    <row r="34744" hidden="1" x14ac:dyDescent="0.15"/>
    <row r="34745" hidden="1" x14ac:dyDescent="0.15"/>
    <row r="34746" hidden="1" x14ac:dyDescent="0.15"/>
    <row r="34747" hidden="1" x14ac:dyDescent="0.15"/>
    <row r="34748" hidden="1" x14ac:dyDescent="0.15"/>
    <row r="34749" hidden="1" x14ac:dyDescent="0.15"/>
    <row r="34750" hidden="1" x14ac:dyDescent="0.15"/>
    <row r="34751" hidden="1" x14ac:dyDescent="0.15"/>
    <row r="34752" hidden="1" x14ac:dyDescent="0.15"/>
    <row r="34753" hidden="1" x14ac:dyDescent="0.15"/>
    <row r="34754" hidden="1" x14ac:dyDescent="0.15"/>
    <row r="34755" hidden="1" x14ac:dyDescent="0.15"/>
    <row r="34756" hidden="1" x14ac:dyDescent="0.15"/>
    <row r="34757" hidden="1" x14ac:dyDescent="0.15"/>
    <row r="34758" hidden="1" x14ac:dyDescent="0.15"/>
    <row r="34759" hidden="1" x14ac:dyDescent="0.15"/>
    <row r="34760" hidden="1" x14ac:dyDescent="0.15"/>
    <row r="34761" hidden="1" x14ac:dyDescent="0.15"/>
    <row r="34762" hidden="1" x14ac:dyDescent="0.15"/>
    <row r="34763" hidden="1" x14ac:dyDescent="0.15"/>
    <row r="34764" hidden="1" x14ac:dyDescent="0.15"/>
    <row r="34765" hidden="1" x14ac:dyDescent="0.15"/>
    <row r="34766" hidden="1" x14ac:dyDescent="0.15"/>
    <row r="34767" hidden="1" x14ac:dyDescent="0.15"/>
    <row r="34768" hidden="1" x14ac:dyDescent="0.15"/>
    <row r="34769" hidden="1" x14ac:dyDescent="0.15"/>
    <row r="34770" hidden="1" x14ac:dyDescent="0.15"/>
    <row r="34771" hidden="1" x14ac:dyDescent="0.15"/>
    <row r="34772" hidden="1" x14ac:dyDescent="0.15"/>
    <row r="34773" hidden="1" x14ac:dyDescent="0.15"/>
    <row r="34774" hidden="1" x14ac:dyDescent="0.15"/>
    <row r="34775" hidden="1" x14ac:dyDescent="0.15"/>
    <row r="34776" hidden="1" x14ac:dyDescent="0.15"/>
    <row r="34777" hidden="1" x14ac:dyDescent="0.15"/>
    <row r="34778" hidden="1" x14ac:dyDescent="0.15"/>
    <row r="34779" hidden="1" x14ac:dyDescent="0.15"/>
    <row r="34780" hidden="1" x14ac:dyDescent="0.15"/>
    <row r="34781" hidden="1" x14ac:dyDescent="0.15"/>
    <row r="34782" hidden="1" x14ac:dyDescent="0.15"/>
    <row r="34783" hidden="1" x14ac:dyDescent="0.15"/>
    <row r="34784" hidden="1" x14ac:dyDescent="0.15"/>
    <row r="34785" hidden="1" x14ac:dyDescent="0.15"/>
    <row r="34786" hidden="1" x14ac:dyDescent="0.15"/>
    <row r="34787" hidden="1" x14ac:dyDescent="0.15"/>
    <row r="34788" hidden="1" x14ac:dyDescent="0.15"/>
    <row r="34789" hidden="1" x14ac:dyDescent="0.15"/>
    <row r="34790" hidden="1" x14ac:dyDescent="0.15"/>
    <row r="34791" hidden="1" x14ac:dyDescent="0.15"/>
    <row r="34792" hidden="1" x14ac:dyDescent="0.15"/>
    <row r="34793" hidden="1" x14ac:dyDescent="0.15"/>
    <row r="34794" hidden="1" x14ac:dyDescent="0.15"/>
    <row r="34795" hidden="1" x14ac:dyDescent="0.15"/>
    <row r="34796" hidden="1" x14ac:dyDescent="0.15"/>
    <row r="34797" hidden="1" x14ac:dyDescent="0.15"/>
    <row r="34798" hidden="1" x14ac:dyDescent="0.15"/>
    <row r="34799" hidden="1" x14ac:dyDescent="0.15"/>
    <row r="34800" hidden="1" x14ac:dyDescent="0.15"/>
    <row r="34801" hidden="1" x14ac:dyDescent="0.15"/>
    <row r="34802" hidden="1" x14ac:dyDescent="0.15"/>
    <row r="34803" hidden="1" x14ac:dyDescent="0.15"/>
    <row r="34804" hidden="1" x14ac:dyDescent="0.15"/>
    <row r="34805" hidden="1" x14ac:dyDescent="0.15"/>
    <row r="34806" hidden="1" x14ac:dyDescent="0.15"/>
    <row r="34807" hidden="1" x14ac:dyDescent="0.15"/>
    <row r="34808" hidden="1" x14ac:dyDescent="0.15"/>
    <row r="34809" hidden="1" x14ac:dyDescent="0.15"/>
    <row r="34810" hidden="1" x14ac:dyDescent="0.15"/>
    <row r="34811" hidden="1" x14ac:dyDescent="0.15"/>
    <row r="34812" hidden="1" x14ac:dyDescent="0.15"/>
    <row r="34813" hidden="1" x14ac:dyDescent="0.15"/>
    <row r="34814" hidden="1" x14ac:dyDescent="0.15"/>
    <row r="34815" hidden="1" x14ac:dyDescent="0.15"/>
    <row r="34816" hidden="1" x14ac:dyDescent="0.15"/>
    <row r="34817" hidden="1" x14ac:dyDescent="0.15"/>
    <row r="34818" hidden="1" x14ac:dyDescent="0.15"/>
    <row r="34819" hidden="1" x14ac:dyDescent="0.15"/>
    <row r="34820" hidden="1" x14ac:dyDescent="0.15"/>
    <row r="34821" hidden="1" x14ac:dyDescent="0.15"/>
    <row r="34822" hidden="1" x14ac:dyDescent="0.15"/>
    <row r="34823" hidden="1" x14ac:dyDescent="0.15"/>
    <row r="34824" hidden="1" x14ac:dyDescent="0.15"/>
    <row r="34825" hidden="1" x14ac:dyDescent="0.15"/>
    <row r="34826" hidden="1" x14ac:dyDescent="0.15"/>
    <row r="34827" hidden="1" x14ac:dyDescent="0.15"/>
    <row r="34828" hidden="1" x14ac:dyDescent="0.15"/>
    <row r="34829" hidden="1" x14ac:dyDescent="0.15"/>
    <row r="34830" hidden="1" x14ac:dyDescent="0.15"/>
    <row r="34831" hidden="1" x14ac:dyDescent="0.15"/>
    <row r="34832" hidden="1" x14ac:dyDescent="0.15"/>
    <row r="34833" hidden="1" x14ac:dyDescent="0.15"/>
    <row r="34834" hidden="1" x14ac:dyDescent="0.15"/>
    <row r="34835" hidden="1" x14ac:dyDescent="0.15"/>
    <row r="34836" hidden="1" x14ac:dyDescent="0.15"/>
    <row r="34837" hidden="1" x14ac:dyDescent="0.15"/>
    <row r="34838" hidden="1" x14ac:dyDescent="0.15"/>
    <row r="34839" hidden="1" x14ac:dyDescent="0.15"/>
    <row r="34840" hidden="1" x14ac:dyDescent="0.15"/>
    <row r="34841" hidden="1" x14ac:dyDescent="0.15"/>
    <row r="34842" hidden="1" x14ac:dyDescent="0.15"/>
    <row r="34843" hidden="1" x14ac:dyDescent="0.15"/>
    <row r="34844" hidden="1" x14ac:dyDescent="0.15"/>
    <row r="34845" hidden="1" x14ac:dyDescent="0.15"/>
    <row r="34846" hidden="1" x14ac:dyDescent="0.15"/>
    <row r="34847" hidden="1" x14ac:dyDescent="0.15"/>
    <row r="34848" hidden="1" x14ac:dyDescent="0.15"/>
    <row r="34849" hidden="1" x14ac:dyDescent="0.15"/>
    <row r="34850" hidden="1" x14ac:dyDescent="0.15"/>
    <row r="34851" hidden="1" x14ac:dyDescent="0.15"/>
    <row r="34852" hidden="1" x14ac:dyDescent="0.15"/>
    <row r="34853" hidden="1" x14ac:dyDescent="0.15"/>
    <row r="34854" hidden="1" x14ac:dyDescent="0.15"/>
    <row r="34855" hidden="1" x14ac:dyDescent="0.15"/>
    <row r="34856" hidden="1" x14ac:dyDescent="0.15"/>
    <row r="34857" hidden="1" x14ac:dyDescent="0.15"/>
    <row r="34858" hidden="1" x14ac:dyDescent="0.15"/>
    <row r="34859" hidden="1" x14ac:dyDescent="0.15"/>
    <row r="34860" hidden="1" x14ac:dyDescent="0.15"/>
    <row r="34861" hidden="1" x14ac:dyDescent="0.15"/>
    <row r="34862" hidden="1" x14ac:dyDescent="0.15"/>
    <row r="34863" hidden="1" x14ac:dyDescent="0.15"/>
    <row r="34864" hidden="1" x14ac:dyDescent="0.15"/>
    <row r="34865" hidden="1" x14ac:dyDescent="0.15"/>
    <row r="34866" hidden="1" x14ac:dyDescent="0.15"/>
    <row r="34867" hidden="1" x14ac:dyDescent="0.15"/>
    <row r="34868" hidden="1" x14ac:dyDescent="0.15"/>
    <row r="34869" hidden="1" x14ac:dyDescent="0.15"/>
    <row r="34870" hidden="1" x14ac:dyDescent="0.15"/>
    <row r="34871" hidden="1" x14ac:dyDescent="0.15"/>
    <row r="34872" hidden="1" x14ac:dyDescent="0.15"/>
    <row r="34873" hidden="1" x14ac:dyDescent="0.15"/>
    <row r="34874" hidden="1" x14ac:dyDescent="0.15"/>
    <row r="34875" hidden="1" x14ac:dyDescent="0.15"/>
    <row r="34876" hidden="1" x14ac:dyDescent="0.15"/>
    <row r="34877" hidden="1" x14ac:dyDescent="0.15"/>
    <row r="34878" hidden="1" x14ac:dyDescent="0.15"/>
    <row r="34879" hidden="1" x14ac:dyDescent="0.15"/>
    <row r="34880" hidden="1" x14ac:dyDescent="0.15"/>
    <row r="34881" hidden="1" x14ac:dyDescent="0.15"/>
    <row r="34882" hidden="1" x14ac:dyDescent="0.15"/>
    <row r="34883" hidden="1" x14ac:dyDescent="0.15"/>
    <row r="34884" hidden="1" x14ac:dyDescent="0.15"/>
    <row r="34885" hidden="1" x14ac:dyDescent="0.15"/>
    <row r="34886" hidden="1" x14ac:dyDescent="0.15"/>
    <row r="34887" hidden="1" x14ac:dyDescent="0.15"/>
    <row r="34888" hidden="1" x14ac:dyDescent="0.15"/>
    <row r="34889" hidden="1" x14ac:dyDescent="0.15"/>
    <row r="34890" hidden="1" x14ac:dyDescent="0.15"/>
    <row r="34891" hidden="1" x14ac:dyDescent="0.15"/>
    <row r="34892" hidden="1" x14ac:dyDescent="0.15"/>
    <row r="34893" hidden="1" x14ac:dyDescent="0.15"/>
    <row r="34894" hidden="1" x14ac:dyDescent="0.15"/>
    <row r="34895" hidden="1" x14ac:dyDescent="0.15"/>
    <row r="34896" hidden="1" x14ac:dyDescent="0.15"/>
    <row r="34897" hidden="1" x14ac:dyDescent="0.15"/>
    <row r="34898" hidden="1" x14ac:dyDescent="0.15"/>
    <row r="34899" hidden="1" x14ac:dyDescent="0.15"/>
    <row r="34900" hidden="1" x14ac:dyDescent="0.15"/>
    <row r="34901" hidden="1" x14ac:dyDescent="0.15"/>
    <row r="34902" hidden="1" x14ac:dyDescent="0.15"/>
    <row r="34903" hidden="1" x14ac:dyDescent="0.15"/>
    <row r="34904" hidden="1" x14ac:dyDescent="0.15"/>
    <row r="34905" hidden="1" x14ac:dyDescent="0.15"/>
    <row r="34906" hidden="1" x14ac:dyDescent="0.15"/>
    <row r="34907" hidden="1" x14ac:dyDescent="0.15"/>
    <row r="34908" hidden="1" x14ac:dyDescent="0.15"/>
    <row r="34909" hidden="1" x14ac:dyDescent="0.15"/>
    <row r="34910" hidden="1" x14ac:dyDescent="0.15"/>
    <row r="34911" hidden="1" x14ac:dyDescent="0.15"/>
    <row r="34912" hidden="1" x14ac:dyDescent="0.15"/>
    <row r="34913" hidden="1" x14ac:dyDescent="0.15"/>
    <row r="34914" hidden="1" x14ac:dyDescent="0.15"/>
    <row r="34915" hidden="1" x14ac:dyDescent="0.15"/>
    <row r="34916" hidden="1" x14ac:dyDescent="0.15"/>
    <row r="34917" hidden="1" x14ac:dyDescent="0.15"/>
    <row r="34918" hidden="1" x14ac:dyDescent="0.15"/>
    <row r="34919" hidden="1" x14ac:dyDescent="0.15"/>
    <row r="34920" hidden="1" x14ac:dyDescent="0.15"/>
    <row r="34921" hidden="1" x14ac:dyDescent="0.15"/>
    <row r="34922" hidden="1" x14ac:dyDescent="0.15"/>
    <row r="34923" hidden="1" x14ac:dyDescent="0.15"/>
    <row r="34924" hidden="1" x14ac:dyDescent="0.15"/>
    <row r="34925" hidden="1" x14ac:dyDescent="0.15"/>
    <row r="34926" hidden="1" x14ac:dyDescent="0.15"/>
    <row r="34927" hidden="1" x14ac:dyDescent="0.15"/>
    <row r="34928" hidden="1" x14ac:dyDescent="0.15"/>
    <row r="34929" hidden="1" x14ac:dyDescent="0.15"/>
    <row r="34930" hidden="1" x14ac:dyDescent="0.15"/>
    <row r="34931" hidden="1" x14ac:dyDescent="0.15"/>
    <row r="34932" hidden="1" x14ac:dyDescent="0.15"/>
    <row r="34933" hidden="1" x14ac:dyDescent="0.15"/>
    <row r="34934" hidden="1" x14ac:dyDescent="0.15"/>
    <row r="34935" hidden="1" x14ac:dyDescent="0.15"/>
    <row r="34936" hidden="1" x14ac:dyDescent="0.15"/>
    <row r="34937" hidden="1" x14ac:dyDescent="0.15"/>
    <row r="34938" hidden="1" x14ac:dyDescent="0.15"/>
    <row r="34939" hidden="1" x14ac:dyDescent="0.15"/>
    <row r="34940" hidden="1" x14ac:dyDescent="0.15"/>
    <row r="34941" hidden="1" x14ac:dyDescent="0.15"/>
    <row r="34942" hidden="1" x14ac:dyDescent="0.15"/>
    <row r="34943" hidden="1" x14ac:dyDescent="0.15"/>
    <row r="34944" hidden="1" x14ac:dyDescent="0.15"/>
    <row r="34945" hidden="1" x14ac:dyDescent="0.15"/>
    <row r="34946" hidden="1" x14ac:dyDescent="0.15"/>
    <row r="34947" hidden="1" x14ac:dyDescent="0.15"/>
    <row r="34948" hidden="1" x14ac:dyDescent="0.15"/>
    <row r="34949" hidden="1" x14ac:dyDescent="0.15"/>
    <row r="34950" hidden="1" x14ac:dyDescent="0.15"/>
    <row r="34951" hidden="1" x14ac:dyDescent="0.15"/>
    <row r="34952" hidden="1" x14ac:dyDescent="0.15"/>
    <row r="34953" hidden="1" x14ac:dyDescent="0.15"/>
    <row r="34954" hidden="1" x14ac:dyDescent="0.15"/>
    <row r="34955" hidden="1" x14ac:dyDescent="0.15"/>
    <row r="34956" hidden="1" x14ac:dyDescent="0.15"/>
    <row r="34957" hidden="1" x14ac:dyDescent="0.15"/>
    <row r="34958" hidden="1" x14ac:dyDescent="0.15"/>
    <row r="34959" hidden="1" x14ac:dyDescent="0.15"/>
    <row r="34960" hidden="1" x14ac:dyDescent="0.15"/>
    <row r="34961" hidden="1" x14ac:dyDescent="0.15"/>
    <row r="34962" hidden="1" x14ac:dyDescent="0.15"/>
    <row r="34963" hidden="1" x14ac:dyDescent="0.15"/>
    <row r="34964" hidden="1" x14ac:dyDescent="0.15"/>
    <row r="34965" hidden="1" x14ac:dyDescent="0.15"/>
    <row r="34966" hidden="1" x14ac:dyDescent="0.15"/>
    <row r="34967" hidden="1" x14ac:dyDescent="0.15"/>
    <row r="34968" hidden="1" x14ac:dyDescent="0.15"/>
    <row r="34969" hidden="1" x14ac:dyDescent="0.15"/>
    <row r="34970" hidden="1" x14ac:dyDescent="0.15"/>
    <row r="34971" hidden="1" x14ac:dyDescent="0.15"/>
    <row r="34972" hidden="1" x14ac:dyDescent="0.15"/>
    <row r="34973" hidden="1" x14ac:dyDescent="0.15"/>
    <row r="34974" hidden="1" x14ac:dyDescent="0.15"/>
    <row r="34975" hidden="1" x14ac:dyDescent="0.15"/>
    <row r="34976" hidden="1" x14ac:dyDescent="0.15"/>
    <row r="34977" hidden="1" x14ac:dyDescent="0.15"/>
    <row r="34978" hidden="1" x14ac:dyDescent="0.15"/>
    <row r="34979" hidden="1" x14ac:dyDescent="0.15"/>
    <row r="34980" hidden="1" x14ac:dyDescent="0.15"/>
    <row r="34981" hidden="1" x14ac:dyDescent="0.15"/>
    <row r="34982" hidden="1" x14ac:dyDescent="0.15"/>
    <row r="34983" hidden="1" x14ac:dyDescent="0.15"/>
    <row r="34984" hidden="1" x14ac:dyDescent="0.15"/>
    <row r="34985" hidden="1" x14ac:dyDescent="0.15"/>
    <row r="34986" hidden="1" x14ac:dyDescent="0.15"/>
    <row r="34987" hidden="1" x14ac:dyDescent="0.15"/>
    <row r="34988" hidden="1" x14ac:dyDescent="0.15"/>
    <row r="34989" hidden="1" x14ac:dyDescent="0.15"/>
    <row r="34990" hidden="1" x14ac:dyDescent="0.15"/>
    <row r="34991" hidden="1" x14ac:dyDescent="0.15"/>
    <row r="34992" hidden="1" x14ac:dyDescent="0.15"/>
    <row r="34993" hidden="1" x14ac:dyDescent="0.15"/>
    <row r="34994" hidden="1" x14ac:dyDescent="0.15"/>
    <row r="34995" hidden="1" x14ac:dyDescent="0.15"/>
    <row r="34996" hidden="1" x14ac:dyDescent="0.15"/>
    <row r="34997" hidden="1" x14ac:dyDescent="0.15"/>
    <row r="34998" hidden="1" x14ac:dyDescent="0.15"/>
    <row r="34999" hidden="1" x14ac:dyDescent="0.15"/>
    <row r="35000" hidden="1" x14ac:dyDescent="0.15"/>
    <row r="35001" hidden="1" x14ac:dyDescent="0.15"/>
    <row r="35002" hidden="1" x14ac:dyDescent="0.15"/>
    <row r="35003" hidden="1" x14ac:dyDescent="0.15"/>
    <row r="35004" hidden="1" x14ac:dyDescent="0.15"/>
    <row r="35005" hidden="1" x14ac:dyDescent="0.15"/>
    <row r="35006" hidden="1" x14ac:dyDescent="0.15"/>
    <row r="35007" hidden="1" x14ac:dyDescent="0.15"/>
    <row r="35008" hidden="1" x14ac:dyDescent="0.15"/>
    <row r="35009" hidden="1" x14ac:dyDescent="0.15"/>
    <row r="35010" hidden="1" x14ac:dyDescent="0.15"/>
    <row r="35011" hidden="1" x14ac:dyDescent="0.15"/>
    <row r="35012" hidden="1" x14ac:dyDescent="0.15"/>
    <row r="35013" hidden="1" x14ac:dyDescent="0.15"/>
    <row r="35014" hidden="1" x14ac:dyDescent="0.15"/>
    <row r="35015" hidden="1" x14ac:dyDescent="0.15"/>
    <row r="35016" hidden="1" x14ac:dyDescent="0.15"/>
    <row r="35017" hidden="1" x14ac:dyDescent="0.15"/>
    <row r="35018" hidden="1" x14ac:dyDescent="0.15"/>
    <row r="35019" hidden="1" x14ac:dyDescent="0.15"/>
    <row r="35020" hidden="1" x14ac:dyDescent="0.15"/>
    <row r="35021" hidden="1" x14ac:dyDescent="0.15"/>
    <row r="35022" hidden="1" x14ac:dyDescent="0.15"/>
    <row r="35023" hidden="1" x14ac:dyDescent="0.15"/>
    <row r="35024" hidden="1" x14ac:dyDescent="0.15"/>
    <row r="35025" hidden="1" x14ac:dyDescent="0.15"/>
    <row r="35026" hidden="1" x14ac:dyDescent="0.15"/>
    <row r="35027" hidden="1" x14ac:dyDescent="0.15"/>
    <row r="35028" hidden="1" x14ac:dyDescent="0.15"/>
    <row r="35029" hidden="1" x14ac:dyDescent="0.15"/>
    <row r="35030" hidden="1" x14ac:dyDescent="0.15"/>
    <row r="35031" hidden="1" x14ac:dyDescent="0.15"/>
    <row r="35032" hidden="1" x14ac:dyDescent="0.15"/>
    <row r="35033" hidden="1" x14ac:dyDescent="0.15"/>
    <row r="35034" hidden="1" x14ac:dyDescent="0.15"/>
    <row r="35035" hidden="1" x14ac:dyDescent="0.15"/>
    <row r="35036" hidden="1" x14ac:dyDescent="0.15"/>
    <row r="35037" hidden="1" x14ac:dyDescent="0.15"/>
    <row r="35038" hidden="1" x14ac:dyDescent="0.15"/>
    <row r="35039" hidden="1" x14ac:dyDescent="0.15"/>
    <row r="35040" hidden="1" x14ac:dyDescent="0.15"/>
    <row r="35041" hidden="1" x14ac:dyDescent="0.15"/>
    <row r="35042" hidden="1" x14ac:dyDescent="0.15"/>
    <row r="35043" hidden="1" x14ac:dyDescent="0.15"/>
    <row r="35044" hidden="1" x14ac:dyDescent="0.15"/>
    <row r="35045" hidden="1" x14ac:dyDescent="0.15"/>
    <row r="35046" hidden="1" x14ac:dyDescent="0.15"/>
    <row r="35047" hidden="1" x14ac:dyDescent="0.15"/>
    <row r="35048" hidden="1" x14ac:dyDescent="0.15"/>
    <row r="35049" hidden="1" x14ac:dyDescent="0.15"/>
    <row r="35050" hidden="1" x14ac:dyDescent="0.15"/>
    <row r="35051" hidden="1" x14ac:dyDescent="0.15"/>
    <row r="35052" hidden="1" x14ac:dyDescent="0.15"/>
    <row r="35053" hidden="1" x14ac:dyDescent="0.15"/>
    <row r="35054" hidden="1" x14ac:dyDescent="0.15"/>
    <row r="35055" hidden="1" x14ac:dyDescent="0.15"/>
    <row r="35056" hidden="1" x14ac:dyDescent="0.15"/>
    <row r="35057" hidden="1" x14ac:dyDescent="0.15"/>
    <row r="35058" hidden="1" x14ac:dyDescent="0.15"/>
    <row r="35059" hidden="1" x14ac:dyDescent="0.15"/>
    <row r="35060" hidden="1" x14ac:dyDescent="0.15"/>
    <row r="35061" hidden="1" x14ac:dyDescent="0.15"/>
    <row r="35062" hidden="1" x14ac:dyDescent="0.15"/>
    <row r="35063" hidden="1" x14ac:dyDescent="0.15"/>
    <row r="35064" hidden="1" x14ac:dyDescent="0.15"/>
    <row r="35065" hidden="1" x14ac:dyDescent="0.15"/>
    <row r="35066" hidden="1" x14ac:dyDescent="0.15"/>
    <row r="35067" hidden="1" x14ac:dyDescent="0.15"/>
    <row r="35068" hidden="1" x14ac:dyDescent="0.15"/>
    <row r="35069" hidden="1" x14ac:dyDescent="0.15"/>
    <row r="35070" hidden="1" x14ac:dyDescent="0.15"/>
    <row r="35071" hidden="1" x14ac:dyDescent="0.15"/>
    <row r="35072" hidden="1" x14ac:dyDescent="0.15"/>
    <row r="35073" hidden="1" x14ac:dyDescent="0.15"/>
    <row r="35074" hidden="1" x14ac:dyDescent="0.15"/>
    <row r="35075" hidden="1" x14ac:dyDescent="0.15"/>
    <row r="35076" hidden="1" x14ac:dyDescent="0.15"/>
    <row r="35077" hidden="1" x14ac:dyDescent="0.15"/>
    <row r="35078" hidden="1" x14ac:dyDescent="0.15"/>
    <row r="35079" hidden="1" x14ac:dyDescent="0.15"/>
    <row r="35080" hidden="1" x14ac:dyDescent="0.15"/>
    <row r="35081" hidden="1" x14ac:dyDescent="0.15"/>
    <row r="35082" hidden="1" x14ac:dyDescent="0.15"/>
    <row r="35083" hidden="1" x14ac:dyDescent="0.15"/>
    <row r="35084" hidden="1" x14ac:dyDescent="0.15"/>
    <row r="35085" hidden="1" x14ac:dyDescent="0.15"/>
    <row r="35086" hidden="1" x14ac:dyDescent="0.15"/>
    <row r="35087" hidden="1" x14ac:dyDescent="0.15"/>
    <row r="35088" hidden="1" x14ac:dyDescent="0.15"/>
    <row r="35089" hidden="1" x14ac:dyDescent="0.15"/>
    <row r="35090" hidden="1" x14ac:dyDescent="0.15"/>
    <row r="35091" hidden="1" x14ac:dyDescent="0.15"/>
    <row r="35092" hidden="1" x14ac:dyDescent="0.15"/>
    <row r="35093" hidden="1" x14ac:dyDescent="0.15"/>
    <row r="35094" hidden="1" x14ac:dyDescent="0.15"/>
    <row r="35095" hidden="1" x14ac:dyDescent="0.15"/>
    <row r="35096" hidden="1" x14ac:dyDescent="0.15"/>
    <row r="35097" hidden="1" x14ac:dyDescent="0.15"/>
    <row r="35098" hidden="1" x14ac:dyDescent="0.15"/>
    <row r="35099" hidden="1" x14ac:dyDescent="0.15"/>
    <row r="35100" hidden="1" x14ac:dyDescent="0.15"/>
    <row r="35101" hidden="1" x14ac:dyDescent="0.15"/>
    <row r="35102" hidden="1" x14ac:dyDescent="0.15"/>
    <row r="35103" hidden="1" x14ac:dyDescent="0.15"/>
    <row r="35104" hidden="1" x14ac:dyDescent="0.15"/>
    <row r="35105" hidden="1" x14ac:dyDescent="0.15"/>
    <row r="35106" hidden="1" x14ac:dyDescent="0.15"/>
    <row r="35107" hidden="1" x14ac:dyDescent="0.15"/>
    <row r="35108" hidden="1" x14ac:dyDescent="0.15"/>
    <row r="35109" hidden="1" x14ac:dyDescent="0.15"/>
    <row r="35110" hidden="1" x14ac:dyDescent="0.15"/>
    <row r="35111" hidden="1" x14ac:dyDescent="0.15"/>
    <row r="35112" hidden="1" x14ac:dyDescent="0.15"/>
    <row r="35113" hidden="1" x14ac:dyDescent="0.15"/>
    <row r="35114" hidden="1" x14ac:dyDescent="0.15"/>
    <row r="35115" hidden="1" x14ac:dyDescent="0.15"/>
    <row r="35116" hidden="1" x14ac:dyDescent="0.15"/>
    <row r="35117" hidden="1" x14ac:dyDescent="0.15"/>
    <row r="35118" hidden="1" x14ac:dyDescent="0.15"/>
    <row r="35119" hidden="1" x14ac:dyDescent="0.15"/>
    <row r="35120" hidden="1" x14ac:dyDescent="0.15"/>
    <row r="35121" hidden="1" x14ac:dyDescent="0.15"/>
    <row r="35122" hidden="1" x14ac:dyDescent="0.15"/>
    <row r="35123" hidden="1" x14ac:dyDescent="0.15"/>
    <row r="35124" hidden="1" x14ac:dyDescent="0.15"/>
    <row r="35125" hidden="1" x14ac:dyDescent="0.15"/>
    <row r="35126" hidden="1" x14ac:dyDescent="0.15"/>
    <row r="35127" hidden="1" x14ac:dyDescent="0.15"/>
    <row r="35128" hidden="1" x14ac:dyDescent="0.15"/>
    <row r="35129" hidden="1" x14ac:dyDescent="0.15"/>
    <row r="35130" hidden="1" x14ac:dyDescent="0.15"/>
    <row r="35131" hidden="1" x14ac:dyDescent="0.15"/>
    <row r="35132" hidden="1" x14ac:dyDescent="0.15"/>
    <row r="35133" hidden="1" x14ac:dyDescent="0.15"/>
    <row r="35134" hidden="1" x14ac:dyDescent="0.15"/>
    <row r="35135" hidden="1" x14ac:dyDescent="0.15"/>
    <row r="35136" hidden="1" x14ac:dyDescent="0.15"/>
    <row r="35137" hidden="1" x14ac:dyDescent="0.15"/>
    <row r="35138" hidden="1" x14ac:dyDescent="0.15"/>
    <row r="35139" hidden="1" x14ac:dyDescent="0.15"/>
    <row r="35140" hidden="1" x14ac:dyDescent="0.15"/>
    <row r="35141" hidden="1" x14ac:dyDescent="0.15"/>
    <row r="35142" hidden="1" x14ac:dyDescent="0.15"/>
    <row r="35143" hidden="1" x14ac:dyDescent="0.15"/>
    <row r="35144" hidden="1" x14ac:dyDescent="0.15"/>
    <row r="35145" hidden="1" x14ac:dyDescent="0.15"/>
    <row r="35146" hidden="1" x14ac:dyDescent="0.15"/>
    <row r="35147" hidden="1" x14ac:dyDescent="0.15"/>
    <row r="35148" hidden="1" x14ac:dyDescent="0.15"/>
    <row r="35149" hidden="1" x14ac:dyDescent="0.15"/>
    <row r="35150" hidden="1" x14ac:dyDescent="0.15"/>
    <row r="35151" hidden="1" x14ac:dyDescent="0.15"/>
    <row r="35152" hidden="1" x14ac:dyDescent="0.15"/>
    <row r="35153" hidden="1" x14ac:dyDescent="0.15"/>
    <row r="35154" hidden="1" x14ac:dyDescent="0.15"/>
    <row r="35155" hidden="1" x14ac:dyDescent="0.15"/>
    <row r="35156" hidden="1" x14ac:dyDescent="0.15"/>
    <row r="35157" hidden="1" x14ac:dyDescent="0.15"/>
    <row r="35158" hidden="1" x14ac:dyDescent="0.15"/>
    <row r="35159" hidden="1" x14ac:dyDescent="0.15"/>
    <row r="35160" hidden="1" x14ac:dyDescent="0.15"/>
    <row r="35161" hidden="1" x14ac:dyDescent="0.15"/>
    <row r="35162" hidden="1" x14ac:dyDescent="0.15"/>
    <row r="35163" hidden="1" x14ac:dyDescent="0.15"/>
    <row r="35164" hidden="1" x14ac:dyDescent="0.15"/>
    <row r="35165" hidden="1" x14ac:dyDescent="0.15"/>
    <row r="35166" hidden="1" x14ac:dyDescent="0.15"/>
    <row r="35167" hidden="1" x14ac:dyDescent="0.15"/>
    <row r="35168" hidden="1" x14ac:dyDescent="0.15"/>
    <row r="35169" hidden="1" x14ac:dyDescent="0.15"/>
    <row r="35170" hidden="1" x14ac:dyDescent="0.15"/>
    <row r="35171" hidden="1" x14ac:dyDescent="0.15"/>
    <row r="35172" hidden="1" x14ac:dyDescent="0.15"/>
    <row r="35173" hidden="1" x14ac:dyDescent="0.15"/>
    <row r="35174" hidden="1" x14ac:dyDescent="0.15"/>
    <row r="35175" hidden="1" x14ac:dyDescent="0.15"/>
    <row r="35176" hidden="1" x14ac:dyDescent="0.15"/>
    <row r="35177" hidden="1" x14ac:dyDescent="0.15"/>
    <row r="35178" hidden="1" x14ac:dyDescent="0.15"/>
    <row r="35179" hidden="1" x14ac:dyDescent="0.15"/>
    <row r="35180" hidden="1" x14ac:dyDescent="0.15"/>
    <row r="35181" hidden="1" x14ac:dyDescent="0.15"/>
    <row r="35182" hidden="1" x14ac:dyDescent="0.15"/>
    <row r="35183" hidden="1" x14ac:dyDescent="0.15"/>
    <row r="35184" hidden="1" x14ac:dyDescent="0.15"/>
    <row r="35185" hidden="1" x14ac:dyDescent="0.15"/>
    <row r="35186" hidden="1" x14ac:dyDescent="0.15"/>
    <row r="35187" hidden="1" x14ac:dyDescent="0.15"/>
    <row r="35188" hidden="1" x14ac:dyDescent="0.15"/>
    <row r="35189" hidden="1" x14ac:dyDescent="0.15"/>
    <row r="35190" hidden="1" x14ac:dyDescent="0.15"/>
    <row r="35191" hidden="1" x14ac:dyDescent="0.15"/>
    <row r="35192" hidden="1" x14ac:dyDescent="0.15"/>
    <row r="35193" hidden="1" x14ac:dyDescent="0.15"/>
    <row r="35194" hidden="1" x14ac:dyDescent="0.15"/>
    <row r="35195" hidden="1" x14ac:dyDescent="0.15"/>
    <row r="35196" hidden="1" x14ac:dyDescent="0.15"/>
    <row r="35197" hidden="1" x14ac:dyDescent="0.15"/>
    <row r="35198" hidden="1" x14ac:dyDescent="0.15"/>
    <row r="35199" hidden="1" x14ac:dyDescent="0.15"/>
    <row r="35200" hidden="1" x14ac:dyDescent="0.15"/>
    <row r="35201" hidden="1" x14ac:dyDescent="0.15"/>
    <row r="35202" hidden="1" x14ac:dyDescent="0.15"/>
    <row r="35203" hidden="1" x14ac:dyDescent="0.15"/>
    <row r="35204" hidden="1" x14ac:dyDescent="0.15"/>
    <row r="35205" hidden="1" x14ac:dyDescent="0.15"/>
    <row r="35206" hidden="1" x14ac:dyDescent="0.15"/>
    <row r="35207" hidden="1" x14ac:dyDescent="0.15"/>
    <row r="35208" hidden="1" x14ac:dyDescent="0.15"/>
    <row r="35209" hidden="1" x14ac:dyDescent="0.15"/>
    <row r="35210" hidden="1" x14ac:dyDescent="0.15"/>
    <row r="35211" hidden="1" x14ac:dyDescent="0.15"/>
    <row r="35212" hidden="1" x14ac:dyDescent="0.15"/>
    <row r="35213" hidden="1" x14ac:dyDescent="0.15"/>
    <row r="35214" hidden="1" x14ac:dyDescent="0.15"/>
    <row r="35215" hidden="1" x14ac:dyDescent="0.15"/>
    <row r="35216" hidden="1" x14ac:dyDescent="0.15"/>
    <row r="35217" hidden="1" x14ac:dyDescent="0.15"/>
    <row r="35218" hidden="1" x14ac:dyDescent="0.15"/>
    <row r="35219" hidden="1" x14ac:dyDescent="0.15"/>
    <row r="35220" hidden="1" x14ac:dyDescent="0.15"/>
    <row r="35221" hidden="1" x14ac:dyDescent="0.15"/>
    <row r="35222" hidden="1" x14ac:dyDescent="0.15"/>
    <row r="35223" hidden="1" x14ac:dyDescent="0.15"/>
    <row r="35224" hidden="1" x14ac:dyDescent="0.15"/>
    <row r="35225" hidden="1" x14ac:dyDescent="0.15"/>
    <row r="35226" hidden="1" x14ac:dyDescent="0.15"/>
    <row r="35227" hidden="1" x14ac:dyDescent="0.15"/>
    <row r="35228" hidden="1" x14ac:dyDescent="0.15"/>
    <row r="35229" hidden="1" x14ac:dyDescent="0.15"/>
    <row r="35230" hidden="1" x14ac:dyDescent="0.15"/>
    <row r="35231" hidden="1" x14ac:dyDescent="0.15"/>
    <row r="35232" hidden="1" x14ac:dyDescent="0.15"/>
    <row r="35233" hidden="1" x14ac:dyDescent="0.15"/>
    <row r="35234" hidden="1" x14ac:dyDescent="0.15"/>
    <row r="35235" hidden="1" x14ac:dyDescent="0.15"/>
    <row r="35236" hidden="1" x14ac:dyDescent="0.15"/>
    <row r="35237" hidden="1" x14ac:dyDescent="0.15"/>
    <row r="35238" hidden="1" x14ac:dyDescent="0.15"/>
    <row r="35239" hidden="1" x14ac:dyDescent="0.15"/>
    <row r="35240" hidden="1" x14ac:dyDescent="0.15"/>
    <row r="35241" hidden="1" x14ac:dyDescent="0.15"/>
    <row r="35242" hidden="1" x14ac:dyDescent="0.15"/>
    <row r="35243" hidden="1" x14ac:dyDescent="0.15"/>
    <row r="35244" hidden="1" x14ac:dyDescent="0.15"/>
    <row r="35245" hidden="1" x14ac:dyDescent="0.15"/>
    <row r="35246" hidden="1" x14ac:dyDescent="0.15"/>
    <row r="35247" hidden="1" x14ac:dyDescent="0.15"/>
    <row r="35248" hidden="1" x14ac:dyDescent="0.15"/>
    <row r="35249" hidden="1" x14ac:dyDescent="0.15"/>
    <row r="35250" hidden="1" x14ac:dyDescent="0.15"/>
    <row r="35251" hidden="1" x14ac:dyDescent="0.15"/>
    <row r="35252" hidden="1" x14ac:dyDescent="0.15"/>
    <row r="35253" hidden="1" x14ac:dyDescent="0.15"/>
    <row r="35254" hidden="1" x14ac:dyDescent="0.15"/>
    <row r="35255" hidden="1" x14ac:dyDescent="0.15"/>
    <row r="35256" hidden="1" x14ac:dyDescent="0.15"/>
    <row r="35257" hidden="1" x14ac:dyDescent="0.15"/>
    <row r="35258" hidden="1" x14ac:dyDescent="0.15"/>
    <row r="35259" hidden="1" x14ac:dyDescent="0.15"/>
    <row r="35260" hidden="1" x14ac:dyDescent="0.15"/>
    <row r="35261" hidden="1" x14ac:dyDescent="0.15"/>
    <row r="35262" hidden="1" x14ac:dyDescent="0.15"/>
    <row r="35263" hidden="1" x14ac:dyDescent="0.15"/>
    <row r="35264" hidden="1" x14ac:dyDescent="0.15"/>
    <row r="35265" hidden="1" x14ac:dyDescent="0.15"/>
    <row r="35266" hidden="1" x14ac:dyDescent="0.15"/>
    <row r="35267" hidden="1" x14ac:dyDescent="0.15"/>
    <row r="35268" hidden="1" x14ac:dyDescent="0.15"/>
    <row r="35269" hidden="1" x14ac:dyDescent="0.15"/>
    <row r="35270" hidden="1" x14ac:dyDescent="0.15"/>
    <row r="35271" hidden="1" x14ac:dyDescent="0.15"/>
    <row r="35272" hidden="1" x14ac:dyDescent="0.15"/>
    <row r="35273" hidden="1" x14ac:dyDescent="0.15"/>
    <row r="35274" hidden="1" x14ac:dyDescent="0.15"/>
    <row r="35275" hidden="1" x14ac:dyDescent="0.15"/>
    <row r="35276" hidden="1" x14ac:dyDescent="0.15"/>
    <row r="35277" hidden="1" x14ac:dyDescent="0.15"/>
    <row r="35278" hidden="1" x14ac:dyDescent="0.15"/>
    <row r="35279" hidden="1" x14ac:dyDescent="0.15"/>
    <row r="35280" hidden="1" x14ac:dyDescent="0.15"/>
    <row r="35281" hidden="1" x14ac:dyDescent="0.15"/>
    <row r="35282" hidden="1" x14ac:dyDescent="0.15"/>
    <row r="35283" hidden="1" x14ac:dyDescent="0.15"/>
    <row r="35284" hidden="1" x14ac:dyDescent="0.15"/>
    <row r="35285" hidden="1" x14ac:dyDescent="0.15"/>
    <row r="35286" hidden="1" x14ac:dyDescent="0.15"/>
    <row r="35287" hidden="1" x14ac:dyDescent="0.15"/>
    <row r="35288" hidden="1" x14ac:dyDescent="0.15"/>
    <row r="35289" hidden="1" x14ac:dyDescent="0.15"/>
    <row r="35290" hidden="1" x14ac:dyDescent="0.15"/>
    <row r="35291" hidden="1" x14ac:dyDescent="0.15"/>
    <row r="35292" hidden="1" x14ac:dyDescent="0.15"/>
    <row r="35293" hidden="1" x14ac:dyDescent="0.15"/>
    <row r="35294" hidden="1" x14ac:dyDescent="0.15"/>
    <row r="35295" hidden="1" x14ac:dyDescent="0.15"/>
    <row r="35296" hidden="1" x14ac:dyDescent="0.15"/>
    <row r="35297" hidden="1" x14ac:dyDescent="0.15"/>
    <row r="35298" hidden="1" x14ac:dyDescent="0.15"/>
    <row r="35299" hidden="1" x14ac:dyDescent="0.15"/>
    <row r="35300" hidden="1" x14ac:dyDescent="0.15"/>
    <row r="35301" hidden="1" x14ac:dyDescent="0.15"/>
    <row r="35302" hidden="1" x14ac:dyDescent="0.15"/>
    <row r="35303" hidden="1" x14ac:dyDescent="0.15"/>
    <row r="35304" hidden="1" x14ac:dyDescent="0.15"/>
    <row r="35305" hidden="1" x14ac:dyDescent="0.15"/>
    <row r="35306" hidden="1" x14ac:dyDescent="0.15"/>
    <row r="35307" hidden="1" x14ac:dyDescent="0.15"/>
    <row r="35308" hidden="1" x14ac:dyDescent="0.15"/>
    <row r="35309" hidden="1" x14ac:dyDescent="0.15"/>
    <row r="35310" hidden="1" x14ac:dyDescent="0.15"/>
    <row r="35311" hidden="1" x14ac:dyDescent="0.15"/>
    <row r="35312" hidden="1" x14ac:dyDescent="0.15"/>
    <row r="35313" hidden="1" x14ac:dyDescent="0.15"/>
    <row r="35314" hidden="1" x14ac:dyDescent="0.15"/>
    <row r="35315" hidden="1" x14ac:dyDescent="0.15"/>
    <row r="35316" hidden="1" x14ac:dyDescent="0.15"/>
    <row r="35317" hidden="1" x14ac:dyDescent="0.15"/>
    <row r="35318" hidden="1" x14ac:dyDescent="0.15"/>
    <row r="35319" hidden="1" x14ac:dyDescent="0.15"/>
    <row r="35320" hidden="1" x14ac:dyDescent="0.15"/>
    <row r="35321" hidden="1" x14ac:dyDescent="0.15"/>
    <row r="35322" hidden="1" x14ac:dyDescent="0.15"/>
    <row r="35323" hidden="1" x14ac:dyDescent="0.15"/>
    <row r="35324" hidden="1" x14ac:dyDescent="0.15"/>
    <row r="35325" hidden="1" x14ac:dyDescent="0.15"/>
    <row r="35326" hidden="1" x14ac:dyDescent="0.15"/>
    <row r="35327" hidden="1" x14ac:dyDescent="0.15"/>
    <row r="35328" hidden="1" x14ac:dyDescent="0.15"/>
    <row r="35329" hidden="1" x14ac:dyDescent="0.15"/>
    <row r="35330" hidden="1" x14ac:dyDescent="0.15"/>
    <row r="35331" hidden="1" x14ac:dyDescent="0.15"/>
    <row r="35332" hidden="1" x14ac:dyDescent="0.15"/>
    <row r="35333" hidden="1" x14ac:dyDescent="0.15"/>
    <row r="35334" hidden="1" x14ac:dyDescent="0.15"/>
    <row r="35335" hidden="1" x14ac:dyDescent="0.15"/>
    <row r="35336" hidden="1" x14ac:dyDescent="0.15"/>
    <row r="35337" hidden="1" x14ac:dyDescent="0.15"/>
    <row r="35338" hidden="1" x14ac:dyDescent="0.15"/>
    <row r="35339" hidden="1" x14ac:dyDescent="0.15"/>
    <row r="35340" hidden="1" x14ac:dyDescent="0.15"/>
    <row r="35341" hidden="1" x14ac:dyDescent="0.15"/>
    <row r="35342" hidden="1" x14ac:dyDescent="0.15"/>
    <row r="35343" hidden="1" x14ac:dyDescent="0.15"/>
    <row r="35344" hidden="1" x14ac:dyDescent="0.15"/>
    <row r="35345" hidden="1" x14ac:dyDescent="0.15"/>
    <row r="35346" hidden="1" x14ac:dyDescent="0.15"/>
    <row r="35347" hidden="1" x14ac:dyDescent="0.15"/>
    <row r="35348" hidden="1" x14ac:dyDescent="0.15"/>
    <row r="35349" hidden="1" x14ac:dyDescent="0.15"/>
    <row r="35350" hidden="1" x14ac:dyDescent="0.15"/>
    <row r="35351" hidden="1" x14ac:dyDescent="0.15"/>
    <row r="35352" hidden="1" x14ac:dyDescent="0.15"/>
    <row r="35353" hidden="1" x14ac:dyDescent="0.15"/>
    <row r="35354" hidden="1" x14ac:dyDescent="0.15"/>
    <row r="35355" hidden="1" x14ac:dyDescent="0.15"/>
    <row r="35356" hidden="1" x14ac:dyDescent="0.15"/>
    <row r="35357" hidden="1" x14ac:dyDescent="0.15"/>
    <row r="35358" hidden="1" x14ac:dyDescent="0.15"/>
    <row r="35359" hidden="1" x14ac:dyDescent="0.15"/>
    <row r="35360" hidden="1" x14ac:dyDescent="0.15"/>
    <row r="35361" hidden="1" x14ac:dyDescent="0.15"/>
    <row r="35362" hidden="1" x14ac:dyDescent="0.15"/>
    <row r="35363" hidden="1" x14ac:dyDescent="0.15"/>
    <row r="35364" hidden="1" x14ac:dyDescent="0.15"/>
    <row r="35365" hidden="1" x14ac:dyDescent="0.15"/>
    <row r="35366" hidden="1" x14ac:dyDescent="0.15"/>
    <row r="35367" hidden="1" x14ac:dyDescent="0.15"/>
    <row r="35368" hidden="1" x14ac:dyDescent="0.15"/>
    <row r="35369" hidden="1" x14ac:dyDescent="0.15"/>
    <row r="35370" hidden="1" x14ac:dyDescent="0.15"/>
    <row r="35371" hidden="1" x14ac:dyDescent="0.15"/>
    <row r="35372" hidden="1" x14ac:dyDescent="0.15"/>
    <row r="35373" hidden="1" x14ac:dyDescent="0.15"/>
    <row r="35374" hidden="1" x14ac:dyDescent="0.15"/>
    <row r="35375" hidden="1" x14ac:dyDescent="0.15"/>
    <row r="35376" hidden="1" x14ac:dyDescent="0.15"/>
    <row r="35377" hidden="1" x14ac:dyDescent="0.15"/>
    <row r="35378" hidden="1" x14ac:dyDescent="0.15"/>
    <row r="35379" hidden="1" x14ac:dyDescent="0.15"/>
    <row r="35380" hidden="1" x14ac:dyDescent="0.15"/>
    <row r="35381" hidden="1" x14ac:dyDescent="0.15"/>
    <row r="35382" hidden="1" x14ac:dyDescent="0.15"/>
    <row r="35383" hidden="1" x14ac:dyDescent="0.15"/>
    <row r="35384" hidden="1" x14ac:dyDescent="0.15"/>
    <row r="35385" hidden="1" x14ac:dyDescent="0.15"/>
    <row r="35386" hidden="1" x14ac:dyDescent="0.15"/>
    <row r="35387" hidden="1" x14ac:dyDescent="0.15"/>
    <row r="35388" hidden="1" x14ac:dyDescent="0.15"/>
    <row r="35389" hidden="1" x14ac:dyDescent="0.15"/>
    <row r="35390" hidden="1" x14ac:dyDescent="0.15"/>
    <row r="35391" hidden="1" x14ac:dyDescent="0.15"/>
    <row r="35392" hidden="1" x14ac:dyDescent="0.15"/>
    <row r="35393" hidden="1" x14ac:dyDescent="0.15"/>
    <row r="35394" hidden="1" x14ac:dyDescent="0.15"/>
    <row r="35395" hidden="1" x14ac:dyDescent="0.15"/>
    <row r="35396" hidden="1" x14ac:dyDescent="0.15"/>
    <row r="35397" hidden="1" x14ac:dyDescent="0.15"/>
    <row r="35398" hidden="1" x14ac:dyDescent="0.15"/>
    <row r="35399" hidden="1" x14ac:dyDescent="0.15"/>
    <row r="35400" hidden="1" x14ac:dyDescent="0.15"/>
    <row r="35401" hidden="1" x14ac:dyDescent="0.15"/>
    <row r="35402" hidden="1" x14ac:dyDescent="0.15"/>
    <row r="35403" hidden="1" x14ac:dyDescent="0.15"/>
    <row r="35404" hidden="1" x14ac:dyDescent="0.15"/>
    <row r="35405" hidden="1" x14ac:dyDescent="0.15"/>
    <row r="35406" hidden="1" x14ac:dyDescent="0.15"/>
    <row r="35407" hidden="1" x14ac:dyDescent="0.15"/>
    <row r="35408" hidden="1" x14ac:dyDescent="0.15"/>
    <row r="35409" hidden="1" x14ac:dyDescent="0.15"/>
    <row r="35410" hidden="1" x14ac:dyDescent="0.15"/>
    <row r="35411" hidden="1" x14ac:dyDescent="0.15"/>
    <row r="35412" hidden="1" x14ac:dyDescent="0.15"/>
    <row r="35413" hidden="1" x14ac:dyDescent="0.15"/>
    <row r="35414" hidden="1" x14ac:dyDescent="0.15"/>
    <row r="35415" hidden="1" x14ac:dyDescent="0.15"/>
    <row r="35416" hidden="1" x14ac:dyDescent="0.15"/>
    <row r="35417" hidden="1" x14ac:dyDescent="0.15"/>
    <row r="35418" hidden="1" x14ac:dyDescent="0.15"/>
    <row r="35419" hidden="1" x14ac:dyDescent="0.15"/>
    <row r="35420" hidden="1" x14ac:dyDescent="0.15"/>
    <row r="35421" hidden="1" x14ac:dyDescent="0.15"/>
    <row r="35422" hidden="1" x14ac:dyDescent="0.15"/>
    <row r="35423" hidden="1" x14ac:dyDescent="0.15"/>
    <row r="35424" hidden="1" x14ac:dyDescent="0.15"/>
    <row r="35425" hidden="1" x14ac:dyDescent="0.15"/>
    <row r="35426" hidden="1" x14ac:dyDescent="0.15"/>
    <row r="35427" hidden="1" x14ac:dyDescent="0.15"/>
    <row r="35428" hidden="1" x14ac:dyDescent="0.15"/>
    <row r="35429" hidden="1" x14ac:dyDescent="0.15"/>
    <row r="35430" hidden="1" x14ac:dyDescent="0.15"/>
    <row r="35431" hidden="1" x14ac:dyDescent="0.15"/>
    <row r="35432" hidden="1" x14ac:dyDescent="0.15"/>
    <row r="35433" hidden="1" x14ac:dyDescent="0.15"/>
    <row r="35434" hidden="1" x14ac:dyDescent="0.15"/>
    <row r="35435" hidden="1" x14ac:dyDescent="0.15"/>
    <row r="35436" hidden="1" x14ac:dyDescent="0.15"/>
    <row r="35437" hidden="1" x14ac:dyDescent="0.15"/>
    <row r="35438" hidden="1" x14ac:dyDescent="0.15"/>
    <row r="35439" hidden="1" x14ac:dyDescent="0.15"/>
    <row r="35440" hidden="1" x14ac:dyDescent="0.15"/>
    <row r="35441" hidden="1" x14ac:dyDescent="0.15"/>
    <row r="35442" hidden="1" x14ac:dyDescent="0.15"/>
    <row r="35443" hidden="1" x14ac:dyDescent="0.15"/>
    <row r="35444" hidden="1" x14ac:dyDescent="0.15"/>
    <row r="35445" hidden="1" x14ac:dyDescent="0.15"/>
    <row r="35446" hidden="1" x14ac:dyDescent="0.15"/>
    <row r="35447" hidden="1" x14ac:dyDescent="0.15"/>
    <row r="35448" hidden="1" x14ac:dyDescent="0.15"/>
    <row r="35449" hidden="1" x14ac:dyDescent="0.15"/>
    <row r="35450" hidden="1" x14ac:dyDescent="0.15"/>
    <row r="35451" hidden="1" x14ac:dyDescent="0.15"/>
    <row r="35452" hidden="1" x14ac:dyDescent="0.15"/>
    <row r="35453" hidden="1" x14ac:dyDescent="0.15"/>
    <row r="35454" hidden="1" x14ac:dyDescent="0.15"/>
    <row r="35455" hidden="1" x14ac:dyDescent="0.15"/>
    <row r="35456" hidden="1" x14ac:dyDescent="0.15"/>
    <row r="35457" hidden="1" x14ac:dyDescent="0.15"/>
    <row r="35458" hidden="1" x14ac:dyDescent="0.15"/>
    <row r="35459" hidden="1" x14ac:dyDescent="0.15"/>
    <row r="35460" hidden="1" x14ac:dyDescent="0.15"/>
    <row r="35461" hidden="1" x14ac:dyDescent="0.15"/>
    <row r="35462" hidden="1" x14ac:dyDescent="0.15"/>
    <row r="35463" hidden="1" x14ac:dyDescent="0.15"/>
    <row r="35464" hidden="1" x14ac:dyDescent="0.15"/>
    <row r="35465" hidden="1" x14ac:dyDescent="0.15"/>
    <row r="35466" hidden="1" x14ac:dyDescent="0.15"/>
    <row r="35467" hidden="1" x14ac:dyDescent="0.15"/>
    <row r="35468" hidden="1" x14ac:dyDescent="0.15"/>
    <row r="35469" hidden="1" x14ac:dyDescent="0.15"/>
    <row r="35470" hidden="1" x14ac:dyDescent="0.15"/>
    <row r="35471" hidden="1" x14ac:dyDescent="0.15"/>
    <row r="35472" hidden="1" x14ac:dyDescent="0.15"/>
    <row r="35473" hidden="1" x14ac:dyDescent="0.15"/>
    <row r="35474" hidden="1" x14ac:dyDescent="0.15"/>
    <row r="35475" hidden="1" x14ac:dyDescent="0.15"/>
    <row r="35476" hidden="1" x14ac:dyDescent="0.15"/>
    <row r="35477" hidden="1" x14ac:dyDescent="0.15"/>
    <row r="35478" hidden="1" x14ac:dyDescent="0.15"/>
    <row r="35479" hidden="1" x14ac:dyDescent="0.15"/>
    <row r="35480" hidden="1" x14ac:dyDescent="0.15"/>
    <row r="35481" hidden="1" x14ac:dyDescent="0.15"/>
    <row r="35482" hidden="1" x14ac:dyDescent="0.15"/>
    <row r="35483" hidden="1" x14ac:dyDescent="0.15"/>
    <row r="35484" hidden="1" x14ac:dyDescent="0.15"/>
    <row r="35485" hidden="1" x14ac:dyDescent="0.15"/>
    <row r="35486" hidden="1" x14ac:dyDescent="0.15"/>
    <row r="35487" hidden="1" x14ac:dyDescent="0.15"/>
    <row r="35488" hidden="1" x14ac:dyDescent="0.15"/>
    <row r="35489" hidden="1" x14ac:dyDescent="0.15"/>
    <row r="35490" hidden="1" x14ac:dyDescent="0.15"/>
    <row r="35491" hidden="1" x14ac:dyDescent="0.15"/>
    <row r="35492" hidden="1" x14ac:dyDescent="0.15"/>
    <row r="35493" hidden="1" x14ac:dyDescent="0.15"/>
    <row r="35494" hidden="1" x14ac:dyDescent="0.15"/>
    <row r="35495" hidden="1" x14ac:dyDescent="0.15"/>
    <row r="35496" hidden="1" x14ac:dyDescent="0.15"/>
    <row r="35497" hidden="1" x14ac:dyDescent="0.15"/>
    <row r="35498" hidden="1" x14ac:dyDescent="0.15"/>
    <row r="35499" hidden="1" x14ac:dyDescent="0.15"/>
    <row r="35500" hidden="1" x14ac:dyDescent="0.15"/>
    <row r="35501" hidden="1" x14ac:dyDescent="0.15"/>
    <row r="35502" hidden="1" x14ac:dyDescent="0.15"/>
    <row r="35503" hidden="1" x14ac:dyDescent="0.15"/>
    <row r="35504" hidden="1" x14ac:dyDescent="0.15"/>
    <row r="35505" hidden="1" x14ac:dyDescent="0.15"/>
    <row r="35506" hidden="1" x14ac:dyDescent="0.15"/>
    <row r="35507" hidden="1" x14ac:dyDescent="0.15"/>
    <row r="35508" hidden="1" x14ac:dyDescent="0.15"/>
    <row r="35509" hidden="1" x14ac:dyDescent="0.15"/>
    <row r="35510" hidden="1" x14ac:dyDescent="0.15"/>
    <row r="35511" hidden="1" x14ac:dyDescent="0.15"/>
    <row r="35512" hidden="1" x14ac:dyDescent="0.15"/>
    <row r="35513" hidden="1" x14ac:dyDescent="0.15"/>
    <row r="35514" hidden="1" x14ac:dyDescent="0.15"/>
    <row r="35515" hidden="1" x14ac:dyDescent="0.15"/>
    <row r="35516" hidden="1" x14ac:dyDescent="0.15"/>
    <row r="35517" hidden="1" x14ac:dyDescent="0.15"/>
    <row r="35518" hidden="1" x14ac:dyDescent="0.15"/>
    <row r="35519" hidden="1" x14ac:dyDescent="0.15"/>
    <row r="35520" hidden="1" x14ac:dyDescent="0.15"/>
    <row r="35521" hidden="1" x14ac:dyDescent="0.15"/>
    <row r="35522" hidden="1" x14ac:dyDescent="0.15"/>
    <row r="35523" hidden="1" x14ac:dyDescent="0.15"/>
    <row r="35524" hidden="1" x14ac:dyDescent="0.15"/>
    <row r="35525" hidden="1" x14ac:dyDescent="0.15"/>
    <row r="35526" hidden="1" x14ac:dyDescent="0.15"/>
    <row r="35527" hidden="1" x14ac:dyDescent="0.15"/>
    <row r="35528" hidden="1" x14ac:dyDescent="0.15"/>
    <row r="35529" hidden="1" x14ac:dyDescent="0.15"/>
    <row r="35530" hidden="1" x14ac:dyDescent="0.15"/>
    <row r="35531" hidden="1" x14ac:dyDescent="0.15"/>
    <row r="35532" hidden="1" x14ac:dyDescent="0.15"/>
    <row r="35533" hidden="1" x14ac:dyDescent="0.15"/>
    <row r="35534" hidden="1" x14ac:dyDescent="0.15"/>
    <row r="35535" hidden="1" x14ac:dyDescent="0.15"/>
    <row r="35536" hidden="1" x14ac:dyDescent="0.15"/>
    <row r="35537" hidden="1" x14ac:dyDescent="0.15"/>
    <row r="35538" hidden="1" x14ac:dyDescent="0.15"/>
    <row r="35539" hidden="1" x14ac:dyDescent="0.15"/>
    <row r="35540" hidden="1" x14ac:dyDescent="0.15"/>
    <row r="35541" hidden="1" x14ac:dyDescent="0.15"/>
    <row r="35542" hidden="1" x14ac:dyDescent="0.15"/>
    <row r="35543" hidden="1" x14ac:dyDescent="0.15"/>
    <row r="35544" hidden="1" x14ac:dyDescent="0.15"/>
    <row r="35545" hidden="1" x14ac:dyDescent="0.15"/>
    <row r="35546" hidden="1" x14ac:dyDescent="0.15"/>
    <row r="35547" hidden="1" x14ac:dyDescent="0.15"/>
    <row r="35548" hidden="1" x14ac:dyDescent="0.15"/>
    <row r="35549" hidden="1" x14ac:dyDescent="0.15"/>
    <row r="35550" hidden="1" x14ac:dyDescent="0.15"/>
    <row r="35551" hidden="1" x14ac:dyDescent="0.15"/>
    <row r="35552" hidden="1" x14ac:dyDescent="0.15"/>
    <row r="35553" hidden="1" x14ac:dyDescent="0.15"/>
    <row r="35554" hidden="1" x14ac:dyDescent="0.15"/>
    <row r="35555" hidden="1" x14ac:dyDescent="0.15"/>
    <row r="35556" hidden="1" x14ac:dyDescent="0.15"/>
    <row r="35557" hidden="1" x14ac:dyDescent="0.15"/>
    <row r="35558" hidden="1" x14ac:dyDescent="0.15"/>
    <row r="35559" hidden="1" x14ac:dyDescent="0.15"/>
    <row r="35560" hidden="1" x14ac:dyDescent="0.15"/>
    <row r="35561" hidden="1" x14ac:dyDescent="0.15"/>
    <row r="35562" hidden="1" x14ac:dyDescent="0.15"/>
    <row r="35563" hidden="1" x14ac:dyDescent="0.15"/>
    <row r="35564" hidden="1" x14ac:dyDescent="0.15"/>
    <row r="35565" hidden="1" x14ac:dyDescent="0.15"/>
    <row r="35566" hidden="1" x14ac:dyDescent="0.15"/>
    <row r="35567" hidden="1" x14ac:dyDescent="0.15"/>
    <row r="35568" hidden="1" x14ac:dyDescent="0.15"/>
    <row r="35569" hidden="1" x14ac:dyDescent="0.15"/>
    <row r="35570" hidden="1" x14ac:dyDescent="0.15"/>
    <row r="35571" hidden="1" x14ac:dyDescent="0.15"/>
    <row r="35572" hidden="1" x14ac:dyDescent="0.15"/>
    <row r="35573" hidden="1" x14ac:dyDescent="0.15"/>
    <row r="35574" hidden="1" x14ac:dyDescent="0.15"/>
    <row r="35575" hidden="1" x14ac:dyDescent="0.15"/>
    <row r="35576" hidden="1" x14ac:dyDescent="0.15"/>
    <row r="35577" hidden="1" x14ac:dyDescent="0.15"/>
    <row r="35578" hidden="1" x14ac:dyDescent="0.15"/>
    <row r="35579" hidden="1" x14ac:dyDescent="0.15"/>
    <row r="35580" hidden="1" x14ac:dyDescent="0.15"/>
    <row r="35581" hidden="1" x14ac:dyDescent="0.15"/>
    <row r="35582" hidden="1" x14ac:dyDescent="0.15"/>
    <row r="35583" hidden="1" x14ac:dyDescent="0.15"/>
    <row r="35584" hidden="1" x14ac:dyDescent="0.15"/>
    <row r="35585" hidden="1" x14ac:dyDescent="0.15"/>
    <row r="35586" hidden="1" x14ac:dyDescent="0.15"/>
    <row r="35587" hidden="1" x14ac:dyDescent="0.15"/>
    <row r="35588" hidden="1" x14ac:dyDescent="0.15"/>
    <row r="35589" hidden="1" x14ac:dyDescent="0.15"/>
    <row r="35590" hidden="1" x14ac:dyDescent="0.15"/>
    <row r="35591" hidden="1" x14ac:dyDescent="0.15"/>
    <row r="35592" hidden="1" x14ac:dyDescent="0.15"/>
    <row r="35593" hidden="1" x14ac:dyDescent="0.15"/>
    <row r="35594" hidden="1" x14ac:dyDescent="0.15"/>
    <row r="35595" hidden="1" x14ac:dyDescent="0.15"/>
    <row r="35596" hidden="1" x14ac:dyDescent="0.15"/>
    <row r="35597" hidden="1" x14ac:dyDescent="0.15"/>
    <row r="35598" hidden="1" x14ac:dyDescent="0.15"/>
    <row r="35599" hidden="1" x14ac:dyDescent="0.15"/>
    <row r="35600" hidden="1" x14ac:dyDescent="0.15"/>
    <row r="35601" hidden="1" x14ac:dyDescent="0.15"/>
    <row r="35602" hidden="1" x14ac:dyDescent="0.15"/>
    <row r="35603" hidden="1" x14ac:dyDescent="0.15"/>
    <row r="35604" hidden="1" x14ac:dyDescent="0.15"/>
    <row r="35605" hidden="1" x14ac:dyDescent="0.15"/>
    <row r="35606" hidden="1" x14ac:dyDescent="0.15"/>
    <row r="35607" hidden="1" x14ac:dyDescent="0.15"/>
    <row r="35608" hidden="1" x14ac:dyDescent="0.15"/>
    <row r="35609" hidden="1" x14ac:dyDescent="0.15"/>
    <row r="35610" hidden="1" x14ac:dyDescent="0.15"/>
    <row r="35611" hidden="1" x14ac:dyDescent="0.15"/>
    <row r="35612" hidden="1" x14ac:dyDescent="0.15"/>
    <row r="35613" hidden="1" x14ac:dyDescent="0.15"/>
    <row r="35614" hidden="1" x14ac:dyDescent="0.15"/>
    <row r="35615" hidden="1" x14ac:dyDescent="0.15"/>
    <row r="35616" hidden="1" x14ac:dyDescent="0.15"/>
    <row r="35617" hidden="1" x14ac:dyDescent="0.15"/>
    <row r="35618" hidden="1" x14ac:dyDescent="0.15"/>
    <row r="35619" hidden="1" x14ac:dyDescent="0.15"/>
    <row r="35620" hidden="1" x14ac:dyDescent="0.15"/>
    <row r="35621" hidden="1" x14ac:dyDescent="0.15"/>
    <row r="35622" hidden="1" x14ac:dyDescent="0.15"/>
    <row r="35623" hidden="1" x14ac:dyDescent="0.15"/>
    <row r="35624" hidden="1" x14ac:dyDescent="0.15"/>
    <row r="35625" hidden="1" x14ac:dyDescent="0.15"/>
    <row r="35626" hidden="1" x14ac:dyDescent="0.15"/>
    <row r="35627" hidden="1" x14ac:dyDescent="0.15"/>
    <row r="35628" hidden="1" x14ac:dyDescent="0.15"/>
    <row r="35629" hidden="1" x14ac:dyDescent="0.15"/>
    <row r="35630" hidden="1" x14ac:dyDescent="0.15"/>
    <row r="35631" hidden="1" x14ac:dyDescent="0.15"/>
    <row r="35632" hidden="1" x14ac:dyDescent="0.15"/>
    <row r="35633" hidden="1" x14ac:dyDescent="0.15"/>
    <row r="35634" hidden="1" x14ac:dyDescent="0.15"/>
    <row r="35635" hidden="1" x14ac:dyDescent="0.15"/>
    <row r="35636" hidden="1" x14ac:dyDescent="0.15"/>
    <row r="35637" hidden="1" x14ac:dyDescent="0.15"/>
    <row r="35638" hidden="1" x14ac:dyDescent="0.15"/>
    <row r="35639" hidden="1" x14ac:dyDescent="0.15"/>
    <row r="35640" hidden="1" x14ac:dyDescent="0.15"/>
    <row r="35641" hidden="1" x14ac:dyDescent="0.15"/>
    <row r="35642" hidden="1" x14ac:dyDescent="0.15"/>
    <row r="35643" hidden="1" x14ac:dyDescent="0.15"/>
    <row r="35644" hidden="1" x14ac:dyDescent="0.15"/>
    <row r="35645" hidden="1" x14ac:dyDescent="0.15"/>
    <row r="35646" hidden="1" x14ac:dyDescent="0.15"/>
    <row r="35647" hidden="1" x14ac:dyDescent="0.15"/>
    <row r="35648" hidden="1" x14ac:dyDescent="0.15"/>
    <row r="35649" hidden="1" x14ac:dyDescent="0.15"/>
    <row r="35650" hidden="1" x14ac:dyDescent="0.15"/>
    <row r="35651" hidden="1" x14ac:dyDescent="0.15"/>
    <row r="35652" hidden="1" x14ac:dyDescent="0.15"/>
    <row r="35653" hidden="1" x14ac:dyDescent="0.15"/>
    <row r="35654" hidden="1" x14ac:dyDescent="0.15"/>
    <row r="35655" hidden="1" x14ac:dyDescent="0.15"/>
    <row r="35656" hidden="1" x14ac:dyDescent="0.15"/>
    <row r="35657" hidden="1" x14ac:dyDescent="0.15"/>
    <row r="35658" hidden="1" x14ac:dyDescent="0.15"/>
    <row r="35659" hidden="1" x14ac:dyDescent="0.15"/>
    <row r="35660" hidden="1" x14ac:dyDescent="0.15"/>
    <row r="35661" hidden="1" x14ac:dyDescent="0.15"/>
    <row r="35662" hidden="1" x14ac:dyDescent="0.15"/>
    <row r="35663" hidden="1" x14ac:dyDescent="0.15"/>
    <row r="35664" hidden="1" x14ac:dyDescent="0.15"/>
    <row r="35665" hidden="1" x14ac:dyDescent="0.15"/>
    <row r="35666" hidden="1" x14ac:dyDescent="0.15"/>
    <row r="35667" hidden="1" x14ac:dyDescent="0.15"/>
    <row r="35668" hidden="1" x14ac:dyDescent="0.15"/>
    <row r="35669" hidden="1" x14ac:dyDescent="0.15"/>
    <row r="35670" hidden="1" x14ac:dyDescent="0.15"/>
    <row r="35671" hidden="1" x14ac:dyDescent="0.15"/>
    <row r="35672" hidden="1" x14ac:dyDescent="0.15"/>
    <row r="35673" hidden="1" x14ac:dyDescent="0.15"/>
    <row r="35674" hidden="1" x14ac:dyDescent="0.15"/>
    <row r="35675" hidden="1" x14ac:dyDescent="0.15"/>
    <row r="35676" hidden="1" x14ac:dyDescent="0.15"/>
    <row r="35677" hidden="1" x14ac:dyDescent="0.15"/>
    <row r="35678" hidden="1" x14ac:dyDescent="0.15"/>
    <row r="35679" hidden="1" x14ac:dyDescent="0.15"/>
    <row r="35680" hidden="1" x14ac:dyDescent="0.15"/>
    <row r="35681" hidden="1" x14ac:dyDescent="0.15"/>
    <row r="35682" hidden="1" x14ac:dyDescent="0.15"/>
    <row r="35683" hidden="1" x14ac:dyDescent="0.15"/>
    <row r="35684" hidden="1" x14ac:dyDescent="0.15"/>
    <row r="35685" hidden="1" x14ac:dyDescent="0.15"/>
    <row r="35686" hidden="1" x14ac:dyDescent="0.15"/>
    <row r="35687" hidden="1" x14ac:dyDescent="0.15"/>
    <row r="35688" hidden="1" x14ac:dyDescent="0.15"/>
    <row r="35689" hidden="1" x14ac:dyDescent="0.15"/>
    <row r="35690" hidden="1" x14ac:dyDescent="0.15"/>
    <row r="35691" hidden="1" x14ac:dyDescent="0.15"/>
    <row r="35692" hidden="1" x14ac:dyDescent="0.15"/>
    <row r="35693" hidden="1" x14ac:dyDescent="0.15"/>
    <row r="35694" hidden="1" x14ac:dyDescent="0.15"/>
    <row r="35695" hidden="1" x14ac:dyDescent="0.15"/>
    <row r="35696" hidden="1" x14ac:dyDescent="0.15"/>
    <row r="35697" hidden="1" x14ac:dyDescent="0.15"/>
    <row r="35698" hidden="1" x14ac:dyDescent="0.15"/>
    <row r="35699" hidden="1" x14ac:dyDescent="0.15"/>
    <row r="35700" hidden="1" x14ac:dyDescent="0.15"/>
    <row r="35701" hidden="1" x14ac:dyDescent="0.15"/>
    <row r="35702" hidden="1" x14ac:dyDescent="0.15"/>
    <row r="35703" hidden="1" x14ac:dyDescent="0.15"/>
    <row r="35704" hidden="1" x14ac:dyDescent="0.15"/>
    <row r="35705" hidden="1" x14ac:dyDescent="0.15"/>
    <row r="35706" hidden="1" x14ac:dyDescent="0.15"/>
    <row r="35707" hidden="1" x14ac:dyDescent="0.15"/>
    <row r="35708" hidden="1" x14ac:dyDescent="0.15"/>
    <row r="35709" hidden="1" x14ac:dyDescent="0.15"/>
    <row r="35710" hidden="1" x14ac:dyDescent="0.15"/>
    <row r="35711" hidden="1" x14ac:dyDescent="0.15"/>
    <row r="35712" hidden="1" x14ac:dyDescent="0.15"/>
    <row r="35713" hidden="1" x14ac:dyDescent="0.15"/>
    <row r="35714" hidden="1" x14ac:dyDescent="0.15"/>
    <row r="35715" hidden="1" x14ac:dyDescent="0.15"/>
    <row r="35716" hidden="1" x14ac:dyDescent="0.15"/>
    <row r="35717" hidden="1" x14ac:dyDescent="0.15"/>
    <row r="35718" hidden="1" x14ac:dyDescent="0.15"/>
    <row r="35719" hidden="1" x14ac:dyDescent="0.15"/>
    <row r="35720" hidden="1" x14ac:dyDescent="0.15"/>
    <row r="35721" hidden="1" x14ac:dyDescent="0.15"/>
    <row r="35722" hidden="1" x14ac:dyDescent="0.15"/>
    <row r="35723" hidden="1" x14ac:dyDescent="0.15"/>
    <row r="35724" hidden="1" x14ac:dyDescent="0.15"/>
    <row r="35725" hidden="1" x14ac:dyDescent="0.15"/>
    <row r="35726" hidden="1" x14ac:dyDescent="0.15"/>
    <row r="35727" hidden="1" x14ac:dyDescent="0.15"/>
    <row r="35728" hidden="1" x14ac:dyDescent="0.15"/>
    <row r="35729" hidden="1" x14ac:dyDescent="0.15"/>
    <row r="35730" hidden="1" x14ac:dyDescent="0.15"/>
    <row r="35731" hidden="1" x14ac:dyDescent="0.15"/>
    <row r="35732" hidden="1" x14ac:dyDescent="0.15"/>
    <row r="35733" hidden="1" x14ac:dyDescent="0.15"/>
    <row r="35734" hidden="1" x14ac:dyDescent="0.15"/>
    <row r="35735" hidden="1" x14ac:dyDescent="0.15"/>
    <row r="35736" hidden="1" x14ac:dyDescent="0.15"/>
    <row r="35737" hidden="1" x14ac:dyDescent="0.15"/>
    <row r="35738" hidden="1" x14ac:dyDescent="0.15"/>
    <row r="35739" hidden="1" x14ac:dyDescent="0.15"/>
    <row r="35740" hidden="1" x14ac:dyDescent="0.15"/>
    <row r="35741" hidden="1" x14ac:dyDescent="0.15"/>
    <row r="35742" hidden="1" x14ac:dyDescent="0.15"/>
    <row r="35743" hidden="1" x14ac:dyDescent="0.15"/>
    <row r="35744" hidden="1" x14ac:dyDescent="0.15"/>
    <row r="35745" hidden="1" x14ac:dyDescent="0.15"/>
    <row r="35746" hidden="1" x14ac:dyDescent="0.15"/>
    <row r="35747" hidden="1" x14ac:dyDescent="0.15"/>
    <row r="35748" hidden="1" x14ac:dyDescent="0.15"/>
    <row r="35749" hidden="1" x14ac:dyDescent="0.15"/>
    <row r="35750" hidden="1" x14ac:dyDescent="0.15"/>
    <row r="35751" hidden="1" x14ac:dyDescent="0.15"/>
    <row r="35752" hidden="1" x14ac:dyDescent="0.15"/>
    <row r="35753" hidden="1" x14ac:dyDescent="0.15"/>
    <row r="35754" hidden="1" x14ac:dyDescent="0.15"/>
    <row r="35755" hidden="1" x14ac:dyDescent="0.15"/>
    <row r="35756" hidden="1" x14ac:dyDescent="0.15"/>
    <row r="35757" hidden="1" x14ac:dyDescent="0.15"/>
    <row r="35758" hidden="1" x14ac:dyDescent="0.15"/>
    <row r="35759" hidden="1" x14ac:dyDescent="0.15"/>
    <row r="35760" hidden="1" x14ac:dyDescent="0.15"/>
    <row r="35761" hidden="1" x14ac:dyDescent="0.15"/>
    <row r="35762" hidden="1" x14ac:dyDescent="0.15"/>
    <row r="35763" hidden="1" x14ac:dyDescent="0.15"/>
    <row r="35764" hidden="1" x14ac:dyDescent="0.15"/>
    <row r="35765" hidden="1" x14ac:dyDescent="0.15"/>
    <row r="35766" hidden="1" x14ac:dyDescent="0.15"/>
    <row r="35767" hidden="1" x14ac:dyDescent="0.15"/>
    <row r="35768" hidden="1" x14ac:dyDescent="0.15"/>
    <row r="35769" hidden="1" x14ac:dyDescent="0.15"/>
    <row r="35770" hidden="1" x14ac:dyDescent="0.15"/>
    <row r="35771" hidden="1" x14ac:dyDescent="0.15"/>
    <row r="35772" hidden="1" x14ac:dyDescent="0.15"/>
    <row r="35773" hidden="1" x14ac:dyDescent="0.15"/>
    <row r="35774" hidden="1" x14ac:dyDescent="0.15"/>
    <row r="35775" hidden="1" x14ac:dyDescent="0.15"/>
    <row r="35776" hidden="1" x14ac:dyDescent="0.15"/>
    <row r="35777" hidden="1" x14ac:dyDescent="0.15"/>
    <row r="35778" hidden="1" x14ac:dyDescent="0.15"/>
    <row r="35779" hidden="1" x14ac:dyDescent="0.15"/>
    <row r="35780" hidden="1" x14ac:dyDescent="0.15"/>
    <row r="35781" hidden="1" x14ac:dyDescent="0.15"/>
    <row r="35782" hidden="1" x14ac:dyDescent="0.15"/>
    <row r="35783" hidden="1" x14ac:dyDescent="0.15"/>
    <row r="35784" hidden="1" x14ac:dyDescent="0.15"/>
    <row r="35785" hidden="1" x14ac:dyDescent="0.15"/>
    <row r="35786" hidden="1" x14ac:dyDescent="0.15"/>
    <row r="35787" hidden="1" x14ac:dyDescent="0.15"/>
    <row r="35788" hidden="1" x14ac:dyDescent="0.15"/>
    <row r="35789" hidden="1" x14ac:dyDescent="0.15"/>
    <row r="35790" hidden="1" x14ac:dyDescent="0.15"/>
    <row r="35791" hidden="1" x14ac:dyDescent="0.15"/>
    <row r="35792" hidden="1" x14ac:dyDescent="0.15"/>
    <row r="35793" hidden="1" x14ac:dyDescent="0.15"/>
    <row r="35794" hidden="1" x14ac:dyDescent="0.15"/>
    <row r="35795" hidden="1" x14ac:dyDescent="0.15"/>
    <row r="35796" hidden="1" x14ac:dyDescent="0.15"/>
    <row r="35797" hidden="1" x14ac:dyDescent="0.15"/>
    <row r="35798" hidden="1" x14ac:dyDescent="0.15"/>
    <row r="35799" hidden="1" x14ac:dyDescent="0.15"/>
    <row r="35800" hidden="1" x14ac:dyDescent="0.15"/>
    <row r="35801" hidden="1" x14ac:dyDescent="0.15"/>
    <row r="35802" hidden="1" x14ac:dyDescent="0.15"/>
    <row r="35803" hidden="1" x14ac:dyDescent="0.15"/>
    <row r="35804" hidden="1" x14ac:dyDescent="0.15"/>
    <row r="35805" hidden="1" x14ac:dyDescent="0.15"/>
    <row r="35806" hidden="1" x14ac:dyDescent="0.15"/>
    <row r="35807" hidden="1" x14ac:dyDescent="0.15"/>
    <row r="35808" hidden="1" x14ac:dyDescent="0.15"/>
    <row r="35809" hidden="1" x14ac:dyDescent="0.15"/>
    <row r="35810" hidden="1" x14ac:dyDescent="0.15"/>
    <row r="35811" hidden="1" x14ac:dyDescent="0.15"/>
    <row r="35812" hidden="1" x14ac:dyDescent="0.15"/>
    <row r="35813" hidden="1" x14ac:dyDescent="0.15"/>
    <row r="35814" hidden="1" x14ac:dyDescent="0.15"/>
    <row r="35815" hidden="1" x14ac:dyDescent="0.15"/>
    <row r="35816" hidden="1" x14ac:dyDescent="0.15"/>
    <row r="35817" hidden="1" x14ac:dyDescent="0.15"/>
    <row r="35818" hidden="1" x14ac:dyDescent="0.15"/>
    <row r="35819" hidden="1" x14ac:dyDescent="0.15"/>
    <row r="35820" hidden="1" x14ac:dyDescent="0.15"/>
    <row r="35821" hidden="1" x14ac:dyDescent="0.15"/>
    <row r="35822" hidden="1" x14ac:dyDescent="0.15"/>
    <row r="35823" hidden="1" x14ac:dyDescent="0.15"/>
    <row r="35824" hidden="1" x14ac:dyDescent="0.15"/>
    <row r="35825" hidden="1" x14ac:dyDescent="0.15"/>
    <row r="35826" hidden="1" x14ac:dyDescent="0.15"/>
    <row r="35827" hidden="1" x14ac:dyDescent="0.15"/>
    <row r="35828" hidden="1" x14ac:dyDescent="0.15"/>
    <row r="35829" hidden="1" x14ac:dyDescent="0.15"/>
    <row r="35830" hidden="1" x14ac:dyDescent="0.15"/>
    <row r="35831" hidden="1" x14ac:dyDescent="0.15"/>
    <row r="35832" hidden="1" x14ac:dyDescent="0.15"/>
    <row r="35833" hidden="1" x14ac:dyDescent="0.15"/>
    <row r="35834" hidden="1" x14ac:dyDescent="0.15"/>
    <row r="35835" hidden="1" x14ac:dyDescent="0.15"/>
    <row r="35836" hidden="1" x14ac:dyDescent="0.15"/>
    <row r="35837" hidden="1" x14ac:dyDescent="0.15"/>
    <row r="35838" hidden="1" x14ac:dyDescent="0.15"/>
    <row r="35839" hidden="1" x14ac:dyDescent="0.15"/>
    <row r="35840" hidden="1" x14ac:dyDescent="0.15"/>
    <row r="35841" hidden="1" x14ac:dyDescent="0.15"/>
    <row r="35842" hidden="1" x14ac:dyDescent="0.15"/>
    <row r="35843" hidden="1" x14ac:dyDescent="0.15"/>
    <row r="35844" hidden="1" x14ac:dyDescent="0.15"/>
    <row r="35845" hidden="1" x14ac:dyDescent="0.15"/>
    <row r="35846" hidden="1" x14ac:dyDescent="0.15"/>
    <row r="35847" hidden="1" x14ac:dyDescent="0.15"/>
    <row r="35848" hidden="1" x14ac:dyDescent="0.15"/>
    <row r="35849" hidden="1" x14ac:dyDescent="0.15"/>
    <row r="35850" hidden="1" x14ac:dyDescent="0.15"/>
    <row r="35851" hidden="1" x14ac:dyDescent="0.15"/>
    <row r="35852" hidden="1" x14ac:dyDescent="0.15"/>
    <row r="35853" hidden="1" x14ac:dyDescent="0.15"/>
    <row r="35854" hidden="1" x14ac:dyDescent="0.15"/>
    <row r="35855" hidden="1" x14ac:dyDescent="0.15"/>
    <row r="35856" hidden="1" x14ac:dyDescent="0.15"/>
    <row r="35857" hidden="1" x14ac:dyDescent="0.15"/>
    <row r="35858" hidden="1" x14ac:dyDescent="0.15"/>
    <row r="35859" hidden="1" x14ac:dyDescent="0.15"/>
    <row r="35860" hidden="1" x14ac:dyDescent="0.15"/>
    <row r="35861" hidden="1" x14ac:dyDescent="0.15"/>
    <row r="35862" hidden="1" x14ac:dyDescent="0.15"/>
    <row r="35863" hidden="1" x14ac:dyDescent="0.15"/>
    <row r="35864" hidden="1" x14ac:dyDescent="0.15"/>
    <row r="35865" hidden="1" x14ac:dyDescent="0.15"/>
    <row r="35866" hidden="1" x14ac:dyDescent="0.15"/>
    <row r="35867" hidden="1" x14ac:dyDescent="0.15"/>
    <row r="35868" hidden="1" x14ac:dyDescent="0.15"/>
    <row r="35869" hidden="1" x14ac:dyDescent="0.15"/>
    <row r="35870" hidden="1" x14ac:dyDescent="0.15"/>
    <row r="35871" hidden="1" x14ac:dyDescent="0.15"/>
    <row r="35872" hidden="1" x14ac:dyDescent="0.15"/>
    <row r="35873" hidden="1" x14ac:dyDescent="0.15"/>
    <row r="35874" hidden="1" x14ac:dyDescent="0.15"/>
    <row r="35875" hidden="1" x14ac:dyDescent="0.15"/>
    <row r="35876" hidden="1" x14ac:dyDescent="0.15"/>
    <row r="35877" hidden="1" x14ac:dyDescent="0.15"/>
    <row r="35878" hidden="1" x14ac:dyDescent="0.15"/>
    <row r="35879" hidden="1" x14ac:dyDescent="0.15"/>
    <row r="35880" hidden="1" x14ac:dyDescent="0.15"/>
    <row r="35881" hidden="1" x14ac:dyDescent="0.15"/>
    <row r="35882" hidden="1" x14ac:dyDescent="0.15"/>
    <row r="35883" hidden="1" x14ac:dyDescent="0.15"/>
    <row r="35884" hidden="1" x14ac:dyDescent="0.15"/>
    <row r="35885" hidden="1" x14ac:dyDescent="0.15"/>
    <row r="35886" hidden="1" x14ac:dyDescent="0.15"/>
    <row r="35887" hidden="1" x14ac:dyDescent="0.15"/>
    <row r="35888" hidden="1" x14ac:dyDescent="0.15"/>
    <row r="35889" hidden="1" x14ac:dyDescent="0.15"/>
    <row r="35890" hidden="1" x14ac:dyDescent="0.15"/>
    <row r="35891" hidden="1" x14ac:dyDescent="0.15"/>
    <row r="35892" hidden="1" x14ac:dyDescent="0.15"/>
    <row r="35893" hidden="1" x14ac:dyDescent="0.15"/>
    <row r="35894" hidden="1" x14ac:dyDescent="0.15"/>
    <row r="35895" hidden="1" x14ac:dyDescent="0.15"/>
    <row r="35896" hidden="1" x14ac:dyDescent="0.15"/>
    <row r="35897" hidden="1" x14ac:dyDescent="0.15"/>
    <row r="35898" hidden="1" x14ac:dyDescent="0.15"/>
    <row r="35899" hidden="1" x14ac:dyDescent="0.15"/>
    <row r="35900" hidden="1" x14ac:dyDescent="0.15"/>
    <row r="35901" hidden="1" x14ac:dyDescent="0.15"/>
    <row r="35902" hidden="1" x14ac:dyDescent="0.15"/>
    <row r="35903" hidden="1" x14ac:dyDescent="0.15"/>
    <row r="35904" hidden="1" x14ac:dyDescent="0.15"/>
    <row r="35905" hidden="1" x14ac:dyDescent="0.15"/>
    <row r="35906" hidden="1" x14ac:dyDescent="0.15"/>
    <row r="35907" hidden="1" x14ac:dyDescent="0.15"/>
    <row r="35908" hidden="1" x14ac:dyDescent="0.15"/>
    <row r="35909" hidden="1" x14ac:dyDescent="0.15"/>
    <row r="35910" hidden="1" x14ac:dyDescent="0.15"/>
    <row r="35911" hidden="1" x14ac:dyDescent="0.15"/>
    <row r="35912" hidden="1" x14ac:dyDescent="0.15"/>
    <row r="35913" hidden="1" x14ac:dyDescent="0.15"/>
    <row r="35914" hidden="1" x14ac:dyDescent="0.15"/>
    <row r="35915" hidden="1" x14ac:dyDescent="0.15"/>
    <row r="35916" hidden="1" x14ac:dyDescent="0.15"/>
    <row r="35917" hidden="1" x14ac:dyDescent="0.15"/>
    <row r="35918" hidden="1" x14ac:dyDescent="0.15"/>
    <row r="35919" hidden="1" x14ac:dyDescent="0.15"/>
    <row r="35920" hidden="1" x14ac:dyDescent="0.15"/>
    <row r="35921" hidden="1" x14ac:dyDescent="0.15"/>
    <row r="35922" hidden="1" x14ac:dyDescent="0.15"/>
    <row r="35923" hidden="1" x14ac:dyDescent="0.15"/>
    <row r="35924" hidden="1" x14ac:dyDescent="0.15"/>
    <row r="35925" hidden="1" x14ac:dyDescent="0.15"/>
    <row r="35926" hidden="1" x14ac:dyDescent="0.15"/>
    <row r="35927" hidden="1" x14ac:dyDescent="0.15"/>
    <row r="35928" hidden="1" x14ac:dyDescent="0.15"/>
    <row r="35929" hidden="1" x14ac:dyDescent="0.15"/>
    <row r="35930" hidden="1" x14ac:dyDescent="0.15"/>
    <row r="35931" hidden="1" x14ac:dyDescent="0.15"/>
    <row r="35932" hidden="1" x14ac:dyDescent="0.15"/>
    <row r="35933" hidden="1" x14ac:dyDescent="0.15"/>
    <row r="35934" hidden="1" x14ac:dyDescent="0.15"/>
    <row r="35935" hidden="1" x14ac:dyDescent="0.15"/>
    <row r="35936" hidden="1" x14ac:dyDescent="0.15"/>
    <row r="35937" hidden="1" x14ac:dyDescent="0.15"/>
    <row r="35938" hidden="1" x14ac:dyDescent="0.15"/>
    <row r="35939" hidden="1" x14ac:dyDescent="0.15"/>
    <row r="35940" hidden="1" x14ac:dyDescent="0.15"/>
    <row r="35941" hidden="1" x14ac:dyDescent="0.15"/>
    <row r="35942" hidden="1" x14ac:dyDescent="0.15"/>
    <row r="35943" hidden="1" x14ac:dyDescent="0.15"/>
    <row r="35944" hidden="1" x14ac:dyDescent="0.15"/>
    <row r="35945" hidden="1" x14ac:dyDescent="0.15"/>
    <row r="35946" hidden="1" x14ac:dyDescent="0.15"/>
    <row r="35947" hidden="1" x14ac:dyDescent="0.15"/>
    <row r="35948" hidden="1" x14ac:dyDescent="0.15"/>
    <row r="35949" hidden="1" x14ac:dyDescent="0.15"/>
    <row r="35950" hidden="1" x14ac:dyDescent="0.15"/>
    <row r="35951" hidden="1" x14ac:dyDescent="0.15"/>
    <row r="35952" hidden="1" x14ac:dyDescent="0.15"/>
    <row r="35953" hidden="1" x14ac:dyDescent="0.15"/>
    <row r="35954" hidden="1" x14ac:dyDescent="0.15"/>
    <row r="35955" hidden="1" x14ac:dyDescent="0.15"/>
    <row r="35956" hidden="1" x14ac:dyDescent="0.15"/>
    <row r="35957" hidden="1" x14ac:dyDescent="0.15"/>
    <row r="35958" hidden="1" x14ac:dyDescent="0.15"/>
    <row r="35959" hidden="1" x14ac:dyDescent="0.15"/>
    <row r="35960" hidden="1" x14ac:dyDescent="0.15"/>
    <row r="35961" hidden="1" x14ac:dyDescent="0.15"/>
    <row r="35962" hidden="1" x14ac:dyDescent="0.15"/>
    <row r="35963" hidden="1" x14ac:dyDescent="0.15"/>
    <row r="35964" hidden="1" x14ac:dyDescent="0.15"/>
    <row r="35965" hidden="1" x14ac:dyDescent="0.15"/>
    <row r="35966" hidden="1" x14ac:dyDescent="0.15"/>
    <row r="35967" hidden="1" x14ac:dyDescent="0.15"/>
    <row r="35968" hidden="1" x14ac:dyDescent="0.15"/>
    <row r="35969" hidden="1" x14ac:dyDescent="0.15"/>
    <row r="35970" hidden="1" x14ac:dyDescent="0.15"/>
    <row r="35971" hidden="1" x14ac:dyDescent="0.15"/>
    <row r="35972" hidden="1" x14ac:dyDescent="0.15"/>
    <row r="35973" hidden="1" x14ac:dyDescent="0.15"/>
    <row r="35974" hidden="1" x14ac:dyDescent="0.15"/>
    <row r="35975" hidden="1" x14ac:dyDescent="0.15"/>
    <row r="35976" hidden="1" x14ac:dyDescent="0.15"/>
    <row r="35977" hidden="1" x14ac:dyDescent="0.15"/>
    <row r="35978" hidden="1" x14ac:dyDescent="0.15"/>
    <row r="35979" hidden="1" x14ac:dyDescent="0.15"/>
    <row r="35980" hidden="1" x14ac:dyDescent="0.15"/>
    <row r="35981" hidden="1" x14ac:dyDescent="0.15"/>
    <row r="35982" hidden="1" x14ac:dyDescent="0.15"/>
    <row r="35983" hidden="1" x14ac:dyDescent="0.15"/>
    <row r="35984" hidden="1" x14ac:dyDescent="0.15"/>
    <row r="35985" hidden="1" x14ac:dyDescent="0.15"/>
    <row r="35986" hidden="1" x14ac:dyDescent="0.15"/>
    <row r="35987" hidden="1" x14ac:dyDescent="0.15"/>
    <row r="35988" hidden="1" x14ac:dyDescent="0.15"/>
    <row r="35989" hidden="1" x14ac:dyDescent="0.15"/>
    <row r="35990" hidden="1" x14ac:dyDescent="0.15"/>
    <row r="35991" hidden="1" x14ac:dyDescent="0.15"/>
    <row r="35992" hidden="1" x14ac:dyDescent="0.15"/>
    <row r="35993" hidden="1" x14ac:dyDescent="0.15"/>
    <row r="35994" hidden="1" x14ac:dyDescent="0.15"/>
    <row r="35995" hidden="1" x14ac:dyDescent="0.15"/>
    <row r="35996" hidden="1" x14ac:dyDescent="0.15"/>
    <row r="35997" hidden="1" x14ac:dyDescent="0.15"/>
    <row r="35998" hidden="1" x14ac:dyDescent="0.15"/>
    <row r="35999" hidden="1" x14ac:dyDescent="0.15"/>
    <row r="36000" hidden="1" x14ac:dyDescent="0.15"/>
    <row r="36001" hidden="1" x14ac:dyDescent="0.15"/>
    <row r="36002" hidden="1" x14ac:dyDescent="0.15"/>
    <row r="36003" hidden="1" x14ac:dyDescent="0.15"/>
    <row r="36004" hidden="1" x14ac:dyDescent="0.15"/>
    <row r="36005" hidden="1" x14ac:dyDescent="0.15"/>
    <row r="36006" hidden="1" x14ac:dyDescent="0.15"/>
    <row r="36007" hidden="1" x14ac:dyDescent="0.15"/>
    <row r="36008" hidden="1" x14ac:dyDescent="0.15"/>
    <row r="36009" hidden="1" x14ac:dyDescent="0.15"/>
    <row r="36010" hidden="1" x14ac:dyDescent="0.15"/>
    <row r="36011" hidden="1" x14ac:dyDescent="0.15"/>
    <row r="36012" hidden="1" x14ac:dyDescent="0.15"/>
    <row r="36013" hidden="1" x14ac:dyDescent="0.15"/>
    <row r="36014" hidden="1" x14ac:dyDescent="0.15"/>
    <row r="36015" hidden="1" x14ac:dyDescent="0.15"/>
    <row r="36016" hidden="1" x14ac:dyDescent="0.15"/>
    <row r="36017" hidden="1" x14ac:dyDescent="0.15"/>
    <row r="36018" hidden="1" x14ac:dyDescent="0.15"/>
    <row r="36019" hidden="1" x14ac:dyDescent="0.15"/>
    <row r="36020" hidden="1" x14ac:dyDescent="0.15"/>
    <row r="36021" hidden="1" x14ac:dyDescent="0.15"/>
    <row r="36022" hidden="1" x14ac:dyDescent="0.15"/>
    <row r="36023" hidden="1" x14ac:dyDescent="0.15"/>
    <row r="36024" hidden="1" x14ac:dyDescent="0.15"/>
    <row r="36025" hidden="1" x14ac:dyDescent="0.15"/>
    <row r="36026" hidden="1" x14ac:dyDescent="0.15"/>
    <row r="36027" hidden="1" x14ac:dyDescent="0.15"/>
    <row r="36028" hidden="1" x14ac:dyDescent="0.15"/>
    <row r="36029" hidden="1" x14ac:dyDescent="0.15"/>
    <row r="36030" hidden="1" x14ac:dyDescent="0.15"/>
    <row r="36031" hidden="1" x14ac:dyDescent="0.15"/>
    <row r="36032" hidden="1" x14ac:dyDescent="0.15"/>
    <row r="36033" hidden="1" x14ac:dyDescent="0.15"/>
    <row r="36034" hidden="1" x14ac:dyDescent="0.15"/>
    <row r="36035" hidden="1" x14ac:dyDescent="0.15"/>
    <row r="36036" hidden="1" x14ac:dyDescent="0.15"/>
    <row r="36037" hidden="1" x14ac:dyDescent="0.15"/>
    <row r="36038" hidden="1" x14ac:dyDescent="0.15"/>
    <row r="36039" hidden="1" x14ac:dyDescent="0.15"/>
    <row r="36040" hidden="1" x14ac:dyDescent="0.15"/>
    <row r="36041" hidden="1" x14ac:dyDescent="0.15"/>
    <row r="36042" hidden="1" x14ac:dyDescent="0.15"/>
    <row r="36043" hidden="1" x14ac:dyDescent="0.15"/>
    <row r="36044" hidden="1" x14ac:dyDescent="0.15"/>
    <row r="36045" hidden="1" x14ac:dyDescent="0.15"/>
    <row r="36046" hidden="1" x14ac:dyDescent="0.15"/>
    <row r="36047" hidden="1" x14ac:dyDescent="0.15"/>
    <row r="36048" hidden="1" x14ac:dyDescent="0.15"/>
    <row r="36049" hidden="1" x14ac:dyDescent="0.15"/>
    <row r="36050" hidden="1" x14ac:dyDescent="0.15"/>
    <row r="36051" hidden="1" x14ac:dyDescent="0.15"/>
    <row r="36052" hidden="1" x14ac:dyDescent="0.15"/>
    <row r="36053" hidden="1" x14ac:dyDescent="0.15"/>
    <row r="36054" hidden="1" x14ac:dyDescent="0.15"/>
    <row r="36055" hidden="1" x14ac:dyDescent="0.15"/>
    <row r="36056" hidden="1" x14ac:dyDescent="0.15"/>
    <row r="36057" hidden="1" x14ac:dyDescent="0.15"/>
    <row r="36058" hidden="1" x14ac:dyDescent="0.15"/>
    <row r="36059" hidden="1" x14ac:dyDescent="0.15"/>
    <row r="36060" hidden="1" x14ac:dyDescent="0.15"/>
    <row r="36061" hidden="1" x14ac:dyDescent="0.15"/>
    <row r="36062" hidden="1" x14ac:dyDescent="0.15"/>
    <row r="36063" hidden="1" x14ac:dyDescent="0.15"/>
    <row r="36064" hidden="1" x14ac:dyDescent="0.15"/>
    <row r="36065" hidden="1" x14ac:dyDescent="0.15"/>
    <row r="36066" hidden="1" x14ac:dyDescent="0.15"/>
    <row r="36067" hidden="1" x14ac:dyDescent="0.15"/>
    <row r="36068" hidden="1" x14ac:dyDescent="0.15"/>
    <row r="36069" hidden="1" x14ac:dyDescent="0.15"/>
    <row r="36070" hidden="1" x14ac:dyDescent="0.15"/>
    <row r="36071" hidden="1" x14ac:dyDescent="0.15"/>
    <row r="36072" hidden="1" x14ac:dyDescent="0.15"/>
    <row r="36073" hidden="1" x14ac:dyDescent="0.15"/>
    <row r="36074" hidden="1" x14ac:dyDescent="0.15"/>
    <row r="36075" hidden="1" x14ac:dyDescent="0.15"/>
    <row r="36076" hidden="1" x14ac:dyDescent="0.15"/>
    <row r="36077" hidden="1" x14ac:dyDescent="0.15"/>
    <row r="36078" hidden="1" x14ac:dyDescent="0.15"/>
    <row r="36079" hidden="1" x14ac:dyDescent="0.15"/>
    <row r="36080" hidden="1" x14ac:dyDescent="0.15"/>
    <row r="36081" hidden="1" x14ac:dyDescent="0.15"/>
    <row r="36082" hidden="1" x14ac:dyDescent="0.15"/>
    <row r="36083" hidden="1" x14ac:dyDescent="0.15"/>
    <row r="36084" hidden="1" x14ac:dyDescent="0.15"/>
    <row r="36085" hidden="1" x14ac:dyDescent="0.15"/>
    <row r="36086" hidden="1" x14ac:dyDescent="0.15"/>
    <row r="36087" hidden="1" x14ac:dyDescent="0.15"/>
    <row r="36088" hidden="1" x14ac:dyDescent="0.15"/>
    <row r="36089" hidden="1" x14ac:dyDescent="0.15"/>
    <row r="36090" hidden="1" x14ac:dyDescent="0.15"/>
    <row r="36091" hidden="1" x14ac:dyDescent="0.15"/>
    <row r="36092" hidden="1" x14ac:dyDescent="0.15"/>
    <row r="36093" hidden="1" x14ac:dyDescent="0.15"/>
    <row r="36094" hidden="1" x14ac:dyDescent="0.15"/>
    <row r="36095" hidden="1" x14ac:dyDescent="0.15"/>
    <row r="36096" hidden="1" x14ac:dyDescent="0.15"/>
    <row r="36097" hidden="1" x14ac:dyDescent="0.15"/>
    <row r="36098" hidden="1" x14ac:dyDescent="0.15"/>
    <row r="36099" hidden="1" x14ac:dyDescent="0.15"/>
    <row r="36100" hidden="1" x14ac:dyDescent="0.15"/>
    <row r="36101" hidden="1" x14ac:dyDescent="0.15"/>
    <row r="36102" hidden="1" x14ac:dyDescent="0.15"/>
    <row r="36103" hidden="1" x14ac:dyDescent="0.15"/>
    <row r="36104" hidden="1" x14ac:dyDescent="0.15"/>
    <row r="36105" hidden="1" x14ac:dyDescent="0.15"/>
    <row r="36106" hidden="1" x14ac:dyDescent="0.15"/>
    <row r="36107" hidden="1" x14ac:dyDescent="0.15"/>
    <row r="36108" hidden="1" x14ac:dyDescent="0.15"/>
    <row r="36109" hidden="1" x14ac:dyDescent="0.15"/>
    <row r="36110" hidden="1" x14ac:dyDescent="0.15"/>
    <row r="36111" hidden="1" x14ac:dyDescent="0.15"/>
    <row r="36112" hidden="1" x14ac:dyDescent="0.15"/>
    <row r="36113" hidden="1" x14ac:dyDescent="0.15"/>
    <row r="36114" hidden="1" x14ac:dyDescent="0.15"/>
    <row r="36115" hidden="1" x14ac:dyDescent="0.15"/>
    <row r="36116" hidden="1" x14ac:dyDescent="0.15"/>
    <row r="36117" hidden="1" x14ac:dyDescent="0.15"/>
    <row r="36118" hidden="1" x14ac:dyDescent="0.15"/>
    <row r="36119" hidden="1" x14ac:dyDescent="0.15"/>
    <row r="36120" hidden="1" x14ac:dyDescent="0.15"/>
    <row r="36121" hidden="1" x14ac:dyDescent="0.15"/>
    <row r="36122" hidden="1" x14ac:dyDescent="0.15"/>
    <row r="36123" hidden="1" x14ac:dyDescent="0.15"/>
    <row r="36124" hidden="1" x14ac:dyDescent="0.15"/>
    <row r="36125" hidden="1" x14ac:dyDescent="0.15"/>
    <row r="36126" hidden="1" x14ac:dyDescent="0.15"/>
    <row r="36127" hidden="1" x14ac:dyDescent="0.15"/>
    <row r="36128" hidden="1" x14ac:dyDescent="0.15"/>
    <row r="36129" hidden="1" x14ac:dyDescent="0.15"/>
    <row r="36130" hidden="1" x14ac:dyDescent="0.15"/>
    <row r="36131" hidden="1" x14ac:dyDescent="0.15"/>
    <row r="36132" hidden="1" x14ac:dyDescent="0.15"/>
    <row r="36133" hidden="1" x14ac:dyDescent="0.15"/>
    <row r="36134" hidden="1" x14ac:dyDescent="0.15"/>
    <row r="36135" hidden="1" x14ac:dyDescent="0.15"/>
    <row r="36136" hidden="1" x14ac:dyDescent="0.15"/>
    <row r="36137" hidden="1" x14ac:dyDescent="0.15"/>
    <row r="36138" hidden="1" x14ac:dyDescent="0.15"/>
    <row r="36139" hidden="1" x14ac:dyDescent="0.15"/>
    <row r="36140" hidden="1" x14ac:dyDescent="0.15"/>
    <row r="36141" hidden="1" x14ac:dyDescent="0.15"/>
    <row r="36142" hidden="1" x14ac:dyDescent="0.15"/>
    <row r="36143" hidden="1" x14ac:dyDescent="0.15"/>
    <row r="36144" hidden="1" x14ac:dyDescent="0.15"/>
    <row r="36145" hidden="1" x14ac:dyDescent="0.15"/>
    <row r="36146" hidden="1" x14ac:dyDescent="0.15"/>
    <row r="36147" hidden="1" x14ac:dyDescent="0.15"/>
    <row r="36148" hidden="1" x14ac:dyDescent="0.15"/>
    <row r="36149" hidden="1" x14ac:dyDescent="0.15"/>
    <row r="36150" hidden="1" x14ac:dyDescent="0.15"/>
    <row r="36151" hidden="1" x14ac:dyDescent="0.15"/>
    <row r="36152" hidden="1" x14ac:dyDescent="0.15"/>
    <row r="36153" hidden="1" x14ac:dyDescent="0.15"/>
    <row r="36154" hidden="1" x14ac:dyDescent="0.15"/>
    <row r="36155" hidden="1" x14ac:dyDescent="0.15"/>
    <row r="36156" hidden="1" x14ac:dyDescent="0.15"/>
    <row r="36157" hidden="1" x14ac:dyDescent="0.15"/>
    <row r="36158" hidden="1" x14ac:dyDescent="0.15"/>
    <row r="36159" hidden="1" x14ac:dyDescent="0.15"/>
    <row r="36160" hidden="1" x14ac:dyDescent="0.15"/>
    <row r="36161" hidden="1" x14ac:dyDescent="0.15"/>
    <row r="36162" hidden="1" x14ac:dyDescent="0.15"/>
    <row r="36163" hidden="1" x14ac:dyDescent="0.15"/>
    <row r="36164" hidden="1" x14ac:dyDescent="0.15"/>
    <row r="36165" hidden="1" x14ac:dyDescent="0.15"/>
    <row r="36166" hidden="1" x14ac:dyDescent="0.15"/>
    <row r="36167" hidden="1" x14ac:dyDescent="0.15"/>
    <row r="36168" hidden="1" x14ac:dyDescent="0.15"/>
    <row r="36169" hidden="1" x14ac:dyDescent="0.15"/>
    <row r="36170" hidden="1" x14ac:dyDescent="0.15"/>
    <row r="36171" hidden="1" x14ac:dyDescent="0.15"/>
    <row r="36172" hidden="1" x14ac:dyDescent="0.15"/>
    <row r="36173" hidden="1" x14ac:dyDescent="0.15"/>
    <row r="36174" hidden="1" x14ac:dyDescent="0.15"/>
    <row r="36175" hidden="1" x14ac:dyDescent="0.15"/>
    <row r="36176" hidden="1" x14ac:dyDescent="0.15"/>
    <row r="36177" hidden="1" x14ac:dyDescent="0.15"/>
    <row r="36178" hidden="1" x14ac:dyDescent="0.15"/>
    <row r="36179" hidden="1" x14ac:dyDescent="0.15"/>
    <row r="36180" hidden="1" x14ac:dyDescent="0.15"/>
    <row r="36181" hidden="1" x14ac:dyDescent="0.15"/>
    <row r="36182" hidden="1" x14ac:dyDescent="0.15"/>
    <row r="36183" hidden="1" x14ac:dyDescent="0.15"/>
    <row r="36184" hidden="1" x14ac:dyDescent="0.15"/>
    <row r="36185" hidden="1" x14ac:dyDescent="0.15"/>
    <row r="36186" hidden="1" x14ac:dyDescent="0.15"/>
    <row r="36187" hidden="1" x14ac:dyDescent="0.15"/>
    <row r="36188" hidden="1" x14ac:dyDescent="0.15"/>
    <row r="36189" hidden="1" x14ac:dyDescent="0.15"/>
    <row r="36190" hidden="1" x14ac:dyDescent="0.15"/>
    <row r="36191" hidden="1" x14ac:dyDescent="0.15"/>
    <row r="36192" hidden="1" x14ac:dyDescent="0.15"/>
    <row r="36193" hidden="1" x14ac:dyDescent="0.15"/>
    <row r="36194" hidden="1" x14ac:dyDescent="0.15"/>
    <row r="36195" hidden="1" x14ac:dyDescent="0.15"/>
    <row r="36196" hidden="1" x14ac:dyDescent="0.15"/>
    <row r="36197" hidden="1" x14ac:dyDescent="0.15"/>
    <row r="36198" hidden="1" x14ac:dyDescent="0.15"/>
    <row r="36199" hidden="1" x14ac:dyDescent="0.15"/>
    <row r="36200" hidden="1" x14ac:dyDescent="0.15"/>
    <row r="36201" hidden="1" x14ac:dyDescent="0.15"/>
    <row r="36202" hidden="1" x14ac:dyDescent="0.15"/>
    <row r="36203" hidden="1" x14ac:dyDescent="0.15"/>
    <row r="36204" hidden="1" x14ac:dyDescent="0.15"/>
    <row r="36205" hidden="1" x14ac:dyDescent="0.15"/>
    <row r="36206" hidden="1" x14ac:dyDescent="0.15"/>
    <row r="36207" hidden="1" x14ac:dyDescent="0.15"/>
    <row r="36208" hidden="1" x14ac:dyDescent="0.15"/>
    <row r="36209" hidden="1" x14ac:dyDescent="0.15"/>
    <row r="36210" hidden="1" x14ac:dyDescent="0.15"/>
    <row r="36211" hidden="1" x14ac:dyDescent="0.15"/>
    <row r="36212" hidden="1" x14ac:dyDescent="0.15"/>
    <row r="36213" hidden="1" x14ac:dyDescent="0.15"/>
    <row r="36214" hidden="1" x14ac:dyDescent="0.15"/>
    <row r="36215" hidden="1" x14ac:dyDescent="0.15"/>
    <row r="36216" hidden="1" x14ac:dyDescent="0.15"/>
    <row r="36217" hidden="1" x14ac:dyDescent="0.15"/>
    <row r="36218" hidden="1" x14ac:dyDescent="0.15"/>
    <row r="36219" hidden="1" x14ac:dyDescent="0.15"/>
    <row r="36220" hidden="1" x14ac:dyDescent="0.15"/>
    <row r="36221" hidden="1" x14ac:dyDescent="0.15"/>
    <row r="36222" hidden="1" x14ac:dyDescent="0.15"/>
    <row r="36223" hidden="1" x14ac:dyDescent="0.15"/>
    <row r="36224" hidden="1" x14ac:dyDescent="0.15"/>
    <row r="36225" hidden="1" x14ac:dyDescent="0.15"/>
    <row r="36226" hidden="1" x14ac:dyDescent="0.15"/>
    <row r="36227" hidden="1" x14ac:dyDescent="0.15"/>
    <row r="36228" hidden="1" x14ac:dyDescent="0.15"/>
    <row r="36229" hidden="1" x14ac:dyDescent="0.15"/>
    <row r="36230" hidden="1" x14ac:dyDescent="0.15"/>
    <row r="36231" hidden="1" x14ac:dyDescent="0.15"/>
    <row r="36232" hidden="1" x14ac:dyDescent="0.15"/>
    <row r="36233" hidden="1" x14ac:dyDescent="0.15"/>
    <row r="36234" hidden="1" x14ac:dyDescent="0.15"/>
    <row r="36235" hidden="1" x14ac:dyDescent="0.15"/>
    <row r="36236" hidden="1" x14ac:dyDescent="0.15"/>
    <row r="36237" hidden="1" x14ac:dyDescent="0.15"/>
    <row r="36238" hidden="1" x14ac:dyDescent="0.15"/>
    <row r="36239" hidden="1" x14ac:dyDescent="0.15"/>
    <row r="36240" hidden="1" x14ac:dyDescent="0.15"/>
    <row r="36241" hidden="1" x14ac:dyDescent="0.15"/>
    <row r="36242" hidden="1" x14ac:dyDescent="0.15"/>
    <row r="36243" hidden="1" x14ac:dyDescent="0.15"/>
    <row r="36244" hidden="1" x14ac:dyDescent="0.15"/>
    <row r="36245" hidden="1" x14ac:dyDescent="0.15"/>
    <row r="36246" hidden="1" x14ac:dyDescent="0.15"/>
    <row r="36247" hidden="1" x14ac:dyDescent="0.15"/>
    <row r="36248" hidden="1" x14ac:dyDescent="0.15"/>
    <row r="36249" hidden="1" x14ac:dyDescent="0.15"/>
    <row r="36250" hidden="1" x14ac:dyDescent="0.15"/>
    <row r="36251" hidden="1" x14ac:dyDescent="0.15"/>
    <row r="36252" hidden="1" x14ac:dyDescent="0.15"/>
    <row r="36253" hidden="1" x14ac:dyDescent="0.15"/>
    <row r="36254" hidden="1" x14ac:dyDescent="0.15"/>
    <row r="36255" hidden="1" x14ac:dyDescent="0.15"/>
    <row r="36256" hidden="1" x14ac:dyDescent="0.15"/>
    <row r="36257" hidden="1" x14ac:dyDescent="0.15"/>
    <row r="36258" hidden="1" x14ac:dyDescent="0.15"/>
    <row r="36259" hidden="1" x14ac:dyDescent="0.15"/>
    <row r="36260" hidden="1" x14ac:dyDescent="0.15"/>
    <row r="36261" hidden="1" x14ac:dyDescent="0.15"/>
    <row r="36262" hidden="1" x14ac:dyDescent="0.15"/>
    <row r="36263" hidden="1" x14ac:dyDescent="0.15"/>
    <row r="36264" hidden="1" x14ac:dyDescent="0.15"/>
    <row r="36265" hidden="1" x14ac:dyDescent="0.15"/>
    <row r="36266" hidden="1" x14ac:dyDescent="0.15"/>
    <row r="36267" hidden="1" x14ac:dyDescent="0.15"/>
    <row r="36268" hidden="1" x14ac:dyDescent="0.15"/>
    <row r="36269" hidden="1" x14ac:dyDescent="0.15"/>
    <row r="36270" hidden="1" x14ac:dyDescent="0.15"/>
    <row r="36271" hidden="1" x14ac:dyDescent="0.15"/>
    <row r="36272" hidden="1" x14ac:dyDescent="0.15"/>
    <row r="36273" hidden="1" x14ac:dyDescent="0.15"/>
    <row r="36274" hidden="1" x14ac:dyDescent="0.15"/>
    <row r="36275" hidden="1" x14ac:dyDescent="0.15"/>
    <row r="36276" hidden="1" x14ac:dyDescent="0.15"/>
    <row r="36277" hidden="1" x14ac:dyDescent="0.15"/>
    <row r="36278" hidden="1" x14ac:dyDescent="0.15"/>
    <row r="36279" hidden="1" x14ac:dyDescent="0.15"/>
    <row r="36280" hidden="1" x14ac:dyDescent="0.15"/>
    <row r="36281" hidden="1" x14ac:dyDescent="0.15"/>
    <row r="36282" hidden="1" x14ac:dyDescent="0.15"/>
    <row r="36283" hidden="1" x14ac:dyDescent="0.15"/>
    <row r="36284" hidden="1" x14ac:dyDescent="0.15"/>
    <row r="36285" hidden="1" x14ac:dyDescent="0.15"/>
    <row r="36286" hidden="1" x14ac:dyDescent="0.15"/>
    <row r="36287" hidden="1" x14ac:dyDescent="0.15"/>
    <row r="36288" hidden="1" x14ac:dyDescent="0.15"/>
    <row r="36289" hidden="1" x14ac:dyDescent="0.15"/>
    <row r="36290" hidden="1" x14ac:dyDescent="0.15"/>
    <row r="36291" hidden="1" x14ac:dyDescent="0.15"/>
    <row r="36292" hidden="1" x14ac:dyDescent="0.15"/>
    <row r="36293" hidden="1" x14ac:dyDescent="0.15"/>
    <row r="36294" hidden="1" x14ac:dyDescent="0.15"/>
    <row r="36295" hidden="1" x14ac:dyDescent="0.15"/>
    <row r="36296" hidden="1" x14ac:dyDescent="0.15"/>
    <row r="36297" hidden="1" x14ac:dyDescent="0.15"/>
    <row r="36298" hidden="1" x14ac:dyDescent="0.15"/>
    <row r="36299" hidden="1" x14ac:dyDescent="0.15"/>
    <row r="36300" hidden="1" x14ac:dyDescent="0.15"/>
    <row r="36301" hidden="1" x14ac:dyDescent="0.15"/>
    <row r="36302" hidden="1" x14ac:dyDescent="0.15"/>
    <row r="36303" hidden="1" x14ac:dyDescent="0.15"/>
    <row r="36304" hidden="1" x14ac:dyDescent="0.15"/>
    <row r="36305" hidden="1" x14ac:dyDescent="0.15"/>
    <row r="36306" hidden="1" x14ac:dyDescent="0.15"/>
    <row r="36307" hidden="1" x14ac:dyDescent="0.15"/>
    <row r="36308" hidden="1" x14ac:dyDescent="0.15"/>
    <row r="36309" hidden="1" x14ac:dyDescent="0.15"/>
    <row r="36310" hidden="1" x14ac:dyDescent="0.15"/>
    <row r="36311" hidden="1" x14ac:dyDescent="0.15"/>
    <row r="36312" hidden="1" x14ac:dyDescent="0.15"/>
    <row r="36313" hidden="1" x14ac:dyDescent="0.15"/>
    <row r="36314" hidden="1" x14ac:dyDescent="0.15"/>
    <row r="36315" hidden="1" x14ac:dyDescent="0.15"/>
    <row r="36316" hidden="1" x14ac:dyDescent="0.15"/>
    <row r="36317" hidden="1" x14ac:dyDescent="0.15"/>
    <row r="36318" hidden="1" x14ac:dyDescent="0.15"/>
    <row r="36319" hidden="1" x14ac:dyDescent="0.15"/>
    <row r="36320" hidden="1" x14ac:dyDescent="0.15"/>
    <row r="36321" hidden="1" x14ac:dyDescent="0.15"/>
    <row r="36322" hidden="1" x14ac:dyDescent="0.15"/>
    <row r="36323" hidden="1" x14ac:dyDescent="0.15"/>
    <row r="36324" hidden="1" x14ac:dyDescent="0.15"/>
    <row r="36325" hidden="1" x14ac:dyDescent="0.15"/>
    <row r="36326" hidden="1" x14ac:dyDescent="0.15"/>
    <row r="36327" hidden="1" x14ac:dyDescent="0.15"/>
    <row r="36328" hidden="1" x14ac:dyDescent="0.15"/>
    <row r="36329" hidden="1" x14ac:dyDescent="0.15"/>
    <row r="36330" hidden="1" x14ac:dyDescent="0.15"/>
    <row r="36331" hidden="1" x14ac:dyDescent="0.15"/>
    <row r="36332" hidden="1" x14ac:dyDescent="0.15"/>
    <row r="36333" hidden="1" x14ac:dyDescent="0.15"/>
    <row r="36334" hidden="1" x14ac:dyDescent="0.15"/>
    <row r="36335" hidden="1" x14ac:dyDescent="0.15"/>
    <row r="36336" hidden="1" x14ac:dyDescent="0.15"/>
    <row r="36337" hidden="1" x14ac:dyDescent="0.15"/>
    <row r="36338" hidden="1" x14ac:dyDescent="0.15"/>
    <row r="36339" hidden="1" x14ac:dyDescent="0.15"/>
    <row r="36340" hidden="1" x14ac:dyDescent="0.15"/>
    <row r="36341" hidden="1" x14ac:dyDescent="0.15"/>
    <row r="36342" hidden="1" x14ac:dyDescent="0.15"/>
    <row r="36343" hidden="1" x14ac:dyDescent="0.15"/>
    <row r="36344" hidden="1" x14ac:dyDescent="0.15"/>
    <row r="36345" hidden="1" x14ac:dyDescent="0.15"/>
    <row r="36346" hidden="1" x14ac:dyDescent="0.15"/>
    <row r="36347" hidden="1" x14ac:dyDescent="0.15"/>
    <row r="36348" hidden="1" x14ac:dyDescent="0.15"/>
    <row r="36349" hidden="1" x14ac:dyDescent="0.15"/>
    <row r="36350" hidden="1" x14ac:dyDescent="0.15"/>
    <row r="36351" hidden="1" x14ac:dyDescent="0.15"/>
    <row r="36352" hidden="1" x14ac:dyDescent="0.15"/>
    <row r="36353" hidden="1" x14ac:dyDescent="0.15"/>
    <row r="36354" hidden="1" x14ac:dyDescent="0.15"/>
    <row r="36355" hidden="1" x14ac:dyDescent="0.15"/>
    <row r="36356" hidden="1" x14ac:dyDescent="0.15"/>
    <row r="36357" hidden="1" x14ac:dyDescent="0.15"/>
    <row r="36358" hidden="1" x14ac:dyDescent="0.15"/>
    <row r="36359" hidden="1" x14ac:dyDescent="0.15"/>
    <row r="36360" hidden="1" x14ac:dyDescent="0.15"/>
    <row r="36361" hidden="1" x14ac:dyDescent="0.15"/>
    <row r="36362" hidden="1" x14ac:dyDescent="0.15"/>
    <row r="36363" hidden="1" x14ac:dyDescent="0.15"/>
    <row r="36364" hidden="1" x14ac:dyDescent="0.15"/>
    <row r="36365" hidden="1" x14ac:dyDescent="0.15"/>
    <row r="36366" hidden="1" x14ac:dyDescent="0.15"/>
    <row r="36367" hidden="1" x14ac:dyDescent="0.15"/>
    <row r="36368" hidden="1" x14ac:dyDescent="0.15"/>
    <row r="36369" hidden="1" x14ac:dyDescent="0.15"/>
    <row r="36370" hidden="1" x14ac:dyDescent="0.15"/>
    <row r="36371" hidden="1" x14ac:dyDescent="0.15"/>
    <row r="36372" hidden="1" x14ac:dyDescent="0.15"/>
    <row r="36373" hidden="1" x14ac:dyDescent="0.15"/>
    <row r="36374" hidden="1" x14ac:dyDescent="0.15"/>
    <row r="36375" hidden="1" x14ac:dyDescent="0.15"/>
    <row r="36376" hidden="1" x14ac:dyDescent="0.15"/>
    <row r="36377" hidden="1" x14ac:dyDescent="0.15"/>
    <row r="36378" hidden="1" x14ac:dyDescent="0.15"/>
    <row r="36379" hidden="1" x14ac:dyDescent="0.15"/>
    <row r="36380" hidden="1" x14ac:dyDescent="0.15"/>
    <row r="36381" hidden="1" x14ac:dyDescent="0.15"/>
    <row r="36382" hidden="1" x14ac:dyDescent="0.15"/>
    <row r="36383" hidden="1" x14ac:dyDescent="0.15"/>
    <row r="36384" hidden="1" x14ac:dyDescent="0.15"/>
    <row r="36385" hidden="1" x14ac:dyDescent="0.15"/>
    <row r="36386" hidden="1" x14ac:dyDescent="0.15"/>
    <row r="36387" hidden="1" x14ac:dyDescent="0.15"/>
    <row r="36388" hidden="1" x14ac:dyDescent="0.15"/>
    <row r="36389" hidden="1" x14ac:dyDescent="0.15"/>
    <row r="36390" hidden="1" x14ac:dyDescent="0.15"/>
    <row r="36391" hidden="1" x14ac:dyDescent="0.15"/>
    <row r="36392" hidden="1" x14ac:dyDescent="0.15"/>
    <row r="36393" hidden="1" x14ac:dyDescent="0.15"/>
    <row r="36394" hidden="1" x14ac:dyDescent="0.15"/>
    <row r="36395" hidden="1" x14ac:dyDescent="0.15"/>
    <row r="36396" hidden="1" x14ac:dyDescent="0.15"/>
    <row r="36397" hidden="1" x14ac:dyDescent="0.15"/>
    <row r="36398" hidden="1" x14ac:dyDescent="0.15"/>
    <row r="36399" hidden="1" x14ac:dyDescent="0.15"/>
    <row r="36400" hidden="1" x14ac:dyDescent="0.15"/>
    <row r="36401" hidden="1" x14ac:dyDescent="0.15"/>
    <row r="36402" hidden="1" x14ac:dyDescent="0.15"/>
    <row r="36403" hidden="1" x14ac:dyDescent="0.15"/>
    <row r="36404" hidden="1" x14ac:dyDescent="0.15"/>
    <row r="36405" hidden="1" x14ac:dyDescent="0.15"/>
    <row r="36406" hidden="1" x14ac:dyDescent="0.15"/>
    <row r="36407" hidden="1" x14ac:dyDescent="0.15"/>
    <row r="36408" hidden="1" x14ac:dyDescent="0.15"/>
    <row r="36409" hidden="1" x14ac:dyDescent="0.15"/>
    <row r="36410" hidden="1" x14ac:dyDescent="0.15"/>
    <row r="36411" hidden="1" x14ac:dyDescent="0.15"/>
    <row r="36412" hidden="1" x14ac:dyDescent="0.15"/>
    <row r="36413" hidden="1" x14ac:dyDescent="0.15"/>
    <row r="36414" hidden="1" x14ac:dyDescent="0.15"/>
    <row r="36415" hidden="1" x14ac:dyDescent="0.15"/>
    <row r="36416" hidden="1" x14ac:dyDescent="0.15"/>
    <row r="36417" hidden="1" x14ac:dyDescent="0.15"/>
    <row r="36418" hidden="1" x14ac:dyDescent="0.15"/>
    <row r="36419" hidden="1" x14ac:dyDescent="0.15"/>
    <row r="36420" hidden="1" x14ac:dyDescent="0.15"/>
    <row r="36421" hidden="1" x14ac:dyDescent="0.15"/>
    <row r="36422" hidden="1" x14ac:dyDescent="0.15"/>
    <row r="36423" hidden="1" x14ac:dyDescent="0.15"/>
    <row r="36424" hidden="1" x14ac:dyDescent="0.15"/>
    <row r="36425" hidden="1" x14ac:dyDescent="0.15"/>
    <row r="36426" hidden="1" x14ac:dyDescent="0.15"/>
    <row r="36427" hidden="1" x14ac:dyDescent="0.15"/>
    <row r="36428" hidden="1" x14ac:dyDescent="0.15"/>
    <row r="36429" hidden="1" x14ac:dyDescent="0.15"/>
    <row r="36430" hidden="1" x14ac:dyDescent="0.15"/>
    <row r="36431" hidden="1" x14ac:dyDescent="0.15"/>
    <row r="36432" hidden="1" x14ac:dyDescent="0.15"/>
    <row r="36433" hidden="1" x14ac:dyDescent="0.15"/>
    <row r="36434" hidden="1" x14ac:dyDescent="0.15"/>
    <row r="36435" hidden="1" x14ac:dyDescent="0.15"/>
    <row r="36436" hidden="1" x14ac:dyDescent="0.15"/>
    <row r="36437" hidden="1" x14ac:dyDescent="0.15"/>
    <row r="36438" hidden="1" x14ac:dyDescent="0.15"/>
    <row r="36439" hidden="1" x14ac:dyDescent="0.15"/>
    <row r="36440" hidden="1" x14ac:dyDescent="0.15"/>
    <row r="36441" hidden="1" x14ac:dyDescent="0.15"/>
    <row r="36442" hidden="1" x14ac:dyDescent="0.15"/>
    <row r="36443" hidden="1" x14ac:dyDescent="0.15"/>
    <row r="36444" hidden="1" x14ac:dyDescent="0.15"/>
    <row r="36445" hidden="1" x14ac:dyDescent="0.15"/>
    <row r="36446" hidden="1" x14ac:dyDescent="0.15"/>
    <row r="36447" hidden="1" x14ac:dyDescent="0.15"/>
    <row r="36448" hidden="1" x14ac:dyDescent="0.15"/>
    <row r="36449" hidden="1" x14ac:dyDescent="0.15"/>
    <row r="36450" hidden="1" x14ac:dyDescent="0.15"/>
    <row r="36451" hidden="1" x14ac:dyDescent="0.15"/>
    <row r="36452" hidden="1" x14ac:dyDescent="0.15"/>
    <row r="36453" hidden="1" x14ac:dyDescent="0.15"/>
    <row r="36454" hidden="1" x14ac:dyDescent="0.15"/>
    <row r="36455" hidden="1" x14ac:dyDescent="0.15"/>
    <row r="36456" hidden="1" x14ac:dyDescent="0.15"/>
    <row r="36457" hidden="1" x14ac:dyDescent="0.15"/>
    <row r="36458" hidden="1" x14ac:dyDescent="0.15"/>
    <row r="36459" hidden="1" x14ac:dyDescent="0.15"/>
    <row r="36460" hidden="1" x14ac:dyDescent="0.15"/>
    <row r="36461" hidden="1" x14ac:dyDescent="0.15"/>
    <row r="36462" hidden="1" x14ac:dyDescent="0.15"/>
    <row r="36463" hidden="1" x14ac:dyDescent="0.15"/>
    <row r="36464" hidden="1" x14ac:dyDescent="0.15"/>
    <row r="36465" hidden="1" x14ac:dyDescent="0.15"/>
    <row r="36466" hidden="1" x14ac:dyDescent="0.15"/>
    <row r="36467" hidden="1" x14ac:dyDescent="0.15"/>
    <row r="36468" hidden="1" x14ac:dyDescent="0.15"/>
    <row r="36469" hidden="1" x14ac:dyDescent="0.15"/>
    <row r="36470" hidden="1" x14ac:dyDescent="0.15"/>
    <row r="36471" hidden="1" x14ac:dyDescent="0.15"/>
    <row r="36472" hidden="1" x14ac:dyDescent="0.15"/>
    <row r="36473" hidden="1" x14ac:dyDescent="0.15"/>
    <row r="36474" hidden="1" x14ac:dyDescent="0.15"/>
    <row r="36475" hidden="1" x14ac:dyDescent="0.15"/>
    <row r="36476" hidden="1" x14ac:dyDescent="0.15"/>
    <row r="36477" hidden="1" x14ac:dyDescent="0.15"/>
    <row r="36478" hidden="1" x14ac:dyDescent="0.15"/>
    <row r="36479" hidden="1" x14ac:dyDescent="0.15"/>
    <row r="36480" hidden="1" x14ac:dyDescent="0.15"/>
    <row r="36481" hidden="1" x14ac:dyDescent="0.15"/>
    <row r="36482" hidden="1" x14ac:dyDescent="0.15"/>
    <row r="36483" hidden="1" x14ac:dyDescent="0.15"/>
    <row r="36484" hidden="1" x14ac:dyDescent="0.15"/>
    <row r="36485" hidden="1" x14ac:dyDescent="0.15"/>
    <row r="36486" hidden="1" x14ac:dyDescent="0.15"/>
    <row r="36487" hidden="1" x14ac:dyDescent="0.15"/>
    <row r="36488" hidden="1" x14ac:dyDescent="0.15"/>
    <row r="36489" hidden="1" x14ac:dyDescent="0.15"/>
    <row r="36490" hidden="1" x14ac:dyDescent="0.15"/>
    <row r="36491" hidden="1" x14ac:dyDescent="0.15"/>
    <row r="36492" hidden="1" x14ac:dyDescent="0.15"/>
    <row r="36493" hidden="1" x14ac:dyDescent="0.15"/>
    <row r="36494" hidden="1" x14ac:dyDescent="0.15"/>
    <row r="36495" hidden="1" x14ac:dyDescent="0.15"/>
    <row r="36496" hidden="1" x14ac:dyDescent="0.15"/>
    <row r="36497" hidden="1" x14ac:dyDescent="0.15"/>
    <row r="36498" hidden="1" x14ac:dyDescent="0.15"/>
    <row r="36499" hidden="1" x14ac:dyDescent="0.15"/>
    <row r="36500" hidden="1" x14ac:dyDescent="0.15"/>
    <row r="36501" hidden="1" x14ac:dyDescent="0.15"/>
    <row r="36502" hidden="1" x14ac:dyDescent="0.15"/>
    <row r="36503" hidden="1" x14ac:dyDescent="0.15"/>
    <row r="36504" hidden="1" x14ac:dyDescent="0.15"/>
    <row r="36505" hidden="1" x14ac:dyDescent="0.15"/>
    <row r="36506" hidden="1" x14ac:dyDescent="0.15"/>
    <row r="36507" hidden="1" x14ac:dyDescent="0.15"/>
    <row r="36508" hidden="1" x14ac:dyDescent="0.15"/>
    <row r="36509" hidden="1" x14ac:dyDescent="0.15"/>
    <row r="36510" hidden="1" x14ac:dyDescent="0.15"/>
    <row r="36511" hidden="1" x14ac:dyDescent="0.15"/>
    <row r="36512" hidden="1" x14ac:dyDescent="0.15"/>
    <row r="36513" hidden="1" x14ac:dyDescent="0.15"/>
    <row r="36514" hidden="1" x14ac:dyDescent="0.15"/>
    <row r="36515" hidden="1" x14ac:dyDescent="0.15"/>
    <row r="36516" hidden="1" x14ac:dyDescent="0.15"/>
    <row r="36517" hidden="1" x14ac:dyDescent="0.15"/>
    <row r="36518" hidden="1" x14ac:dyDescent="0.15"/>
    <row r="36519" hidden="1" x14ac:dyDescent="0.15"/>
    <row r="36520" hidden="1" x14ac:dyDescent="0.15"/>
    <row r="36521" hidden="1" x14ac:dyDescent="0.15"/>
    <row r="36522" hidden="1" x14ac:dyDescent="0.15"/>
    <row r="36523" hidden="1" x14ac:dyDescent="0.15"/>
    <row r="36524" hidden="1" x14ac:dyDescent="0.15"/>
    <row r="36525" hidden="1" x14ac:dyDescent="0.15"/>
    <row r="36526" hidden="1" x14ac:dyDescent="0.15"/>
    <row r="36527" hidden="1" x14ac:dyDescent="0.15"/>
    <row r="36528" hidden="1" x14ac:dyDescent="0.15"/>
    <row r="36529" hidden="1" x14ac:dyDescent="0.15"/>
    <row r="36530" hidden="1" x14ac:dyDescent="0.15"/>
    <row r="36531" hidden="1" x14ac:dyDescent="0.15"/>
    <row r="36532" hidden="1" x14ac:dyDescent="0.15"/>
    <row r="36533" hidden="1" x14ac:dyDescent="0.15"/>
    <row r="36534" hidden="1" x14ac:dyDescent="0.15"/>
    <row r="36535" hidden="1" x14ac:dyDescent="0.15"/>
    <row r="36536" hidden="1" x14ac:dyDescent="0.15"/>
    <row r="36537" hidden="1" x14ac:dyDescent="0.15"/>
    <row r="36538" hidden="1" x14ac:dyDescent="0.15"/>
    <row r="36539" hidden="1" x14ac:dyDescent="0.15"/>
    <row r="36540" hidden="1" x14ac:dyDescent="0.15"/>
    <row r="36541" hidden="1" x14ac:dyDescent="0.15"/>
    <row r="36542" hidden="1" x14ac:dyDescent="0.15"/>
    <row r="36543" hidden="1" x14ac:dyDescent="0.15"/>
    <row r="36544" hidden="1" x14ac:dyDescent="0.15"/>
    <row r="36545" hidden="1" x14ac:dyDescent="0.15"/>
    <row r="36546" hidden="1" x14ac:dyDescent="0.15"/>
    <row r="36547" hidden="1" x14ac:dyDescent="0.15"/>
    <row r="36548" hidden="1" x14ac:dyDescent="0.15"/>
    <row r="36549" hidden="1" x14ac:dyDescent="0.15"/>
    <row r="36550" hidden="1" x14ac:dyDescent="0.15"/>
    <row r="36551" hidden="1" x14ac:dyDescent="0.15"/>
    <row r="36552" hidden="1" x14ac:dyDescent="0.15"/>
    <row r="36553" hidden="1" x14ac:dyDescent="0.15"/>
    <row r="36554" hidden="1" x14ac:dyDescent="0.15"/>
    <row r="36555" hidden="1" x14ac:dyDescent="0.15"/>
    <row r="36556" hidden="1" x14ac:dyDescent="0.15"/>
    <row r="36557" hidden="1" x14ac:dyDescent="0.15"/>
    <row r="36558" hidden="1" x14ac:dyDescent="0.15"/>
    <row r="36559" hidden="1" x14ac:dyDescent="0.15"/>
    <row r="36560" hidden="1" x14ac:dyDescent="0.15"/>
    <row r="36561" hidden="1" x14ac:dyDescent="0.15"/>
    <row r="36562" hidden="1" x14ac:dyDescent="0.15"/>
    <row r="36563" hidden="1" x14ac:dyDescent="0.15"/>
    <row r="36564" hidden="1" x14ac:dyDescent="0.15"/>
    <row r="36565" hidden="1" x14ac:dyDescent="0.15"/>
    <row r="36566" hidden="1" x14ac:dyDescent="0.15"/>
    <row r="36567" hidden="1" x14ac:dyDescent="0.15"/>
    <row r="36568" hidden="1" x14ac:dyDescent="0.15"/>
    <row r="36569" hidden="1" x14ac:dyDescent="0.15"/>
    <row r="36570" hidden="1" x14ac:dyDescent="0.15"/>
    <row r="36571" hidden="1" x14ac:dyDescent="0.15"/>
    <row r="36572" hidden="1" x14ac:dyDescent="0.15"/>
    <row r="36573" hidden="1" x14ac:dyDescent="0.15"/>
    <row r="36574" hidden="1" x14ac:dyDescent="0.15"/>
    <row r="36575" hidden="1" x14ac:dyDescent="0.15"/>
    <row r="36576" hidden="1" x14ac:dyDescent="0.15"/>
    <row r="36577" hidden="1" x14ac:dyDescent="0.15"/>
    <row r="36578" hidden="1" x14ac:dyDescent="0.15"/>
    <row r="36579" hidden="1" x14ac:dyDescent="0.15"/>
    <row r="36580" hidden="1" x14ac:dyDescent="0.15"/>
    <row r="36581" hidden="1" x14ac:dyDescent="0.15"/>
    <row r="36582" hidden="1" x14ac:dyDescent="0.15"/>
    <row r="36583" hidden="1" x14ac:dyDescent="0.15"/>
    <row r="36584" hidden="1" x14ac:dyDescent="0.15"/>
    <row r="36585" hidden="1" x14ac:dyDescent="0.15"/>
    <row r="36586" hidden="1" x14ac:dyDescent="0.15"/>
    <row r="36587" hidden="1" x14ac:dyDescent="0.15"/>
    <row r="36588" hidden="1" x14ac:dyDescent="0.15"/>
    <row r="36589" hidden="1" x14ac:dyDescent="0.15"/>
    <row r="36590" hidden="1" x14ac:dyDescent="0.15"/>
    <row r="36591" hidden="1" x14ac:dyDescent="0.15"/>
    <row r="36592" hidden="1" x14ac:dyDescent="0.15"/>
    <row r="36593" hidden="1" x14ac:dyDescent="0.15"/>
    <row r="36594" hidden="1" x14ac:dyDescent="0.15"/>
    <row r="36595" hidden="1" x14ac:dyDescent="0.15"/>
    <row r="36596" hidden="1" x14ac:dyDescent="0.15"/>
    <row r="36597" hidden="1" x14ac:dyDescent="0.15"/>
    <row r="36598" hidden="1" x14ac:dyDescent="0.15"/>
    <row r="36599" hidden="1" x14ac:dyDescent="0.15"/>
    <row r="36600" hidden="1" x14ac:dyDescent="0.15"/>
    <row r="36601" hidden="1" x14ac:dyDescent="0.15"/>
    <row r="36602" hidden="1" x14ac:dyDescent="0.15"/>
    <row r="36603" hidden="1" x14ac:dyDescent="0.15"/>
    <row r="36604" hidden="1" x14ac:dyDescent="0.15"/>
    <row r="36605" hidden="1" x14ac:dyDescent="0.15"/>
    <row r="36606" hidden="1" x14ac:dyDescent="0.15"/>
    <row r="36607" hidden="1" x14ac:dyDescent="0.15"/>
    <row r="36608" hidden="1" x14ac:dyDescent="0.15"/>
    <row r="36609" hidden="1" x14ac:dyDescent="0.15"/>
    <row r="36610" hidden="1" x14ac:dyDescent="0.15"/>
    <row r="36611" hidden="1" x14ac:dyDescent="0.15"/>
    <row r="36612" hidden="1" x14ac:dyDescent="0.15"/>
    <row r="36613" hidden="1" x14ac:dyDescent="0.15"/>
    <row r="36614" hidden="1" x14ac:dyDescent="0.15"/>
    <row r="36615" hidden="1" x14ac:dyDescent="0.15"/>
    <row r="36616" hidden="1" x14ac:dyDescent="0.15"/>
    <row r="36617" hidden="1" x14ac:dyDescent="0.15"/>
    <row r="36618" hidden="1" x14ac:dyDescent="0.15"/>
    <row r="36619" hidden="1" x14ac:dyDescent="0.15"/>
    <row r="36620" hidden="1" x14ac:dyDescent="0.15"/>
    <row r="36621" hidden="1" x14ac:dyDescent="0.15"/>
    <row r="36622" hidden="1" x14ac:dyDescent="0.15"/>
    <row r="36623" hidden="1" x14ac:dyDescent="0.15"/>
    <row r="36624" hidden="1" x14ac:dyDescent="0.15"/>
    <row r="36625" hidden="1" x14ac:dyDescent="0.15"/>
    <row r="36626" hidden="1" x14ac:dyDescent="0.15"/>
    <row r="36627" hidden="1" x14ac:dyDescent="0.15"/>
    <row r="36628" hidden="1" x14ac:dyDescent="0.15"/>
    <row r="36629" hidden="1" x14ac:dyDescent="0.15"/>
    <row r="36630" hidden="1" x14ac:dyDescent="0.15"/>
    <row r="36631" hidden="1" x14ac:dyDescent="0.15"/>
    <row r="36632" hidden="1" x14ac:dyDescent="0.15"/>
    <row r="36633" hidden="1" x14ac:dyDescent="0.15"/>
    <row r="36634" hidden="1" x14ac:dyDescent="0.15"/>
    <row r="36635" hidden="1" x14ac:dyDescent="0.15"/>
    <row r="36636" hidden="1" x14ac:dyDescent="0.15"/>
    <row r="36637" hidden="1" x14ac:dyDescent="0.15"/>
    <row r="36638" hidden="1" x14ac:dyDescent="0.15"/>
    <row r="36639" hidden="1" x14ac:dyDescent="0.15"/>
    <row r="36640" hidden="1" x14ac:dyDescent="0.15"/>
    <row r="36641" hidden="1" x14ac:dyDescent="0.15"/>
    <row r="36642" hidden="1" x14ac:dyDescent="0.15"/>
    <row r="36643" hidden="1" x14ac:dyDescent="0.15"/>
    <row r="36644" hidden="1" x14ac:dyDescent="0.15"/>
    <row r="36645" hidden="1" x14ac:dyDescent="0.15"/>
    <row r="36646" hidden="1" x14ac:dyDescent="0.15"/>
    <row r="36647" hidden="1" x14ac:dyDescent="0.15"/>
    <row r="36648" hidden="1" x14ac:dyDescent="0.15"/>
    <row r="36649" hidden="1" x14ac:dyDescent="0.15"/>
    <row r="36650" hidden="1" x14ac:dyDescent="0.15"/>
    <row r="36651" hidden="1" x14ac:dyDescent="0.15"/>
    <row r="36652" hidden="1" x14ac:dyDescent="0.15"/>
    <row r="36653" hidden="1" x14ac:dyDescent="0.15"/>
    <row r="36654" hidden="1" x14ac:dyDescent="0.15"/>
    <row r="36655" hidden="1" x14ac:dyDescent="0.15"/>
    <row r="36656" hidden="1" x14ac:dyDescent="0.15"/>
    <row r="36657" hidden="1" x14ac:dyDescent="0.15"/>
    <row r="36658" hidden="1" x14ac:dyDescent="0.15"/>
    <row r="36659" hidden="1" x14ac:dyDescent="0.15"/>
    <row r="36660" hidden="1" x14ac:dyDescent="0.15"/>
    <row r="36661" hidden="1" x14ac:dyDescent="0.15"/>
    <row r="36662" hidden="1" x14ac:dyDescent="0.15"/>
    <row r="36663" hidden="1" x14ac:dyDescent="0.15"/>
    <row r="36664" hidden="1" x14ac:dyDescent="0.15"/>
    <row r="36665" hidden="1" x14ac:dyDescent="0.15"/>
    <row r="36666" hidden="1" x14ac:dyDescent="0.15"/>
    <row r="36667" hidden="1" x14ac:dyDescent="0.15"/>
    <row r="36668" hidden="1" x14ac:dyDescent="0.15"/>
    <row r="36669" hidden="1" x14ac:dyDescent="0.15"/>
    <row r="36670" hidden="1" x14ac:dyDescent="0.15"/>
    <row r="36671" hidden="1" x14ac:dyDescent="0.15"/>
    <row r="36672" hidden="1" x14ac:dyDescent="0.15"/>
    <row r="36673" hidden="1" x14ac:dyDescent="0.15"/>
    <row r="36674" hidden="1" x14ac:dyDescent="0.15"/>
    <row r="36675" hidden="1" x14ac:dyDescent="0.15"/>
    <row r="36676" hidden="1" x14ac:dyDescent="0.15"/>
    <row r="36677" hidden="1" x14ac:dyDescent="0.15"/>
    <row r="36678" hidden="1" x14ac:dyDescent="0.15"/>
    <row r="36679" hidden="1" x14ac:dyDescent="0.15"/>
    <row r="36680" hidden="1" x14ac:dyDescent="0.15"/>
    <row r="36681" hidden="1" x14ac:dyDescent="0.15"/>
    <row r="36682" hidden="1" x14ac:dyDescent="0.15"/>
    <row r="36683" hidden="1" x14ac:dyDescent="0.15"/>
    <row r="36684" hidden="1" x14ac:dyDescent="0.15"/>
    <row r="36685" hidden="1" x14ac:dyDescent="0.15"/>
    <row r="36686" hidden="1" x14ac:dyDescent="0.15"/>
    <row r="36687" hidden="1" x14ac:dyDescent="0.15"/>
    <row r="36688" hidden="1" x14ac:dyDescent="0.15"/>
    <row r="36689" hidden="1" x14ac:dyDescent="0.15"/>
    <row r="36690" hidden="1" x14ac:dyDescent="0.15"/>
    <row r="36691" hidden="1" x14ac:dyDescent="0.15"/>
    <row r="36692" hidden="1" x14ac:dyDescent="0.15"/>
    <row r="36693" hidden="1" x14ac:dyDescent="0.15"/>
    <row r="36694" hidden="1" x14ac:dyDescent="0.15"/>
    <row r="36695" hidden="1" x14ac:dyDescent="0.15"/>
    <row r="36696" hidden="1" x14ac:dyDescent="0.15"/>
    <row r="36697" hidden="1" x14ac:dyDescent="0.15"/>
    <row r="36698" hidden="1" x14ac:dyDescent="0.15"/>
    <row r="36699" hidden="1" x14ac:dyDescent="0.15"/>
    <row r="36700" hidden="1" x14ac:dyDescent="0.15"/>
    <row r="36701" hidden="1" x14ac:dyDescent="0.15"/>
    <row r="36702" hidden="1" x14ac:dyDescent="0.15"/>
    <row r="36703" hidden="1" x14ac:dyDescent="0.15"/>
    <row r="36704" hidden="1" x14ac:dyDescent="0.15"/>
    <row r="36705" hidden="1" x14ac:dyDescent="0.15"/>
    <row r="36706" hidden="1" x14ac:dyDescent="0.15"/>
    <row r="36707" hidden="1" x14ac:dyDescent="0.15"/>
    <row r="36708" hidden="1" x14ac:dyDescent="0.15"/>
    <row r="36709" hidden="1" x14ac:dyDescent="0.15"/>
    <row r="36710" hidden="1" x14ac:dyDescent="0.15"/>
    <row r="36711" hidden="1" x14ac:dyDescent="0.15"/>
    <row r="36712" hidden="1" x14ac:dyDescent="0.15"/>
    <row r="36713" hidden="1" x14ac:dyDescent="0.15"/>
    <row r="36714" hidden="1" x14ac:dyDescent="0.15"/>
    <row r="36715" hidden="1" x14ac:dyDescent="0.15"/>
    <row r="36716" hidden="1" x14ac:dyDescent="0.15"/>
    <row r="36717" hidden="1" x14ac:dyDescent="0.15"/>
    <row r="36718" hidden="1" x14ac:dyDescent="0.15"/>
    <row r="36719" hidden="1" x14ac:dyDescent="0.15"/>
    <row r="36720" hidden="1" x14ac:dyDescent="0.15"/>
    <row r="36721" hidden="1" x14ac:dyDescent="0.15"/>
    <row r="36722" hidden="1" x14ac:dyDescent="0.15"/>
    <row r="36723" hidden="1" x14ac:dyDescent="0.15"/>
    <row r="36724" hidden="1" x14ac:dyDescent="0.15"/>
    <row r="36725" hidden="1" x14ac:dyDescent="0.15"/>
    <row r="36726" hidden="1" x14ac:dyDescent="0.15"/>
    <row r="36727" hidden="1" x14ac:dyDescent="0.15"/>
    <row r="36728" hidden="1" x14ac:dyDescent="0.15"/>
    <row r="36729" hidden="1" x14ac:dyDescent="0.15"/>
    <row r="36730" hidden="1" x14ac:dyDescent="0.15"/>
    <row r="36731" hidden="1" x14ac:dyDescent="0.15"/>
    <row r="36732" hidden="1" x14ac:dyDescent="0.15"/>
    <row r="36733" hidden="1" x14ac:dyDescent="0.15"/>
    <row r="36734" hidden="1" x14ac:dyDescent="0.15"/>
    <row r="36735" hidden="1" x14ac:dyDescent="0.15"/>
    <row r="36736" hidden="1" x14ac:dyDescent="0.15"/>
    <row r="36737" hidden="1" x14ac:dyDescent="0.15"/>
    <row r="36738" hidden="1" x14ac:dyDescent="0.15"/>
    <row r="36739" hidden="1" x14ac:dyDescent="0.15"/>
    <row r="36740" hidden="1" x14ac:dyDescent="0.15"/>
    <row r="36741" hidden="1" x14ac:dyDescent="0.15"/>
    <row r="36742" hidden="1" x14ac:dyDescent="0.15"/>
    <row r="36743" hidden="1" x14ac:dyDescent="0.15"/>
    <row r="36744" hidden="1" x14ac:dyDescent="0.15"/>
    <row r="36745" hidden="1" x14ac:dyDescent="0.15"/>
    <row r="36746" hidden="1" x14ac:dyDescent="0.15"/>
    <row r="36747" hidden="1" x14ac:dyDescent="0.15"/>
    <row r="36748" hidden="1" x14ac:dyDescent="0.15"/>
    <row r="36749" hidden="1" x14ac:dyDescent="0.15"/>
    <row r="36750" hidden="1" x14ac:dyDescent="0.15"/>
    <row r="36751" hidden="1" x14ac:dyDescent="0.15"/>
    <row r="36752" hidden="1" x14ac:dyDescent="0.15"/>
    <row r="36753" hidden="1" x14ac:dyDescent="0.15"/>
    <row r="36754" hidden="1" x14ac:dyDescent="0.15"/>
    <row r="36755" hidden="1" x14ac:dyDescent="0.15"/>
    <row r="36756" hidden="1" x14ac:dyDescent="0.15"/>
    <row r="36757" hidden="1" x14ac:dyDescent="0.15"/>
    <row r="36758" hidden="1" x14ac:dyDescent="0.15"/>
    <row r="36759" hidden="1" x14ac:dyDescent="0.15"/>
    <row r="36760" hidden="1" x14ac:dyDescent="0.15"/>
    <row r="36761" hidden="1" x14ac:dyDescent="0.15"/>
    <row r="36762" hidden="1" x14ac:dyDescent="0.15"/>
    <row r="36763" hidden="1" x14ac:dyDescent="0.15"/>
    <row r="36764" hidden="1" x14ac:dyDescent="0.15"/>
    <row r="36765" hidden="1" x14ac:dyDescent="0.15"/>
    <row r="36766" hidden="1" x14ac:dyDescent="0.15"/>
    <row r="36767" hidden="1" x14ac:dyDescent="0.15"/>
    <row r="36768" hidden="1" x14ac:dyDescent="0.15"/>
    <row r="36769" hidden="1" x14ac:dyDescent="0.15"/>
    <row r="36770" hidden="1" x14ac:dyDescent="0.15"/>
    <row r="36771" hidden="1" x14ac:dyDescent="0.15"/>
    <row r="36772" hidden="1" x14ac:dyDescent="0.15"/>
    <row r="36773" hidden="1" x14ac:dyDescent="0.15"/>
    <row r="36774" hidden="1" x14ac:dyDescent="0.15"/>
    <row r="36775" hidden="1" x14ac:dyDescent="0.15"/>
    <row r="36776" hidden="1" x14ac:dyDescent="0.15"/>
    <row r="36777" hidden="1" x14ac:dyDescent="0.15"/>
    <row r="36778" hidden="1" x14ac:dyDescent="0.15"/>
    <row r="36779" hidden="1" x14ac:dyDescent="0.15"/>
    <row r="36780" hidden="1" x14ac:dyDescent="0.15"/>
    <row r="36781" hidden="1" x14ac:dyDescent="0.15"/>
    <row r="36782" hidden="1" x14ac:dyDescent="0.15"/>
    <row r="36783" hidden="1" x14ac:dyDescent="0.15"/>
    <row r="36784" hidden="1" x14ac:dyDescent="0.15"/>
    <row r="36785" hidden="1" x14ac:dyDescent="0.15"/>
    <row r="36786" hidden="1" x14ac:dyDescent="0.15"/>
    <row r="36787" hidden="1" x14ac:dyDescent="0.15"/>
    <row r="36788" hidden="1" x14ac:dyDescent="0.15"/>
    <row r="36789" hidden="1" x14ac:dyDescent="0.15"/>
    <row r="36790" hidden="1" x14ac:dyDescent="0.15"/>
    <row r="36791" hidden="1" x14ac:dyDescent="0.15"/>
    <row r="36792" hidden="1" x14ac:dyDescent="0.15"/>
    <row r="36793" hidden="1" x14ac:dyDescent="0.15"/>
    <row r="36794" hidden="1" x14ac:dyDescent="0.15"/>
    <row r="36795" hidden="1" x14ac:dyDescent="0.15"/>
    <row r="36796" hidden="1" x14ac:dyDescent="0.15"/>
    <row r="36797" hidden="1" x14ac:dyDescent="0.15"/>
    <row r="36798" hidden="1" x14ac:dyDescent="0.15"/>
    <row r="36799" hidden="1" x14ac:dyDescent="0.15"/>
    <row r="36800" hidden="1" x14ac:dyDescent="0.15"/>
    <row r="36801" hidden="1" x14ac:dyDescent="0.15"/>
    <row r="36802" hidden="1" x14ac:dyDescent="0.15"/>
    <row r="36803" hidden="1" x14ac:dyDescent="0.15"/>
    <row r="36804" hidden="1" x14ac:dyDescent="0.15"/>
    <row r="36805" hidden="1" x14ac:dyDescent="0.15"/>
    <row r="36806" hidden="1" x14ac:dyDescent="0.15"/>
    <row r="36807" hidden="1" x14ac:dyDescent="0.15"/>
    <row r="36808" hidden="1" x14ac:dyDescent="0.15"/>
    <row r="36809" hidden="1" x14ac:dyDescent="0.15"/>
    <row r="36810" hidden="1" x14ac:dyDescent="0.15"/>
    <row r="36811" hidden="1" x14ac:dyDescent="0.15"/>
    <row r="36812" hidden="1" x14ac:dyDescent="0.15"/>
    <row r="36813" hidden="1" x14ac:dyDescent="0.15"/>
    <row r="36814" hidden="1" x14ac:dyDescent="0.15"/>
    <row r="36815" hidden="1" x14ac:dyDescent="0.15"/>
    <row r="36816" hidden="1" x14ac:dyDescent="0.15"/>
    <row r="36817" hidden="1" x14ac:dyDescent="0.15"/>
    <row r="36818" hidden="1" x14ac:dyDescent="0.15"/>
    <row r="36819" hidden="1" x14ac:dyDescent="0.15"/>
    <row r="36820" hidden="1" x14ac:dyDescent="0.15"/>
    <row r="36821" hidden="1" x14ac:dyDescent="0.15"/>
    <row r="36822" hidden="1" x14ac:dyDescent="0.15"/>
    <row r="36823" hidden="1" x14ac:dyDescent="0.15"/>
    <row r="36824" hidden="1" x14ac:dyDescent="0.15"/>
    <row r="36825" hidden="1" x14ac:dyDescent="0.15"/>
    <row r="36826" hidden="1" x14ac:dyDescent="0.15"/>
    <row r="36827" hidden="1" x14ac:dyDescent="0.15"/>
    <row r="36828" hidden="1" x14ac:dyDescent="0.15"/>
    <row r="36829" hidden="1" x14ac:dyDescent="0.15"/>
    <row r="36830" hidden="1" x14ac:dyDescent="0.15"/>
    <row r="36831" hidden="1" x14ac:dyDescent="0.15"/>
    <row r="36832" hidden="1" x14ac:dyDescent="0.15"/>
    <row r="36833" hidden="1" x14ac:dyDescent="0.15"/>
    <row r="36834" hidden="1" x14ac:dyDescent="0.15"/>
    <row r="36835" hidden="1" x14ac:dyDescent="0.15"/>
    <row r="36836" hidden="1" x14ac:dyDescent="0.15"/>
    <row r="36837" hidden="1" x14ac:dyDescent="0.15"/>
    <row r="36838" hidden="1" x14ac:dyDescent="0.15"/>
    <row r="36839" hidden="1" x14ac:dyDescent="0.15"/>
    <row r="36840" hidden="1" x14ac:dyDescent="0.15"/>
    <row r="36841" hidden="1" x14ac:dyDescent="0.15"/>
    <row r="36842" hidden="1" x14ac:dyDescent="0.15"/>
    <row r="36843" hidden="1" x14ac:dyDescent="0.15"/>
    <row r="36844" hidden="1" x14ac:dyDescent="0.15"/>
    <row r="36845" hidden="1" x14ac:dyDescent="0.15"/>
    <row r="36846" hidden="1" x14ac:dyDescent="0.15"/>
    <row r="36847" hidden="1" x14ac:dyDescent="0.15"/>
    <row r="36848" hidden="1" x14ac:dyDescent="0.15"/>
    <row r="36849" hidden="1" x14ac:dyDescent="0.15"/>
    <row r="36850" hidden="1" x14ac:dyDescent="0.15"/>
    <row r="36851" hidden="1" x14ac:dyDescent="0.15"/>
    <row r="36852" hidden="1" x14ac:dyDescent="0.15"/>
    <row r="36853" hidden="1" x14ac:dyDescent="0.15"/>
    <row r="36854" hidden="1" x14ac:dyDescent="0.15"/>
    <row r="36855" hidden="1" x14ac:dyDescent="0.15"/>
    <row r="36856" hidden="1" x14ac:dyDescent="0.15"/>
    <row r="36857" hidden="1" x14ac:dyDescent="0.15"/>
    <row r="36858" hidden="1" x14ac:dyDescent="0.15"/>
    <row r="36859" hidden="1" x14ac:dyDescent="0.15"/>
    <row r="36860" hidden="1" x14ac:dyDescent="0.15"/>
    <row r="36861" hidden="1" x14ac:dyDescent="0.15"/>
    <row r="36862" hidden="1" x14ac:dyDescent="0.15"/>
    <row r="36863" hidden="1" x14ac:dyDescent="0.15"/>
    <row r="36864" hidden="1" x14ac:dyDescent="0.15"/>
    <row r="36865" hidden="1" x14ac:dyDescent="0.15"/>
    <row r="36866" hidden="1" x14ac:dyDescent="0.15"/>
    <row r="36867" hidden="1" x14ac:dyDescent="0.15"/>
    <row r="36868" hidden="1" x14ac:dyDescent="0.15"/>
    <row r="36869" hidden="1" x14ac:dyDescent="0.15"/>
    <row r="36870" hidden="1" x14ac:dyDescent="0.15"/>
    <row r="36871" hidden="1" x14ac:dyDescent="0.15"/>
    <row r="36872" hidden="1" x14ac:dyDescent="0.15"/>
    <row r="36873" hidden="1" x14ac:dyDescent="0.15"/>
    <row r="36874" hidden="1" x14ac:dyDescent="0.15"/>
    <row r="36875" hidden="1" x14ac:dyDescent="0.15"/>
    <row r="36876" hidden="1" x14ac:dyDescent="0.15"/>
    <row r="36877" hidden="1" x14ac:dyDescent="0.15"/>
    <row r="36878" hidden="1" x14ac:dyDescent="0.15"/>
    <row r="36879" hidden="1" x14ac:dyDescent="0.15"/>
    <row r="36880" hidden="1" x14ac:dyDescent="0.15"/>
    <row r="36881" hidden="1" x14ac:dyDescent="0.15"/>
    <row r="36882" hidden="1" x14ac:dyDescent="0.15"/>
    <row r="36883" hidden="1" x14ac:dyDescent="0.15"/>
    <row r="36884" hidden="1" x14ac:dyDescent="0.15"/>
    <row r="36885" hidden="1" x14ac:dyDescent="0.15"/>
    <row r="36886" hidden="1" x14ac:dyDescent="0.15"/>
    <row r="36887" hidden="1" x14ac:dyDescent="0.15"/>
    <row r="36888" hidden="1" x14ac:dyDescent="0.15"/>
    <row r="36889" hidden="1" x14ac:dyDescent="0.15"/>
    <row r="36890" hidden="1" x14ac:dyDescent="0.15"/>
    <row r="36891" hidden="1" x14ac:dyDescent="0.15"/>
    <row r="36892" hidden="1" x14ac:dyDescent="0.15"/>
    <row r="36893" hidden="1" x14ac:dyDescent="0.15"/>
    <row r="36894" hidden="1" x14ac:dyDescent="0.15"/>
    <row r="36895" hidden="1" x14ac:dyDescent="0.15"/>
    <row r="36896" hidden="1" x14ac:dyDescent="0.15"/>
    <row r="36897" hidden="1" x14ac:dyDescent="0.15"/>
    <row r="36898" hidden="1" x14ac:dyDescent="0.15"/>
    <row r="36899" hidden="1" x14ac:dyDescent="0.15"/>
    <row r="36900" hidden="1" x14ac:dyDescent="0.15"/>
    <row r="36901" hidden="1" x14ac:dyDescent="0.15"/>
    <row r="36902" hidden="1" x14ac:dyDescent="0.15"/>
    <row r="36903" hidden="1" x14ac:dyDescent="0.15"/>
    <row r="36904" hidden="1" x14ac:dyDescent="0.15"/>
    <row r="36905" hidden="1" x14ac:dyDescent="0.15"/>
    <row r="36906" hidden="1" x14ac:dyDescent="0.15"/>
    <row r="36907" hidden="1" x14ac:dyDescent="0.15"/>
    <row r="36908" hidden="1" x14ac:dyDescent="0.15"/>
    <row r="36909" hidden="1" x14ac:dyDescent="0.15"/>
    <row r="36910" hidden="1" x14ac:dyDescent="0.15"/>
    <row r="36911" hidden="1" x14ac:dyDescent="0.15"/>
    <row r="36912" hidden="1" x14ac:dyDescent="0.15"/>
    <row r="36913" hidden="1" x14ac:dyDescent="0.15"/>
    <row r="36914" hidden="1" x14ac:dyDescent="0.15"/>
    <row r="36915" hidden="1" x14ac:dyDescent="0.15"/>
    <row r="36916" hidden="1" x14ac:dyDescent="0.15"/>
    <row r="36917" hidden="1" x14ac:dyDescent="0.15"/>
    <row r="36918" hidden="1" x14ac:dyDescent="0.15"/>
    <row r="36919" hidden="1" x14ac:dyDescent="0.15"/>
    <row r="36920" hidden="1" x14ac:dyDescent="0.15"/>
    <row r="36921" hidden="1" x14ac:dyDescent="0.15"/>
    <row r="36922" hidden="1" x14ac:dyDescent="0.15"/>
    <row r="36923" hidden="1" x14ac:dyDescent="0.15"/>
    <row r="36924" hidden="1" x14ac:dyDescent="0.15"/>
    <row r="36925" hidden="1" x14ac:dyDescent="0.15"/>
    <row r="36926" hidden="1" x14ac:dyDescent="0.15"/>
    <row r="36927" hidden="1" x14ac:dyDescent="0.15"/>
    <row r="36928" hidden="1" x14ac:dyDescent="0.15"/>
    <row r="36929" hidden="1" x14ac:dyDescent="0.15"/>
    <row r="36930" hidden="1" x14ac:dyDescent="0.15"/>
    <row r="36931" hidden="1" x14ac:dyDescent="0.15"/>
    <row r="36932" hidden="1" x14ac:dyDescent="0.15"/>
    <row r="36933" hidden="1" x14ac:dyDescent="0.15"/>
    <row r="36934" hidden="1" x14ac:dyDescent="0.15"/>
    <row r="36935" hidden="1" x14ac:dyDescent="0.15"/>
    <row r="36936" hidden="1" x14ac:dyDescent="0.15"/>
    <row r="36937" hidden="1" x14ac:dyDescent="0.15"/>
    <row r="36938" hidden="1" x14ac:dyDescent="0.15"/>
    <row r="36939" hidden="1" x14ac:dyDescent="0.15"/>
    <row r="36940" hidden="1" x14ac:dyDescent="0.15"/>
    <row r="36941" hidden="1" x14ac:dyDescent="0.15"/>
    <row r="36942" hidden="1" x14ac:dyDescent="0.15"/>
    <row r="36943" hidden="1" x14ac:dyDescent="0.15"/>
    <row r="36944" hidden="1" x14ac:dyDescent="0.15"/>
    <row r="36945" hidden="1" x14ac:dyDescent="0.15"/>
    <row r="36946" hidden="1" x14ac:dyDescent="0.15"/>
    <row r="36947" hidden="1" x14ac:dyDescent="0.15"/>
    <row r="36948" hidden="1" x14ac:dyDescent="0.15"/>
    <row r="36949" hidden="1" x14ac:dyDescent="0.15"/>
    <row r="36950" hidden="1" x14ac:dyDescent="0.15"/>
    <row r="36951" hidden="1" x14ac:dyDescent="0.15"/>
    <row r="36952" hidden="1" x14ac:dyDescent="0.15"/>
    <row r="36953" hidden="1" x14ac:dyDescent="0.15"/>
    <row r="36954" hidden="1" x14ac:dyDescent="0.15"/>
    <row r="36955" hidden="1" x14ac:dyDescent="0.15"/>
    <row r="36956" hidden="1" x14ac:dyDescent="0.15"/>
    <row r="36957" hidden="1" x14ac:dyDescent="0.15"/>
    <row r="36958" hidden="1" x14ac:dyDescent="0.15"/>
    <row r="36959" hidden="1" x14ac:dyDescent="0.15"/>
    <row r="36960" hidden="1" x14ac:dyDescent="0.15"/>
    <row r="36961" hidden="1" x14ac:dyDescent="0.15"/>
    <row r="36962" hidden="1" x14ac:dyDescent="0.15"/>
    <row r="36963" hidden="1" x14ac:dyDescent="0.15"/>
    <row r="36964" hidden="1" x14ac:dyDescent="0.15"/>
    <row r="36965" hidden="1" x14ac:dyDescent="0.15"/>
    <row r="36966" hidden="1" x14ac:dyDescent="0.15"/>
    <row r="36967" hidden="1" x14ac:dyDescent="0.15"/>
    <row r="36968" hidden="1" x14ac:dyDescent="0.15"/>
    <row r="36969" hidden="1" x14ac:dyDescent="0.15"/>
    <row r="36970" hidden="1" x14ac:dyDescent="0.15"/>
    <row r="36971" hidden="1" x14ac:dyDescent="0.15"/>
    <row r="36972" hidden="1" x14ac:dyDescent="0.15"/>
    <row r="36973" hidden="1" x14ac:dyDescent="0.15"/>
    <row r="36974" hidden="1" x14ac:dyDescent="0.15"/>
    <row r="36975" hidden="1" x14ac:dyDescent="0.15"/>
    <row r="36976" hidden="1" x14ac:dyDescent="0.15"/>
    <row r="36977" hidden="1" x14ac:dyDescent="0.15"/>
    <row r="36978" hidden="1" x14ac:dyDescent="0.15"/>
    <row r="36979" hidden="1" x14ac:dyDescent="0.15"/>
    <row r="36980" hidden="1" x14ac:dyDescent="0.15"/>
    <row r="36981" hidden="1" x14ac:dyDescent="0.15"/>
    <row r="36982" hidden="1" x14ac:dyDescent="0.15"/>
    <row r="36983" hidden="1" x14ac:dyDescent="0.15"/>
    <row r="36984" hidden="1" x14ac:dyDescent="0.15"/>
    <row r="36985" hidden="1" x14ac:dyDescent="0.15"/>
    <row r="36986" hidden="1" x14ac:dyDescent="0.15"/>
    <row r="36987" hidden="1" x14ac:dyDescent="0.15"/>
    <row r="36988" hidden="1" x14ac:dyDescent="0.15"/>
    <row r="36989" hidden="1" x14ac:dyDescent="0.15"/>
    <row r="36990" hidden="1" x14ac:dyDescent="0.15"/>
    <row r="36991" hidden="1" x14ac:dyDescent="0.15"/>
    <row r="36992" hidden="1" x14ac:dyDescent="0.15"/>
    <row r="36993" hidden="1" x14ac:dyDescent="0.15"/>
    <row r="36994" hidden="1" x14ac:dyDescent="0.15"/>
    <row r="36995" hidden="1" x14ac:dyDescent="0.15"/>
    <row r="36996" hidden="1" x14ac:dyDescent="0.15"/>
    <row r="36997" hidden="1" x14ac:dyDescent="0.15"/>
    <row r="36998" hidden="1" x14ac:dyDescent="0.15"/>
    <row r="36999" hidden="1" x14ac:dyDescent="0.15"/>
    <row r="37000" hidden="1" x14ac:dyDescent="0.15"/>
    <row r="37001" hidden="1" x14ac:dyDescent="0.15"/>
    <row r="37002" hidden="1" x14ac:dyDescent="0.15"/>
    <row r="37003" hidden="1" x14ac:dyDescent="0.15"/>
    <row r="37004" hidden="1" x14ac:dyDescent="0.15"/>
    <row r="37005" hidden="1" x14ac:dyDescent="0.15"/>
    <row r="37006" hidden="1" x14ac:dyDescent="0.15"/>
    <row r="37007" hidden="1" x14ac:dyDescent="0.15"/>
    <row r="37008" hidden="1" x14ac:dyDescent="0.15"/>
    <row r="37009" hidden="1" x14ac:dyDescent="0.15"/>
    <row r="37010" hidden="1" x14ac:dyDescent="0.15"/>
    <row r="37011" hidden="1" x14ac:dyDescent="0.15"/>
    <row r="37012" hidden="1" x14ac:dyDescent="0.15"/>
    <row r="37013" hidden="1" x14ac:dyDescent="0.15"/>
    <row r="37014" hidden="1" x14ac:dyDescent="0.15"/>
    <row r="37015" hidden="1" x14ac:dyDescent="0.15"/>
    <row r="37016" hidden="1" x14ac:dyDescent="0.15"/>
    <row r="37017" hidden="1" x14ac:dyDescent="0.15"/>
    <row r="37018" hidden="1" x14ac:dyDescent="0.15"/>
    <row r="37019" hidden="1" x14ac:dyDescent="0.15"/>
    <row r="37020" hidden="1" x14ac:dyDescent="0.15"/>
    <row r="37021" hidden="1" x14ac:dyDescent="0.15"/>
    <row r="37022" hidden="1" x14ac:dyDescent="0.15"/>
    <row r="37023" hidden="1" x14ac:dyDescent="0.15"/>
    <row r="37024" hidden="1" x14ac:dyDescent="0.15"/>
    <row r="37025" hidden="1" x14ac:dyDescent="0.15"/>
    <row r="37026" hidden="1" x14ac:dyDescent="0.15"/>
    <row r="37027" hidden="1" x14ac:dyDescent="0.15"/>
    <row r="37028" hidden="1" x14ac:dyDescent="0.15"/>
    <row r="37029" hidden="1" x14ac:dyDescent="0.15"/>
    <row r="37030" hidden="1" x14ac:dyDescent="0.15"/>
    <row r="37031" hidden="1" x14ac:dyDescent="0.15"/>
    <row r="37032" hidden="1" x14ac:dyDescent="0.15"/>
    <row r="37033" hidden="1" x14ac:dyDescent="0.15"/>
    <row r="37034" hidden="1" x14ac:dyDescent="0.15"/>
    <row r="37035" hidden="1" x14ac:dyDescent="0.15"/>
    <row r="37036" hidden="1" x14ac:dyDescent="0.15"/>
    <row r="37037" hidden="1" x14ac:dyDescent="0.15"/>
    <row r="37038" hidden="1" x14ac:dyDescent="0.15"/>
    <row r="37039" hidden="1" x14ac:dyDescent="0.15"/>
    <row r="37040" hidden="1" x14ac:dyDescent="0.15"/>
    <row r="37041" hidden="1" x14ac:dyDescent="0.15"/>
    <row r="37042" hidden="1" x14ac:dyDescent="0.15"/>
    <row r="37043" hidden="1" x14ac:dyDescent="0.15"/>
    <row r="37044" hidden="1" x14ac:dyDescent="0.15"/>
    <row r="37045" hidden="1" x14ac:dyDescent="0.15"/>
    <row r="37046" hidden="1" x14ac:dyDescent="0.15"/>
    <row r="37047" hidden="1" x14ac:dyDescent="0.15"/>
    <row r="37048" hidden="1" x14ac:dyDescent="0.15"/>
    <row r="37049" hidden="1" x14ac:dyDescent="0.15"/>
    <row r="37050" hidden="1" x14ac:dyDescent="0.15"/>
    <row r="37051" hidden="1" x14ac:dyDescent="0.15"/>
    <row r="37052" hidden="1" x14ac:dyDescent="0.15"/>
    <row r="37053" hidden="1" x14ac:dyDescent="0.15"/>
    <row r="37054" hidden="1" x14ac:dyDescent="0.15"/>
    <row r="37055" hidden="1" x14ac:dyDescent="0.15"/>
    <row r="37056" hidden="1" x14ac:dyDescent="0.15"/>
    <row r="37057" hidden="1" x14ac:dyDescent="0.15"/>
    <row r="37058" hidden="1" x14ac:dyDescent="0.15"/>
    <row r="37059" hidden="1" x14ac:dyDescent="0.15"/>
    <row r="37060" hidden="1" x14ac:dyDescent="0.15"/>
    <row r="37061" hidden="1" x14ac:dyDescent="0.15"/>
    <row r="37062" hidden="1" x14ac:dyDescent="0.15"/>
    <row r="37063" hidden="1" x14ac:dyDescent="0.15"/>
    <row r="37064" hidden="1" x14ac:dyDescent="0.15"/>
    <row r="37065" hidden="1" x14ac:dyDescent="0.15"/>
    <row r="37066" hidden="1" x14ac:dyDescent="0.15"/>
    <row r="37067" hidden="1" x14ac:dyDescent="0.15"/>
    <row r="37068" hidden="1" x14ac:dyDescent="0.15"/>
    <row r="37069" hidden="1" x14ac:dyDescent="0.15"/>
    <row r="37070" hidden="1" x14ac:dyDescent="0.15"/>
    <row r="37071" hidden="1" x14ac:dyDescent="0.15"/>
    <row r="37072" hidden="1" x14ac:dyDescent="0.15"/>
    <row r="37073" hidden="1" x14ac:dyDescent="0.15"/>
    <row r="37074" hidden="1" x14ac:dyDescent="0.15"/>
    <row r="37075" hidden="1" x14ac:dyDescent="0.15"/>
    <row r="37076" hidden="1" x14ac:dyDescent="0.15"/>
    <row r="37077" hidden="1" x14ac:dyDescent="0.15"/>
    <row r="37078" hidden="1" x14ac:dyDescent="0.15"/>
    <row r="37079" hidden="1" x14ac:dyDescent="0.15"/>
    <row r="37080" hidden="1" x14ac:dyDescent="0.15"/>
    <row r="37081" hidden="1" x14ac:dyDescent="0.15"/>
    <row r="37082" hidden="1" x14ac:dyDescent="0.15"/>
    <row r="37083" hidden="1" x14ac:dyDescent="0.15"/>
    <row r="37084" hidden="1" x14ac:dyDescent="0.15"/>
    <row r="37085" hidden="1" x14ac:dyDescent="0.15"/>
    <row r="37086" hidden="1" x14ac:dyDescent="0.15"/>
    <row r="37087" hidden="1" x14ac:dyDescent="0.15"/>
    <row r="37088" hidden="1" x14ac:dyDescent="0.15"/>
    <row r="37089" hidden="1" x14ac:dyDescent="0.15"/>
    <row r="37090" hidden="1" x14ac:dyDescent="0.15"/>
    <row r="37091" hidden="1" x14ac:dyDescent="0.15"/>
    <row r="37092" hidden="1" x14ac:dyDescent="0.15"/>
    <row r="37093" hidden="1" x14ac:dyDescent="0.15"/>
    <row r="37094" hidden="1" x14ac:dyDescent="0.15"/>
    <row r="37095" hidden="1" x14ac:dyDescent="0.15"/>
    <row r="37096" hidden="1" x14ac:dyDescent="0.15"/>
    <row r="37097" hidden="1" x14ac:dyDescent="0.15"/>
    <row r="37098" hidden="1" x14ac:dyDescent="0.15"/>
    <row r="37099" hidden="1" x14ac:dyDescent="0.15"/>
    <row r="37100" hidden="1" x14ac:dyDescent="0.15"/>
    <row r="37101" hidden="1" x14ac:dyDescent="0.15"/>
    <row r="37102" hidden="1" x14ac:dyDescent="0.15"/>
    <row r="37103" hidden="1" x14ac:dyDescent="0.15"/>
    <row r="37104" hidden="1" x14ac:dyDescent="0.15"/>
    <row r="37105" hidden="1" x14ac:dyDescent="0.15"/>
    <row r="37106" hidden="1" x14ac:dyDescent="0.15"/>
    <row r="37107" hidden="1" x14ac:dyDescent="0.15"/>
    <row r="37108" hidden="1" x14ac:dyDescent="0.15"/>
    <row r="37109" hidden="1" x14ac:dyDescent="0.15"/>
    <row r="37110" hidden="1" x14ac:dyDescent="0.15"/>
    <row r="37111" hidden="1" x14ac:dyDescent="0.15"/>
    <row r="37112" hidden="1" x14ac:dyDescent="0.15"/>
    <row r="37113" hidden="1" x14ac:dyDescent="0.15"/>
    <row r="37114" hidden="1" x14ac:dyDescent="0.15"/>
    <row r="37115" hidden="1" x14ac:dyDescent="0.15"/>
    <row r="37116" hidden="1" x14ac:dyDescent="0.15"/>
    <row r="37117" hidden="1" x14ac:dyDescent="0.15"/>
    <row r="37118" hidden="1" x14ac:dyDescent="0.15"/>
    <row r="37119" hidden="1" x14ac:dyDescent="0.15"/>
    <row r="37120" hidden="1" x14ac:dyDescent="0.15"/>
    <row r="37121" hidden="1" x14ac:dyDescent="0.15"/>
    <row r="37122" hidden="1" x14ac:dyDescent="0.15"/>
    <row r="37123" hidden="1" x14ac:dyDescent="0.15"/>
    <row r="37124" hidden="1" x14ac:dyDescent="0.15"/>
    <row r="37125" hidden="1" x14ac:dyDescent="0.15"/>
    <row r="37126" hidden="1" x14ac:dyDescent="0.15"/>
    <row r="37127" hidden="1" x14ac:dyDescent="0.15"/>
    <row r="37128" hidden="1" x14ac:dyDescent="0.15"/>
    <row r="37129" hidden="1" x14ac:dyDescent="0.15"/>
    <row r="37130" hidden="1" x14ac:dyDescent="0.15"/>
    <row r="37131" hidden="1" x14ac:dyDescent="0.15"/>
    <row r="37132" hidden="1" x14ac:dyDescent="0.15"/>
    <row r="37133" hidden="1" x14ac:dyDescent="0.15"/>
    <row r="37134" hidden="1" x14ac:dyDescent="0.15"/>
    <row r="37135" hidden="1" x14ac:dyDescent="0.15"/>
    <row r="37136" hidden="1" x14ac:dyDescent="0.15"/>
    <row r="37137" hidden="1" x14ac:dyDescent="0.15"/>
    <row r="37138" hidden="1" x14ac:dyDescent="0.15"/>
    <row r="37139" hidden="1" x14ac:dyDescent="0.15"/>
    <row r="37140" hidden="1" x14ac:dyDescent="0.15"/>
    <row r="37141" hidden="1" x14ac:dyDescent="0.15"/>
    <row r="37142" hidden="1" x14ac:dyDescent="0.15"/>
    <row r="37143" hidden="1" x14ac:dyDescent="0.15"/>
    <row r="37144" hidden="1" x14ac:dyDescent="0.15"/>
    <row r="37145" hidden="1" x14ac:dyDescent="0.15"/>
    <row r="37146" hidden="1" x14ac:dyDescent="0.15"/>
    <row r="37147" hidden="1" x14ac:dyDescent="0.15"/>
    <row r="37148" hidden="1" x14ac:dyDescent="0.15"/>
    <row r="37149" hidden="1" x14ac:dyDescent="0.15"/>
    <row r="37150" hidden="1" x14ac:dyDescent="0.15"/>
    <row r="37151" hidden="1" x14ac:dyDescent="0.15"/>
    <row r="37152" hidden="1" x14ac:dyDescent="0.15"/>
    <row r="37153" hidden="1" x14ac:dyDescent="0.15"/>
    <row r="37154" hidden="1" x14ac:dyDescent="0.15"/>
    <row r="37155" hidden="1" x14ac:dyDescent="0.15"/>
    <row r="37156" hidden="1" x14ac:dyDescent="0.15"/>
    <row r="37157" hidden="1" x14ac:dyDescent="0.15"/>
    <row r="37158" hidden="1" x14ac:dyDescent="0.15"/>
    <row r="37159" hidden="1" x14ac:dyDescent="0.15"/>
    <row r="37160" hidden="1" x14ac:dyDescent="0.15"/>
    <row r="37161" hidden="1" x14ac:dyDescent="0.15"/>
    <row r="37162" hidden="1" x14ac:dyDescent="0.15"/>
    <row r="37163" hidden="1" x14ac:dyDescent="0.15"/>
    <row r="37164" hidden="1" x14ac:dyDescent="0.15"/>
    <row r="37165" hidden="1" x14ac:dyDescent="0.15"/>
    <row r="37166" hidden="1" x14ac:dyDescent="0.15"/>
    <row r="37167" hidden="1" x14ac:dyDescent="0.15"/>
    <row r="37168" hidden="1" x14ac:dyDescent="0.15"/>
    <row r="37169" hidden="1" x14ac:dyDescent="0.15"/>
    <row r="37170" hidden="1" x14ac:dyDescent="0.15"/>
    <row r="37171" hidden="1" x14ac:dyDescent="0.15"/>
    <row r="37172" hidden="1" x14ac:dyDescent="0.15"/>
    <row r="37173" hidden="1" x14ac:dyDescent="0.15"/>
    <row r="37174" hidden="1" x14ac:dyDescent="0.15"/>
    <row r="37175" hidden="1" x14ac:dyDescent="0.15"/>
    <row r="37176" hidden="1" x14ac:dyDescent="0.15"/>
    <row r="37177" hidden="1" x14ac:dyDescent="0.15"/>
    <row r="37178" hidden="1" x14ac:dyDescent="0.15"/>
    <row r="37179" hidden="1" x14ac:dyDescent="0.15"/>
    <row r="37180" hidden="1" x14ac:dyDescent="0.15"/>
    <row r="37181" hidden="1" x14ac:dyDescent="0.15"/>
    <row r="37182" hidden="1" x14ac:dyDescent="0.15"/>
    <row r="37183" hidden="1" x14ac:dyDescent="0.15"/>
    <row r="37184" hidden="1" x14ac:dyDescent="0.15"/>
    <row r="37185" hidden="1" x14ac:dyDescent="0.15"/>
    <row r="37186" hidden="1" x14ac:dyDescent="0.15"/>
    <row r="37187" hidden="1" x14ac:dyDescent="0.15"/>
    <row r="37188" hidden="1" x14ac:dyDescent="0.15"/>
    <row r="37189" hidden="1" x14ac:dyDescent="0.15"/>
    <row r="37190" hidden="1" x14ac:dyDescent="0.15"/>
    <row r="37191" hidden="1" x14ac:dyDescent="0.15"/>
    <row r="37192" hidden="1" x14ac:dyDescent="0.15"/>
    <row r="37193" hidden="1" x14ac:dyDescent="0.15"/>
    <row r="37194" hidden="1" x14ac:dyDescent="0.15"/>
    <row r="37195" hidden="1" x14ac:dyDescent="0.15"/>
    <row r="37196" hidden="1" x14ac:dyDescent="0.15"/>
    <row r="37197" hidden="1" x14ac:dyDescent="0.15"/>
    <row r="37198" hidden="1" x14ac:dyDescent="0.15"/>
    <row r="37199" hidden="1" x14ac:dyDescent="0.15"/>
    <row r="37200" hidden="1" x14ac:dyDescent="0.15"/>
    <row r="37201" hidden="1" x14ac:dyDescent="0.15"/>
    <row r="37202" hidden="1" x14ac:dyDescent="0.15"/>
    <row r="37203" hidden="1" x14ac:dyDescent="0.15"/>
    <row r="37204" hidden="1" x14ac:dyDescent="0.15"/>
    <row r="37205" hidden="1" x14ac:dyDescent="0.15"/>
    <row r="37206" hidden="1" x14ac:dyDescent="0.15"/>
    <row r="37207" hidden="1" x14ac:dyDescent="0.15"/>
    <row r="37208" hidden="1" x14ac:dyDescent="0.15"/>
    <row r="37209" hidden="1" x14ac:dyDescent="0.15"/>
    <row r="37210" hidden="1" x14ac:dyDescent="0.15"/>
    <row r="37211" hidden="1" x14ac:dyDescent="0.15"/>
    <row r="37212" hidden="1" x14ac:dyDescent="0.15"/>
    <row r="37213" hidden="1" x14ac:dyDescent="0.15"/>
    <row r="37214" hidden="1" x14ac:dyDescent="0.15"/>
    <row r="37215" hidden="1" x14ac:dyDescent="0.15"/>
    <row r="37216" hidden="1" x14ac:dyDescent="0.15"/>
    <row r="37217" hidden="1" x14ac:dyDescent="0.15"/>
    <row r="37218" hidden="1" x14ac:dyDescent="0.15"/>
    <row r="37219" hidden="1" x14ac:dyDescent="0.15"/>
    <row r="37220" hidden="1" x14ac:dyDescent="0.15"/>
    <row r="37221" hidden="1" x14ac:dyDescent="0.15"/>
    <row r="37222" hidden="1" x14ac:dyDescent="0.15"/>
    <row r="37223" hidden="1" x14ac:dyDescent="0.15"/>
    <row r="37224" hidden="1" x14ac:dyDescent="0.15"/>
    <row r="37225" hidden="1" x14ac:dyDescent="0.15"/>
    <row r="37226" hidden="1" x14ac:dyDescent="0.15"/>
    <row r="37227" hidden="1" x14ac:dyDescent="0.15"/>
    <row r="37228" hidden="1" x14ac:dyDescent="0.15"/>
    <row r="37229" hidden="1" x14ac:dyDescent="0.15"/>
    <row r="37230" hidden="1" x14ac:dyDescent="0.15"/>
    <row r="37231" hidden="1" x14ac:dyDescent="0.15"/>
    <row r="37232" hidden="1" x14ac:dyDescent="0.15"/>
    <row r="37233" hidden="1" x14ac:dyDescent="0.15"/>
    <row r="37234" hidden="1" x14ac:dyDescent="0.15"/>
    <row r="37235" hidden="1" x14ac:dyDescent="0.15"/>
    <row r="37236" hidden="1" x14ac:dyDescent="0.15"/>
    <row r="37237" hidden="1" x14ac:dyDescent="0.15"/>
    <row r="37238" hidden="1" x14ac:dyDescent="0.15"/>
    <row r="37239" hidden="1" x14ac:dyDescent="0.15"/>
    <row r="37240" hidden="1" x14ac:dyDescent="0.15"/>
    <row r="37241" hidden="1" x14ac:dyDescent="0.15"/>
    <row r="37242" hidden="1" x14ac:dyDescent="0.15"/>
    <row r="37243" hidden="1" x14ac:dyDescent="0.15"/>
    <row r="37244" hidden="1" x14ac:dyDescent="0.15"/>
    <row r="37245" hidden="1" x14ac:dyDescent="0.15"/>
    <row r="37246" hidden="1" x14ac:dyDescent="0.15"/>
    <row r="37247" hidden="1" x14ac:dyDescent="0.15"/>
    <row r="37248" hidden="1" x14ac:dyDescent="0.15"/>
    <row r="37249" hidden="1" x14ac:dyDescent="0.15"/>
    <row r="37250" hidden="1" x14ac:dyDescent="0.15"/>
    <row r="37251" hidden="1" x14ac:dyDescent="0.15"/>
    <row r="37252" hidden="1" x14ac:dyDescent="0.15"/>
    <row r="37253" hidden="1" x14ac:dyDescent="0.15"/>
    <row r="37254" hidden="1" x14ac:dyDescent="0.15"/>
    <row r="37255" hidden="1" x14ac:dyDescent="0.15"/>
    <row r="37256" hidden="1" x14ac:dyDescent="0.15"/>
    <row r="37257" hidden="1" x14ac:dyDescent="0.15"/>
    <row r="37258" hidden="1" x14ac:dyDescent="0.15"/>
    <row r="37259" hidden="1" x14ac:dyDescent="0.15"/>
    <row r="37260" hidden="1" x14ac:dyDescent="0.15"/>
    <row r="37261" hidden="1" x14ac:dyDescent="0.15"/>
    <row r="37262" hidden="1" x14ac:dyDescent="0.15"/>
    <row r="37263" hidden="1" x14ac:dyDescent="0.15"/>
    <row r="37264" hidden="1" x14ac:dyDescent="0.15"/>
    <row r="37265" hidden="1" x14ac:dyDescent="0.15"/>
    <row r="37266" hidden="1" x14ac:dyDescent="0.15"/>
    <row r="37267" hidden="1" x14ac:dyDescent="0.15"/>
    <row r="37268" hidden="1" x14ac:dyDescent="0.15"/>
    <row r="37269" hidden="1" x14ac:dyDescent="0.15"/>
    <row r="37270" hidden="1" x14ac:dyDescent="0.15"/>
    <row r="37271" hidden="1" x14ac:dyDescent="0.15"/>
    <row r="37272" hidden="1" x14ac:dyDescent="0.15"/>
    <row r="37273" hidden="1" x14ac:dyDescent="0.15"/>
    <row r="37274" hidden="1" x14ac:dyDescent="0.15"/>
    <row r="37275" hidden="1" x14ac:dyDescent="0.15"/>
    <row r="37276" hidden="1" x14ac:dyDescent="0.15"/>
    <row r="37277" hidden="1" x14ac:dyDescent="0.15"/>
    <row r="37278" hidden="1" x14ac:dyDescent="0.15"/>
    <row r="37279" hidden="1" x14ac:dyDescent="0.15"/>
    <row r="37280" hidden="1" x14ac:dyDescent="0.15"/>
    <row r="37281" hidden="1" x14ac:dyDescent="0.15"/>
    <row r="37282" hidden="1" x14ac:dyDescent="0.15"/>
    <row r="37283" hidden="1" x14ac:dyDescent="0.15"/>
    <row r="37284" hidden="1" x14ac:dyDescent="0.15"/>
    <row r="37285" hidden="1" x14ac:dyDescent="0.15"/>
    <row r="37286" hidden="1" x14ac:dyDescent="0.15"/>
    <row r="37287" hidden="1" x14ac:dyDescent="0.15"/>
    <row r="37288" hidden="1" x14ac:dyDescent="0.15"/>
    <row r="37289" hidden="1" x14ac:dyDescent="0.15"/>
    <row r="37290" hidden="1" x14ac:dyDescent="0.15"/>
    <row r="37291" hidden="1" x14ac:dyDescent="0.15"/>
    <row r="37292" hidden="1" x14ac:dyDescent="0.15"/>
    <row r="37293" hidden="1" x14ac:dyDescent="0.15"/>
    <row r="37294" hidden="1" x14ac:dyDescent="0.15"/>
    <row r="37295" hidden="1" x14ac:dyDescent="0.15"/>
    <row r="37296" hidden="1" x14ac:dyDescent="0.15"/>
    <row r="37297" hidden="1" x14ac:dyDescent="0.15"/>
    <row r="37298" hidden="1" x14ac:dyDescent="0.15"/>
    <row r="37299" hidden="1" x14ac:dyDescent="0.15"/>
    <row r="37300" hidden="1" x14ac:dyDescent="0.15"/>
    <row r="37301" hidden="1" x14ac:dyDescent="0.15"/>
    <row r="37302" hidden="1" x14ac:dyDescent="0.15"/>
    <row r="37303" hidden="1" x14ac:dyDescent="0.15"/>
    <row r="37304" hidden="1" x14ac:dyDescent="0.15"/>
    <row r="37305" hidden="1" x14ac:dyDescent="0.15"/>
    <row r="37306" hidden="1" x14ac:dyDescent="0.15"/>
    <row r="37307" hidden="1" x14ac:dyDescent="0.15"/>
    <row r="37308" hidden="1" x14ac:dyDescent="0.15"/>
    <row r="37309" hidden="1" x14ac:dyDescent="0.15"/>
    <row r="37310" hidden="1" x14ac:dyDescent="0.15"/>
    <row r="37311" hidden="1" x14ac:dyDescent="0.15"/>
    <row r="37312" hidden="1" x14ac:dyDescent="0.15"/>
    <row r="37313" hidden="1" x14ac:dyDescent="0.15"/>
    <row r="37314" hidden="1" x14ac:dyDescent="0.15"/>
    <row r="37315" hidden="1" x14ac:dyDescent="0.15"/>
    <row r="37316" hidden="1" x14ac:dyDescent="0.15"/>
    <row r="37317" hidden="1" x14ac:dyDescent="0.15"/>
    <row r="37318" hidden="1" x14ac:dyDescent="0.15"/>
    <row r="37319" hidden="1" x14ac:dyDescent="0.15"/>
    <row r="37320" hidden="1" x14ac:dyDescent="0.15"/>
    <row r="37321" hidden="1" x14ac:dyDescent="0.15"/>
    <row r="37322" hidden="1" x14ac:dyDescent="0.15"/>
    <row r="37323" hidden="1" x14ac:dyDescent="0.15"/>
    <row r="37324" hidden="1" x14ac:dyDescent="0.15"/>
    <row r="37325" hidden="1" x14ac:dyDescent="0.15"/>
    <row r="37326" hidden="1" x14ac:dyDescent="0.15"/>
    <row r="37327" hidden="1" x14ac:dyDescent="0.15"/>
    <row r="37328" hidden="1" x14ac:dyDescent="0.15"/>
    <row r="37329" hidden="1" x14ac:dyDescent="0.15"/>
    <row r="37330" hidden="1" x14ac:dyDescent="0.15"/>
    <row r="37331" hidden="1" x14ac:dyDescent="0.15"/>
    <row r="37332" hidden="1" x14ac:dyDescent="0.15"/>
    <row r="37333" hidden="1" x14ac:dyDescent="0.15"/>
    <row r="37334" hidden="1" x14ac:dyDescent="0.15"/>
    <row r="37335" hidden="1" x14ac:dyDescent="0.15"/>
    <row r="37336" hidden="1" x14ac:dyDescent="0.15"/>
    <row r="37337" hidden="1" x14ac:dyDescent="0.15"/>
    <row r="37338" hidden="1" x14ac:dyDescent="0.15"/>
    <row r="37339" hidden="1" x14ac:dyDescent="0.15"/>
    <row r="37340" hidden="1" x14ac:dyDescent="0.15"/>
    <row r="37341" hidden="1" x14ac:dyDescent="0.15"/>
    <row r="37342" hidden="1" x14ac:dyDescent="0.15"/>
    <row r="37343" hidden="1" x14ac:dyDescent="0.15"/>
    <row r="37344" hidden="1" x14ac:dyDescent="0.15"/>
    <row r="37345" hidden="1" x14ac:dyDescent="0.15"/>
    <row r="37346" hidden="1" x14ac:dyDescent="0.15"/>
    <row r="37347" hidden="1" x14ac:dyDescent="0.15"/>
    <row r="37348" hidden="1" x14ac:dyDescent="0.15"/>
    <row r="37349" hidden="1" x14ac:dyDescent="0.15"/>
    <row r="37350" hidden="1" x14ac:dyDescent="0.15"/>
    <row r="37351" hidden="1" x14ac:dyDescent="0.15"/>
    <row r="37352" hidden="1" x14ac:dyDescent="0.15"/>
    <row r="37353" hidden="1" x14ac:dyDescent="0.15"/>
    <row r="37354" hidden="1" x14ac:dyDescent="0.15"/>
    <row r="37355" hidden="1" x14ac:dyDescent="0.15"/>
    <row r="37356" hidden="1" x14ac:dyDescent="0.15"/>
    <row r="37357" hidden="1" x14ac:dyDescent="0.15"/>
    <row r="37358" hidden="1" x14ac:dyDescent="0.15"/>
    <row r="37359" hidden="1" x14ac:dyDescent="0.15"/>
    <row r="37360" hidden="1" x14ac:dyDescent="0.15"/>
    <row r="37361" hidden="1" x14ac:dyDescent="0.15"/>
    <row r="37362" hidden="1" x14ac:dyDescent="0.15"/>
    <row r="37363" hidden="1" x14ac:dyDescent="0.15"/>
    <row r="37364" hidden="1" x14ac:dyDescent="0.15"/>
    <row r="37365" hidden="1" x14ac:dyDescent="0.15"/>
    <row r="37366" hidden="1" x14ac:dyDescent="0.15"/>
    <row r="37367" hidden="1" x14ac:dyDescent="0.15"/>
    <row r="37368" hidden="1" x14ac:dyDescent="0.15"/>
    <row r="37369" hidden="1" x14ac:dyDescent="0.15"/>
    <row r="37370" hidden="1" x14ac:dyDescent="0.15"/>
    <row r="37371" hidden="1" x14ac:dyDescent="0.15"/>
    <row r="37372" hidden="1" x14ac:dyDescent="0.15"/>
    <row r="37373" hidden="1" x14ac:dyDescent="0.15"/>
    <row r="37374" hidden="1" x14ac:dyDescent="0.15"/>
    <row r="37375" hidden="1" x14ac:dyDescent="0.15"/>
    <row r="37376" hidden="1" x14ac:dyDescent="0.15"/>
    <row r="37377" hidden="1" x14ac:dyDescent="0.15"/>
    <row r="37378" hidden="1" x14ac:dyDescent="0.15"/>
    <row r="37379" hidden="1" x14ac:dyDescent="0.15"/>
    <row r="37380" hidden="1" x14ac:dyDescent="0.15"/>
    <row r="37381" hidden="1" x14ac:dyDescent="0.15"/>
    <row r="37382" hidden="1" x14ac:dyDescent="0.15"/>
    <row r="37383" hidden="1" x14ac:dyDescent="0.15"/>
    <row r="37384" hidden="1" x14ac:dyDescent="0.15"/>
    <row r="37385" hidden="1" x14ac:dyDescent="0.15"/>
    <row r="37386" hidden="1" x14ac:dyDescent="0.15"/>
    <row r="37387" hidden="1" x14ac:dyDescent="0.15"/>
    <row r="37388" hidden="1" x14ac:dyDescent="0.15"/>
    <row r="37389" hidden="1" x14ac:dyDescent="0.15"/>
    <row r="37390" hidden="1" x14ac:dyDescent="0.15"/>
    <row r="37391" hidden="1" x14ac:dyDescent="0.15"/>
    <row r="37392" hidden="1" x14ac:dyDescent="0.15"/>
    <row r="37393" hidden="1" x14ac:dyDescent="0.15"/>
    <row r="37394" hidden="1" x14ac:dyDescent="0.15"/>
    <row r="37395" hidden="1" x14ac:dyDescent="0.15"/>
    <row r="37396" hidden="1" x14ac:dyDescent="0.15"/>
    <row r="37397" hidden="1" x14ac:dyDescent="0.15"/>
    <row r="37398" hidden="1" x14ac:dyDescent="0.15"/>
    <row r="37399" hidden="1" x14ac:dyDescent="0.15"/>
    <row r="37400" hidden="1" x14ac:dyDescent="0.15"/>
    <row r="37401" hidden="1" x14ac:dyDescent="0.15"/>
    <row r="37402" hidden="1" x14ac:dyDescent="0.15"/>
    <row r="37403" hidden="1" x14ac:dyDescent="0.15"/>
    <row r="37404" hidden="1" x14ac:dyDescent="0.15"/>
    <row r="37405" hidden="1" x14ac:dyDescent="0.15"/>
    <row r="37406" hidden="1" x14ac:dyDescent="0.15"/>
    <row r="37407" hidden="1" x14ac:dyDescent="0.15"/>
    <row r="37408" hidden="1" x14ac:dyDescent="0.15"/>
    <row r="37409" hidden="1" x14ac:dyDescent="0.15"/>
    <row r="37410" hidden="1" x14ac:dyDescent="0.15"/>
    <row r="37411" hidden="1" x14ac:dyDescent="0.15"/>
    <row r="37412" hidden="1" x14ac:dyDescent="0.15"/>
    <row r="37413" hidden="1" x14ac:dyDescent="0.15"/>
    <row r="37414" hidden="1" x14ac:dyDescent="0.15"/>
    <row r="37415" hidden="1" x14ac:dyDescent="0.15"/>
    <row r="37416" hidden="1" x14ac:dyDescent="0.15"/>
    <row r="37417" hidden="1" x14ac:dyDescent="0.15"/>
    <row r="37418" hidden="1" x14ac:dyDescent="0.15"/>
    <row r="37419" hidden="1" x14ac:dyDescent="0.15"/>
    <row r="37420" hidden="1" x14ac:dyDescent="0.15"/>
    <row r="37421" hidden="1" x14ac:dyDescent="0.15"/>
    <row r="37422" hidden="1" x14ac:dyDescent="0.15"/>
    <row r="37423" hidden="1" x14ac:dyDescent="0.15"/>
    <row r="37424" hidden="1" x14ac:dyDescent="0.15"/>
    <row r="37425" hidden="1" x14ac:dyDescent="0.15"/>
    <row r="37426" hidden="1" x14ac:dyDescent="0.15"/>
    <row r="37427" hidden="1" x14ac:dyDescent="0.15"/>
    <row r="37428" hidden="1" x14ac:dyDescent="0.15"/>
    <row r="37429" hidden="1" x14ac:dyDescent="0.15"/>
    <row r="37430" hidden="1" x14ac:dyDescent="0.15"/>
    <row r="37431" hidden="1" x14ac:dyDescent="0.15"/>
    <row r="37432" hidden="1" x14ac:dyDescent="0.15"/>
    <row r="37433" hidden="1" x14ac:dyDescent="0.15"/>
    <row r="37434" hidden="1" x14ac:dyDescent="0.15"/>
    <row r="37435" hidden="1" x14ac:dyDescent="0.15"/>
    <row r="37436" hidden="1" x14ac:dyDescent="0.15"/>
    <row r="37437" hidden="1" x14ac:dyDescent="0.15"/>
    <row r="37438" hidden="1" x14ac:dyDescent="0.15"/>
    <row r="37439" hidden="1" x14ac:dyDescent="0.15"/>
    <row r="37440" hidden="1" x14ac:dyDescent="0.15"/>
    <row r="37441" hidden="1" x14ac:dyDescent="0.15"/>
    <row r="37442" hidden="1" x14ac:dyDescent="0.15"/>
    <row r="37443" hidden="1" x14ac:dyDescent="0.15"/>
    <row r="37444" hidden="1" x14ac:dyDescent="0.15"/>
    <row r="37445" hidden="1" x14ac:dyDescent="0.15"/>
    <row r="37446" hidden="1" x14ac:dyDescent="0.15"/>
    <row r="37447" hidden="1" x14ac:dyDescent="0.15"/>
    <row r="37448" hidden="1" x14ac:dyDescent="0.15"/>
    <row r="37449" hidden="1" x14ac:dyDescent="0.15"/>
    <row r="37450" hidden="1" x14ac:dyDescent="0.15"/>
    <row r="37451" hidden="1" x14ac:dyDescent="0.15"/>
    <row r="37452" hidden="1" x14ac:dyDescent="0.15"/>
    <row r="37453" hidden="1" x14ac:dyDescent="0.15"/>
    <row r="37454" hidden="1" x14ac:dyDescent="0.15"/>
    <row r="37455" hidden="1" x14ac:dyDescent="0.15"/>
    <row r="37456" hidden="1" x14ac:dyDescent="0.15"/>
    <row r="37457" hidden="1" x14ac:dyDescent="0.15"/>
    <row r="37458" hidden="1" x14ac:dyDescent="0.15"/>
    <row r="37459" hidden="1" x14ac:dyDescent="0.15"/>
    <row r="37460" hidden="1" x14ac:dyDescent="0.15"/>
    <row r="37461" hidden="1" x14ac:dyDescent="0.15"/>
    <row r="37462" hidden="1" x14ac:dyDescent="0.15"/>
    <row r="37463" hidden="1" x14ac:dyDescent="0.15"/>
    <row r="37464" hidden="1" x14ac:dyDescent="0.15"/>
    <row r="37465" hidden="1" x14ac:dyDescent="0.15"/>
    <row r="37466" hidden="1" x14ac:dyDescent="0.15"/>
    <row r="37467" hidden="1" x14ac:dyDescent="0.15"/>
    <row r="37468" hidden="1" x14ac:dyDescent="0.15"/>
    <row r="37469" hidden="1" x14ac:dyDescent="0.15"/>
    <row r="37470" hidden="1" x14ac:dyDescent="0.15"/>
    <row r="37471" hidden="1" x14ac:dyDescent="0.15"/>
    <row r="37472" hidden="1" x14ac:dyDescent="0.15"/>
    <row r="37473" hidden="1" x14ac:dyDescent="0.15"/>
    <row r="37474" hidden="1" x14ac:dyDescent="0.15"/>
    <row r="37475" hidden="1" x14ac:dyDescent="0.15"/>
    <row r="37476" hidden="1" x14ac:dyDescent="0.15"/>
    <row r="37477" hidden="1" x14ac:dyDescent="0.15"/>
    <row r="37478" hidden="1" x14ac:dyDescent="0.15"/>
    <row r="37479" hidden="1" x14ac:dyDescent="0.15"/>
    <row r="37480" hidden="1" x14ac:dyDescent="0.15"/>
    <row r="37481" hidden="1" x14ac:dyDescent="0.15"/>
    <row r="37482" hidden="1" x14ac:dyDescent="0.15"/>
    <row r="37483" hidden="1" x14ac:dyDescent="0.15"/>
    <row r="37484" hidden="1" x14ac:dyDescent="0.15"/>
    <row r="37485" hidden="1" x14ac:dyDescent="0.15"/>
    <row r="37486" hidden="1" x14ac:dyDescent="0.15"/>
    <row r="37487" hidden="1" x14ac:dyDescent="0.15"/>
    <row r="37488" hidden="1" x14ac:dyDescent="0.15"/>
    <row r="37489" hidden="1" x14ac:dyDescent="0.15"/>
    <row r="37490" hidden="1" x14ac:dyDescent="0.15"/>
    <row r="37491" hidden="1" x14ac:dyDescent="0.15"/>
    <row r="37492" hidden="1" x14ac:dyDescent="0.15"/>
    <row r="37493" hidden="1" x14ac:dyDescent="0.15"/>
    <row r="37494" hidden="1" x14ac:dyDescent="0.15"/>
    <row r="37495" hidden="1" x14ac:dyDescent="0.15"/>
    <row r="37496" hidden="1" x14ac:dyDescent="0.15"/>
    <row r="37497" hidden="1" x14ac:dyDescent="0.15"/>
    <row r="37498" hidden="1" x14ac:dyDescent="0.15"/>
    <row r="37499" hidden="1" x14ac:dyDescent="0.15"/>
    <row r="37500" hidden="1" x14ac:dyDescent="0.15"/>
    <row r="37501" hidden="1" x14ac:dyDescent="0.15"/>
    <row r="37502" hidden="1" x14ac:dyDescent="0.15"/>
    <row r="37503" hidden="1" x14ac:dyDescent="0.15"/>
    <row r="37504" hidden="1" x14ac:dyDescent="0.15"/>
    <row r="37505" hidden="1" x14ac:dyDescent="0.15"/>
    <row r="37506" hidden="1" x14ac:dyDescent="0.15"/>
    <row r="37507" hidden="1" x14ac:dyDescent="0.15"/>
    <row r="37508" hidden="1" x14ac:dyDescent="0.15"/>
    <row r="37509" hidden="1" x14ac:dyDescent="0.15"/>
    <row r="37510" hidden="1" x14ac:dyDescent="0.15"/>
    <row r="37511" hidden="1" x14ac:dyDescent="0.15"/>
    <row r="37512" hidden="1" x14ac:dyDescent="0.15"/>
    <row r="37513" hidden="1" x14ac:dyDescent="0.15"/>
    <row r="37514" hidden="1" x14ac:dyDescent="0.15"/>
    <row r="37515" hidden="1" x14ac:dyDescent="0.15"/>
    <row r="37516" hidden="1" x14ac:dyDescent="0.15"/>
    <row r="37517" hidden="1" x14ac:dyDescent="0.15"/>
    <row r="37518" hidden="1" x14ac:dyDescent="0.15"/>
    <row r="37519" hidden="1" x14ac:dyDescent="0.15"/>
    <row r="37520" hidden="1" x14ac:dyDescent="0.15"/>
    <row r="37521" hidden="1" x14ac:dyDescent="0.15"/>
    <row r="37522" hidden="1" x14ac:dyDescent="0.15"/>
    <row r="37523" hidden="1" x14ac:dyDescent="0.15"/>
    <row r="37524" hidden="1" x14ac:dyDescent="0.15"/>
    <row r="37525" hidden="1" x14ac:dyDescent="0.15"/>
    <row r="37526" hidden="1" x14ac:dyDescent="0.15"/>
    <row r="37527" hidden="1" x14ac:dyDescent="0.15"/>
    <row r="37528" hidden="1" x14ac:dyDescent="0.15"/>
    <row r="37529" hidden="1" x14ac:dyDescent="0.15"/>
    <row r="37530" hidden="1" x14ac:dyDescent="0.15"/>
    <row r="37531" hidden="1" x14ac:dyDescent="0.15"/>
    <row r="37532" hidden="1" x14ac:dyDescent="0.15"/>
    <row r="37533" hidden="1" x14ac:dyDescent="0.15"/>
    <row r="37534" hidden="1" x14ac:dyDescent="0.15"/>
    <row r="37535" hidden="1" x14ac:dyDescent="0.15"/>
    <row r="37536" hidden="1" x14ac:dyDescent="0.15"/>
    <row r="37537" hidden="1" x14ac:dyDescent="0.15"/>
    <row r="37538" hidden="1" x14ac:dyDescent="0.15"/>
    <row r="37539" hidden="1" x14ac:dyDescent="0.15"/>
    <row r="37540" hidden="1" x14ac:dyDescent="0.15"/>
    <row r="37541" hidden="1" x14ac:dyDescent="0.15"/>
    <row r="37542" hidden="1" x14ac:dyDescent="0.15"/>
    <row r="37543" hidden="1" x14ac:dyDescent="0.15"/>
    <row r="37544" hidden="1" x14ac:dyDescent="0.15"/>
    <row r="37545" hidden="1" x14ac:dyDescent="0.15"/>
    <row r="37546" hidden="1" x14ac:dyDescent="0.15"/>
    <row r="37547" hidden="1" x14ac:dyDescent="0.15"/>
    <row r="37548" hidden="1" x14ac:dyDescent="0.15"/>
    <row r="37549" hidden="1" x14ac:dyDescent="0.15"/>
    <row r="37550" hidden="1" x14ac:dyDescent="0.15"/>
    <row r="37551" hidden="1" x14ac:dyDescent="0.15"/>
    <row r="37552" hidden="1" x14ac:dyDescent="0.15"/>
    <row r="37553" hidden="1" x14ac:dyDescent="0.15"/>
    <row r="37554" hidden="1" x14ac:dyDescent="0.15"/>
    <row r="37555" hidden="1" x14ac:dyDescent="0.15"/>
    <row r="37556" hidden="1" x14ac:dyDescent="0.15"/>
    <row r="37557" hidden="1" x14ac:dyDescent="0.15"/>
    <row r="37558" hidden="1" x14ac:dyDescent="0.15"/>
    <row r="37559" hidden="1" x14ac:dyDescent="0.15"/>
    <row r="37560" hidden="1" x14ac:dyDescent="0.15"/>
    <row r="37561" hidden="1" x14ac:dyDescent="0.15"/>
    <row r="37562" hidden="1" x14ac:dyDescent="0.15"/>
    <row r="37563" hidden="1" x14ac:dyDescent="0.15"/>
    <row r="37564" hidden="1" x14ac:dyDescent="0.15"/>
    <row r="37565" hidden="1" x14ac:dyDescent="0.15"/>
    <row r="37566" hidden="1" x14ac:dyDescent="0.15"/>
    <row r="37567" hidden="1" x14ac:dyDescent="0.15"/>
    <row r="37568" hidden="1" x14ac:dyDescent="0.15"/>
    <row r="37569" hidden="1" x14ac:dyDescent="0.15"/>
    <row r="37570" hidden="1" x14ac:dyDescent="0.15"/>
    <row r="37571" hidden="1" x14ac:dyDescent="0.15"/>
    <row r="37572" hidden="1" x14ac:dyDescent="0.15"/>
    <row r="37573" hidden="1" x14ac:dyDescent="0.15"/>
    <row r="37574" hidden="1" x14ac:dyDescent="0.15"/>
    <row r="37575" hidden="1" x14ac:dyDescent="0.15"/>
    <row r="37576" hidden="1" x14ac:dyDescent="0.15"/>
    <row r="37577" hidden="1" x14ac:dyDescent="0.15"/>
    <row r="37578" hidden="1" x14ac:dyDescent="0.15"/>
    <row r="37579" hidden="1" x14ac:dyDescent="0.15"/>
    <row r="37580" hidden="1" x14ac:dyDescent="0.15"/>
    <row r="37581" hidden="1" x14ac:dyDescent="0.15"/>
    <row r="37582" hidden="1" x14ac:dyDescent="0.15"/>
    <row r="37583" hidden="1" x14ac:dyDescent="0.15"/>
    <row r="37584" hidden="1" x14ac:dyDescent="0.15"/>
    <row r="37585" hidden="1" x14ac:dyDescent="0.15"/>
    <row r="37586" hidden="1" x14ac:dyDescent="0.15"/>
    <row r="37587" hidden="1" x14ac:dyDescent="0.15"/>
    <row r="37588" hidden="1" x14ac:dyDescent="0.15"/>
    <row r="37589" hidden="1" x14ac:dyDescent="0.15"/>
    <row r="37590" hidden="1" x14ac:dyDescent="0.15"/>
    <row r="37591" hidden="1" x14ac:dyDescent="0.15"/>
    <row r="37592" hidden="1" x14ac:dyDescent="0.15"/>
    <row r="37593" hidden="1" x14ac:dyDescent="0.15"/>
    <row r="37594" hidden="1" x14ac:dyDescent="0.15"/>
    <row r="37595" hidden="1" x14ac:dyDescent="0.15"/>
    <row r="37596" hidden="1" x14ac:dyDescent="0.15"/>
    <row r="37597" hidden="1" x14ac:dyDescent="0.15"/>
    <row r="37598" hidden="1" x14ac:dyDescent="0.15"/>
    <row r="37599" hidden="1" x14ac:dyDescent="0.15"/>
    <row r="37600" hidden="1" x14ac:dyDescent="0.15"/>
    <row r="37601" hidden="1" x14ac:dyDescent="0.15"/>
    <row r="37602" hidden="1" x14ac:dyDescent="0.15"/>
    <row r="37603" hidden="1" x14ac:dyDescent="0.15"/>
    <row r="37604" hidden="1" x14ac:dyDescent="0.15"/>
    <row r="37605" hidden="1" x14ac:dyDescent="0.15"/>
    <row r="37606" hidden="1" x14ac:dyDescent="0.15"/>
    <row r="37607" hidden="1" x14ac:dyDescent="0.15"/>
    <row r="37608" hidden="1" x14ac:dyDescent="0.15"/>
    <row r="37609" hidden="1" x14ac:dyDescent="0.15"/>
    <row r="37610" hidden="1" x14ac:dyDescent="0.15"/>
    <row r="37611" hidden="1" x14ac:dyDescent="0.15"/>
    <row r="37612" hidden="1" x14ac:dyDescent="0.15"/>
    <row r="37613" hidden="1" x14ac:dyDescent="0.15"/>
    <row r="37614" hidden="1" x14ac:dyDescent="0.15"/>
    <row r="37615" hidden="1" x14ac:dyDescent="0.15"/>
    <row r="37616" hidden="1" x14ac:dyDescent="0.15"/>
    <row r="37617" hidden="1" x14ac:dyDescent="0.15"/>
    <row r="37618" hidden="1" x14ac:dyDescent="0.15"/>
    <row r="37619" hidden="1" x14ac:dyDescent="0.15"/>
    <row r="37620" hidden="1" x14ac:dyDescent="0.15"/>
    <row r="37621" hidden="1" x14ac:dyDescent="0.15"/>
    <row r="37622" hidden="1" x14ac:dyDescent="0.15"/>
    <row r="37623" hidden="1" x14ac:dyDescent="0.15"/>
    <row r="37624" hidden="1" x14ac:dyDescent="0.15"/>
    <row r="37625" hidden="1" x14ac:dyDescent="0.15"/>
    <row r="37626" hidden="1" x14ac:dyDescent="0.15"/>
    <row r="37627" hidden="1" x14ac:dyDescent="0.15"/>
    <row r="37628" hidden="1" x14ac:dyDescent="0.15"/>
    <row r="37629" hidden="1" x14ac:dyDescent="0.15"/>
    <row r="37630" hidden="1" x14ac:dyDescent="0.15"/>
    <row r="37631" hidden="1" x14ac:dyDescent="0.15"/>
    <row r="37632" hidden="1" x14ac:dyDescent="0.15"/>
    <row r="37633" hidden="1" x14ac:dyDescent="0.15"/>
    <row r="37634" hidden="1" x14ac:dyDescent="0.15"/>
    <row r="37635" hidden="1" x14ac:dyDescent="0.15"/>
    <row r="37636" hidden="1" x14ac:dyDescent="0.15"/>
    <row r="37637" hidden="1" x14ac:dyDescent="0.15"/>
    <row r="37638" hidden="1" x14ac:dyDescent="0.15"/>
    <row r="37639" hidden="1" x14ac:dyDescent="0.15"/>
    <row r="37640" hidden="1" x14ac:dyDescent="0.15"/>
    <row r="37641" hidden="1" x14ac:dyDescent="0.15"/>
    <row r="37642" hidden="1" x14ac:dyDescent="0.15"/>
    <row r="37643" hidden="1" x14ac:dyDescent="0.15"/>
    <row r="37644" hidden="1" x14ac:dyDescent="0.15"/>
    <row r="37645" hidden="1" x14ac:dyDescent="0.15"/>
    <row r="37646" hidden="1" x14ac:dyDescent="0.15"/>
    <row r="37647" hidden="1" x14ac:dyDescent="0.15"/>
    <row r="37648" hidden="1" x14ac:dyDescent="0.15"/>
    <row r="37649" hidden="1" x14ac:dyDescent="0.15"/>
    <row r="37650" hidden="1" x14ac:dyDescent="0.15"/>
    <row r="37651" hidden="1" x14ac:dyDescent="0.15"/>
    <row r="37652" hidden="1" x14ac:dyDescent="0.15"/>
    <row r="37653" hidden="1" x14ac:dyDescent="0.15"/>
    <row r="37654" hidden="1" x14ac:dyDescent="0.15"/>
    <row r="37655" hidden="1" x14ac:dyDescent="0.15"/>
    <row r="37656" hidden="1" x14ac:dyDescent="0.15"/>
    <row r="37657" hidden="1" x14ac:dyDescent="0.15"/>
    <row r="37658" hidden="1" x14ac:dyDescent="0.15"/>
    <row r="37659" hidden="1" x14ac:dyDescent="0.15"/>
    <row r="37660" hidden="1" x14ac:dyDescent="0.15"/>
    <row r="37661" hidden="1" x14ac:dyDescent="0.15"/>
    <row r="37662" hidden="1" x14ac:dyDescent="0.15"/>
    <row r="37663" hidden="1" x14ac:dyDescent="0.15"/>
    <row r="37664" hidden="1" x14ac:dyDescent="0.15"/>
    <row r="37665" hidden="1" x14ac:dyDescent="0.15"/>
    <row r="37666" hidden="1" x14ac:dyDescent="0.15"/>
    <row r="37667" hidden="1" x14ac:dyDescent="0.15"/>
    <row r="37668" hidden="1" x14ac:dyDescent="0.15"/>
    <row r="37669" hidden="1" x14ac:dyDescent="0.15"/>
    <row r="37670" hidden="1" x14ac:dyDescent="0.15"/>
    <row r="37671" hidden="1" x14ac:dyDescent="0.15"/>
    <row r="37672" hidden="1" x14ac:dyDescent="0.15"/>
    <row r="37673" hidden="1" x14ac:dyDescent="0.15"/>
    <row r="37674" hidden="1" x14ac:dyDescent="0.15"/>
    <row r="37675" hidden="1" x14ac:dyDescent="0.15"/>
    <row r="37676" hidden="1" x14ac:dyDescent="0.15"/>
    <row r="37677" hidden="1" x14ac:dyDescent="0.15"/>
    <row r="37678" hidden="1" x14ac:dyDescent="0.15"/>
    <row r="37679" hidden="1" x14ac:dyDescent="0.15"/>
    <row r="37680" hidden="1" x14ac:dyDescent="0.15"/>
    <row r="37681" hidden="1" x14ac:dyDescent="0.15"/>
    <row r="37682" hidden="1" x14ac:dyDescent="0.15"/>
    <row r="37683" hidden="1" x14ac:dyDescent="0.15"/>
    <row r="37684" hidden="1" x14ac:dyDescent="0.15"/>
    <row r="37685" hidden="1" x14ac:dyDescent="0.15"/>
    <row r="37686" hidden="1" x14ac:dyDescent="0.15"/>
    <row r="37687" hidden="1" x14ac:dyDescent="0.15"/>
    <row r="37688" hidden="1" x14ac:dyDescent="0.15"/>
    <row r="37689" hidden="1" x14ac:dyDescent="0.15"/>
    <row r="37690" hidden="1" x14ac:dyDescent="0.15"/>
    <row r="37691" hidden="1" x14ac:dyDescent="0.15"/>
    <row r="37692" hidden="1" x14ac:dyDescent="0.15"/>
    <row r="37693" hidden="1" x14ac:dyDescent="0.15"/>
    <row r="37694" hidden="1" x14ac:dyDescent="0.15"/>
    <row r="37695" hidden="1" x14ac:dyDescent="0.15"/>
    <row r="37696" hidden="1" x14ac:dyDescent="0.15"/>
    <row r="37697" hidden="1" x14ac:dyDescent="0.15"/>
    <row r="37698" hidden="1" x14ac:dyDescent="0.15"/>
    <row r="37699" hidden="1" x14ac:dyDescent="0.15"/>
    <row r="37700" hidden="1" x14ac:dyDescent="0.15"/>
    <row r="37701" hidden="1" x14ac:dyDescent="0.15"/>
    <row r="37702" hidden="1" x14ac:dyDescent="0.15"/>
    <row r="37703" hidden="1" x14ac:dyDescent="0.15"/>
    <row r="37704" hidden="1" x14ac:dyDescent="0.15"/>
    <row r="37705" hidden="1" x14ac:dyDescent="0.15"/>
    <row r="37706" hidden="1" x14ac:dyDescent="0.15"/>
    <row r="37707" hidden="1" x14ac:dyDescent="0.15"/>
    <row r="37708" hidden="1" x14ac:dyDescent="0.15"/>
    <row r="37709" hidden="1" x14ac:dyDescent="0.15"/>
    <row r="37710" hidden="1" x14ac:dyDescent="0.15"/>
    <row r="37711" hidden="1" x14ac:dyDescent="0.15"/>
    <row r="37712" hidden="1" x14ac:dyDescent="0.15"/>
    <row r="37713" hidden="1" x14ac:dyDescent="0.15"/>
    <row r="37714" hidden="1" x14ac:dyDescent="0.15"/>
    <row r="37715" hidden="1" x14ac:dyDescent="0.15"/>
    <row r="37716" hidden="1" x14ac:dyDescent="0.15"/>
    <row r="37717" hidden="1" x14ac:dyDescent="0.15"/>
    <row r="37718" hidden="1" x14ac:dyDescent="0.15"/>
    <row r="37719" hidden="1" x14ac:dyDescent="0.15"/>
    <row r="37720" hidden="1" x14ac:dyDescent="0.15"/>
    <row r="37721" hidden="1" x14ac:dyDescent="0.15"/>
    <row r="37722" hidden="1" x14ac:dyDescent="0.15"/>
    <row r="37723" hidden="1" x14ac:dyDescent="0.15"/>
    <row r="37724" hidden="1" x14ac:dyDescent="0.15"/>
    <row r="37725" hidden="1" x14ac:dyDescent="0.15"/>
    <row r="37726" hidden="1" x14ac:dyDescent="0.15"/>
    <row r="37727" hidden="1" x14ac:dyDescent="0.15"/>
    <row r="37728" hidden="1" x14ac:dyDescent="0.15"/>
    <row r="37729" hidden="1" x14ac:dyDescent="0.15"/>
    <row r="37730" hidden="1" x14ac:dyDescent="0.15"/>
    <row r="37731" hidden="1" x14ac:dyDescent="0.15"/>
    <row r="37732" hidden="1" x14ac:dyDescent="0.15"/>
    <row r="37733" hidden="1" x14ac:dyDescent="0.15"/>
    <row r="37734" hidden="1" x14ac:dyDescent="0.15"/>
    <row r="37735" hidden="1" x14ac:dyDescent="0.15"/>
    <row r="37736" hidden="1" x14ac:dyDescent="0.15"/>
    <row r="37737" hidden="1" x14ac:dyDescent="0.15"/>
    <row r="37738" hidden="1" x14ac:dyDescent="0.15"/>
    <row r="37739" hidden="1" x14ac:dyDescent="0.15"/>
    <row r="37740" hidden="1" x14ac:dyDescent="0.15"/>
    <row r="37741" hidden="1" x14ac:dyDescent="0.15"/>
    <row r="37742" hidden="1" x14ac:dyDescent="0.15"/>
    <row r="37743" hidden="1" x14ac:dyDescent="0.15"/>
    <row r="37744" hidden="1" x14ac:dyDescent="0.15"/>
    <row r="37745" hidden="1" x14ac:dyDescent="0.15"/>
    <row r="37746" hidden="1" x14ac:dyDescent="0.15"/>
    <row r="37747" hidden="1" x14ac:dyDescent="0.15"/>
    <row r="37748" hidden="1" x14ac:dyDescent="0.15"/>
    <row r="37749" hidden="1" x14ac:dyDescent="0.15"/>
    <row r="37750" hidden="1" x14ac:dyDescent="0.15"/>
    <row r="37751" hidden="1" x14ac:dyDescent="0.15"/>
    <row r="37752" hidden="1" x14ac:dyDescent="0.15"/>
    <row r="37753" hidden="1" x14ac:dyDescent="0.15"/>
    <row r="37754" hidden="1" x14ac:dyDescent="0.15"/>
    <row r="37755" hidden="1" x14ac:dyDescent="0.15"/>
    <row r="37756" hidden="1" x14ac:dyDescent="0.15"/>
    <row r="37757" hidden="1" x14ac:dyDescent="0.15"/>
    <row r="37758" hidden="1" x14ac:dyDescent="0.15"/>
    <row r="37759" hidden="1" x14ac:dyDescent="0.15"/>
    <row r="37760" hidden="1" x14ac:dyDescent="0.15"/>
    <row r="37761" hidden="1" x14ac:dyDescent="0.15"/>
    <row r="37762" hidden="1" x14ac:dyDescent="0.15"/>
    <row r="37763" hidden="1" x14ac:dyDescent="0.15"/>
    <row r="37764" hidden="1" x14ac:dyDescent="0.15"/>
    <row r="37765" hidden="1" x14ac:dyDescent="0.15"/>
    <row r="37766" hidden="1" x14ac:dyDescent="0.15"/>
    <row r="37767" hidden="1" x14ac:dyDescent="0.15"/>
    <row r="37768" hidden="1" x14ac:dyDescent="0.15"/>
    <row r="37769" hidden="1" x14ac:dyDescent="0.15"/>
    <row r="37770" hidden="1" x14ac:dyDescent="0.15"/>
    <row r="37771" hidden="1" x14ac:dyDescent="0.15"/>
    <row r="37772" hidden="1" x14ac:dyDescent="0.15"/>
    <row r="37773" hidden="1" x14ac:dyDescent="0.15"/>
    <row r="37774" hidden="1" x14ac:dyDescent="0.15"/>
    <row r="37775" hidden="1" x14ac:dyDescent="0.15"/>
    <row r="37776" hidden="1" x14ac:dyDescent="0.15"/>
    <row r="37777" hidden="1" x14ac:dyDescent="0.15"/>
    <row r="37778" hidden="1" x14ac:dyDescent="0.15"/>
    <row r="37779" hidden="1" x14ac:dyDescent="0.15"/>
    <row r="37780" hidden="1" x14ac:dyDescent="0.15"/>
    <row r="37781" hidden="1" x14ac:dyDescent="0.15"/>
    <row r="37782" hidden="1" x14ac:dyDescent="0.15"/>
    <row r="37783" hidden="1" x14ac:dyDescent="0.15"/>
    <row r="37784" hidden="1" x14ac:dyDescent="0.15"/>
    <row r="37785" hidden="1" x14ac:dyDescent="0.15"/>
    <row r="37786" hidden="1" x14ac:dyDescent="0.15"/>
    <row r="37787" hidden="1" x14ac:dyDescent="0.15"/>
    <row r="37788" hidden="1" x14ac:dyDescent="0.15"/>
    <row r="37789" hidden="1" x14ac:dyDescent="0.15"/>
    <row r="37790" hidden="1" x14ac:dyDescent="0.15"/>
    <row r="37791" hidden="1" x14ac:dyDescent="0.15"/>
    <row r="37792" hidden="1" x14ac:dyDescent="0.15"/>
    <row r="37793" hidden="1" x14ac:dyDescent="0.15"/>
    <row r="37794" hidden="1" x14ac:dyDescent="0.15"/>
    <row r="37795" hidden="1" x14ac:dyDescent="0.15"/>
    <row r="37796" hidden="1" x14ac:dyDescent="0.15"/>
    <row r="37797" hidden="1" x14ac:dyDescent="0.15"/>
    <row r="37798" hidden="1" x14ac:dyDescent="0.15"/>
    <row r="37799" hidden="1" x14ac:dyDescent="0.15"/>
    <row r="37800" hidden="1" x14ac:dyDescent="0.15"/>
    <row r="37801" hidden="1" x14ac:dyDescent="0.15"/>
    <row r="37802" hidden="1" x14ac:dyDescent="0.15"/>
    <row r="37803" hidden="1" x14ac:dyDescent="0.15"/>
    <row r="37804" hidden="1" x14ac:dyDescent="0.15"/>
    <row r="37805" hidden="1" x14ac:dyDescent="0.15"/>
    <row r="37806" hidden="1" x14ac:dyDescent="0.15"/>
    <row r="37807" hidden="1" x14ac:dyDescent="0.15"/>
    <row r="37808" hidden="1" x14ac:dyDescent="0.15"/>
    <row r="37809" hidden="1" x14ac:dyDescent="0.15"/>
    <row r="37810" hidden="1" x14ac:dyDescent="0.15"/>
    <row r="37811" hidden="1" x14ac:dyDescent="0.15"/>
    <row r="37812" hidden="1" x14ac:dyDescent="0.15"/>
    <row r="37813" hidden="1" x14ac:dyDescent="0.15"/>
    <row r="37814" hidden="1" x14ac:dyDescent="0.15"/>
    <row r="37815" hidden="1" x14ac:dyDescent="0.15"/>
    <row r="37816" hidden="1" x14ac:dyDescent="0.15"/>
    <row r="37817" hidden="1" x14ac:dyDescent="0.15"/>
    <row r="37818" hidden="1" x14ac:dyDescent="0.15"/>
    <row r="37819" hidden="1" x14ac:dyDescent="0.15"/>
    <row r="37820" hidden="1" x14ac:dyDescent="0.15"/>
    <row r="37821" hidden="1" x14ac:dyDescent="0.15"/>
    <row r="37822" hidden="1" x14ac:dyDescent="0.15"/>
    <row r="37823" hidden="1" x14ac:dyDescent="0.15"/>
    <row r="37824" hidden="1" x14ac:dyDescent="0.15"/>
    <row r="37825" hidden="1" x14ac:dyDescent="0.15"/>
    <row r="37826" hidden="1" x14ac:dyDescent="0.15"/>
    <row r="37827" hidden="1" x14ac:dyDescent="0.15"/>
    <row r="37828" hidden="1" x14ac:dyDescent="0.15"/>
    <row r="37829" hidden="1" x14ac:dyDescent="0.15"/>
    <row r="37830" hidden="1" x14ac:dyDescent="0.15"/>
    <row r="37831" hidden="1" x14ac:dyDescent="0.15"/>
    <row r="37832" hidden="1" x14ac:dyDescent="0.15"/>
    <row r="37833" hidden="1" x14ac:dyDescent="0.15"/>
    <row r="37834" hidden="1" x14ac:dyDescent="0.15"/>
    <row r="37835" hidden="1" x14ac:dyDescent="0.15"/>
    <row r="37836" hidden="1" x14ac:dyDescent="0.15"/>
    <row r="37837" hidden="1" x14ac:dyDescent="0.15"/>
    <row r="37838" hidden="1" x14ac:dyDescent="0.15"/>
    <row r="37839" hidden="1" x14ac:dyDescent="0.15"/>
    <row r="37840" hidden="1" x14ac:dyDescent="0.15"/>
    <row r="37841" hidden="1" x14ac:dyDescent="0.15"/>
    <row r="37842" hidden="1" x14ac:dyDescent="0.15"/>
    <row r="37843" hidden="1" x14ac:dyDescent="0.15"/>
    <row r="37844" hidden="1" x14ac:dyDescent="0.15"/>
    <row r="37845" hidden="1" x14ac:dyDescent="0.15"/>
    <row r="37846" hidden="1" x14ac:dyDescent="0.15"/>
    <row r="37847" hidden="1" x14ac:dyDescent="0.15"/>
    <row r="37848" hidden="1" x14ac:dyDescent="0.15"/>
    <row r="37849" hidden="1" x14ac:dyDescent="0.15"/>
    <row r="37850" hidden="1" x14ac:dyDescent="0.15"/>
    <row r="37851" hidden="1" x14ac:dyDescent="0.15"/>
    <row r="37852" hidden="1" x14ac:dyDescent="0.15"/>
    <row r="37853" hidden="1" x14ac:dyDescent="0.15"/>
    <row r="37854" hidden="1" x14ac:dyDescent="0.15"/>
    <row r="37855" hidden="1" x14ac:dyDescent="0.15"/>
    <row r="37856" hidden="1" x14ac:dyDescent="0.15"/>
    <row r="37857" hidden="1" x14ac:dyDescent="0.15"/>
    <row r="37858" hidden="1" x14ac:dyDescent="0.15"/>
    <row r="37859" hidden="1" x14ac:dyDescent="0.15"/>
    <row r="37860" hidden="1" x14ac:dyDescent="0.15"/>
    <row r="37861" hidden="1" x14ac:dyDescent="0.15"/>
    <row r="37862" hidden="1" x14ac:dyDescent="0.15"/>
    <row r="37863" hidden="1" x14ac:dyDescent="0.15"/>
    <row r="37864" hidden="1" x14ac:dyDescent="0.15"/>
    <row r="37865" hidden="1" x14ac:dyDescent="0.15"/>
    <row r="37866" hidden="1" x14ac:dyDescent="0.15"/>
    <row r="37867" hidden="1" x14ac:dyDescent="0.15"/>
    <row r="37868" hidden="1" x14ac:dyDescent="0.15"/>
    <row r="37869" hidden="1" x14ac:dyDescent="0.15"/>
    <row r="37870" hidden="1" x14ac:dyDescent="0.15"/>
    <row r="37871" hidden="1" x14ac:dyDescent="0.15"/>
    <row r="37872" hidden="1" x14ac:dyDescent="0.15"/>
    <row r="37873" hidden="1" x14ac:dyDescent="0.15"/>
    <row r="37874" hidden="1" x14ac:dyDescent="0.15"/>
    <row r="37875" hidden="1" x14ac:dyDescent="0.15"/>
    <row r="37876" hidden="1" x14ac:dyDescent="0.15"/>
    <row r="37877" hidden="1" x14ac:dyDescent="0.15"/>
    <row r="37878" hidden="1" x14ac:dyDescent="0.15"/>
    <row r="37879" hidden="1" x14ac:dyDescent="0.15"/>
    <row r="37880" hidden="1" x14ac:dyDescent="0.15"/>
    <row r="37881" hidden="1" x14ac:dyDescent="0.15"/>
    <row r="37882" hidden="1" x14ac:dyDescent="0.15"/>
    <row r="37883" hidden="1" x14ac:dyDescent="0.15"/>
    <row r="37884" hidden="1" x14ac:dyDescent="0.15"/>
    <row r="37885" hidden="1" x14ac:dyDescent="0.15"/>
    <row r="37886" hidden="1" x14ac:dyDescent="0.15"/>
    <row r="37887" hidden="1" x14ac:dyDescent="0.15"/>
    <row r="37888" hidden="1" x14ac:dyDescent="0.15"/>
    <row r="37889" hidden="1" x14ac:dyDescent="0.15"/>
    <row r="37890" hidden="1" x14ac:dyDescent="0.15"/>
    <row r="37891" hidden="1" x14ac:dyDescent="0.15"/>
    <row r="37892" hidden="1" x14ac:dyDescent="0.15"/>
    <row r="37893" hidden="1" x14ac:dyDescent="0.15"/>
    <row r="37894" hidden="1" x14ac:dyDescent="0.15"/>
    <row r="37895" hidden="1" x14ac:dyDescent="0.15"/>
    <row r="37896" hidden="1" x14ac:dyDescent="0.15"/>
    <row r="37897" hidden="1" x14ac:dyDescent="0.15"/>
    <row r="37898" hidden="1" x14ac:dyDescent="0.15"/>
    <row r="37899" hidden="1" x14ac:dyDescent="0.15"/>
    <row r="37900" hidden="1" x14ac:dyDescent="0.15"/>
    <row r="37901" hidden="1" x14ac:dyDescent="0.15"/>
    <row r="37902" hidden="1" x14ac:dyDescent="0.15"/>
    <row r="37903" hidden="1" x14ac:dyDescent="0.15"/>
    <row r="37904" hidden="1" x14ac:dyDescent="0.15"/>
    <row r="37905" hidden="1" x14ac:dyDescent="0.15"/>
    <row r="37906" hidden="1" x14ac:dyDescent="0.15"/>
    <row r="37907" hidden="1" x14ac:dyDescent="0.15"/>
    <row r="37908" hidden="1" x14ac:dyDescent="0.15"/>
    <row r="37909" hidden="1" x14ac:dyDescent="0.15"/>
    <row r="37910" hidden="1" x14ac:dyDescent="0.15"/>
    <row r="37911" hidden="1" x14ac:dyDescent="0.15"/>
    <row r="37912" hidden="1" x14ac:dyDescent="0.15"/>
    <row r="37913" hidden="1" x14ac:dyDescent="0.15"/>
    <row r="37914" hidden="1" x14ac:dyDescent="0.15"/>
    <row r="37915" hidden="1" x14ac:dyDescent="0.15"/>
    <row r="37916" hidden="1" x14ac:dyDescent="0.15"/>
    <row r="37917" hidden="1" x14ac:dyDescent="0.15"/>
    <row r="37918" hidden="1" x14ac:dyDescent="0.15"/>
    <row r="37919" hidden="1" x14ac:dyDescent="0.15"/>
    <row r="37920" hidden="1" x14ac:dyDescent="0.15"/>
    <row r="37921" hidden="1" x14ac:dyDescent="0.15"/>
    <row r="37922" hidden="1" x14ac:dyDescent="0.15"/>
    <row r="37923" hidden="1" x14ac:dyDescent="0.15"/>
    <row r="37924" hidden="1" x14ac:dyDescent="0.15"/>
    <row r="37925" hidden="1" x14ac:dyDescent="0.15"/>
    <row r="37926" hidden="1" x14ac:dyDescent="0.15"/>
    <row r="37927" hidden="1" x14ac:dyDescent="0.15"/>
    <row r="37928" hidden="1" x14ac:dyDescent="0.15"/>
    <row r="37929" hidden="1" x14ac:dyDescent="0.15"/>
    <row r="37930" hidden="1" x14ac:dyDescent="0.15"/>
    <row r="37931" hidden="1" x14ac:dyDescent="0.15"/>
    <row r="37932" hidden="1" x14ac:dyDescent="0.15"/>
    <row r="37933" hidden="1" x14ac:dyDescent="0.15"/>
    <row r="37934" hidden="1" x14ac:dyDescent="0.15"/>
    <row r="37935" hidden="1" x14ac:dyDescent="0.15"/>
    <row r="37936" hidden="1" x14ac:dyDescent="0.15"/>
    <row r="37937" hidden="1" x14ac:dyDescent="0.15"/>
    <row r="37938" hidden="1" x14ac:dyDescent="0.15"/>
    <row r="37939" hidden="1" x14ac:dyDescent="0.15"/>
    <row r="37940" hidden="1" x14ac:dyDescent="0.15"/>
    <row r="37941" hidden="1" x14ac:dyDescent="0.15"/>
    <row r="37942" hidden="1" x14ac:dyDescent="0.15"/>
    <row r="37943" hidden="1" x14ac:dyDescent="0.15"/>
    <row r="37944" hidden="1" x14ac:dyDescent="0.15"/>
    <row r="37945" hidden="1" x14ac:dyDescent="0.15"/>
    <row r="37946" hidden="1" x14ac:dyDescent="0.15"/>
    <row r="37947" hidden="1" x14ac:dyDescent="0.15"/>
    <row r="37948" hidden="1" x14ac:dyDescent="0.15"/>
    <row r="37949" hidden="1" x14ac:dyDescent="0.15"/>
    <row r="37950" hidden="1" x14ac:dyDescent="0.15"/>
    <row r="37951" hidden="1" x14ac:dyDescent="0.15"/>
    <row r="37952" hidden="1" x14ac:dyDescent="0.15"/>
    <row r="37953" hidden="1" x14ac:dyDescent="0.15"/>
    <row r="37954" hidden="1" x14ac:dyDescent="0.15"/>
    <row r="37955" hidden="1" x14ac:dyDescent="0.15"/>
    <row r="37956" hidden="1" x14ac:dyDescent="0.15"/>
    <row r="37957" hidden="1" x14ac:dyDescent="0.15"/>
    <row r="37958" hidden="1" x14ac:dyDescent="0.15"/>
    <row r="37959" hidden="1" x14ac:dyDescent="0.15"/>
    <row r="37960" hidden="1" x14ac:dyDescent="0.15"/>
    <row r="37961" hidden="1" x14ac:dyDescent="0.15"/>
    <row r="37962" hidden="1" x14ac:dyDescent="0.15"/>
    <row r="37963" hidden="1" x14ac:dyDescent="0.15"/>
    <row r="37964" hidden="1" x14ac:dyDescent="0.15"/>
    <row r="37965" hidden="1" x14ac:dyDescent="0.15"/>
    <row r="37966" hidden="1" x14ac:dyDescent="0.15"/>
    <row r="37967" hidden="1" x14ac:dyDescent="0.15"/>
    <row r="37968" hidden="1" x14ac:dyDescent="0.15"/>
    <row r="37969" hidden="1" x14ac:dyDescent="0.15"/>
    <row r="37970" hidden="1" x14ac:dyDescent="0.15"/>
    <row r="37971" hidden="1" x14ac:dyDescent="0.15"/>
    <row r="37972" hidden="1" x14ac:dyDescent="0.15"/>
    <row r="37973" hidden="1" x14ac:dyDescent="0.15"/>
    <row r="37974" hidden="1" x14ac:dyDescent="0.15"/>
    <row r="37975" hidden="1" x14ac:dyDescent="0.15"/>
    <row r="37976" hidden="1" x14ac:dyDescent="0.15"/>
    <row r="37977" hidden="1" x14ac:dyDescent="0.15"/>
    <row r="37978" hidden="1" x14ac:dyDescent="0.15"/>
    <row r="37979" hidden="1" x14ac:dyDescent="0.15"/>
    <row r="37980" hidden="1" x14ac:dyDescent="0.15"/>
    <row r="37981" hidden="1" x14ac:dyDescent="0.15"/>
    <row r="37982" hidden="1" x14ac:dyDescent="0.15"/>
    <row r="37983" hidden="1" x14ac:dyDescent="0.15"/>
    <row r="37984" hidden="1" x14ac:dyDescent="0.15"/>
    <row r="37985" hidden="1" x14ac:dyDescent="0.15"/>
    <row r="37986" hidden="1" x14ac:dyDescent="0.15"/>
    <row r="37987" hidden="1" x14ac:dyDescent="0.15"/>
    <row r="37988" hidden="1" x14ac:dyDescent="0.15"/>
    <row r="37989" hidden="1" x14ac:dyDescent="0.15"/>
    <row r="37990" hidden="1" x14ac:dyDescent="0.15"/>
    <row r="37991" hidden="1" x14ac:dyDescent="0.15"/>
    <row r="37992" hidden="1" x14ac:dyDescent="0.15"/>
    <row r="37993" hidden="1" x14ac:dyDescent="0.15"/>
    <row r="37994" hidden="1" x14ac:dyDescent="0.15"/>
    <row r="37995" hidden="1" x14ac:dyDescent="0.15"/>
    <row r="37996" hidden="1" x14ac:dyDescent="0.15"/>
    <row r="37997" hidden="1" x14ac:dyDescent="0.15"/>
    <row r="37998" hidden="1" x14ac:dyDescent="0.15"/>
    <row r="37999" hidden="1" x14ac:dyDescent="0.15"/>
    <row r="38000" hidden="1" x14ac:dyDescent="0.15"/>
    <row r="38001" hidden="1" x14ac:dyDescent="0.15"/>
    <row r="38002" hidden="1" x14ac:dyDescent="0.15"/>
    <row r="38003" hidden="1" x14ac:dyDescent="0.15"/>
    <row r="38004" hidden="1" x14ac:dyDescent="0.15"/>
    <row r="38005" hidden="1" x14ac:dyDescent="0.15"/>
    <row r="38006" hidden="1" x14ac:dyDescent="0.15"/>
    <row r="38007" hidden="1" x14ac:dyDescent="0.15"/>
    <row r="38008" hidden="1" x14ac:dyDescent="0.15"/>
    <row r="38009" hidden="1" x14ac:dyDescent="0.15"/>
    <row r="38010" hidden="1" x14ac:dyDescent="0.15"/>
    <row r="38011" hidden="1" x14ac:dyDescent="0.15"/>
    <row r="38012" hidden="1" x14ac:dyDescent="0.15"/>
    <row r="38013" hidden="1" x14ac:dyDescent="0.15"/>
    <row r="38014" hidden="1" x14ac:dyDescent="0.15"/>
    <row r="38015" hidden="1" x14ac:dyDescent="0.15"/>
    <row r="38016" hidden="1" x14ac:dyDescent="0.15"/>
    <row r="38017" hidden="1" x14ac:dyDescent="0.15"/>
    <row r="38018" hidden="1" x14ac:dyDescent="0.15"/>
    <row r="38019" hidden="1" x14ac:dyDescent="0.15"/>
    <row r="38020" hidden="1" x14ac:dyDescent="0.15"/>
    <row r="38021" hidden="1" x14ac:dyDescent="0.15"/>
    <row r="38022" hidden="1" x14ac:dyDescent="0.15"/>
    <row r="38023" hidden="1" x14ac:dyDescent="0.15"/>
    <row r="38024" hidden="1" x14ac:dyDescent="0.15"/>
    <row r="38025" hidden="1" x14ac:dyDescent="0.15"/>
    <row r="38026" hidden="1" x14ac:dyDescent="0.15"/>
    <row r="38027" hidden="1" x14ac:dyDescent="0.15"/>
    <row r="38028" hidden="1" x14ac:dyDescent="0.15"/>
    <row r="38029" hidden="1" x14ac:dyDescent="0.15"/>
    <row r="38030" hidden="1" x14ac:dyDescent="0.15"/>
    <row r="38031" hidden="1" x14ac:dyDescent="0.15"/>
    <row r="38032" hidden="1" x14ac:dyDescent="0.15"/>
    <row r="38033" hidden="1" x14ac:dyDescent="0.15"/>
    <row r="38034" hidden="1" x14ac:dyDescent="0.15"/>
    <row r="38035" hidden="1" x14ac:dyDescent="0.15"/>
    <row r="38036" hidden="1" x14ac:dyDescent="0.15"/>
    <row r="38037" hidden="1" x14ac:dyDescent="0.15"/>
    <row r="38038" hidden="1" x14ac:dyDescent="0.15"/>
    <row r="38039" hidden="1" x14ac:dyDescent="0.15"/>
    <row r="38040" hidden="1" x14ac:dyDescent="0.15"/>
    <row r="38041" hidden="1" x14ac:dyDescent="0.15"/>
    <row r="38042" hidden="1" x14ac:dyDescent="0.15"/>
    <row r="38043" hidden="1" x14ac:dyDescent="0.15"/>
    <row r="38044" hidden="1" x14ac:dyDescent="0.15"/>
    <row r="38045" hidden="1" x14ac:dyDescent="0.15"/>
    <row r="38046" hidden="1" x14ac:dyDescent="0.15"/>
    <row r="38047" hidden="1" x14ac:dyDescent="0.15"/>
    <row r="38048" hidden="1" x14ac:dyDescent="0.15"/>
    <row r="38049" hidden="1" x14ac:dyDescent="0.15"/>
    <row r="38050" hidden="1" x14ac:dyDescent="0.15"/>
    <row r="38051" hidden="1" x14ac:dyDescent="0.15"/>
    <row r="38052" hidden="1" x14ac:dyDescent="0.15"/>
    <row r="38053" hidden="1" x14ac:dyDescent="0.15"/>
    <row r="38054" hidden="1" x14ac:dyDescent="0.15"/>
    <row r="38055" hidden="1" x14ac:dyDescent="0.15"/>
    <row r="38056" hidden="1" x14ac:dyDescent="0.15"/>
    <row r="38057" hidden="1" x14ac:dyDescent="0.15"/>
    <row r="38058" hidden="1" x14ac:dyDescent="0.15"/>
    <row r="38059" hidden="1" x14ac:dyDescent="0.15"/>
    <row r="38060" hidden="1" x14ac:dyDescent="0.15"/>
    <row r="38061" hidden="1" x14ac:dyDescent="0.15"/>
    <row r="38062" hidden="1" x14ac:dyDescent="0.15"/>
    <row r="38063" hidden="1" x14ac:dyDescent="0.15"/>
    <row r="38064" hidden="1" x14ac:dyDescent="0.15"/>
    <row r="38065" hidden="1" x14ac:dyDescent="0.15"/>
    <row r="38066" hidden="1" x14ac:dyDescent="0.15"/>
    <row r="38067" hidden="1" x14ac:dyDescent="0.15"/>
    <row r="38068" hidden="1" x14ac:dyDescent="0.15"/>
    <row r="38069" hidden="1" x14ac:dyDescent="0.15"/>
    <row r="38070" hidden="1" x14ac:dyDescent="0.15"/>
    <row r="38071" hidden="1" x14ac:dyDescent="0.15"/>
    <row r="38072" hidden="1" x14ac:dyDescent="0.15"/>
    <row r="38073" hidden="1" x14ac:dyDescent="0.15"/>
    <row r="38074" hidden="1" x14ac:dyDescent="0.15"/>
    <row r="38075" hidden="1" x14ac:dyDescent="0.15"/>
    <row r="38076" hidden="1" x14ac:dyDescent="0.15"/>
    <row r="38077" hidden="1" x14ac:dyDescent="0.15"/>
    <row r="38078" hidden="1" x14ac:dyDescent="0.15"/>
    <row r="38079" hidden="1" x14ac:dyDescent="0.15"/>
    <row r="38080" hidden="1" x14ac:dyDescent="0.15"/>
    <row r="38081" hidden="1" x14ac:dyDescent="0.15"/>
    <row r="38082" hidden="1" x14ac:dyDescent="0.15"/>
    <row r="38083" hidden="1" x14ac:dyDescent="0.15"/>
    <row r="38084" hidden="1" x14ac:dyDescent="0.15"/>
    <row r="38085" hidden="1" x14ac:dyDescent="0.15"/>
    <row r="38086" hidden="1" x14ac:dyDescent="0.15"/>
    <row r="38087" hidden="1" x14ac:dyDescent="0.15"/>
    <row r="38088" hidden="1" x14ac:dyDescent="0.15"/>
    <row r="38089" hidden="1" x14ac:dyDescent="0.15"/>
    <row r="38090" hidden="1" x14ac:dyDescent="0.15"/>
    <row r="38091" hidden="1" x14ac:dyDescent="0.15"/>
    <row r="38092" hidden="1" x14ac:dyDescent="0.15"/>
    <row r="38093" hidden="1" x14ac:dyDescent="0.15"/>
    <row r="38094" hidden="1" x14ac:dyDescent="0.15"/>
    <row r="38095" hidden="1" x14ac:dyDescent="0.15"/>
    <row r="38096" hidden="1" x14ac:dyDescent="0.15"/>
    <row r="38097" hidden="1" x14ac:dyDescent="0.15"/>
    <row r="38098" hidden="1" x14ac:dyDescent="0.15"/>
    <row r="38099" hidden="1" x14ac:dyDescent="0.15"/>
    <row r="38100" hidden="1" x14ac:dyDescent="0.15"/>
    <row r="38101" hidden="1" x14ac:dyDescent="0.15"/>
    <row r="38102" hidden="1" x14ac:dyDescent="0.15"/>
    <row r="38103" hidden="1" x14ac:dyDescent="0.15"/>
    <row r="38104" hidden="1" x14ac:dyDescent="0.15"/>
    <row r="38105" hidden="1" x14ac:dyDescent="0.15"/>
    <row r="38106" hidden="1" x14ac:dyDescent="0.15"/>
    <row r="38107" hidden="1" x14ac:dyDescent="0.15"/>
    <row r="38108" hidden="1" x14ac:dyDescent="0.15"/>
    <row r="38109" hidden="1" x14ac:dyDescent="0.15"/>
    <row r="38110" hidden="1" x14ac:dyDescent="0.15"/>
    <row r="38111" hidden="1" x14ac:dyDescent="0.15"/>
    <row r="38112" hidden="1" x14ac:dyDescent="0.15"/>
    <row r="38113" hidden="1" x14ac:dyDescent="0.15"/>
    <row r="38114" hidden="1" x14ac:dyDescent="0.15"/>
    <row r="38115" hidden="1" x14ac:dyDescent="0.15"/>
    <row r="38116" hidden="1" x14ac:dyDescent="0.15"/>
    <row r="38117" hidden="1" x14ac:dyDescent="0.15"/>
    <row r="38118" hidden="1" x14ac:dyDescent="0.15"/>
    <row r="38119" hidden="1" x14ac:dyDescent="0.15"/>
    <row r="38120" hidden="1" x14ac:dyDescent="0.15"/>
    <row r="38121" hidden="1" x14ac:dyDescent="0.15"/>
    <row r="38122" hidden="1" x14ac:dyDescent="0.15"/>
    <row r="38123" hidden="1" x14ac:dyDescent="0.15"/>
    <row r="38124" hidden="1" x14ac:dyDescent="0.15"/>
    <row r="38125" hidden="1" x14ac:dyDescent="0.15"/>
    <row r="38126" hidden="1" x14ac:dyDescent="0.15"/>
    <row r="38127" hidden="1" x14ac:dyDescent="0.15"/>
    <row r="38128" hidden="1" x14ac:dyDescent="0.15"/>
    <row r="38129" hidden="1" x14ac:dyDescent="0.15"/>
    <row r="38130" hidden="1" x14ac:dyDescent="0.15"/>
    <row r="38131" hidden="1" x14ac:dyDescent="0.15"/>
    <row r="38132" hidden="1" x14ac:dyDescent="0.15"/>
    <row r="38133" hidden="1" x14ac:dyDescent="0.15"/>
    <row r="38134" hidden="1" x14ac:dyDescent="0.15"/>
    <row r="38135" hidden="1" x14ac:dyDescent="0.15"/>
    <row r="38136" hidden="1" x14ac:dyDescent="0.15"/>
    <row r="38137" hidden="1" x14ac:dyDescent="0.15"/>
    <row r="38138" hidden="1" x14ac:dyDescent="0.15"/>
    <row r="38139" hidden="1" x14ac:dyDescent="0.15"/>
    <row r="38140" hidden="1" x14ac:dyDescent="0.15"/>
    <row r="38141" hidden="1" x14ac:dyDescent="0.15"/>
    <row r="38142" hidden="1" x14ac:dyDescent="0.15"/>
    <row r="38143" hidden="1" x14ac:dyDescent="0.15"/>
    <row r="38144" hidden="1" x14ac:dyDescent="0.15"/>
    <row r="38145" hidden="1" x14ac:dyDescent="0.15"/>
    <row r="38146" hidden="1" x14ac:dyDescent="0.15"/>
    <row r="38147" hidden="1" x14ac:dyDescent="0.15"/>
    <row r="38148" hidden="1" x14ac:dyDescent="0.15"/>
    <row r="38149" hidden="1" x14ac:dyDescent="0.15"/>
    <row r="38150" hidden="1" x14ac:dyDescent="0.15"/>
    <row r="38151" hidden="1" x14ac:dyDescent="0.15"/>
    <row r="38152" hidden="1" x14ac:dyDescent="0.15"/>
    <row r="38153" hidden="1" x14ac:dyDescent="0.15"/>
    <row r="38154" hidden="1" x14ac:dyDescent="0.15"/>
    <row r="38155" hidden="1" x14ac:dyDescent="0.15"/>
    <row r="38156" hidden="1" x14ac:dyDescent="0.15"/>
    <row r="38157" hidden="1" x14ac:dyDescent="0.15"/>
    <row r="38158" hidden="1" x14ac:dyDescent="0.15"/>
    <row r="38159" hidden="1" x14ac:dyDescent="0.15"/>
    <row r="38160" hidden="1" x14ac:dyDescent="0.15"/>
    <row r="38161" hidden="1" x14ac:dyDescent="0.15"/>
    <row r="38162" hidden="1" x14ac:dyDescent="0.15"/>
    <row r="38163" hidden="1" x14ac:dyDescent="0.15"/>
    <row r="38164" hidden="1" x14ac:dyDescent="0.15"/>
    <row r="38165" hidden="1" x14ac:dyDescent="0.15"/>
    <row r="38166" hidden="1" x14ac:dyDescent="0.15"/>
    <row r="38167" hidden="1" x14ac:dyDescent="0.15"/>
    <row r="38168" hidden="1" x14ac:dyDescent="0.15"/>
    <row r="38169" hidden="1" x14ac:dyDescent="0.15"/>
    <row r="38170" hidden="1" x14ac:dyDescent="0.15"/>
    <row r="38171" hidden="1" x14ac:dyDescent="0.15"/>
    <row r="38172" hidden="1" x14ac:dyDescent="0.15"/>
    <row r="38173" hidden="1" x14ac:dyDescent="0.15"/>
    <row r="38174" hidden="1" x14ac:dyDescent="0.15"/>
    <row r="38175" hidden="1" x14ac:dyDescent="0.15"/>
    <row r="38176" hidden="1" x14ac:dyDescent="0.15"/>
    <row r="38177" hidden="1" x14ac:dyDescent="0.15"/>
    <row r="38178" hidden="1" x14ac:dyDescent="0.15"/>
    <row r="38179" hidden="1" x14ac:dyDescent="0.15"/>
    <row r="38180" hidden="1" x14ac:dyDescent="0.15"/>
    <row r="38181" hidden="1" x14ac:dyDescent="0.15"/>
    <row r="38182" hidden="1" x14ac:dyDescent="0.15"/>
    <row r="38183" hidden="1" x14ac:dyDescent="0.15"/>
    <row r="38184" hidden="1" x14ac:dyDescent="0.15"/>
    <row r="38185" hidden="1" x14ac:dyDescent="0.15"/>
    <row r="38186" hidden="1" x14ac:dyDescent="0.15"/>
    <row r="38187" hidden="1" x14ac:dyDescent="0.15"/>
    <row r="38188" hidden="1" x14ac:dyDescent="0.15"/>
    <row r="38189" hidden="1" x14ac:dyDescent="0.15"/>
    <row r="38190" hidden="1" x14ac:dyDescent="0.15"/>
    <row r="38191" hidden="1" x14ac:dyDescent="0.15"/>
    <row r="38192" hidden="1" x14ac:dyDescent="0.15"/>
    <row r="38193" hidden="1" x14ac:dyDescent="0.15"/>
    <row r="38194" hidden="1" x14ac:dyDescent="0.15"/>
    <row r="38195" hidden="1" x14ac:dyDescent="0.15"/>
    <row r="38196" hidden="1" x14ac:dyDescent="0.15"/>
    <row r="38197" hidden="1" x14ac:dyDescent="0.15"/>
    <row r="38198" hidden="1" x14ac:dyDescent="0.15"/>
    <row r="38199" hidden="1" x14ac:dyDescent="0.15"/>
    <row r="38200" hidden="1" x14ac:dyDescent="0.15"/>
    <row r="38201" hidden="1" x14ac:dyDescent="0.15"/>
    <row r="38202" hidden="1" x14ac:dyDescent="0.15"/>
    <row r="38203" hidden="1" x14ac:dyDescent="0.15"/>
    <row r="38204" hidden="1" x14ac:dyDescent="0.15"/>
    <row r="38205" hidden="1" x14ac:dyDescent="0.15"/>
    <row r="38206" hidden="1" x14ac:dyDescent="0.15"/>
    <row r="38207" hidden="1" x14ac:dyDescent="0.15"/>
    <row r="38208" hidden="1" x14ac:dyDescent="0.15"/>
    <row r="38209" hidden="1" x14ac:dyDescent="0.15"/>
    <row r="38210" hidden="1" x14ac:dyDescent="0.15"/>
    <row r="38211" hidden="1" x14ac:dyDescent="0.15"/>
    <row r="38212" hidden="1" x14ac:dyDescent="0.15"/>
    <row r="38213" hidden="1" x14ac:dyDescent="0.15"/>
    <row r="38214" hidden="1" x14ac:dyDescent="0.15"/>
    <row r="38215" hidden="1" x14ac:dyDescent="0.15"/>
    <row r="38216" hidden="1" x14ac:dyDescent="0.15"/>
    <row r="38217" hidden="1" x14ac:dyDescent="0.15"/>
    <row r="38218" hidden="1" x14ac:dyDescent="0.15"/>
    <row r="38219" hidden="1" x14ac:dyDescent="0.15"/>
    <row r="38220" hidden="1" x14ac:dyDescent="0.15"/>
    <row r="38221" hidden="1" x14ac:dyDescent="0.15"/>
    <row r="38222" hidden="1" x14ac:dyDescent="0.15"/>
    <row r="38223" hidden="1" x14ac:dyDescent="0.15"/>
    <row r="38224" hidden="1" x14ac:dyDescent="0.15"/>
    <row r="38225" hidden="1" x14ac:dyDescent="0.15"/>
    <row r="38226" hidden="1" x14ac:dyDescent="0.15"/>
    <row r="38227" hidden="1" x14ac:dyDescent="0.15"/>
    <row r="38228" hidden="1" x14ac:dyDescent="0.15"/>
    <row r="38229" hidden="1" x14ac:dyDescent="0.15"/>
    <row r="38230" hidden="1" x14ac:dyDescent="0.15"/>
    <row r="38231" hidden="1" x14ac:dyDescent="0.15"/>
    <row r="38232" hidden="1" x14ac:dyDescent="0.15"/>
    <row r="38233" hidden="1" x14ac:dyDescent="0.15"/>
    <row r="38234" hidden="1" x14ac:dyDescent="0.15"/>
    <row r="38235" hidden="1" x14ac:dyDescent="0.15"/>
    <row r="38236" hidden="1" x14ac:dyDescent="0.15"/>
    <row r="38237" hidden="1" x14ac:dyDescent="0.15"/>
    <row r="38238" hidden="1" x14ac:dyDescent="0.15"/>
    <row r="38239" hidden="1" x14ac:dyDescent="0.15"/>
    <row r="38240" hidden="1" x14ac:dyDescent="0.15"/>
    <row r="38241" hidden="1" x14ac:dyDescent="0.15"/>
    <row r="38242" hidden="1" x14ac:dyDescent="0.15"/>
    <row r="38243" hidden="1" x14ac:dyDescent="0.15"/>
    <row r="38244" hidden="1" x14ac:dyDescent="0.15"/>
    <row r="38245" hidden="1" x14ac:dyDescent="0.15"/>
    <row r="38246" hidden="1" x14ac:dyDescent="0.15"/>
    <row r="38247" hidden="1" x14ac:dyDescent="0.15"/>
    <row r="38248" hidden="1" x14ac:dyDescent="0.15"/>
    <row r="38249" hidden="1" x14ac:dyDescent="0.15"/>
    <row r="38250" hidden="1" x14ac:dyDescent="0.15"/>
    <row r="38251" hidden="1" x14ac:dyDescent="0.15"/>
    <row r="38252" hidden="1" x14ac:dyDescent="0.15"/>
    <row r="38253" hidden="1" x14ac:dyDescent="0.15"/>
    <row r="38254" hidden="1" x14ac:dyDescent="0.15"/>
    <row r="38255" hidden="1" x14ac:dyDescent="0.15"/>
    <row r="38256" hidden="1" x14ac:dyDescent="0.15"/>
    <row r="38257" hidden="1" x14ac:dyDescent="0.15"/>
    <row r="38258" hidden="1" x14ac:dyDescent="0.15"/>
    <row r="38259" hidden="1" x14ac:dyDescent="0.15"/>
    <row r="38260" hidden="1" x14ac:dyDescent="0.15"/>
    <row r="38261" hidden="1" x14ac:dyDescent="0.15"/>
    <row r="38262" hidden="1" x14ac:dyDescent="0.15"/>
    <row r="38263" hidden="1" x14ac:dyDescent="0.15"/>
    <row r="38264" hidden="1" x14ac:dyDescent="0.15"/>
    <row r="38265" hidden="1" x14ac:dyDescent="0.15"/>
    <row r="38266" hidden="1" x14ac:dyDescent="0.15"/>
    <row r="38267" hidden="1" x14ac:dyDescent="0.15"/>
    <row r="38268" hidden="1" x14ac:dyDescent="0.15"/>
    <row r="38269" hidden="1" x14ac:dyDescent="0.15"/>
    <row r="38270" hidden="1" x14ac:dyDescent="0.15"/>
    <row r="38271" hidden="1" x14ac:dyDescent="0.15"/>
    <row r="38272" hidden="1" x14ac:dyDescent="0.15"/>
    <row r="38273" hidden="1" x14ac:dyDescent="0.15"/>
    <row r="38274" hidden="1" x14ac:dyDescent="0.15"/>
    <row r="38275" hidden="1" x14ac:dyDescent="0.15"/>
    <row r="38276" hidden="1" x14ac:dyDescent="0.15"/>
    <row r="38277" hidden="1" x14ac:dyDescent="0.15"/>
    <row r="38278" hidden="1" x14ac:dyDescent="0.15"/>
    <row r="38279" hidden="1" x14ac:dyDescent="0.15"/>
    <row r="38280" hidden="1" x14ac:dyDescent="0.15"/>
    <row r="38281" hidden="1" x14ac:dyDescent="0.15"/>
    <row r="38282" hidden="1" x14ac:dyDescent="0.15"/>
    <row r="38283" hidden="1" x14ac:dyDescent="0.15"/>
    <row r="38284" hidden="1" x14ac:dyDescent="0.15"/>
    <row r="38285" hidden="1" x14ac:dyDescent="0.15"/>
    <row r="38286" hidden="1" x14ac:dyDescent="0.15"/>
    <row r="38287" hidden="1" x14ac:dyDescent="0.15"/>
    <row r="38288" hidden="1" x14ac:dyDescent="0.15"/>
    <row r="38289" hidden="1" x14ac:dyDescent="0.15"/>
    <row r="38290" hidden="1" x14ac:dyDescent="0.15"/>
    <row r="38291" hidden="1" x14ac:dyDescent="0.15"/>
    <row r="38292" hidden="1" x14ac:dyDescent="0.15"/>
    <row r="38293" hidden="1" x14ac:dyDescent="0.15"/>
    <row r="38294" hidden="1" x14ac:dyDescent="0.15"/>
    <row r="38295" hidden="1" x14ac:dyDescent="0.15"/>
    <row r="38296" hidden="1" x14ac:dyDescent="0.15"/>
    <row r="38297" hidden="1" x14ac:dyDescent="0.15"/>
    <row r="38298" hidden="1" x14ac:dyDescent="0.15"/>
    <row r="38299" hidden="1" x14ac:dyDescent="0.15"/>
    <row r="38300" hidden="1" x14ac:dyDescent="0.15"/>
    <row r="38301" hidden="1" x14ac:dyDescent="0.15"/>
    <row r="38302" hidden="1" x14ac:dyDescent="0.15"/>
    <row r="38303" hidden="1" x14ac:dyDescent="0.15"/>
    <row r="38304" hidden="1" x14ac:dyDescent="0.15"/>
    <row r="38305" hidden="1" x14ac:dyDescent="0.15"/>
    <row r="38306" hidden="1" x14ac:dyDescent="0.15"/>
    <row r="38307" hidden="1" x14ac:dyDescent="0.15"/>
    <row r="38308" hidden="1" x14ac:dyDescent="0.15"/>
    <row r="38309" hidden="1" x14ac:dyDescent="0.15"/>
    <row r="38310" hidden="1" x14ac:dyDescent="0.15"/>
    <row r="38311" hidden="1" x14ac:dyDescent="0.15"/>
    <row r="38312" hidden="1" x14ac:dyDescent="0.15"/>
    <row r="38313" hidden="1" x14ac:dyDescent="0.15"/>
    <row r="38314" hidden="1" x14ac:dyDescent="0.15"/>
    <row r="38315" hidden="1" x14ac:dyDescent="0.15"/>
    <row r="38316" hidden="1" x14ac:dyDescent="0.15"/>
    <row r="38317" hidden="1" x14ac:dyDescent="0.15"/>
    <row r="38318" hidden="1" x14ac:dyDescent="0.15"/>
    <row r="38319" hidden="1" x14ac:dyDescent="0.15"/>
    <row r="38320" hidden="1" x14ac:dyDescent="0.15"/>
    <row r="38321" hidden="1" x14ac:dyDescent="0.15"/>
    <row r="38322" hidden="1" x14ac:dyDescent="0.15"/>
    <row r="38323" hidden="1" x14ac:dyDescent="0.15"/>
    <row r="38324" hidden="1" x14ac:dyDescent="0.15"/>
    <row r="38325" hidden="1" x14ac:dyDescent="0.15"/>
    <row r="38326" hidden="1" x14ac:dyDescent="0.15"/>
    <row r="38327" hidden="1" x14ac:dyDescent="0.15"/>
    <row r="38328" hidden="1" x14ac:dyDescent="0.15"/>
    <row r="38329" hidden="1" x14ac:dyDescent="0.15"/>
    <row r="38330" hidden="1" x14ac:dyDescent="0.15"/>
    <row r="38331" hidden="1" x14ac:dyDescent="0.15"/>
    <row r="38332" hidden="1" x14ac:dyDescent="0.15"/>
    <row r="38333" hidden="1" x14ac:dyDescent="0.15"/>
    <row r="38334" hidden="1" x14ac:dyDescent="0.15"/>
    <row r="38335" hidden="1" x14ac:dyDescent="0.15"/>
    <row r="38336" hidden="1" x14ac:dyDescent="0.15"/>
    <row r="38337" hidden="1" x14ac:dyDescent="0.15"/>
    <row r="38338" hidden="1" x14ac:dyDescent="0.15"/>
    <row r="38339" hidden="1" x14ac:dyDescent="0.15"/>
    <row r="38340" hidden="1" x14ac:dyDescent="0.15"/>
    <row r="38341" hidden="1" x14ac:dyDescent="0.15"/>
    <row r="38342" hidden="1" x14ac:dyDescent="0.15"/>
    <row r="38343" hidden="1" x14ac:dyDescent="0.15"/>
    <row r="38344" hidden="1" x14ac:dyDescent="0.15"/>
    <row r="38345" hidden="1" x14ac:dyDescent="0.15"/>
    <row r="38346" hidden="1" x14ac:dyDescent="0.15"/>
    <row r="38347" hidden="1" x14ac:dyDescent="0.15"/>
    <row r="38348" hidden="1" x14ac:dyDescent="0.15"/>
    <row r="38349" hidden="1" x14ac:dyDescent="0.15"/>
    <row r="38350" hidden="1" x14ac:dyDescent="0.15"/>
    <row r="38351" hidden="1" x14ac:dyDescent="0.15"/>
    <row r="38352" hidden="1" x14ac:dyDescent="0.15"/>
    <row r="38353" hidden="1" x14ac:dyDescent="0.15"/>
    <row r="38354" hidden="1" x14ac:dyDescent="0.15"/>
    <row r="38355" hidden="1" x14ac:dyDescent="0.15"/>
    <row r="38356" hidden="1" x14ac:dyDescent="0.15"/>
    <row r="38357" hidden="1" x14ac:dyDescent="0.15"/>
    <row r="38358" hidden="1" x14ac:dyDescent="0.15"/>
    <row r="38359" hidden="1" x14ac:dyDescent="0.15"/>
    <row r="38360" hidden="1" x14ac:dyDescent="0.15"/>
    <row r="38361" hidden="1" x14ac:dyDescent="0.15"/>
    <row r="38362" hidden="1" x14ac:dyDescent="0.15"/>
    <row r="38363" hidden="1" x14ac:dyDescent="0.15"/>
    <row r="38364" hidden="1" x14ac:dyDescent="0.15"/>
    <row r="38365" hidden="1" x14ac:dyDescent="0.15"/>
    <row r="38366" hidden="1" x14ac:dyDescent="0.15"/>
    <row r="38367" hidden="1" x14ac:dyDescent="0.15"/>
    <row r="38368" hidden="1" x14ac:dyDescent="0.15"/>
    <row r="38369" hidden="1" x14ac:dyDescent="0.15"/>
    <row r="38370" hidden="1" x14ac:dyDescent="0.15"/>
    <row r="38371" hidden="1" x14ac:dyDescent="0.15"/>
    <row r="38372" hidden="1" x14ac:dyDescent="0.15"/>
    <row r="38373" hidden="1" x14ac:dyDescent="0.15"/>
    <row r="38374" hidden="1" x14ac:dyDescent="0.15"/>
    <row r="38375" hidden="1" x14ac:dyDescent="0.15"/>
    <row r="38376" hidden="1" x14ac:dyDescent="0.15"/>
    <row r="38377" hidden="1" x14ac:dyDescent="0.15"/>
    <row r="38378" hidden="1" x14ac:dyDescent="0.15"/>
    <row r="38379" hidden="1" x14ac:dyDescent="0.15"/>
    <row r="38380" hidden="1" x14ac:dyDescent="0.15"/>
    <row r="38381" hidden="1" x14ac:dyDescent="0.15"/>
    <row r="38382" hidden="1" x14ac:dyDescent="0.15"/>
    <row r="38383" hidden="1" x14ac:dyDescent="0.15"/>
    <row r="38384" hidden="1" x14ac:dyDescent="0.15"/>
    <row r="38385" hidden="1" x14ac:dyDescent="0.15"/>
    <row r="38386" hidden="1" x14ac:dyDescent="0.15"/>
    <row r="38387" hidden="1" x14ac:dyDescent="0.15"/>
    <row r="38388" hidden="1" x14ac:dyDescent="0.15"/>
    <row r="38389" hidden="1" x14ac:dyDescent="0.15"/>
    <row r="38390" hidden="1" x14ac:dyDescent="0.15"/>
    <row r="38391" hidden="1" x14ac:dyDescent="0.15"/>
    <row r="38392" hidden="1" x14ac:dyDescent="0.15"/>
    <row r="38393" hidden="1" x14ac:dyDescent="0.15"/>
    <row r="38394" hidden="1" x14ac:dyDescent="0.15"/>
    <row r="38395" hidden="1" x14ac:dyDescent="0.15"/>
    <row r="38396" hidden="1" x14ac:dyDescent="0.15"/>
    <row r="38397" hidden="1" x14ac:dyDescent="0.15"/>
    <row r="38398" hidden="1" x14ac:dyDescent="0.15"/>
    <row r="38399" hidden="1" x14ac:dyDescent="0.15"/>
    <row r="38400" hidden="1" x14ac:dyDescent="0.15"/>
    <row r="38401" hidden="1" x14ac:dyDescent="0.15"/>
    <row r="38402" hidden="1" x14ac:dyDescent="0.15"/>
    <row r="38403" hidden="1" x14ac:dyDescent="0.15"/>
    <row r="38404" hidden="1" x14ac:dyDescent="0.15"/>
    <row r="38405" hidden="1" x14ac:dyDescent="0.15"/>
    <row r="38406" hidden="1" x14ac:dyDescent="0.15"/>
    <row r="38407" hidden="1" x14ac:dyDescent="0.15"/>
    <row r="38408" hidden="1" x14ac:dyDescent="0.15"/>
    <row r="38409" hidden="1" x14ac:dyDescent="0.15"/>
    <row r="38410" hidden="1" x14ac:dyDescent="0.15"/>
    <row r="38411" hidden="1" x14ac:dyDescent="0.15"/>
    <row r="38412" hidden="1" x14ac:dyDescent="0.15"/>
    <row r="38413" hidden="1" x14ac:dyDescent="0.15"/>
    <row r="38414" hidden="1" x14ac:dyDescent="0.15"/>
    <row r="38415" hidden="1" x14ac:dyDescent="0.15"/>
    <row r="38416" hidden="1" x14ac:dyDescent="0.15"/>
    <row r="38417" hidden="1" x14ac:dyDescent="0.15"/>
    <row r="38418" hidden="1" x14ac:dyDescent="0.15"/>
    <row r="38419" hidden="1" x14ac:dyDescent="0.15"/>
    <row r="38420" hidden="1" x14ac:dyDescent="0.15"/>
    <row r="38421" hidden="1" x14ac:dyDescent="0.15"/>
    <row r="38422" hidden="1" x14ac:dyDescent="0.15"/>
    <row r="38423" hidden="1" x14ac:dyDescent="0.15"/>
    <row r="38424" hidden="1" x14ac:dyDescent="0.15"/>
    <row r="38425" hidden="1" x14ac:dyDescent="0.15"/>
    <row r="38426" hidden="1" x14ac:dyDescent="0.15"/>
    <row r="38427" hidden="1" x14ac:dyDescent="0.15"/>
    <row r="38428" hidden="1" x14ac:dyDescent="0.15"/>
    <row r="38429" hidden="1" x14ac:dyDescent="0.15"/>
    <row r="38430" hidden="1" x14ac:dyDescent="0.15"/>
    <row r="38431" hidden="1" x14ac:dyDescent="0.15"/>
    <row r="38432" hidden="1" x14ac:dyDescent="0.15"/>
    <row r="38433" hidden="1" x14ac:dyDescent="0.15"/>
    <row r="38434" hidden="1" x14ac:dyDescent="0.15"/>
    <row r="38435" hidden="1" x14ac:dyDescent="0.15"/>
    <row r="38436" hidden="1" x14ac:dyDescent="0.15"/>
    <row r="38437" hidden="1" x14ac:dyDescent="0.15"/>
    <row r="38438" hidden="1" x14ac:dyDescent="0.15"/>
    <row r="38439" hidden="1" x14ac:dyDescent="0.15"/>
    <row r="38440" hidden="1" x14ac:dyDescent="0.15"/>
    <row r="38441" hidden="1" x14ac:dyDescent="0.15"/>
    <row r="38442" hidden="1" x14ac:dyDescent="0.15"/>
    <row r="38443" hidden="1" x14ac:dyDescent="0.15"/>
    <row r="38444" hidden="1" x14ac:dyDescent="0.15"/>
    <row r="38445" hidden="1" x14ac:dyDescent="0.15"/>
    <row r="38446" hidden="1" x14ac:dyDescent="0.15"/>
    <row r="38447" hidden="1" x14ac:dyDescent="0.15"/>
    <row r="38448" hidden="1" x14ac:dyDescent="0.15"/>
    <row r="38449" hidden="1" x14ac:dyDescent="0.15"/>
    <row r="38450" hidden="1" x14ac:dyDescent="0.15"/>
    <row r="38451" hidden="1" x14ac:dyDescent="0.15"/>
    <row r="38452" hidden="1" x14ac:dyDescent="0.15"/>
    <row r="38453" hidden="1" x14ac:dyDescent="0.15"/>
    <row r="38454" hidden="1" x14ac:dyDescent="0.15"/>
    <row r="38455" hidden="1" x14ac:dyDescent="0.15"/>
    <row r="38456" hidden="1" x14ac:dyDescent="0.15"/>
    <row r="38457" hidden="1" x14ac:dyDescent="0.15"/>
    <row r="38458" hidden="1" x14ac:dyDescent="0.15"/>
    <row r="38459" hidden="1" x14ac:dyDescent="0.15"/>
    <row r="38460" hidden="1" x14ac:dyDescent="0.15"/>
    <row r="38461" hidden="1" x14ac:dyDescent="0.15"/>
    <row r="38462" hidden="1" x14ac:dyDescent="0.15"/>
    <row r="38463" hidden="1" x14ac:dyDescent="0.15"/>
    <row r="38464" hidden="1" x14ac:dyDescent="0.15"/>
    <row r="38465" hidden="1" x14ac:dyDescent="0.15"/>
    <row r="38466" hidden="1" x14ac:dyDescent="0.15"/>
    <row r="38467" hidden="1" x14ac:dyDescent="0.15"/>
    <row r="38468" hidden="1" x14ac:dyDescent="0.15"/>
    <row r="38469" hidden="1" x14ac:dyDescent="0.15"/>
    <row r="38470" hidden="1" x14ac:dyDescent="0.15"/>
    <row r="38471" hidden="1" x14ac:dyDescent="0.15"/>
    <row r="38472" hidden="1" x14ac:dyDescent="0.15"/>
    <row r="38473" hidden="1" x14ac:dyDescent="0.15"/>
    <row r="38474" hidden="1" x14ac:dyDescent="0.15"/>
    <row r="38475" hidden="1" x14ac:dyDescent="0.15"/>
    <row r="38476" hidden="1" x14ac:dyDescent="0.15"/>
    <row r="38477" hidden="1" x14ac:dyDescent="0.15"/>
    <row r="38478" hidden="1" x14ac:dyDescent="0.15"/>
    <row r="38479" hidden="1" x14ac:dyDescent="0.15"/>
    <row r="38480" hidden="1" x14ac:dyDescent="0.15"/>
    <row r="38481" hidden="1" x14ac:dyDescent="0.15"/>
    <row r="38482" hidden="1" x14ac:dyDescent="0.15"/>
    <row r="38483" hidden="1" x14ac:dyDescent="0.15"/>
    <row r="38484" hidden="1" x14ac:dyDescent="0.15"/>
    <row r="38485" hidden="1" x14ac:dyDescent="0.15"/>
    <row r="38486" hidden="1" x14ac:dyDescent="0.15"/>
    <row r="38487" hidden="1" x14ac:dyDescent="0.15"/>
    <row r="38488" hidden="1" x14ac:dyDescent="0.15"/>
    <row r="38489" hidden="1" x14ac:dyDescent="0.15"/>
    <row r="38490" hidden="1" x14ac:dyDescent="0.15"/>
    <row r="38491" hidden="1" x14ac:dyDescent="0.15"/>
    <row r="38492" hidden="1" x14ac:dyDescent="0.15"/>
    <row r="38493" hidden="1" x14ac:dyDescent="0.15"/>
    <row r="38494" hidden="1" x14ac:dyDescent="0.15"/>
    <row r="38495" hidden="1" x14ac:dyDescent="0.15"/>
    <row r="38496" hidden="1" x14ac:dyDescent="0.15"/>
    <row r="38497" hidden="1" x14ac:dyDescent="0.15"/>
    <row r="38498" hidden="1" x14ac:dyDescent="0.15"/>
    <row r="38499" hidden="1" x14ac:dyDescent="0.15"/>
    <row r="38500" hidden="1" x14ac:dyDescent="0.15"/>
    <row r="38501" hidden="1" x14ac:dyDescent="0.15"/>
    <row r="38502" hidden="1" x14ac:dyDescent="0.15"/>
    <row r="38503" hidden="1" x14ac:dyDescent="0.15"/>
    <row r="38504" hidden="1" x14ac:dyDescent="0.15"/>
    <row r="38505" hidden="1" x14ac:dyDescent="0.15"/>
    <row r="38506" hidden="1" x14ac:dyDescent="0.15"/>
    <row r="38507" hidden="1" x14ac:dyDescent="0.15"/>
    <row r="38508" hidden="1" x14ac:dyDescent="0.15"/>
    <row r="38509" hidden="1" x14ac:dyDescent="0.15"/>
    <row r="38510" hidden="1" x14ac:dyDescent="0.15"/>
    <row r="38511" hidden="1" x14ac:dyDescent="0.15"/>
    <row r="38512" hidden="1" x14ac:dyDescent="0.15"/>
    <row r="38513" hidden="1" x14ac:dyDescent="0.15"/>
    <row r="38514" hidden="1" x14ac:dyDescent="0.15"/>
    <row r="38515" hidden="1" x14ac:dyDescent="0.15"/>
    <row r="38516" hidden="1" x14ac:dyDescent="0.15"/>
    <row r="38517" hidden="1" x14ac:dyDescent="0.15"/>
    <row r="38518" hidden="1" x14ac:dyDescent="0.15"/>
    <row r="38519" hidden="1" x14ac:dyDescent="0.15"/>
    <row r="38520" hidden="1" x14ac:dyDescent="0.15"/>
    <row r="38521" hidden="1" x14ac:dyDescent="0.15"/>
    <row r="38522" hidden="1" x14ac:dyDescent="0.15"/>
    <row r="38523" hidden="1" x14ac:dyDescent="0.15"/>
    <row r="38524" hidden="1" x14ac:dyDescent="0.15"/>
    <row r="38525" hidden="1" x14ac:dyDescent="0.15"/>
    <row r="38526" hidden="1" x14ac:dyDescent="0.15"/>
    <row r="38527" hidden="1" x14ac:dyDescent="0.15"/>
    <row r="38528" hidden="1" x14ac:dyDescent="0.15"/>
    <row r="38529" hidden="1" x14ac:dyDescent="0.15"/>
    <row r="38530" hidden="1" x14ac:dyDescent="0.15"/>
    <row r="38531" hidden="1" x14ac:dyDescent="0.15"/>
    <row r="38532" hidden="1" x14ac:dyDescent="0.15"/>
    <row r="38533" hidden="1" x14ac:dyDescent="0.15"/>
    <row r="38534" hidden="1" x14ac:dyDescent="0.15"/>
    <row r="38535" hidden="1" x14ac:dyDescent="0.15"/>
    <row r="38536" hidden="1" x14ac:dyDescent="0.15"/>
    <row r="38537" hidden="1" x14ac:dyDescent="0.15"/>
    <row r="38538" hidden="1" x14ac:dyDescent="0.15"/>
    <row r="38539" hidden="1" x14ac:dyDescent="0.15"/>
    <row r="38540" hidden="1" x14ac:dyDescent="0.15"/>
    <row r="38541" hidden="1" x14ac:dyDescent="0.15"/>
    <row r="38542" hidden="1" x14ac:dyDescent="0.15"/>
    <row r="38543" hidden="1" x14ac:dyDescent="0.15"/>
    <row r="38544" hidden="1" x14ac:dyDescent="0.15"/>
    <row r="38545" hidden="1" x14ac:dyDescent="0.15"/>
    <row r="38546" hidden="1" x14ac:dyDescent="0.15"/>
    <row r="38547" hidden="1" x14ac:dyDescent="0.15"/>
    <row r="38548" hidden="1" x14ac:dyDescent="0.15"/>
    <row r="38549" hidden="1" x14ac:dyDescent="0.15"/>
    <row r="38550" hidden="1" x14ac:dyDescent="0.15"/>
    <row r="38551" hidden="1" x14ac:dyDescent="0.15"/>
    <row r="38552" hidden="1" x14ac:dyDescent="0.15"/>
    <row r="38553" hidden="1" x14ac:dyDescent="0.15"/>
    <row r="38554" hidden="1" x14ac:dyDescent="0.15"/>
    <row r="38555" hidden="1" x14ac:dyDescent="0.15"/>
    <row r="38556" hidden="1" x14ac:dyDescent="0.15"/>
    <row r="38557" hidden="1" x14ac:dyDescent="0.15"/>
    <row r="38558" hidden="1" x14ac:dyDescent="0.15"/>
    <row r="38559" hidden="1" x14ac:dyDescent="0.15"/>
    <row r="38560" hidden="1" x14ac:dyDescent="0.15"/>
    <row r="38561" hidden="1" x14ac:dyDescent="0.15"/>
    <row r="38562" hidden="1" x14ac:dyDescent="0.15"/>
    <row r="38563" hidden="1" x14ac:dyDescent="0.15"/>
    <row r="38564" hidden="1" x14ac:dyDescent="0.15"/>
    <row r="38565" hidden="1" x14ac:dyDescent="0.15"/>
    <row r="38566" hidden="1" x14ac:dyDescent="0.15"/>
    <row r="38567" hidden="1" x14ac:dyDescent="0.15"/>
    <row r="38568" hidden="1" x14ac:dyDescent="0.15"/>
    <row r="38569" hidden="1" x14ac:dyDescent="0.15"/>
    <row r="38570" hidden="1" x14ac:dyDescent="0.15"/>
    <row r="38571" hidden="1" x14ac:dyDescent="0.15"/>
    <row r="38572" hidden="1" x14ac:dyDescent="0.15"/>
    <row r="38573" hidden="1" x14ac:dyDescent="0.15"/>
    <row r="38574" hidden="1" x14ac:dyDescent="0.15"/>
    <row r="38575" hidden="1" x14ac:dyDescent="0.15"/>
    <row r="38576" hidden="1" x14ac:dyDescent="0.15"/>
    <row r="38577" hidden="1" x14ac:dyDescent="0.15"/>
    <row r="38578" hidden="1" x14ac:dyDescent="0.15"/>
    <row r="38579" hidden="1" x14ac:dyDescent="0.15"/>
    <row r="38580" hidden="1" x14ac:dyDescent="0.15"/>
    <row r="38581" hidden="1" x14ac:dyDescent="0.15"/>
    <row r="38582" hidden="1" x14ac:dyDescent="0.15"/>
    <row r="38583" hidden="1" x14ac:dyDescent="0.15"/>
    <row r="38584" hidden="1" x14ac:dyDescent="0.15"/>
    <row r="38585" hidden="1" x14ac:dyDescent="0.15"/>
    <row r="38586" hidden="1" x14ac:dyDescent="0.15"/>
    <row r="38587" hidden="1" x14ac:dyDescent="0.15"/>
    <row r="38588" hidden="1" x14ac:dyDescent="0.15"/>
    <row r="38589" hidden="1" x14ac:dyDescent="0.15"/>
    <row r="38590" hidden="1" x14ac:dyDescent="0.15"/>
    <row r="38591" hidden="1" x14ac:dyDescent="0.15"/>
    <row r="38592" hidden="1" x14ac:dyDescent="0.15"/>
    <row r="38593" hidden="1" x14ac:dyDescent="0.15"/>
    <row r="38594" hidden="1" x14ac:dyDescent="0.15"/>
    <row r="38595" hidden="1" x14ac:dyDescent="0.15"/>
    <row r="38596" hidden="1" x14ac:dyDescent="0.15"/>
    <row r="38597" hidden="1" x14ac:dyDescent="0.15"/>
    <row r="38598" hidden="1" x14ac:dyDescent="0.15"/>
    <row r="38599" hidden="1" x14ac:dyDescent="0.15"/>
    <row r="38600" hidden="1" x14ac:dyDescent="0.15"/>
    <row r="38601" hidden="1" x14ac:dyDescent="0.15"/>
    <row r="38602" hidden="1" x14ac:dyDescent="0.15"/>
    <row r="38603" hidden="1" x14ac:dyDescent="0.15"/>
    <row r="38604" hidden="1" x14ac:dyDescent="0.15"/>
    <row r="38605" hidden="1" x14ac:dyDescent="0.15"/>
    <row r="38606" hidden="1" x14ac:dyDescent="0.15"/>
    <row r="38607" hidden="1" x14ac:dyDescent="0.15"/>
    <row r="38608" hidden="1" x14ac:dyDescent="0.15"/>
    <row r="38609" hidden="1" x14ac:dyDescent="0.15"/>
    <row r="38610" hidden="1" x14ac:dyDescent="0.15"/>
    <row r="38611" hidden="1" x14ac:dyDescent="0.15"/>
    <row r="38612" hidden="1" x14ac:dyDescent="0.15"/>
    <row r="38613" hidden="1" x14ac:dyDescent="0.15"/>
    <row r="38614" hidden="1" x14ac:dyDescent="0.15"/>
    <row r="38615" hidden="1" x14ac:dyDescent="0.15"/>
    <row r="38616" hidden="1" x14ac:dyDescent="0.15"/>
    <row r="38617" hidden="1" x14ac:dyDescent="0.15"/>
    <row r="38618" hidden="1" x14ac:dyDescent="0.15"/>
    <row r="38619" hidden="1" x14ac:dyDescent="0.15"/>
    <row r="38620" hidden="1" x14ac:dyDescent="0.15"/>
    <row r="38621" hidden="1" x14ac:dyDescent="0.15"/>
    <row r="38622" hidden="1" x14ac:dyDescent="0.15"/>
    <row r="38623" hidden="1" x14ac:dyDescent="0.15"/>
    <row r="38624" hidden="1" x14ac:dyDescent="0.15"/>
    <row r="38625" hidden="1" x14ac:dyDescent="0.15"/>
    <row r="38626" hidden="1" x14ac:dyDescent="0.15"/>
    <row r="38627" hidden="1" x14ac:dyDescent="0.15"/>
    <row r="38628" hidden="1" x14ac:dyDescent="0.15"/>
    <row r="38629" hidden="1" x14ac:dyDescent="0.15"/>
    <row r="38630" hidden="1" x14ac:dyDescent="0.15"/>
    <row r="38631" hidden="1" x14ac:dyDescent="0.15"/>
    <row r="38632" hidden="1" x14ac:dyDescent="0.15"/>
    <row r="38633" hidden="1" x14ac:dyDescent="0.15"/>
    <row r="38634" hidden="1" x14ac:dyDescent="0.15"/>
    <row r="38635" hidden="1" x14ac:dyDescent="0.15"/>
    <row r="38636" hidden="1" x14ac:dyDescent="0.15"/>
    <row r="38637" hidden="1" x14ac:dyDescent="0.15"/>
    <row r="38638" hidden="1" x14ac:dyDescent="0.15"/>
    <row r="38639" hidden="1" x14ac:dyDescent="0.15"/>
    <row r="38640" hidden="1" x14ac:dyDescent="0.15"/>
    <row r="38641" hidden="1" x14ac:dyDescent="0.15"/>
    <row r="38642" hidden="1" x14ac:dyDescent="0.15"/>
    <row r="38643" hidden="1" x14ac:dyDescent="0.15"/>
    <row r="38644" hidden="1" x14ac:dyDescent="0.15"/>
    <row r="38645" hidden="1" x14ac:dyDescent="0.15"/>
    <row r="38646" hidden="1" x14ac:dyDescent="0.15"/>
    <row r="38647" hidden="1" x14ac:dyDescent="0.15"/>
    <row r="38648" hidden="1" x14ac:dyDescent="0.15"/>
    <row r="38649" hidden="1" x14ac:dyDescent="0.15"/>
    <row r="38650" hidden="1" x14ac:dyDescent="0.15"/>
    <row r="38651" hidden="1" x14ac:dyDescent="0.15"/>
    <row r="38652" hidden="1" x14ac:dyDescent="0.15"/>
    <row r="38653" hidden="1" x14ac:dyDescent="0.15"/>
    <row r="38654" hidden="1" x14ac:dyDescent="0.15"/>
    <row r="38655" hidden="1" x14ac:dyDescent="0.15"/>
    <row r="38656" hidden="1" x14ac:dyDescent="0.15"/>
    <row r="38657" hidden="1" x14ac:dyDescent="0.15"/>
    <row r="38658" hidden="1" x14ac:dyDescent="0.15"/>
    <row r="38659" hidden="1" x14ac:dyDescent="0.15"/>
    <row r="38660" hidden="1" x14ac:dyDescent="0.15"/>
    <row r="38661" hidden="1" x14ac:dyDescent="0.15"/>
    <row r="38662" hidden="1" x14ac:dyDescent="0.15"/>
    <row r="38663" hidden="1" x14ac:dyDescent="0.15"/>
    <row r="38664" hidden="1" x14ac:dyDescent="0.15"/>
    <row r="38665" hidden="1" x14ac:dyDescent="0.15"/>
    <row r="38666" hidden="1" x14ac:dyDescent="0.15"/>
    <row r="38667" hidden="1" x14ac:dyDescent="0.15"/>
    <row r="38668" hidden="1" x14ac:dyDescent="0.15"/>
    <row r="38669" hidden="1" x14ac:dyDescent="0.15"/>
    <row r="38670" hidden="1" x14ac:dyDescent="0.15"/>
    <row r="38671" hidden="1" x14ac:dyDescent="0.15"/>
    <row r="38672" hidden="1" x14ac:dyDescent="0.15"/>
    <row r="38673" hidden="1" x14ac:dyDescent="0.15"/>
    <row r="38674" hidden="1" x14ac:dyDescent="0.15"/>
    <row r="38675" hidden="1" x14ac:dyDescent="0.15"/>
    <row r="38676" hidden="1" x14ac:dyDescent="0.15"/>
    <row r="38677" hidden="1" x14ac:dyDescent="0.15"/>
    <row r="38678" hidden="1" x14ac:dyDescent="0.15"/>
    <row r="38679" hidden="1" x14ac:dyDescent="0.15"/>
    <row r="38680" hidden="1" x14ac:dyDescent="0.15"/>
    <row r="38681" hidden="1" x14ac:dyDescent="0.15"/>
    <row r="38682" hidden="1" x14ac:dyDescent="0.15"/>
    <row r="38683" hidden="1" x14ac:dyDescent="0.15"/>
    <row r="38684" hidden="1" x14ac:dyDescent="0.15"/>
    <row r="38685" hidden="1" x14ac:dyDescent="0.15"/>
    <row r="38686" hidden="1" x14ac:dyDescent="0.15"/>
    <row r="38687" hidden="1" x14ac:dyDescent="0.15"/>
    <row r="38688" hidden="1" x14ac:dyDescent="0.15"/>
    <row r="38689" hidden="1" x14ac:dyDescent="0.15"/>
    <row r="38690" hidden="1" x14ac:dyDescent="0.15"/>
    <row r="38691" hidden="1" x14ac:dyDescent="0.15"/>
    <row r="38692" hidden="1" x14ac:dyDescent="0.15"/>
    <row r="38693" hidden="1" x14ac:dyDescent="0.15"/>
    <row r="38694" hidden="1" x14ac:dyDescent="0.15"/>
    <row r="38695" hidden="1" x14ac:dyDescent="0.15"/>
    <row r="38696" hidden="1" x14ac:dyDescent="0.15"/>
    <row r="38697" hidden="1" x14ac:dyDescent="0.15"/>
    <row r="38698" hidden="1" x14ac:dyDescent="0.15"/>
    <row r="38699" hidden="1" x14ac:dyDescent="0.15"/>
    <row r="38700" hidden="1" x14ac:dyDescent="0.15"/>
    <row r="38701" hidden="1" x14ac:dyDescent="0.15"/>
    <row r="38702" hidden="1" x14ac:dyDescent="0.15"/>
    <row r="38703" hidden="1" x14ac:dyDescent="0.15"/>
    <row r="38704" hidden="1" x14ac:dyDescent="0.15"/>
    <row r="38705" hidden="1" x14ac:dyDescent="0.15"/>
    <row r="38706" hidden="1" x14ac:dyDescent="0.15"/>
    <row r="38707" hidden="1" x14ac:dyDescent="0.15"/>
    <row r="38708" hidden="1" x14ac:dyDescent="0.15"/>
    <row r="38709" hidden="1" x14ac:dyDescent="0.15"/>
    <row r="38710" hidden="1" x14ac:dyDescent="0.15"/>
    <row r="38711" hidden="1" x14ac:dyDescent="0.15"/>
    <row r="38712" hidden="1" x14ac:dyDescent="0.15"/>
    <row r="38713" hidden="1" x14ac:dyDescent="0.15"/>
    <row r="38714" hidden="1" x14ac:dyDescent="0.15"/>
    <row r="38715" hidden="1" x14ac:dyDescent="0.15"/>
    <row r="38716" hidden="1" x14ac:dyDescent="0.15"/>
    <row r="38717" hidden="1" x14ac:dyDescent="0.15"/>
    <row r="38718" hidden="1" x14ac:dyDescent="0.15"/>
    <row r="38719" hidden="1" x14ac:dyDescent="0.15"/>
    <row r="38720" hidden="1" x14ac:dyDescent="0.15"/>
    <row r="38721" hidden="1" x14ac:dyDescent="0.15"/>
    <row r="38722" hidden="1" x14ac:dyDescent="0.15"/>
    <row r="38723" hidden="1" x14ac:dyDescent="0.15"/>
    <row r="38724" hidden="1" x14ac:dyDescent="0.15"/>
    <row r="38725" hidden="1" x14ac:dyDescent="0.15"/>
    <row r="38726" hidden="1" x14ac:dyDescent="0.15"/>
    <row r="38727" hidden="1" x14ac:dyDescent="0.15"/>
    <row r="38728" hidden="1" x14ac:dyDescent="0.15"/>
    <row r="38729" hidden="1" x14ac:dyDescent="0.15"/>
    <row r="38730" hidden="1" x14ac:dyDescent="0.15"/>
    <row r="38731" hidden="1" x14ac:dyDescent="0.15"/>
    <row r="38732" hidden="1" x14ac:dyDescent="0.15"/>
    <row r="38733" hidden="1" x14ac:dyDescent="0.15"/>
    <row r="38734" hidden="1" x14ac:dyDescent="0.15"/>
    <row r="38735" hidden="1" x14ac:dyDescent="0.15"/>
    <row r="38736" hidden="1" x14ac:dyDescent="0.15"/>
    <row r="38737" hidden="1" x14ac:dyDescent="0.15"/>
    <row r="38738" hidden="1" x14ac:dyDescent="0.15"/>
    <row r="38739" hidden="1" x14ac:dyDescent="0.15"/>
    <row r="38740" hidden="1" x14ac:dyDescent="0.15"/>
    <row r="38741" hidden="1" x14ac:dyDescent="0.15"/>
    <row r="38742" hidden="1" x14ac:dyDescent="0.15"/>
    <row r="38743" hidden="1" x14ac:dyDescent="0.15"/>
    <row r="38744" hidden="1" x14ac:dyDescent="0.15"/>
    <row r="38745" hidden="1" x14ac:dyDescent="0.15"/>
    <row r="38746" hidden="1" x14ac:dyDescent="0.15"/>
    <row r="38747" hidden="1" x14ac:dyDescent="0.15"/>
    <row r="38748" hidden="1" x14ac:dyDescent="0.15"/>
    <row r="38749" hidden="1" x14ac:dyDescent="0.15"/>
    <row r="38750" hidden="1" x14ac:dyDescent="0.15"/>
    <row r="38751" hidden="1" x14ac:dyDescent="0.15"/>
    <row r="38752" hidden="1" x14ac:dyDescent="0.15"/>
    <row r="38753" hidden="1" x14ac:dyDescent="0.15"/>
    <row r="38754" hidden="1" x14ac:dyDescent="0.15"/>
    <row r="38755" hidden="1" x14ac:dyDescent="0.15"/>
    <row r="38756" hidden="1" x14ac:dyDescent="0.15"/>
    <row r="38757" hidden="1" x14ac:dyDescent="0.15"/>
    <row r="38758" hidden="1" x14ac:dyDescent="0.15"/>
    <row r="38759" hidden="1" x14ac:dyDescent="0.15"/>
    <row r="38760" hidden="1" x14ac:dyDescent="0.15"/>
    <row r="38761" hidden="1" x14ac:dyDescent="0.15"/>
    <row r="38762" hidden="1" x14ac:dyDescent="0.15"/>
    <row r="38763" hidden="1" x14ac:dyDescent="0.15"/>
    <row r="38764" hidden="1" x14ac:dyDescent="0.15"/>
    <row r="38765" hidden="1" x14ac:dyDescent="0.15"/>
    <row r="38766" hidden="1" x14ac:dyDescent="0.15"/>
    <row r="38767" hidden="1" x14ac:dyDescent="0.15"/>
    <row r="38768" hidden="1" x14ac:dyDescent="0.15"/>
    <row r="38769" hidden="1" x14ac:dyDescent="0.15"/>
    <row r="38770" hidden="1" x14ac:dyDescent="0.15"/>
    <row r="38771" hidden="1" x14ac:dyDescent="0.15"/>
    <row r="38772" hidden="1" x14ac:dyDescent="0.15"/>
    <row r="38773" hidden="1" x14ac:dyDescent="0.15"/>
    <row r="38774" hidden="1" x14ac:dyDescent="0.15"/>
    <row r="38775" hidden="1" x14ac:dyDescent="0.15"/>
    <row r="38776" hidden="1" x14ac:dyDescent="0.15"/>
    <row r="38777" hidden="1" x14ac:dyDescent="0.15"/>
    <row r="38778" hidden="1" x14ac:dyDescent="0.15"/>
    <row r="38779" hidden="1" x14ac:dyDescent="0.15"/>
    <row r="38780" hidden="1" x14ac:dyDescent="0.15"/>
    <row r="38781" hidden="1" x14ac:dyDescent="0.15"/>
    <row r="38782" hidden="1" x14ac:dyDescent="0.15"/>
    <row r="38783" hidden="1" x14ac:dyDescent="0.15"/>
    <row r="38784" hidden="1" x14ac:dyDescent="0.15"/>
    <row r="38785" hidden="1" x14ac:dyDescent="0.15"/>
    <row r="38786" hidden="1" x14ac:dyDescent="0.15"/>
    <row r="38787" hidden="1" x14ac:dyDescent="0.15"/>
    <row r="38788" hidden="1" x14ac:dyDescent="0.15"/>
    <row r="38789" hidden="1" x14ac:dyDescent="0.15"/>
    <row r="38790" hidden="1" x14ac:dyDescent="0.15"/>
    <row r="38791" hidden="1" x14ac:dyDescent="0.15"/>
    <row r="38792" hidden="1" x14ac:dyDescent="0.15"/>
    <row r="38793" hidden="1" x14ac:dyDescent="0.15"/>
    <row r="38794" hidden="1" x14ac:dyDescent="0.15"/>
    <row r="38795" hidden="1" x14ac:dyDescent="0.15"/>
    <row r="38796" hidden="1" x14ac:dyDescent="0.15"/>
    <row r="38797" hidden="1" x14ac:dyDescent="0.15"/>
    <row r="38798" hidden="1" x14ac:dyDescent="0.15"/>
    <row r="38799" hidden="1" x14ac:dyDescent="0.15"/>
    <row r="38800" hidden="1" x14ac:dyDescent="0.15"/>
    <row r="38801" hidden="1" x14ac:dyDescent="0.15"/>
    <row r="38802" hidden="1" x14ac:dyDescent="0.15"/>
    <row r="38803" hidden="1" x14ac:dyDescent="0.15"/>
    <row r="38804" hidden="1" x14ac:dyDescent="0.15"/>
    <row r="38805" hidden="1" x14ac:dyDescent="0.15"/>
    <row r="38806" hidden="1" x14ac:dyDescent="0.15"/>
    <row r="38807" hidden="1" x14ac:dyDescent="0.15"/>
    <row r="38808" hidden="1" x14ac:dyDescent="0.15"/>
    <row r="38809" hidden="1" x14ac:dyDescent="0.15"/>
    <row r="38810" hidden="1" x14ac:dyDescent="0.15"/>
    <row r="38811" hidden="1" x14ac:dyDescent="0.15"/>
    <row r="38812" hidden="1" x14ac:dyDescent="0.15"/>
    <row r="38813" hidden="1" x14ac:dyDescent="0.15"/>
    <row r="38814" hidden="1" x14ac:dyDescent="0.15"/>
    <row r="38815" hidden="1" x14ac:dyDescent="0.15"/>
    <row r="38816" hidden="1" x14ac:dyDescent="0.15"/>
    <row r="38817" hidden="1" x14ac:dyDescent="0.15"/>
    <row r="38818" hidden="1" x14ac:dyDescent="0.15"/>
    <row r="38819" hidden="1" x14ac:dyDescent="0.15"/>
    <row r="38820" hidden="1" x14ac:dyDescent="0.15"/>
    <row r="38821" hidden="1" x14ac:dyDescent="0.15"/>
    <row r="38822" hidden="1" x14ac:dyDescent="0.15"/>
    <row r="38823" hidden="1" x14ac:dyDescent="0.15"/>
    <row r="38824" hidden="1" x14ac:dyDescent="0.15"/>
    <row r="38825" hidden="1" x14ac:dyDescent="0.15"/>
    <row r="38826" hidden="1" x14ac:dyDescent="0.15"/>
    <row r="38827" hidden="1" x14ac:dyDescent="0.15"/>
    <row r="38828" hidden="1" x14ac:dyDescent="0.15"/>
    <row r="38829" hidden="1" x14ac:dyDescent="0.15"/>
    <row r="38830" hidden="1" x14ac:dyDescent="0.15"/>
    <row r="38831" hidden="1" x14ac:dyDescent="0.15"/>
    <row r="38832" hidden="1" x14ac:dyDescent="0.15"/>
    <row r="38833" hidden="1" x14ac:dyDescent="0.15"/>
    <row r="38834" hidden="1" x14ac:dyDescent="0.15"/>
    <row r="38835" hidden="1" x14ac:dyDescent="0.15"/>
    <row r="38836" hidden="1" x14ac:dyDescent="0.15"/>
    <row r="38837" hidden="1" x14ac:dyDescent="0.15"/>
    <row r="38838" hidden="1" x14ac:dyDescent="0.15"/>
    <row r="38839" hidden="1" x14ac:dyDescent="0.15"/>
    <row r="38840" hidden="1" x14ac:dyDescent="0.15"/>
    <row r="38841" hidden="1" x14ac:dyDescent="0.15"/>
    <row r="38842" hidden="1" x14ac:dyDescent="0.15"/>
    <row r="38843" hidden="1" x14ac:dyDescent="0.15"/>
    <row r="38844" hidden="1" x14ac:dyDescent="0.15"/>
    <row r="38845" hidden="1" x14ac:dyDescent="0.15"/>
    <row r="38846" hidden="1" x14ac:dyDescent="0.15"/>
    <row r="38847" hidden="1" x14ac:dyDescent="0.15"/>
    <row r="38848" hidden="1" x14ac:dyDescent="0.15"/>
    <row r="38849" hidden="1" x14ac:dyDescent="0.15"/>
    <row r="38850" hidden="1" x14ac:dyDescent="0.15"/>
    <row r="38851" hidden="1" x14ac:dyDescent="0.15"/>
    <row r="38852" hidden="1" x14ac:dyDescent="0.15"/>
    <row r="38853" hidden="1" x14ac:dyDescent="0.15"/>
    <row r="38854" hidden="1" x14ac:dyDescent="0.15"/>
    <row r="38855" hidden="1" x14ac:dyDescent="0.15"/>
    <row r="38856" hidden="1" x14ac:dyDescent="0.15"/>
    <row r="38857" hidden="1" x14ac:dyDescent="0.15"/>
    <row r="38858" hidden="1" x14ac:dyDescent="0.15"/>
    <row r="38859" hidden="1" x14ac:dyDescent="0.15"/>
    <row r="38860" hidden="1" x14ac:dyDescent="0.15"/>
    <row r="38861" hidden="1" x14ac:dyDescent="0.15"/>
    <row r="38862" hidden="1" x14ac:dyDescent="0.15"/>
    <row r="38863" hidden="1" x14ac:dyDescent="0.15"/>
    <row r="38864" hidden="1" x14ac:dyDescent="0.15"/>
    <row r="38865" hidden="1" x14ac:dyDescent="0.15"/>
    <row r="38866" hidden="1" x14ac:dyDescent="0.15"/>
    <row r="38867" hidden="1" x14ac:dyDescent="0.15"/>
    <row r="38868" hidden="1" x14ac:dyDescent="0.15"/>
    <row r="38869" hidden="1" x14ac:dyDescent="0.15"/>
    <row r="38870" hidden="1" x14ac:dyDescent="0.15"/>
    <row r="38871" hidden="1" x14ac:dyDescent="0.15"/>
    <row r="38872" hidden="1" x14ac:dyDescent="0.15"/>
    <row r="38873" hidden="1" x14ac:dyDescent="0.15"/>
    <row r="38874" hidden="1" x14ac:dyDescent="0.15"/>
    <row r="38875" hidden="1" x14ac:dyDescent="0.15"/>
    <row r="38876" hidden="1" x14ac:dyDescent="0.15"/>
    <row r="38877" hidden="1" x14ac:dyDescent="0.15"/>
    <row r="38878" hidden="1" x14ac:dyDescent="0.15"/>
    <row r="38879" hidden="1" x14ac:dyDescent="0.15"/>
    <row r="38880" hidden="1" x14ac:dyDescent="0.15"/>
    <row r="38881" hidden="1" x14ac:dyDescent="0.15"/>
    <row r="38882" hidden="1" x14ac:dyDescent="0.15"/>
    <row r="38883" hidden="1" x14ac:dyDescent="0.15"/>
    <row r="38884" hidden="1" x14ac:dyDescent="0.15"/>
    <row r="38885" hidden="1" x14ac:dyDescent="0.15"/>
    <row r="38886" hidden="1" x14ac:dyDescent="0.15"/>
    <row r="38887" hidden="1" x14ac:dyDescent="0.15"/>
    <row r="38888" hidden="1" x14ac:dyDescent="0.15"/>
    <row r="38889" hidden="1" x14ac:dyDescent="0.15"/>
    <row r="38890" hidden="1" x14ac:dyDescent="0.15"/>
    <row r="38891" hidden="1" x14ac:dyDescent="0.15"/>
    <row r="38892" hidden="1" x14ac:dyDescent="0.15"/>
    <row r="38893" hidden="1" x14ac:dyDescent="0.15"/>
    <row r="38894" hidden="1" x14ac:dyDescent="0.15"/>
    <row r="38895" hidden="1" x14ac:dyDescent="0.15"/>
    <row r="38896" hidden="1" x14ac:dyDescent="0.15"/>
    <row r="38897" hidden="1" x14ac:dyDescent="0.15"/>
    <row r="38898" hidden="1" x14ac:dyDescent="0.15"/>
    <row r="38899" hidden="1" x14ac:dyDescent="0.15"/>
    <row r="38900" hidden="1" x14ac:dyDescent="0.15"/>
    <row r="38901" hidden="1" x14ac:dyDescent="0.15"/>
    <row r="38902" hidden="1" x14ac:dyDescent="0.15"/>
    <row r="38903" hidden="1" x14ac:dyDescent="0.15"/>
    <row r="38904" hidden="1" x14ac:dyDescent="0.15"/>
    <row r="38905" hidden="1" x14ac:dyDescent="0.15"/>
    <row r="38906" hidden="1" x14ac:dyDescent="0.15"/>
    <row r="38907" hidden="1" x14ac:dyDescent="0.15"/>
    <row r="38908" hidden="1" x14ac:dyDescent="0.15"/>
    <row r="38909" hidden="1" x14ac:dyDescent="0.15"/>
    <row r="38910" hidden="1" x14ac:dyDescent="0.15"/>
    <row r="38911" hidden="1" x14ac:dyDescent="0.15"/>
    <row r="38912" hidden="1" x14ac:dyDescent="0.15"/>
    <row r="38913" hidden="1" x14ac:dyDescent="0.15"/>
    <row r="38914" hidden="1" x14ac:dyDescent="0.15"/>
    <row r="38915" hidden="1" x14ac:dyDescent="0.15"/>
    <row r="38916" hidden="1" x14ac:dyDescent="0.15"/>
    <row r="38917" hidden="1" x14ac:dyDescent="0.15"/>
    <row r="38918" hidden="1" x14ac:dyDescent="0.15"/>
    <row r="38919" hidden="1" x14ac:dyDescent="0.15"/>
    <row r="38920" hidden="1" x14ac:dyDescent="0.15"/>
    <row r="38921" hidden="1" x14ac:dyDescent="0.15"/>
    <row r="38922" hidden="1" x14ac:dyDescent="0.15"/>
    <row r="38923" hidden="1" x14ac:dyDescent="0.15"/>
    <row r="38924" hidden="1" x14ac:dyDescent="0.15"/>
    <row r="38925" hidden="1" x14ac:dyDescent="0.15"/>
    <row r="38926" hidden="1" x14ac:dyDescent="0.15"/>
    <row r="38927" hidden="1" x14ac:dyDescent="0.15"/>
    <row r="38928" hidden="1" x14ac:dyDescent="0.15"/>
    <row r="38929" hidden="1" x14ac:dyDescent="0.15"/>
    <row r="38930" hidden="1" x14ac:dyDescent="0.15"/>
    <row r="38931" hidden="1" x14ac:dyDescent="0.15"/>
    <row r="38932" hidden="1" x14ac:dyDescent="0.15"/>
    <row r="38933" hidden="1" x14ac:dyDescent="0.15"/>
    <row r="38934" hidden="1" x14ac:dyDescent="0.15"/>
    <row r="38935" hidden="1" x14ac:dyDescent="0.15"/>
    <row r="38936" hidden="1" x14ac:dyDescent="0.15"/>
    <row r="38937" hidden="1" x14ac:dyDescent="0.15"/>
    <row r="38938" hidden="1" x14ac:dyDescent="0.15"/>
    <row r="38939" hidden="1" x14ac:dyDescent="0.15"/>
    <row r="38940" hidden="1" x14ac:dyDescent="0.15"/>
    <row r="38941" hidden="1" x14ac:dyDescent="0.15"/>
    <row r="38942" hidden="1" x14ac:dyDescent="0.15"/>
    <row r="38943" hidden="1" x14ac:dyDescent="0.15"/>
    <row r="38944" hidden="1" x14ac:dyDescent="0.15"/>
    <row r="38945" hidden="1" x14ac:dyDescent="0.15"/>
    <row r="38946" hidden="1" x14ac:dyDescent="0.15"/>
    <row r="38947" hidden="1" x14ac:dyDescent="0.15"/>
    <row r="38948" hidden="1" x14ac:dyDescent="0.15"/>
    <row r="38949" hidden="1" x14ac:dyDescent="0.15"/>
    <row r="38950" hidden="1" x14ac:dyDescent="0.15"/>
    <row r="38951" hidden="1" x14ac:dyDescent="0.15"/>
    <row r="38952" hidden="1" x14ac:dyDescent="0.15"/>
    <row r="38953" hidden="1" x14ac:dyDescent="0.15"/>
    <row r="38954" hidden="1" x14ac:dyDescent="0.15"/>
    <row r="38955" hidden="1" x14ac:dyDescent="0.15"/>
    <row r="38956" hidden="1" x14ac:dyDescent="0.15"/>
    <row r="38957" hidden="1" x14ac:dyDescent="0.15"/>
    <row r="38958" hidden="1" x14ac:dyDescent="0.15"/>
    <row r="38959" hidden="1" x14ac:dyDescent="0.15"/>
    <row r="38960" hidden="1" x14ac:dyDescent="0.15"/>
    <row r="38961" hidden="1" x14ac:dyDescent="0.15"/>
    <row r="38962" hidden="1" x14ac:dyDescent="0.15"/>
    <row r="38963" hidden="1" x14ac:dyDescent="0.15"/>
    <row r="38964" hidden="1" x14ac:dyDescent="0.15"/>
    <row r="38965" hidden="1" x14ac:dyDescent="0.15"/>
    <row r="38966" hidden="1" x14ac:dyDescent="0.15"/>
    <row r="38967" hidden="1" x14ac:dyDescent="0.15"/>
    <row r="38968" hidden="1" x14ac:dyDescent="0.15"/>
    <row r="38969" hidden="1" x14ac:dyDescent="0.15"/>
    <row r="38970" hidden="1" x14ac:dyDescent="0.15"/>
    <row r="38971" hidden="1" x14ac:dyDescent="0.15"/>
    <row r="38972" hidden="1" x14ac:dyDescent="0.15"/>
    <row r="38973" hidden="1" x14ac:dyDescent="0.15"/>
    <row r="38974" hidden="1" x14ac:dyDescent="0.15"/>
    <row r="38975" hidden="1" x14ac:dyDescent="0.15"/>
    <row r="38976" hidden="1" x14ac:dyDescent="0.15"/>
    <row r="38977" hidden="1" x14ac:dyDescent="0.15"/>
    <row r="38978" hidden="1" x14ac:dyDescent="0.15"/>
    <row r="38979" hidden="1" x14ac:dyDescent="0.15"/>
    <row r="38980" hidden="1" x14ac:dyDescent="0.15"/>
    <row r="38981" hidden="1" x14ac:dyDescent="0.15"/>
    <row r="38982" hidden="1" x14ac:dyDescent="0.15"/>
    <row r="38983" hidden="1" x14ac:dyDescent="0.15"/>
    <row r="38984" hidden="1" x14ac:dyDescent="0.15"/>
    <row r="38985" hidden="1" x14ac:dyDescent="0.15"/>
    <row r="38986" hidden="1" x14ac:dyDescent="0.15"/>
    <row r="38987" hidden="1" x14ac:dyDescent="0.15"/>
    <row r="38988" hidden="1" x14ac:dyDescent="0.15"/>
    <row r="38989" hidden="1" x14ac:dyDescent="0.15"/>
    <row r="38990" hidden="1" x14ac:dyDescent="0.15"/>
    <row r="38991" hidden="1" x14ac:dyDescent="0.15"/>
    <row r="38992" hidden="1" x14ac:dyDescent="0.15"/>
    <row r="38993" hidden="1" x14ac:dyDescent="0.15"/>
    <row r="38994" hidden="1" x14ac:dyDescent="0.15"/>
    <row r="38995" hidden="1" x14ac:dyDescent="0.15"/>
    <row r="38996" hidden="1" x14ac:dyDescent="0.15"/>
    <row r="38997" hidden="1" x14ac:dyDescent="0.15"/>
    <row r="38998" hidden="1" x14ac:dyDescent="0.15"/>
    <row r="38999" hidden="1" x14ac:dyDescent="0.15"/>
    <row r="39000" hidden="1" x14ac:dyDescent="0.15"/>
    <row r="39001" hidden="1" x14ac:dyDescent="0.15"/>
    <row r="39002" hidden="1" x14ac:dyDescent="0.15"/>
    <row r="39003" hidden="1" x14ac:dyDescent="0.15"/>
    <row r="39004" hidden="1" x14ac:dyDescent="0.15"/>
    <row r="39005" hidden="1" x14ac:dyDescent="0.15"/>
    <row r="39006" hidden="1" x14ac:dyDescent="0.15"/>
    <row r="39007" hidden="1" x14ac:dyDescent="0.15"/>
    <row r="39008" hidden="1" x14ac:dyDescent="0.15"/>
    <row r="39009" hidden="1" x14ac:dyDescent="0.15"/>
    <row r="39010" hidden="1" x14ac:dyDescent="0.15"/>
    <row r="39011" hidden="1" x14ac:dyDescent="0.15"/>
    <row r="39012" hidden="1" x14ac:dyDescent="0.15"/>
    <row r="39013" hidden="1" x14ac:dyDescent="0.15"/>
    <row r="39014" hidden="1" x14ac:dyDescent="0.15"/>
    <row r="39015" hidden="1" x14ac:dyDescent="0.15"/>
    <row r="39016" hidden="1" x14ac:dyDescent="0.15"/>
    <row r="39017" hidden="1" x14ac:dyDescent="0.15"/>
    <row r="39018" hidden="1" x14ac:dyDescent="0.15"/>
    <row r="39019" hidden="1" x14ac:dyDescent="0.15"/>
    <row r="39020" hidden="1" x14ac:dyDescent="0.15"/>
    <row r="39021" hidden="1" x14ac:dyDescent="0.15"/>
    <row r="39022" hidden="1" x14ac:dyDescent="0.15"/>
    <row r="39023" hidden="1" x14ac:dyDescent="0.15"/>
    <row r="39024" hidden="1" x14ac:dyDescent="0.15"/>
    <row r="39025" hidden="1" x14ac:dyDescent="0.15"/>
    <row r="39026" hidden="1" x14ac:dyDescent="0.15"/>
    <row r="39027" hidden="1" x14ac:dyDescent="0.15"/>
    <row r="39028" hidden="1" x14ac:dyDescent="0.15"/>
    <row r="39029" hidden="1" x14ac:dyDescent="0.15"/>
    <row r="39030" hidden="1" x14ac:dyDescent="0.15"/>
    <row r="39031" hidden="1" x14ac:dyDescent="0.15"/>
    <row r="39032" hidden="1" x14ac:dyDescent="0.15"/>
    <row r="39033" hidden="1" x14ac:dyDescent="0.15"/>
    <row r="39034" hidden="1" x14ac:dyDescent="0.15"/>
    <row r="39035" hidden="1" x14ac:dyDescent="0.15"/>
    <row r="39036" hidden="1" x14ac:dyDescent="0.15"/>
    <row r="39037" hidden="1" x14ac:dyDescent="0.15"/>
    <row r="39038" hidden="1" x14ac:dyDescent="0.15"/>
    <row r="39039" hidden="1" x14ac:dyDescent="0.15"/>
    <row r="39040" hidden="1" x14ac:dyDescent="0.15"/>
    <row r="39041" hidden="1" x14ac:dyDescent="0.15"/>
    <row r="39042" hidden="1" x14ac:dyDescent="0.15"/>
    <row r="39043" hidden="1" x14ac:dyDescent="0.15"/>
    <row r="39044" hidden="1" x14ac:dyDescent="0.15"/>
    <row r="39045" hidden="1" x14ac:dyDescent="0.15"/>
    <row r="39046" hidden="1" x14ac:dyDescent="0.15"/>
    <row r="39047" hidden="1" x14ac:dyDescent="0.15"/>
    <row r="39048" hidden="1" x14ac:dyDescent="0.15"/>
    <row r="39049" hidden="1" x14ac:dyDescent="0.15"/>
    <row r="39050" hidden="1" x14ac:dyDescent="0.15"/>
    <row r="39051" hidden="1" x14ac:dyDescent="0.15"/>
    <row r="39052" hidden="1" x14ac:dyDescent="0.15"/>
    <row r="39053" hidden="1" x14ac:dyDescent="0.15"/>
    <row r="39054" hidden="1" x14ac:dyDescent="0.15"/>
    <row r="39055" hidden="1" x14ac:dyDescent="0.15"/>
    <row r="39056" hidden="1" x14ac:dyDescent="0.15"/>
    <row r="39057" hidden="1" x14ac:dyDescent="0.15"/>
    <row r="39058" hidden="1" x14ac:dyDescent="0.15"/>
    <row r="39059" hidden="1" x14ac:dyDescent="0.15"/>
    <row r="39060" hidden="1" x14ac:dyDescent="0.15"/>
    <row r="39061" hidden="1" x14ac:dyDescent="0.15"/>
    <row r="39062" hidden="1" x14ac:dyDescent="0.15"/>
    <row r="39063" hidden="1" x14ac:dyDescent="0.15"/>
    <row r="39064" hidden="1" x14ac:dyDescent="0.15"/>
    <row r="39065" hidden="1" x14ac:dyDescent="0.15"/>
    <row r="39066" hidden="1" x14ac:dyDescent="0.15"/>
    <row r="39067" hidden="1" x14ac:dyDescent="0.15"/>
    <row r="39068" hidden="1" x14ac:dyDescent="0.15"/>
    <row r="39069" hidden="1" x14ac:dyDescent="0.15"/>
    <row r="39070" hidden="1" x14ac:dyDescent="0.15"/>
    <row r="39071" hidden="1" x14ac:dyDescent="0.15"/>
    <row r="39072" hidden="1" x14ac:dyDescent="0.15"/>
    <row r="39073" hidden="1" x14ac:dyDescent="0.15"/>
    <row r="39074" hidden="1" x14ac:dyDescent="0.15"/>
    <row r="39075" hidden="1" x14ac:dyDescent="0.15"/>
    <row r="39076" hidden="1" x14ac:dyDescent="0.15"/>
    <row r="39077" hidden="1" x14ac:dyDescent="0.15"/>
    <row r="39078" hidden="1" x14ac:dyDescent="0.15"/>
    <row r="39079" hidden="1" x14ac:dyDescent="0.15"/>
    <row r="39080" hidden="1" x14ac:dyDescent="0.15"/>
    <row r="39081" hidden="1" x14ac:dyDescent="0.15"/>
    <row r="39082" hidden="1" x14ac:dyDescent="0.15"/>
    <row r="39083" hidden="1" x14ac:dyDescent="0.15"/>
    <row r="39084" hidden="1" x14ac:dyDescent="0.15"/>
    <row r="39085" hidden="1" x14ac:dyDescent="0.15"/>
    <row r="39086" hidden="1" x14ac:dyDescent="0.15"/>
    <row r="39087" hidden="1" x14ac:dyDescent="0.15"/>
    <row r="39088" hidden="1" x14ac:dyDescent="0.15"/>
    <row r="39089" hidden="1" x14ac:dyDescent="0.15"/>
    <row r="39090" hidden="1" x14ac:dyDescent="0.15"/>
    <row r="39091" hidden="1" x14ac:dyDescent="0.15"/>
    <row r="39092" hidden="1" x14ac:dyDescent="0.15"/>
    <row r="39093" hidden="1" x14ac:dyDescent="0.15"/>
    <row r="39094" hidden="1" x14ac:dyDescent="0.15"/>
    <row r="39095" hidden="1" x14ac:dyDescent="0.15"/>
    <row r="39096" hidden="1" x14ac:dyDescent="0.15"/>
    <row r="39097" hidden="1" x14ac:dyDescent="0.15"/>
    <row r="39098" hidden="1" x14ac:dyDescent="0.15"/>
    <row r="39099" hidden="1" x14ac:dyDescent="0.15"/>
    <row r="39100" hidden="1" x14ac:dyDescent="0.15"/>
    <row r="39101" hidden="1" x14ac:dyDescent="0.15"/>
    <row r="39102" hidden="1" x14ac:dyDescent="0.15"/>
    <row r="39103" hidden="1" x14ac:dyDescent="0.15"/>
    <row r="39104" hidden="1" x14ac:dyDescent="0.15"/>
    <row r="39105" hidden="1" x14ac:dyDescent="0.15"/>
    <row r="39106" hidden="1" x14ac:dyDescent="0.15"/>
    <row r="39107" hidden="1" x14ac:dyDescent="0.15"/>
    <row r="39108" hidden="1" x14ac:dyDescent="0.15"/>
    <row r="39109" hidden="1" x14ac:dyDescent="0.15"/>
    <row r="39110" hidden="1" x14ac:dyDescent="0.15"/>
    <row r="39111" hidden="1" x14ac:dyDescent="0.15"/>
    <row r="39112" hidden="1" x14ac:dyDescent="0.15"/>
    <row r="39113" hidden="1" x14ac:dyDescent="0.15"/>
    <row r="39114" hidden="1" x14ac:dyDescent="0.15"/>
    <row r="39115" hidden="1" x14ac:dyDescent="0.15"/>
    <row r="39116" hidden="1" x14ac:dyDescent="0.15"/>
    <row r="39117" hidden="1" x14ac:dyDescent="0.15"/>
    <row r="39118" hidden="1" x14ac:dyDescent="0.15"/>
    <row r="39119" hidden="1" x14ac:dyDescent="0.15"/>
    <row r="39120" hidden="1" x14ac:dyDescent="0.15"/>
    <row r="39121" hidden="1" x14ac:dyDescent="0.15"/>
    <row r="39122" hidden="1" x14ac:dyDescent="0.15"/>
    <row r="39123" hidden="1" x14ac:dyDescent="0.15"/>
    <row r="39124" hidden="1" x14ac:dyDescent="0.15"/>
    <row r="39125" hidden="1" x14ac:dyDescent="0.15"/>
    <row r="39126" hidden="1" x14ac:dyDescent="0.15"/>
    <row r="39127" hidden="1" x14ac:dyDescent="0.15"/>
    <row r="39128" hidden="1" x14ac:dyDescent="0.15"/>
    <row r="39129" hidden="1" x14ac:dyDescent="0.15"/>
    <row r="39130" hidden="1" x14ac:dyDescent="0.15"/>
    <row r="39131" hidden="1" x14ac:dyDescent="0.15"/>
    <row r="39132" hidden="1" x14ac:dyDescent="0.15"/>
    <row r="39133" hidden="1" x14ac:dyDescent="0.15"/>
    <row r="39134" hidden="1" x14ac:dyDescent="0.15"/>
    <row r="39135" hidden="1" x14ac:dyDescent="0.15"/>
    <row r="39136" hidden="1" x14ac:dyDescent="0.15"/>
    <row r="39137" hidden="1" x14ac:dyDescent="0.15"/>
    <row r="39138" hidden="1" x14ac:dyDescent="0.15"/>
    <row r="39139" hidden="1" x14ac:dyDescent="0.15"/>
    <row r="39140" hidden="1" x14ac:dyDescent="0.15"/>
    <row r="39141" hidden="1" x14ac:dyDescent="0.15"/>
    <row r="39142" hidden="1" x14ac:dyDescent="0.15"/>
    <row r="39143" hidden="1" x14ac:dyDescent="0.15"/>
    <row r="39144" hidden="1" x14ac:dyDescent="0.15"/>
    <row r="39145" hidden="1" x14ac:dyDescent="0.15"/>
    <row r="39146" hidden="1" x14ac:dyDescent="0.15"/>
    <row r="39147" hidden="1" x14ac:dyDescent="0.15"/>
    <row r="39148" hidden="1" x14ac:dyDescent="0.15"/>
    <row r="39149" hidden="1" x14ac:dyDescent="0.15"/>
    <row r="39150" hidden="1" x14ac:dyDescent="0.15"/>
    <row r="39151" hidden="1" x14ac:dyDescent="0.15"/>
    <row r="39152" hidden="1" x14ac:dyDescent="0.15"/>
    <row r="39153" hidden="1" x14ac:dyDescent="0.15"/>
    <row r="39154" hidden="1" x14ac:dyDescent="0.15"/>
    <row r="39155" hidden="1" x14ac:dyDescent="0.15"/>
    <row r="39156" hidden="1" x14ac:dyDescent="0.15"/>
    <row r="39157" hidden="1" x14ac:dyDescent="0.15"/>
    <row r="39158" hidden="1" x14ac:dyDescent="0.15"/>
    <row r="39159" hidden="1" x14ac:dyDescent="0.15"/>
    <row r="39160" hidden="1" x14ac:dyDescent="0.15"/>
    <row r="39161" hidden="1" x14ac:dyDescent="0.15"/>
    <row r="39162" hidden="1" x14ac:dyDescent="0.15"/>
    <row r="39163" hidden="1" x14ac:dyDescent="0.15"/>
    <row r="39164" hidden="1" x14ac:dyDescent="0.15"/>
    <row r="39165" hidden="1" x14ac:dyDescent="0.15"/>
    <row r="39166" hidden="1" x14ac:dyDescent="0.15"/>
    <row r="39167" hidden="1" x14ac:dyDescent="0.15"/>
    <row r="39168" hidden="1" x14ac:dyDescent="0.15"/>
    <row r="39169" hidden="1" x14ac:dyDescent="0.15"/>
    <row r="39170" hidden="1" x14ac:dyDescent="0.15"/>
    <row r="39171" hidden="1" x14ac:dyDescent="0.15"/>
    <row r="39172" hidden="1" x14ac:dyDescent="0.15"/>
    <row r="39173" hidden="1" x14ac:dyDescent="0.15"/>
    <row r="39174" hidden="1" x14ac:dyDescent="0.15"/>
    <row r="39175" hidden="1" x14ac:dyDescent="0.15"/>
    <row r="39176" hidden="1" x14ac:dyDescent="0.15"/>
    <row r="39177" hidden="1" x14ac:dyDescent="0.15"/>
    <row r="39178" hidden="1" x14ac:dyDescent="0.15"/>
    <row r="39179" hidden="1" x14ac:dyDescent="0.15"/>
    <row r="39180" hidden="1" x14ac:dyDescent="0.15"/>
    <row r="39181" hidden="1" x14ac:dyDescent="0.15"/>
    <row r="39182" hidden="1" x14ac:dyDescent="0.15"/>
    <row r="39183" hidden="1" x14ac:dyDescent="0.15"/>
    <row r="39184" hidden="1" x14ac:dyDescent="0.15"/>
    <row r="39185" hidden="1" x14ac:dyDescent="0.15"/>
    <row r="39186" hidden="1" x14ac:dyDescent="0.15"/>
    <row r="39187" hidden="1" x14ac:dyDescent="0.15"/>
    <row r="39188" hidden="1" x14ac:dyDescent="0.15"/>
    <row r="39189" hidden="1" x14ac:dyDescent="0.15"/>
    <row r="39190" hidden="1" x14ac:dyDescent="0.15"/>
    <row r="39191" hidden="1" x14ac:dyDescent="0.15"/>
    <row r="39192" hidden="1" x14ac:dyDescent="0.15"/>
    <row r="39193" hidden="1" x14ac:dyDescent="0.15"/>
    <row r="39194" hidden="1" x14ac:dyDescent="0.15"/>
    <row r="39195" hidden="1" x14ac:dyDescent="0.15"/>
    <row r="39196" hidden="1" x14ac:dyDescent="0.15"/>
    <row r="39197" hidden="1" x14ac:dyDescent="0.15"/>
    <row r="39198" hidden="1" x14ac:dyDescent="0.15"/>
    <row r="39199" hidden="1" x14ac:dyDescent="0.15"/>
    <row r="39200" hidden="1" x14ac:dyDescent="0.15"/>
    <row r="39201" hidden="1" x14ac:dyDescent="0.15"/>
    <row r="39202" hidden="1" x14ac:dyDescent="0.15"/>
    <row r="39203" hidden="1" x14ac:dyDescent="0.15"/>
    <row r="39204" hidden="1" x14ac:dyDescent="0.15"/>
    <row r="39205" hidden="1" x14ac:dyDescent="0.15"/>
    <row r="39206" hidden="1" x14ac:dyDescent="0.15"/>
    <row r="39207" hidden="1" x14ac:dyDescent="0.15"/>
    <row r="39208" hidden="1" x14ac:dyDescent="0.15"/>
    <row r="39209" hidden="1" x14ac:dyDescent="0.15"/>
    <row r="39210" hidden="1" x14ac:dyDescent="0.15"/>
    <row r="39211" hidden="1" x14ac:dyDescent="0.15"/>
    <row r="39212" hidden="1" x14ac:dyDescent="0.15"/>
    <row r="39213" hidden="1" x14ac:dyDescent="0.15"/>
    <row r="39214" hidden="1" x14ac:dyDescent="0.15"/>
    <row r="39215" hidden="1" x14ac:dyDescent="0.15"/>
    <row r="39216" hidden="1" x14ac:dyDescent="0.15"/>
    <row r="39217" hidden="1" x14ac:dyDescent="0.15"/>
    <row r="39218" hidden="1" x14ac:dyDescent="0.15"/>
    <row r="39219" hidden="1" x14ac:dyDescent="0.15"/>
    <row r="39220" hidden="1" x14ac:dyDescent="0.15"/>
    <row r="39221" hidden="1" x14ac:dyDescent="0.15"/>
    <row r="39222" hidden="1" x14ac:dyDescent="0.15"/>
    <row r="39223" hidden="1" x14ac:dyDescent="0.15"/>
    <row r="39224" hidden="1" x14ac:dyDescent="0.15"/>
    <row r="39225" hidden="1" x14ac:dyDescent="0.15"/>
    <row r="39226" hidden="1" x14ac:dyDescent="0.15"/>
    <row r="39227" hidden="1" x14ac:dyDescent="0.15"/>
    <row r="39228" hidden="1" x14ac:dyDescent="0.15"/>
    <row r="39229" hidden="1" x14ac:dyDescent="0.15"/>
    <row r="39230" hidden="1" x14ac:dyDescent="0.15"/>
    <row r="39231" hidden="1" x14ac:dyDescent="0.15"/>
    <row r="39232" hidden="1" x14ac:dyDescent="0.15"/>
    <row r="39233" hidden="1" x14ac:dyDescent="0.15"/>
    <row r="39234" hidden="1" x14ac:dyDescent="0.15"/>
    <row r="39235" hidden="1" x14ac:dyDescent="0.15"/>
    <row r="39236" hidden="1" x14ac:dyDescent="0.15"/>
    <row r="39237" hidden="1" x14ac:dyDescent="0.15"/>
    <row r="39238" hidden="1" x14ac:dyDescent="0.15"/>
    <row r="39239" hidden="1" x14ac:dyDescent="0.15"/>
    <row r="39240" hidden="1" x14ac:dyDescent="0.15"/>
    <row r="39241" hidden="1" x14ac:dyDescent="0.15"/>
    <row r="39242" hidden="1" x14ac:dyDescent="0.15"/>
    <row r="39243" hidden="1" x14ac:dyDescent="0.15"/>
    <row r="39244" hidden="1" x14ac:dyDescent="0.15"/>
    <row r="39245" hidden="1" x14ac:dyDescent="0.15"/>
    <row r="39246" hidden="1" x14ac:dyDescent="0.15"/>
    <row r="39247" hidden="1" x14ac:dyDescent="0.15"/>
    <row r="39248" hidden="1" x14ac:dyDescent="0.15"/>
    <row r="39249" hidden="1" x14ac:dyDescent="0.15"/>
    <row r="39250" hidden="1" x14ac:dyDescent="0.15"/>
    <row r="39251" hidden="1" x14ac:dyDescent="0.15"/>
    <row r="39252" hidden="1" x14ac:dyDescent="0.15"/>
    <row r="39253" hidden="1" x14ac:dyDescent="0.15"/>
    <row r="39254" hidden="1" x14ac:dyDescent="0.15"/>
    <row r="39255" hidden="1" x14ac:dyDescent="0.15"/>
    <row r="39256" hidden="1" x14ac:dyDescent="0.15"/>
    <row r="39257" hidden="1" x14ac:dyDescent="0.15"/>
    <row r="39258" hidden="1" x14ac:dyDescent="0.15"/>
    <row r="39259" hidden="1" x14ac:dyDescent="0.15"/>
    <row r="39260" hidden="1" x14ac:dyDescent="0.15"/>
    <row r="39261" hidden="1" x14ac:dyDescent="0.15"/>
    <row r="39262" hidden="1" x14ac:dyDescent="0.15"/>
    <row r="39263" hidden="1" x14ac:dyDescent="0.15"/>
    <row r="39264" hidden="1" x14ac:dyDescent="0.15"/>
    <row r="39265" hidden="1" x14ac:dyDescent="0.15"/>
    <row r="39266" hidden="1" x14ac:dyDescent="0.15"/>
    <row r="39267" hidden="1" x14ac:dyDescent="0.15"/>
    <row r="39268" hidden="1" x14ac:dyDescent="0.15"/>
    <row r="39269" hidden="1" x14ac:dyDescent="0.15"/>
    <row r="39270" hidden="1" x14ac:dyDescent="0.15"/>
    <row r="39271" hidden="1" x14ac:dyDescent="0.15"/>
    <row r="39272" hidden="1" x14ac:dyDescent="0.15"/>
    <row r="39273" hidden="1" x14ac:dyDescent="0.15"/>
    <row r="39274" hidden="1" x14ac:dyDescent="0.15"/>
    <row r="39275" hidden="1" x14ac:dyDescent="0.15"/>
    <row r="39276" hidden="1" x14ac:dyDescent="0.15"/>
    <row r="39277" hidden="1" x14ac:dyDescent="0.15"/>
    <row r="39278" hidden="1" x14ac:dyDescent="0.15"/>
    <row r="39279" hidden="1" x14ac:dyDescent="0.15"/>
    <row r="39280" hidden="1" x14ac:dyDescent="0.15"/>
    <row r="39281" hidden="1" x14ac:dyDescent="0.15"/>
    <row r="39282" hidden="1" x14ac:dyDescent="0.15"/>
    <row r="39283" hidden="1" x14ac:dyDescent="0.15"/>
    <row r="39284" hidden="1" x14ac:dyDescent="0.15"/>
    <row r="39285" hidden="1" x14ac:dyDescent="0.15"/>
    <row r="39286" hidden="1" x14ac:dyDescent="0.15"/>
    <row r="39287" hidden="1" x14ac:dyDescent="0.15"/>
    <row r="39288" hidden="1" x14ac:dyDescent="0.15"/>
    <row r="39289" hidden="1" x14ac:dyDescent="0.15"/>
    <row r="39290" hidden="1" x14ac:dyDescent="0.15"/>
    <row r="39291" hidden="1" x14ac:dyDescent="0.15"/>
    <row r="39292" hidden="1" x14ac:dyDescent="0.15"/>
    <row r="39293" hidden="1" x14ac:dyDescent="0.15"/>
    <row r="39294" hidden="1" x14ac:dyDescent="0.15"/>
    <row r="39295" hidden="1" x14ac:dyDescent="0.15"/>
    <row r="39296" hidden="1" x14ac:dyDescent="0.15"/>
    <row r="39297" hidden="1" x14ac:dyDescent="0.15"/>
    <row r="39298" hidden="1" x14ac:dyDescent="0.15"/>
    <row r="39299" hidden="1" x14ac:dyDescent="0.15"/>
    <row r="39300" hidden="1" x14ac:dyDescent="0.15"/>
    <row r="39301" hidden="1" x14ac:dyDescent="0.15"/>
    <row r="39302" hidden="1" x14ac:dyDescent="0.15"/>
    <row r="39303" hidden="1" x14ac:dyDescent="0.15"/>
    <row r="39304" hidden="1" x14ac:dyDescent="0.15"/>
    <row r="39305" hidden="1" x14ac:dyDescent="0.15"/>
    <row r="39306" hidden="1" x14ac:dyDescent="0.15"/>
    <row r="39307" hidden="1" x14ac:dyDescent="0.15"/>
    <row r="39308" hidden="1" x14ac:dyDescent="0.15"/>
    <row r="39309" hidden="1" x14ac:dyDescent="0.15"/>
    <row r="39310" hidden="1" x14ac:dyDescent="0.15"/>
    <row r="39311" hidden="1" x14ac:dyDescent="0.15"/>
    <row r="39312" hidden="1" x14ac:dyDescent="0.15"/>
    <row r="39313" hidden="1" x14ac:dyDescent="0.15"/>
    <row r="39314" hidden="1" x14ac:dyDescent="0.15"/>
    <row r="39315" hidden="1" x14ac:dyDescent="0.15"/>
    <row r="39316" hidden="1" x14ac:dyDescent="0.15"/>
    <row r="39317" hidden="1" x14ac:dyDescent="0.15"/>
    <row r="39318" hidden="1" x14ac:dyDescent="0.15"/>
    <row r="39319" hidden="1" x14ac:dyDescent="0.15"/>
    <row r="39320" hidden="1" x14ac:dyDescent="0.15"/>
    <row r="39321" hidden="1" x14ac:dyDescent="0.15"/>
    <row r="39322" hidden="1" x14ac:dyDescent="0.15"/>
    <row r="39323" hidden="1" x14ac:dyDescent="0.15"/>
    <row r="39324" hidden="1" x14ac:dyDescent="0.15"/>
    <row r="39325" hidden="1" x14ac:dyDescent="0.15"/>
    <row r="39326" hidden="1" x14ac:dyDescent="0.15"/>
    <row r="39327" hidden="1" x14ac:dyDescent="0.15"/>
    <row r="39328" hidden="1" x14ac:dyDescent="0.15"/>
    <row r="39329" hidden="1" x14ac:dyDescent="0.15"/>
    <row r="39330" hidden="1" x14ac:dyDescent="0.15"/>
    <row r="39331" hidden="1" x14ac:dyDescent="0.15"/>
    <row r="39332" hidden="1" x14ac:dyDescent="0.15"/>
    <row r="39333" hidden="1" x14ac:dyDescent="0.15"/>
    <row r="39334" hidden="1" x14ac:dyDescent="0.15"/>
    <row r="39335" hidden="1" x14ac:dyDescent="0.15"/>
    <row r="39336" hidden="1" x14ac:dyDescent="0.15"/>
    <row r="39337" hidden="1" x14ac:dyDescent="0.15"/>
    <row r="39338" hidden="1" x14ac:dyDescent="0.15"/>
    <row r="39339" hidden="1" x14ac:dyDescent="0.15"/>
    <row r="39340" hidden="1" x14ac:dyDescent="0.15"/>
    <row r="39341" hidden="1" x14ac:dyDescent="0.15"/>
    <row r="39342" hidden="1" x14ac:dyDescent="0.15"/>
    <row r="39343" hidden="1" x14ac:dyDescent="0.15"/>
    <row r="39344" hidden="1" x14ac:dyDescent="0.15"/>
    <row r="39345" hidden="1" x14ac:dyDescent="0.15"/>
    <row r="39346" hidden="1" x14ac:dyDescent="0.15"/>
    <row r="39347" hidden="1" x14ac:dyDescent="0.15"/>
    <row r="39348" hidden="1" x14ac:dyDescent="0.15"/>
    <row r="39349" hidden="1" x14ac:dyDescent="0.15"/>
    <row r="39350" hidden="1" x14ac:dyDescent="0.15"/>
    <row r="39351" hidden="1" x14ac:dyDescent="0.15"/>
    <row r="39352" hidden="1" x14ac:dyDescent="0.15"/>
    <row r="39353" hidden="1" x14ac:dyDescent="0.15"/>
    <row r="39354" hidden="1" x14ac:dyDescent="0.15"/>
    <row r="39355" hidden="1" x14ac:dyDescent="0.15"/>
    <row r="39356" hidden="1" x14ac:dyDescent="0.15"/>
    <row r="39357" hidden="1" x14ac:dyDescent="0.15"/>
    <row r="39358" hidden="1" x14ac:dyDescent="0.15"/>
    <row r="39359" hidden="1" x14ac:dyDescent="0.15"/>
    <row r="39360" hidden="1" x14ac:dyDescent="0.15"/>
    <row r="39361" hidden="1" x14ac:dyDescent="0.15"/>
    <row r="39362" hidden="1" x14ac:dyDescent="0.15"/>
    <row r="39363" hidden="1" x14ac:dyDescent="0.15"/>
    <row r="39364" hidden="1" x14ac:dyDescent="0.15"/>
    <row r="39365" hidden="1" x14ac:dyDescent="0.15"/>
    <row r="39366" hidden="1" x14ac:dyDescent="0.15"/>
    <row r="39367" hidden="1" x14ac:dyDescent="0.15"/>
    <row r="39368" hidden="1" x14ac:dyDescent="0.15"/>
    <row r="39369" hidden="1" x14ac:dyDescent="0.15"/>
    <row r="39370" hidden="1" x14ac:dyDescent="0.15"/>
    <row r="39371" hidden="1" x14ac:dyDescent="0.15"/>
    <row r="39372" hidden="1" x14ac:dyDescent="0.15"/>
    <row r="39373" hidden="1" x14ac:dyDescent="0.15"/>
    <row r="39374" hidden="1" x14ac:dyDescent="0.15"/>
    <row r="39375" hidden="1" x14ac:dyDescent="0.15"/>
    <row r="39376" hidden="1" x14ac:dyDescent="0.15"/>
    <row r="39377" hidden="1" x14ac:dyDescent="0.15"/>
    <row r="39378" hidden="1" x14ac:dyDescent="0.15"/>
    <row r="39379" hidden="1" x14ac:dyDescent="0.15"/>
    <row r="39380" hidden="1" x14ac:dyDescent="0.15"/>
    <row r="39381" hidden="1" x14ac:dyDescent="0.15"/>
    <row r="39382" hidden="1" x14ac:dyDescent="0.15"/>
    <row r="39383" hidden="1" x14ac:dyDescent="0.15"/>
    <row r="39384" hidden="1" x14ac:dyDescent="0.15"/>
    <row r="39385" hidden="1" x14ac:dyDescent="0.15"/>
    <row r="39386" hidden="1" x14ac:dyDescent="0.15"/>
    <row r="39387" hidden="1" x14ac:dyDescent="0.15"/>
    <row r="39388" hidden="1" x14ac:dyDescent="0.15"/>
    <row r="39389" hidden="1" x14ac:dyDescent="0.15"/>
    <row r="39390" hidden="1" x14ac:dyDescent="0.15"/>
    <row r="39391" hidden="1" x14ac:dyDescent="0.15"/>
    <row r="39392" hidden="1" x14ac:dyDescent="0.15"/>
    <row r="39393" hidden="1" x14ac:dyDescent="0.15"/>
    <row r="39394" hidden="1" x14ac:dyDescent="0.15"/>
    <row r="39395" hidden="1" x14ac:dyDescent="0.15"/>
    <row r="39396" hidden="1" x14ac:dyDescent="0.15"/>
    <row r="39397" hidden="1" x14ac:dyDescent="0.15"/>
    <row r="39398" hidden="1" x14ac:dyDescent="0.15"/>
    <row r="39399" hidden="1" x14ac:dyDescent="0.15"/>
    <row r="39400" hidden="1" x14ac:dyDescent="0.15"/>
    <row r="39401" hidden="1" x14ac:dyDescent="0.15"/>
    <row r="39402" hidden="1" x14ac:dyDescent="0.15"/>
    <row r="39403" hidden="1" x14ac:dyDescent="0.15"/>
    <row r="39404" hidden="1" x14ac:dyDescent="0.15"/>
    <row r="39405" hidden="1" x14ac:dyDescent="0.15"/>
    <row r="39406" hidden="1" x14ac:dyDescent="0.15"/>
    <row r="39407" hidden="1" x14ac:dyDescent="0.15"/>
    <row r="39408" hidden="1" x14ac:dyDescent="0.15"/>
    <row r="39409" hidden="1" x14ac:dyDescent="0.15"/>
    <row r="39410" hidden="1" x14ac:dyDescent="0.15"/>
    <row r="39411" hidden="1" x14ac:dyDescent="0.15"/>
    <row r="39412" hidden="1" x14ac:dyDescent="0.15"/>
    <row r="39413" hidden="1" x14ac:dyDescent="0.15"/>
    <row r="39414" hidden="1" x14ac:dyDescent="0.15"/>
    <row r="39415" hidden="1" x14ac:dyDescent="0.15"/>
    <row r="39416" hidden="1" x14ac:dyDescent="0.15"/>
    <row r="39417" hidden="1" x14ac:dyDescent="0.15"/>
    <row r="39418" hidden="1" x14ac:dyDescent="0.15"/>
    <row r="39419" hidden="1" x14ac:dyDescent="0.15"/>
    <row r="39420" hidden="1" x14ac:dyDescent="0.15"/>
    <row r="39421" hidden="1" x14ac:dyDescent="0.15"/>
    <row r="39422" hidden="1" x14ac:dyDescent="0.15"/>
    <row r="39423" hidden="1" x14ac:dyDescent="0.15"/>
    <row r="39424" hidden="1" x14ac:dyDescent="0.15"/>
    <row r="39425" hidden="1" x14ac:dyDescent="0.15"/>
    <row r="39426" hidden="1" x14ac:dyDescent="0.15"/>
    <row r="39427" hidden="1" x14ac:dyDescent="0.15"/>
    <row r="39428" hidden="1" x14ac:dyDescent="0.15"/>
    <row r="39429" hidden="1" x14ac:dyDescent="0.15"/>
    <row r="39430" hidden="1" x14ac:dyDescent="0.15"/>
    <row r="39431" hidden="1" x14ac:dyDescent="0.15"/>
    <row r="39432" hidden="1" x14ac:dyDescent="0.15"/>
    <row r="39433" hidden="1" x14ac:dyDescent="0.15"/>
    <row r="39434" hidden="1" x14ac:dyDescent="0.15"/>
    <row r="39435" hidden="1" x14ac:dyDescent="0.15"/>
    <row r="39436" hidden="1" x14ac:dyDescent="0.15"/>
    <row r="39437" hidden="1" x14ac:dyDescent="0.15"/>
    <row r="39438" hidden="1" x14ac:dyDescent="0.15"/>
    <row r="39439" hidden="1" x14ac:dyDescent="0.15"/>
    <row r="39440" hidden="1" x14ac:dyDescent="0.15"/>
    <row r="39441" hidden="1" x14ac:dyDescent="0.15"/>
    <row r="39442" hidden="1" x14ac:dyDescent="0.15"/>
    <row r="39443" hidden="1" x14ac:dyDescent="0.15"/>
    <row r="39444" hidden="1" x14ac:dyDescent="0.15"/>
    <row r="39445" hidden="1" x14ac:dyDescent="0.15"/>
    <row r="39446" hidden="1" x14ac:dyDescent="0.15"/>
    <row r="39447" hidden="1" x14ac:dyDescent="0.15"/>
    <row r="39448" hidden="1" x14ac:dyDescent="0.15"/>
    <row r="39449" hidden="1" x14ac:dyDescent="0.15"/>
    <row r="39450" hidden="1" x14ac:dyDescent="0.15"/>
    <row r="39451" hidden="1" x14ac:dyDescent="0.15"/>
    <row r="39452" hidden="1" x14ac:dyDescent="0.15"/>
    <row r="39453" hidden="1" x14ac:dyDescent="0.15"/>
    <row r="39454" hidden="1" x14ac:dyDescent="0.15"/>
    <row r="39455" hidden="1" x14ac:dyDescent="0.15"/>
    <row r="39456" hidden="1" x14ac:dyDescent="0.15"/>
    <row r="39457" hidden="1" x14ac:dyDescent="0.15"/>
    <row r="39458" hidden="1" x14ac:dyDescent="0.15"/>
    <row r="39459" hidden="1" x14ac:dyDescent="0.15"/>
    <row r="39460" hidden="1" x14ac:dyDescent="0.15"/>
    <row r="39461" hidden="1" x14ac:dyDescent="0.15"/>
    <row r="39462" hidden="1" x14ac:dyDescent="0.15"/>
    <row r="39463" hidden="1" x14ac:dyDescent="0.15"/>
    <row r="39464" hidden="1" x14ac:dyDescent="0.15"/>
    <row r="39465" hidden="1" x14ac:dyDescent="0.15"/>
    <row r="39466" hidden="1" x14ac:dyDescent="0.15"/>
    <row r="39467" hidden="1" x14ac:dyDescent="0.15"/>
    <row r="39468" hidden="1" x14ac:dyDescent="0.15"/>
    <row r="39469" hidden="1" x14ac:dyDescent="0.15"/>
    <row r="39470" hidden="1" x14ac:dyDescent="0.15"/>
    <row r="39471" hidden="1" x14ac:dyDescent="0.15"/>
    <row r="39472" hidden="1" x14ac:dyDescent="0.15"/>
    <row r="39473" hidden="1" x14ac:dyDescent="0.15"/>
    <row r="39474" hidden="1" x14ac:dyDescent="0.15"/>
    <row r="39475" hidden="1" x14ac:dyDescent="0.15"/>
    <row r="39476" hidden="1" x14ac:dyDescent="0.15"/>
    <row r="39477" hidden="1" x14ac:dyDescent="0.15"/>
    <row r="39478" hidden="1" x14ac:dyDescent="0.15"/>
    <row r="39479" hidden="1" x14ac:dyDescent="0.15"/>
    <row r="39480" hidden="1" x14ac:dyDescent="0.15"/>
    <row r="39481" hidden="1" x14ac:dyDescent="0.15"/>
    <row r="39482" hidden="1" x14ac:dyDescent="0.15"/>
    <row r="39483" hidden="1" x14ac:dyDescent="0.15"/>
    <row r="39484" hidden="1" x14ac:dyDescent="0.15"/>
    <row r="39485" hidden="1" x14ac:dyDescent="0.15"/>
    <row r="39486" hidden="1" x14ac:dyDescent="0.15"/>
    <row r="39487" hidden="1" x14ac:dyDescent="0.15"/>
    <row r="39488" hidden="1" x14ac:dyDescent="0.15"/>
    <row r="39489" hidden="1" x14ac:dyDescent="0.15"/>
    <row r="39490" hidden="1" x14ac:dyDescent="0.15"/>
    <row r="39491" hidden="1" x14ac:dyDescent="0.15"/>
    <row r="39492" hidden="1" x14ac:dyDescent="0.15"/>
    <row r="39493" hidden="1" x14ac:dyDescent="0.15"/>
    <row r="39494" hidden="1" x14ac:dyDescent="0.15"/>
    <row r="39495" hidden="1" x14ac:dyDescent="0.15"/>
    <row r="39496" hidden="1" x14ac:dyDescent="0.15"/>
    <row r="39497" hidden="1" x14ac:dyDescent="0.15"/>
    <row r="39498" hidden="1" x14ac:dyDescent="0.15"/>
    <row r="39499" hidden="1" x14ac:dyDescent="0.15"/>
    <row r="39500" hidden="1" x14ac:dyDescent="0.15"/>
    <row r="39501" hidden="1" x14ac:dyDescent="0.15"/>
    <row r="39502" hidden="1" x14ac:dyDescent="0.15"/>
    <row r="39503" hidden="1" x14ac:dyDescent="0.15"/>
    <row r="39504" hidden="1" x14ac:dyDescent="0.15"/>
    <row r="39505" hidden="1" x14ac:dyDescent="0.15"/>
    <row r="39506" hidden="1" x14ac:dyDescent="0.15"/>
    <row r="39507" hidden="1" x14ac:dyDescent="0.15"/>
    <row r="39508" hidden="1" x14ac:dyDescent="0.15"/>
    <row r="39509" hidden="1" x14ac:dyDescent="0.15"/>
    <row r="39510" hidden="1" x14ac:dyDescent="0.15"/>
    <row r="39511" hidden="1" x14ac:dyDescent="0.15"/>
    <row r="39512" hidden="1" x14ac:dyDescent="0.15"/>
    <row r="39513" hidden="1" x14ac:dyDescent="0.15"/>
    <row r="39514" hidden="1" x14ac:dyDescent="0.15"/>
    <row r="39515" hidden="1" x14ac:dyDescent="0.15"/>
    <row r="39516" hidden="1" x14ac:dyDescent="0.15"/>
    <row r="39517" hidden="1" x14ac:dyDescent="0.15"/>
    <row r="39518" hidden="1" x14ac:dyDescent="0.15"/>
    <row r="39519" hidden="1" x14ac:dyDescent="0.15"/>
    <row r="39520" hidden="1" x14ac:dyDescent="0.15"/>
    <row r="39521" hidden="1" x14ac:dyDescent="0.15"/>
    <row r="39522" hidden="1" x14ac:dyDescent="0.15"/>
    <row r="39523" hidden="1" x14ac:dyDescent="0.15"/>
    <row r="39524" hidden="1" x14ac:dyDescent="0.15"/>
    <row r="39525" hidden="1" x14ac:dyDescent="0.15"/>
    <row r="39526" hidden="1" x14ac:dyDescent="0.15"/>
    <row r="39527" hidden="1" x14ac:dyDescent="0.15"/>
    <row r="39528" hidden="1" x14ac:dyDescent="0.15"/>
    <row r="39529" hidden="1" x14ac:dyDescent="0.15"/>
    <row r="39530" hidden="1" x14ac:dyDescent="0.15"/>
    <row r="39531" hidden="1" x14ac:dyDescent="0.15"/>
    <row r="39532" hidden="1" x14ac:dyDescent="0.15"/>
    <row r="39533" hidden="1" x14ac:dyDescent="0.15"/>
    <row r="39534" hidden="1" x14ac:dyDescent="0.15"/>
    <row r="39535" hidden="1" x14ac:dyDescent="0.15"/>
    <row r="39536" hidden="1" x14ac:dyDescent="0.15"/>
    <row r="39537" hidden="1" x14ac:dyDescent="0.15"/>
    <row r="39538" hidden="1" x14ac:dyDescent="0.15"/>
    <row r="39539" hidden="1" x14ac:dyDescent="0.15"/>
    <row r="39540" hidden="1" x14ac:dyDescent="0.15"/>
    <row r="39541" hidden="1" x14ac:dyDescent="0.15"/>
    <row r="39542" hidden="1" x14ac:dyDescent="0.15"/>
    <row r="39543" hidden="1" x14ac:dyDescent="0.15"/>
    <row r="39544" hidden="1" x14ac:dyDescent="0.15"/>
    <row r="39545" hidden="1" x14ac:dyDescent="0.15"/>
    <row r="39546" hidden="1" x14ac:dyDescent="0.15"/>
    <row r="39547" hidden="1" x14ac:dyDescent="0.15"/>
    <row r="39548" hidden="1" x14ac:dyDescent="0.15"/>
    <row r="39549" hidden="1" x14ac:dyDescent="0.15"/>
    <row r="39550" hidden="1" x14ac:dyDescent="0.15"/>
    <row r="39551" hidden="1" x14ac:dyDescent="0.15"/>
    <row r="39552" hidden="1" x14ac:dyDescent="0.15"/>
    <row r="39553" hidden="1" x14ac:dyDescent="0.15"/>
    <row r="39554" hidden="1" x14ac:dyDescent="0.15"/>
    <row r="39555" hidden="1" x14ac:dyDescent="0.15"/>
    <row r="39556" hidden="1" x14ac:dyDescent="0.15"/>
    <row r="39557" hidden="1" x14ac:dyDescent="0.15"/>
    <row r="39558" hidden="1" x14ac:dyDescent="0.15"/>
    <row r="39559" hidden="1" x14ac:dyDescent="0.15"/>
    <row r="39560" hidden="1" x14ac:dyDescent="0.15"/>
    <row r="39561" hidden="1" x14ac:dyDescent="0.15"/>
    <row r="39562" hidden="1" x14ac:dyDescent="0.15"/>
    <row r="39563" hidden="1" x14ac:dyDescent="0.15"/>
    <row r="39564" hidden="1" x14ac:dyDescent="0.15"/>
    <row r="39565" hidden="1" x14ac:dyDescent="0.15"/>
    <row r="39566" hidden="1" x14ac:dyDescent="0.15"/>
    <row r="39567" hidden="1" x14ac:dyDescent="0.15"/>
    <row r="39568" hidden="1" x14ac:dyDescent="0.15"/>
    <row r="39569" hidden="1" x14ac:dyDescent="0.15"/>
    <row r="39570" hidden="1" x14ac:dyDescent="0.15"/>
    <row r="39571" hidden="1" x14ac:dyDescent="0.15"/>
    <row r="39572" hidden="1" x14ac:dyDescent="0.15"/>
    <row r="39573" hidden="1" x14ac:dyDescent="0.15"/>
    <row r="39574" hidden="1" x14ac:dyDescent="0.15"/>
    <row r="39575" hidden="1" x14ac:dyDescent="0.15"/>
    <row r="39576" hidden="1" x14ac:dyDescent="0.15"/>
    <row r="39577" hidden="1" x14ac:dyDescent="0.15"/>
    <row r="39578" hidden="1" x14ac:dyDescent="0.15"/>
    <row r="39579" hidden="1" x14ac:dyDescent="0.15"/>
    <row r="39580" hidden="1" x14ac:dyDescent="0.15"/>
    <row r="39581" hidden="1" x14ac:dyDescent="0.15"/>
    <row r="39582" hidden="1" x14ac:dyDescent="0.15"/>
    <row r="39583" hidden="1" x14ac:dyDescent="0.15"/>
    <row r="39584" hidden="1" x14ac:dyDescent="0.15"/>
    <row r="39585" hidden="1" x14ac:dyDescent="0.15"/>
    <row r="39586" hidden="1" x14ac:dyDescent="0.15"/>
    <row r="39587" hidden="1" x14ac:dyDescent="0.15"/>
    <row r="39588" hidden="1" x14ac:dyDescent="0.15"/>
    <row r="39589" hidden="1" x14ac:dyDescent="0.15"/>
    <row r="39590" hidden="1" x14ac:dyDescent="0.15"/>
    <row r="39591" hidden="1" x14ac:dyDescent="0.15"/>
    <row r="39592" hidden="1" x14ac:dyDescent="0.15"/>
    <row r="39593" hidden="1" x14ac:dyDescent="0.15"/>
    <row r="39594" hidden="1" x14ac:dyDescent="0.15"/>
    <row r="39595" hidden="1" x14ac:dyDescent="0.15"/>
    <row r="39596" hidden="1" x14ac:dyDescent="0.15"/>
    <row r="39597" hidden="1" x14ac:dyDescent="0.15"/>
    <row r="39598" hidden="1" x14ac:dyDescent="0.15"/>
    <row r="39599" hidden="1" x14ac:dyDescent="0.15"/>
    <row r="39600" hidden="1" x14ac:dyDescent="0.15"/>
    <row r="39601" hidden="1" x14ac:dyDescent="0.15"/>
    <row r="39602" hidden="1" x14ac:dyDescent="0.15"/>
    <row r="39603" hidden="1" x14ac:dyDescent="0.15"/>
    <row r="39604" hidden="1" x14ac:dyDescent="0.15"/>
    <row r="39605" hidden="1" x14ac:dyDescent="0.15"/>
    <row r="39606" hidden="1" x14ac:dyDescent="0.15"/>
    <row r="39607" hidden="1" x14ac:dyDescent="0.15"/>
    <row r="39608" hidden="1" x14ac:dyDescent="0.15"/>
    <row r="39609" hidden="1" x14ac:dyDescent="0.15"/>
    <row r="39610" hidden="1" x14ac:dyDescent="0.15"/>
    <row r="39611" hidden="1" x14ac:dyDescent="0.15"/>
    <row r="39612" hidden="1" x14ac:dyDescent="0.15"/>
    <row r="39613" hidden="1" x14ac:dyDescent="0.15"/>
    <row r="39614" hidden="1" x14ac:dyDescent="0.15"/>
    <row r="39615" hidden="1" x14ac:dyDescent="0.15"/>
    <row r="39616" hidden="1" x14ac:dyDescent="0.15"/>
    <row r="39617" hidden="1" x14ac:dyDescent="0.15"/>
    <row r="39618" hidden="1" x14ac:dyDescent="0.15"/>
    <row r="39619" hidden="1" x14ac:dyDescent="0.15"/>
    <row r="39620" hidden="1" x14ac:dyDescent="0.15"/>
    <row r="39621" hidden="1" x14ac:dyDescent="0.15"/>
    <row r="39622" hidden="1" x14ac:dyDescent="0.15"/>
    <row r="39623" hidden="1" x14ac:dyDescent="0.15"/>
    <row r="39624" hidden="1" x14ac:dyDescent="0.15"/>
    <row r="39625" hidden="1" x14ac:dyDescent="0.15"/>
    <row r="39626" hidden="1" x14ac:dyDescent="0.15"/>
    <row r="39627" hidden="1" x14ac:dyDescent="0.15"/>
    <row r="39628" hidden="1" x14ac:dyDescent="0.15"/>
    <row r="39629" hidden="1" x14ac:dyDescent="0.15"/>
    <row r="39630" hidden="1" x14ac:dyDescent="0.15"/>
    <row r="39631" hidden="1" x14ac:dyDescent="0.15"/>
    <row r="39632" hidden="1" x14ac:dyDescent="0.15"/>
    <row r="39633" hidden="1" x14ac:dyDescent="0.15"/>
    <row r="39634" hidden="1" x14ac:dyDescent="0.15"/>
    <row r="39635" hidden="1" x14ac:dyDescent="0.15"/>
    <row r="39636" hidden="1" x14ac:dyDescent="0.15"/>
    <row r="39637" hidden="1" x14ac:dyDescent="0.15"/>
    <row r="39638" hidden="1" x14ac:dyDescent="0.15"/>
    <row r="39639" hidden="1" x14ac:dyDescent="0.15"/>
    <row r="39640" hidden="1" x14ac:dyDescent="0.15"/>
    <row r="39641" hidden="1" x14ac:dyDescent="0.15"/>
    <row r="39642" hidden="1" x14ac:dyDescent="0.15"/>
    <row r="39643" hidden="1" x14ac:dyDescent="0.15"/>
    <row r="39644" hidden="1" x14ac:dyDescent="0.15"/>
    <row r="39645" hidden="1" x14ac:dyDescent="0.15"/>
    <row r="39646" hidden="1" x14ac:dyDescent="0.15"/>
    <row r="39647" hidden="1" x14ac:dyDescent="0.15"/>
    <row r="39648" hidden="1" x14ac:dyDescent="0.15"/>
    <row r="39649" hidden="1" x14ac:dyDescent="0.15"/>
    <row r="39650" hidden="1" x14ac:dyDescent="0.15"/>
    <row r="39651" hidden="1" x14ac:dyDescent="0.15"/>
    <row r="39652" hidden="1" x14ac:dyDescent="0.15"/>
    <row r="39653" hidden="1" x14ac:dyDescent="0.15"/>
    <row r="39654" hidden="1" x14ac:dyDescent="0.15"/>
    <row r="39655" hidden="1" x14ac:dyDescent="0.15"/>
    <row r="39656" hidden="1" x14ac:dyDescent="0.15"/>
    <row r="39657" hidden="1" x14ac:dyDescent="0.15"/>
    <row r="39658" hidden="1" x14ac:dyDescent="0.15"/>
    <row r="39659" hidden="1" x14ac:dyDescent="0.15"/>
    <row r="39660" hidden="1" x14ac:dyDescent="0.15"/>
    <row r="39661" hidden="1" x14ac:dyDescent="0.15"/>
    <row r="39662" hidden="1" x14ac:dyDescent="0.15"/>
    <row r="39663" hidden="1" x14ac:dyDescent="0.15"/>
    <row r="39664" hidden="1" x14ac:dyDescent="0.15"/>
    <row r="39665" hidden="1" x14ac:dyDescent="0.15"/>
    <row r="39666" hidden="1" x14ac:dyDescent="0.15"/>
    <row r="39667" hidden="1" x14ac:dyDescent="0.15"/>
    <row r="39668" hidden="1" x14ac:dyDescent="0.15"/>
    <row r="39669" hidden="1" x14ac:dyDescent="0.15"/>
    <row r="39670" hidden="1" x14ac:dyDescent="0.15"/>
    <row r="39671" hidden="1" x14ac:dyDescent="0.15"/>
    <row r="39672" hidden="1" x14ac:dyDescent="0.15"/>
    <row r="39673" hidden="1" x14ac:dyDescent="0.15"/>
    <row r="39674" hidden="1" x14ac:dyDescent="0.15"/>
    <row r="39675" hidden="1" x14ac:dyDescent="0.15"/>
    <row r="39676" hidden="1" x14ac:dyDescent="0.15"/>
    <row r="39677" hidden="1" x14ac:dyDescent="0.15"/>
    <row r="39678" hidden="1" x14ac:dyDescent="0.15"/>
    <row r="39679" hidden="1" x14ac:dyDescent="0.15"/>
    <row r="39680" hidden="1" x14ac:dyDescent="0.15"/>
    <row r="39681" hidden="1" x14ac:dyDescent="0.15"/>
    <row r="39682" hidden="1" x14ac:dyDescent="0.15"/>
    <row r="39683" hidden="1" x14ac:dyDescent="0.15"/>
    <row r="39684" hidden="1" x14ac:dyDescent="0.15"/>
    <row r="39685" hidden="1" x14ac:dyDescent="0.15"/>
    <row r="39686" hidden="1" x14ac:dyDescent="0.15"/>
    <row r="39687" hidden="1" x14ac:dyDescent="0.15"/>
    <row r="39688" hidden="1" x14ac:dyDescent="0.15"/>
    <row r="39689" hidden="1" x14ac:dyDescent="0.15"/>
    <row r="39690" hidden="1" x14ac:dyDescent="0.15"/>
    <row r="39691" hidden="1" x14ac:dyDescent="0.15"/>
    <row r="39692" hidden="1" x14ac:dyDescent="0.15"/>
    <row r="39693" hidden="1" x14ac:dyDescent="0.15"/>
    <row r="39694" hidden="1" x14ac:dyDescent="0.15"/>
    <row r="39695" hidden="1" x14ac:dyDescent="0.15"/>
    <row r="39696" hidden="1" x14ac:dyDescent="0.15"/>
    <row r="39697" hidden="1" x14ac:dyDescent="0.15"/>
    <row r="39698" hidden="1" x14ac:dyDescent="0.15"/>
    <row r="39699" hidden="1" x14ac:dyDescent="0.15"/>
    <row r="39700" hidden="1" x14ac:dyDescent="0.15"/>
    <row r="39701" hidden="1" x14ac:dyDescent="0.15"/>
    <row r="39702" hidden="1" x14ac:dyDescent="0.15"/>
    <row r="39703" hidden="1" x14ac:dyDescent="0.15"/>
    <row r="39704" hidden="1" x14ac:dyDescent="0.15"/>
    <row r="39705" hidden="1" x14ac:dyDescent="0.15"/>
    <row r="39706" hidden="1" x14ac:dyDescent="0.15"/>
    <row r="39707" hidden="1" x14ac:dyDescent="0.15"/>
    <row r="39708" hidden="1" x14ac:dyDescent="0.15"/>
    <row r="39709" hidden="1" x14ac:dyDescent="0.15"/>
    <row r="39710" hidden="1" x14ac:dyDescent="0.15"/>
    <row r="39711" hidden="1" x14ac:dyDescent="0.15"/>
    <row r="39712" hidden="1" x14ac:dyDescent="0.15"/>
    <row r="39713" hidden="1" x14ac:dyDescent="0.15"/>
    <row r="39714" hidden="1" x14ac:dyDescent="0.15"/>
    <row r="39715" hidden="1" x14ac:dyDescent="0.15"/>
    <row r="39716" hidden="1" x14ac:dyDescent="0.15"/>
    <row r="39717" hidden="1" x14ac:dyDescent="0.15"/>
    <row r="39718" hidden="1" x14ac:dyDescent="0.15"/>
    <row r="39719" hidden="1" x14ac:dyDescent="0.15"/>
    <row r="39720" hidden="1" x14ac:dyDescent="0.15"/>
    <row r="39721" hidden="1" x14ac:dyDescent="0.15"/>
    <row r="39722" hidden="1" x14ac:dyDescent="0.15"/>
    <row r="39723" hidden="1" x14ac:dyDescent="0.15"/>
    <row r="39724" hidden="1" x14ac:dyDescent="0.15"/>
    <row r="39725" hidden="1" x14ac:dyDescent="0.15"/>
    <row r="39726" hidden="1" x14ac:dyDescent="0.15"/>
    <row r="39727" hidden="1" x14ac:dyDescent="0.15"/>
    <row r="39728" hidden="1" x14ac:dyDescent="0.15"/>
    <row r="39729" hidden="1" x14ac:dyDescent="0.15"/>
    <row r="39730" hidden="1" x14ac:dyDescent="0.15"/>
    <row r="39731" hidden="1" x14ac:dyDescent="0.15"/>
    <row r="39732" hidden="1" x14ac:dyDescent="0.15"/>
    <row r="39733" hidden="1" x14ac:dyDescent="0.15"/>
    <row r="39734" hidden="1" x14ac:dyDescent="0.15"/>
    <row r="39735" hidden="1" x14ac:dyDescent="0.15"/>
    <row r="39736" hidden="1" x14ac:dyDescent="0.15"/>
    <row r="39737" hidden="1" x14ac:dyDescent="0.15"/>
    <row r="39738" hidden="1" x14ac:dyDescent="0.15"/>
    <row r="39739" hidden="1" x14ac:dyDescent="0.15"/>
    <row r="39740" hidden="1" x14ac:dyDescent="0.15"/>
    <row r="39741" hidden="1" x14ac:dyDescent="0.15"/>
    <row r="39742" hidden="1" x14ac:dyDescent="0.15"/>
    <row r="39743" hidden="1" x14ac:dyDescent="0.15"/>
    <row r="39744" hidden="1" x14ac:dyDescent="0.15"/>
    <row r="39745" hidden="1" x14ac:dyDescent="0.15"/>
    <row r="39746" hidden="1" x14ac:dyDescent="0.15"/>
    <row r="39747" hidden="1" x14ac:dyDescent="0.15"/>
    <row r="39748" hidden="1" x14ac:dyDescent="0.15"/>
    <row r="39749" hidden="1" x14ac:dyDescent="0.15"/>
    <row r="39750" hidden="1" x14ac:dyDescent="0.15"/>
    <row r="39751" hidden="1" x14ac:dyDescent="0.15"/>
    <row r="39752" hidden="1" x14ac:dyDescent="0.15"/>
    <row r="39753" hidden="1" x14ac:dyDescent="0.15"/>
    <row r="39754" hidden="1" x14ac:dyDescent="0.15"/>
    <row r="39755" hidden="1" x14ac:dyDescent="0.15"/>
    <row r="39756" hidden="1" x14ac:dyDescent="0.15"/>
    <row r="39757" hidden="1" x14ac:dyDescent="0.15"/>
    <row r="39758" hidden="1" x14ac:dyDescent="0.15"/>
    <row r="39759" hidden="1" x14ac:dyDescent="0.15"/>
    <row r="39760" hidden="1" x14ac:dyDescent="0.15"/>
    <row r="39761" hidden="1" x14ac:dyDescent="0.15"/>
    <row r="39762" hidden="1" x14ac:dyDescent="0.15"/>
    <row r="39763" hidden="1" x14ac:dyDescent="0.15"/>
    <row r="39764" hidden="1" x14ac:dyDescent="0.15"/>
    <row r="39765" hidden="1" x14ac:dyDescent="0.15"/>
    <row r="39766" hidden="1" x14ac:dyDescent="0.15"/>
    <row r="39767" hidden="1" x14ac:dyDescent="0.15"/>
    <row r="39768" hidden="1" x14ac:dyDescent="0.15"/>
    <row r="39769" hidden="1" x14ac:dyDescent="0.15"/>
    <row r="39770" hidden="1" x14ac:dyDescent="0.15"/>
    <row r="39771" hidden="1" x14ac:dyDescent="0.15"/>
    <row r="39772" hidden="1" x14ac:dyDescent="0.15"/>
    <row r="39773" hidden="1" x14ac:dyDescent="0.15"/>
    <row r="39774" hidden="1" x14ac:dyDescent="0.15"/>
    <row r="39775" hidden="1" x14ac:dyDescent="0.15"/>
    <row r="39776" hidden="1" x14ac:dyDescent="0.15"/>
    <row r="39777" hidden="1" x14ac:dyDescent="0.15"/>
    <row r="39778" hidden="1" x14ac:dyDescent="0.15"/>
    <row r="39779" hidden="1" x14ac:dyDescent="0.15"/>
    <row r="39780" hidden="1" x14ac:dyDescent="0.15"/>
    <row r="39781" hidden="1" x14ac:dyDescent="0.15"/>
    <row r="39782" hidden="1" x14ac:dyDescent="0.15"/>
    <row r="39783" hidden="1" x14ac:dyDescent="0.15"/>
    <row r="39784" hidden="1" x14ac:dyDescent="0.15"/>
    <row r="39785" hidden="1" x14ac:dyDescent="0.15"/>
    <row r="39786" hidden="1" x14ac:dyDescent="0.15"/>
    <row r="39787" hidden="1" x14ac:dyDescent="0.15"/>
    <row r="39788" hidden="1" x14ac:dyDescent="0.15"/>
    <row r="39789" hidden="1" x14ac:dyDescent="0.15"/>
    <row r="39790" hidden="1" x14ac:dyDescent="0.15"/>
    <row r="39791" hidden="1" x14ac:dyDescent="0.15"/>
    <row r="39792" hidden="1" x14ac:dyDescent="0.15"/>
    <row r="39793" hidden="1" x14ac:dyDescent="0.15"/>
    <row r="39794" hidden="1" x14ac:dyDescent="0.15"/>
    <row r="39795" hidden="1" x14ac:dyDescent="0.15"/>
    <row r="39796" hidden="1" x14ac:dyDescent="0.15"/>
    <row r="39797" hidden="1" x14ac:dyDescent="0.15"/>
    <row r="39798" hidden="1" x14ac:dyDescent="0.15"/>
    <row r="39799" hidden="1" x14ac:dyDescent="0.15"/>
    <row r="39800" hidden="1" x14ac:dyDescent="0.15"/>
    <row r="39801" hidden="1" x14ac:dyDescent="0.15"/>
    <row r="39802" hidden="1" x14ac:dyDescent="0.15"/>
    <row r="39803" hidden="1" x14ac:dyDescent="0.15"/>
    <row r="39804" hidden="1" x14ac:dyDescent="0.15"/>
    <row r="39805" hidden="1" x14ac:dyDescent="0.15"/>
    <row r="39806" hidden="1" x14ac:dyDescent="0.15"/>
    <row r="39807" hidden="1" x14ac:dyDescent="0.15"/>
    <row r="39808" hidden="1" x14ac:dyDescent="0.15"/>
    <row r="39809" hidden="1" x14ac:dyDescent="0.15"/>
    <row r="39810" hidden="1" x14ac:dyDescent="0.15"/>
    <row r="39811" hidden="1" x14ac:dyDescent="0.15"/>
    <row r="39812" hidden="1" x14ac:dyDescent="0.15"/>
    <row r="39813" hidden="1" x14ac:dyDescent="0.15"/>
    <row r="39814" hidden="1" x14ac:dyDescent="0.15"/>
    <row r="39815" hidden="1" x14ac:dyDescent="0.15"/>
    <row r="39816" hidden="1" x14ac:dyDescent="0.15"/>
    <row r="39817" hidden="1" x14ac:dyDescent="0.15"/>
    <row r="39818" hidden="1" x14ac:dyDescent="0.15"/>
    <row r="39819" hidden="1" x14ac:dyDescent="0.15"/>
    <row r="39820" hidden="1" x14ac:dyDescent="0.15"/>
    <row r="39821" hidden="1" x14ac:dyDescent="0.15"/>
    <row r="39822" hidden="1" x14ac:dyDescent="0.15"/>
    <row r="39823" hidden="1" x14ac:dyDescent="0.15"/>
    <row r="39824" hidden="1" x14ac:dyDescent="0.15"/>
    <row r="39825" hidden="1" x14ac:dyDescent="0.15"/>
    <row r="39826" hidden="1" x14ac:dyDescent="0.15"/>
    <row r="39827" hidden="1" x14ac:dyDescent="0.15"/>
    <row r="39828" hidden="1" x14ac:dyDescent="0.15"/>
    <row r="39829" hidden="1" x14ac:dyDescent="0.15"/>
    <row r="39830" hidden="1" x14ac:dyDescent="0.15"/>
    <row r="39831" hidden="1" x14ac:dyDescent="0.15"/>
    <row r="39832" hidden="1" x14ac:dyDescent="0.15"/>
    <row r="39833" hidden="1" x14ac:dyDescent="0.15"/>
    <row r="39834" hidden="1" x14ac:dyDescent="0.15"/>
    <row r="39835" hidden="1" x14ac:dyDescent="0.15"/>
    <row r="39836" hidden="1" x14ac:dyDescent="0.15"/>
    <row r="39837" hidden="1" x14ac:dyDescent="0.15"/>
    <row r="39838" hidden="1" x14ac:dyDescent="0.15"/>
    <row r="39839" hidden="1" x14ac:dyDescent="0.15"/>
    <row r="39840" hidden="1" x14ac:dyDescent="0.15"/>
    <row r="39841" hidden="1" x14ac:dyDescent="0.15"/>
    <row r="39842" hidden="1" x14ac:dyDescent="0.15"/>
    <row r="39843" hidden="1" x14ac:dyDescent="0.15"/>
    <row r="39844" hidden="1" x14ac:dyDescent="0.15"/>
    <row r="39845" hidden="1" x14ac:dyDescent="0.15"/>
    <row r="39846" hidden="1" x14ac:dyDescent="0.15"/>
    <row r="39847" hidden="1" x14ac:dyDescent="0.15"/>
    <row r="39848" hidden="1" x14ac:dyDescent="0.15"/>
    <row r="39849" hidden="1" x14ac:dyDescent="0.15"/>
    <row r="39850" hidden="1" x14ac:dyDescent="0.15"/>
    <row r="39851" hidden="1" x14ac:dyDescent="0.15"/>
    <row r="39852" hidden="1" x14ac:dyDescent="0.15"/>
    <row r="39853" hidden="1" x14ac:dyDescent="0.15"/>
    <row r="39854" hidden="1" x14ac:dyDescent="0.15"/>
    <row r="39855" hidden="1" x14ac:dyDescent="0.15"/>
    <row r="39856" hidden="1" x14ac:dyDescent="0.15"/>
    <row r="39857" hidden="1" x14ac:dyDescent="0.15"/>
    <row r="39858" hidden="1" x14ac:dyDescent="0.15"/>
    <row r="39859" hidden="1" x14ac:dyDescent="0.15"/>
    <row r="39860" hidden="1" x14ac:dyDescent="0.15"/>
    <row r="39861" hidden="1" x14ac:dyDescent="0.15"/>
    <row r="39862" hidden="1" x14ac:dyDescent="0.15"/>
    <row r="39863" hidden="1" x14ac:dyDescent="0.15"/>
    <row r="39864" hidden="1" x14ac:dyDescent="0.15"/>
    <row r="39865" hidden="1" x14ac:dyDescent="0.15"/>
    <row r="39866" hidden="1" x14ac:dyDescent="0.15"/>
    <row r="39867" hidden="1" x14ac:dyDescent="0.15"/>
    <row r="39868" hidden="1" x14ac:dyDescent="0.15"/>
    <row r="39869" hidden="1" x14ac:dyDescent="0.15"/>
    <row r="39870" hidden="1" x14ac:dyDescent="0.15"/>
    <row r="39871" hidden="1" x14ac:dyDescent="0.15"/>
    <row r="39872" hidden="1" x14ac:dyDescent="0.15"/>
    <row r="39873" hidden="1" x14ac:dyDescent="0.15"/>
    <row r="39874" hidden="1" x14ac:dyDescent="0.15"/>
    <row r="39875" hidden="1" x14ac:dyDescent="0.15"/>
    <row r="39876" hidden="1" x14ac:dyDescent="0.15"/>
    <row r="39877" hidden="1" x14ac:dyDescent="0.15"/>
    <row r="39878" hidden="1" x14ac:dyDescent="0.15"/>
    <row r="39879" hidden="1" x14ac:dyDescent="0.15"/>
    <row r="39880" hidden="1" x14ac:dyDescent="0.15"/>
    <row r="39881" hidden="1" x14ac:dyDescent="0.15"/>
    <row r="39882" hidden="1" x14ac:dyDescent="0.15"/>
    <row r="39883" hidden="1" x14ac:dyDescent="0.15"/>
    <row r="39884" hidden="1" x14ac:dyDescent="0.15"/>
    <row r="39885" hidden="1" x14ac:dyDescent="0.15"/>
    <row r="39886" hidden="1" x14ac:dyDescent="0.15"/>
    <row r="39887" hidden="1" x14ac:dyDescent="0.15"/>
    <row r="39888" hidden="1" x14ac:dyDescent="0.15"/>
    <row r="39889" hidden="1" x14ac:dyDescent="0.15"/>
    <row r="39890" hidden="1" x14ac:dyDescent="0.15"/>
    <row r="39891" hidden="1" x14ac:dyDescent="0.15"/>
    <row r="39892" hidden="1" x14ac:dyDescent="0.15"/>
    <row r="39893" hidden="1" x14ac:dyDescent="0.15"/>
    <row r="39894" hidden="1" x14ac:dyDescent="0.15"/>
    <row r="39895" hidden="1" x14ac:dyDescent="0.15"/>
    <row r="39896" hidden="1" x14ac:dyDescent="0.15"/>
    <row r="39897" hidden="1" x14ac:dyDescent="0.15"/>
    <row r="39898" hidden="1" x14ac:dyDescent="0.15"/>
    <row r="39899" hidden="1" x14ac:dyDescent="0.15"/>
    <row r="39900" hidden="1" x14ac:dyDescent="0.15"/>
    <row r="39901" hidden="1" x14ac:dyDescent="0.15"/>
    <row r="39902" hidden="1" x14ac:dyDescent="0.15"/>
    <row r="39903" hidden="1" x14ac:dyDescent="0.15"/>
    <row r="39904" hidden="1" x14ac:dyDescent="0.15"/>
    <row r="39905" hidden="1" x14ac:dyDescent="0.15"/>
    <row r="39906" hidden="1" x14ac:dyDescent="0.15"/>
    <row r="39907" hidden="1" x14ac:dyDescent="0.15"/>
    <row r="39908" hidden="1" x14ac:dyDescent="0.15"/>
    <row r="39909" hidden="1" x14ac:dyDescent="0.15"/>
    <row r="39910" hidden="1" x14ac:dyDescent="0.15"/>
    <row r="39911" hidden="1" x14ac:dyDescent="0.15"/>
    <row r="39912" hidden="1" x14ac:dyDescent="0.15"/>
    <row r="39913" hidden="1" x14ac:dyDescent="0.15"/>
    <row r="39914" hidden="1" x14ac:dyDescent="0.15"/>
    <row r="39915" hidden="1" x14ac:dyDescent="0.15"/>
    <row r="39916" hidden="1" x14ac:dyDescent="0.15"/>
    <row r="39917" hidden="1" x14ac:dyDescent="0.15"/>
    <row r="39918" hidden="1" x14ac:dyDescent="0.15"/>
    <row r="39919" hidden="1" x14ac:dyDescent="0.15"/>
    <row r="39920" hidden="1" x14ac:dyDescent="0.15"/>
    <row r="39921" hidden="1" x14ac:dyDescent="0.15"/>
    <row r="39922" hidden="1" x14ac:dyDescent="0.15"/>
    <row r="39923" hidden="1" x14ac:dyDescent="0.15"/>
    <row r="39924" hidden="1" x14ac:dyDescent="0.15"/>
    <row r="39925" hidden="1" x14ac:dyDescent="0.15"/>
    <row r="39926" hidden="1" x14ac:dyDescent="0.15"/>
    <row r="39927" hidden="1" x14ac:dyDescent="0.15"/>
    <row r="39928" hidden="1" x14ac:dyDescent="0.15"/>
    <row r="39929" hidden="1" x14ac:dyDescent="0.15"/>
    <row r="39930" hidden="1" x14ac:dyDescent="0.15"/>
    <row r="39931" hidden="1" x14ac:dyDescent="0.15"/>
    <row r="39932" hidden="1" x14ac:dyDescent="0.15"/>
    <row r="39933" hidden="1" x14ac:dyDescent="0.15"/>
    <row r="39934" hidden="1" x14ac:dyDescent="0.15"/>
    <row r="39935" hidden="1" x14ac:dyDescent="0.15"/>
    <row r="39936" hidden="1" x14ac:dyDescent="0.15"/>
    <row r="39937" hidden="1" x14ac:dyDescent="0.15"/>
    <row r="39938" hidden="1" x14ac:dyDescent="0.15"/>
    <row r="39939" hidden="1" x14ac:dyDescent="0.15"/>
    <row r="39940" hidden="1" x14ac:dyDescent="0.15"/>
    <row r="39941" hidden="1" x14ac:dyDescent="0.15"/>
    <row r="39942" hidden="1" x14ac:dyDescent="0.15"/>
    <row r="39943" hidden="1" x14ac:dyDescent="0.15"/>
    <row r="39944" hidden="1" x14ac:dyDescent="0.15"/>
    <row r="39945" hidden="1" x14ac:dyDescent="0.15"/>
    <row r="39946" hidden="1" x14ac:dyDescent="0.15"/>
    <row r="39947" hidden="1" x14ac:dyDescent="0.15"/>
    <row r="39948" hidden="1" x14ac:dyDescent="0.15"/>
    <row r="39949" hidden="1" x14ac:dyDescent="0.15"/>
    <row r="39950" hidden="1" x14ac:dyDescent="0.15"/>
    <row r="39951" hidden="1" x14ac:dyDescent="0.15"/>
    <row r="39952" hidden="1" x14ac:dyDescent="0.15"/>
    <row r="39953" hidden="1" x14ac:dyDescent="0.15"/>
    <row r="39954" hidden="1" x14ac:dyDescent="0.15"/>
    <row r="39955" hidden="1" x14ac:dyDescent="0.15"/>
    <row r="39956" hidden="1" x14ac:dyDescent="0.15"/>
    <row r="39957" hidden="1" x14ac:dyDescent="0.15"/>
    <row r="39958" hidden="1" x14ac:dyDescent="0.15"/>
    <row r="39959" hidden="1" x14ac:dyDescent="0.15"/>
    <row r="39960" hidden="1" x14ac:dyDescent="0.15"/>
    <row r="39961" hidden="1" x14ac:dyDescent="0.15"/>
    <row r="39962" hidden="1" x14ac:dyDescent="0.15"/>
    <row r="39963" hidden="1" x14ac:dyDescent="0.15"/>
    <row r="39964" hidden="1" x14ac:dyDescent="0.15"/>
    <row r="39965" hidden="1" x14ac:dyDescent="0.15"/>
    <row r="39966" hidden="1" x14ac:dyDescent="0.15"/>
    <row r="39967" hidden="1" x14ac:dyDescent="0.15"/>
    <row r="39968" hidden="1" x14ac:dyDescent="0.15"/>
    <row r="39969" hidden="1" x14ac:dyDescent="0.15"/>
    <row r="39970" hidden="1" x14ac:dyDescent="0.15"/>
    <row r="39971" hidden="1" x14ac:dyDescent="0.15"/>
    <row r="39972" hidden="1" x14ac:dyDescent="0.15"/>
    <row r="39973" hidden="1" x14ac:dyDescent="0.15"/>
    <row r="39974" hidden="1" x14ac:dyDescent="0.15"/>
    <row r="39975" hidden="1" x14ac:dyDescent="0.15"/>
    <row r="39976" hidden="1" x14ac:dyDescent="0.15"/>
    <row r="39977" hidden="1" x14ac:dyDescent="0.15"/>
    <row r="39978" hidden="1" x14ac:dyDescent="0.15"/>
    <row r="39979" hidden="1" x14ac:dyDescent="0.15"/>
    <row r="39980" hidden="1" x14ac:dyDescent="0.15"/>
    <row r="39981" hidden="1" x14ac:dyDescent="0.15"/>
    <row r="39982" hidden="1" x14ac:dyDescent="0.15"/>
    <row r="39983" hidden="1" x14ac:dyDescent="0.15"/>
    <row r="39984" hidden="1" x14ac:dyDescent="0.15"/>
    <row r="39985" hidden="1" x14ac:dyDescent="0.15"/>
    <row r="39986" hidden="1" x14ac:dyDescent="0.15"/>
    <row r="39987" hidden="1" x14ac:dyDescent="0.15"/>
    <row r="39988" hidden="1" x14ac:dyDescent="0.15"/>
    <row r="39989" hidden="1" x14ac:dyDescent="0.15"/>
    <row r="39990" hidden="1" x14ac:dyDescent="0.15"/>
    <row r="39991" hidden="1" x14ac:dyDescent="0.15"/>
    <row r="39992" hidden="1" x14ac:dyDescent="0.15"/>
    <row r="39993" hidden="1" x14ac:dyDescent="0.15"/>
    <row r="39994" hidden="1" x14ac:dyDescent="0.15"/>
    <row r="39995" hidden="1" x14ac:dyDescent="0.15"/>
    <row r="39996" hidden="1" x14ac:dyDescent="0.15"/>
    <row r="39997" hidden="1" x14ac:dyDescent="0.15"/>
    <row r="39998" hidden="1" x14ac:dyDescent="0.15"/>
    <row r="39999" hidden="1" x14ac:dyDescent="0.15"/>
    <row r="40000" hidden="1" x14ac:dyDescent="0.15"/>
    <row r="40001" hidden="1" x14ac:dyDescent="0.15"/>
    <row r="40002" hidden="1" x14ac:dyDescent="0.15"/>
    <row r="40003" hidden="1" x14ac:dyDescent="0.15"/>
    <row r="40004" hidden="1" x14ac:dyDescent="0.15"/>
    <row r="40005" hidden="1" x14ac:dyDescent="0.15"/>
    <row r="40006" hidden="1" x14ac:dyDescent="0.15"/>
    <row r="40007" hidden="1" x14ac:dyDescent="0.15"/>
    <row r="40008" hidden="1" x14ac:dyDescent="0.15"/>
    <row r="40009" hidden="1" x14ac:dyDescent="0.15"/>
    <row r="40010" hidden="1" x14ac:dyDescent="0.15"/>
    <row r="40011" hidden="1" x14ac:dyDescent="0.15"/>
    <row r="40012" hidden="1" x14ac:dyDescent="0.15"/>
    <row r="40013" hidden="1" x14ac:dyDescent="0.15"/>
    <row r="40014" hidden="1" x14ac:dyDescent="0.15"/>
    <row r="40015" hidden="1" x14ac:dyDescent="0.15"/>
    <row r="40016" hidden="1" x14ac:dyDescent="0.15"/>
    <row r="40017" hidden="1" x14ac:dyDescent="0.15"/>
    <row r="40018" hidden="1" x14ac:dyDescent="0.15"/>
    <row r="40019" hidden="1" x14ac:dyDescent="0.15"/>
    <row r="40020" hidden="1" x14ac:dyDescent="0.15"/>
    <row r="40021" hidden="1" x14ac:dyDescent="0.15"/>
    <row r="40022" hidden="1" x14ac:dyDescent="0.15"/>
    <row r="40023" hidden="1" x14ac:dyDescent="0.15"/>
    <row r="40024" hidden="1" x14ac:dyDescent="0.15"/>
    <row r="40025" hidden="1" x14ac:dyDescent="0.15"/>
    <row r="40026" hidden="1" x14ac:dyDescent="0.15"/>
    <row r="40027" hidden="1" x14ac:dyDescent="0.15"/>
    <row r="40028" hidden="1" x14ac:dyDescent="0.15"/>
    <row r="40029" hidden="1" x14ac:dyDescent="0.15"/>
    <row r="40030" hidden="1" x14ac:dyDescent="0.15"/>
    <row r="40031" hidden="1" x14ac:dyDescent="0.15"/>
    <row r="40032" hidden="1" x14ac:dyDescent="0.15"/>
    <row r="40033" hidden="1" x14ac:dyDescent="0.15"/>
    <row r="40034" hidden="1" x14ac:dyDescent="0.15"/>
    <row r="40035" hidden="1" x14ac:dyDescent="0.15"/>
    <row r="40036" hidden="1" x14ac:dyDescent="0.15"/>
    <row r="40037" hidden="1" x14ac:dyDescent="0.15"/>
    <row r="40038" hidden="1" x14ac:dyDescent="0.15"/>
    <row r="40039" hidden="1" x14ac:dyDescent="0.15"/>
    <row r="40040" hidden="1" x14ac:dyDescent="0.15"/>
    <row r="40041" hidden="1" x14ac:dyDescent="0.15"/>
    <row r="40042" hidden="1" x14ac:dyDescent="0.15"/>
    <row r="40043" hidden="1" x14ac:dyDescent="0.15"/>
    <row r="40044" hidden="1" x14ac:dyDescent="0.15"/>
    <row r="40045" hidden="1" x14ac:dyDescent="0.15"/>
    <row r="40046" hidden="1" x14ac:dyDescent="0.15"/>
    <row r="40047" hidden="1" x14ac:dyDescent="0.15"/>
    <row r="40048" hidden="1" x14ac:dyDescent="0.15"/>
    <row r="40049" hidden="1" x14ac:dyDescent="0.15"/>
    <row r="40050" hidden="1" x14ac:dyDescent="0.15"/>
    <row r="40051" hidden="1" x14ac:dyDescent="0.15"/>
    <row r="40052" hidden="1" x14ac:dyDescent="0.15"/>
    <row r="40053" hidden="1" x14ac:dyDescent="0.15"/>
    <row r="40054" hidden="1" x14ac:dyDescent="0.15"/>
    <row r="40055" hidden="1" x14ac:dyDescent="0.15"/>
    <row r="40056" hidden="1" x14ac:dyDescent="0.15"/>
    <row r="40057" hidden="1" x14ac:dyDescent="0.15"/>
    <row r="40058" hidden="1" x14ac:dyDescent="0.15"/>
    <row r="40059" hidden="1" x14ac:dyDescent="0.15"/>
    <row r="40060" hidden="1" x14ac:dyDescent="0.15"/>
    <row r="40061" hidden="1" x14ac:dyDescent="0.15"/>
    <row r="40062" hidden="1" x14ac:dyDescent="0.15"/>
    <row r="40063" hidden="1" x14ac:dyDescent="0.15"/>
    <row r="40064" hidden="1" x14ac:dyDescent="0.15"/>
    <row r="40065" hidden="1" x14ac:dyDescent="0.15"/>
    <row r="40066" hidden="1" x14ac:dyDescent="0.15"/>
    <row r="40067" hidden="1" x14ac:dyDescent="0.15"/>
    <row r="40068" hidden="1" x14ac:dyDescent="0.15"/>
    <row r="40069" hidden="1" x14ac:dyDescent="0.15"/>
    <row r="40070" hidden="1" x14ac:dyDescent="0.15"/>
    <row r="40071" hidden="1" x14ac:dyDescent="0.15"/>
    <row r="40072" hidden="1" x14ac:dyDescent="0.15"/>
    <row r="40073" hidden="1" x14ac:dyDescent="0.15"/>
    <row r="40074" hidden="1" x14ac:dyDescent="0.15"/>
    <row r="40075" hidden="1" x14ac:dyDescent="0.15"/>
    <row r="40076" hidden="1" x14ac:dyDescent="0.15"/>
    <row r="40077" hidden="1" x14ac:dyDescent="0.15"/>
    <row r="40078" hidden="1" x14ac:dyDescent="0.15"/>
    <row r="40079" hidden="1" x14ac:dyDescent="0.15"/>
    <row r="40080" hidden="1" x14ac:dyDescent="0.15"/>
    <row r="40081" hidden="1" x14ac:dyDescent="0.15"/>
    <row r="40082" hidden="1" x14ac:dyDescent="0.15"/>
    <row r="40083" hidden="1" x14ac:dyDescent="0.15"/>
    <row r="40084" hidden="1" x14ac:dyDescent="0.15"/>
    <row r="40085" hidden="1" x14ac:dyDescent="0.15"/>
    <row r="40086" hidden="1" x14ac:dyDescent="0.15"/>
    <row r="40087" hidden="1" x14ac:dyDescent="0.15"/>
    <row r="40088" hidden="1" x14ac:dyDescent="0.15"/>
    <row r="40089" hidden="1" x14ac:dyDescent="0.15"/>
    <row r="40090" hidden="1" x14ac:dyDescent="0.15"/>
    <row r="40091" hidden="1" x14ac:dyDescent="0.15"/>
    <row r="40092" hidden="1" x14ac:dyDescent="0.15"/>
    <row r="40093" hidden="1" x14ac:dyDescent="0.15"/>
    <row r="40094" hidden="1" x14ac:dyDescent="0.15"/>
    <row r="40095" hidden="1" x14ac:dyDescent="0.15"/>
    <row r="40096" hidden="1" x14ac:dyDescent="0.15"/>
    <row r="40097" hidden="1" x14ac:dyDescent="0.15"/>
    <row r="40098" hidden="1" x14ac:dyDescent="0.15"/>
    <row r="40099" hidden="1" x14ac:dyDescent="0.15"/>
    <row r="40100" hidden="1" x14ac:dyDescent="0.15"/>
    <row r="40101" hidden="1" x14ac:dyDescent="0.15"/>
    <row r="40102" hidden="1" x14ac:dyDescent="0.15"/>
    <row r="40103" hidden="1" x14ac:dyDescent="0.15"/>
    <row r="40104" hidden="1" x14ac:dyDescent="0.15"/>
    <row r="40105" hidden="1" x14ac:dyDescent="0.15"/>
    <row r="40106" hidden="1" x14ac:dyDescent="0.15"/>
    <row r="40107" hidden="1" x14ac:dyDescent="0.15"/>
    <row r="40108" hidden="1" x14ac:dyDescent="0.15"/>
    <row r="40109" hidden="1" x14ac:dyDescent="0.15"/>
    <row r="40110" hidden="1" x14ac:dyDescent="0.15"/>
    <row r="40111" hidden="1" x14ac:dyDescent="0.15"/>
    <row r="40112" hidden="1" x14ac:dyDescent="0.15"/>
    <row r="40113" hidden="1" x14ac:dyDescent="0.15"/>
    <row r="40114" hidden="1" x14ac:dyDescent="0.15"/>
    <row r="40115" hidden="1" x14ac:dyDescent="0.15"/>
    <row r="40116" hidden="1" x14ac:dyDescent="0.15"/>
    <row r="40117" hidden="1" x14ac:dyDescent="0.15"/>
    <row r="40118" hidden="1" x14ac:dyDescent="0.15"/>
    <row r="40119" hidden="1" x14ac:dyDescent="0.15"/>
    <row r="40120" hidden="1" x14ac:dyDescent="0.15"/>
    <row r="40121" hidden="1" x14ac:dyDescent="0.15"/>
    <row r="40122" hidden="1" x14ac:dyDescent="0.15"/>
    <row r="40123" hidden="1" x14ac:dyDescent="0.15"/>
    <row r="40124" hidden="1" x14ac:dyDescent="0.15"/>
    <row r="40125" hidden="1" x14ac:dyDescent="0.15"/>
    <row r="40126" hidden="1" x14ac:dyDescent="0.15"/>
    <row r="40127" hidden="1" x14ac:dyDescent="0.15"/>
    <row r="40128" hidden="1" x14ac:dyDescent="0.15"/>
    <row r="40129" hidden="1" x14ac:dyDescent="0.15"/>
    <row r="40130" hidden="1" x14ac:dyDescent="0.15"/>
    <row r="40131" hidden="1" x14ac:dyDescent="0.15"/>
    <row r="40132" hidden="1" x14ac:dyDescent="0.15"/>
    <row r="40133" hidden="1" x14ac:dyDescent="0.15"/>
    <row r="40134" hidden="1" x14ac:dyDescent="0.15"/>
    <row r="40135" hidden="1" x14ac:dyDescent="0.15"/>
    <row r="40136" hidden="1" x14ac:dyDescent="0.15"/>
    <row r="40137" hidden="1" x14ac:dyDescent="0.15"/>
    <row r="40138" hidden="1" x14ac:dyDescent="0.15"/>
    <row r="40139" hidden="1" x14ac:dyDescent="0.15"/>
    <row r="40140" hidden="1" x14ac:dyDescent="0.15"/>
    <row r="40141" hidden="1" x14ac:dyDescent="0.15"/>
    <row r="40142" hidden="1" x14ac:dyDescent="0.15"/>
    <row r="40143" hidden="1" x14ac:dyDescent="0.15"/>
    <row r="40144" hidden="1" x14ac:dyDescent="0.15"/>
    <row r="40145" hidden="1" x14ac:dyDescent="0.15"/>
    <row r="40146" hidden="1" x14ac:dyDescent="0.15"/>
    <row r="40147" hidden="1" x14ac:dyDescent="0.15"/>
    <row r="40148" hidden="1" x14ac:dyDescent="0.15"/>
    <row r="40149" hidden="1" x14ac:dyDescent="0.15"/>
    <row r="40150" hidden="1" x14ac:dyDescent="0.15"/>
    <row r="40151" hidden="1" x14ac:dyDescent="0.15"/>
    <row r="40152" hidden="1" x14ac:dyDescent="0.15"/>
    <row r="40153" hidden="1" x14ac:dyDescent="0.15"/>
    <row r="40154" hidden="1" x14ac:dyDescent="0.15"/>
    <row r="40155" hidden="1" x14ac:dyDescent="0.15"/>
    <row r="40156" hidden="1" x14ac:dyDescent="0.15"/>
    <row r="40157" hidden="1" x14ac:dyDescent="0.15"/>
    <row r="40158" hidden="1" x14ac:dyDescent="0.15"/>
    <row r="40159" hidden="1" x14ac:dyDescent="0.15"/>
    <row r="40160" hidden="1" x14ac:dyDescent="0.15"/>
    <row r="40161" hidden="1" x14ac:dyDescent="0.15"/>
    <row r="40162" hidden="1" x14ac:dyDescent="0.15"/>
    <row r="40163" hidden="1" x14ac:dyDescent="0.15"/>
    <row r="40164" hidden="1" x14ac:dyDescent="0.15"/>
    <row r="40165" hidden="1" x14ac:dyDescent="0.15"/>
    <row r="40166" hidden="1" x14ac:dyDescent="0.15"/>
    <row r="40167" hidden="1" x14ac:dyDescent="0.15"/>
    <row r="40168" hidden="1" x14ac:dyDescent="0.15"/>
    <row r="40169" hidden="1" x14ac:dyDescent="0.15"/>
    <row r="40170" hidden="1" x14ac:dyDescent="0.15"/>
    <row r="40171" hidden="1" x14ac:dyDescent="0.15"/>
    <row r="40172" hidden="1" x14ac:dyDescent="0.15"/>
    <row r="40173" hidden="1" x14ac:dyDescent="0.15"/>
    <row r="40174" hidden="1" x14ac:dyDescent="0.15"/>
    <row r="40175" hidden="1" x14ac:dyDescent="0.15"/>
    <row r="40176" hidden="1" x14ac:dyDescent="0.15"/>
    <row r="40177" hidden="1" x14ac:dyDescent="0.15"/>
    <row r="40178" hidden="1" x14ac:dyDescent="0.15"/>
    <row r="40179" hidden="1" x14ac:dyDescent="0.15"/>
    <row r="40180" hidden="1" x14ac:dyDescent="0.15"/>
    <row r="40181" hidden="1" x14ac:dyDescent="0.15"/>
    <row r="40182" hidden="1" x14ac:dyDescent="0.15"/>
    <row r="40183" hidden="1" x14ac:dyDescent="0.15"/>
    <row r="40184" hidden="1" x14ac:dyDescent="0.15"/>
    <row r="40185" hidden="1" x14ac:dyDescent="0.15"/>
    <row r="40186" hidden="1" x14ac:dyDescent="0.15"/>
    <row r="40187" hidden="1" x14ac:dyDescent="0.15"/>
    <row r="40188" hidden="1" x14ac:dyDescent="0.15"/>
    <row r="40189" hidden="1" x14ac:dyDescent="0.15"/>
    <row r="40190" hidden="1" x14ac:dyDescent="0.15"/>
    <row r="40191" hidden="1" x14ac:dyDescent="0.15"/>
    <row r="40192" hidden="1" x14ac:dyDescent="0.15"/>
    <row r="40193" hidden="1" x14ac:dyDescent="0.15"/>
    <row r="40194" hidden="1" x14ac:dyDescent="0.15"/>
    <row r="40195" hidden="1" x14ac:dyDescent="0.15"/>
    <row r="40196" hidden="1" x14ac:dyDescent="0.15"/>
    <row r="40197" hidden="1" x14ac:dyDescent="0.15"/>
    <row r="40198" hidden="1" x14ac:dyDescent="0.15"/>
    <row r="40199" hidden="1" x14ac:dyDescent="0.15"/>
    <row r="40200" hidden="1" x14ac:dyDescent="0.15"/>
    <row r="40201" hidden="1" x14ac:dyDescent="0.15"/>
    <row r="40202" hidden="1" x14ac:dyDescent="0.15"/>
    <row r="40203" hidden="1" x14ac:dyDescent="0.15"/>
    <row r="40204" hidden="1" x14ac:dyDescent="0.15"/>
    <row r="40205" hidden="1" x14ac:dyDescent="0.15"/>
    <row r="40206" hidden="1" x14ac:dyDescent="0.15"/>
    <row r="40207" hidden="1" x14ac:dyDescent="0.15"/>
    <row r="40208" hidden="1" x14ac:dyDescent="0.15"/>
    <row r="40209" hidden="1" x14ac:dyDescent="0.15"/>
    <row r="40210" hidden="1" x14ac:dyDescent="0.15"/>
    <row r="40211" hidden="1" x14ac:dyDescent="0.15"/>
    <row r="40212" hidden="1" x14ac:dyDescent="0.15"/>
    <row r="40213" hidden="1" x14ac:dyDescent="0.15"/>
    <row r="40214" hidden="1" x14ac:dyDescent="0.15"/>
    <row r="40215" hidden="1" x14ac:dyDescent="0.15"/>
    <row r="40216" hidden="1" x14ac:dyDescent="0.15"/>
    <row r="40217" hidden="1" x14ac:dyDescent="0.15"/>
    <row r="40218" hidden="1" x14ac:dyDescent="0.15"/>
    <row r="40219" hidden="1" x14ac:dyDescent="0.15"/>
    <row r="40220" hidden="1" x14ac:dyDescent="0.15"/>
    <row r="40221" hidden="1" x14ac:dyDescent="0.15"/>
    <row r="40222" hidden="1" x14ac:dyDescent="0.15"/>
    <row r="40223" hidden="1" x14ac:dyDescent="0.15"/>
    <row r="40224" hidden="1" x14ac:dyDescent="0.15"/>
    <row r="40225" hidden="1" x14ac:dyDescent="0.15"/>
    <row r="40226" hidden="1" x14ac:dyDescent="0.15"/>
    <row r="40227" hidden="1" x14ac:dyDescent="0.15"/>
    <row r="40228" hidden="1" x14ac:dyDescent="0.15"/>
    <row r="40229" hidden="1" x14ac:dyDescent="0.15"/>
    <row r="40230" hidden="1" x14ac:dyDescent="0.15"/>
    <row r="40231" hidden="1" x14ac:dyDescent="0.15"/>
    <row r="40232" hidden="1" x14ac:dyDescent="0.15"/>
    <row r="40233" hidden="1" x14ac:dyDescent="0.15"/>
    <row r="40234" hidden="1" x14ac:dyDescent="0.15"/>
    <row r="40235" hidden="1" x14ac:dyDescent="0.15"/>
    <row r="40236" hidden="1" x14ac:dyDescent="0.15"/>
    <row r="40237" hidden="1" x14ac:dyDescent="0.15"/>
    <row r="40238" hidden="1" x14ac:dyDescent="0.15"/>
    <row r="40239" hidden="1" x14ac:dyDescent="0.15"/>
    <row r="40240" hidden="1" x14ac:dyDescent="0.15"/>
    <row r="40241" hidden="1" x14ac:dyDescent="0.15"/>
    <row r="40242" hidden="1" x14ac:dyDescent="0.15"/>
    <row r="40243" hidden="1" x14ac:dyDescent="0.15"/>
    <row r="40244" hidden="1" x14ac:dyDescent="0.15"/>
    <row r="40245" hidden="1" x14ac:dyDescent="0.15"/>
    <row r="40246" hidden="1" x14ac:dyDescent="0.15"/>
    <row r="40247" hidden="1" x14ac:dyDescent="0.15"/>
    <row r="40248" hidden="1" x14ac:dyDescent="0.15"/>
    <row r="40249" hidden="1" x14ac:dyDescent="0.15"/>
    <row r="40250" hidden="1" x14ac:dyDescent="0.15"/>
    <row r="40251" hidden="1" x14ac:dyDescent="0.15"/>
    <row r="40252" hidden="1" x14ac:dyDescent="0.15"/>
    <row r="40253" hidden="1" x14ac:dyDescent="0.15"/>
    <row r="40254" hidden="1" x14ac:dyDescent="0.15"/>
    <row r="40255" hidden="1" x14ac:dyDescent="0.15"/>
    <row r="40256" hidden="1" x14ac:dyDescent="0.15"/>
    <row r="40257" hidden="1" x14ac:dyDescent="0.15"/>
    <row r="40258" hidden="1" x14ac:dyDescent="0.15"/>
    <row r="40259" hidden="1" x14ac:dyDescent="0.15"/>
    <row r="40260" hidden="1" x14ac:dyDescent="0.15"/>
    <row r="40261" hidden="1" x14ac:dyDescent="0.15"/>
    <row r="40262" hidden="1" x14ac:dyDescent="0.15"/>
    <row r="40263" hidden="1" x14ac:dyDescent="0.15"/>
    <row r="40264" hidden="1" x14ac:dyDescent="0.15"/>
    <row r="40265" hidden="1" x14ac:dyDescent="0.15"/>
    <row r="40266" hidden="1" x14ac:dyDescent="0.15"/>
    <row r="40267" hidden="1" x14ac:dyDescent="0.15"/>
    <row r="40268" hidden="1" x14ac:dyDescent="0.15"/>
    <row r="40269" hidden="1" x14ac:dyDescent="0.15"/>
    <row r="40270" hidden="1" x14ac:dyDescent="0.15"/>
    <row r="40271" hidden="1" x14ac:dyDescent="0.15"/>
    <row r="40272" hidden="1" x14ac:dyDescent="0.15"/>
    <row r="40273" hidden="1" x14ac:dyDescent="0.15"/>
    <row r="40274" hidden="1" x14ac:dyDescent="0.15"/>
    <row r="40275" hidden="1" x14ac:dyDescent="0.15"/>
    <row r="40276" hidden="1" x14ac:dyDescent="0.15"/>
    <row r="40277" hidden="1" x14ac:dyDescent="0.15"/>
    <row r="40278" hidden="1" x14ac:dyDescent="0.15"/>
    <row r="40279" hidden="1" x14ac:dyDescent="0.15"/>
    <row r="40280" hidden="1" x14ac:dyDescent="0.15"/>
    <row r="40281" hidden="1" x14ac:dyDescent="0.15"/>
    <row r="40282" hidden="1" x14ac:dyDescent="0.15"/>
    <row r="40283" hidden="1" x14ac:dyDescent="0.15"/>
    <row r="40284" hidden="1" x14ac:dyDescent="0.15"/>
    <row r="40285" hidden="1" x14ac:dyDescent="0.15"/>
    <row r="40286" hidden="1" x14ac:dyDescent="0.15"/>
    <row r="40287" hidden="1" x14ac:dyDescent="0.15"/>
    <row r="40288" hidden="1" x14ac:dyDescent="0.15"/>
    <row r="40289" hidden="1" x14ac:dyDescent="0.15"/>
    <row r="40290" hidden="1" x14ac:dyDescent="0.15"/>
    <row r="40291" hidden="1" x14ac:dyDescent="0.15"/>
    <row r="40292" hidden="1" x14ac:dyDescent="0.15"/>
    <row r="40293" hidden="1" x14ac:dyDescent="0.15"/>
    <row r="40294" hidden="1" x14ac:dyDescent="0.15"/>
    <row r="40295" hidden="1" x14ac:dyDescent="0.15"/>
    <row r="40296" hidden="1" x14ac:dyDescent="0.15"/>
    <row r="40297" hidden="1" x14ac:dyDescent="0.15"/>
    <row r="40298" hidden="1" x14ac:dyDescent="0.15"/>
    <row r="40299" hidden="1" x14ac:dyDescent="0.15"/>
    <row r="40300" hidden="1" x14ac:dyDescent="0.15"/>
    <row r="40301" hidden="1" x14ac:dyDescent="0.15"/>
    <row r="40302" hidden="1" x14ac:dyDescent="0.15"/>
    <row r="40303" hidden="1" x14ac:dyDescent="0.15"/>
    <row r="40304" hidden="1" x14ac:dyDescent="0.15"/>
    <row r="40305" hidden="1" x14ac:dyDescent="0.15"/>
    <row r="40306" hidden="1" x14ac:dyDescent="0.15"/>
    <row r="40307" hidden="1" x14ac:dyDescent="0.15"/>
    <row r="40308" hidden="1" x14ac:dyDescent="0.15"/>
    <row r="40309" hidden="1" x14ac:dyDescent="0.15"/>
    <row r="40310" hidden="1" x14ac:dyDescent="0.15"/>
    <row r="40311" hidden="1" x14ac:dyDescent="0.15"/>
    <row r="40312" hidden="1" x14ac:dyDescent="0.15"/>
    <row r="40313" hidden="1" x14ac:dyDescent="0.15"/>
    <row r="40314" hidden="1" x14ac:dyDescent="0.15"/>
    <row r="40315" hidden="1" x14ac:dyDescent="0.15"/>
    <row r="40316" hidden="1" x14ac:dyDescent="0.15"/>
    <row r="40317" hidden="1" x14ac:dyDescent="0.15"/>
    <row r="40318" hidden="1" x14ac:dyDescent="0.15"/>
    <row r="40319" hidden="1" x14ac:dyDescent="0.15"/>
    <row r="40320" hidden="1" x14ac:dyDescent="0.15"/>
    <row r="40321" hidden="1" x14ac:dyDescent="0.15"/>
    <row r="40322" hidden="1" x14ac:dyDescent="0.15"/>
    <row r="40323" hidden="1" x14ac:dyDescent="0.15"/>
    <row r="40324" hidden="1" x14ac:dyDescent="0.15"/>
    <row r="40325" hidden="1" x14ac:dyDescent="0.15"/>
    <row r="40326" hidden="1" x14ac:dyDescent="0.15"/>
    <row r="40327" hidden="1" x14ac:dyDescent="0.15"/>
    <row r="40328" hidden="1" x14ac:dyDescent="0.15"/>
    <row r="40329" hidden="1" x14ac:dyDescent="0.15"/>
    <row r="40330" hidden="1" x14ac:dyDescent="0.15"/>
    <row r="40331" hidden="1" x14ac:dyDescent="0.15"/>
    <row r="40332" hidden="1" x14ac:dyDescent="0.15"/>
    <row r="40333" hidden="1" x14ac:dyDescent="0.15"/>
    <row r="40334" hidden="1" x14ac:dyDescent="0.15"/>
    <row r="40335" hidden="1" x14ac:dyDescent="0.15"/>
    <row r="40336" hidden="1" x14ac:dyDescent="0.15"/>
    <row r="40337" hidden="1" x14ac:dyDescent="0.15"/>
    <row r="40338" hidden="1" x14ac:dyDescent="0.15"/>
    <row r="40339" hidden="1" x14ac:dyDescent="0.15"/>
    <row r="40340" hidden="1" x14ac:dyDescent="0.15"/>
    <row r="40341" hidden="1" x14ac:dyDescent="0.15"/>
    <row r="40342" hidden="1" x14ac:dyDescent="0.15"/>
    <row r="40343" hidden="1" x14ac:dyDescent="0.15"/>
    <row r="40344" hidden="1" x14ac:dyDescent="0.15"/>
    <row r="40345" hidden="1" x14ac:dyDescent="0.15"/>
    <row r="40346" hidden="1" x14ac:dyDescent="0.15"/>
    <row r="40347" hidden="1" x14ac:dyDescent="0.15"/>
    <row r="40348" hidden="1" x14ac:dyDescent="0.15"/>
    <row r="40349" hidden="1" x14ac:dyDescent="0.15"/>
    <row r="40350" hidden="1" x14ac:dyDescent="0.15"/>
    <row r="40351" hidden="1" x14ac:dyDescent="0.15"/>
    <row r="40352" hidden="1" x14ac:dyDescent="0.15"/>
    <row r="40353" hidden="1" x14ac:dyDescent="0.15"/>
    <row r="40354" hidden="1" x14ac:dyDescent="0.15"/>
    <row r="40355" hidden="1" x14ac:dyDescent="0.15"/>
    <row r="40356" hidden="1" x14ac:dyDescent="0.15"/>
    <row r="40357" hidden="1" x14ac:dyDescent="0.15"/>
    <row r="40358" hidden="1" x14ac:dyDescent="0.15"/>
    <row r="40359" hidden="1" x14ac:dyDescent="0.15"/>
    <row r="40360" hidden="1" x14ac:dyDescent="0.15"/>
    <row r="40361" hidden="1" x14ac:dyDescent="0.15"/>
    <row r="40362" hidden="1" x14ac:dyDescent="0.15"/>
    <row r="40363" hidden="1" x14ac:dyDescent="0.15"/>
    <row r="40364" hidden="1" x14ac:dyDescent="0.15"/>
    <row r="40365" hidden="1" x14ac:dyDescent="0.15"/>
    <row r="40366" hidden="1" x14ac:dyDescent="0.15"/>
    <row r="40367" hidden="1" x14ac:dyDescent="0.15"/>
    <row r="40368" hidden="1" x14ac:dyDescent="0.15"/>
    <row r="40369" hidden="1" x14ac:dyDescent="0.15"/>
    <row r="40370" hidden="1" x14ac:dyDescent="0.15"/>
    <row r="40371" hidden="1" x14ac:dyDescent="0.15"/>
    <row r="40372" hidden="1" x14ac:dyDescent="0.15"/>
    <row r="40373" hidden="1" x14ac:dyDescent="0.15"/>
    <row r="40374" hidden="1" x14ac:dyDescent="0.15"/>
    <row r="40375" hidden="1" x14ac:dyDescent="0.15"/>
    <row r="40376" hidden="1" x14ac:dyDescent="0.15"/>
    <row r="40377" hidden="1" x14ac:dyDescent="0.15"/>
    <row r="40378" hidden="1" x14ac:dyDescent="0.15"/>
    <row r="40379" hidden="1" x14ac:dyDescent="0.15"/>
    <row r="40380" hidden="1" x14ac:dyDescent="0.15"/>
    <row r="40381" hidden="1" x14ac:dyDescent="0.15"/>
    <row r="40382" hidden="1" x14ac:dyDescent="0.15"/>
    <row r="40383" hidden="1" x14ac:dyDescent="0.15"/>
    <row r="40384" hidden="1" x14ac:dyDescent="0.15"/>
    <row r="40385" hidden="1" x14ac:dyDescent="0.15"/>
    <row r="40386" hidden="1" x14ac:dyDescent="0.15"/>
    <row r="40387" hidden="1" x14ac:dyDescent="0.15"/>
    <row r="40388" hidden="1" x14ac:dyDescent="0.15"/>
    <row r="40389" hidden="1" x14ac:dyDescent="0.15"/>
    <row r="40390" hidden="1" x14ac:dyDescent="0.15"/>
    <row r="40391" hidden="1" x14ac:dyDescent="0.15"/>
    <row r="40392" hidden="1" x14ac:dyDescent="0.15"/>
    <row r="40393" hidden="1" x14ac:dyDescent="0.15"/>
    <row r="40394" hidden="1" x14ac:dyDescent="0.15"/>
    <row r="40395" hidden="1" x14ac:dyDescent="0.15"/>
    <row r="40396" hidden="1" x14ac:dyDescent="0.15"/>
    <row r="40397" hidden="1" x14ac:dyDescent="0.15"/>
    <row r="40398" hidden="1" x14ac:dyDescent="0.15"/>
    <row r="40399" hidden="1" x14ac:dyDescent="0.15"/>
    <row r="40400" hidden="1" x14ac:dyDescent="0.15"/>
    <row r="40401" hidden="1" x14ac:dyDescent="0.15"/>
    <row r="40402" hidden="1" x14ac:dyDescent="0.15"/>
    <row r="40403" hidden="1" x14ac:dyDescent="0.15"/>
    <row r="40404" hidden="1" x14ac:dyDescent="0.15"/>
    <row r="40405" hidden="1" x14ac:dyDescent="0.15"/>
    <row r="40406" hidden="1" x14ac:dyDescent="0.15"/>
    <row r="40407" hidden="1" x14ac:dyDescent="0.15"/>
    <row r="40408" hidden="1" x14ac:dyDescent="0.15"/>
    <row r="40409" hidden="1" x14ac:dyDescent="0.15"/>
    <row r="40410" hidden="1" x14ac:dyDescent="0.15"/>
    <row r="40411" hidden="1" x14ac:dyDescent="0.15"/>
    <row r="40412" hidden="1" x14ac:dyDescent="0.15"/>
    <row r="40413" hidden="1" x14ac:dyDescent="0.15"/>
    <row r="40414" hidden="1" x14ac:dyDescent="0.15"/>
    <row r="40415" hidden="1" x14ac:dyDescent="0.15"/>
    <row r="40416" hidden="1" x14ac:dyDescent="0.15"/>
    <row r="40417" hidden="1" x14ac:dyDescent="0.15"/>
    <row r="40418" hidden="1" x14ac:dyDescent="0.15"/>
    <row r="40419" hidden="1" x14ac:dyDescent="0.15"/>
    <row r="40420" hidden="1" x14ac:dyDescent="0.15"/>
    <row r="40421" hidden="1" x14ac:dyDescent="0.15"/>
    <row r="40422" hidden="1" x14ac:dyDescent="0.15"/>
    <row r="40423" hidden="1" x14ac:dyDescent="0.15"/>
    <row r="40424" hidden="1" x14ac:dyDescent="0.15"/>
    <row r="40425" hidden="1" x14ac:dyDescent="0.15"/>
    <row r="40426" hidden="1" x14ac:dyDescent="0.15"/>
    <row r="40427" hidden="1" x14ac:dyDescent="0.15"/>
    <row r="40428" hidden="1" x14ac:dyDescent="0.15"/>
    <row r="40429" hidden="1" x14ac:dyDescent="0.15"/>
    <row r="40430" hidden="1" x14ac:dyDescent="0.15"/>
    <row r="40431" hidden="1" x14ac:dyDescent="0.15"/>
    <row r="40432" hidden="1" x14ac:dyDescent="0.15"/>
    <row r="40433" hidden="1" x14ac:dyDescent="0.15"/>
    <row r="40434" hidden="1" x14ac:dyDescent="0.15"/>
    <row r="40435" hidden="1" x14ac:dyDescent="0.15"/>
    <row r="40436" hidden="1" x14ac:dyDescent="0.15"/>
    <row r="40437" hidden="1" x14ac:dyDescent="0.15"/>
    <row r="40438" hidden="1" x14ac:dyDescent="0.15"/>
    <row r="40439" hidden="1" x14ac:dyDescent="0.15"/>
    <row r="40440" hidden="1" x14ac:dyDescent="0.15"/>
    <row r="40441" hidden="1" x14ac:dyDescent="0.15"/>
    <row r="40442" hidden="1" x14ac:dyDescent="0.15"/>
    <row r="40443" hidden="1" x14ac:dyDescent="0.15"/>
    <row r="40444" hidden="1" x14ac:dyDescent="0.15"/>
    <row r="40445" hidden="1" x14ac:dyDescent="0.15"/>
    <row r="40446" hidden="1" x14ac:dyDescent="0.15"/>
    <row r="40447" hidden="1" x14ac:dyDescent="0.15"/>
    <row r="40448" hidden="1" x14ac:dyDescent="0.15"/>
    <row r="40449" hidden="1" x14ac:dyDescent="0.15"/>
    <row r="40450" hidden="1" x14ac:dyDescent="0.15"/>
    <row r="40451" hidden="1" x14ac:dyDescent="0.15"/>
    <row r="40452" hidden="1" x14ac:dyDescent="0.15"/>
    <row r="40453" hidden="1" x14ac:dyDescent="0.15"/>
    <row r="40454" hidden="1" x14ac:dyDescent="0.15"/>
    <row r="40455" hidden="1" x14ac:dyDescent="0.15"/>
    <row r="40456" hidden="1" x14ac:dyDescent="0.15"/>
    <row r="40457" hidden="1" x14ac:dyDescent="0.15"/>
    <row r="40458" hidden="1" x14ac:dyDescent="0.15"/>
    <row r="40459" hidden="1" x14ac:dyDescent="0.15"/>
    <row r="40460" hidden="1" x14ac:dyDescent="0.15"/>
    <row r="40461" hidden="1" x14ac:dyDescent="0.15"/>
    <row r="40462" hidden="1" x14ac:dyDescent="0.15"/>
    <row r="40463" hidden="1" x14ac:dyDescent="0.15"/>
    <row r="40464" hidden="1" x14ac:dyDescent="0.15"/>
    <row r="40465" hidden="1" x14ac:dyDescent="0.15"/>
    <row r="40466" hidden="1" x14ac:dyDescent="0.15"/>
    <row r="40467" hidden="1" x14ac:dyDescent="0.15"/>
    <row r="40468" hidden="1" x14ac:dyDescent="0.15"/>
    <row r="40469" hidden="1" x14ac:dyDescent="0.15"/>
    <row r="40470" hidden="1" x14ac:dyDescent="0.15"/>
    <row r="40471" hidden="1" x14ac:dyDescent="0.15"/>
    <row r="40472" hidden="1" x14ac:dyDescent="0.15"/>
    <row r="40473" hidden="1" x14ac:dyDescent="0.15"/>
    <row r="40474" hidden="1" x14ac:dyDescent="0.15"/>
    <row r="40475" hidden="1" x14ac:dyDescent="0.15"/>
    <row r="40476" hidden="1" x14ac:dyDescent="0.15"/>
    <row r="40477" hidden="1" x14ac:dyDescent="0.15"/>
    <row r="40478" hidden="1" x14ac:dyDescent="0.15"/>
    <row r="40479" hidden="1" x14ac:dyDescent="0.15"/>
    <row r="40480" hidden="1" x14ac:dyDescent="0.15"/>
    <row r="40481" hidden="1" x14ac:dyDescent="0.15"/>
    <row r="40482" hidden="1" x14ac:dyDescent="0.15"/>
    <row r="40483" hidden="1" x14ac:dyDescent="0.15"/>
    <row r="40484" hidden="1" x14ac:dyDescent="0.15"/>
    <row r="40485" hidden="1" x14ac:dyDescent="0.15"/>
    <row r="40486" hidden="1" x14ac:dyDescent="0.15"/>
    <row r="40487" hidden="1" x14ac:dyDescent="0.15"/>
    <row r="40488" hidden="1" x14ac:dyDescent="0.15"/>
    <row r="40489" hidden="1" x14ac:dyDescent="0.15"/>
    <row r="40490" hidden="1" x14ac:dyDescent="0.15"/>
    <row r="40491" hidden="1" x14ac:dyDescent="0.15"/>
    <row r="40492" hidden="1" x14ac:dyDescent="0.15"/>
    <row r="40493" hidden="1" x14ac:dyDescent="0.15"/>
    <row r="40494" hidden="1" x14ac:dyDescent="0.15"/>
    <row r="40495" hidden="1" x14ac:dyDescent="0.15"/>
    <row r="40496" hidden="1" x14ac:dyDescent="0.15"/>
    <row r="40497" hidden="1" x14ac:dyDescent="0.15"/>
    <row r="40498" hidden="1" x14ac:dyDescent="0.15"/>
    <row r="40499" hidden="1" x14ac:dyDescent="0.15"/>
    <row r="40500" hidden="1" x14ac:dyDescent="0.15"/>
    <row r="40501" hidden="1" x14ac:dyDescent="0.15"/>
    <row r="40502" hidden="1" x14ac:dyDescent="0.15"/>
    <row r="40503" hidden="1" x14ac:dyDescent="0.15"/>
    <row r="40504" hidden="1" x14ac:dyDescent="0.15"/>
    <row r="40505" hidden="1" x14ac:dyDescent="0.15"/>
    <row r="40506" hidden="1" x14ac:dyDescent="0.15"/>
    <row r="40507" hidden="1" x14ac:dyDescent="0.15"/>
    <row r="40508" hidden="1" x14ac:dyDescent="0.15"/>
    <row r="40509" hidden="1" x14ac:dyDescent="0.15"/>
    <row r="40510" hidden="1" x14ac:dyDescent="0.15"/>
    <row r="40511" hidden="1" x14ac:dyDescent="0.15"/>
    <row r="40512" hidden="1" x14ac:dyDescent="0.15"/>
    <row r="40513" hidden="1" x14ac:dyDescent="0.15"/>
    <row r="40514" hidden="1" x14ac:dyDescent="0.15"/>
    <row r="40515" hidden="1" x14ac:dyDescent="0.15"/>
    <row r="40516" hidden="1" x14ac:dyDescent="0.15"/>
    <row r="40517" hidden="1" x14ac:dyDescent="0.15"/>
    <row r="40518" hidden="1" x14ac:dyDescent="0.15"/>
    <row r="40519" hidden="1" x14ac:dyDescent="0.15"/>
    <row r="40520" hidden="1" x14ac:dyDescent="0.15"/>
    <row r="40521" hidden="1" x14ac:dyDescent="0.15"/>
    <row r="40522" hidden="1" x14ac:dyDescent="0.15"/>
    <row r="40523" hidden="1" x14ac:dyDescent="0.15"/>
    <row r="40524" hidden="1" x14ac:dyDescent="0.15"/>
    <row r="40525" hidden="1" x14ac:dyDescent="0.15"/>
    <row r="40526" hidden="1" x14ac:dyDescent="0.15"/>
    <row r="40527" hidden="1" x14ac:dyDescent="0.15"/>
    <row r="40528" hidden="1" x14ac:dyDescent="0.15"/>
    <row r="40529" hidden="1" x14ac:dyDescent="0.15"/>
    <row r="40530" hidden="1" x14ac:dyDescent="0.15"/>
    <row r="40531" hidden="1" x14ac:dyDescent="0.15"/>
    <row r="40532" hidden="1" x14ac:dyDescent="0.15"/>
    <row r="40533" hidden="1" x14ac:dyDescent="0.15"/>
    <row r="40534" hidden="1" x14ac:dyDescent="0.15"/>
    <row r="40535" hidden="1" x14ac:dyDescent="0.15"/>
    <row r="40536" hidden="1" x14ac:dyDescent="0.15"/>
    <row r="40537" hidden="1" x14ac:dyDescent="0.15"/>
    <row r="40538" hidden="1" x14ac:dyDescent="0.15"/>
    <row r="40539" hidden="1" x14ac:dyDescent="0.15"/>
    <row r="40540" hidden="1" x14ac:dyDescent="0.15"/>
    <row r="40541" hidden="1" x14ac:dyDescent="0.15"/>
    <row r="40542" hidden="1" x14ac:dyDescent="0.15"/>
    <row r="40543" hidden="1" x14ac:dyDescent="0.15"/>
    <row r="40544" hidden="1" x14ac:dyDescent="0.15"/>
    <row r="40545" hidden="1" x14ac:dyDescent="0.15"/>
    <row r="40546" hidden="1" x14ac:dyDescent="0.15"/>
    <row r="40547" hidden="1" x14ac:dyDescent="0.15"/>
    <row r="40548" hidden="1" x14ac:dyDescent="0.15"/>
    <row r="40549" hidden="1" x14ac:dyDescent="0.15"/>
    <row r="40550" hidden="1" x14ac:dyDescent="0.15"/>
    <row r="40551" hidden="1" x14ac:dyDescent="0.15"/>
    <row r="40552" hidden="1" x14ac:dyDescent="0.15"/>
    <row r="40553" hidden="1" x14ac:dyDescent="0.15"/>
    <row r="40554" hidden="1" x14ac:dyDescent="0.15"/>
    <row r="40555" hidden="1" x14ac:dyDescent="0.15"/>
    <row r="40556" hidden="1" x14ac:dyDescent="0.15"/>
    <row r="40557" hidden="1" x14ac:dyDescent="0.15"/>
    <row r="40558" hidden="1" x14ac:dyDescent="0.15"/>
    <row r="40559" hidden="1" x14ac:dyDescent="0.15"/>
    <row r="40560" hidden="1" x14ac:dyDescent="0.15"/>
    <row r="40561" hidden="1" x14ac:dyDescent="0.15"/>
    <row r="40562" hidden="1" x14ac:dyDescent="0.15"/>
    <row r="40563" hidden="1" x14ac:dyDescent="0.15"/>
    <row r="40564" hidden="1" x14ac:dyDescent="0.15"/>
    <row r="40565" hidden="1" x14ac:dyDescent="0.15"/>
    <row r="40566" hidden="1" x14ac:dyDescent="0.15"/>
    <row r="40567" hidden="1" x14ac:dyDescent="0.15"/>
    <row r="40568" hidden="1" x14ac:dyDescent="0.15"/>
    <row r="40569" hidden="1" x14ac:dyDescent="0.15"/>
    <row r="40570" hidden="1" x14ac:dyDescent="0.15"/>
    <row r="40571" hidden="1" x14ac:dyDescent="0.15"/>
    <row r="40572" hidden="1" x14ac:dyDescent="0.15"/>
    <row r="40573" hidden="1" x14ac:dyDescent="0.15"/>
    <row r="40574" hidden="1" x14ac:dyDescent="0.15"/>
    <row r="40575" hidden="1" x14ac:dyDescent="0.15"/>
    <row r="40576" hidden="1" x14ac:dyDescent="0.15"/>
    <row r="40577" hidden="1" x14ac:dyDescent="0.15"/>
    <row r="40578" hidden="1" x14ac:dyDescent="0.15"/>
    <row r="40579" hidden="1" x14ac:dyDescent="0.15"/>
    <row r="40580" hidden="1" x14ac:dyDescent="0.15"/>
    <row r="40581" hidden="1" x14ac:dyDescent="0.15"/>
    <row r="40582" hidden="1" x14ac:dyDescent="0.15"/>
    <row r="40583" hidden="1" x14ac:dyDescent="0.15"/>
    <row r="40584" hidden="1" x14ac:dyDescent="0.15"/>
    <row r="40585" hidden="1" x14ac:dyDescent="0.15"/>
    <row r="40586" hidden="1" x14ac:dyDescent="0.15"/>
    <row r="40587" hidden="1" x14ac:dyDescent="0.15"/>
    <row r="40588" hidden="1" x14ac:dyDescent="0.15"/>
    <row r="40589" hidden="1" x14ac:dyDescent="0.15"/>
    <row r="40590" hidden="1" x14ac:dyDescent="0.15"/>
    <row r="40591" hidden="1" x14ac:dyDescent="0.15"/>
    <row r="40592" hidden="1" x14ac:dyDescent="0.15"/>
    <row r="40593" hidden="1" x14ac:dyDescent="0.15"/>
    <row r="40594" hidden="1" x14ac:dyDescent="0.15"/>
    <row r="40595" hidden="1" x14ac:dyDescent="0.15"/>
    <row r="40596" hidden="1" x14ac:dyDescent="0.15"/>
    <row r="40597" hidden="1" x14ac:dyDescent="0.15"/>
    <row r="40598" hidden="1" x14ac:dyDescent="0.15"/>
    <row r="40599" hidden="1" x14ac:dyDescent="0.15"/>
    <row r="40600" hidden="1" x14ac:dyDescent="0.15"/>
    <row r="40601" hidden="1" x14ac:dyDescent="0.15"/>
    <row r="40602" hidden="1" x14ac:dyDescent="0.15"/>
    <row r="40603" hidden="1" x14ac:dyDescent="0.15"/>
    <row r="40604" hidden="1" x14ac:dyDescent="0.15"/>
    <row r="40605" hidden="1" x14ac:dyDescent="0.15"/>
    <row r="40606" hidden="1" x14ac:dyDescent="0.15"/>
    <row r="40607" hidden="1" x14ac:dyDescent="0.15"/>
    <row r="40608" hidden="1" x14ac:dyDescent="0.15"/>
    <row r="40609" hidden="1" x14ac:dyDescent="0.15"/>
    <row r="40610" hidden="1" x14ac:dyDescent="0.15"/>
    <row r="40611" hidden="1" x14ac:dyDescent="0.15"/>
    <row r="40612" hidden="1" x14ac:dyDescent="0.15"/>
    <row r="40613" hidden="1" x14ac:dyDescent="0.15"/>
    <row r="40614" hidden="1" x14ac:dyDescent="0.15"/>
    <row r="40615" hidden="1" x14ac:dyDescent="0.15"/>
    <row r="40616" hidden="1" x14ac:dyDescent="0.15"/>
    <row r="40617" hidden="1" x14ac:dyDescent="0.15"/>
    <row r="40618" hidden="1" x14ac:dyDescent="0.15"/>
    <row r="40619" hidden="1" x14ac:dyDescent="0.15"/>
    <row r="40620" hidden="1" x14ac:dyDescent="0.15"/>
    <row r="40621" hidden="1" x14ac:dyDescent="0.15"/>
    <row r="40622" hidden="1" x14ac:dyDescent="0.15"/>
    <row r="40623" hidden="1" x14ac:dyDescent="0.15"/>
    <row r="40624" hidden="1" x14ac:dyDescent="0.15"/>
    <row r="40625" hidden="1" x14ac:dyDescent="0.15"/>
    <row r="40626" hidden="1" x14ac:dyDescent="0.15"/>
    <row r="40627" hidden="1" x14ac:dyDescent="0.15"/>
    <row r="40628" hidden="1" x14ac:dyDescent="0.15"/>
    <row r="40629" hidden="1" x14ac:dyDescent="0.15"/>
    <row r="40630" hidden="1" x14ac:dyDescent="0.15"/>
    <row r="40631" hidden="1" x14ac:dyDescent="0.15"/>
    <row r="40632" hidden="1" x14ac:dyDescent="0.15"/>
    <row r="40633" hidden="1" x14ac:dyDescent="0.15"/>
    <row r="40634" hidden="1" x14ac:dyDescent="0.15"/>
    <row r="40635" hidden="1" x14ac:dyDescent="0.15"/>
    <row r="40636" hidden="1" x14ac:dyDescent="0.15"/>
    <row r="40637" hidden="1" x14ac:dyDescent="0.15"/>
    <row r="40638" hidden="1" x14ac:dyDescent="0.15"/>
    <row r="40639" hidden="1" x14ac:dyDescent="0.15"/>
    <row r="40640" hidden="1" x14ac:dyDescent="0.15"/>
    <row r="40641" hidden="1" x14ac:dyDescent="0.15"/>
    <row r="40642" hidden="1" x14ac:dyDescent="0.15"/>
    <row r="40643" hidden="1" x14ac:dyDescent="0.15"/>
    <row r="40644" hidden="1" x14ac:dyDescent="0.15"/>
    <row r="40645" hidden="1" x14ac:dyDescent="0.15"/>
    <row r="40646" hidden="1" x14ac:dyDescent="0.15"/>
    <row r="40647" hidden="1" x14ac:dyDescent="0.15"/>
    <row r="40648" hidden="1" x14ac:dyDescent="0.15"/>
    <row r="40649" hidden="1" x14ac:dyDescent="0.15"/>
    <row r="40650" hidden="1" x14ac:dyDescent="0.15"/>
    <row r="40651" hidden="1" x14ac:dyDescent="0.15"/>
    <row r="40652" hidden="1" x14ac:dyDescent="0.15"/>
    <row r="40653" hidden="1" x14ac:dyDescent="0.15"/>
    <row r="40654" hidden="1" x14ac:dyDescent="0.15"/>
    <row r="40655" hidden="1" x14ac:dyDescent="0.15"/>
    <row r="40656" hidden="1" x14ac:dyDescent="0.15"/>
    <row r="40657" hidden="1" x14ac:dyDescent="0.15"/>
    <row r="40658" hidden="1" x14ac:dyDescent="0.15"/>
    <row r="40659" hidden="1" x14ac:dyDescent="0.15"/>
    <row r="40660" hidden="1" x14ac:dyDescent="0.15"/>
    <row r="40661" hidden="1" x14ac:dyDescent="0.15"/>
    <row r="40662" hidden="1" x14ac:dyDescent="0.15"/>
    <row r="40663" hidden="1" x14ac:dyDescent="0.15"/>
    <row r="40664" hidden="1" x14ac:dyDescent="0.15"/>
    <row r="40665" hidden="1" x14ac:dyDescent="0.15"/>
    <row r="40666" hidden="1" x14ac:dyDescent="0.15"/>
    <row r="40667" hidden="1" x14ac:dyDescent="0.15"/>
    <row r="40668" hidden="1" x14ac:dyDescent="0.15"/>
    <row r="40669" hidden="1" x14ac:dyDescent="0.15"/>
    <row r="40670" hidden="1" x14ac:dyDescent="0.15"/>
    <row r="40671" hidden="1" x14ac:dyDescent="0.15"/>
    <row r="40672" hidden="1" x14ac:dyDescent="0.15"/>
    <row r="40673" hidden="1" x14ac:dyDescent="0.15"/>
    <row r="40674" hidden="1" x14ac:dyDescent="0.15"/>
    <row r="40675" hidden="1" x14ac:dyDescent="0.15"/>
    <row r="40676" hidden="1" x14ac:dyDescent="0.15"/>
    <row r="40677" hidden="1" x14ac:dyDescent="0.15"/>
    <row r="40678" hidden="1" x14ac:dyDescent="0.15"/>
    <row r="40679" hidden="1" x14ac:dyDescent="0.15"/>
    <row r="40680" hidden="1" x14ac:dyDescent="0.15"/>
    <row r="40681" hidden="1" x14ac:dyDescent="0.15"/>
    <row r="40682" hidden="1" x14ac:dyDescent="0.15"/>
    <row r="40683" hidden="1" x14ac:dyDescent="0.15"/>
    <row r="40684" hidden="1" x14ac:dyDescent="0.15"/>
    <row r="40685" hidden="1" x14ac:dyDescent="0.15"/>
    <row r="40686" hidden="1" x14ac:dyDescent="0.15"/>
    <row r="40687" hidden="1" x14ac:dyDescent="0.15"/>
    <row r="40688" hidden="1" x14ac:dyDescent="0.15"/>
    <row r="40689" hidden="1" x14ac:dyDescent="0.15"/>
    <row r="40690" hidden="1" x14ac:dyDescent="0.15"/>
    <row r="40691" hidden="1" x14ac:dyDescent="0.15"/>
    <row r="40692" hidden="1" x14ac:dyDescent="0.15"/>
    <row r="40693" hidden="1" x14ac:dyDescent="0.15"/>
    <row r="40694" hidden="1" x14ac:dyDescent="0.15"/>
    <row r="40695" hidden="1" x14ac:dyDescent="0.15"/>
    <row r="40696" hidden="1" x14ac:dyDescent="0.15"/>
    <row r="40697" hidden="1" x14ac:dyDescent="0.15"/>
    <row r="40698" hidden="1" x14ac:dyDescent="0.15"/>
    <row r="40699" hidden="1" x14ac:dyDescent="0.15"/>
    <row r="40700" hidden="1" x14ac:dyDescent="0.15"/>
    <row r="40701" hidden="1" x14ac:dyDescent="0.15"/>
    <row r="40702" hidden="1" x14ac:dyDescent="0.15"/>
    <row r="40703" hidden="1" x14ac:dyDescent="0.15"/>
    <row r="40704" hidden="1" x14ac:dyDescent="0.15"/>
    <row r="40705" hidden="1" x14ac:dyDescent="0.15"/>
    <row r="40706" hidden="1" x14ac:dyDescent="0.15"/>
    <row r="40707" hidden="1" x14ac:dyDescent="0.15"/>
    <row r="40708" hidden="1" x14ac:dyDescent="0.15"/>
    <row r="40709" hidden="1" x14ac:dyDescent="0.15"/>
    <row r="40710" hidden="1" x14ac:dyDescent="0.15"/>
    <row r="40711" hidden="1" x14ac:dyDescent="0.15"/>
    <row r="40712" hidden="1" x14ac:dyDescent="0.15"/>
    <row r="40713" hidden="1" x14ac:dyDescent="0.15"/>
    <row r="40714" hidden="1" x14ac:dyDescent="0.15"/>
    <row r="40715" hidden="1" x14ac:dyDescent="0.15"/>
    <row r="40716" hidden="1" x14ac:dyDescent="0.15"/>
    <row r="40717" hidden="1" x14ac:dyDescent="0.15"/>
    <row r="40718" hidden="1" x14ac:dyDescent="0.15"/>
    <row r="40719" hidden="1" x14ac:dyDescent="0.15"/>
    <row r="40720" hidden="1" x14ac:dyDescent="0.15"/>
    <row r="40721" hidden="1" x14ac:dyDescent="0.15"/>
    <row r="40722" hidden="1" x14ac:dyDescent="0.15"/>
    <row r="40723" hidden="1" x14ac:dyDescent="0.15"/>
    <row r="40724" hidden="1" x14ac:dyDescent="0.15"/>
    <row r="40725" hidden="1" x14ac:dyDescent="0.15"/>
    <row r="40726" hidden="1" x14ac:dyDescent="0.15"/>
    <row r="40727" hidden="1" x14ac:dyDescent="0.15"/>
    <row r="40728" hidden="1" x14ac:dyDescent="0.15"/>
    <row r="40729" hidden="1" x14ac:dyDescent="0.15"/>
    <row r="40730" hidden="1" x14ac:dyDescent="0.15"/>
    <row r="40731" hidden="1" x14ac:dyDescent="0.15"/>
    <row r="40732" hidden="1" x14ac:dyDescent="0.15"/>
    <row r="40733" hidden="1" x14ac:dyDescent="0.15"/>
    <row r="40734" hidden="1" x14ac:dyDescent="0.15"/>
    <row r="40735" hidden="1" x14ac:dyDescent="0.15"/>
    <row r="40736" hidden="1" x14ac:dyDescent="0.15"/>
    <row r="40737" hidden="1" x14ac:dyDescent="0.15"/>
    <row r="40738" hidden="1" x14ac:dyDescent="0.15"/>
    <row r="40739" hidden="1" x14ac:dyDescent="0.15"/>
    <row r="40740" hidden="1" x14ac:dyDescent="0.15"/>
    <row r="40741" hidden="1" x14ac:dyDescent="0.15"/>
    <row r="40742" hidden="1" x14ac:dyDescent="0.15"/>
    <row r="40743" hidden="1" x14ac:dyDescent="0.15"/>
    <row r="40744" hidden="1" x14ac:dyDescent="0.15"/>
    <row r="40745" hidden="1" x14ac:dyDescent="0.15"/>
    <row r="40746" hidden="1" x14ac:dyDescent="0.15"/>
    <row r="40747" hidden="1" x14ac:dyDescent="0.15"/>
    <row r="40748" hidden="1" x14ac:dyDescent="0.15"/>
    <row r="40749" hidden="1" x14ac:dyDescent="0.15"/>
    <row r="40750" hidden="1" x14ac:dyDescent="0.15"/>
    <row r="40751" hidden="1" x14ac:dyDescent="0.15"/>
    <row r="40752" hidden="1" x14ac:dyDescent="0.15"/>
    <row r="40753" hidden="1" x14ac:dyDescent="0.15"/>
    <row r="40754" hidden="1" x14ac:dyDescent="0.15"/>
    <row r="40755" hidden="1" x14ac:dyDescent="0.15"/>
    <row r="40756" hidden="1" x14ac:dyDescent="0.15"/>
    <row r="40757" hidden="1" x14ac:dyDescent="0.15"/>
    <row r="40758" hidden="1" x14ac:dyDescent="0.15"/>
    <row r="40759" hidden="1" x14ac:dyDescent="0.15"/>
    <row r="40760" hidden="1" x14ac:dyDescent="0.15"/>
    <row r="40761" hidden="1" x14ac:dyDescent="0.15"/>
    <row r="40762" hidden="1" x14ac:dyDescent="0.15"/>
    <row r="40763" hidden="1" x14ac:dyDescent="0.15"/>
    <row r="40764" hidden="1" x14ac:dyDescent="0.15"/>
    <row r="40765" hidden="1" x14ac:dyDescent="0.15"/>
    <row r="40766" hidden="1" x14ac:dyDescent="0.15"/>
    <row r="40767" hidden="1" x14ac:dyDescent="0.15"/>
    <row r="40768" hidden="1" x14ac:dyDescent="0.15"/>
    <row r="40769" hidden="1" x14ac:dyDescent="0.15"/>
    <row r="40770" hidden="1" x14ac:dyDescent="0.15"/>
    <row r="40771" hidden="1" x14ac:dyDescent="0.15"/>
    <row r="40772" hidden="1" x14ac:dyDescent="0.15"/>
    <row r="40773" hidden="1" x14ac:dyDescent="0.15"/>
    <row r="40774" hidden="1" x14ac:dyDescent="0.15"/>
    <row r="40775" hidden="1" x14ac:dyDescent="0.15"/>
    <row r="40776" hidden="1" x14ac:dyDescent="0.15"/>
    <row r="40777" hidden="1" x14ac:dyDescent="0.15"/>
    <row r="40778" hidden="1" x14ac:dyDescent="0.15"/>
    <row r="40779" hidden="1" x14ac:dyDescent="0.15"/>
    <row r="40780" hidden="1" x14ac:dyDescent="0.15"/>
    <row r="40781" hidden="1" x14ac:dyDescent="0.15"/>
    <row r="40782" hidden="1" x14ac:dyDescent="0.15"/>
    <row r="40783" hidden="1" x14ac:dyDescent="0.15"/>
    <row r="40784" hidden="1" x14ac:dyDescent="0.15"/>
    <row r="40785" hidden="1" x14ac:dyDescent="0.15"/>
    <row r="40786" hidden="1" x14ac:dyDescent="0.15"/>
    <row r="40787" hidden="1" x14ac:dyDescent="0.15"/>
    <row r="40788" hidden="1" x14ac:dyDescent="0.15"/>
    <row r="40789" hidden="1" x14ac:dyDescent="0.15"/>
    <row r="40790" hidden="1" x14ac:dyDescent="0.15"/>
    <row r="40791" hidden="1" x14ac:dyDescent="0.15"/>
    <row r="40792" hidden="1" x14ac:dyDescent="0.15"/>
    <row r="40793" hidden="1" x14ac:dyDescent="0.15"/>
    <row r="40794" hidden="1" x14ac:dyDescent="0.15"/>
    <row r="40795" hidden="1" x14ac:dyDescent="0.15"/>
    <row r="40796" hidden="1" x14ac:dyDescent="0.15"/>
    <row r="40797" hidden="1" x14ac:dyDescent="0.15"/>
    <row r="40798" hidden="1" x14ac:dyDescent="0.15"/>
    <row r="40799" hidden="1" x14ac:dyDescent="0.15"/>
    <row r="40800" hidden="1" x14ac:dyDescent="0.15"/>
    <row r="40801" hidden="1" x14ac:dyDescent="0.15"/>
    <row r="40802" hidden="1" x14ac:dyDescent="0.15"/>
    <row r="40803" hidden="1" x14ac:dyDescent="0.15"/>
    <row r="40804" hidden="1" x14ac:dyDescent="0.15"/>
    <row r="40805" hidden="1" x14ac:dyDescent="0.15"/>
    <row r="40806" hidden="1" x14ac:dyDescent="0.15"/>
    <row r="40807" hidden="1" x14ac:dyDescent="0.15"/>
    <row r="40808" hidden="1" x14ac:dyDescent="0.15"/>
    <row r="40809" hidden="1" x14ac:dyDescent="0.15"/>
    <row r="40810" hidden="1" x14ac:dyDescent="0.15"/>
    <row r="40811" hidden="1" x14ac:dyDescent="0.15"/>
    <row r="40812" hidden="1" x14ac:dyDescent="0.15"/>
    <row r="40813" hidden="1" x14ac:dyDescent="0.15"/>
    <row r="40814" hidden="1" x14ac:dyDescent="0.15"/>
    <row r="40815" hidden="1" x14ac:dyDescent="0.15"/>
    <row r="40816" hidden="1" x14ac:dyDescent="0.15"/>
    <row r="40817" hidden="1" x14ac:dyDescent="0.15"/>
    <row r="40818" hidden="1" x14ac:dyDescent="0.15"/>
    <row r="40819" hidden="1" x14ac:dyDescent="0.15"/>
    <row r="40820" hidden="1" x14ac:dyDescent="0.15"/>
    <row r="40821" hidden="1" x14ac:dyDescent="0.15"/>
    <row r="40822" hidden="1" x14ac:dyDescent="0.15"/>
    <row r="40823" hidden="1" x14ac:dyDescent="0.15"/>
    <row r="40824" hidden="1" x14ac:dyDescent="0.15"/>
    <row r="40825" hidden="1" x14ac:dyDescent="0.15"/>
    <row r="40826" hidden="1" x14ac:dyDescent="0.15"/>
    <row r="40827" hidden="1" x14ac:dyDescent="0.15"/>
    <row r="40828" hidden="1" x14ac:dyDescent="0.15"/>
    <row r="40829" hidden="1" x14ac:dyDescent="0.15"/>
    <row r="40830" hidden="1" x14ac:dyDescent="0.15"/>
    <row r="40831" hidden="1" x14ac:dyDescent="0.15"/>
    <row r="40832" hidden="1" x14ac:dyDescent="0.15"/>
    <row r="40833" hidden="1" x14ac:dyDescent="0.15"/>
    <row r="40834" hidden="1" x14ac:dyDescent="0.15"/>
    <row r="40835" hidden="1" x14ac:dyDescent="0.15"/>
    <row r="40836" hidden="1" x14ac:dyDescent="0.15"/>
    <row r="40837" hidden="1" x14ac:dyDescent="0.15"/>
    <row r="40838" hidden="1" x14ac:dyDescent="0.15"/>
    <row r="40839" hidden="1" x14ac:dyDescent="0.15"/>
    <row r="40840" hidden="1" x14ac:dyDescent="0.15"/>
    <row r="40841" hidden="1" x14ac:dyDescent="0.15"/>
    <row r="40842" hidden="1" x14ac:dyDescent="0.15"/>
    <row r="40843" hidden="1" x14ac:dyDescent="0.15"/>
    <row r="40844" hidden="1" x14ac:dyDescent="0.15"/>
    <row r="40845" hidden="1" x14ac:dyDescent="0.15"/>
    <row r="40846" hidden="1" x14ac:dyDescent="0.15"/>
    <row r="40847" hidden="1" x14ac:dyDescent="0.15"/>
    <row r="40848" hidden="1" x14ac:dyDescent="0.15"/>
    <row r="40849" hidden="1" x14ac:dyDescent="0.15"/>
    <row r="40850" hidden="1" x14ac:dyDescent="0.15"/>
    <row r="40851" hidden="1" x14ac:dyDescent="0.15"/>
    <row r="40852" hidden="1" x14ac:dyDescent="0.15"/>
    <row r="40853" hidden="1" x14ac:dyDescent="0.15"/>
    <row r="40854" hidden="1" x14ac:dyDescent="0.15"/>
    <row r="40855" hidden="1" x14ac:dyDescent="0.15"/>
    <row r="40856" hidden="1" x14ac:dyDescent="0.15"/>
    <row r="40857" hidden="1" x14ac:dyDescent="0.15"/>
    <row r="40858" hidden="1" x14ac:dyDescent="0.15"/>
    <row r="40859" hidden="1" x14ac:dyDescent="0.15"/>
    <row r="40860" hidden="1" x14ac:dyDescent="0.15"/>
    <row r="40861" hidden="1" x14ac:dyDescent="0.15"/>
    <row r="40862" hidden="1" x14ac:dyDescent="0.15"/>
    <row r="40863" hidden="1" x14ac:dyDescent="0.15"/>
    <row r="40864" hidden="1" x14ac:dyDescent="0.15"/>
    <row r="40865" hidden="1" x14ac:dyDescent="0.15"/>
    <row r="40866" hidden="1" x14ac:dyDescent="0.15"/>
    <row r="40867" hidden="1" x14ac:dyDescent="0.15"/>
    <row r="40868" hidden="1" x14ac:dyDescent="0.15"/>
    <row r="40869" hidden="1" x14ac:dyDescent="0.15"/>
    <row r="40870" hidden="1" x14ac:dyDescent="0.15"/>
    <row r="40871" hidden="1" x14ac:dyDescent="0.15"/>
    <row r="40872" hidden="1" x14ac:dyDescent="0.15"/>
    <row r="40873" hidden="1" x14ac:dyDescent="0.15"/>
    <row r="40874" hidden="1" x14ac:dyDescent="0.15"/>
    <row r="40875" hidden="1" x14ac:dyDescent="0.15"/>
    <row r="40876" hidden="1" x14ac:dyDescent="0.15"/>
    <row r="40877" hidden="1" x14ac:dyDescent="0.15"/>
    <row r="40878" hidden="1" x14ac:dyDescent="0.15"/>
    <row r="40879" hidden="1" x14ac:dyDescent="0.15"/>
    <row r="40880" hidden="1" x14ac:dyDescent="0.15"/>
    <row r="40881" hidden="1" x14ac:dyDescent="0.15"/>
    <row r="40882" hidden="1" x14ac:dyDescent="0.15"/>
    <row r="40883" hidden="1" x14ac:dyDescent="0.15"/>
    <row r="40884" hidden="1" x14ac:dyDescent="0.15"/>
    <row r="40885" hidden="1" x14ac:dyDescent="0.15"/>
    <row r="40886" hidden="1" x14ac:dyDescent="0.15"/>
    <row r="40887" hidden="1" x14ac:dyDescent="0.15"/>
    <row r="40888" hidden="1" x14ac:dyDescent="0.15"/>
    <row r="40889" hidden="1" x14ac:dyDescent="0.15"/>
    <row r="40890" hidden="1" x14ac:dyDescent="0.15"/>
    <row r="40891" hidden="1" x14ac:dyDescent="0.15"/>
    <row r="40892" hidden="1" x14ac:dyDescent="0.15"/>
    <row r="40893" hidden="1" x14ac:dyDescent="0.15"/>
    <row r="40894" hidden="1" x14ac:dyDescent="0.15"/>
    <row r="40895" hidden="1" x14ac:dyDescent="0.15"/>
    <row r="40896" hidden="1" x14ac:dyDescent="0.15"/>
    <row r="40897" hidden="1" x14ac:dyDescent="0.15"/>
    <row r="40898" hidden="1" x14ac:dyDescent="0.15"/>
    <row r="40899" hidden="1" x14ac:dyDescent="0.15"/>
    <row r="40900" hidden="1" x14ac:dyDescent="0.15"/>
    <row r="40901" hidden="1" x14ac:dyDescent="0.15"/>
    <row r="40902" hidden="1" x14ac:dyDescent="0.15"/>
    <row r="40903" hidden="1" x14ac:dyDescent="0.15"/>
    <row r="40904" hidden="1" x14ac:dyDescent="0.15"/>
    <row r="40905" hidden="1" x14ac:dyDescent="0.15"/>
    <row r="40906" hidden="1" x14ac:dyDescent="0.15"/>
    <row r="40907" hidden="1" x14ac:dyDescent="0.15"/>
    <row r="40908" hidden="1" x14ac:dyDescent="0.15"/>
    <row r="40909" hidden="1" x14ac:dyDescent="0.15"/>
    <row r="40910" hidden="1" x14ac:dyDescent="0.15"/>
    <row r="40911" hidden="1" x14ac:dyDescent="0.15"/>
    <row r="40912" hidden="1" x14ac:dyDescent="0.15"/>
    <row r="40913" hidden="1" x14ac:dyDescent="0.15"/>
    <row r="40914" hidden="1" x14ac:dyDescent="0.15"/>
    <row r="40915" hidden="1" x14ac:dyDescent="0.15"/>
    <row r="40916" hidden="1" x14ac:dyDescent="0.15"/>
    <row r="40917" hidden="1" x14ac:dyDescent="0.15"/>
    <row r="40918" hidden="1" x14ac:dyDescent="0.15"/>
    <row r="40919" hidden="1" x14ac:dyDescent="0.15"/>
    <row r="40920" hidden="1" x14ac:dyDescent="0.15"/>
    <row r="40921" hidden="1" x14ac:dyDescent="0.15"/>
    <row r="40922" hidden="1" x14ac:dyDescent="0.15"/>
    <row r="40923" hidden="1" x14ac:dyDescent="0.15"/>
    <row r="40924" hidden="1" x14ac:dyDescent="0.15"/>
    <row r="40925" hidden="1" x14ac:dyDescent="0.15"/>
    <row r="40926" hidden="1" x14ac:dyDescent="0.15"/>
    <row r="40927" hidden="1" x14ac:dyDescent="0.15"/>
    <row r="40928" hidden="1" x14ac:dyDescent="0.15"/>
    <row r="40929" hidden="1" x14ac:dyDescent="0.15"/>
    <row r="40930" hidden="1" x14ac:dyDescent="0.15"/>
    <row r="40931" hidden="1" x14ac:dyDescent="0.15"/>
    <row r="40932" hidden="1" x14ac:dyDescent="0.15"/>
    <row r="40933" hidden="1" x14ac:dyDescent="0.15"/>
    <row r="40934" hidden="1" x14ac:dyDescent="0.15"/>
    <row r="40935" hidden="1" x14ac:dyDescent="0.15"/>
    <row r="40936" hidden="1" x14ac:dyDescent="0.15"/>
    <row r="40937" hidden="1" x14ac:dyDescent="0.15"/>
    <row r="40938" hidden="1" x14ac:dyDescent="0.15"/>
    <row r="40939" hidden="1" x14ac:dyDescent="0.15"/>
    <row r="40940" hidden="1" x14ac:dyDescent="0.15"/>
    <row r="40941" hidden="1" x14ac:dyDescent="0.15"/>
    <row r="40942" hidden="1" x14ac:dyDescent="0.15"/>
    <row r="40943" hidden="1" x14ac:dyDescent="0.15"/>
    <row r="40944" hidden="1" x14ac:dyDescent="0.15"/>
    <row r="40945" hidden="1" x14ac:dyDescent="0.15"/>
    <row r="40946" hidden="1" x14ac:dyDescent="0.15"/>
    <row r="40947" hidden="1" x14ac:dyDescent="0.15"/>
    <row r="40948" hidden="1" x14ac:dyDescent="0.15"/>
    <row r="40949" hidden="1" x14ac:dyDescent="0.15"/>
    <row r="40950" hidden="1" x14ac:dyDescent="0.15"/>
    <row r="40951" hidden="1" x14ac:dyDescent="0.15"/>
    <row r="40952" hidden="1" x14ac:dyDescent="0.15"/>
    <row r="40953" hidden="1" x14ac:dyDescent="0.15"/>
    <row r="40954" hidden="1" x14ac:dyDescent="0.15"/>
    <row r="40955" hidden="1" x14ac:dyDescent="0.15"/>
    <row r="40956" hidden="1" x14ac:dyDescent="0.15"/>
    <row r="40957" hidden="1" x14ac:dyDescent="0.15"/>
    <row r="40958" hidden="1" x14ac:dyDescent="0.15"/>
    <row r="40959" hidden="1" x14ac:dyDescent="0.15"/>
    <row r="40960" hidden="1" x14ac:dyDescent="0.15"/>
    <row r="40961" hidden="1" x14ac:dyDescent="0.15"/>
    <row r="40962" hidden="1" x14ac:dyDescent="0.15"/>
    <row r="40963" hidden="1" x14ac:dyDescent="0.15"/>
    <row r="40964" hidden="1" x14ac:dyDescent="0.15"/>
    <row r="40965" hidden="1" x14ac:dyDescent="0.15"/>
    <row r="40966" hidden="1" x14ac:dyDescent="0.15"/>
    <row r="40967" hidden="1" x14ac:dyDescent="0.15"/>
    <row r="40968" hidden="1" x14ac:dyDescent="0.15"/>
    <row r="40969" hidden="1" x14ac:dyDescent="0.15"/>
    <row r="40970" hidden="1" x14ac:dyDescent="0.15"/>
    <row r="40971" hidden="1" x14ac:dyDescent="0.15"/>
    <row r="40972" hidden="1" x14ac:dyDescent="0.15"/>
    <row r="40973" hidden="1" x14ac:dyDescent="0.15"/>
    <row r="40974" hidden="1" x14ac:dyDescent="0.15"/>
    <row r="40975" hidden="1" x14ac:dyDescent="0.15"/>
    <row r="40976" hidden="1" x14ac:dyDescent="0.15"/>
    <row r="40977" hidden="1" x14ac:dyDescent="0.15"/>
    <row r="40978" hidden="1" x14ac:dyDescent="0.15"/>
    <row r="40979" hidden="1" x14ac:dyDescent="0.15"/>
    <row r="40980" hidden="1" x14ac:dyDescent="0.15"/>
    <row r="40981" hidden="1" x14ac:dyDescent="0.15"/>
    <row r="40982" hidden="1" x14ac:dyDescent="0.15"/>
    <row r="40983" hidden="1" x14ac:dyDescent="0.15"/>
    <row r="40984" hidden="1" x14ac:dyDescent="0.15"/>
    <row r="40985" hidden="1" x14ac:dyDescent="0.15"/>
    <row r="40986" hidden="1" x14ac:dyDescent="0.15"/>
    <row r="40987" hidden="1" x14ac:dyDescent="0.15"/>
    <row r="40988" hidden="1" x14ac:dyDescent="0.15"/>
    <row r="40989" hidden="1" x14ac:dyDescent="0.15"/>
    <row r="40990" hidden="1" x14ac:dyDescent="0.15"/>
    <row r="40991" hidden="1" x14ac:dyDescent="0.15"/>
    <row r="40992" hidden="1" x14ac:dyDescent="0.15"/>
    <row r="40993" hidden="1" x14ac:dyDescent="0.15"/>
    <row r="40994" hidden="1" x14ac:dyDescent="0.15"/>
    <row r="40995" hidden="1" x14ac:dyDescent="0.15"/>
    <row r="40996" hidden="1" x14ac:dyDescent="0.15"/>
    <row r="40997" hidden="1" x14ac:dyDescent="0.15"/>
    <row r="40998" hidden="1" x14ac:dyDescent="0.15"/>
    <row r="40999" hidden="1" x14ac:dyDescent="0.15"/>
    <row r="41000" hidden="1" x14ac:dyDescent="0.15"/>
    <row r="41001" hidden="1" x14ac:dyDescent="0.15"/>
    <row r="41002" hidden="1" x14ac:dyDescent="0.15"/>
    <row r="41003" hidden="1" x14ac:dyDescent="0.15"/>
    <row r="41004" hidden="1" x14ac:dyDescent="0.15"/>
    <row r="41005" hidden="1" x14ac:dyDescent="0.15"/>
    <row r="41006" hidden="1" x14ac:dyDescent="0.15"/>
    <row r="41007" hidden="1" x14ac:dyDescent="0.15"/>
    <row r="41008" hidden="1" x14ac:dyDescent="0.15"/>
    <row r="41009" hidden="1" x14ac:dyDescent="0.15"/>
    <row r="41010" hidden="1" x14ac:dyDescent="0.15"/>
    <row r="41011" hidden="1" x14ac:dyDescent="0.15"/>
    <row r="41012" hidden="1" x14ac:dyDescent="0.15"/>
    <row r="41013" hidden="1" x14ac:dyDescent="0.15"/>
    <row r="41014" hidden="1" x14ac:dyDescent="0.15"/>
    <row r="41015" hidden="1" x14ac:dyDescent="0.15"/>
    <row r="41016" hidden="1" x14ac:dyDescent="0.15"/>
    <row r="41017" hidden="1" x14ac:dyDescent="0.15"/>
    <row r="41018" hidden="1" x14ac:dyDescent="0.15"/>
    <row r="41019" hidden="1" x14ac:dyDescent="0.15"/>
    <row r="41020" hidden="1" x14ac:dyDescent="0.15"/>
    <row r="41021" hidden="1" x14ac:dyDescent="0.15"/>
    <row r="41022" hidden="1" x14ac:dyDescent="0.15"/>
    <row r="41023" hidden="1" x14ac:dyDescent="0.15"/>
    <row r="41024" hidden="1" x14ac:dyDescent="0.15"/>
    <row r="41025" hidden="1" x14ac:dyDescent="0.15"/>
    <row r="41026" hidden="1" x14ac:dyDescent="0.15"/>
    <row r="41027" hidden="1" x14ac:dyDescent="0.15"/>
    <row r="41028" hidden="1" x14ac:dyDescent="0.15"/>
    <row r="41029" hidden="1" x14ac:dyDescent="0.15"/>
    <row r="41030" hidden="1" x14ac:dyDescent="0.15"/>
    <row r="41031" hidden="1" x14ac:dyDescent="0.15"/>
    <row r="41032" hidden="1" x14ac:dyDescent="0.15"/>
    <row r="41033" hidden="1" x14ac:dyDescent="0.15"/>
    <row r="41034" hidden="1" x14ac:dyDescent="0.15"/>
    <row r="41035" hidden="1" x14ac:dyDescent="0.15"/>
    <row r="41036" hidden="1" x14ac:dyDescent="0.15"/>
    <row r="41037" hidden="1" x14ac:dyDescent="0.15"/>
    <row r="41038" hidden="1" x14ac:dyDescent="0.15"/>
    <row r="41039" hidden="1" x14ac:dyDescent="0.15"/>
    <row r="41040" hidden="1" x14ac:dyDescent="0.15"/>
    <row r="41041" hidden="1" x14ac:dyDescent="0.15"/>
    <row r="41042" hidden="1" x14ac:dyDescent="0.15"/>
    <row r="41043" hidden="1" x14ac:dyDescent="0.15"/>
    <row r="41044" hidden="1" x14ac:dyDescent="0.15"/>
    <row r="41045" hidden="1" x14ac:dyDescent="0.15"/>
    <row r="41046" hidden="1" x14ac:dyDescent="0.15"/>
    <row r="41047" hidden="1" x14ac:dyDescent="0.15"/>
    <row r="41048" hidden="1" x14ac:dyDescent="0.15"/>
    <row r="41049" hidden="1" x14ac:dyDescent="0.15"/>
    <row r="41050" hidden="1" x14ac:dyDescent="0.15"/>
    <row r="41051" hidden="1" x14ac:dyDescent="0.15"/>
    <row r="41052" hidden="1" x14ac:dyDescent="0.15"/>
    <row r="41053" hidden="1" x14ac:dyDescent="0.15"/>
    <row r="41054" hidden="1" x14ac:dyDescent="0.15"/>
    <row r="41055" hidden="1" x14ac:dyDescent="0.15"/>
    <row r="41056" hidden="1" x14ac:dyDescent="0.15"/>
    <row r="41057" hidden="1" x14ac:dyDescent="0.15"/>
    <row r="41058" hidden="1" x14ac:dyDescent="0.15"/>
    <row r="41059" hidden="1" x14ac:dyDescent="0.15"/>
    <row r="41060" hidden="1" x14ac:dyDescent="0.15"/>
    <row r="41061" hidden="1" x14ac:dyDescent="0.15"/>
    <row r="41062" hidden="1" x14ac:dyDescent="0.15"/>
    <row r="41063" hidden="1" x14ac:dyDescent="0.15"/>
    <row r="41064" hidden="1" x14ac:dyDescent="0.15"/>
    <row r="41065" hidden="1" x14ac:dyDescent="0.15"/>
    <row r="41066" hidden="1" x14ac:dyDescent="0.15"/>
    <row r="41067" hidden="1" x14ac:dyDescent="0.15"/>
    <row r="41068" hidden="1" x14ac:dyDescent="0.15"/>
    <row r="41069" hidden="1" x14ac:dyDescent="0.15"/>
    <row r="41070" hidden="1" x14ac:dyDescent="0.15"/>
    <row r="41071" hidden="1" x14ac:dyDescent="0.15"/>
    <row r="41072" hidden="1" x14ac:dyDescent="0.15"/>
    <row r="41073" hidden="1" x14ac:dyDescent="0.15"/>
    <row r="41074" hidden="1" x14ac:dyDescent="0.15"/>
    <row r="41075" hidden="1" x14ac:dyDescent="0.15"/>
    <row r="41076" hidden="1" x14ac:dyDescent="0.15"/>
    <row r="41077" hidden="1" x14ac:dyDescent="0.15"/>
    <row r="41078" hidden="1" x14ac:dyDescent="0.15"/>
    <row r="41079" hidden="1" x14ac:dyDescent="0.15"/>
    <row r="41080" hidden="1" x14ac:dyDescent="0.15"/>
    <row r="41081" hidden="1" x14ac:dyDescent="0.15"/>
    <row r="41082" hidden="1" x14ac:dyDescent="0.15"/>
    <row r="41083" hidden="1" x14ac:dyDescent="0.15"/>
    <row r="41084" hidden="1" x14ac:dyDescent="0.15"/>
    <row r="41085" hidden="1" x14ac:dyDescent="0.15"/>
    <row r="41086" hidden="1" x14ac:dyDescent="0.15"/>
    <row r="41087" hidden="1" x14ac:dyDescent="0.15"/>
    <row r="41088" hidden="1" x14ac:dyDescent="0.15"/>
    <row r="41089" hidden="1" x14ac:dyDescent="0.15"/>
    <row r="41090" hidden="1" x14ac:dyDescent="0.15"/>
    <row r="41091" hidden="1" x14ac:dyDescent="0.15"/>
    <row r="41092" hidden="1" x14ac:dyDescent="0.15"/>
    <row r="41093" hidden="1" x14ac:dyDescent="0.15"/>
    <row r="41094" hidden="1" x14ac:dyDescent="0.15"/>
    <row r="41095" hidden="1" x14ac:dyDescent="0.15"/>
    <row r="41096" hidden="1" x14ac:dyDescent="0.15"/>
    <row r="41097" hidden="1" x14ac:dyDescent="0.15"/>
    <row r="41098" hidden="1" x14ac:dyDescent="0.15"/>
    <row r="41099" hidden="1" x14ac:dyDescent="0.15"/>
    <row r="41100" hidden="1" x14ac:dyDescent="0.15"/>
    <row r="41101" hidden="1" x14ac:dyDescent="0.15"/>
    <row r="41102" hidden="1" x14ac:dyDescent="0.15"/>
    <row r="41103" hidden="1" x14ac:dyDescent="0.15"/>
    <row r="41104" hidden="1" x14ac:dyDescent="0.15"/>
    <row r="41105" hidden="1" x14ac:dyDescent="0.15"/>
    <row r="41106" hidden="1" x14ac:dyDescent="0.15"/>
    <row r="41107" hidden="1" x14ac:dyDescent="0.15"/>
    <row r="41108" hidden="1" x14ac:dyDescent="0.15"/>
    <row r="41109" hidden="1" x14ac:dyDescent="0.15"/>
    <row r="41110" hidden="1" x14ac:dyDescent="0.15"/>
    <row r="41111" hidden="1" x14ac:dyDescent="0.15"/>
    <row r="41112" hidden="1" x14ac:dyDescent="0.15"/>
    <row r="41113" hidden="1" x14ac:dyDescent="0.15"/>
    <row r="41114" hidden="1" x14ac:dyDescent="0.15"/>
    <row r="41115" hidden="1" x14ac:dyDescent="0.15"/>
    <row r="41116" hidden="1" x14ac:dyDescent="0.15"/>
    <row r="41117" hidden="1" x14ac:dyDescent="0.15"/>
    <row r="41118" hidden="1" x14ac:dyDescent="0.15"/>
    <row r="41119" hidden="1" x14ac:dyDescent="0.15"/>
    <row r="41120" hidden="1" x14ac:dyDescent="0.15"/>
    <row r="41121" hidden="1" x14ac:dyDescent="0.15"/>
    <row r="41122" hidden="1" x14ac:dyDescent="0.15"/>
    <row r="41123" hidden="1" x14ac:dyDescent="0.15"/>
    <row r="41124" hidden="1" x14ac:dyDescent="0.15"/>
    <row r="41125" hidden="1" x14ac:dyDescent="0.15"/>
    <row r="41126" hidden="1" x14ac:dyDescent="0.15"/>
    <row r="41127" hidden="1" x14ac:dyDescent="0.15"/>
    <row r="41128" hidden="1" x14ac:dyDescent="0.15"/>
    <row r="41129" hidden="1" x14ac:dyDescent="0.15"/>
    <row r="41130" hidden="1" x14ac:dyDescent="0.15"/>
    <row r="41131" hidden="1" x14ac:dyDescent="0.15"/>
    <row r="41132" hidden="1" x14ac:dyDescent="0.15"/>
    <row r="41133" hidden="1" x14ac:dyDescent="0.15"/>
    <row r="41134" hidden="1" x14ac:dyDescent="0.15"/>
    <row r="41135" hidden="1" x14ac:dyDescent="0.15"/>
    <row r="41136" hidden="1" x14ac:dyDescent="0.15"/>
    <row r="41137" hidden="1" x14ac:dyDescent="0.15"/>
    <row r="41138" hidden="1" x14ac:dyDescent="0.15"/>
    <row r="41139" hidden="1" x14ac:dyDescent="0.15"/>
    <row r="41140" hidden="1" x14ac:dyDescent="0.15"/>
    <row r="41141" hidden="1" x14ac:dyDescent="0.15"/>
    <row r="41142" hidden="1" x14ac:dyDescent="0.15"/>
    <row r="41143" hidden="1" x14ac:dyDescent="0.15"/>
    <row r="41144" hidden="1" x14ac:dyDescent="0.15"/>
    <row r="41145" hidden="1" x14ac:dyDescent="0.15"/>
    <row r="41146" hidden="1" x14ac:dyDescent="0.15"/>
    <row r="41147" hidden="1" x14ac:dyDescent="0.15"/>
    <row r="41148" hidden="1" x14ac:dyDescent="0.15"/>
    <row r="41149" hidden="1" x14ac:dyDescent="0.15"/>
    <row r="41150" hidden="1" x14ac:dyDescent="0.15"/>
    <row r="41151" hidden="1" x14ac:dyDescent="0.15"/>
    <row r="41152" hidden="1" x14ac:dyDescent="0.15"/>
    <row r="41153" hidden="1" x14ac:dyDescent="0.15"/>
    <row r="41154" hidden="1" x14ac:dyDescent="0.15"/>
    <row r="41155" hidden="1" x14ac:dyDescent="0.15"/>
    <row r="41156" hidden="1" x14ac:dyDescent="0.15"/>
    <row r="41157" hidden="1" x14ac:dyDescent="0.15"/>
    <row r="41158" hidden="1" x14ac:dyDescent="0.15"/>
    <row r="41159" hidden="1" x14ac:dyDescent="0.15"/>
    <row r="41160" hidden="1" x14ac:dyDescent="0.15"/>
    <row r="41161" hidden="1" x14ac:dyDescent="0.15"/>
    <row r="41162" hidden="1" x14ac:dyDescent="0.15"/>
    <row r="41163" hidden="1" x14ac:dyDescent="0.15"/>
    <row r="41164" hidden="1" x14ac:dyDescent="0.15"/>
    <row r="41165" hidden="1" x14ac:dyDescent="0.15"/>
    <row r="41166" hidden="1" x14ac:dyDescent="0.15"/>
    <row r="41167" hidden="1" x14ac:dyDescent="0.15"/>
    <row r="41168" hidden="1" x14ac:dyDescent="0.15"/>
    <row r="41169" hidden="1" x14ac:dyDescent="0.15"/>
    <row r="41170" hidden="1" x14ac:dyDescent="0.15"/>
    <row r="41171" hidden="1" x14ac:dyDescent="0.15"/>
    <row r="41172" hidden="1" x14ac:dyDescent="0.15"/>
    <row r="41173" hidden="1" x14ac:dyDescent="0.15"/>
    <row r="41174" hidden="1" x14ac:dyDescent="0.15"/>
    <row r="41175" hidden="1" x14ac:dyDescent="0.15"/>
    <row r="41176" hidden="1" x14ac:dyDescent="0.15"/>
    <row r="41177" hidden="1" x14ac:dyDescent="0.15"/>
    <row r="41178" hidden="1" x14ac:dyDescent="0.15"/>
    <row r="41179" hidden="1" x14ac:dyDescent="0.15"/>
    <row r="41180" hidden="1" x14ac:dyDescent="0.15"/>
    <row r="41181" hidden="1" x14ac:dyDescent="0.15"/>
    <row r="41182" hidden="1" x14ac:dyDescent="0.15"/>
    <row r="41183" hidden="1" x14ac:dyDescent="0.15"/>
    <row r="41184" hidden="1" x14ac:dyDescent="0.15"/>
    <row r="41185" hidden="1" x14ac:dyDescent="0.15"/>
    <row r="41186" hidden="1" x14ac:dyDescent="0.15"/>
    <row r="41187" hidden="1" x14ac:dyDescent="0.15"/>
    <row r="41188" hidden="1" x14ac:dyDescent="0.15"/>
    <row r="41189" hidden="1" x14ac:dyDescent="0.15"/>
    <row r="41190" hidden="1" x14ac:dyDescent="0.15"/>
    <row r="41191" hidden="1" x14ac:dyDescent="0.15"/>
    <row r="41192" hidden="1" x14ac:dyDescent="0.15"/>
    <row r="41193" hidden="1" x14ac:dyDescent="0.15"/>
    <row r="41194" hidden="1" x14ac:dyDescent="0.15"/>
    <row r="41195" hidden="1" x14ac:dyDescent="0.15"/>
    <row r="41196" hidden="1" x14ac:dyDescent="0.15"/>
    <row r="41197" hidden="1" x14ac:dyDescent="0.15"/>
    <row r="41198" hidden="1" x14ac:dyDescent="0.15"/>
    <row r="41199" hidden="1" x14ac:dyDescent="0.15"/>
    <row r="41200" hidden="1" x14ac:dyDescent="0.15"/>
    <row r="41201" hidden="1" x14ac:dyDescent="0.15"/>
    <row r="41202" hidden="1" x14ac:dyDescent="0.15"/>
    <row r="41203" hidden="1" x14ac:dyDescent="0.15"/>
    <row r="41204" hidden="1" x14ac:dyDescent="0.15"/>
    <row r="41205" hidden="1" x14ac:dyDescent="0.15"/>
    <row r="41206" hidden="1" x14ac:dyDescent="0.15"/>
    <row r="41207" hidden="1" x14ac:dyDescent="0.15"/>
    <row r="41208" hidden="1" x14ac:dyDescent="0.15"/>
    <row r="41209" hidden="1" x14ac:dyDescent="0.15"/>
    <row r="41210" hidden="1" x14ac:dyDescent="0.15"/>
    <row r="41211" hidden="1" x14ac:dyDescent="0.15"/>
    <row r="41212" hidden="1" x14ac:dyDescent="0.15"/>
    <row r="41213" hidden="1" x14ac:dyDescent="0.15"/>
    <row r="41214" hidden="1" x14ac:dyDescent="0.15"/>
    <row r="41215" hidden="1" x14ac:dyDescent="0.15"/>
    <row r="41216" hidden="1" x14ac:dyDescent="0.15"/>
    <row r="41217" hidden="1" x14ac:dyDescent="0.15"/>
    <row r="41218" hidden="1" x14ac:dyDescent="0.15"/>
    <row r="41219" hidden="1" x14ac:dyDescent="0.15"/>
    <row r="41220" hidden="1" x14ac:dyDescent="0.15"/>
    <row r="41221" hidden="1" x14ac:dyDescent="0.15"/>
    <row r="41222" hidden="1" x14ac:dyDescent="0.15"/>
    <row r="41223" hidden="1" x14ac:dyDescent="0.15"/>
    <row r="41224" hidden="1" x14ac:dyDescent="0.15"/>
    <row r="41225" hidden="1" x14ac:dyDescent="0.15"/>
    <row r="41226" hidden="1" x14ac:dyDescent="0.15"/>
    <row r="41227" hidden="1" x14ac:dyDescent="0.15"/>
    <row r="41228" hidden="1" x14ac:dyDescent="0.15"/>
    <row r="41229" hidden="1" x14ac:dyDescent="0.15"/>
    <row r="41230" hidden="1" x14ac:dyDescent="0.15"/>
    <row r="41231" hidden="1" x14ac:dyDescent="0.15"/>
    <row r="41232" hidden="1" x14ac:dyDescent="0.15"/>
    <row r="41233" hidden="1" x14ac:dyDescent="0.15"/>
    <row r="41234" hidden="1" x14ac:dyDescent="0.15"/>
    <row r="41235" hidden="1" x14ac:dyDescent="0.15"/>
    <row r="41236" hidden="1" x14ac:dyDescent="0.15"/>
    <row r="41237" hidden="1" x14ac:dyDescent="0.15"/>
    <row r="41238" hidden="1" x14ac:dyDescent="0.15"/>
    <row r="41239" hidden="1" x14ac:dyDescent="0.15"/>
    <row r="41240" hidden="1" x14ac:dyDescent="0.15"/>
    <row r="41241" hidden="1" x14ac:dyDescent="0.15"/>
    <row r="41242" hidden="1" x14ac:dyDescent="0.15"/>
    <row r="41243" hidden="1" x14ac:dyDescent="0.15"/>
    <row r="41244" hidden="1" x14ac:dyDescent="0.15"/>
    <row r="41245" hidden="1" x14ac:dyDescent="0.15"/>
    <row r="41246" hidden="1" x14ac:dyDescent="0.15"/>
    <row r="41247" hidden="1" x14ac:dyDescent="0.15"/>
    <row r="41248" hidden="1" x14ac:dyDescent="0.15"/>
    <row r="41249" hidden="1" x14ac:dyDescent="0.15"/>
    <row r="41250" hidden="1" x14ac:dyDescent="0.15"/>
    <row r="41251" hidden="1" x14ac:dyDescent="0.15"/>
    <row r="41252" hidden="1" x14ac:dyDescent="0.15"/>
    <row r="41253" hidden="1" x14ac:dyDescent="0.15"/>
    <row r="41254" hidden="1" x14ac:dyDescent="0.15"/>
    <row r="41255" hidden="1" x14ac:dyDescent="0.15"/>
    <row r="41256" hidden="1" x14ac:dyDescent="0.15"/>
    <row r="41257" hidden="1" x14ac:dyDescent="0.15"/>
    <row r="41258" hidden="1" x14ac:dyDescent="0.15"/>
    <row r="41259" hidden="1" x14ac:dyDescent="0.15"/>
    <row r="41260" hidden="1" x14ac:dyDescent="0.15"/>
    <row r="41261" hidden="1" x14ac:dyDescent="0.15"/>
    <row r="41262" hidden="1" x14ac:dyDescent="0.15"/>
    <row r="41263" hidden="1" x14ac:dyDescent="0.15"/>
    <row r="41264" hidden="1" x14ac:dyDescent="0.15"/>
    <row r="41265" hidden="1" x14ac:dyDescent="0.15"/>
    <row r="41266" hidden="1" x14ac:dyDescent="0.15"/>
    <row r="41267" hidden="1" x14ac:dyDescent="0.15"/>
    <row r="41268" hidden="1" x14ac:dyDescent="0.15"/>
    <row r="41269" hidden="1" x14ac:dyDescent="0.15"/>
    <row r="41270" hidden="1" x14ac:dyDescent="0.15"/>
    <row r="41271" hidden="1" x14ac:dyDescent="0.15"/>
    <row r="41272" hidden="1" x14ac:dyDescent="0.15"/>
    <row r="41273" hidden="1" x14ac:dyDescent="0.15"/>
    <row r="41274" hidden="1" x14ac:dyDescent="0.15"/>
    <row r="41275" hidden="1" x14ac:dyDescent="0.15"/>
    <row r="41276" hidden="1" x14ac:dyDescent="0.15"/>
    <row r="41277" hidden="1" x14ac:dyDescent="0.15"/>
    <row r="41278" hidden="1" x14ac:dyDescent="0.15"/>
    <row r="41279" hidden="1" x14ac:dyDescent="0.15"/>
    <row r="41280" hidden="1" x14ac:dyDescent="0.15"/>
    <row r="41281" hidden="1" x14ac:dyDescent="0.15"/>
    <row r="41282" hidden="1" x14ac:dyDescent="0.15"/>
    <row r="41283" hidden="1" x14ac:dyDescent="0.15"/>
    <row r="41284" hidden="1" x14ac:dyDescent="0.15"/>
    <row r="41285" hidden="1" x14ac:dyDescent="0.15"/>
    <row r="41286" hidden="1" x14ac:dyDescent="0.15"/>
    <row r="41287" hidden="1" x14ac:dyDescent="0.15"/>
    <row r="41288" hidden="1" x14ac:dyDescent="0.15"/>
    <row r="41289" hidden="1" x14ac:dyDescent="0.15"/>
    <row r="41290" hidden="1" x14ac:dyDescent="0.15"/>
    <row r="41291" hidden="1" x14ac:dyDescent="0.15"/>
    <row r="41292" hidden="1" x14ac:dyDescent="0.15"/>
    <row r="41293" hidden="1" x14ac:dyDescent="0.15"/>
    <row r="41294" hidden="1" x14ac:dyDescent="0.15"/>
    <row r="41295" hidden="1" x14ac:dyDescent="0.15"/>
    <row r="41296" hidden="1" x14ac:dyDescent="0.15"/>
    <row r="41297" hidden="1" x14ac:dyDescent="0.15"/>
    <row r="41298" hidden="1" x14ac:dyDescent="0.15"/>
    <row r="41299" hidden="1" x14ac:dyDescent="0.15"/>
    <row r="41300" hidden="1" x14ac:dyDescent="0.15"/>
    <row r="41301" hidden="1" x14ac:dyDescent="0.15"/>
    <row r="41302" hidden="1" x14ac:dyDescent="0.15"/>
    <row r="41303" hidden="1" x14ac:dyDescent="0.15"/>
    <row r="41304" hidden="1" x14ac:dyDescent="0.15"/>
    <row r="41305" hidden="1" x14ac:dyDescent="0.15"/>
    <row r="41306" hidden="1" x14ac:dyDescent="0.15"/>
    <row r="41307" hidden="1" x14ac:dyDescent="0.15"/>
    <row r="41308" hidden="1" x14ac:dyDescent="0.15"/>
    <row r="41309" hidden="1" x14ac:dyDescent="0.15"/>
    <row r="41310" hidden="1" x14ac:dyDescent="0.15"/>
    <row r="41311" hidden="1" x14ac:dyDescent="0.15"/>
    <row r="41312" hidden="1" x14ac:dyDescent="0.15"/>
    <row r="41313" hidden="1" x14ac:dyDescent="0.15"/>
    <row r="41314" hidden="1" x14ac:dyDescent="0.15"/>
    <row r="41315" hidden="1" x14ac:dyDescent="0.15"/>
    <row r="41316" hidden="1" x14ac:dyDescent="0.15"/>
    <row r="41317" hidden="1" x14ac:dyDescent="0.15"/>
    <row r="41318" hidden="1" x14ac:dyDescent="0.15"/>
    <row r="41319" hidden="1" x14ac:dyDescent="0.15"/>
    <row r="41320" hidden="1" x14ac:dyDescent="0.15"/>
    <row r="41321" hidden="1" x14ac:dyDescent="0.15"/>
    <row r="41322" hidden="1" x14ac:dyDescent="0.15"/>
    <row r="41323" hidden="1" x14ac:dyDescent="0.15"/>
    <row r="41324" hidden="1" x14ac:dyDescent="0.15"/>
    <row r="41325" hidden="1" x14ac:dyDescent="0.15"/>
    <row r="41326" hidden="1" x14ac:dyDescent="0.15"/>
    <row r="41327" hidden="1" x14ac:dyDescent="0.15"/>
    <row r="41328" hidden="1" x14ac:dyDescent="0.15"/>
    <row r="41329" hidden="1" x14ac:dyDescent="0.15"/>
    <row r="41330" hidden="1" x14ac:dyDescent="0.15"/>
    <row r="41331" hidden="1" x14ac:dyDescent="0.15"/>
    <row r="41332" hidden="1" x14ac:dyDescent="0.15"/>
    <row r="41333" hidden="1" x14ac:dyDescent="0.15"/>
    <row r="41334" hidden="1" x14ac:dyDescent="0.15"/>
    <row r="41335" hidden="1" x14ac:dyDescent="0.15"/>
    <row r="41336" hidden="1" x14ac:dyDescent="0.15"/>
    <row r="41337" hidden="1" x14ac:dyDescent="0.15"/>
    <row r="41338" hidden="1" x14ac:dyDescent="0.15"/>
    <row r="41339" hidden="1" x14ac:dyDescent="0.15"/>
    <row r="41340" hidden="1" x14ac:dyDescent="0.15"/>
    <row r="41341" hidden="1" x14ac:dyDescent="0.15"/>
    <row r="41342" hidden="1" x14ac:dyDescent="0.15"/>
    <row r="41343" hidden="1" x14ac:dyDescent="0.15"/>
    <row r="41344" hidden="1" x14ac:dyDescent="0.15"/>
    <row r="41345" hidden="1" x14ac:dyDescent="0.15"/>
    <row r="41346" hidden="1" x14ac:dyDescent="0.15"/>
    <row r="41347" hidden="1" x14ac:dyDescent="0.15"/>
    <row r="41348" hidden="1" x14ac:dyDescent="0.15"/>
    <row r="41349" hidden="1" x14ac:dyDescent="0.15"/>
    <row r="41350" hidden="1" x14ac:dyDescent="0.15"/>
    <row r="41351" hidden="1" x14ac:dyDescent="0.15"/>
    <row r="41352" hidden="1" x14ac:dyDescent="0.15"/>
    <row r="41353" hidden="1" x14ac:dyDescent="0.15"/>
    <row r="41354" hidden="1" x14ac:dyDescent="0.15"/>
    <row r="41355" hidden="1" x14ac:dyDescent="0.15"/>
    <row r="41356" hidden="1" x14ac:dyDescent="0.15"/>
    <row r="41357" hidden="1" x14ac:dyDescent="0.15"/>
    <row r="41358" hidden="1" x14ac:dyDescent="0.15"/>
    <row r="41359" hidden="1" x14ac:dyDescent="0.15"/>
    <row r="41360" hidden="1" x14ac:dyDescent="0.15"/>
    <row r="41361" hidden="1" x14ac:dyDescent="0.15"/>
    <row r="41362" hidden="1" x14ac:dyDescent="0.15"/>
    <row r="41363" hidden="1" x14ac:dyDescent="0.15"/>
    <row r="41364" hidden="1" x14ac:dyDescent="0.15"/>
    <row r="41365" hidden="1" x14ac:dyDescent="0.15"/>
    <row r="41366" hidden="1" x14ac:dyDescent="0.15"/>
    <row r="41367" hidden="1" x14ac:dyDescent="0.15"/>
    <row r="41368" hidden="1" x14ac:dyDescent="0.15"/>
    <row r="41369" hidden="1" x14ac:dyDescent="0.15"/>
    <row r="41370" hidden="1" x14ac:dyDescent="0.15"/>
    <row r="41371" hidden="1" x14ac:dyDescent="0.15"/>
    <row r="41372" hidden="1" x14ac:dyDescent="0.15"/>
    <row r="41373" hidden="1" x14ac:dyDescent="0.15"/>
    <row r="41374" hidden="1" x14ac:dyDescent="0.15"/>
    <row r="41375" hidden="1" x14ac:dyDescent="0.15"/>
    <row r="41376" hidden="1" x14ac:dyDescent="0.15"/>
    <row r="41377" hidden="1" x14ac:dyDescent="0.15"/>
    <row r="41378" hidden="1" x14ac:dyDescent="0.15"/>
    <row r="41379" hidden="1" x14ac:dyDescent="0.15"/>
    <row r="41380" hidden="1" x14ac:dyDescent="0.15"/>
    <row r="41381" hidden="1" x14ac:dyDescent="0.15"/>
    <row r="41382" hidden="1" x14ac:dyDescent="0.15"/>
    <row r="41383" hidden="1" x14ac:dyDescent="0.15"/>
    <row r="41384" hidden="1" x14ac:dyDescent="0.15"/>
    <row r="41385" hidden="1" x14ac:dyDescent="0.15"/>
    <row r="41386" hidden="1" x14ac:dyDescent="0.15"/>
    <row r="41387" hidden="1" x14ac:dyDescent="0.15"/>
    <row r="41388" hidden="1" x14ac:dyDescent="0.15"/>
    <row r="41389" hidden="1" x14ac:dyDescent="0.15"/>
    <row r="41390" hidden="1" x14ac:dyDescent="0.15"/>
    <row r="41391" hidden="1" x14ac:dyDescent="0.15"/>
    <row r="41392" hidden="1" x14ac:dyDescent="0.15"/>
    <row r="41393" hidden="1" x14ac:dyDescent="0.15"/>
    <row r="41394" hidden="1" x14ac:dyDescent="0.15"/>
    <row r="41395" hidden="1" x14ac:dyDescent="0.15"/>
    <row r="41396" hidden="1" x14ac:dyDescent="0.15"/>
    <row r="41397" hidden="1" x14ac:dyDescent="0.15"/>
    <row r="41398" hidden="1" x14ac:dyDescent="0.15"/>
    <row r="41399" hidden="1" x14ac:dyDescent="0.15"/>
    <row r="41400" hidden="1" x14ac:dyDescent="0.15"/>
    <row r="41401" hidden="1" x14ac:dyDescent="0.15"/>
    <row r="41402" hidden="1" x14ac:dyDescent="0.15"/>
    <row r="41403" hidden="1" x14ac:dyDescent="0.15"/>
    <row r="41404" hidden="1" x14ac:dyDescent="0.15"/>
    <row r="41405" hidden="1" x14ac:dyDescent="0.15"/>
    <row r="41406" hidden="1" x14ac:dyDescent="0.15"/>
    <row r="41407" hidden="1" x14ac:dyDescent="0.15"/>
    <row r="41408" hidden="1" x14ac:dyDescent="0.15"/>
    <row r="41409" hidden="1" x14ac:dyDescent="0.15"/>
    <row r="41410" hidden="1" x14ac:dyDescent="0.15"/>
    <row r="41411" hidden="1" x14ac:dyDescent="0.15"/>
    <row r="41412" hidden="1" x14ac:dyDescent="0.15"/>
    <row r="41413" hidden="1" x14ac:dyDescent="0.15"/>
    <row r="41414" hidden="1" x14ac:dyDescent="0.15"/>
    <row r="41415" hidden="1" x14ac:dyDescent="0.15"/>
    <row r="41416" hidden="1" x14ac:dyDescent="0.15"/>
    <row r="41417" hidden="1" x14ac:dyDescent="0.15"/>
    <row r="41418" hidden="1" x14ac:dyDescent="0.15"/>
    <row r="41419" hidden="1" x14ac:dyDescent="0.15"/>
    <row r="41420" hidden="1" x14ac:dyDescent="0.15"/>
    <row r="41421" hidden="1" x14ac:dyDescent="0.15"/>
    <row r="41422" hidden="1" x14ac:dyDescent="0.15"/>
    <row r="41423" hidden="1" x14ac:dyDescent="0.15"/>
    <row r="41424" hidden="1" x14ac:dyDescent="0.15"/>
    <row r="41425" hidden="1" x14ac:dyDescent="0.15"/>
    <row r="41426" hidden="1" x14ac:dyDescent="0.15"/>
    <row r="41427" hidden="1" x14ac:dyDescent="0.15"/>
    <row r="41428" hidden="1" x14ac:dyDescent="0.15"/>
    <row r="41429" hidden="1" x14ac:dyDescent="0.15"/>
    <row r="41430" hidden="1" x14ac:dyDescent="0.15"/>
    <row r="41431" hidden="1" x14ac:dyDescent="0.15"/>
    <row r="41432" hidden="1" x14ac:dyDescent="0.15"/>
    <row r="41433" hidden="1" x14ac:dyDescent="0.15"/>
    <row r="41434" hidden="1" x14ac:dyDescent="0.15"/>
    <row r="41435" hidden="1" x14ac:dyDescent="0.15"/>
    <row r="41436" hidden="1" x14ac:dyDescent="0.15"/>
    <row r="41437" hidden="1" x14ac:dyDescent="0.15"/>
    <row r="41438" hidden="1" x14ac:dyDescent="0.15"/>
    <row r="41439" hidden="1" x14ac:dyDescent="0.15"/>
    <row r="41440" hidden="1" x14ac:dyDescent="0.15"/>
    <row r="41441" hidden="1" x14ac:dyDescent="0.15"/>
    <row r="41442" hidden="1" x14ac:dyDescent="0.15"/>
    <row r="41443" hidden="1" x14ac:dyDescent="0.15"/>
    <row r="41444" hidden="1" x14ac:dyDescent="0.15"/>
    <row r="41445" hidden="1" x14ac:dyDescent="0.15"/>
    <row r="41446" hidden="1" x14ac:dyDescent="0.15"/>
    <row r="41447" hidden="1" x14ac:dyDescent="0.15"/>
    <row r="41448" hidden="1" x14ac:dyDescent="0.15"/>
    <row r="41449" hidden="1" x14ac:dyDescent="0.15"/>
    <row r="41450" hidden="1" x14ac:dyDescent="0.15"/>
    <row r="41451" hidden="1" x14ac:dyDescent="0.15"/>
    <row r="41452" hidden="1" x14ac:dyDescent="0.15"/>
    <row r="41453" hidden="1" x14ac:dyDescent="0.15"/>
    <row r="41454" hidden="1" x14ac:dyDescent="0.15"/>
    <row r="41455" hidden="1" x14ac:dyDescent="0.15"/>
    <row r="41456" hidden="1" x14ac:dyDescent="0.15"/>
    <row r="41457" hidden="1" x14ac:dyDescent="0.15"/>
    <row r="41458" hidden="1" x14ac:dyDescent="0.15"/>
    <row r="41459" hidden="1" x14ac:dyDescent="0.15"/>
    <row r="41460" hidden="1" x14ac:dyDescent="0.15"/>
    <row r="41461" hidden="1" x14ac:dyDescent="0.15"/>
    <row r="41462" hidden="1" x14ac:dyDescent="0.15"/>
    <row r="41463" hidden="1" x14ac:dyDescent="0.15"/>
    <row r="41464" hidden="1" x14ac:dyDescent="0.15"/>
    <row r="41465" hidden="1" x14ac:dyDescent="0.15"/>
    <row r="41466" hidden="1" x14ac:dyDescent="0.15"/>
    <row r="41467" hidden="1" x14ac:dyDescent="0.15"/>
    <row r="41468" hidden="1" x14ac:dyDescent="0.15"/>
    <row r="41469" hidden="1" x14ac:dyDescent="0.15"/>
    <row r="41470" hidden="1" x14ac:dyDescent="0.15"/>
    <row r="41471" hidden="1" x14ac:dyDescent="0.15"/>
    <row r="41472" hidden="1" x14ac:dyDescent="0.15"/>
    <row r="41473" hidden="1" x14ac:dyDescent="0.15"/>
    <row r="41474" hidden="1" x14ac:dyDescent="0.15"/>
    <row r="41475" hidden="1" x14ac:dyDescent="0.15"/>
    <row r="41476" hidden="1" x14ac:dyDescent="0.15"/>
    <row r="41477" hidden="1" x14ac:dyDescent="0.15"/>
    <row r="41478" hidden="1" x14ac:dyDescent="0.15"/>
    <row r="41479" hidden="1" x14ac:dyDescent="0.15"/>
    <row r="41480" hidden="1" x14ac:dyDescent="0.15"/>
    <row r="41481" hidden="1" x14ac:dyDescent="0.15"/>
    <row r="41482" hidden="1" x14ac:dyDescent="0.15"/>
    <row r="41483" hidden="1" x14ac:dyDescent="0.15"/>
    <row r="41484" hidden="1" x14ac:dyDescent="0.15"/>
    <row r="41485" hidden="1" x14ac:dyDescent="0.15"/>
    <row r="41486" hidden="1" x14ac:dyDescent="0.15"/>
    <row r="41487" hidden="1" x14ac:dyDescent="0.15"/>
    <row r="41488" hidden="1" x14ac:dyDescent="0.15"/>
    <row r="41489" hidden="1" x14ac:dyDescent="0.15"/>
    <row r="41490" hidden="1" x14ac:dyDescent="0.15"/>
    <row r="41491" hidden="1" x14ac:dyDescent="0.15"/>
    <row r="41492" hidden="1" x14ac:dyDescent="0.15"/>
    <row r="41493" hidden="1" x14ac:dyDescent="0.15"/>
    <row r="41494" hidden="1" x14ac:dyDescent="0.15"/>
    <row r="41495" hidden="1" x14ac:dyDescent="0.15"/>
    <row r="41496" hidden="1" x14ac:dyDescent="0.15"/>
    <row r="41497" hidden="1" x14ac:dyDescent="0.15"/>
    <row r="41498" hidden="1" x14ac:dyDescent="0.15"/>
    <row r="41499" hidden="1" x14ac:dyDescent="0.15"/>
    <row r="41500" hidden="1" x14ac:dyDescent="0.15"/>
    <row r="41501" hidden="1" x14ac:dyDescent="0.15"/>
    <row r="41502" hidden="1" x14ac:dyDescent="0.15"/>
    <row r="41503" hidden="1" x14ac:dyDescent="0.15"/>
    <row r="41504" hidden="1" x14ac:dyDescent="0.15"/>
    <row r="41505" hidden="1" x14ac:dyDescent="0.15"/>
    <row r="41506" hidden="1" x14ac:dyDescent="0.15"/>
    <row r="41507" hidden="1" x14ac:dyDescent="0.15"/>
    <row r="41508" hidden="1" x14ac:dyDescent="0.15"/>
    <row r="41509" hidden="1" x14ac:dyDescent="0.15"/>
    <row r="41510" hidden="1" x14ac:dyDescent="0.15"/>
    <row r="41511" hidden="1" x14ac:dyDescent="0.15"/>
    <row r="41512" hidden="1" x14ac:dyDescent="0.15"/>
    <row r="41513" hidden="1" x14ac:dyDescent="0.15"/>
    <row r="41514" hidden="1" x14ac:dyDescent="0.15"/>
    <row r="41515" hidden="1" x14ac:dyDescent="0.15"/>
    <row r="41516" hidden="1" x14ac:dyDescent="0.15"/>
    <row r="41517" hidden="1" x14ac:dyDescent="0.15"/>
    <row r="41518" hidden="1" x14ac:dyDescent="0.15"/>
    <row r="41519" hidden="1" x14ac:dyDescent="0.15"/>
    <row r="41520" hidden="1" x14ac:dyDescent="0.15"/>
    <row r="41521" hidden="1" x14ac:dyDescent="0.15"/>
    <row r="41522" hidden="1" x14ac:dyDescent="0.15"/>
    <row r="41523" hidden="1" x14ac:dyDescent="0.15"/>
    <row r="41524" hidden="1" x14ac:dyDescent="0.15"/>
    <row r="41525" hidden="1" x14ac:dyDescent="0.15"/>
    <row r="41526" hidden="1" x14ac:dyDescent="0.15"/>
    <row r="41527" hidden="1" x14ac:dyDescent="0.15"/>
    <row r="41528" hidden="1" x14ac:dyDescent="0.15"/>
    <row r="41529" hidden="1" x14ac:dyDescent="0.15"/>
    <row r="41530" hidden="1" x14ac:dyDescent="0.15"/>
    <row r="41531" hidden="1" x14ac:dyDescent="0.15"/>
    <row r="41532" hidden="1" x14ac:dyDescent="0.15"/>
    <row r="41533" hidden="1" x14ac:dyDescent="0.15"/>
    <row r="41534" hidden="1" x14ac:dyDescent="0.15"/>
    <row r="41535" hidden="1" x14ac:dyDescent="0.15"/>
    <row r="41536" hidden="1" x14ac:dyDescent="0.15"/>
    <row r="41537" hidden="1" x14ac:dyDescent="0.15"/>
    <row r="41538" hidden="1" x14ac:dyDescent="0.15"/>
    <row r="41539" hidden="1" x14ac:dyDescent="0.15"/>
    <row r="41540" hidden="1" x14ac:dyDescent="0.15"/>
    <row r="41541" hidden="1" x14ac:dyDescent="0.15"/>
    <row r="41542" hidden="1" x14ac:dyDescent="0.15"/>
    <row r="41543" hidden="1" x14ac:dyDescent="0.15"/>
    <row r="41544" hidden="1" x14ac:dyDescent="0.15"/>
    <row r="41545" hidden="1" x14ac:dyDescent="0.15"/>
    <row r="41546" hidden="1" x14ac:dyDescent="0.15"/>
    <row r="41547" hidden="1" x14ac:dyDescent="0.15"/>
    <row r="41548" hidden="1" x14ac:dyDescent="0.15"/>
    <row r="41549" hidden="1" x14ac:dyDescent="0.15"/>
    <row r="41550" hidden="1" x14ac:dyDescent="0.15"/>
    <row r="41551" hidden="1" x14ac:dyDescent="0.15"/>
    <row r="41552" hidden="1" x14ac:dyDescent="0.15"/>
    <row r="41553" hidden="1" x14ac:dyDescent="0.15"/>
    <row r="41554" hidden="1" x14ac:dyDescent="0.15"/>
    <row r="41555" hidden="1" x14ac:dyDescent="0.15"/>
    <row r="41556" hidden="1" x14ac:dyDescent="0.15"/>
    <row r="41557" hidden="1" x14ac:dyDescent="0.15"/>
    <row r="41558" hidden="1" x14ac:dyDescent="0.15"/>
    <row r="41559" hidden="1" x14ac:dyDescent="0.15"/>
    <row r="41560" hidden="1" x14ac:dyDescent="0.15"/>
    <row r="41561" hidden="1" x14ac:dyDescent="0.15"/>
    <row r="41562" hidden="1" x14ac:dyDescent="0.15"/>
    <row r="41563" hidden="1" x14ac:dyDescent="0.15"/>
    <row r="41564" hidden="1" x14ac:dyDescent="0.15"/>
    <row r="41565" hidden="1" x14ac:dyDescent="0.15"/>
    <row r="41566" hidden="1" x14ac:dyDescent="0.15"/>
    <row r="41567" hidden="1" x14ac:dyDescent="0.15"/>
    <row r="41568" hidden="1" x14ac:dyDescent="0.15"/>
    <row r="41569" hidden="1" x14ac:dyDescent="0.15"/>
    <row r="41570" hidden="1" x14ac:dyDescent="0.15"/>
    <row r="41571" hidden="1" x14ac:dyDescent="0.15"/>
    <row r="41572" hidden="1" x14ac:dyDescent="0.15"/>
    <row r="41573" hidden="1" x14ac:dyDescent="0.15"/>
    <row r="41574" hidden="1" x14ac:dyDescent="0.15"/>
    <row r="41575" hidden="1" x14ac:dyDescent="0.15"/>
    <row r="41576" hidden="1" x14ac:dyDescent="0.15"/>
    <row r="41577" hidden="1" x14ac:dyDescent="0.15"/>
    <row r="41578" hidden="1" x14ac:dyDescent="0.15"/>
    <row r="41579" hidden="1" x14ac:dyDescent="0.15"/>
    <row r="41580" hidden="1" x14ac:dyDescent="0.15"/>
    <row r="41581" hidden="1" x14ac:dyDescent="0.15"/>
    <row r="41582" hidden="1" x14ac:dyDescent="0.15"/>
    <row r="41583" hidden="1" x14ac:dyDescent="0.15"/>
    <row r="41584" hidden="1" x14ac:dyDescent="0.15"/>
    <row r="41585" hidden="1" x14ac:dyDescent="0.15"/>
    <row r="41586" hidden="1" x14ac:dyDescent="0.15"/>
    <row r="41587" hidden="1" x14ac:dyDescent="0.15"/>
    <row r="41588" hidden="1" x14ac:dyDescent="0.15"/>
    <row r="41589" hidden="1" x14ac:dyDescent="0.15"/>
    <row r="41590" hidden="1" x14ac:dyDescent="0.15"/>
    <row r="41591" hidden="1" x14ac:dyDescent="0.15"/>
    <row r="41592" hidden="1" x14ac:dyDescent="0.15"/>
    <row r="41593" hidden="1" x14ac:dyDescent="0.15"/>
    <row r="41594" hidden="1" x14ac:dyDescent="0.15"/>
    <row r="41595" hidden="1" x14ac:dyDescent="0.15"/>
    <row r="41596" hidden="1" x14ac:dyDescent="0.15"/>
    <row r="41597" hidden="1" x14ac:dyDescent="0.15"/>
    <row r="41598" hidden="1" x14ac:dyDescent="0.15"/>
    <row r="41599" hidden="1" x14ac:dyDescent="0.15"/>
    <row r="41600" hidden="1" x14ac:dyDescent="0.15"/>
    <row r="41601" hidden="1" x14ac:dyDescent="0.15"/>
    <row r="41602" hidden="1" x14ac:dyDescent="0.15"/>
    <row r="41603" hidden="1" x14ac:dyDescent="0.15"/>
    <row r="41604" hidden="1" x14ac:dyDescent="0.15"/>
    <row r="41605" hidden="1" x14ac:dyDescent="0.15"/>
    <row r="41606" hidden="1" x14ac:dyDescent="0.15"/>
    <row r="41607" hidden="1" x14ac:dyDescent="0.15"/>
    <row r="41608" hidden="1" x14ac:dyDescent="0.15"/>
    <row r="41609" hidden="1" x14ac:dyDescent="0.15"/>
    <row r="41610" hidden="1" x14ac:dyDescent="0.15"/>
    <row r="41611" hidden="1" x14ac:dyDescent="0.15"/>
    <row r="41612" hidden="1" x14ac:dyDescent="0.15"/>
    <row r="41613" hidden="1" x14ac:dyDescent="0.15"/>
    <row r="41614" hidden="1" x14ac:dyDescent="0.15"/>
    <row r="41615" hidden="1" x14ac:dyDescent="0.15"/>
    <row r="41616" hidden="1" x14ac:dyDescent="0.15"/>
    <row r="41617" hidden="1" x14ac:dyDescent="0.15"/>
    <row r="41618" hidden="1" x14ac:dyDescent="0.15"/>
    <row r="41619" hidden="1" x14ac:dyDescent="0.15"/>
    <row r="41620" hidden="1" x14ac:dyDescent="0.15"/>
    <row r="41621" hidden="1" x14ac:dyDescent="0.15"/>
    <row r="41622" hidden="1" x14ac:dyDescent="0.15"/>
    <row r="41623" hidden="1" x14ac:dyDescent="0.15"/>
    <row r="41624" hidden="1" x14ac:dyDescent="0.15"/>
    <row r="41625" hidden="1" x14ac:dyDescent="0.15"/>
    <row r="41626" hidden="1" x14ac:dyDescent="0.15"/>
    <row r="41627" hidden="1" x14ac:dyDescent="0.15"/>
    <row r="41628" hidden="1" x14ac:dyDescent="0.15"/>
    <row r="41629" hidden="1" x14ac:dyDescent="0.15"/>
    <row r="41630" hidden="1" x14ac:dyDescent="0.15"/>
    <row r="41631" hidden="1" x14ac:dyDescent="0.15"/>
    <row r="41632" hidden="1" x14ac:dyDescent="0.15"/>
    <row r="41633" hidden="1" x14ac:dyDescent="0.15"/>
    <row r="41634" hidden="1" x14ac:dyDescent="0.15"/>
    <row r="41635" hidden="1" x14ac:dyDescent="0.15"/>
    <row r="41636" hidden="1" x14ac:dyDescent="0.15"/>
    <row r="41637" hidden="1" x14ac:dyDescent="0.15"/>
    <row r="41638" hidden="1" x14ac:dyDescent="0.15"/>
    <row r="41639" hidden="1" x14ac:dyDescent="0.15"/>
    <row r="41640" hidden="1" x14ac:dyDescent="0.15"/>
    <row r="41641" hidden="1" x14ac:dyDescent="0.15"/>
    <row r="41642" hidden="1" x14ac:dyDescent="0.15"/>
    <row r="41643" hidden="1" x14ac:dyDescent="0.15"/>
    <row r="41644" hidden="1" x14ac:dyDescent="0.15"/>
    <row r="41645" hidden="1" x14ac:dyDescent="0.15"/>
    <row r="41646" hidden="1" x14ac:dyDescent="0.15"/>
    <row r="41647" hidden="1" x14ac:dyDescent="0.15"/>
    <row r="41648" hidden="1" x14ac:dyDescent="0.15"/>
    <row r="41649" hidden="1" x14ac:dyDescent="0.15"/>
    <row r="41650" hidden="1" x14ac:dyDescent="0.15"/>
    <row r="41651" hidden="1" x14ac:dyDescent="0.15"/>
    <row r="41652" hidden="1" x14ac:dyDescent="0.15"/>
    <row r="41653" hidden="1" x14ac:dyDescent="0.15"/>
    <row r="41654" hidden="1" x14ac:dyDescent="0.15"/>
    <row r="41655" hidden="1" x14ac:dyDescent="0.15"/>
    <row r="41656" hidden="1" x14ac:dyDescent="0.15"/>
    <row r="41657" hidden="1" x14ac:dyDescent="0.15"/>
    <row r="41658" hidden="1" x14ac:dyDescent="0.15"/>
    <row r="41659" hidden="1" x14ac:dyDescent="0.15"/>
    <row r="41660" hidden="1" x14ac:dyDescent="0.15"/>
    <row r="41661" hidden="1" x14ac:dyDescent="0.15"/>
    <row r="41662" hidden="1" x14ac:dyDescent="0.15"/>
    <row r="41663" hidden="1" x14ac:dyDescent="0.15"/>
    <row r="41664" hidden="1" x14ac:dyDescent="0.15"/>
    <row r="41665" hidden="1" x14ac:dyDescent="0.15"/>
    <row r="41666" hidden="1" x14ac:dyDescent="0.15"/>
    <row r="41667" hidden="1" x14ac:dyDescent="0.15"/>
    <row r="41668" hidden="1" x14ac:dyDescent="0.15"/>
    <row r="41669" hidden="1" x14ac:dyDescent="0.15"/>
    <row r="41670" hidden="1" x14ac:dyDescent="0.15"/>
    <row r="41671" hidden="1" x14ac:dyDescent="0.15"/>
    <row r="41672" hidden="1" x14ac:dyDescent="0.15"/>
    <row r="41673" hidden="1" x14ac:dyDescent="0.15"/>
    <row r="41674" hidden="1" x14ac:dyDescent="0.15"/>
    <row r="41675" hidden="1" x14ac:dyDescent="0.15"/>
    <row r="41676" hidden="1" x14ac:dyDescent="0.15"/>
    <row r="41677" hidden="1" x14ac:dyDescent="0.15"/>
    <row r="41678" hidden="1" x14ac:dyDescent="0.15"/>
    <row r="41679" hidden="1" x14ac:dyDescent="0.15"/>
    <row r="41680" hidden="1" x14ac:dyDescent="0.15"/>
    <row r="41681" hidden="1" x14ac:dyDescent="0.15"/>
    <row r="41682" hidden="1" x14ac:dyDescent="0.15"/>
    <row r="41683" hidden="1" x14ac:dyDescent="0.15"/>
    <row r="41684" hidden="1" x14ac:dyDescent="0.15"/>
    <row r="41685" hidden="1" x14ac:dyDescent="0.15"/>
    <row r="41686" hidden="1" x14ac:dyDescent="0.15"/>
    <row r="41687" hidden="1" x14ac:dyDescent="0.15"/>
    <row r="41688" hidden="1" x14ac:dyDescent="0.15"/>
    <row r="41689" hidden="1" x14ac:dyDescent="0.15"/>
    <row r="41690" hidden="1" x14ac:dyDescent="0.15"/>
    <row r="41691" hidden="1" x14ac:dyDescent="0.15"/>
    <row r="41692" hidden="1" x14ac:dyDescent="0.15"/>
    <row r="41693" hidden="1" x14ac:dyDescent="0.15"/>
    <row r="41694" hidden="1" x14ac:dyDescent="0.15"/>
    <row r="41695" hidden="1" x14ac:dyDescent="0.15"/>
    <row r="41696" hidden="1" x14ac:dyDescent="0.15"/>
    <row r="41697" hidden="1" x14ac:dyDescent="0.15"/>
    <row r="41698" hidden="1" x14ac:dyDescent="0.15"/>
    <row r="41699" hidden="1" x14ac:dyDescent="0.15"/>
    <row r="41700" hidden="1" x14ac:dyDescent="0.15"/>
    <row r="41701" hidden="1" x14ac:dyDescent="0.15"/>
    <row r="41702" hidden="1" x14ac:dyDescent="0.15"/>
    <row r="41703" hidden="1" x14ac:dyDescent="0.15"/>
    <row r="41704" hidden="1" x14ac:dyDescent="0.15"/>
    <row r="41705" hidden="1" x14ac:dyDescent="0.15"/>
    <row r="41706" hidden="1" x14ac:dyDescent="0.15"/>
    <row r="41707" hidden="1" x14ac:dyDescent="0.15"/>
    <row r="41708" hidden="1" x14ac:dyDescent="0.15"/>
    <row r="41709" hidden="1" x14ac:dyDescent="0.15"/>
    <row r="41710" hidden="1" x14ac:dyDescent="0.15"/>
    <row r="41711" hidden="1" x14ac:dyDescent="0.15"/>
    <row r="41712" hidden="1" x14ac:dyDescent="0.15"/>
    <row r="41713" hidden="1" x14ac:dyDescent="0.15"/>
    <row r="41714" hidden="1" x14ac:dyDescent="0.15"/>
    <row r="41715" hidden="1" x14ac:dyDescent="0.15"/>
    <row r="41716" hidden="1" x14ac:dyDescent="0.15"/>
    <row r="41717" hidden="1" x14ac:dyDescent="0.15"/>
    <row r="41718" hidden="1" x14ac:dyDescent="0.15"/>
    <row r="41719" hidden="1" x14ac:dyDescent="0.15"/>
    <row r="41720" hidden="1" x14ac:dyDescent="0.15"/>
    <row r="41721" hidden="1" x14ac:dyDescent="0.15"/>
    <row r="41722" hidden="1" x14ac:dyDescent="0.15"/>
    <row r="41723" hidden="1" x14ac:dyDescent="0.15"/>
    <row r="41724" hidden="1" x14ac:dyDescent="0.15"/>
    <row r="41725" hidden="1" x14ac:dyDescent="0.15"/>
    <row r="41726" hidden="1" x14ac:dyDescent="0.15"/>
    <row r="41727" hidden="1" x14ac:dyDescent="0.15"/>
    <row r="41728" hidden="1" x14ac:dyDescent="0.15"/>
    <row r="41729" hidden="1" x14ac:dyDescent="0.15"/>
    <row r="41730" hidden="1" x14ac:dyDescent="0.15"/>
    <row r="41731" hidden="1" x14ac:dyDescent="0.15"/>
    <row r="41732" hidden="1" x14ac:dyDescent="0.15"/>
    <row r="41733" hidden="1" x14ac:dyDescent="0.15"/>
    <row r="41734" hidden="1" x14ac:dyDescent="0.15"/>
    <row r="41735" hidden="1" x14ac:dyDescent="0.15"/>
    <row r="41736" hidden="1" x14ac:dyDescent="0.15"/>
    <row r="41737" hidden="1" x14ac:dyDescent="0.15"/>
    <row r="41738" hidden="1" x14ac:dyDescent="0.15"/>
    <row r="41739" hidden="1" x14ac:dyDescent="0.15"/>
    <row r="41740" hidden="1" x14ac:dyDescent="0.15"/>
    <row r="41741" hidden="1" x14ac:dyDescent="0.15"/>
    <row r="41742" hidden="1" x14ac:dyDescent="0.15"/>
    <row r="41743" hidden="1" x14ac:dyDescent="0.15"/>
    <row r="41744" hidden="1" x14ac:dyDescent="0.15"/>
    <row r="41745" hidden="1" x14ac:dyDescent="0.15"/>
    <row r="41746" hidden="1" x14ac:dyDescent="0.15"/>
    <row r="41747" hidden="1" x14ac:dyDescent="0.15"/>
    <row r="41748" hidden="1" x14ac:dyDescent="0.15"/>
    <row r="41749" hidden="1" x14ac:dyDescent="0.15"/>
    <row r="41750" hidden="1" x14ac:dyDescent="0.15"/>
    <row r="41751" hidden="1" x14ac:dyDescent="0.15"/>
    <row r="41752" hidden="1" x14ac:dyDescent="0.15"/>
    <row r="41753" hidden="1" x14ac:dyDescent="0.15"/>
    <row r="41754" hidden="1" x14ac:dyDescent="0.15"/>
    <row r="41755" hidden="1" x14ac:dyDescent="0.15"/>
    <row r="41756" hidden="1" x14ac:dyDescent="0.15"/>
    <row r="41757" hidden="1" x14ac:dyDescent="0.15"/>
    <row r="41758" hidden="1" x14ac:dyDescent="0.15"/>
    <row r="41759" hidden="1" x14ac:dyDescent="0.15"/>
    <row r="41760" hidden="1" x14ac:dyDescent="0.15"/>
    <row r="41761" hidden="1" x14ac:dyDescent="0.15"/>
    <row r="41762" hidden="1" x14ac:dyDescent="0.15"/>
    <row r="41763" hidden="1" x14ac:dyDescent="0.15"/>
    <row r="41764" hidden="1" x14ac:dyDescent="0.15"/>
    <row r="41765" hidden="1" x14ac:dyDescent="0.15"/>
    <row r="41766" hidden="1" x14ac:dyDescent="0.15"/>
    <row r="41767" hidden="1" x14ac:dyDescent="0.15"/>
    <row r="41768" hidden="1" x14ac:dyDescent="0.15"/>
    <row r="41769" hidden="1" x14ac:dyDescent="0.15"/>
    <row r="41770" hidden="1" x14ac:dyDescent="0.15"/>
    <row r="41771" hidden="1" x14ac:dyDescent="0.15"/>
    <row r="41772" hidden="1" x14ac:dyDescent="0.15"/>
    <row r="41773" hidden="1" x14ac:dyDescent="0.15"/>
    <row r="41774" hidden="1" x14ac:dyDescent="0.15"/>
    <row r="41775" hidden="1" x14ac:dyDescent="0.15"/>
    <row r="41776" hidden="1" x14ac:dyDescent="0.15"/>
    <row r="41777" hidden="1" x14ac:dyDescent="0.15"/>
    <row r="41778" hidden="1" x14ac:dyDescent="0.15"/>
    <row r="41779" hidden="1" x14ac:dyDescent="0.15"/>
    <row r="41780" hidden="1" x14ac:dyDescent="0.15"/>
    <row r="41781" hidden="1" x14ac:dyDescent="0.15"/>
    <row r="41782" hidden="1" x14ac:dyDescent="0.15"/>
    <row r="41783" hidden="1" x14ac:dyDescent="0.15"/>
    <row r="41784" hidden="1" x14ac:dyDescent="0.15"/>
    <row r="41785" hidden="1" x14ac:dyDescent="0.15"/>
    <row r="41786" hidden="1" x14ac:dyDescent="0.15"/>
    <row r="41787" hidden="1" x14ac:dyDescent="0.15"/>
    <row r="41788" hidden="1" x14ac:dyDescent="0.15"/>
    <row r="41789" hidden="1" x14ac:dyDescent="0.15"/>
    <row r="41790" hidden="1" x14ac:dyDescent="0.15"/>
    <row r="41791" hidden="1" x14ac:dyDescent="0.15"/>
    <row r="41792" hidden="1" x14ac:dyDescent="0.15"/>
    <row r="41793" hidden="1" x14ac:dyDescent="0.15"/>
    <row r="41794" hidden="1" x14ac:dyDescent="0.15"/>
    <row r="41795" hidden="1" x14ac:dyDescent="0.15"/>
    <row r="41796" hidden="1" x14ac:dyDescent="0.15"/>
    <row r="41797" hidden="1" x14ac:dyDescent="0.15"/>
    <row r="41798" hidden="1" x14ac:dyDescent="0.15"/>
    <row r="41799" hidden="1" x14ac:dyDescent="0.15"/>
    <row r="41800" hidden="1" x14ac:dyDescent="0.15"/>
    <row r="41801" hidden="1" x14ac:dyDescent="0.15"/>
    <row r="41802" hidden="1" x14ac:dyDescent="0.15"/>
    <row r="41803" hidden="1" x14ac:dyDescent="0.15"/>
    <row r="41804" hidden="1" x14ac:dyDescent="0.15"/>
    <row r="41805" hidden="1" x14ac:dyDescent="0.15"/>
    <row r="41806" hidden="1" x14ac:dyDescent="0.15"/>
    <row r="41807" hidden="1" x14ac:dyDescent="0.15"/>
    <row r="41808" hidden="1" x14ac:dyDescent="0.15"/>
    <row r="41809" hidden="1" x14ac:dyDescent="0.15"/>
    <row r="41810" hidden="1" x14ac:dyDescent="0.15"/>
    <row r="41811" hidden="1" x14ac:dyDescent="0.15"/>
    <row r="41812" hidden="1" x14ac:dyDescent="0.15"/>
    <row r="41813" hidden="1" x14ac:dyDescent="0.15"/>
    <row r="41814" hidden="1" x14ac:dyDescent="0.15"/>
    <row r="41815" hidden="1" x14ac:dyDescent="0.15"/>
    <row r="41816" hidden="1" x14ac:dyDescent="0.15"/>
    <row r="41817" hidden="1" x14ac:dyDescent="0.15"/>
    <row r="41818" hidden="1" x14ac:dyDescent="0.15"/>
    <row r="41819" hidden="1" x14ac:dyDescent="0.15"/>
    <row r="41820" hidden="1" x14ac:dyDescent="0.15"/>
    <row r="41821" hidden="1" x14ac:dyDescent="0.15"/>
    <row r="41822" hidden="1" x14ac:dyDescent="0.15"/>
    <row r="41823" hidden="1" x14ac:dyDescent="0.15"/>
    <row r="41824" hidden="1" x14ac:dyDescent="0.15"/>
    <row r="41825" hidden="1" x14ac:dyDescent="0.15"/>
    <row r="41826" hidden="1" x14ac:dyDescent="0.15"/>
    <row r="41827" hidden="1" x14ac:dyDescent="0.15"/>
    <row r="41828" hidden="1" x14ac:dyDescent="0.15"/>
    <row r="41829" hidden="1" x14ac:dyDescent="0.15"/>
    <row r="41830" hidden="1" x14ac:dyDescent="0.15"/>
    <row r="41831" hidden="1" x14ac:dyDescent="0.15"/>
    <row r="41832" hidden="1" x14ac:dyDescent="0.15"/>
    <row r="41833" hidden="1" x14ac:dyDescent="0.15"/>
    <row r="41834" hidden="1" x14ac:dyDescent="0.15"/>
    <row r="41835" hidden="1" x14ac:dyDescent="0.15"/>
    <row r="41836" hidden="1" x14ac:dyDescent="0.15"/>
    <row r="41837" hidden="1" x14ac:dyDescent="0.15"/>
    <row r="41838" hidden="1" x14ac:dyDescent="0.15"/>
    <row r="41839" hidden="1" x14ac:dyDescent="0.15"/>
    <row r="41840" hidden="1" x14ac:dyDescent="0.15"/>
    <row r="41841" hidden="1" x14ac:dyDescent="0.15"/>
    <row r="41842" hidden="1" x14ac:dyDescent="0.15"/>
    <row r="41843" hidden="1" x14ac:dyDescent="0.15"/>
    <row r="41844" hidden="1" x14ac:dyDescent="0.15"/>
    <row r="41845" hidden="1" x14ac:dyDescent="0.15"/>
    <row r="41846" hidden="1" x14ac:dyDescent="0.15"/>
    <row r="41847" hidden="1" x14ac:dyDescent="0.15"/>
    <row r="41848" hidden="1" x14ac:dyDescent="0.15"/>
    <row r="41849" hidden="1" x14ac:dyDescent="0.15"/>
    <row r="41850" hidden="1" x14ac:dyDescent="0.15"/>
    <row r="41851" hidden="1" x14ac:dyDescent="0.15"/>
    <row r="41852" hidden="1" x14ac:dyDescent="0.15"/>
    <row r="41853" hidden="1" x14ac:dyDescent="0.15"/>
    <row r="41854" hidden="1" x14ac:dyDescent="0.15"/>
    <row r="41855" hidden="1" x14ac:dyDescent="0.15"/>
    <row r="41856" hidden="1" x14ac:dyDescent="0.15"/>
    <row r="41857" hidden="1" x14ac:dyDescent="0.15"/>
    <row r="41858" hidden="1" x14ac:dyDescent="0.15"/>
    <row r="41859" hidden="1" x14ac:dyDescent="0.15"/>
    <row r="41860" hidden="1" x14ac:dyDescent="0.15"/>
    <row r="41861" hidden="1" x14ac:dyDescent="0.15"/>
    <row r="41862" hidden="1" x14ac:dyDescent="0.15"/>
    <row r="41863" hidden="1" x14ac:dyDescent="0.15"/>
    <row r="41864" hidden="1" x14ac:dyDescent="0.15"/>
    <row r="41865" hidden="1" x14ac:dyDescent="0.15"/>
    <row r="41866" hidden="1" x14ac:dyDescent="0.15"/>
    <row r="41867" hidden="1" x14ac:dyDescent="0.15"/>
    <row r="41868" hidden="1" x14ac:dyDescent="0.15"/>
    <row r="41869" hidden="1" x14ac:dyDescent="0.15"/>
    <row r="41870" hidden="1" x14ac:dyDescent="0.15"/>
    <row r="41871" hidden="1" x14ac:dyDescent="0.15"/>
    <row r="41872" hidden="1" x14ac:dyDescent="0.15"/>
    <row r="41873" hidden="1" x14ac:dyDescent="0.15"/>
    <row r="41874" hidden="1" x14ac:dyDescent="0.15"/>
    <row r="41875" hidden="1" x14ac:dyDescent="0.15"/>
    <row r="41876" hidden="1" x14ac:dyDescent="0.15"/>
    <row r="41877" hidden="1" x14ac:dyDescent="0.15"/>
    <row r="41878" hidden="1" x14ac:dyDescent="0.15"/>
    <row r="41879" hidden="1" x14ac:dyDescent="0.15"/>
    <row r="41880" hidden="1" x14ac:dyDescent="0.15"/>
    <row r="41881" hidden="1" x14ac:dyDescent="0.15"/>
    <row r="41882" hidden="1" x14ac:dyDescent="0.15"/>
    <row r="41883" hidden="1" x14ac:dyDescent="0.15"/>
    <row r="41884" hidden="1" x14ac:dyDescent="0.15"/>
    <row r="41885" hidden="1" x14ac:dyDescent="0.15"/>
    <row r="41886" hidden="1" x14ac:dyDescent="0.15"/>
    <row r="41887" hidden="1" x14ac:dyDescent="0.15"/>
    <row r="41888" hidden="1" x14ac:dyDescent="0.15"/>
    <row r="41889" hidden="1" x14ac:dyDescent="0.15"/>
    <row r="41890" hidden="1" x14ac:dyDescent="0.15"/>
    <row r="41891" hidden="1" x14ac:dyDescent="0.15"/>
    <row r="41892" hidden="1" x14ac:dyDescent="0.15"/>
    <row r="41893" hidden="1" x14ac:dyDescent="0.15"/>
    <row r="41894" hidden="1" x14ac:dyDescent="0.15"/>
    <row r="41895" hidden="1" x14ac:dyDescent="0.15"/>
    <row r="41896" hidden="1" x14ac:dyDescent="0.15"/>
    <row r="41897" hidden="1" x14ac:dyDescent="0.15"/>
    <row r="41898" hidden="1" x14ac:dyDescent="0.15"/>
    <row r="41899" hidden="1" x14ac:dyDescent="0.15"/>
    <row r="41900" hidden="1" x14ac:dyDescent="0.15"/>
    <row r="41901" hidden="1" x14ac:dyDescent="0.15"/>
    <row r="41902" hidden="1" x14ac:dyDescent="0.15"/>
    <row r="41903" hidden="1" x14ac:dyDescent="0.15"/>
    <row r="41904" hidden="1" x14ac:dyDescent="0.15"/>
    <row r="41905" hidden="1" x14ac:dyDescent="0.15"/>
    <row r="41906" hidden="1" x14ac:dyDescent="0.15"/>
    <row r="41907" hidden="1" x14ac:dyDescent="0.15"/>
    <row r="41908" hidden="1" x14ac:dyDescent="0.15"/>
    <row r="41909" hidden="1" x14ac:dyDescent="0.15"/>
    <row r="41910" hidden="1" x14ac:dyDescent="0.15"/>
    <row r="41911" hidden="1" x14ac:dyDescent="0.15"/>
    <row r="41912" hidden="1" x14ac:dyDescent="0.15"/>
    <row r="41913" hidden="1" x14ac:dyDescent="0.15"/>
    <row r="41914" hidden="1" x14ac:dyDescent="0.15"/>
    <row r="41915" hidden="1" x14ac:dyDescent="0.15"/>
    <row r="41916" hidden="1" x14ac:dyDescent="0.15"/>
    <row r="41917" hidden="1" x14ac:dyDescent="0.15"/>
    <row r="41918" hidden="1" x14ac:dyDescent="0.15"/>
    <row r="41919" hidden="1" x14ac:dyDescent="0.15"/>
    <row r="41920" hidden="1" x14ac:dyDescent="0.15"/>
    <row r="41921" hidden="1" x14ac:dyDescent="0.15"/>
    <row r="41922" hidden="1" x14ac:dyDescent="0.15"/>
    <row r="41923" hidden="1" x14ac:dyDescent="0.15"/>
    <row r="41924" hidden="1" x14ac:dyDescent="0.15"/>
    <row r="41925" hidden="1" x14ac:dyDescent="0.15"/>
    <row r="41926" hidden="1" x14ac:dyDescent="0.15"/>
    <row r="41927" hidden="1" x14ac:dyDescent="0.15"/>
    <row r="41928" hidden="1" x14ac:dyDescent="0.15"/>
    <row r="41929" hidden="1" x14ac:dyDescent="0.15"/>
    <row r="41930" hidden="1" x14ac:dyDescent="0.15"/>
    <row r="41931" hidden="1" x14ac:dyDescent="0.15"/>
    <row r="41932" hidden="1" x14ac:dyDescent="0.15"/>
    <row r="41933" hidden="1" x14ac:dyDescent="0.15"/>
    <row r="41934" hidden="1" x14ac:dyDescent="0.15"/>
    <row r="41935" hidden="1" x14ac:dyDescent="0.15"/>
    <row r="41936" hidden="1" x14ac:dyDescent="0.15"/>
    <row r="41937" hidden="1" x14ac:dyDescent="0.15"/>
    <row r="41938" hidden="1" x14ac:dyDescent="0.15"/>
    <row r="41939" hidden="1" x14ac:dyDescent="0.15"/>
    <row r="41940" hidden="1" x14ac:dyDescent="0.15"/>
    <row r="41941" hidden="1" x14ac:dyDescent="0.15"/>
    <row r="41942" hidden="1" x14ac:dyDescent="0.15"/>
    <row r="41943" hidden="1" x14ac:dyDescent="0.15"/>
    <row r="41944" hidden="1" x14ac:dyDescent="0.15"/>
    <row r="41945" hidden="1" x14ac:dyDescent="0.15"/>
    <row r="41946" hidden="1" x14ac:dyDescent="0.15"/>
    <row r="41947" hidden="1" x14ac:dyDescent="0.15"/>
    <row r="41948" hidden="1" x14ac:dyDescent="0.15"/>
    <row r="41949" hidden="1" x14ac:dyDescent="0.15"/>
    <row r="41950" hidden="1" x14ac:dyDescent="0.15"/>
    <row r="41951" hidden="1" x14ac:dyDescent="0.15"/>
    <row r="41952" hidden="1" x14ac:dyDescent="0.15"/>
    <row r="41953" hidden="1" x14ac:dyDescent="0.15"/>
    <row r="41954" hidden="1" x14ac:dyDescent="0.15"/>
    <row r="41955" hidden="1" x14ac:dyDescent="0.15"/>
    <row r="41956" hidden="1" x14ac:dyDescent="0.15"/>
    <row r="41957" hidden="1" x14ac:dyDescent="0.15"/>
    <row r="41958" hidden="1" x14ac:dyDescent="0.15"/>
    <row r="41959" hidden="1" x14ac:dyDescent="0.15"/>
    <row r="41960" hidden="1" x14ac:dyDescent="0.15"/>
    <row r="41961" hidden="1" x14ac:dyDescent="0.15"/>
    <row r="41962" hidden="1" x14ac:dyDescent="0.15"/>
    <row r="41963" hidden="1" x14ac:dyDescent="0.15"/>
    <row r="41964" hidden="1" x14ac:dyDescent="0.15"/>
    <row r="41965" hidden="1" x14ac:dyDescent="0.15"/>
    <row r="41966" hidden="1" x14ac:dyDescent="0.15"/>
    <row r="41967" hidden="1" x14ac:dyDescent="0.15"/>
    <row r="41968" hidden="1" x14ac:dyDescent="0.15"/>
    <row r="41969" hidden="1" x14ac:dyDescent="0.15"/>
    <row r="41970" hidden="1" x14ac:dyDescent="0.15"/>
    <row r="41971" hidden="1" x14ac:dyDescent="0.15"/>
    <row r="41972" hidden="1" x14ac:dyDescent="0.15"/>
    <row r="41973" hidden="1" x14ac:dyDescent="0.15"/>
    <row r="41974" hidden="1" x14ac:dyDescent="0.15"/>
    <row r="41975" hidden="1" x14ac:dyDescent="0.15"/>
    <row r="41976" hidden="1" x14ac:dyDescent="0.15"/>
    <row r="41977" hidden="1" x14ac:dyDescent="0.15"/>
    <row r="41978" hidden="1" x14ac:dyDescent="0.15"/>
    <row r="41979" hidden="1" x14ac:dyDescent="0.15"/>
    <row r="41980" hidden="1" x14ac:dyDescent="0.15"/>
    <row r="41981" hidden="1" x14ac:dyDescent="0.15"/>
    <row r="41982" hidden="1" x14ac:dyDescent="0.15"/>
    <row r="41983" hidden="1" x14ac:dyDescent="0.15"/>
    <row r="41984" hidden="1" x14ac:dyDescent="0.15"/>
    <row r="41985" hidden="1" x14ac:dyDescent="0.15"/>
    <row r="41986" hidden="1" x14ac:dyDescent="0.15"/>
    <row r="41987" hidden="1" x14ac:dyDescent="0.15"/>
    <row r="41988" hidden="1" x14ac:dyDescent="0.15"/>
    <row r="41989" hidden="1" x14ac:dyDescent="0.15"/>
    <row r="41990" hidden="1" x14ac:dyDescent="0.15"/>
    <row r="41991" hidden="1" x14ac:dyDescent="0.15"/>
    <row r="41992" hidden="1" x14ac:dyDescent="0.15"/>
    <row r="41993" hidden="1" x14ac:dyDescent="0.15"/>
    <row r="41994" hidden="1" x14ac:dyDescent="0.15"/>
    <row r="41995" hidden="1" x14ac:dyDescent="0.15"/>
    <row r="41996" hidden="1" x14ac:dyDescent="0.15"/>
    <row r="41997" hidden="1" x14ac:dyDescent="0.15"/>
    <row r="41998" hidden="1" x14ac:dyDescent="0.15"/>
    <row r="41999" hidden="1" x14ac:dyDescent="0.15"/>
    <row r="42000" hidden="1" x14ac:dyDescent="0.15"/>
    <row r="42001" hidden="1" x14ac:dyDescent="0.15"/>
    <row r="42002" hidden="1" x14ac:dyDescent="0.15"/>
    <row r="42003" hidden="1" x14ac:dyDescent="0.15"/>
    <row r="42004" hidden="1" x14ac:dyDescent="0.15"/>
    <row r="42005" hidden="1" x14ac:dyDescent="0.15"/>
    <row r="42006" hidden="1" x14ac:dyDescent="0.15"/>
    <row r="42007" hidden="1" x14ac:dyDescent="0.15"/>
    <row r="42008" hidden="1" x14ac:dyDescent="0.15"/>
    <row r="42009" hidden="1" x14ac:dyDescent="0.15"/>
    <row r="42010" hidden="1" x14ac:dyDescent="0.15"/>
    <row r="42011" hidden="1" x14ac:dyDescent="0.15"/>
    <row r="42012" hidden="1" x14ac:dyDescent="0.15"/>
    <row r="42013" hidden="1" x14ac:dyDescent="0.15"/>
    <row r="42014" hidden="1" x14ac:dyDescent="0.15"/>
    <row r="42015" hidden="1" x14ac:dyDescent="0.15"/>
    <row r="42016" hidden="1" x14ac:dyDescent="0.15"/>
    <row r="42017" hidden="1" x14ac:dyDescent="0.15"/>
    <row r="42018" hidden="1" x14ac:dyDescent="0.15"/>
    <row r="42019" hidden="1" x14ac:dyDescent="0.15"/>
    <row r="42020" hidden="1" x14ac:dyDescent="0.15"/>
    <row r="42021" hidden="1" x14ac:dyDescent="0.15"/>
    <row r="42022" hidden="1" x14ac:dyDescent="0.15"/>
    <row r="42023" hidden="1" x14ac:dyDescent="0.15"/>
    <row r="42024" hidden="1" x14ac:dyDescent="0.15"/>
    <row r="42025" hidden="1" x14ac:dyDescent="0.15"/>
    <row r="42026" hidden="1" x14ac:dyDescent="0.15"/>
    <row r="42027" hidden="1" x14ac:dyDescent="0.15"/>
    <row r="42028" hidden="1" x14ac:dyDescent="0.15"/>
    <row r="42029" hidden="1" x14ac:dyDescent="0.15"/>
    <row r="42030" hidden="1" x14ac:dyDescent="0.15"/>
    <row r="42031" hidden="1" x14ac:dyDescent="0.15"/>
    <row r="42032" hidden="1" x14ac:dyDescent="0.15"/>
    <row r="42033" hidden="1" x14ac:dyDescent="0.15"/>
    <row r="42034" hidden="1" x14ac:dyDescent="0.15"/>
    <row r="42035" hidden="1" x14ac:dyDescent="0.15"/>
    <row r="42036" hidden="1" x14ac:dyDescent="0.15"/>
    <row r="42037" hidden="1" x14ac:dyDescent="0.15"/>
    <row r="42038" hidden="1" x14ac:dyDescent="0.15"/>
    <row r="42039" hidden="1" x14ac:dyDescent="0.15"/>
    <row r="42040" hidden="1" x14ac:dyDescent="0.15"/>
    <row r="42041" hidden="1" x14ac:dyDescent="0.15"/>
    <row r="42042" hidden="1" x14ac:dyDescent="0.15"/>
    <row r="42043" hidden="1" x14ac:dyDescent="0.15"/>
    <row r="42044" hidden="1" x14ac:dyDescent="0.15"/>
    <row r="42045" hidden="1" x14ac:dyDescent="0.15"/>
    <row r="42046" hidden="1" x14ac:dyDescent="0.15"/>
    <row r="42047" hidden="1" x14ac:dyDescent="0.15"/>
    <row r="42048" hidden="1" x14ac:dyDescent="0.15"/>
    <row r="42049" hidden="1" x14ac:dyDescent="0.15"/>
    <row r="42050" hidden="1" x14ac:dyDescent="0.15"/>
    <row r="42051" hidden="1" x14ac:dyDescent="0.15"/>
    <row r="42052" hidden="1" x14ac:dyDescent="0.15"/>
    <row r="42053" hidden="1" x14ac:dyDescent="0.15"/>
    <row r="42054" hidden="1" x14ac:dyDescent="0.15"/>
    <row r="42055" hidden="1" x14ac:dyDescent="0.15"/>
    <row r="42056" hidden="1" x14ac:dyDescent="0.15"/>
    <row r="42057" hidden="1" x14ac:dyDescent="0.15"/>
    <row r="42058" hidden="1" x14ac:dyDescent="0.15"/>
    <row r="42059" hidden="1" x14ac:dyDescent="0.15"/>
    <row r="42060" hidden="1" x14ac:dyDescent="0.15"/>
    <row r="42061" hidden="1" x14ac:dyDescent="0.15"/>
    <row r="42062" hidden="1" x14ac:dyDescent="0.15"/>
    <row r="42063" hidden="1" x14ac:dyDescent="0.15"/>
    <row r="42064" hidden="1" x14ac:dyDescent="0.15"/>
    <row r="42065" hidden="1" x14ac:dyDescent="0.15"/>
    <row r="42066" hidden="1" x14ac:dyDescent="0.15"/>
    <row r="42067" hidden="1" x14ac:dyDescent="0.15"/>
    <row r="42068" hidden="1" x14ac:dyDescent="0.15"/>
    <row r="42069" hidden="1" x14ac:dyDescent="0.15"/>
    <row r="42070" hidden="1" x14ac:dyDescent="0.15"/>
    <row r="42071" hidden="1" x14ac:dyDescent="0.15"/>
    <row r="42072" hidden="1" x14ac:dyDescent="0.15"/>
    <row r="42073" hidden="1" x14ac:dyDescent="0.15"/>
    <row r="42074" hidden="1" x14ac:dyDescent="0.15"/>
    <row r="42075" hidden="1" x14ac:dyDescent="0.15"/>
    <row r="42076" hidden="1" x14ac:dyDescent="0.15"/>
    <row r="42077" hidden="1" x14ac:dyDescent="0.15"/>
    <row r="42078" hidden="1" x14ac:dyDescent="0.15"/>
    <row r="42079" hidden="1" x14ac:dyDescent="0.15"/>
    <row r="42080" hidden="1" x14ac:dyDescent="0.15"/>
    <row r="42081" hidden="1" x14ac:dyDescent="0.15"/>
    <row r="42082" hidden="1" x14ac:dyDescent="0.15"/>
    <row r="42083" hidden="1" x14ac:dyDescent="0.15"/>
    <row r="42084" hidden="1" x14ac:dyDescent="0.15"/>
    <row r="42085" hidden="1" x14ac:dyDescent="0.15"/>
    <row r="42086" hidden="1" x14ac:dyDescent="0.15"/>
    <row r="42087" hidden="1" x14ac:dyDescent="0.15"/>
    <row r="42088" hidden="1" x14ac:dyDescent="0.15"/>
    <row r="42089" hidden="1" x14ac:dyDescent="0.15"/>
    <row r="42090" hidden="1" x14ac:dyDescent="0.15"/>
    <row r="42091" hidden="1" x14ac:dyDescent="0.15"/>
    <row r="42092" hidden="1" x14ac:dyDescent="0.15"/>
    <row r="42093" hidden="1" x14ac:dyDescent="0.15"/>
    <row r="42094" hidden="1" x14ac:dyDescent="0.15"/>
    <row r="42095" hidden="1" x14ac:dyDescent="0.15"/>
    <row r="42096" hidden="1" x14ac:dyDescent="0.15"/>
    <row r="42097" hidden="1" x14ac:dyDescent="0.15"/>
    <row r="42098" hidden="1" x14ac:dyDescent="0.15"/>
    <row r="42099" hidden="1" x14ac:dyDescent="0.15"/>
    <row r="42100" hidden="1" x14ac:dyDescent="0.15"/>
    <row r="42101" hidden="1" x14ac:dyDescent="0.15"/>
    <row r="42102" hidden="1" x14ac:dyDescent="0.15"/>
    <row r="42103" hidden="1" x14ac:dyDescent="0.15"/>
    <row r="42104" hidden="1" x14ac:dyDescent="0.15"/>
    <row r="42105" hidden="1" x14ac:dyDescent="0.15"/>
    <row r="42106" hidden="1" x14ac:dyDescent="0.15"/>
    <row r="42107" hidden="1" x14ac:dyDescent="0.15"/>
    <row r="42108" hidden="1" x14ac:dyDescent="0.15"/>
    <row r="42109" hidden="1" x14ac:dyDescent="0.15"/>
    <row r="42110" hidden="1" x14ac:dyDescent="0.15"/>
    <row r="42111" hidden="1" x14ac:dyDescent="0.15"/>
    <row r="42112" hidden="1" x14ac:dyDescent="0.15"/>
    <row r="42113" hidden="1" x14ac:dyDescent="0.15"/>
    <row r="42114" hidden="1" x14ac:dyDescent="0.15"/>
    <row r="42115" hidden="1" x14ac:dyDescent="0.15"/>
    <row r="42116" hidden="1" x14ac:dyDescent="0.15"/>
    <row r="42117" hidden="1" x14ac:dyDescent="0.15"/>
    <row r="42118" hidden="1" x14ac:dyDescent="0.15"/>
    <row r="42119" hidden="1" x14ac:dyDescent="0.15"/>
    <row r="42120" hidden="1" x14ac:dyDescent="0.15"/>
    <row r="42121" hidden="1" x14ac:dyDescent="0.15"/>
    <row r="42122" hidden="1" x14ac:dyDescent="0.15"/>
    <row r="42123" hidden="1" x14ac:dyDescent="0.15"/>
    <row r="42124" hidden="1" x14ac:dyDescent="0.15"/>
    <row r="42125" hidden="1" x14ac:dyDescent="0.15"/>
    <row r="42126" hidden="1" x14ac:dyDescent="0.15"/>
    <row r="42127" hidden="1" x14ac:dyDescent="0.15"/>
    <row r="42128" hidden="1" x14ac:dyDescent="0.15"/>
    <row r="42129" hidden="1" x14ac:dyDescent="0.15"/>
    <row r="42130" hidden="1" x14ac:dyDescent="0.15"/>
    <row r="42131" hidden="1" x14ac:dyDescent="0.15"/>
    <row r="42132" hidden="1" x14ac:dyDescent="0.15"/>
    <row r="42133" hidden="1" x14ac:dyDescent="0.15"/>
    <row r="42134" hidden="1" x14ac:dyDescent="0.15"/>
    <row r="42135" hidden="1" x14ac:dyDescent="0.15"/>
    <row r="42136" hidden="1" x14ac:dyDescent="0.15"/>
    <row r="42137" hidden="1" x14ac:dyDescent="0.15"/>
    <row r="42138" hidden="1" x14ac:dyDescent="0.15"/>
    <row r="42139" hidden="1" x14ac:dyDescent="0.15"/>
    <row r="42140" hidden="1" x14ac:dyDescent="0.15"/>
    <row r="42141" hidden="1" x14ac:dyDescent="0.15"/>
    <row r="42142" hidden="1" x14ac:dyDescent="0.15"/>
    <row r="42143" hidden="1" x14ac:dyDescent="0.15"/>
    <row r="42144" hidden="1" x14ac:dyDescent="0.15"/>
    <row r="42145" hidden="1" x14ac:dyDescent="0.15"/>
    <row r="42146" hidden="1" x14ac:dyDescent="0.15"/>
    <row r="42147" hidden="1" x14ac:dyDescent="0.15"/>
    <row r="42148" hidden="1" x14ac:dyDescent="0.15"/>
    <row r="42149" hidden="1" x14ac:dyDescent="0.15"/>
    <row r="42150" hidden="1" x14ac:dyDescent="0.15"/>
    <row r="42151" hidden="1" x14ac:dyDescent="0.15"/>
    <row r="42152" hidden="1" x14ac:dyDescent="0.15"/>
    <row r="42153" hidden="1" x14ac:dyDescent="0.15"/>
    <row r="42154" hidden="1" x14ac:dyDescent="0.15"/>
    <row r="42155" hidden="1" x14ac:dyDescent="0.15"/>
    <row r="42156" hidden="1" x14ac:dyDescent="0.15"/>
    <row r="42157" hidden="1" x14ac:dyDescent="0.15"/>
    <row r="42158" hidden="1" x14ac:dyDescent="0.15"/>
    <row r="42159" hidden="1" x14ac:dyDescent="0.15"/>
    <row r="42160" hidden="1" x14ac:dyDescent="0.15"/>
    <row r="42161" hidden="1" x14ac:dyDescent="0.15"/>
    <row r="42162" hidden="1" x14ac:dyDescent="0.15"/>
    <row r="42163" hidden="1" x14ac:dyDescent="0.15"/>
    <row r="42164" hidden="1" x14ac:dyDescent="0.15"/>
    <row r="42165" hidden="1" x14ac:dyDescent="0.15"/>
    <row r="42166" hidden="1" x14ac:dyDescent="0.15"/>
    <row r="42167" hidden="1" x14ac:dyDescent="0.15"/>
    <row r="42168" hidden="1" x14ac:dyDescent="0.15"/>
    <row r="42169" hidden="1" x14ac:dyDescent="0.15"/>
    <row r="42170" hidden="1" x14ac:dyDescent="0.15"/>
    <row r="42171" hidden="1" x14ac:dyDescent="0.15"/>
    <row r="42172" hidden="1" x14ac:dyDescent="0.15"/>
    <row r="42173" hidden="1" x14ac:dyDescent="0.15"/>
    <row r="42174" hidden="1" x14ac:dyDescent="0.15"/>
    <row r="42175" hidden="1" x14ac:dyDescent="0.15"/>
    <row r="42176" hidden="1" x14ac:dyDescent="0.15"/>
    <row r="42177" hidden="1" x14ac:dyDescent="0.15"/>
    <row r="42178" hidden="1" x14ac:dyDescent="0.15"/>
    <row r="42179" hidden="1" x14ac:dyDescent="0.15"/>
    <row r="42180" hidden="1" x14ac:dyDescent="0.15"/>
    <row r="42181" hidden="1" x14ac:dyDescent="0.15"/>
    <row r="42182" hidden="1" x14ac:dyDescent="0.15"/>
    <row r="42183" hidden="1" x14ac:dyDescent="0.15"/>
    <row r="42184" hidden="1" x14ac:dyDescent="0.15"/>
    <row r="42185" hidden="1" x14ac:dyDescent="0.15"/>
    <row r="42186" hidden="1" x14ac:dyDescent="0.15"/>
    <row r="42187" hidden="1" x14ac:dyDescent="0.15"/>
    <row r="42188" hidden="1" x14ac:dyDescent="0.15"/>
    <row r="42189" hidden="1" x14ac:dyDescent="0.15"/>
    <row r="42190" hidden="1" x14ac:dyDescent="0.15"/>
    <row r="42191" hidden="1" x14ac:dyDescent="0.15"/>
    <row r="42192" hidden="1" x14ac:dyDescent="0.15"/>
    <row r="42193" hidden="1" x14ac:dyDescent="0.15"/>
    <row r="42194" hidden="1" x14ac:dyDescent="0.15"/>
    <row r="42195" hidden="1" x14ac:dyDescent="0.15"/>
    <row r="42196" hidden="1" x14ac:dyDescent="0.15"/>
    <row r="42197" hidden="1" x14ac:dyDescent="0.15"/>
    <row r="42198" hidden="1" x14ac:dyDescent="0.15"/>
    <row r="42199" hidden="1" x14ac:dyDescent="0.15"/>
    <row r="42200" hidden="1" x14ac:dyDescent="0.15"/>
    <row r="42201" hidden="1" x14ac:dyDescent="0.15"/>
    <row r="42202" hidden="1" x14ac:dyDescent="0.15"/>
    <row r="42203" hidden="1" x14ac:dyDescent="0.15"/>
    <row r="42204" hidden="1" x14ac:dyDescent="0.15"/>
    <row r="42205" hidden="1" x14ac:dyDescent="0.15"/>
    <row r="42206" hidden="1" x14ac:dyDescent="0.15"/>
    <row r="42207" hidden="1" x14ac:dyDescent="0.15"/>
    <row r="42208" hidden="1" x14ac:dyDescent="0.15"/>
    <row r="42209" hidden="1" x14ac:dyDescent="0.15"/>
    <row r="42210" hidden="1" x14ac:dyDescent="0.15"/>
    <row r="42211" hidden="1" x14ac:dyDescent="0.15"/>
    <row r="42212" hidden="1" x14ac:dyDescent="0.15"/>
    <row r="42213" hidden="1" x14ac:dyDescent="0.15"/>
    <row r="42214" hidden="1" x14ac:dyDescent="0.15"/>
    <row r="42215" hidden="1" x14ac:dyDescent="0.15"/>
    <row r="42216" hidden="1" x14ac:dyDescent="0.15"/>
    <row r="42217" hidden="1" x14ac:dyDescent="0.15"/>
    <row r="42218" hidden="1" x14ac:dyDescent="0.15"/>
    <row r="42219" hidden="1" x14ac:dyDescent="0.15"/>
    <row r="42220" hidden="1" x14ac:dyDescent="0.15"/>
    <row r="42221" hidden="1" x14ac:dyDescent="0.15"/>
    <row r="42222" hidden="1" x14ac:dyDescent="0.15"/>
    <row r="42223" hidden="1" x14ac:dyDescent="0.15"/>
    <row r="42224" hidden="1" x14ac:dyDescent="0.15"/>
    <row r="42225" hidden="1" x14ac:dyDescent="0.15"/>
    <row r="42226" hidden="1" x14ac:dyDescent="0.15"/>
    <row r="42227" hidden="1" x14ac:dyDescent="0.15"/>
    <row r="42228" hidden="1" x14ac:dyDescent="0.15"/>
    <row r="42229" hidden="1" x14ac:dyDescent="0.15"/>
    <row r="42230" hidden="1" x14ac:dyDescent="0.15"/>
    <row r="42231" hidden="1" x14ac:dyDescent="0.15"/>
    <row r="42232" hidden="1" x14ac:dyDescent="0.15"/>
    <row r="42233" hidden="1" x14ac:dyDescent="0.15"/>
    <row r="42234" hidden="1" x14ac:dyDescent="0.15"/>
    <row r="42235" hidden="1" x14ac:dyDescent="0.15"/>
    <row r="42236" hidden="1" x14ac:dyDescent="0.15"/>
    <row r="42237" hidden="1" x14ac:dyDescent="0.15"/>
    <row r="42238" hidden="1" x14ac:dyDescent="0.15"/>
    <row r="42239" hidden="1" x14ac:dyDescent="0.15"/>
    <row r="42240" hidden="1" x14ac:dyDescent="0.15"/>
    <row r="42241" hidden="1" x14ac:dyDescent="0.15"/>
    <row r="42242" hidden="1" x14ac:dyDescent="0.15"/>
    <row r="42243" hidden="1" x14ac:dyDescent="0.15"/>
    <row r="42244" hidden="1" x14ac:dyDescent="0.15"/>
    <row r="42245" hidden="1" x14ac:dyDescent="0.15"/>
    <row r="42246" hidden="1" x14ac:dyDescent="0.15"/>
    <row r="42247" hidden="1" x14ac:dyDescent="0.15"/>
    <row r="42248" hidden="1" x14ac:dyDescent="0.15"/>
    <row r="42249" hidden="1" x14ac:dyDescent="0.15"/>
    <row r="42250" hidden="1" x14ac:dyDescent="0.15"/>
    <row r="42251" hidden="1" x14ac:dyDescent="0.15"/>
    <row r="42252" hidden="1" x14ac:dyDescent="0.15"/>
    <row r="42253" hidden="1" x14ac:dyDescent="0.15"/>
    <row r="42254" hidden="1" x14ac:dyDescent="0.15"/>
    <row r="42255" hidden="1" x14ac:dyDescent="0.15"/>
    <row r="42256" hidden="1" x14ac:dyDescent="0.15"/>
    <row r="42257" hidden="1" x14ac:dyDescent="0.15"/>
    <row r="42258" hidden="1" x14ac:dyDescent="0.15"/>
    <row r="42259" hidden="1" x14ac:dyDescent="0.15"/>
    <row r="42260" hidden="1" x14ac:dyDescent="0.15"/>
    <row r="42261" hidden="1" x14ac:dyDescent="0.15"/>
    <row r="42262" hidden="1" x14ac:dyDescent="0.15"/>
    <row r="42263" hidden="1" x14ac:dyDescent="0.15"/>
    <row r="42264" hidden="1" x14ac:dyDescent="0.15"/>
    <row r="42265" hidden="1" x14ac:dyDescent="0.15"/>
    <row r="42266" hidden="1" x14ac:dyDescent="0.15"/>
    <row r="42267" hidden="1" x14ac:dyDescent="0.15"/>
    <row r="42268" hidden="1" x14ac:dyDescent="0.15"/>
    <row r="42269" hidden="1" x14ac:dyDescent="0.15"/>
    <row r="42270" hidden="1" x14ac:dyDescent="0.15"/>
    <row r="42271" hidden="1" x14ac:dyDescent="0.15"/>
    <row r="42272" hidden="1" x14ac:dyDescent="0.15"/>
    <row r="42273" hidden="1" x14ac:dyDescent="0.15"/>
    <row r="42274" hidden="1" x14ac:dyDescent="0.15"/>
    <row r="42275" hidden="1" x14ac:dyDescent="0.15"/>
    <row r="42276" hidden="1" x14ac:dyDescent="0.15"/>
    <row r="42277" hidden="1" x14ac:dyDescent="0.15"/>
    <row r="42278" hidden="1" x14ac:dyDescent="0.15"/>
    <row r="42279" hidden="1" x14ac:dyDescent="0.15"/>
    <row r="42280" hidden="1" x14ac:dyDescent="0.15"/>
    <row r="42281" hidden="1" x14ac:dyDescent="0.15"/>
    <row r="42282" hidden="1" x14ac:dyDescent="0.15"/>
    <row r="42283" hidden="1" x14ac:dyDescent="0.15"/>
    <row r="42284" hidden="1" x14ac:dyDescent="0.15"/>
    <row r="42285" hidden="1" x14ac:dyDescent="0.15"/>
    <row r="42286" hidden="1" x14ac:dyDescent="0.15"/>
    <row r="42287" hidden="1" x14ac:dyDescent="0.15"/>
    <row r="42288" hidden="1" x14ac:dyDescent="0.15"/>
    <row r="42289" hidden="1" x14ac:dyDescent="0.15"/>
    <row r="42290" hidden="1" x14ac:dyDescent="0.15"/>
    <row r="42291" hidden="1" x14ac:dyDescent="0.15"/>
    <row r="42292" hidden="1" x14ac:dyDescent="0.15"/>
    <row r="42293" hidden="1" x14ac:dyDescent="0.15"/>
    <row r="42294" hidden="1" x14ac:dyDescent="0.15"/>
    <row r="42295" hidden="1" x14ac:dyDescent="0.15"/>
    <row r="42296" hidden="1" x14ac:dyDescent="0.15"/>
    <row r="42297" hidden="1" x14ac:dyDescent="0.15"/>
    <row r="42298" hidden="1" x14ac:dyDescent="0.15"/>
    <row r="42299" hidden="1" x14ac:dyDescent="0.15"/>
    <row r="42300" hidden="1" x14ac:dyDescent="0.15"/>
    <row r="42301" hidden="1" x14ac:dyDescent="0.15"/>
    <row r="42302" hidden="1" x14ac:dyDescent="0.15"/>
    <row r="42303" hidden="1" x14ac:dyDescent="0.15"/>
    <row r="42304" hidden="1" x14ac:dyDescent="0.15"/>
    <row r="42305" hidden="1" x14ac:dyDescent="0.15"/>
    <row r="42306" hidden="1" x14ac:dyDescent="0.15"/>
    <row r="42307" hidden="1" x14ac:dyDescent="0.15"/>
    <row r="42308" hidden="1" x14ac:dyDescent="0.15"/>
    <row r="42309" hidden="1" x14ac:dyDescent="0.15"/>
    <row r="42310" hidden="1" x14ac:dyDescent="0.15"/>
    <row r="42311" hidden="1" x14ac:dyDescent="0.15"/>
    <row r="42312" hidden="1" x14ac:dyDescent="0.15"/>
    <row r="42313" hidden="1" x14ac:dyDescent="0.15"/>
    <row r="42314" hidden="1" x14ac:dyDescent="0.15"/>
    <row r="42315" hidden="1" x14ac:dyDescent="0.15"/>
    <row r="42316" hidden="1" x14ac:dyDescent="0.15"/>
    <row r="42317" hidden="1" x14ac:dyDescent="0.15"/>
    <row r="42318" hidden="1" x14ac:dyDescent="0.15"/>
    <row r="42319" hidden="1" x14ac:dyDescent="0.15"/>
    <row r="42320" hidden="1" x14ac:dyDescent="0.15"/>
    <row r="42321" hidden="1" x14ac:dyDescent="0.15"/>
    <row r="42322" hidden="1" x14ac:dyDescent="0.15"/>
    <row r="42323" hidden="1" x14ac:dyDescent="0.15"/>
    <row r="42324" hidden="1" x14ac:dyDescent="0.15"/>
    <row r="42325" hidden="1" x14ac:dyDescent="0.15"/>
    <row r="42326" hidden="1" x14ac:dyDescent="0.15"/>
    <row r="42327" hidden="1" x14ac:dyDescent="0.15"/>
    <row r="42328" hidden="1" x14ac:dyDescent="0.15"/>
    <row r="42329" hidden="1" x14ac:dyDescent="0.15"/>
    <row r="42330" hidden="1" x14ac:dyDescent="0.15"/>
    <row r="42331" hidden="1" x14ac:dyDescent="0.15"/>
    <row r="42332" hidden="1" x14ac:dyDescent="0.15"/>
    <row r="42333" hidden="1" x14ac:dyDescent="0.15"/>
    <row r="42334" hidden="1" x14ac:dyDescent="0.15"/>
    <row r="42335" hidden="1" x14ac:dyDescent="0.15"/>
    <row r="42336" hidden="1" x14ac:dyDescent="0.15"/>
    <row r="42337" hidden="1" x14ac:dyDescent="0.15"/>
    <row r="42338" hidden="1" x14ac:dyDescent="0.15"/>
    <row r="42339" hidden="1" x14ac:dyDescent="0.15"/>
    <row r="42340" hidden="1" x14ac:dyDescent="0.15"/>
    <row r="42341" hidden="1" x14ac:dyDescent="0.15"/>
    <row r="42342" hidden="1" x14ac:dyDescent="0.15"/>
    <row r="42343" hidden="1" x14ac:dyDescent="0.15"/>
    <row r="42344" hidden="1" x14ac:dyDescent="0.15"/>
    <row r="42345" hidden="1" x14ac:dyDescent="0.15"/>
    <row r="42346" hidden="1" x14ac:dyDescent="0.15"/>
    <row r="42347" hidden="1" x14ac:dyDescent="0.15"/>
    <row r="42348" hidden="1" x14ac:dyDescent="0.15"/>
    <row r="42349" hidden="1" x14ac:dyDescent="0.15"/>
    <row r="42350" hidden="1" x14ac:dyDescent="0.15"/>
    <row r="42351" hidden="1" x14ac:dyDescent="0.15"/>
    <row r="42352" hidden="1" x14ac:dyDescent="0.15"/>
    <row r="42353" hidden="1" x14ac:dyDescent="0.15"/>
    <row r="42354" hidden="1" x14ac:dyDescent="0.15"/>
    <row r="42355" hidden="1" x14ac:dyDescent="0.15"/>
    <row r="42356" hidden="1" x14ac:dyDescent="0.15"/>
    <row r="42357" hidden="1" x14ac:dyDescent="0.15"/>
    <row r="42358" hidden="1" x14ac:dyDescent="0.15"/>
    <row r="42359" hidden="1" x14ac:dyDescent="0.15"/>
    <row r="42360" hidden="1" x14ac:dyDescent="0.15"/>
    <row r="42361" hidden="1" x14ac:dyDescent="0.15"/>
    <row r="42362" hidden="1" x14ac:dyDescent="0.15"/>
    <row r="42363" hidden="1" x14ac:dyDescent="0.15"/>
    <row r="42364" hidden="1" x14ac:dyDescent="0.15"/>
    <row r="42365" hidden="1" x14ac:dyDescent="0.15"/>
    <row r="42366" hidden="1" x14ac:dyDescent="0.15"/>
    <row r="42367" hidden="1" x14ac:dyDescent="0.15"/>
    <row r="42368" hidden="1" x14ac:dyDescent="0.15"/>
    <row r="42369" hidden="1" x14ac:dyDescent="0.15"/>
    <row r="42370" hidden="1" x14ac:dyDescent="0.15"/>
    <row r="42371" hidden="1" x14ac:dyDescent="0.15"/>
    <row r="42372" hidden="1" x14ac:dyDescent="0.15"/>
    <row r="42373" hidden="1" x14ac:dyDescent="0.15"/>
    <row r="42374" hidden="1" x14ac:dyDescent="0.15"/>
    <row r="42375" hidden="1" x14ac:dyDescent="0.15"/>
    <row r="42376" hidden="1" x14ac:dyDescent="0.15"/>
    <row r="42377" hidden="1" x14ac:dyDescent="0.15"/>
    <row r="42378" hidden="1" x14ac:dyDescent="0.15"/>
    <row r="42379" hidden="1" x14ac:dyDescent="0.15"/>
    <row r="42380" hidden="1" x14ac:dyDescent="0.15"/>
    <row r="42381" hidden="1" x14ac:dyDescent="0.15"/>
    <row r="42382" hidden="1" x14ac:dyDescent="0.15"/>
    <row r="42383" hidden="1" x14ac:dyDescent="0.15"/>
    <row r="42384" hidden="1" x14ac:dyDescent="0.15"/>
    <row r="42385" hidden="1" x14ac:dyDescent="0.15"/>
    <row r="42386" hidden="1" x14ac:dyDescent="0.15"/>
    <row r="42387" hidden="1" x14ac:dyDescent="0.15"/>
    <row r="42388" hidden="1" x14ac:dyDescent="0.15"/>
    <row r="42389" hidden="1" x14ac:dyDescent="0.15"/>
    <row r="42390" hidden="1" x14ac:dyDescent="0.15"/>
    <row r="42391" hidden="1" x14ac:dyDescent="0.15"/>
    <row r="42392" hidden="1" x14ac:dyDescent="0.15"/>
    <row r="42393" hidden="1" x14ac:dyDescent="0.15"/>
    <row r="42394" hidden="1" x14ac:dyDescent="0.15"/>
    <row r="42395" hidden="1" x14ac:dyDescent="0.15"/>
    <row r="42396" hidden="1" x14ac:dyDescent="0.15"/>
    <row r="42397" hidden="1" x14ac:dyDescent="0.15"/>
    <row r="42398" hidden="1" x14ac:dyDescent="0.15"/>
    <row r="42399" hidden="1" x14ac:dyDescent="0.15"/>
    <row r="42400" hidden="1" x14ac:dyDescent="0.15"/>
    <row r="42401" hidden="1" x14ac:dyDescent="0.15"/>
    <row r="42402" hidden="1" x14ac:dyDescent="0.15"/>
    <row r="42403" hidden="1" x14ac:dyDescent="0.15"/>
    <row r="42404" hidden="1" x14ac:dyDescent="0.15"/>
    <row r="42405" hidden="1" x14ac:dyDescent="0.15"/>
    <row r="42406" hidden="1" x14ac:dyDescent="0.15"/>
    <row r="42407" hidden="1" x14ac:dyDescent="0.15"/>
    <row r="42408" hidden="1" x14ac:dyDescent="0.15"/>
    <row r="42409" hidden="1" x14ac:dyDescent="0.15"/>
    <row r="42410" hidden="1" x14ac:dyDescent="0.15"/>
    <row r="42411" hidden="1" x14ac:dyDescent="0.15"/>
    <row r="42412" hidden="1" x14ac:dyDescent="0.15"/>
    <row r="42413" hidden="1" x14ac:dyDescent="0.15"/>
    <row r="42414" hidden="1" x14ac:dyDescent="0.15"/>
    <row r="42415" hidden="1" x14ac:dyDescent="0.15"/>
    <row r="42416" hidden="1" x14ac:dyDescent="0.15"/>
    <row r="42417" hidden="1" x14ac:dyDescent="0.15"/>
    <row r="42418" hidden="1" x14ac:dyDescent="0.15"/>
    <row r="42419" hidden="1" x14ac:dyDescent="0.15"/>
    <row r="42420" hidden="1" x14ac:dyDescent="0.15"/>
    <row r="42421" hidden="1" x14ac:dyDescent="0.15"/>
    <row r="42422" hidden="1" x14ac:dyDescent="0.15"/>
    <row r="42423" hidden="1" x14ac:dyDescent="0.15"/>
    <row r="42424" hidden="1" x14ac:dyDescent="0.15"/>
    <row r="42425" hidden="1" x14ac:dyDescent="0.15"/>
    <row r="42426" hidden="1" x14ac:dyDescent="0.15"/>
    <row r="42427" hidden="1" x14ac:dyDescent="0.15"/>
    <row r="42428" hidden="1" x14ac:dyDescent="0.15"/>
    <row r="42429" hidden="1" x14ac:dyDescent="0.15"/>
    <row r="42430" hidden="1" x14ac:dyDescent="0.15"/>
    <row r="42431" hidden="1" x14ac:dyDescent="0.15"/>
    <row r="42432" hidden="1" x14ac:dyDescent="0.15"/>
    <row r="42433" hidden="1" x14ac:dyDescent="0.15"/>
    <row r="42434" hidden="1" x14ac:dyDescent="0.15"/>
    <row r="42435" hidden="1" x14ac:dyDescent="0.15"/>
    <row r="42436" hidden="1" x14ac:dyDescent="0.15"/>
    <row r="42437" hidden="1" x14ac:dyDescent="0.15"/>
    <row r="42438" hidden="1" x14ac:dyDescent="0.15"/>
    <row r="42439" hidden="1" x14ac:dyDescent="0.15"/>
    <row r="42440" hidden="1" x14ac:dyDescent="0.15"/>
    <row r="42441" hidden="1" x14ac:dyDescent="0.15"/>
    <row r="42442" hidden="1" x14ac:dyDescent="0.15"/>
    <row r="42443" hidden="1" x14ac:dyDescent="0.15"/>
    <row r="42444" hidden="1" x14ac:dyDescent="0.15"/>
    <row r="42445" hidden="1" x14ac:dyDescent="0.15"/>
    <row r="42446" hidden="1" x14ac:dyDescent="0.15"/>
    <row r="42447" hidden="1" x14ac:dyDescent="0.15"/>
    <row r="42448" hidden="1" x14ac:dyDescent="0.15"/>
    <row r="42449" hidden="1" x14ac:dyDescent="0.15"/>
    <row r="42450" hidden="1" x14ac:dyDescent="0.15"/>
    <row r="42451" hidden="1" x14ac:dyDescent="0.15"/>
    <row r="42452" hidden="1" x14ac:dyDescent="0.15"/>
    <row r="42453" hidden="1" x14ac:dyDescent="0.15"/>
    <row r="42454" hidden="1" x14ac:dyDescent="0.15"/>
    <row r="42455" hidden="1" x14ac:dyDescent="0.15"/>
    <row r="42456" hidden="1" x14ac:dyDescent="0.15"/>
    <row r="42457" hidden="1" x14ac:dyDescent="0.15"/>
    <row r="42458" hidden="1" x14ac:dyDescent="0.15"/>
    <row r="42459" hidden="1" x14ac:dyDescent="0.15"/>
    <row r="42460" hidden="1" x14ac:dyDescent="0.15"/>
    <row r="42461" hidden="1" x14ac:dyDescent="0.15"/>
    <row r="42462" hidden="1" x14ac:dyDescent="0.15"/>
    <row r="42463" hidden="1" x14ac:dyDescent="0.15"/>
    <row r="42464" hidden="1" x14ac:dyDescent="0.15"/>
    <row r="42465" hidden="1" x14ac:dyDescent="0.15"/>
    <row r="42466" hidden="1" x14ac:dyDescent="0.15"/>
    <row r="42467" hidden="1" x14ac:dyDescent="0.15"/>
    <row r="42468" hidden="1" x14ac:dyDescent="0.15"/>
    <row r="42469" hidden="1" x14ac:dyDescent="0.15"/>
    <row r="42470" hidden="1" x14ac:dyDescent="0.15"/>
    <row r="42471" hidden="1" x14ac:dyDescent="0.15"/>
    <row r="42472" hidden="1" x14ac:dyDescent="0.15"/>
    <row r="42473" hidden="1" x14ac:dyDescent="0.15"/>
    <row r="42474" hidden="1" x14ac:dyDescent="0.15"/>
    <row r="42475" hidden="1" x14ac:dyDescent="0.15"/>
    <row r="42476" hidden="1" x14ac:dyDescent="0.15"/>
    <row r="42477" hidden="1" x14ac:dyDescent="0.15"/>
    <row r="42478" hidden="1" x14ac:dyDescent="0.15"/>
    <row r="42479" hidden="1" x14ac:dyDescent="0.15"/>
    <row r="42480" hidden="1" x14ac:dyDescent="0.15"/>
    <row r="42481" hidden="1" x14ac:dyDescent="0.15"/>
    <row r="42482" hidden="1" x14ac:dyDescent="0.15"/>
    <row r="42483" hidden="1" x14ac:dyDescent="0.15"/>
    <row r="42484" hidden="1" x14ac:dyDescent="0.15"/>
    <row r="42485" hidden="1" x14ac:dyDescent="0.15"/>
    <row r="42486" hidden="1" x14ac:dyDescent="0.15"/>
    <row r="42487" hidden="1" x14ac:dyDescent="0.15"/>
    <row r="42488" hidden="1" x14ac:dyDescent="0.15"/>
    <row r="42489" hidden="1" x14ac:dyDescent="0.15"/>
    <row r="42490" hidden="1" x14ac:dyDescent="0.15"/>
    <row r="42491" hidden="1" x14ac:dyDescent="0.15"/>
    <row r="42492" hidden="1" x14ac:dyDescent="0.15"/>
    <row r="42493" hidden="1" x14ac:dyDescent="0.15"/>
    <row r="42494" hidden="1" x14ac:dyDescent="0.15"/>
    <row r="42495" hidden="1" x14ac:dyDescent="0.15"/>
    <row r="42496" hidden="1" x14ac:dyDescent="0.15"/>
    <row r="42497" hidden="1" x14ac:dyDescent="0.15"/>
    <row r="42498" hidden="1" x14ac:dyDescent="0.15"/>
    <row r="42499" hidden="1" x14ac:dyDescent="0.15"/>
    <row r="42500" hidden="1" x14ac:dyDescent="0.15"/>
    <row r="42501" hidden="1" x14ac:dyDescent="0.15"/>
    <row r="42502" hidden="1" x14ac:dyDescent="0.15"/>
    <row r="42503" hidden="1" x14ac:dyDescent="0.15"/>
    <row r="42504" hidden="1" x14ac:dyDescent="0.15"/>
    <row r="42505" hidden="1" x14ac:dyDescent="0.15"/>
    <row r="42506" hidden="1" x14ac:dyDescent="0.15"/>
    <row r="42507" hidden="1" x14ac:dyDescent="0.15"/>
    <row r="42508" hidden="1" x14ac:dyDescent="0.15"/>
    <row r="42509" hidden="1" x14ac:dyDescent="0.15"/>
    <row r="42510" hidden="1" x14ac:dyDescent="0.15"/>
    <row r="42511" hidden="1" x14ac:dyDescent="0.15"/>
    <row r="42512" hidden="1" x14ac:dyDescent="0.15"/>
    <row r="42513" hidden="1" x14ac:dyDescent="0.15"/>
    <row r="42514" hidden="1" x14ac:dyDescent="0.15"/>
    <row r="42515" hidden="1" x14ac:dyDescent="0.15"/>
    <row r="42516" hidden="1" x14ac:dyDescent="0.15"/>
    <row r="42517" hidden="1" x14ac:dyDescent="0.15"/>
    <row r="42518" hidden="1" x14ac:dyDescent="0.15"/>
    <row r="42519" hidden="1" x14ac:dyDescent="0.15"/>
    <row r="42520" hidden="1" x14ac:dyDescent="0.15"/>
    <row r="42521" hidden="1" x14ac:dyDescent="0.15"/>
    <row r="42522" hidden="1" x14ac:dyDescent="0.15"/>
    <row r="42523" hidden="1" x14ac:dyDescent="0.15"/>
    <row r="42524" hidden="1" x14ac:dyDescent="0.15"/>
    <row r="42525" hidden="1" x14ac:dyDescent="0.15"/>
    <row r="42526" hidden="1" x14ac:dyDescent="0.15"/>
    <row r="42527" hidden="1" x14ac:dyDescent="0.15"/>
    <row r="42528" hidden="1" x14ac:dyDescent="0.15"/>
    <row r="42529" hidden="1" x14ac:dyDescent="0.15"/>
    <row r="42530" hidden="1" x14ac:dyDescent="0.15"/>
    <row r="42531" hidden="1" x14ac:dyDescent="0.15"/>
    <row r="42532" hidden="1" x14ac:dyDescent="0.15"/>
    <row r="42533" hidden="1" x14ac:dyDescent="0.15"/>
    <row r="42534" hidden="1" x14ac:dyDescent="0.15"/>
    <row r="42535" hidden="1" x14ac:dyDescent="0.15"/>
    <row r="42536" hidden="1" x14ac:dyDescent="0.15"/>
    <row r="42537" hidden="1" x14ac:dyDescent="0.15"/>
    <row r="42538" hidden="1" x14ac:dyDescent="0.15"/>
    <row r="42539" hidden="1" x14ac:dyDescent="0.15"/>
    <row r="42540" hidden="1" x14ac:dyDescent="0.15"/>
    <row r="42541" hidden="1" x14ac:dyDescent="0.15"/>
    <row r="42542" hidden="1" x14ac:dyDescent="0.15"/>
    <row r="42543" hidden="1" x14ac:dyDescent="0.15"/>
    <row r="42544" hidden="1" x14ac:dyDescent="0.15"/>
    <row r="42545" hidden="1" x14ac:dyDescent="0.15"/>
    <row r="42546" hidden="1" x14ac:dyDescent="0.15"/>
    <row r="42547" hidden="1" x14ac:dyDescent="0.15"/>
    <row r="42548" hidden="1" x14ac:dyDescent="0.15"/>
    <row r="42549" hidden="1" x14ac:dyDescent="0.15"/>
    <row r="42550" hidden="1" x14ac:dyDescent="0.15"/>
    <row r="42551" hidden="1" x14ac:dyDescent="0.15"/>
    <row r="42552" hidden="1" x14ac:dyDescent="0.15"/>
    <row r="42553" hidden="1" x14ac:dyDescent="0.15"/>
    <row r="42554" hidden="1" x14ac:dyDescent="0.15"/>
    <row r="42555" hidden="1" x14ac:dyDescent="0.15"/>
    <row r="42556" hidden="1" x14ac:dyDescent="0.15"/>
    <row r="42557" hidden="1" x14ac:dyDescent="0.15"/>
    <row r="42558" hidden="1" x14ac:dyDescent="0.15"/>
    <row r="42559" hidden="1" x14ac:dyDescent="0.15"/>
    <row r="42560" hidden="1" x14ac:dyDescent="0.15"/>
    <row r="42561" hidden="1" x14ac:dyDescent="0.15"/>
    <row r="42562" hidden="1" x14ac:dyDescent="0.15"/>
    <row r="42563" hidden="1" x14ac:dyDescent="0.15"/>
    <row r="42564" hidden="1" x14ac:dyDescent="0.15"/>
    <row r="42565" hidden="1" x14ac:dyDescent="0.15"/>
    <row r="42566" hidden="1" x14ac:dyDescent="0.15"/>
    <row r="42567" hidden="1" x14ac:dyDescent="0.15"/>
    <row r="42568" hidden="1" x14ac:dyDescent="0.15"/>
    <row r="42569" hidden="1" x14ac:dyDescent="0.15"/>
    <row r="42570" hidden="1" x14ac:dyDescent="0.15"/>
    <row r="42571" hidden="1" x14ac:dyDescent="0.15"/>
    <row r="42572" hidden="1" x14ac:dyDescent="0.15"/>
    <row r="42573" hidden="1" x14ac:dyDescent="0.15"/>
    <row r="42574" hidden="1" x14ac:dyDescent="0.15"/>
    <row r="42575" hidden="1" x14ac:dyDescent="0.15"/>
    <row r="42576" hidden="1" x14ac:dyDescent="0.15"/>
    <row r="42577" hidden="1" x14ac:dyDescent="0.15"/>
    <row r="42578" hidden="1" x14ac:dyDescent="0.15"/>
    <row r="42579" hidden="1" x14ac:dyDescent="0.15"/>
    <row r="42580" hidden="1" x14ac:dyDescent="0.15"/>
    <row r="42581" hidden="1" x14ac:dyDescent="0.15"/>
    <row r="42582" hidden="1" x14ac:dyDescent="0.15"/>
    <row r="42583" hidden="1" x14ac:dyDescent="0.15"/>
    <row r="42584" hidden="1" x14ac:dyDescent="0.15"/>
    <row r="42585" hidden="1" x14ac:dyDescent="0.15"/>
    <row r="42586" hidden="1" x14ac:dyDescent="0.15"/>
    <row r="42587" hidden="1" x14ac:dyDescent="0.15"/>
    <row r="42588" hidden="1" x14ac:dyDescent="0.15"/>
    <row r="42589" hidden="1" x14ac:dyDescent="0.15"/>
    <row r="42590" hidden="1" x14ac:dyDescent="0.15"/>
    <row r="42591" hidden="1" x14ac:dyDescent="0.15"/>
    <row r="42592" hidden="1" x14ac:dyDescent="0.15"/>
    <row r="42593" hidden="1" x14ac:dyDescent="0.15"/>
    <row r="42594" hidden="1" x14ac:dyDescent="0.15"/>
    <row r="42595" hidden="1" x14ac:dyDescent="0.15"/>
    <row r="42596" hidden="1" x14ac:dyDescent="0.15"/>
    <row r="42597" hidden="1" x14ac:dyDescent="0.15"/>
    <row r="42598" hidden="1" x14ac:dyDescent="0.15"/>
    <row r="42599" hidden="1" x14ac:dyDescent="0.15"/>
    <row r="42600" hidden="1" x14ac:dyDescent="0.15"/>
    <row r="42601" hidden="1" x14ac:dyDescent="0.15"/>
    <row r="42602" hidden="1" x14ac:dyDescent="0.15"/>
    <row r="42603" hidden="1" x14ac:dyDescent="0.15"/>
    <row r="42604" hidden="1" x14ac:dyDescent="0.15"/>
    <row r="42605" hidden="1" x14ac:dyDescent="0.15"/>
    <row r="42606" hidden="1" x14ac:dyDescent="0.15"/>
    <row r="42607" hidden="1" x14ac:dyDescent="0.15"/>
    <row r="42608" hidden="1" x14ac:dyDescent="0.15"/>
    <row r="42609" hidden="1" x14ac:dyDescent="0.15"/>
    <row r="42610" hidden="1" x14ac:dyDescent="0.15"/>
    <row r="42611" hidden="1" x14ac:dyDescent="0.15"/>
    <row r="42612" hidden="1" x14ac:dyDescent="0.15"/>
    <row r="42613" hidden="1" x14ac:dyDescent="0.15"/>
    <row r="42614" hidden="1" x14ac:dyDescent="0.15"/>
    <row r="42615" hidden="1" x14ac:dyDescent="0.15"/>
    <row r="42616" hidden="1" x14ac:dyDescent="0.15"/>
    <row r="42617" hidden="1" x14ac:dyDescent="0.15"/>
    <row r="42618" hidden="1" x14ac:dyDescent="0.15"/>
    <row r="42619" hidden="1" x14ac:dyDescent="0.15"/>
    <row r="42620" hidden="1" x14ac:dyDescent="0.15"/>
    <row r="42621" hidden="1" x14ac:dyDescent="0.15"/>
    <row r="42622" hidden="1" x14ac:dyDescent="0.15"/>
    <row r="42623" hidden="1" x14ac:dyDescent="0.15"/>
    <row r="42624" hidden="1" x14ac:dyDescent="0.15"/>
    <row r="42625" hidden="1" x14ac:dyDescent="0.15"/>
    <row r="42626" hidden="1" x14ac:dyDescent="0.15"/>
    <row r="42627" hidden="1" x14ac:dyDescent="0.15"/>
    <row r="42628" hidden="1" x14ac:dyDescent="0.15"/>
    <row r="42629" hidden="1" x14ac:dyDescent="0.15"/>
    <row r="42630" hidden="1" x14ac:dyDescent="0.15"/>
    <row r="42631" hidden="1" x14ac:dyDescent="0.15"/>
    <row r="42632" hidden="1" x14ac:dyDescent="0.15"/>
    <row r="42633" hidden="1" x14ac:dyDescent="0.15"/>
    <row r="42634" hidden="1" x14ac:dyDescent="0.15"/>
    <row r="42635" hidden="1" x14ac:dyDescent="0.15"/>
    <row r="42636" hidden="1" x14ac:dyDescent="0.15"/>
    <row r="42637" hidden="1" x14ac:dyDescent="0.15"/>
    <row r="42638" hidden="1" x14ac:dyDescent="0.15"/>
    <row r="42639" hidden="1" x14ac:dyDescent="0.15"/>
    <row r="42640" hidden="1" x14ac:dyDescent="0.15"/>
    <row r="42641" hidden="1" x14ac:dyDescent="0.15"/>
    <row r="42642" hidden="1" x14ac:dyDescent="0.15"/>
    <row r="42643" hidden="1" x14ac:dyDescent="0.15"/>
    <row r="42644" hidden="1" x14ac:dyDescent="0.15"/>
    <row r="42645" hidden="1" x14ac:dyDescent="0.15"/>
    <row r="42646" hidden="1" x14ac:dyDescent="0.15"/>
    <row r="42647" hidden="1" x14ac:dyDescent="0.15"/>
    <row r="42648" hidden="1" x14ac:dyDescent="0.15"/>
    <row r="42649" hidden="1" x14ac:dyDescent="0.15"/>
    <row r="42650" hidden="1" x14ac:dyDescent="0.15"/>
    <row r="42651" hidden="1" x14ac:dyDescent="0.15"/>
    <row r="42652" hidden="1" x14ac:dyDescent="0.15"/>
    <row r="42653" hidden="1" x14ac:dyDescent="0.15"/>
    <row r="42654" hidden="1" x14ac:dyDescent="0.15"/>
    <row r="42655" hidden="1" x14ac:dyDescent="0.15"/>
    <row r="42656" hidden="1" x14ac:dyDescent="0.15"/>
    <row r="42657" hidden="1" x14ac:dyDescent="0.15"/>
    <row r="42658" hidden="1" x14ac:dyDescent="0.15"/>
    <row r="42659" hidden="1" x14ac:dyDescent="0.15"/>
    <row r="42660" hidden="1" x14ac:dyDescent="0.15"/>
    <row r="42661" hidden="1" x14ac:dyDescent="0.15"/>
    <row r="42662" hidden="1" x14ac:dyDescent="0.15"/>
    <row r="42663" hidden="1" x14ac:dyDescent="0.15"/>
    <row r="42664" hidden="1" x14ac:dyDescent="0.15"/>
    <row r="42665" hidden="1" x14ac:dyDescent="0.15"/>
    <row r="42666" hidden="1" x14ac:dyDescent="0.15"/>
    <row r="42667" hidden="1" x14ac:dyDescent="0.15"/>
    <row r="42668" hidden="1" x14ac:dyDescent="0.15"/>
    <row r="42669" hidden="1" x14ac:dyDescent="0.15"/>
    <row r="42670" hidden="1" x14ac:dyDescent="0.15"/>
    <row r="42671" hidden="1" x14ac:dyDescent="0.15"/>
    <row r="42672" hidden="1" x14ac:dyDescent="0.15"/>
    <row r="42673" hidden="1" x14ac:dyDescent="0.15"/>
    <row r="42674" hidden="1" x14ac:dyDescent="0.15"/>
    <row r="42675" hidden="1" x14ac:dyDescent="0.15"/>
    <row r="42676" hidden="1" x14ac:dyDescent="0.15"/>
    <row r="42677" hidden="1" x14ac:dyDescent="0.15"/>
    <row r="42678" hidden="1" x14ac:dyDescent="0.15"/>
    <row r="42679" hidden="1" x14ac:dyDescent="0.15"/>
    <row r="42680" hidden="1" x14ac:dyDescent="0.15"/>
    <row r="42681" hidden="1" x14ac:dyDescent="0.15"/>
    <row r="42682" hidden="1" x14ac:dyDescent="0.15"/>
    <row r="42683" hidden="1" x14ac:dyDescent="0.15"/>
    <row r="42684" hidden="1" x14ac:dyDescent="0.15"/>
    <row r="42685" hidden="1" x14ac:dyDescent="0.15"/>
    <row r="42686" hidden="1" x14ac:dyDescent="0.15"/>
    <row r="42687" hidden="1" x14ac:dyDescent="0.15"/>
    <row r="42688" hidden="1" x14ac:dyDescent="0.15"/>
    <row r="42689" hidden="1" x14ac:dyDescent="0.15"/>
    <row r="42690" hidden="1" x14ac:dyDescent="0.15"/>
    <row r="42691" hidden="1" x14ac:dyDescent="0.15"/>
    <row r="42692" hidden="1" x14ac:dyDescent="0.15"/>
    <row r="42693" hidden="1" x14ac:dyDescent="0.15"/>
    <row r="42694" hidden="1" x14ac:dyDescent="0.15"/>
    <row r="42695" hidden="1" x14ac:dyDescent="0.15"/>
    <row r="42696" hidden="1" x14ac:dyDescent="0.15"/>
    <row r="42697" hidden="1" x14ac:dyDescent="0.15"/>
    <row r="42698" hidden="1" x14ac:dyDescent="0.15"/>
    <row r="42699" hidden="1" x14ac:dyDescent="0.15"/>
    <row r="42700" hidden="1" x14ac:dyDescent="0.15"/>
    <row r="42701" hidden="1" x14ac:dyDescent="0.15"/>
    <row r="42702" hidden="1" x14ac:dyDescent="0.15"/>
    <row r="42703" hidden="1" x14ac:dyDescent="0.15"/>
    <row r="42704" hidden="1" x14ac:dyDescent="0.15"/>
    <row r="42705" hidden="1" x14ac:dyDescent="0.15"/>
    <row r="42706" hidden="1" x14ac:dyDescent="0.15"/>
    <row r="42707" hidden="1" x14ac:dyDescent="0.15"/>
    <row r="42708" hidden="1" x14ac:dyDescent="0.15"/>
    <row r="42709" hidden="1" x14ac:dyDescent="0.15"/>
    <row r="42710" hidden="1" x14ac:dyDescent="0.15"/>
    <row r="42711" hidden="1" x14ac:dyDescent="0.15"/>
    <row r="42712" hidden="1" x14ac:dyDescent="0.15"/>
    <row r="42713" hidden="1" x14ac:dyDescent="0.15"/>
    <row r="42714" hidden="1" x14ac:dyDescent="0.15"/>
    <row r="42715" hidden="1" x14ac:dyDescent="0.15"/>
    <row r="42716" hidden="1" x14ac:dyDescent="0.15"/>
    <row r="42717" hidden="1" x14ac:dyDescent="0.15"/>
    <row r="42718" hidden="1" x14ac:dyDescent="0.15"/>
    <row r="42719" hidden="1" x14ac:dyDescent="0.15"/>
    <row r="42720" hidden="1" x14ac:dyDescent="0.15"/>
    <row r="42721" hidden="1" x14ac:dyDescent="0.15"/>
    <row r="42722" hidden="1" x14ac:dyDescent="0.15"/>
    <row r="42723" hidden="1" x14ac:dyDescent="0.15"/>
    <row r="42724" hidden="1" x14ac:dyDescent="0.15"/>
    <row r="42725" hidden="1" x14ac:dyDescent="0.15"/>
    <row r="42726" hidden="1" x14ac:dyDescent="0.15"/>
    <row r="42727" hidden="1" x14ac:dyDescent="0.15"/>
    <row r="42728" hidden="1" x14ac:dyDescent="0.15"/>
    <row r="42729" hidden="1" x14ac:dyDescent="0.15"/>
    <row r="42730" hidden="1" x14ac:dyDescent="0.15"/>
    <row r="42731" hidden="1" x14ac:dyDescent="0.15"/>
    <row r="42732" hidden="1" x14ac:dyDescent="0.15"/>
    <row r="42733" hidden="1" x14ac:dyDescent="0.15"/>
    <row r="42734" hidden="1" x14ac:dyDescent="0.15"/>
    <row r="42735" hidden="1" x14ac:dyDescent="0.15"/>
    <row r="42736" hidden="1" x14ac:dyDescent="0.15"/>
    <row r="42737" hidden="1" x14ac:dyDescent="0.15"/>
    <row r="42738" hidden="1" x14ac:dyDescent="0.15"/>
    <row r="42739" hidden="1" x14ac:dyDescent="0.15"/>
    <row r="42740" hidden="1" x14ac:dyDescent="0.15"/>
    <row r="42741" hidden="1" x14ac:dyDescent="0.15"/>
    <row r="42742" hidden="1" x14ac:dyDescent="0.15"/>
    <row r="42743" hidden="1" x14ac:dyDescent="0.15"/>
    <row r="42744" hidden="1" x14ac:dyDescent="0.15"/>
    <row r="42745" hidden="1" x14ac:dyDescent="0.15"/>
    <row r="42746" hidden="1" x14ac:dyDescent="0.15"/>
    <row r="42747" hidden="1" x14ac:dyDescent="0.15"/>
    <row r="42748" hidden="1" x14ac:dyDescent="0.15"/>
    <row r="42749" hidden="1" x14ac:dyDescent="0.15"/>
    <row r="42750" hidden="1" x14ac:dyDescent="0.15"/>
    <row r="42751" hidden="1" x14ac:dyDescent="0.15"/>
    <row r="42752" hidden="1" x14ac:dyDescent="0.15"/>
    <row r="42753" hidden="1" x14ac:dyDescent="0.15"/>
    <row r="42754" hidden="1" x14ac:dyDescent="0.15"/>
    <row r="42755" hidden="1" x14ac:dyDescent="0.15"/>
    <row r="42756" hidden="1" x14ac:dyDescent="0.15"/>
    <row r="42757" hidden="1" x14ac:dyDescent="0.15"/>
    <row r="42758" hidden="1" x14ac:dyDescent="0.15"/>
    <row r="42759" hidden="1" x14ac:dyDescent="0.15"/>
    <row r="42760" hidden="1" x14ac:dyDescent="0.15"/>
    <row r="42761" hidden="1" x14ac:dyDescent="0.15"/>
    <row r="42762" hidden="1" x14ac:dyDescent="0.15"/>
    <row r="42763" hidden="1" x14ac:dyDescent="0.15"/>
    <row r="42764" hidden="1" x14ac:dyDescent="0.15"/>
    <row r="42765" hidden="1" x14ac:dyDescent="0.15"/>
    <row r="42766" hidden="1" x14ac:dyDescent="0.15"/>
    <row r="42767" hidden="1" x14ac:dyDescent="0.15"/>
    <row r="42768" hidden="1" x14ac:dyDescent="0.15"/>
    <row r="42769" hidden="1" x14ac:dyDescent="0.15"/>
    <row r="42770" hidden="1" x14ac:dyDescent="0.15"/>
    <row r="42771" hidden="1" x14ac:dyDescent="0.15"/>
    <row r="42772" hidden="1" x14ac:dyDescent="0.15"/>
    <row r="42773" hidden="1" x14ac:dyDescent="0.15"/>
    <row r="42774" hidden="1" x14ac:dyDescent="0.15"/>
    <row r="42775" hidden="1" x14ac:dyDescent="0.15"/>
    <row r="42776" hidden="1" x14ac:dyDescent="0.15"/>
    <row r="42777" hidden="1" x14ac:dyDescent="0.15"/>
    <row r="42778" hidden="1" x14ac:dyDescent="0.15"/>
    <row r="42779" hidden="1" x14ac:dyDescent="0.15"/>
    <row r="42780" hidden="1" x14ac:dyDescent="0.15"/>
    <row r="42781" hidden="1" x14ac:dyDescent="0.15"/>
    <row r="42782" hidden="1" x14ac:dyDescent="0.15"/>
    <row r="42783" hidden="1" x14ac:dyDescent="0.15"/>
    <row r="42784" hidden="1" x14ac:dyDescent="0.15"/>
    <row r="42785" hidden="1" x14ac:dyDescent="0.15"/>
    <row r="42786" hidden="1" x14ac:dyDescent="0.15"/>
    <row r="42787" hidden="1" x14ac:dyDescent="0.15"/>
    <row r="42788" hidden="1" x14ac:dyDescent="0.15"/>
    <row r="42789" hidden="1" x14ac:dyDescent="0.15"/>
    <row r="42790" hidden="1" x14ac:dyDescent="0.15"/>
    <row r="42791" hidden="1" x14ac:dyDescent="0.15"/>
    <row r="42792" hidden="1" x14ac:dyDescent="0.15"/>
    <row r="42793" hidden="1" x14ac:dyDescent="0.15"/>
    <row r="42794" hidden="1" x14ac:dyDescent="0.15"/>
    <row r="42795" hidden="1" x14ac:dyDescent="0.15"/>
    <row r="42796" hidden="1" x14ac:dyDescent="0.15"/>
    <row r="42797" hidden="1" x14ac:dyDescent="0.15"/>
    <row r="42798" hidden="1" x14ac:dyDescent="0.15"/>
    <row r="42799" hidden="1" x14ac:dyDescent="0.15"/>
    <row r="42800" hidden="1" x14ac:dyDescent="0.15"/>
    <row r="42801" hidden="1" x14ac:dyDescent="0.15"/>
    <row r="42802" hidden="1" x14ac:dyDescent="0.15"/>
    <row r="42803" hidden="1" x14ac:dyDescent="0.15"/>
    <row r="42804" hidden="1" x14ac:dyDescent="0.15"/>
    <row r="42805" hidden="1" x14ac:dyDescent="0.15"/>
    <row r="42806" hidden="1" x14ac:dyDescent="0.15"/>
    <row r="42807" hidden="1" x14ac:dyDescent="0.15"/>
    <row r="42808" hidden="1" x14ac:dyDescent="0.15"/>
    <row r="42809" hidden="1" x14ac:dyDescent="0.15"/>
    <row r="42810" hidden="1" x14ac:dyDescent="0.15"/>
    <row r="42811" hidden="1" x14ac:dyDescent="0.15"/>
    <row r="42812" hidden="1" x14ac:dyDescent="0.15"/>
    <row r="42813" hidden="1" x14ac:dyDescent="0.15"/>
    <row r="42814" hidden="1" x14ac:dyDescent="0.15"/>
    <row r="42815" hidden="1" x14ac:dyDescent="0.15"/>
    <row r="42816" hidden="1" x14ac:dyDescent="0.15"/>
    <row r="42817" hidden="1" x14ac:dyDescent="0.15"/>
    <row r="42818" hidden="1" x14ac:dyDescent="0.15"/>
    <row r="42819" hidden="1" x14ac:dyDescent="0.15"/>
    <row r="42820" hidden="1" x14ac:dyDescent="0.15"/>
    <row r="42821" hidden="1" x14ac:dyDescent="0.15"/>
    <row r="42822" hidden="1" x14ac:dyDescent="0.15"/>
    <row r="42823" hidden="1" x14ac:dyDescent="0.15"/>
    <row r="42824" hidden="1" x14ac:dyDescent="0.15"/>
    <row r="42825" hidden="1" x14ac:dyDescent="0.15"/>
    <row r="42826" hidden="1" x14ac:dyDescent="0.15"/>
    <row r="42827" hidden="1" x14ac:dyDescent="0.15"/>
    <row r="42828" hidden="1" x14ac:dyDescent="0.15"/>
    <row r="42829" hidden="1" x14ac:dyDescent="0.15"/>
    <row r="42830" hidden="1" x14ac:dyDescent="0.15"/>
    <row r="42831" hidden="1" x14ac:dyDescent="0.15"/>
    <row r="42832" hidden="1" x14ac:dyDescent="0.15"/>
    <row r="42833" hidden="1" x14ac:dyDescent="0.15"/>
    <row r="42834" hidden="1" x14ac:dyDescent="0.15"/>
    <row r="42835" hidden="1" x14ac:dyDescent="0.15"/>
    <row r="42836" hidden="1" x14ac:dyDescent="0.15"/>
    <row r="42837" hidden="1" x14ac:dyDescent="0.15"/>
    <row r="42838" hidden="1" x14ac:dyDescent="0.15"/>
    <row r="42839" hidden="1" x14ac:dyDescent="0.15"/>
    <row r="42840" hidden="1" x14ac:dyDescent="0.15"/>
    <row r="42841" hidden="1" x14ac:dyDescent="0.15"/>
    <row r="42842" hidden="1" x14ac:dyDescent="0.15"/>
    <row r="42843" hidden="1" x14ac:dyDescent="0.15"/>
    <row r="42844" hidden="1" x14ac:dyDescent="0.15"/>
    <row r="42845" hidden="1" x14ac:dyDescent="0.15"/>
    <row r="42846" hidden="1" x14ac:dyDescent="0.15"/>
    <row r="42847" hidden="1" x14ac:dyDescent="0.15"/>
    <row r="42848" hidden="1" x14ac:dyDescent="0.15"/>
    <row r="42849" hidden="1" x14ac:dyDescent="0.15"/>
    <row r="42850" hidden="1" x14ac:dyDescent="0.15"/>
    <row r="42851" hidden="1" x14ac:dyDescent="0.15"/>
    <row r="42852" hidden="1" x14ac:dyDescent="0.15"/>
    <row r="42853" hidden="1" x14ac:dyDescent="0.15"/>
    <row r="42854" hidden="1" x14ac:dyDescent="0.15"/>
    <row r="42855" hidden="1" x14ac:dyDescent="0.15"/>
    <row r="42856" hidden="1" x14ac:dyDescent="0.15"/>
    <row r="42857" hidden="1" x14ac:dyDescent="0.15"/>
    <row r="42858" hidden="1" x14ac:dyDescent="0.15"/>
    <row r="42859" hidden="1" x14ac:dyDescent="0.15"/>
    <row r="42860" hidden="1" x14ac:dyDescent="0.15"/>
    <row r="42861" hidden="1" x14ac:dyDescent="0.15"/>
    <row r="42862" hidden="1" x14ac:dyDescent="0.15"/>
    <row r="42863" hidden="1" x14ac:dyDescent="0.15"/>
    <row r="42864" hidden="1" x14ac:dyDescent="0.15"/>
    <row r="42865" hidden="1" x14ac:dyDescent="0.15"/>
    <row r="42866" hidden="1" x14ac:dyDescent="0.15"/>
    <row r="42867" hidden="1" x14ac:dyDescent="0.15"/>
    <row r="42868" hidden="1" x14ac:dyDescent="0.15"/>
    <row r="42869" hidden="1" x14ac:dyDescent="0.15"/>
    <row r="42870" hidden="1" x14ac:dyDescent="0.15"/>
    <row r="42871" hidden="1" x14ac:dyDescent="0.15"/>
    <row r="42872" hidden="1" x14ac:dyDescent="0.15"/>
    <row r="42873" hidden="1" x14ac:dyDescent="0.15"/>
    <row r="42874" hidden="1" x14ac:dyDescent="0.15"/>
    <row r="42875" hidden="1" x14ac:dyDescent="0.15"/>
    <row r="42876" hidden="1" x14ac:dyDescent="0.15"/>
    <row r="42877" hidden="1" x14ac:dyDescent="0.15"/>
    <row r="42878" hidden="1" x14ac:dyDescent="0.15"/>
    <row r="42879" hidden="1" x14ac:dyDescent="0.15"/>
    <row r="42880" hidden="1" x14ac:dyDescent="0.15"/>
    <row r="42881" hidden="1" x14ac:dyDescent="0.15"/>
    <row r="42882" hidden="1" x14ac:dyDescent="0.15"/>
    <row r="42883" hidden="1" x14ac:dyDescent="0.15"/>
    <row r="42884" hidden="1" x14ac:dyDescent="0.15"/>
    <row r="42885" hidden="1" x14ac:dyDescent="0.15"/>
    <row r="42886" hidden="1" x14ac:dyDescent="0.15"/>
    <row r="42887" hidden="1" x14ac:dyDescent="0.15"/>
    <row r="42888" hidden="1" x14ac:dyDescent="0.15"/>
    <row r="42889" hidden="1" x14ac:dyDescent="0.15"/>
    <row r="42890" hidden="1" x14ac:dyDescent="0.15"/>
    <row r="42891" hidden="1" x14ac:dyDescent="0.15"/>
    <row r="42892" hidden="1" x14ac:dyDescent="0.15"/>
    <row r="42893" hidden="1" x14ac:dyDescent="0.15"/>
    <row r="42894" hidden="1" x14ac:dyDescent="0.15"/>
    <row r="42895" hidden="1" x14ac:dyDescent="0.15"/>
    <row r="42896" hidden="1" x14ac:dyDescent="0.15"/>
    <row r="42897" hidden="1" x14ac:dyDescent="0.15"/>
    <row r="42898" hidden="1" x14ac:dyDescent="0.15"/>
    <row r="42899" hidden="1" x14ac:dyDescent="0.15"/>
    <row r="42900" hidden="1" x14ac:dyDescent="0.15"/>
    <row r="42901" hidden="1" x14ac:dyDescent="0.15"/>
    <row r="42902" hidden="1" x14ac:dyDescent="0.15"/>
    <row r="42903" hidden="1" x14ac:dyDescent="0.15"/>
    <row r="42904" hidden="1" x14ac:dyDescent="0.15"/>
    <row r="42905" hidden="1" x14ac:dyDescent="0.15"/>
    <row r="42906" hidden="1" x14ac:dyDescent="0.15"/>
    <row r="42907" hidden="1" x14ac:dyDescent="0.15"/>
    <row r="42908" hidden="1" x14ac:dyDescent="0.15"/>
    <row r="42909" hidden="1" x14ac:dyDescent="0.15"/>
    <row r="42910" hidden="1" x14ac:dyDescent="0.15"/>
    <row r="42911" hidden="1" x14ac:dyDescent="0.15"/>
    <row r="42912" hidden="1" x14ac:dyDescent="0.15"/>
    <row r="42913" hidden="1" x14ac:dyDescent="0.15"/>
    <row r="42914" hidden="1" x14ac:dyDescent="0.15"/>
    <row r="42915" hidden="1" x14ac:dyDescent="0.15"/>
    <row r="42916" hidden="1" x14ac:dyDescent="0.15"/>
    <row r="42917" hidden="1" x14ac:dyDescent="0.15"/>
    <row r="42918" hidden="1" x14ac:dyDescent="0.15"/>
    <row r="42919" hidden="1" x14ac:dyDescent="0.15"/>
    <row r="42920" hidden="1" x14ac:dyDescent="0.15"/>
    <row r="42921" hidden="1" x14ac:dyDescent="0.15"/>
    <row r="42922" hidden="1" x14ac:dyDescent="0.15"/>
    <row r="42923" hidden="1" x14ac:dyDescent="0.15"/>
    <row r="42924" hidden="1" x14ac:dyDescent="0.15"/>
    <row r="42925" hidden="1" x14ac:dyDescent="0.15"/>
    <row r="42926" hidden="1" x14ac:dyDescent="0.15"/>
    <row r="42927" hidden="1" x14ac:dyDescent="0.15"/>
    <row r="42928" hidden="1" x14ac:dyDescent="0.15"/>
    <row r="42929" hidden="1" x14ac:dyDescent="0.15"/>
    <row r="42930" hidden="1" x14ac:dyDescent="0.15"/>
    <row r="42931" hidden="1" x14ac:dyDescent="0.15"/>
    <row r="42932" hidden="1" x14ac:dyDescent="0.15"/>
    <row r="42933" hidden="1" x14ac:dyDescent="0.15"/>
    <row r="42934" hidden="1" x14ac:dyDescent="0.15"/>
    <row r="42935" hidden="1" x14ac:dyDescent="0.15"/>
    <row r="42936" hidden="1" x14ac:dyDescent="0.15"/>
    <row r="42937" hidden="1" x14ac:dyDescent="0.15"/>
    <row r="42938" hidden="1" x14ac:dyDescent="0.15"/>
    <row r="42939" hidden="1" x14ac:dyDescent="0.15"/>
    <row r="42940" hidden="1" x14ac:dyDescent="0.15"/>
    <row r="42941" hidden="1" x14ac:dyDescent="0.15"/>
    <row r="42942" hidden="1" x14ac:dyDescent="0.15"/>
    <row r="42943" hidden="1" x14ac:dyDescent="0.15"/>
    <row r="42944" hidden="1" x14ac:dyDescent="0.15"/>
    <row r="42945" hidden="1" x14ac:dyDescent="0.15"/>
    <row r="42946" hidden="1" x14ac:dyDescent="0.15"/>
    <row r="42947" hidden="1" x14ac:dyDescent="0.15"/>
    <row r="42948" hidden="1" x14ac:dyDescent="0.15"/>
    <row r="42949" hidden="1" x14ac:dyDescent="0.15"/>
    <row r="42950" hidden="1" x14ac:dyDescent="0.15"/>
    <row r="42951" hidden="1" x14ac:dyDescent="0.15"/>
    <row r="42952" hidden="1" x14ac:dyDescent="0.15"/>
    <row r="42953" hidden="1" x14ac:dyDescent="0.15"/>
    <row r="42954" hidden="1" x14ac:dyDescent="0.15"/>
    <row r="42955" hidden="1" x14ac:dyDescent="0.15"/>
    <row r="42956" hidden="1" x14ac:dyDescent="0.15"/>
    <row r="42957" hidden="1" x14ac:dyDescent="0.15"/>
    <row r="42958" hidden="1" x14ac:dyDescent="0.15"/>
    <row r="42959" hidden="1" x14ac:dyDescent="0.15"/>
    <row r="42960" hidden="1" x14ac:dyDescent="0.15"/>
    <row r="42961" hidden="1" x14ac:dyDescent="0.15"/>
    <row r="42962" hidden="1" x14ac:dyDescent="0.15"/>
    <row r="42963" hidden="1" x14ac:dyDescent="0.15"/>
    <row r="42964" hidden="1" x14ac:dyDescent="0.15"/>
    <row r="42965" hidden="1" x14ac:dyDescent="0.15"/>
    <row r="42966" hidden="1" x14ac:dyDescent="0.15"/>
    <row r="42967" hidden="1" x14ac:dyDescent="0.15"/>
    <row r="42968" hidden="1" x14ac:dyDescent="0.15"/>
    <row r="42969" hidden="1" x14ac:dyDescent="0.15"/>
    <row r="42970" hidden="1" x14ac:dyDescent="0.15"/>
    <row r="42971" hidden="1" x14ac:dyDescent="0.15"/>
    <row r="42972" hidden="1" x14ac:dyDescent="0.15"/>
    <row r="42973" hidden="1" x14ac:dyDescent="0.15"/>
    <row r="42974" hidden="1" x14ac:dyDescent="0.15"/>
    <row r="42975" hidden="1" x14ac:dyDescent="0.15"/>
    <row r="42976" hidden="1" x14ac:dyDescent="0.15"/>
    <row r="42977" hidden="1" x14ac:dyDescent="0.15"/>
    <row r="42978" hidden="1" x14ac:dyDescent="0.15"/>
    <row r="42979" hidden="1" x14ac:dyDescent="0.15"/>
    <row r="42980" hidden="1" x14ac:dyDescent="0.15"/>
    <row r="42981" hidden="1" x14ac:dyDescent="0.15"/>
    <row r="42982" hidden="1" x14ac:dyDescent="0.15"/>
    <row r="42983" hidden="1" x14ac:dyDescent="0.15"/>
    <row r="42984" hidden="1" x14ac:dyDescent="0.15"/>
    <row r="42985" hidden="1" x14ac:dyDescent="0.15"/>
    <row r="42986" hidden="1" x14ac:dyDescent="0.15"/>
    <row r="42987" hidden="1" x14ac:dyDescent="0.15"/>
    <row r="42988" hidden="1" x14ac:dyDescent="0.15"/>
    <row r="42989" hidden="1" x14ac:dyDescent="0.15"/>
    <row r="42990" hidden="1" x14ac:dyDescent="0.15"/>
    <row r="42991" hidden="1" x14ac:dyDescent="0.15"/>
    <row r="42992" hidden="1" x14ac:dyDescent="0.15"/>
    <row r="42993" hidden="1" x14ac:dyDescent="0.15"/>
    <row r="42994" hidden="1" x14ac:dyDescent="0.15"/>
    <row r="42995" hidden="1" x14ac:dyDescent="0.15"/>
    <row r="42996" hidden="1" x14ac:dyDescent="0.15"/>
    <row r="42997" hidden="1" x14ac:dyDescent="0.15"/>
    <row r="42998" hidden="1" x14ac:dyDescent="0.15"/>
    <row r="42999" hidden="1" x14ac:dyDescent="0.15"/>
    <row r="43000" hidden="1" x14ac:dyDescent="0.15"/>
    <row r="43001" hidden="1" x14ac:dyDescent="0.15"/>
    <row r="43002" hidden="1" x14ac:dyDescent="0.15"/>
    <row r="43003" hidden="1" x14ac:dyDescent="0.15"/>
    <row r="43004" hidden="1" x14ac:dyDescent="0.15"/>
    <row r="43005" hidden="1" x14ac:dyDescent="0.15"/>
    <row r="43006" hidden="1" x14ac:dyDescent="0.15"/>
    <row r="43007" hidden="1" x14ac:dyDescent="0.15"/>
    <row r="43008" hidden="1" x14ac:dyDescent="0.15"/>
    <row r="43009" hidden="1" x14ac:dyDescent="0.15"/>
    <row r="43010" hidden="1" x14ac:dyDescent="0.15"/>
    <row r="43011" hidden="1" x14ac:dyDescent="0.15"/>
    <row r="43012" hidden="1" x14ac:dyDescent="0.15"/>
    <row r="43013" hidden="1" x14ac:dyDescent="0.15"/>
    <row r="43014" hidden="1" x14ac:dyDescent="0.15"/>
    <row r="43015" hidden="1" x14ac:dyDescent="0.15"/>
    <row r="43016" hidden="1" x14ac:dyDescent="0.15"/>
    <row r="43017" hidden="1" x14ac:dyDescent="0.15"/>
    <row r="43018" hidden="1" x14ac:dyDescent="0.15"/>
    <row r="43019" hidden="1" x14ac:dyDescent="0.15"/>
    <row r="43020" hidden="1" x14ac:dyDescent="0.15"/>
    <row r="43021" hidden="1" x14ac:dyDescent="0.15"/>
    <row r="43022" hidden="1" x14ac:dyDescent="0.15"/>
    <row r="43023" hidden="1" x14ac:dyDescent="0.15"/>
    <row r="43024" hidden="1" x14ac:dyDescent="0.15"/>
    <row r="43025" hidden="1" x14ac:dyDescent="0.15"/>
    <row r="43026" hidden="1" x14ac:dyDescent="0.15"/>
    <row r="43027" hidden="1" x14ac:dyDescent="0.15"/>
    <row r="43028" hidden="1" x14ac:dyDescent="0.15"/>
    <row r="43029" hidden="1" x14ac:dyDescent="0.15"/>
    <row r="43030" hidden="1" x14ac:dyDescent="0.15"/>
    <row r="43031" hidden="1" x14ac:dyDescent="0.15"/>
    <row r="43032" hidden="1" x14ac:dyDescent="0.15"/>
    <row r="43033" hidden="1" x14ac:dyDescent="0.15"/>
    <row r="43034" hidden="1" x14ac:dyDescent="0.15"/>
    <row r="43035" hidden="1" x14ac:dyDescent="0.15"/>
    <row r="43036" hidden="1" x14ac:dyDescent="0.15"/>
    <row r="43037" hidden="1" x14ac:dyDescent="0.15"/>
    <row r="43038" hidden="1" x14ac:dyDescent="0.15"/>
    <row r="43039" hidden="1" x14ac:dyDescent="0.15"/>
    <row r="43040" hidden="1" x14ac:dyDescent="0.15"/>
    <row r="43041" hidden="1" x14ac:dyDescent="0.15"/>
    <row r="43042" hidden="1" x14ac:dyDescent="0.15"/>
    <row r="43043" hidden="1" x14ac:dyDescent="0.15"/>
    <row r="43044" hidden="1" x14ac:dyDescent="0.15"/>
    <row r="43045" hidden="1" x14ac:dyDescent="0.15"/>
    <row r="43046" hidden="1" x14ac:dyDescent="0.15"/>
    <row r="43047" hidden="1" x14ac:dyDescent="0.15"/>
    <row r="43048" hidden="1" x14ac:dyDescent="0.15"/>
    <row r="43049" hidden="1" x14ac:dyDescent="0.15"/>
    <row r="43050" hidden="1" x14ac:dyDescent="0.15"/>
    <row r="43051" hidden="1" x14ac:dyDescent="0.15"/>
    <row r="43052" hidden="1" x14ac:dyDescent="0.15"/>
    <row r="43053" hidden="1" x14ac:dyDescent="0.15"/>
    <row r="43054" hidden="1" x14ac:dyDescent="0.15"/>
    <row r="43055" hidden="1" x14ac:dyDescent="0.15"/>
    <row r="43056" hidden="1" x14ac:dyDescent="0.15"/>
    <row r="43057" hidden="1" x14ac:dyDescent="0.15"/>
    <row r="43058" hidden="1" x14ac:dyDescent="0.15"/>
    <row r="43059" hidden="1" x14ac:dyDescent="0.15"/>
    <row r="43060" hidden="1" x14ac:dyDescent="0.15"/>
    <row r="43061" hidden="1" x14ac:dyDescent="0.15"/>
    <row r="43062" hidden="1" x14ac:dyDescent="0.15"/>
    <row r="43063" hidden="1" x14ac:dyDescent="0.15"/>
    <row r="43064" hidden="1" x14ac:dyDescent="0.15"/>
    <row r="43065" hidden="1" x14ac:dyDescent="0.15"/>
    <row r="43066" hidden="1" x14ac:dyDescent="0.15"/>
    <row r="43067" hidden="1" x14ac:dyDescent="0.15"/>
    <row r="43068" hidden="1" x14ac:dyDescent="0.15"/>
    <row r="43069" hidden="1" x14ac:dyDescent="0.15"/>
    <row r="43070" hidden="1" x14ac:dyDescent="0.15"/>
    <row r="43071" hidden="1" x14ac:dyDescent="0.15"/>
    <row r="43072" hidden="1" x14ac:dyDescent="0.15"/>
    <row r="43073" hidden="1" x14ac:dyDescent="0.15"/>
    <row r="43074" hidden="1" x14ac:dyDescent="0.15"/>
    <row r="43075" hidden="1" x14ac:dyDescent="0.15"/>
    <row r="43076" hidden="1" x14ac:dyDescent="0.15"/>
    <row r="43077" hidden="1" x14ac:dyDescent="0.15"/>
    <row r="43078" hidden="1" x14ac:dyDescent="0.15"/>
    <row r="43079" hidden="1" x14ac:dyDescent="0.15"/>
    <row r="43080" hidden="1" x14ac:dyDescent="0.15"/>
    <row r="43081" hidden="1" x14ac:dyDescent="0.15"/>
    <row r="43082" hidden="1" x14ac:dyDescent="0.15"/>
    <row r="43083" hidden="1" x14ac:dyDescent="0.15"/>
    <row r="43084" hidden="1" x14ac:dyDescent="0.15"/>
    <row r="43085" hidden="1" x14ac:dyDescent="0.15"/>
    <row r="43086" hidden="1" x14ac:dyDescent="0.15"/>
    <row r="43087" hidden="1" x14ac:dyDescent="0.15"/>
    <row r="43088" hidden="1" x14ac:dyDescent="0.15"/>
    <row r="43089" hidden="1" x14ac:dyDescent="0.15"/>
    <row r="43090" hidden="1" x14ac:dyDescent="0.15"/>
    <row r="43091" hidden="1" x14ac:dyDescent="0.15"/>
    <row r="43092" hidden="1" x14ac:dyDescent="0.15"/>
    <row r="43093" hidden="1" x14ac:dyDescent="0.15"/>
    <row r="43094" hidden="1" x14ac:dyDescent="0.15"/>
    <row r="43095" hidden="1" x14ac:dyDescent="0.15"/>
    <row r="43096" hidden="1" x14ac:dyDescent="0.15"/>
    <row r="43097" hidden="1" x14ac:dyDescent="0.15"/>
    <row r="43098" hidden="1" x14ac:dyDescent="0.15"/>
    <row r="43099" hidden="1" x14ac:dyDescent="0.15"/>
    <row r="43100" hidden="1" x14ac:dyDescent="0.15"/>
    <row r="43101" hidden="1" x14ac:dyDescent="0.15"/>
    <row r="43102" hidden="1" x14ac:dyDescent="0.15"/>
    <row r="43103" hidden="1" x14ac:dyDescent="0.15"/>
    <row r="43104" hidden="1" x14ac:dyDescent="0.15"/>
    <row r="43105" hidden="1" x14ac:dyDescent="0.15"/>
    <row r="43106" hidden="1" x14ac:dyDescent="0.15"/>
    <row r="43107" hidden="1" x14ac:dyDescent="0.15"/>
    <row r="43108" hidden="1" x14ac:dyDescent="0.15"/>
    <row r="43109" hidden="1" x14ac:dyDescent="0.15"/>
    <row r="43110" hidden="1" x14ac:dyDescent="0.15"/>
    <row r="43111" hidden="1" x14ac:dyDescent="0.15"/>
    <row r="43112" hidden="1" x14ac:dyDescent="0.15"/>
    <row r="43113" hidden="1" x14ac:dyDescent="0.15"/>
    <row r="43114" hidden="1" x14ac:dyDescent="0.15"/>
    <row r="43115" hidden="1" x14ac:dyDescent="0.15"/>
    <row r="43116" hidden="1" x14ac:dyDescent="0.15"/>
    <row r="43117" hidden="1" x14ac:dyDescent="0.15"/>
    <row r="43118" hidden="1" x14ac:dyDescent="0.15"/>
    <row r="43119" hidden="1" x14ac:dyDescent="0.15"/>
    <row r="43120" hidden="1" x14ac:dyDescent="0.15"/>
    <row r="43121" hidden="1" x14ac:dyDescent="0.15"/>
    <row r="43122" hidden="1" x14ac:dyDescent="0.15"/>
    <row r="43123" hidden="1" x14ac:dyDescent="0.15"/>
    <row r="43124" hidden="1" x14ac:dyDescent="0.15"/>
    <row r="43125" hidden="1" x14ac:dyDescent="0.15"/>
    <row r="43126" hidden="1" x14ac:dyDescent="0.15"/>
    <row r="43127" hidden="1" x14ac:dyDescent="0.15"/>
    <row r="43128" hidden="1" x14ac:dyDescent="0.15"/>
    <row r="43129" hidden="1" x14ac:dyDescent="0.15"/>
    <row r="43130" hidden="1" x14ac:dyDescent="0.15"/>
    <row r="43131" hidden="1" x14ac:dyDescent="0.15"/>
    <row r="43132" hidden="1" x14ac:dyDescent="0.15"/>
    <row r="43133" hidden="1" x14ac:dyDescent="0.15"/>
    <row r="43134" hidden="1" x14ac:dyDescent="0.15"/>
    <row r="43135" hidden="1" x14ac:dyDescent="0.15"/>
    <row r="43136" hidden="1" x14ac:dyDescent="0.15"/>
    <row r="43137" hidden="1" x14ac:dyDescent="0.15"/>
    <row r="43138" hidden="1" x14ac:dyDescent="0.15"/>
    <row r="43139" hidden="1" x14ac:dyDescent="0.15"/>
    <row r="43140" hidden="1" x14ac:dyDescent="0.15"/>
    <row r="43141" hidden="1" x14ac:dyDescent="0.15"/>
    <row r="43142" hidden="1" x14ac:dyDescent="0.15"/>
    <row r="43143" hidden="1" x14ac:dyDescent="0.15"/>
    <row r="43144" hidden="1" x14ac:dyDescent="0.15"/>
    <row r="43145" hidden="1" x14ac:dyDescent="0.15"/>
    <row r="43146" hidden="1" x14ac:dyDescent="0.15"/>
    <row r="43147" hidden="1" x14ac:dyDescent="0.15"/>
    <row r="43148" hidden="1" x14ac:dyDescent="0.15"/>
    <row r="43149" hidden="1" x14ac:dyDescent="0.15"/>
    <row r="43150" hidden="1" x14ac:dyDescent="0.15"/>
    <row r="43151" hidden="1" x14ac:dyDescent="0.15"/>
    <row r="43152" hidden="1" x14ac:dyDescent="0.15"/>
    <row r="43153" hidden="1" x14ac:dyDescent="0.15"/>
    <row r="43154" hidden="1" x14ac:dyDescent="0.15"/>
    <row r="43155" hidden="1" x14ac:dyDescent="0.15"/>
    <row r="43156" hidden="1" x14ac:dyDescent="0.15"/>
    <row r="43157" hidden="1" x14ac:dyDescent="0.15"/>
    <row r="43158" hidden="1" x14ac:dyDescent="0.15"/>
    <row r="43159" hidden="1" x14ac:dyDescent="0.15"/>
    <row r="43160" hidden="1" x14ac:dyDescent="0.15"/>
    <row r="43161" hidden="1" x14ac:dyDescent="0.15"/>
    <row r="43162" hidden="1" x14ac:dyDescent="0.15"/>
    <row r="43163" hidden="1" x14ac:dyDescent="0.15"/>
    <row r="43164" hidden="1" x14ac:dyDescent="0.15"/>
    <row r="43165" hidden="1" x14ac:dyDescent="0.15"/>
    <row r="43166" hidden="1" x14ac:dyDescent="0.15"/>
    <row r="43167" hidden="1" x14ac:dyDescent="0.15"/>
    <row r="43168" hidden="1" x14ac:dyDescent="0.15"/>
    <row r="43169" hidden="1" x14ac:dyDescent="0.15"/>
    <row r="43170" hidden="1" x14ac:dyDescent="0.15"/>
    <row r="43171" hidden="1" x14ac:dyDescent="0.15"/>
    <row r="43172" hidden="1" x14ac:dyDescent="0.15"/>
    <row r="43173" hidden="1" x14ac:dyDescent="0.15"/>
    <row r="43174" hidden="1" x14ac:dyDescent="0.15"/>
    <row r="43175" hidden="1" x14ac:dyDescent="0.15"/>
    <row r="43176" hidden="1" x14ac:dyDescent="0.15"/>
    <row r="43177" hidden="1" x14ac:dyDescent="0.15"/>
    <row r="43178" hidden="1" x14ac:dyDescent="0.15"/>
    <row r="43179" hidden="1" x14ac:dyDescent="0.15"/>
    <row r="43180" hidden="1" x14ac:dyDescent="0.15"/>
    <row r="43181" hidden="1" x14ac:dyDescent="0.15"/>
    <row r="43182" hidden="1" x14ac:dyDescent="0.15"/>
    <row r="43183" hidden="1" x14ac:dyDescent="0.15"/>
    <row r="43184" hidden="1" x14ac:dyDescent="0.15"/>
    <row r="43185" hidden="1" x14ac:dyDescent="0.15"/>
    <row r="43186" hidden="1" x14ac:dyDescent="0.15"/>
    <row r="43187" hidden="1" x14ac:dyDescent="0.15"/>
    <row r="43188" hidden="1" x14ac:dyDescent="0.15"/>
    <row r="43189" hidden="1" x14ac:dyDescent="0.15"/>
    <row r="43190" hidden="1" x14ac:dyDescent="0.15"/>
    <row r="43191" hidden="1" x14ac:dyDescent="0.15"/>
    <row r="43192" hidden="1" x14ac:dyDescent="0.15"/>
    <row r="43193" hidden="1" x14ac:dyDescent="0.15"/>
    <row r="43194" hidden="1" x14ac:dyDescent="0.15"/>
    <row r="43195" hidden="1" x14ac:dyDescent="0.15"/>
    <row r="43196" hidden="1" x14ac:dyDescent="0.15"/>
    <row r="43197" hidden="1" x14ac:dyDescent="0.15"/>
    <row r="43198" hidden="1" x14ac:dyDescent="0.15"/>
    <row r="43199" hidden="1" x14ac:dyDescent="0.15"/>
    <row r="43200" hidden="1" x14ac:dyDescent="0.15"/>
    <row r="43201" hidden="1" x14ac:dyDescent="0.15"/>
    <row r="43202" hidden="1" x14ac:dyDescent="0.15"/>
    <row r="43203" hidden="1" x14ac:dyDescent="0.15"/>
    <row r="43204" hidden="1" x14ac:dyDescent="0.15"/>
    <row r="43205" hidden="1" x14ac:dyDescent="0.15"/>
    <row r="43206" hidden="1" x14ac:dyDescent="0.15"/>
    <row r="43207" hidden="1" x14ac:dyDescent="0.15"/>
    <row r="43208" hidden="1" x14ac:dyDescent="0.15"/>
    <row r="43209" hidden="1" x14ac:dyDescent="0.15"/>
    <row r="43210" hidden="1" x14ac:dyDescent="0.15"/>
    <row r="43211" hidden="1" x14ac:dyDescent="0.15"/>
    <row r="43212" hidden="1" x14ac:dyDescent="0.15"/>
    <row r="43213" hidden="1" x14ac:dyDescent="0.15"/>
    <row r="43214" hidden="1" x14ac:dyDescent="0.15"/>
    <row r="43215" hidden="1" x14ac:dyDescent="0.15"/>
    <row r="43216" hidden="1" x14ac:dyDescent="0.15"/>
    <row r="43217" hidden="1" x14ac:dyDescent="0.15"/>
    <row r="43218" hidden="1" x14ac:dyDescent="0.15"/>
    <row r="43219" hidden="1" x14ac:dyDescent="0.15"/>
    <row r="43220" hidden="1" x14ac:dyDescent="0.15"/>
    <row r="43221" hidden="1" x14ac:dyDescent="0.15"/>
    <row r="43222" hidden="1" x14ac:dyDescent="0.15"/>
    <row r="43223" hidden="1" x14ac:dyDescent="0.15"/>
    <row r="43224" hidden="1" x14ac:dyDescent="0.15"/>
    <row r="43225" hidden="1" x14ac:dyDescent="0.15"/>
    <row r="43226" hidden="1" x14ac:dyDescent="0.15"/>
    <row r="43227" hidden="1" x14ac:dyDescent="0.15"/>
    <row r="43228" hidden="1" x14ac:dyDescent="0.15"/>
    <row r="43229" hidden="1" x14ac:dyDescent="0.15"/>
    <row r="43230" hidden="1" x14ac:dyDescent="0.15"/>
    <row r="43231" hidden="1" x14ac:dyDescent="0.15"/>
    <row r="43232" hidden="1" x14ac:dyDescent="0.15"/>
    <row r="43233" hidden="1" x14ac:dyDescent="0.15"/>
    <row r="43234" hidden="1" x14ac:dyDescent="0.15"/>
    <row r="43235" hidden="1" x14ac:dyDescent="0.15"/>
    <row r="43236" hidden="1" x14ac:dyDescent="0.15"/>
    <row r="43237" hidden="1" x14ac:dyDescent="0.15"/>
    <row r="43238" hidden="1" x14ac:dyDescent="0.15"/>
    <row r="43239" hidden="1" x14ac:dyDescent="0.15"/>
    <row r="43240" hidden="1" x14ac:dyDescent="0.15"/>
    <row r="43241" hidden="1" x14ac:dyDescent="0.15"/>
    <row r="43242" hidden="1" x14ac:dyDescent="0.15"/>
    <row r="43243" hidden="1" x14ac:dyDescent="0.15"/>
    <row r="43244" hidden="1" x14ac:dyDescent="0.15"/>
    <row r="43245" hidden="1" x14ac:dyDescent="0.15"/>
    <row r="43246" hidden="1" x14ac:dyDescent="0.15"/>
    <row r="43247" hidden="1" x14ac:dyDescent="0.15"/>
    <row r="43248" hidden="1" x14ac:dyDescent="0.15"/>
    <row r="43249" hidden="1" x14ac:dyDescent="0.15"/>
    <row r="43250" hidden="1" x14ac:dyDescent="0.15"/>
    <row r="43251" hidden="1" x14ac:dyDescent="0.15"/>
    <row r="43252" hidden="1" x14ac:dyDescent="0.15"/>
    <row r="43253" hidden="1" x14ac:dyDescent="0.15"/>
    <row r="43254" hidden="1" x14ac:dyDescent="0.15"/>
    <row r="43255" hidden="1" x14ac:dyDescent="0.15"/>
    <row r="43256" hidden="1" x14ac:dyDescent="0.15"/>
    <row r="43257" hidden="1" x14ac:dyDescent="0.15"/>
    <row r="43258" hidden="1" x14ac:dyDescent="0.15"/>
    <row r="43259" hidden="1" x14ac:dyDescent="0.15"/>
    <row r="43260" hidden="1" x14ac:dyDescent="0.15"/>
    <row r="43261" hidden="1" x14ac:dyDescent="0.15"/>
    <row r="43262" hidden="1" x14ac:dyDescent="0.15"/>
    <row r="43263" hidden="1" x14ac:dyDescent="0.15"/>
    <row r="43264" hidden="1" x14ac:dyDescent="0.15"/>
    <row r="43265" hidden="1" x14ac:dyDescent="0.15"/>
    <row r="43266" hidden="1" x14ac:dyDescent="0.15"/>
    <row r="43267" hidden="1" x14ac:dyDescent="0.15"/>
    <row r="43268" hidden="1" x14ac:dyDescent="0.15"/>
    <row r="43269" hidden="1" x14ac:dyDescent="0.15"/>
    <row r="43270" hidden="1" x14ac:dyDescent="0.15"/>
    <row r="43271" hidden="1" x14ac:dyDescent="0.15"/>
    <row r="43272" hidden="1" x14ac:dyDescent="0.15"/>
    <row r="43273" hidden="1" x14ac:dyDescent="0.15"/>
    <row r="43274" hidden="1" x14ac:dyDescent="0.15"/>
    <row r="43275" hidden="1" x14ac:dyDescent="0.15"/>
    <row r="43276" hidden="1" x14ac:dyDescent="0.15"/>
    <row r="43277" hidden="1" x14ac:dyDescent="0.15"/>
    <row r="43278" hidden="1" x14ac:dyDescent="0.15"/>
    <row r="43279" hidden="1" x14ac:dyDescent="0.15"/>
    <row r="43280" hidden="1" x14ac:dyDescent="0.15"/>
    <row r="43281" hidden="1" x14ac:dyDescent="0.15"/>
    <row r="43282" hidden="1" x14ac:dyDescent="0.15"/>
    <row r="43283" hidden="1" x14ac:dyDescent="0.15"/>
    <row r="43284" hidden="1" x14ac:dyDescent="0.15"/>
    <row r="43285" hidden="1" x14ac:dyDescent="0.15"/>
    <row r="43286" hidden="1" x14ac:dyDescent="0.15"/>
    <row r="43287" hidden="1" x14ac:dyDescent="0.15"/>
    <row r="43288" hidden="1" x14ac:dyDescent="0.15"/>
    <row r="43289" hidden="1" x14ac:dyDescent="0.15"/>
    <row r="43290" hidden="1" x14ac:dyDescent="0.15"/>
    <row r="43291" hidden="1" x14ac:dyDescent="0.15"/>
    <row r="43292" hidden="1" x14ac:dyDescent="0.15"/>
    <row r="43293" hidden="1" x14ac:dyDescent="0.15"/>
    <row r="43294" hidden="1" x14ac:dyDescent="0.15"/>
    <row r="43295" hidden="1" x14ac:dyDescent="0.15"/>
    <row r="43296" hidden="1" x14ac:dyDescent="0.15"/>
    <row r="43297" hidden="1" x14ac:dyDescent="0.15"/>
    <row r="43298" hidden="1" x14ac:dyDescent="0.15"/>
    <row r="43299" hidden="1" x14ac:dyDescent="0.15"/>
    <row r="43300" hidden="1" x14ac:dyDescent="0.15"/>
    <row r="43301" hidden="1" x14ac:dyDescent="0.15"/>
    <row r="43302" hidden="1" x14ac:dyDescent="0.15"/>
    <row r="43303" hidden="1" x14ac:dyDescent="0.15"/>
    <row r="43304" hidden="1" x14ac:dyDescent="0.15"/>
    <row r="43305" hidden="1" x14ac:dyDescent="0.15"/>
    <row r="43306" hidden="1" x14ac:dyDescent="0.15"/>
    <row r="43307" hidden="1" x14ac:dyDescent="0.15"/>
    <row r="43308" hidden="1" x14ac:dyDescent="0.15"/>
    <row r="43309" hidden="1" x14ac:dyDescent="0.15"/>
    <row r="43310" hidden="1" x14ac:dyDescent="0.15"/>
    <row r="43311" hidden="1" x14ac:dyDescent="0.15"/>
    <row r="43312" hidden="1" x14ac:dyDescent="0.15"/>
    <row r="43313" hidden="1" x14ac:dyDescent="0.15"/>
    <row r="43314" hidden="1" x14ac:dyDescent="0.15"/>
    <row r="43315" hidden="1" x14ac:dyDescent="0.15"/>
    <row r="43316" hidden="1" x14ac:dyDescent="0.15"/>
    <row r="43317" hidden="1" x14ac:dyDescent="0.15"/>
    <row r="43318" hidden="1" x14ac:dyDescent="0.15"/>
    <row r="43319" hidden="1" x14ac:dyDescent="0.15"/>
    <row r="43320" hidden="1" x14ac:dyDescent="0.15"/>
    <row r="43321" hidden="1" x14ac:dyDescent="0.15"/>
    <row r="43322" hidden="1" x14ac:dyDescent="0.15"/>
    <row r="43323" hidden="1" x14ac:dyDescent="0.15"/>
    <row r="43324" hidden="1" x14ac:dyDescent="0.15"/>
    <row r="43325" hidden="1" x14ac:dyDescent="0.15"/>
    <row r="43326" hidden="1" x14ac:dyDescent="0.15"/>
    <row r="43327" hidden="1" x14ac:dyDescent="0.15"/>
    <row r="43328" hidden="1" x14ac:dyDescent="0.15"/>
    <row r="43329" hidden="1" x14ac:dyDescent="0.15"/>
    <row r="43330" hidden="1" x14ac:dyDescent="0.15"/>
    <row r="43331" hidden="1" x14ac:dyDescent="0.15"/>
    <row r="43332" hidden="1" x14ac:dyDescent="0.15"/>
    <row r="43333" hidden="1" x14ac:dyDescent="0.15"/>
    <row r="43334" hidden="1" x14ac:dyDescent="0.15"/>
    <row r="43335" hidden="1" x14ac:dyDescent="0.15"/>
    <row r="43336" hidden="1" x14ac:dyDescent="0.15"/>
    <row r="43337" hidden="1" x14ac:dyDescent="0.15"/>
    <row r="43338" hidden="1" x14ac:dyDescent="0.15"/>
    <row r="43339" hidden="1" x14ac:dyDescent="0.15"/>
    <row r="43340" hidden="1" x14ac:dyDescent="0.15"/>
    <row r="43341" hidden="1" x14ac:dyDescent="0.15"/>
    <row r="43342" hidden="1" x14ac:dyDescent="0.15"/>
    <row r="43343" hidden="1" x14ac:dyDescent="0.15"/>
    <row r="43344" hidden="1" x14ac:dyDescent="0.15"/>
    <row r="43345" hidden="1" x14ac:dyDescent="0.15"/>
    <row r="43346" hidden="1" x14ac:dyDescent="0.15"/>
    <row r="43347" hidden="1" x14ac:dyDescent="0.15"/>
    <row r="43348" hidden="1" x14ac:dyDescent="0.15"/>
    <row r="43349" hidden="1" x14ac:dyDescent="0.15"/>
    <row r="43350" hidden="1" x14ac:dyDescent="0.15"/>
    <row r="43351" hidden="1" x14ac:dyDescent="0.15"/>
    <row r="43352" hidden="1" x14ac:dyDescent="0.15"/>
    <row r="43353" hidden="1" x14ac:dyDescent="0.15"/>
    <row r="43354" hidden="1" x14ac:dyDescent="0.15"/>
    <row r="43355" hidden="1" x14ac:dyDescent="0.15"/>
    <row r="43356" hidden="1" x14ac:dyDescent="0.15"/>
    <row r="43357" hidden="1" x14ac:dyDescent="0.15"/>
    <row r="43358" hidden="1" x14ac:dyDescent="0.15"/>
    <row r="43359" hidden="1" x14ac:dyDescent="0.15"/>
    <row r="43360" hidden="1" x14ac:dyDescent="0.15"/>
    <row r="43361" hidden="1" x14ac:dyDescent="0.15"/>
    <row r="43362" hidden="1" x14ac:dyDescent="0.15"/>
    <row r="43363" hidden="1" x14ac:dyDescent="0.15"/>
    <row r="43364" hidden="1" x14ac:dyDescent="0.15"/>
    <row r="43365" hidden="1" x14ac:dyDescent="0.15"/>
    <row r="43366" hidden="1" x14ac:dyDescent="0.15"/>
    <row r="43367" hidden="1" x14ac:dyDescent="0.15"/>
    <row r="43368" hidden="1" x14ac:dyDescent="0.15"/>
    <row r="43369" hidden="1" x14ac:dyDescent="0.15"/>
    <row r="43370" hidden="1" x14ac:dyDescent="0.15"/>
    <row r="43371" hidden="1" x14ac:dyDescent="0.15"/>
    <row r="43372" hidden="1" x14ac:dyDescent="0.15"/>
    <row r="43373" hidden="1" x14ac:dyDescent="0.15"/>
    <row r="43374" hidden="1" x14ac:dyDescent="0.15"/>
    <row r="43375" hidden="1" x14ac:dyDescent="0.15"/>
    <row r="43376" hidden="1" x14ac:dyDescent="0.15"/>
    <row r="43377" hidden="1" x14ac:dyDescent="0.15"/>
    <row r="43378" hidden="1" x14ac:dyDescent="0.15"/>
    <row r="43379" hidden="1" x14ac:dyDescent="0.15"/>
    <row r="43380" hidden="1" x14ac:dyDescent="0.15"/>
    <row r="43381" hidden="1" x14ac:dyDescent="0.15"/>
    <row r="43382" hidden="1" x14ac:dyDescent="0.15"/>
    <row r="43383" hidden="1" x14ac:dyDescent="0.15"/>
    <row r="43384" hidden="1" x14ac:dyDescent="0.15"/>
    <row r="43385" hidden="1" x14ac:dyDescent="0.15"/>
    <row r="43386" hidden="1" x14ac:dyDescent="0.15"/>
    <row r="43387" hidden="1" x14ac:dyDescent="0.15"/>
    <row r="43388" hidden="1" x14ac:dyDescent="0.15"/>
    <row r="43389" hidden="1" x14ac:dyDescent="0.15"/>
    <row r="43390" hidden="1" x14ac:dyDescent="0.15"/>
    <row r="43391" hidden="1" x14ac:dyDescent="0.15"/>
    <row r="43392" hidden="1" x14ac:dyDescent="0.15"/>
    <row r="43393" hidden="1" x14ac:dyDescent="0.15"/>
    <row r="43394" hidden="1" x14ac:dyDescent="0.15"/>
    <row r="43395" hidden="1" x14ac:dyDescent="0.15"/>
    <row r="43396" hidden="1" x14ac:dyDescent="0.15"/>
    <row r="43397" hidden="1" x14ac:dyDescent="0.15"/>
    <row r="43398" hidden="1" x14ac:dyDescent="0.15"/>
    <row r="43399" hidden="1" x14ac:dyDescent="0.15"/>
    <row r="43400" hidden="1" x14ac:dyDescent="0.15"/>
    <row r="43401" hidden="1" x14ac:dyDescent="0.15"/>
    <row r="43402" hidden="1" x14ac:dyDescent="0.15"/>
    <row r="43403" hidden="1" x14ac:dyDescent="0.15"/>
    <row r="43404" hidden="1" x14ac:dyDescent="0.15"/>
    <row r="43405" hidden="1" x14ac:dyDescent="0.15"/>
    <row r="43406" hidden="1" x14ac:dyDescent="0.15"/>
    <row r="43407" hidden="1" x14ac:dyDescent="0.15"/>
    <row r="43408" hidden="1" x14ac:dyDescent="0.15"/>
    <row r="43409" hidden="1" x14ac:dyDescent="0.15"/>
    <row r="43410" hidden="1" x14ac:dyDescent="0.15"/>
    <row r="43411" hidden="1" x14ac:dyDescent="0.15"/>
    <row r="43412" hidden="1" x14ac:dyDescent="0.15"/>
    <row r="43413" hidden="1" x14ac:dyDescent="0.15"/>
    <row r="43414" hidden="1" x14ac:dyDescent="0.15"/>
    <row r="43415" hidden="1" x14ac:dyDescent="0.15"/>
    <row r="43416" hidden="1" x14ac:dyDescent="0.15"/>
    <row r="43417" hidden="1" x14ac:dyDescent="0.15"/>
    <row r="43418" hidden="1" x14ac:dyDescent="0.15"/>
    <row r="43419" hidden="1" x14ac:dyDescent="0.15"/>
    <row r="43420" hidden="1" x14ac:dyDescent="0.15"/>
    <row r="43421" hidden="1" x14ac:dyDescent="0.15"/>
    <row r="43422" hidden="1" x14ac:dyDescent="0.15"/>
    <row r="43423" hidden="1" x14ac:dyDescent="0.15"/>
    <row r="43424" hidden="1" x14ac:dyDescent="0.15"/>
    <row r="43425" hidden="1" x14ac:dyDescent="0.15"/>
    <row r="43426" hidden="1" x14ac:dyDescent="0.15"/>
    <row r="43427" hidden="1" x14ac:dyDescent="0.15"/>
    <row r="43428" hidden="1" x14ac:dyDescent="0.15"/>
    <row r="43429" hidden="1" x14ac:dyDescent="0.15"/>
    <row r="43430" hidden="1" x14ac:dyDescent="0.15"/>
    <row r="43431" hidden="1" x14ac:dyDescent="0.15"/>
    <row r="43432" hidden="1" x14ac:dyDescent="0.15"/>
    <row r="43433" hidden="1" x14ac:dyDescent="0.15"/>
    <row r="43434" hidden="1" x14ac:dyDescent="0.15"/>
    <row r="43435" hidden="1" x14ac:dyDescent="0.15"/>
    <row r="43436" hidden="1" x14ac:dyDescent="0.15"/>
    <row r="43437" hidden="1" x14ac:dyDescent="0.15"/>
    <row r="43438" hidden="1" x14ac:dyDescent="0.15"/>
    <row r="43439" hidden="1" x14ac:dyDescent="0.15"/>
    <row r="43440" hidden="1" x14ac:dyDescent="0.15"/>
    <row r="43441" hidden="1" x14ac:dyDescent="0.15"/>
    <row r="43442" hidden="1" x14ac:dyDescent="0.15"/>
    <row r="43443" hidden="1" x14ac:dyDescent="0.15"/>
    <row r="43444" hidden="1" x14ac:dyDescent="0.15"/>
    <row r="43445" hidden="1" x14ac:dyDescent="0.15"/>
    <row r="43446" hidden="1" x14ac:dyDescent="0.15"/>
    <row r="43447" hidden="1" x14ac:dyDescent="0.15"/>
    <row r="43448" hidden="1" x14ac:dyDescent="0.15"/>
    <row r="43449" hidden="1" x14ac:dyDescent="0.15"/>
    <row r="43450" hidden="1" x14ac:dyDescent="0.15"/>
    <row r="43451" hidden="1" x14ac:dyDescent="0.15"/>
    <row r="43452" hidden="1" x14ac:dyDescent="0.15"/>
    <row r="43453" hidden="1" x14ac:dyDescent="0.15"/>
    <row r="43454" hidden="1" x14ac:dyDescent="0.15"/>
    <row r="43455" hidden="1" x14ac:dyDescent="0.15"/>
    <row r="43456" hidden="1" x14ac:dyDescent="0.15"/>
    <row r="43457" hidden="1" x14ac:dyDescent="0.15"/>
    <row r="43458" hidden="1" x14ac:dyDescent="0.15"/>
    <row r="43459" hidden="1" x14ac:dyDescent="0.15"/>
    <row r="43460" hidden="1" x14ac:dyDescent="0.15"/>
    <row r="43461" hidden="1" x14ac:dyDescent="0.15"/>
    <row r="43462" hidden="1" x14ac:dyDescent="0.15"/>
    <row r="43463" hidden="1" x14ac:dyDescent="0.15"/>
    <row r="43464" hidden="1" x14ac:dyDescent="0.15"/>
    <row r="43465" hidden="1" x14ac:dyDescent="0.15"/>
    <row r="43466" hidden="1" x14ac:dyDescent="0.15"/>
    <row r="43467" hidden="1" x14ac:dyDescent="0.15"/>
    <row r="43468" hidden="1" x14ac:dyDescent="0.15"/>
    <row r="43469" hidden="1" x14ac:dyDescent="0.15"/>
    <row r="43470" hidden="1" x14ac:dyDescent="0.15"/>
    <row r="43471" hidden="1" x14ac:dyDescent="0.15"/>
    <row r="43472" hidden="1" x14ac:dyDescent="0.15"/>
    <row r="43473" hidden="1" x14ac:dyDescent="0.15"/>
    <row r="43474" hidden="1" x14ac:dyDescent="0.15"/>
    <row r="43475" hidden="1" x14ac:dyDescent="0.15"/>
    <row r="43476" hidden="1" x14ac:dyDescent="0.15"/>
    <row r="43477" hidden="1" x14ac:dyDescent="0.15"/>
    <row r="43478" hidden="1" x14ac:dyDescent="0.15"/>
    <row r="43479" hidden="1" x14ac:dyDescent="0.15"/>
    <row r="43480" hidden="1" x14ac:dyDescent="0.15"/>
    <row r="43481" hidden="1" x14ac:dyDescent="0.15"/>
    <row r="43482" hidden="1" x14ac:dyDescent="0.15"/>
    <row r="43483" hidden="1" x14ac:dyDescent="0.15"/>
    <row r="43484" hidden="1" x14ac:dyDescent="0.15"/>
    <row r="43485" hidden="1" x14ac:dyDescent="0.15"/>
    <row r="43486" hidden="1" x14ac:dyDescent="0.15"/>
    <row r="43487" hidden="1" x14ac:dyDescent="0.15"/>
    <row r="43488" hidden="1" x14ac:dyDescent="0.15"/>
    <row r="43489" hidden="1" x14ac:dyDescent="0.15"/>
    <row r="43490" hidden="1" x14ac:dyDescent="0.15"/>
    <row r="43491" hidden="1" x14ac:dyDescent="0.15"/>
    <row r="43492" hidden="1" x14ac:dyDescent="0.15"/>
    <row r="43493" hidden="1" x14ac:dyDescent="0.15"/>
    <row r="43494" hidden="1" x14ac:dyDescent="0.15"/>
    <row r="43495" hidden="1" x14ac:dyDescent="0.15"/>
    <row r="43496" hidden="1" x14ac:dyDescent="0.15"/>
    <row r="43497" hidden="1" x14ac:dyDescent="0.15"/>
    <row r="43498" hidden="1" x14ac:dyDescent="0.15"/>
    <row r="43499" hidden="1" x14ac:dyDescent="0.15"/>
    <row r="43500" hidden="1" x14ac:dyDescent="0.15"/>
    <row r="43501" hidden="1" x14ac:dyDescent="0.15"/>
    <row r="43502" hidden="1" x14ac:dyDescent="0.15"/>
    <row r="43503" hidden="1" x14ac:dyDescent="0.15"/>
    <row r="43504" hidden="1" x14ac:dyDescent="0.15"/>
    <row r="43505" hidden="1" x14ac:dyDescent="0.15"/>
    <row r="43506" hidden="1" x14ac:dyDescent="0.15"/>
    <row r="43507" hidden="1" x14ac:dyDescent="0.15"/>
    <row r="43508" hidden="1" x14ac:dyDescent="0.15"/>
    <row r="43509" hidden="1" x14ac:dyDescent="0.15"/>
    <row r="43510" hidden="1" x14ac:dyDescent="0.15"/>
    <row r="43511" hidden="1" x14ac:dyDescent="0.15"/>
    <row r="43512" hidden="1" x14ac:dyDescent="0.15"/>
    <row r="43513" hidden="1" x14ac:dyDescent="0.15"/>
    <row r="43514" hidden="1" x14ac:dyDescent="0.15"/>
    <row r="43515" hidden="1" x14ac:dyDescent="0.15"/>
    <row r="43516" hidden="1" x14ac:dyDescent="0.15"/>
    <row r="43517" hidden="1" x14ac:dyDescent="0.15"/>
    <row r="43518" hidden="1" x14ac:dyDescent="0.15"/>
    <row r="43519" hidden="1" x14ac:dyDescent="0.15"/>
    <row r="43520" hidden="1" x14ac:dyDescent="0.15"/>
    <row r="43521" hidden="1" x14ac:dyDescent="0.15"/>
    <row r="43522" hidden="1" x14ac:dyDescent="0.15"/>
    <row r="43523" hidden="1" x14ac:dyDescent="0.15"/>
    <row r="43524" hidden="1" x14ac:dyDescent="0.15"/>
    <row r="43525" hidden="1" x14ac:dyDescent="0.15"/>
    <row r="43526" hidden="1" x14ac:dyDescent="0.15"/>
    <row r="43527" hidden="1" x14ac:dyDescent="0.15"/>
    <row r="43528" hidden="1" x14ac:dyDescent="0.15"/>
    <row r="43529" hidden="1" x14ac:dyDescent="0.15"/>
    <row r="43530" hidden="1" x14ac:dyDescent="0.15"/>
    <row r="43531" hidden="1" x14ac:dyDescent="0.15"/>
    <row r="43532" hidden="1" x14ac:dyDescent="0.15"/>
    <row r="43533" hidden="1" x14ac:dyDescent="0.15"/>
    <row r="43534" hidden="1" x14ac:dyDescent="0.15"/>
    <row r="43535" hidden="1" x14ac:dyDescent="0.15"/>
    <row r="43536" hidden="1" x14ac:dyDescent="0.15"/>
    <row r="43537" hidden="1" x14ac:dyDescent="0.15"/>
    <row r="43538" hidden="1" x14ac:dyDescent="0.15"/>
    <row r="43539" hidden="1" x14ac:dyDescent="0.15"/>
    <row r="43540" hidden="1" x14ac:dyDescent="0.15"/>
    <row r="43541" hidden="1" x14ac:dyDescent="0.15"/>
    <row r="43542" hidden="1" x14ac:dyDescent="0.15"/>
    <row r="43543" hidden="1" x14ac:dyDescent="0.15"/>
    <row r="43544" hidden="1" x14ac:dyDescent="0.15"/>
    <row r="43545" hidden="1" x14ac:dyDescent="0.15"/>
    <row r="43546" hidden="1" x14ac:dyDescent="0.15"/>
    <row r="43547" hidden="1" x14ac:dyDescent="0.15"/>
    <row r="43548" hidden="1" x14ac:dyDescent="0.15"/>
    <row r="43549" hidden="1" x14ac:dyDescent="0.15"/>
    <row r="43550" hidden="1" x14ac:dyDescent="0.15"/>
    <row r="43551" hidden="1" x14ac:dyDescent="0.15"/>
    <row r="43552" hidden="1" x14ac:dyDescent="0.15"/>
    <row r="43553" hidden="1" x14ac:dyDescent="0.15"/>
    <row r="43554" hidden="1" x14ac:dyDescent="0.15"/>
    <row r="43555" hidden="1" x14ac:dyDescent="0.15"/>
    <row r="43556" hidden="1" x14ac:dyDescent="0.15"/>
    <row r="43557" hidden="1" x14ac:dyDescent="0.15"/>
    <row r="43558" hidden="1" x14ac:dyDescent="0.15"/>
    <row r="43559" hidden="1" x14ac:dyDescent="0.15"/>
    <row r="43560" hidden="1" x14ac:dyDescent="0.15"/>
    <row r="43561" hidden="1" x14ac:dyDescent="0.15"/>
    <row r="43562" hidden="1" x14ac:dyDescent="0.15"/>
    <row r="43563" hidden="1" x14ac:dyDescent="0.15"/>
    <row r="43564" hidden="1" x14ac:dyDescent="0.15"/>
    <row r="43565" hidden="1" x14ac:dyDescent="0.15"/>
    <row r="43566" hidden="1" x14ac:dyDescent="0.15"/>
    <row r="43567" hidden="1" x14ac:dyDescent="0.15"/>
    <row r="43568" hidden="1" x14ac:dyDescent="0.15"/>
    <row r="43569" hidden="1" x14ac:dyDescent="0.15"/>
    <row r="43570" hidden="1" x14ac:dyDescent="0.15"/>
    <row r="43571" hidden="1" x14ac:dyDescent="0.15"/>
    <row r="43572" hidden="1" x14ac:dyDescent="0.15"/>
    <row r="43573" hidden="1" x14ac:dyDescent="0.15"/>
    <row r="43574" hidden="1" x14ac:dyDescent="0.15"/>
    <row r="43575" hidden="1" x14ac:dyDescent="0.15"/>
    <row r="43576" hidden="1" x14ac:dyDescent="0.15"/>
    <row r="43577" hidden="1" x14ac:dyDescent="0.15"/>
    <row r="43578" hidden="1" x14ac:dyDescent="0.15"/>
    <row r="43579" hidden="1" x14ac:dyDescent="0.15"/>
    <row r="43580" hidden="1" x14ac:dyDescent="0.15"/>
    <row r="43581" hidden="1" x14ac:dyDescent="0.15"/>
    <row r="43582" hidden="1" x14ac:dyDescent="0.15"/>
    <row r="43583" hidden="1" x14ac:dyDescent="0.15"/>
    <row r="43584" hidden="1" x14ac:dyDescent="0.15"/>
    <row r="43585" hidden="1" x14ac:dyDescent="0.15"/>
    <row r="43586" hidden="1" x14ac:dyDescent="0.15"/>
    <row r="43587" hidden="1" x14ac:dyDescent="0.15"/>
    <row r="43588" hidden="1" x14ac:dyDescent="0.15"/>
    <row r="43589" hidden="1" x14ac:dyDescent="0.15"/>
    <row r="43590" hidden="1" x14ac:dyDescent="0.15"/>
    <row r="43591" hidden="1" x14ac:dyDescent="0.15"/>
    <row r="43592" hidden="1" x14ac:dyDescent="0.15"/>
    <row r="43593" hidden="1" x14ac:dyDescent="0.15"/>
    <row r="43594" hidden="1" x14ac:dyDescent="0.15"/>
    <row r="43595" hidden="1" x14ac:dyDescent="0.15"/>
    <row r="43596" hidden="1" x14ac:dyDescent="0.15"/>
    <row r="43597" hidden="1" x14ac:dyDescent="0.15"/>
    <row r="43598" hidden="1" x14ac:dyDescent="0.15"/>
    <row r="43599" hidden="1" x14ac:dyDescent="0.15"/>
    <row r="43600" hidden="1" x14ac:dyDescent="0.15"/>
    <row r="43601" hidden="1" x14ac:dyDescent="0.15"/>
    <row r="43602" hidden="1" x14ac:dyDescent="0.15"/>
    <row r="43603" hidden="1" x14ac:dyDescent="0.15"/>
    <row r="43604" hidden="1" x14ac:dyDescent="0.15"/>
    <row r="43605" hidden="1" x14ac:dyDescent="0.15"/>
    <row r="43606" hidden="1" x14ac:dyDescent="0.15"/>
    <row r="43607" hidden="1" x14ac:dyDescent="0.15"/>
    <row r="43608" hidden="1" x14ac:dyDescent="0.15"/>
    <row r="43609" hidden="1" x14ac:dyDescent="0.15"/>
    <row r="43610" hidden="1" x14ac:dyDescent="0.15"/>
    <row r="43611" hidden="1" x14ac:dyDescent="0.15"/>
    <row r="43612" hidden="1" x14ac:dyDescent="0.15"/>
    <row r="43613" hidden="1" x14ac:dyDescent="0.15"/>
    <row r="43614" hidden="1" x14ac:dyDescent="0.15"/>
    <row r="43615" hidden="1" x14ac:dyDescent="0.15"/>
    <row r="43616" hidden="1" x14ac:dyDescent="0.15"/>
    <row r="43617" hidden="1" x14ac:dyDescent="0.15"/>
    <row r="43618" hidden="1" x14ac:dyDescent="0.15"/>
    <row r="43619" hidden="1" x14ac:dyDescent="0.15"/>
    <row r="43620" hidden="1" x14ac:dyDescent="0.15"/>
    <row r="43621" hidden="1" x14ac:dyDescent="0.15"/>
    <row r="43622" hidden="1" x14ac:dyDescent="0.15"/>
    <row r="43623" hidden="1" x14ac:dyDescent="0.15"/>
    <row r="43624" hidden="1" x14ac:dyDescent="0.15"/>
    <row r="43625" hidden="1" x14ac:dyDescent="0.15"/>
    <row r="43626" hidden="1" x14ac:dyDescent="0.15"/>
    <row r="43627" hidden="1" x14ac:dyDescent="0.15"/>
    <row r="43628" hidden="1" x14ac:dyDescent="0.15"/>
    <row r="43629" hidden="1" x14ac:dyDescent="0.15"/>
    <row r="43630" hidden="1" x14ac:dyDescent="0.15"/>
    <row r="43631" hidden="1" x14ac:dyDescent="0.15"/>
    <row r="43632" hidden="1" x14ac:dyDescent="0.15"/>
    <row r="43633" hidden="1" x14ac:dyDescent="0.15"/>
    <row r="43634" hidden="1" x14ac:dyDescent="0.15"/>
    <row r="43635" hidden="1" x14ac:dyDescent="0.15"/>
    <row r="43636" hidden="1" x14ac:dyDescent="0.15"/>
    <row r="43637" hidden="1" x14ac:dyDescent="0.15"/>
    <row r="43638" hidden="1" x14ac:dyDescent="0.15"/>
    <row r="43639" hidden="1" x14ac:dyDescent="0.15"/>
    <row r="43640" hidden="1" x14ac:dyDescent="0.15"/>
    <row r="43641" hidden="1" x14ac:dyDescent="0.15"/>
    <row r="43642" hidden="1" x14ac:dyDescent="0.15"/>
    <row r="43643" hidden="1" x14ac:dyDescent="0.15"/>
    <row r="43644" hidden="1" x14ac:dyDescent="0.15"/>
    <row r="43645" hidden="1" x14ac:dyDescent="0.15"/>
    <row r="43646" hidden="1" x14ac:dyDescent="0.15"/>
    <row r="43647" hidden="1" x14ac:dyDescent="0.15"/>
    <row r="43648" hidden="1" x14ac:dyDescent="0.15"/>
    <row r="43649" hidden="1" x14ac:dyDescent="0.15"/>
    <row r="43650" hidden="1" x14ac:dyDescent="0.15"/>
    <row r="43651" hidden="1" x14ac:dyDescent="0.15"/>
    <row r="43652" hidden="1" x14ac:dyDescent="0.15"/>
    <row r="43653" hidden="1" x14ac:dyDescent="0.15"/>
    <row r="43654" hidden="1" x14ac:dyDescent="0.15"/>
    <row r="43655" hidden="1" x14ac:dyDescent="0.15"/>
    <row r="43656" hidden="1" x14ac:dyDescent="0.15"/>
    <row r="43657" hidden="1" x14ac:dyDescent="0.15"/>
    <row r="43658" hidden="1" x14ac:dyDescent="0.15"/>
    <row r="43659" hidden="1" x14ac:dyDescent="0.15"/>
    <row r="43660" hidden="1" x14ac:dyDescent="0.15"/>
    <row r="43661" hidden="1" x14ac:dyDescent="0.15"/>
    <row r="43662" hidden="1" x14ac:dyDescent="0.15"/>
    <row r="43663" hidden="1" x14ac:dyDescent="0.15"/>
    <row r="43664" hidden="1" x14ac:dyDescent="0.15"/>
    <row r="43665" hidden="1" x14ac:dyDescent="0.15"/>
    <row r="43666" hidden="1" x14ac:dyDescent="0.15"/>
    <row r="43667" hidden="1" x14ac:dyDescent="0.15"/>
    <row r="43668" hidden="1" x14ac:dyDescent="0.15"/>
    <row r="43669" hidden="1" x14ac:dyDescent="0.15"/>
    <row r="43670" hidden="1" x14ac:dyDescent="0.15"/>
    <row r="43671" hidden="1" x14ac:dyDescent="0.15"/>
    <row r="43672" hidden="1" x14ac:dyDescent="0.15"/>
    <row r="43673" hidden="1" x14ac:dyDescent="0.15"/>
    <row r="43674" hidden="1" x14ac:dyDescent="0.15"/>
    <row r="43675" hidden="1" x14ac:dyDescent="0.15"/>
    <row r="43676" hidden="1" x14ac:dyDescent="0.15"/>
    <row r="43677" hidden="1" x14ac:dyDescent="0.15"/>
    <row r="43678" hidden="1" x14ac:dyDescent="0.15"/>
    <row r="43679" hidden="1" x14ac:dyDescent="0.15"/>
    <row r="43680" hidden="1" x14ac:dyDescent="0.15"/>
    <row r="43681" hidden="1" x14ac:dyDescent="0.15"/>
    <row r="43682" hidden="1" x14ac:dyDescent="0.15"/>
    <row r="43683" hidden="1" x14ac:dyDescent="0.15"/>
    <row r="43684" hidden="1" x14ac:dyDescent="0.15"/>
    <row r="43685" hidden="1" x14ac:dyDescent="0.15"/>
    <row r="43686" hidden="1" x14ac:dyDescent="0.15"/>
    <row r="43687" hidden="1" x14ac:dyDescent="0.15"/>
    <row r="43688" hidden="1" x14ac:dyDescent="0.15"/>
    <row r="43689" hidden="1" x14ac:dyDescent="0.15"/>
    <row r="43690" hidden="1" x14ac:dyDescent="0.15"/>
    <row r="43691" hidden="1" x14ac:dyDescent="0.15"/>
    <row r="43692" hidden="1" x14ac:dyDescent="0.15"/>
    <row r="43693" hidden="1" x14ac:dyDescent="0.15"/>
    <row r="43694" hidden="1" x14ac:dyDescent="0.15"/>
    <row r="43695" hidden="1" x14ac:dyDescent="0.15"/>
    <row r="43696" hidden="1" x14ac:dyDescent="0.15"/>
    <row r="43697" hidden="1" x14ac:dyDescent="0.15"/>
    <row r="43698" hidden="1" x14ac:dyDescent="0.15"/>
    <row r="43699" hidden="1" x14ac:dyDescent="0.15"/>
    <row r="43700" hidden="1" x14ac:dyDescent="0.15"/>
    <row r="43701" hidden="1" x14ac:dyDescent="0.15"/>
    <row r="43702" hidden="1" x14ac:dyDescent="0.15"/>
    <row r="43703" hidden="1" x14ac:dyDescent="0.15"/>
    <row r="43704" hidden="1" x14ac:dyDescent="0.15"/>
    <row r="43705" hidden="1" x14ac:dyDescent="0.15"/>
    <row r="43706" hidden="1" x14ac:dyDescent="0.15"/>
    <row r="43707" hidden="1" x14ac:dyDescent="0.15"/>
    <row r="43708" hidden="1" x14ac:dyDescent="0.15"/>
    <row r="43709" hidden="1" x14ac:dyDescent="0.15"/>
    <row r="43710" hidden="1" x14ac:dyDescent="0.15"/>
    <row r="43711" hidden="1" x14ac:dyDescent="0.15"/>
    <row r="43712" hidden="1" x14ac:dyDescent="0.15"/>
    <row r="43713" hidden="1" x14ac:dyDescent="0.15"/>
    <row r="43714" hidden="1" x14ac:dyDescent="0.15"/>
    <row r="43715" hidden="1" x14ac:dyDescent="0.15"/>
    <row r="43716" hidden="1" x14ac:dyDescent="0.15"/>
    <row r="43717" hidden="1" x14ac:dyDescent="0.15"/>
    <row r="43718" hidden="1" x14ac:dyDescent="0.15"/>
    <row r="43719" hidden="1" x14ac:dyDescent="0.15"/>
    <row r="43720" hidden="1" x14ac:dyDescent="0.15"/>
    <row r="43721" hidden="1" x14ac:dyDescent="0.15"/>
    <row r="43722" hidden="1" x14ac:dyDescent="0.15"/>
    <row r="43723" hidden="1" x14ac:dyDescent="0.15"/>
    <row r="43724" hidden="1" x14ac:dyDescent="0.15"/>
    <row r="43725" hidden="1" x14ac:dyDescent="0.15"/>
    <row r="43726" hidden="1" x14ac:dyDescent="0.15"/>
    <row r="43727" hidden="1" x14ac:dyDescent="0.15"/>
    <row r="43728" hidden="1" x14ac:dyDescent="0.15"/>
    <row r="43729" hidden="1" x14ac:dyDescent="0.15"/>
    <row r="43730" hidden="1" x14ac:dyDescent="0.15"/>
    <row r="43731" hidden="1" x14ac:dyDescent="0.15"/>
    <row r="43732" hidden="1" x14ac:dyDescent="0.15"/>
    <row r="43733" hidden="1" x14ac:dyDescent="0.15"/>
    <row r="43734" hidden="1" x14ac:dyDescent="0.15"/>
    <row r="43735" hidden="1" x14ac:dyDescent="0.15"/>
    <row r="43736" hidden="1" x14ac:dyDescent="0.15"/>
    <row r="43737" hidden="1" x14ac:dyDescent="0.15"/>
    <row r="43738" hidden="1" x14ac:dyDescent="0.15"/>
    <row r="43739" hidden="1" x14ac:dyDescent="0.15"/>
    <row r="43740" hidden="1" x14ac:dyDescent="0.15"/>
    <row r="43741" hidden="1" x14ac:dyDescent="0.15"/>
    <row r="43742" hidden="1" x14ac:dyDescent="0.15"/>
    <row r="43743" hidden="1" x14ac:dyDescent="0.15"/>
    <row r="43744" hidden="1" x14ac:dyDescent="0.15"/>
    <row r="43745" hidden="1" x14ac:dyDescent="0.15"/>
    <row r="43746" hidden="1" x14ac:dyDescent="0.15"/>
    <row r="43747" hidden="1" x14ac:dyDescent="0.15"/>
    <row r="43748" hidden="1" x14ac:dyDescent="0.15"/>
    <row r="43749" hidden="1" x14ac:dyDescent="0.15"/>
    <row r="43750" hidden="1" x14ac:dyDescent="0.15"/>
    <row r="43751" hidden="1" x14ac:dyDescent="0.15"/>
    <row r="43752" hidden="1" x14ac:dyDescent="0.15"/>
    <row r="43753" hidden="1" x14ac:dyDescent="0.15"/>
    <row r="43754" hidden="1" x14ac:dyDescent="0.15"/>
    <row r="43755" hidden="1" x14ac:dyDescent="0.15"/>
    <row r="43756" hidden="1" x14ac:dyDescent="0.15"/>
    <row r="43757" hidden="1" x14ac:dyDescent="0.15"/>
    <row r="43758" hidden="1" x14ac:dyDescent="0.15"/>
    <row r="43759" hidden="1" x14ac:dyDescent="0.15"/>
    <row r="43760" hidden="1" x14ac:dyDescent="0.15"/>
    <row r="43761" hidden="1" x14ac:dyDescent="0.15"/>
    <row r="43762" hidden="1" x14ac:dyDescent="0.15"/>
    <row r="43763" hidden="1" x14ac:dyDescent="0.15"/>
    <row r="43764" hidden="1" x14ac:dyDescent="0.15"/>
    <row r="43765" hidden="1" x14ac:dyDescent="0.15"/>
    <row r="43766" hidden="1" x14ac:dyDescent="0.15"/>
    <row r="43767" hidden="1" x14ac:dyDescent="0.15"/>
    <row r="43768" hidden="1" x14ac:dyDescent="0.15"/>
    <row r="43769" hidden="1" x14ac:dyDescent="0.15"/>
    <row r="43770" hidden="1" x14ac:dyDescent="0.15"/>
    <row r="43771" hidden="1" x14ac:dyDescent="0.15"/>
    <row r="43772" hidden="1" x14ac:dyDescent="0.15"/>
    <row r="43773" hidden="1" x14ac:dyDescent="0.15"/>
    <row r="43774" hidden="1" x14ac:dyDescent="0.15"/>
    <row r="43775" hidden="1" x14ac:dyDescent="0.15"/>
    <row r="43776" hidden="1" x14ac:dyDescent="0.15"/>
    <row r="43777" hidden="1" x14ac:dyDescent="0.15"/>
    <row r="43778" hidden="1" x14ac:dyDescent="0.15"/>
    <row r="43779" hidden="1" x14ac:dyDescent="0.15"/>
    <row r="43780" hidden="1" x14ac:dyDescent="0.15"/>
    <row r="43781" hidden="1" x14ac:dyDescent="0.15"/>
    <row r="43782" hidden="1" x14ac:dyDescent="0.15"/>
    <row r="43783" hidden="1" x14ac:dyDescent="0.15"/>
    <row r="43784" hidden="1" x14ac:dyDescent="0.15"/>
    <row r="43785" hidden="1" x14ac:dyDescent="0.15"/>
    <row r="43786" hidden="1" x14ac:dyDescent="0.15"/>
    <row r="43787" hidden="1" x14ac:dyDescent="0.15"/>
    <row r="43788" hidden="1" x14ac:dyDescent="0.15"/>
    <row r="43789" hidden="1" x14ac:dyDescent="0.15"/>
    <row r="43790" hidden="1" x14ac:dyDescent="0.15"/>
    <row r="43791" hidden="1" x14ac:dyDescent="0.15"/>
    <row r="43792" hidden="1" x14ac:dyDescent="0.15"/>
    <row r="43793" hidden="1" x14ac:dyDescent="0.15"/>
    <row r="43794" hidden="1" x14ac:dyDescent="0.15"/>
    <row r="43795" hidden="1" x14ac:dyDescent="0.15"/>
    <row r="43796" hidden="1" x14ac:dyDescent="0.15"/>
    <row r="43797" hidden="1" x14ac:dyDescent="0.15"/>
    <row r="43798" hidden="1" x14ac:dyDescent="0.15"/>
    <row r="43799" hidden="1" x14ac:dyDescent="0.15"/>
    <row r="43800" hidden="1" x14ac:dyDescent="0.15"/>
    <row r="43801" hidden="1" x14ac:dyDescent="0.15"/>
    <row r="43802" hidden="1" x14ac:dyDescent="0.15"/>
    <row r="43803" hidden="1" x14ac:dyDescent="0.15"/>
    <row r="43804" hidden="1" x14ac:dyDescent="0.15"/>
    <row r="43805" hidden="1" x14ac:dyDescent="0.15"/>
    <row r="43806" hidden="1" x14ac:dyDescent="0.15"/>
    <row r="43807" hidden="1" x14ac:dyDescent="0.15"/>
    <row r="43808" hidden="1" x14ac:dyDescent="0.15"/>
    <row r="43809" hidden="1" x14ac:dyDescent="0.15"/>
    <row r="43810" hidden="1" x14ac:dyDescent="0.15"/>
    <row r="43811" hidden="1" x14ac:dyDescent="0.15"/>
    <row r="43812" hidden="1" x14ac:dyDescent="0.15"/>
    <row r="43813" hidden="1" x14ac:dyDescent="0.15"/>
    <row r="43814" hidden="1" x14ac:dyDescent="0.15"/>
    <row r="43815" hidden="1" x14ac:dyDescent="0.15"/>
    <row r="43816" hidden="1" x14ac:dyDescent="0.15"/>
    <row r="43817" hidden="1" x14ac:dyDescent="0.15"/>
    <row r="43818" hidden="1" x14ac:dyDescent="0.15"/>
    <row r="43819" hidden="1" x14ac:dyDescent="0.15"/>
    <row r="43820" hidden="1" x14ac:dyDescent="0.15"/>
    <row r="43821" hidden="1" x14ac:dyDescent="0.15"/>
    <row r="43822" hidden="1" x14ac:dyDescent="0.15"/>
    <row r="43823" hidden="1" x14ac:dyDescent="0.15"/>
    <row r="43824" hidden="1" x14ac:dyDescent="0.15"/>
    <row r="43825" hidden="1" x14ac:dyDescent="0.15"/>
    <row r="43826" hidden="1" x14ac:dyDescent="0.15"/>
    <row r="43827" hidden="1" x14ac:dyDescent="0.15"/>
    <row r="43828" hidden="1" x14ac:dyDescent="0.15"/>
    <row r="43829" hidden="1" x14ac:dyDescent="0.15"/>
    <row r="43830" hidden="1" x14ac:dyDescent="0.15"/>
    <row r="43831" hidden="1" x14ac:dyDescent="0.15"/>
    <row r="43832" hidden="1" x14ac:dyDescent="0.15"/>
    <row r="43833" hidden="1" x14ac:dyDescent="0.15"/>
    <row r="43834" hidden="1" x14ac:dyDescent="0.15"/>
    <row r="43835" hidden="1" x14ac:dyDescent="0.15"/>
    <row r="43836" hidden="1" x14ac:dyDescent="0.15"/>
    <row r="43837" hidden="1" x14ac:dyDescent="0.15"/>
    <row r="43838" hidden="1" x14ac:dyDescent="0.15"/>
    <row r="43839" hidden="1" x14ac:dyDescent="0.15"/>
    <row r="43840" hidden="1" x14ac:dyDescent="0.15"/>
    <row r="43841" hidden="1" x14ac:dyDescent="0.15"/>
    <row r="43842" hidden="1" x14ac:dyDescent="0.15"/>
    <row r="43843" hidden="1" x14ac:dyDescent="0.15"/>
    <row r="43844" hidden="1" x14ac:dyDescent="0.15"/>
    <row r="43845" hidden="1" x14ac:dyDescent="0.15"/>
    <row r="43846" hidden="1" x14ac:dyDescent="0.15"/>
    <row r="43847" hidden="1" x14ac:dyDescent="0.15"/>
    <row r="43848" hidden="1" x14ac:dyDescent="0.15"/>
    <row r="43849" hidden="1" x14ac:dyDescent="0.15"/>
    <row r="43850" hidden="1" x14ac:dyDescent="0.15"/>
    <row r="43851" hidden="1" x14ac:dyDescent="0.15"/>
    <row r="43852" hidden="1" x14ac:dyDescent="0.15"/>
    <row r="43853" hidden="1" x14ac:dyDescent="0.15"/>
    <row r="43854" hidden="1" x14ac:dyDescent="0.15"/>
    <row r="43855" hidden="1" x14ac:dyDescent="0.15"/>
    <row r="43856" hidden="1" x14ac:dyDescent="0.15"/>
    <row r="43857" hidden="1" x14ac:dyDescent="0.15"/>
    <row r="43858" hidden="1" x14ac:dyDescent="0.15"/>
    <row r="43859" hidden="1" x14ac:dyDescent="0.15"/>
    <row r="43860" hidden="1" x14ac:dyDescent="0.15"/>
    <row r="43861" hidden="1" x14ac:dyDescent="0.15"/>
    <row r="43862" hidden="1" x14ac:dyDescent="0.15"/>
    <row r="43863" hidden="1" x14ac:dyDescent="0.15"/>
    <row r="43864" hidden="1" x14ac:dyDescent="0.15"/>
    <row r="43865" hidden="1" x14ac:dyDescent="0.15"/>
    <row r="43866" hidden="1" x14ac:dyDescent="0.15"/>
    <row r="43867" hidden="1" x14ac:dyDescent="0.15"/>
    <row r="43868" hidden="1" x14ac:dyDescent="0.15"/>
    <row r="43869" hidden="1" x14ac:dyDescent="0.15"/>
    <row r="43870" hidden="1" x14ac:dyDescent="0.15"/>
    <row r="43871" hidden="1" x14ac:dyDescent="0.15"/>
    <row r="43872" hidden="1" x14ac:dyDescent="0.15"/>
    <row r="43873" hidden="1" x14ac:dyDescent="0.15"/>
    <row r="43874" hidden="1" x14ac:dyDescent="0.15"/>
    <row r="43875" hidden="1" x14ac:dyDescent="0.15"/>
    <row r="43876" hidden="1" x14ac:dyDescent="0.15"/>
    <row r="43877" hidden="1" x14ac:dyDescent="0.15"/>
    <row r="43878" hidden="1" x14ac:dyDescent="0.15"/>
    <row r="43879" hidden="1" x14ac:dyDescent="0.15"/>
    <row r="43880" hidden="1" x14ac:dyDescent="0.15"/>
    <row r="43881" hidden="1" x14ac:dyDescent="0.15"/>
    <row r="43882" hidden="1" x14ac:dyDescent="0.15"/>
    <row r="43883" hidden="1" x14ac:dyDescent="0.15"/>
    <row r="43884" hidden="1" x14ac:dyDescent="0.15"/>
    <row r="43885" hidden="1" x14ac:dyDescent="0.15"/>
    <row r="43886" hidden="1" x14ac:dyDescent="0.15"/>
    <row r="43887" hidden="1" x14ac:dyDescent="0.15"/>
    <row r="43888" hidden="1" x14ac:dyDescent="0.15"/>
    <row r="43889" hidden="1" x14ac:dyDescent="0.15"/>
    <row r="43890" hidden="1" x14ac:dyDescent="0.15"/>
    <row r="43891" hidden="1" x14ac:dyDescent="0.15"/>
    <row r="43892" hidden="1" x14ac:dyDescent="0.15"/>
    <row r="43893" hidden="1" x14ac:dyDescent="0.15"/>
    <row r="43894" hidden="1" x14ac:dyDescent="0.15"/>
    <row r="43895" hidden="1" x14ac:dyDescent="0.15"/>
    <row r="43896" hidden="1" x14ac:dyDescent="0.15"/>
    <row r="43897" hidden="1" x14ac:dyDescent="0.15"/>
    <row r="43898" hidden="1" x14ac:dyDescent="0.15"/>
    <row r="43899" hidden="1" x14ac:dyDescent="0.15"/>
    <row r="43900" hidden="1" x14ac:dyDescent="0.15"/>
    <row r="43901" hidden="1" x14ac:dyDescent="0.15"/>
    <row r="43902" hidden="1" x14ac:dyDescent="0.15"/>
    <row r="43903" hidden="1" x14ac:dyDescent="0.15"/>
    <row r="43904" hidden="1" x14ac:dyDescent="0.15"/>
    <row r="43905" hidden="1" x14ac:dyDescent="0.15"/>
    <row r="43906" hidden="1" x14ac:dyDescent="0.15"/>
    <row r="43907" hidden="1" x14ac:dyDescent="0.15"/>
    <row r="43908" hidden="1" x14ac:dyDescent="0.15"/>
    <row r="43909" hidden="1" x14ac:dyDescent="0.15"/>
    <row r="43910" hidden="1" x14ac:dyDescent="0.15"/>
    <row r="43911" hidden="1" x14ac:dyDescent="0.15"/>
    <row r="43912" hidden="1" x14ac:dyDescent="0.15"/>
    <row r="43913" hidden="1" x14ac:dyDescent="0.15"/>
    <row r="43914" hidden="1" x14ac:dyDescent="0.15"/>
    <row r="43915" hidden="1" x14ac:dyDescent="0.15"/>
    <row r="43916" hidden="1" x14ac:dyDescent="0.15"/>
    <row r="43917" hidden="1" x14ac:dyDescent="0.15"/>
    <row r="43918" hidden="1" x14ac:dyDescent="0.15"/>
    <row r="43919" hidden="1" x14ac:dyDescent="0.15"/>
    <row r="43920" hidden="1" x14ac:dyDescent="0.15"/>
    <row r="43921" hidden="1" x14ac:dyDescent="0.15"/>
    <row r="43922" hidden="1" x14ac:dyDescent="0.15"/>
    <row r="43923" hidden="1" x14ac:dyDescent="0.15"/>
    <row r="43924" hidden="1" x14ac:dyDescent="0.15"/>
    <row r="43925" hidden="1" x14ac:dyDescent="0.15"/>
    <row r="43926" hidden="1" x14ac:dyDescent="0.15"/>
    <row r="43927" hidden="1" x14ac:dyDescent="0.15"/>
    <row r="43928" hidden="1" x14ac:dyDescent="0.15"/>
    <row r="43929" hidden="1" x14ac:dyDescent="0.15"/>
    <row r="43930" hidden="1" x14ac:dyDescent="0.15"/>
    <row r="43931" hidden="1" x14ac:dyDescent="0.15"/>
    <row r="43932" hidden="1" x14ac:dyDescent="0.15"/>
    <row r="43933" hidden="1" x14ac:dyDescent="0.15"/>
    <row r="43934" hidden="1" x14ac:dyDescent="0.15"/>
    <row r="43935" hidden="1" x14ac:dyDescent="0.15"/>
    <row r="43936" hidden="1" x14ac:dyDescent="0.15"/>
    <row r="43937" hidden="1" x14ac:dyDescent="0.15"/>
    <row r="43938" hidden="1" x14ac:dyDescent="0.15"/>
    <row r="43939" hidden="1" x14ac:dyDescent="0.15"/>
    <row r="43940" hidden="1" x14ac:dyDescent="0.15"/>
    <row r="43941" hidden="1" x14ac:dyDescent="0.15"/>
    <row r="43942" hidden="1" x14ac:dyDescent="0.15"/>
    <row r="43943" hidden="1" x14ac:dyDescent="0.15"/>
    <row r="43944" hidden="1" x14ac:dyDescent="0.15"/>
    <row r="43945" hidden="1" x14ac:dyDescent="0.15"/>
    <row r="43946" hidden="1" x14ac:dyDescent="0.15"/>
    <row r="43947" hidden="1" x14ac:dyDescent="0.15"/>
    <row r="43948" hidden="1" x14ac:dyDescent="0.15"/>
    <row r="43949" hidden="1" x14ac:dyDescent="0.15"/>
    <row r="43950" hidden="1" x14ac:dyDescent="0.15"/>
    <row r="43951" hidden="1" x14ac:dyDescent="0.15"/>
    <row r="43952" hidden="1" x14ac:dyDescent="0.15"/>
    <row r="43953" hidden="1" x14ac:dyDescent="0.15"/>
    <row r="43954" hidden="1" x14ac:dyDescent="0.15"/>
    <row r="43955" hidden="1" x14ac:dyDescent="0.15"/>
    <row r="43956" hidden="1" x14ac:dyDescent="0.15"/>
    <row r="43957" hidden="1" x14ac:dyDescent="0.15"/>
    <row r="43958" hidden="1" x14ac:dyDescent="0.15"/>
    <row r="43959" hidden="1" x14ac:dyDescent="0.15"/>
    <row r="43960" hidden="1" x14ac:dyDescent="0.15"/>
    <row r="43961" hidden="1" x14ac:dyDescent="0.15"/>
    <row r="43962" hidden="1" x14ac:dyDescent="0.15"/>
    <row r="43963" hidden="1" x14ac:dyDescent="0.15"/>
    <row r="43964" hidden="1" x14ac:dyDescent="0.15"/>
    <row r="43965" hidden="1" x14ac:dyDescent="0.15"/>
    <row r="43966" hidden="1" x14ac:dyDescent="0.15"/>
    <row r="43967" hidden="1" x14ac:dyDescent="0.15"/>
    <row r="43968" hidden="1" x14ac:dyDescent="0.15"/>
    <row r="43969" hidden="1" x14ac:dyDescent="0.15"/>
    <row r="43970" hidden="1" x14ac:dyDescent="0.15"/>
    <row r="43971" hidden="1" x14ac:dyDescent="0.15"/>
    <row r="43972" hidden="1" x14ac:dyDescent="0.15"/>
    <row r="43973" hidden="1" x14ac:dyDescent="0.15"/>
    <row r="43974" hidden="1" x14ac:dyDescent="0.15"/>
    <row r="43975" hidden="1" x14ac:dyDescent="0.15"/>
    <row r="43976" hidden="1" x14ac:dyDescent="0.15"/>
    <row r="43977" hidden="1" x14ac:dyDescent="0.15"/>
    <row r="43978" hidden="1" x14ac:dyDescent="0.15"/>
    <row r="43979" hidden="1" x14ac:dyDescent="0.15"/>
    <row r="43980" hidden="1" x14ac:dyDescent="0.15"/>
    <row r="43981" hidden="1" x14ac:dyDescent="0.15"/>
    <row r="43982" hidden="1" x14ac:dyDescent="0.15"/>
    <row r="43983" hidden="1" x14ac:dyDescent="0.15"/>
    <row r="43984" hidden="1" x14ac:dyDescent="0.15"/>
    <row r="43985" hidden="1" x14ac:dyDescent="0.15"/>
    <row r="43986" hidden="1" x14ac:dyDescent="0.15"/>
    <row r="43987" hidden="1" x14ac:dyDescent="0.15"/>
    <row r="43988" hidden="1" x14ac:dyDescent="0.15"/>
    <row r="43989" hidden="1" x14ac:dyDescent="0.15"/>
    <row r="43990" hidden="1" x14ac:dyDescent="0.15"/>
    <row r="43991" hidden="1" x14ac:dyDescent="0.15"/>
    <row r="43992" hidden="1" x14ac:dyDescent="0.15"/>
    <row r="43993" hidden="1" x14ac:dyDescent="0.15"/>
    <row r="43994" hidden="1" x14ac:dyDescent="0.15"/>
    <row r="43995" hidden="1" x14ac:dyDescent="0.15"/>
    <row r="43996" hidden="1" x14ac:dyDescent="0.15"/>
    <row r="43997" hidden="1" x14ac:dyDescent="0.15"/>
    <row r="43998" hidden="1" x14ac:dyDescent="0.15"/>
    <row r="43999" hidden="1" x14ac:dyDescent="0.15"/>
    <row r="44000" hidden="1" x14ac:dyDescent="0.15"/>
    <row r="44001" hidden="1" x14ac:dyDescent="0.15"/>
    <row r="44002" hidden="1" x14ac:dyDescent="0.15"/>
    <row r="44003" hidden="1" x14ac:dyDescent="0.15"/>
    <row r="44004" hidden="1" x14ac:dyDescent="0.15"/>
    <row r="44005" hidden="1" x14ac:dyDescent="0.15"/>
    <row r="44006" hidden="1" x14ac:dyDescent="0.15"/>
    <row r="44007" hidden="1" x14ac:dyDescent="0.15"/>
    <row r="44008" hidden="1" x14ac:dyDescent="0.15"/>
    <row r="44009" hidden="1" x14ac:dyDescent="0.15"/>
    <row r="44010" hidden="1" x14ac:dyDescent="0.15"/>
    <row r="44011" hidden="1" x14ac:dyDescent="0.15"/>
    <row r="44012" hidden="1" x14ac:dyDescent="0.15"/>
    <row r="44013" hidden="1" x14ac:dyDescent="0.15"/>
    <row r="44014" hidden="1" x14ac:dyDescent="0.15"/>
    <row r="44015" hidden="1" x14ac:dyDescent="0.15"/>
    <row r="44016" hidden="1" x14ac:dyDescent="0.15"/>
    <row r="44017" hidden="1" x14ac:dyDescent="0.15"/>
    <row r="44018" hidden="1" x14ac:dyDescent="0.15"/>
    <row r="44019" hidden="1" x14ac:dyDescent="0.15"/>
    <row r="44020" hidden="1" x14ac:dyDescent="0.15"/>
    <row r="44021" hidden="1" x14ac:dyDescent="0.15"/>
    <row r="44022" hidden="1" x14ac:dyDescent="0.15"/>
    <row r="44023" hidden="1" x14ac:dyDescent="0.15"/>
    <row r="44024" hidden="1" x14ac:dyDescent="0.15"/>
    <row r="44025" hidden="1" x14ac:dyDescent="0.15"/>
    <row r="44026" hidden="1" x14ac:dyDescent="0.15"/>
    <row r="44027" hidden="1" x14ac:dyDescent="0.15"/>
    <row r="44028" hidden="1" x14ac:dyDescent="0.15"/>
    <row r="44029" hidden="1" x14ac:dyDescent="0.15"/>
    <row r="44030" hidden="1" x14ac:dyDescent="0.15"/>
    <row r="44031" hidden="1" x14ac:dyDescent="0.15"/>
    <row r="44032" hidden="1" x14ac:dyDescent="0.15"/>
    <row r="44033" hidden="1" x14ac:dyDescent="0.15"/>
    <row r="44034" hidden="1" x14ac:dyDescent="0.15"/>
    <row r="44035" hidden="1" x14ac:dyDescent="0.15"/>
    <row r="44036" hidden="1" x14ac:dyDescent="0.15"/>
    <row r="44037" hidden="1" x14ac:dyDescent="0.15"/>
    <row r="44038" hidden="1" x14ac:dyDescent="0.15"/>
    <row r="44039" hidden="1" x14ac:dyDescent="0.15"/>
    <row r="44040" hidden="1" x14ac:dyDescent="0.15"/>
    <row r="44041" hidden="1" x14ac:dyDescent="0.15"/>
    <row r="44042" hidden="1" x14ac:dyDescent="0.15"/>
    <row r="44043" hidden="1" x14ac:dyDescent="0.15"/>
    <row r="44044" hidden="1" x14ac:dyDescent="0.15"/>
    <row r="44045" hidden="1" x14ac:dyDescent="0.15"/>
    <row r="44046" hidden="1" x14ac:dyDescent="0.15"/>
    <row r="44047" hidden="1" x14ac:dyDescent="0.15"/>
    <row r="44048" hidden="1" x14ac:dyDescent="0.15"/>
    <row r="44049" hidden="1" x14ac:dyDescent="0.15"/>
    <row r="44050" hidden="1" x14ac:dyDescent="0.15"/>
    <row r="44051" hidden="1" x14ac:dyDescent="0.15"/>
    <row r="44052" hidden="1" x14ac:dyDescent="0.15"/>
    <row r="44053" hidden="1" x14ac:dyDescent="0.15"/>
    <row r="44054" hidden="1" x14ac:dyDescent="0.15"/>
    <row r="44055" hidden="1" x14ac:dyDescent="0.15"/>
    <row r="44056" hidden="1" x14ac:dyDescent="0.15"/>
    <row r="44057" hidden="1" x14ac:dyDescent="0.15"/>
    <row r="44058" hidden="1" x14ac:dyDescent="0.15"/>
    <row r="44059" hidden="1" x14ac:dyDescent="0.15"/>
    <row r="44060" hidden="1" x14ac:dyDescent="0.15"/>
    <row r="44061" hidden="1" x14ac:dyDescent="0.15"/>
    <row r="44062" hidden="1" x14ac:dyDescent="0.15"/>
    <row r="44063" hidden="1" x14ac:dyDescent="0.15"/>
    <row r="44064" hidden="1" x14ac:dyDescent="0.15"/>
    <row r="44065" hidden="1" x14ac:dyDescent="0.15"/>
    <row r="44066" hidden="1" x14ac:dyDescent="0.15"/>
    <row r="44067" hidden="1" x14ac:dyDescent="0.15"/>
    <row r="44068" hidden="1" x14ac:dyDescent="0.15"/>
    <row r="44069" hidden="1" x14ac:dyDescent="0.15"/>
    <row r="44070" hidden="1" x14ac:dyDescent="0.15"/>
    <row r="44071" hidden="1" x14ac:dyDescent="0.15"/>
    <row r="44072" hidden="1" x14ac:dyDescent="0.15"/>
    <row r="44073" hidden="1" x14ac:dyDescent="0.15"/>
    <row r="44074" hidden="1" x14ac:dyDescent="0.15"/>
    <row r="44075" hidden="1" x14ac:dyDescent="0.15"/>
    <row r="44076" hidden="1" x14ac:dyDescent="0.15"/>
    <row r="44077" hidden="1" x14ac:dyDescent="0.15"/>
    <row r="44078" hidden="1" x14ac:dyDescent="0.15"/>
    <row r="44079" hidden="1" x14ac:dyDescent="0.15"/>
    <row r="44080" hidden="1" x14ac:dyDescent="0.15"/>
    <row r="44081" hidden="1" x14ac:dyDescent="0.15"/>
    <row r="44082" hidden="1" x14ac:dyDescent="0.15"/>
    <row r="44083" hidden="1" x14ac:dyDescent="0.15"/>
    <row r="44084" hidden="1" x14ac:dyDescent="0.15"/>
    <row r="44085" hidden="1" x14ac:dyDescent="0.15"/>
    <row r="44086" hidden="1" x14ac:dyDescent="0.15"/>
    <row r="44087" hidden="1" x14ac:dyDescent="0.15"/>
    <row r="44088" hidden="1" x14ac:dyDescent="0.15"/>
    <row r="44089" hidden="1" x14ac:dyDescent="0.15"/>
    <row r="44090" hidden="1" x14ac:dyDescent="0.15"/>
    <row r="44091" hidden="1" x14ac:dyDescent="0.15"/>
    <row r="44092" hidden="1" x14ac:dyDescent="0.15"/>
    <row r="44093" hidden="1" x14ac:dyDescent="0.15"/>
    <row r="44094" hidden="1" x14ac:dyDescent="0.15"/>
    <row r="44095" hidden="1" x14ac:dyDescent="0.15"/>
    <row r="44096" hidden="1" x14ac:dyDescent="0.15"/>
    <row r="44097" hidden="1" x14ac:dyDescent="0.15"/>
    <row r="44098" hidden="1" x14ac:dyDescent="0.15"/>
    <row r="44099" hidden="1" x14ac:dyDescent="0.15"/>
    <row r="44100" hidden="1" x14ac:dyDescent="0.15"/>
    <row r="44101" hidden="1" x14ac:dyDescent="0.15"/>
    <row r="44102" hidden="1" x14ac:dyDescent="0.15"/>
    <row r="44103" hidden="1" x14ac:dyDescent="0.15"/>
    <row r="44104" hidden="1" x14ac:dyDescent="0.15"/>
    <row r="44105" hidden="1" x14ac:dyDescent="0.15"/>
    <row r="44106" hidden="1" x14ac:dyDescent="0.15"/>
    <row r="44107" hidden="1" x14ac:dyDescent="0.15"/>
    <row r="44108" hidden="1" x14ac:dyDescent="0.15"/>
    <row r="44109" hidden="1" x14ac:dyDescent="0.15"/>
    <row r="44110" hidden="1" x14ac:dyDescent="0.15"/>
    <row r="44111" hidden="1" x14ac:dyDescent="0.15"/>
    <row r="44112" hidden="1" x14ac:dyDescent="0.15"/>
    <row r="44113" hidden="1" x14ac:dyDescent="0.15"/>
    <row r="44114" hidden="1" x14ac:dyDescent="0.15"/>
    <row r="44115" hidden="1" x14ac:dyDescent="0.15"/>
    <row r="44116" hidden="1" x14ac:dyDescent="0.15"/>
    <row r="44117" hidden="1" x14ac:dyDescent="0.15"/>
    <row r="44118" hidden="1" x14ac:dyDescent="0.15"/>
    <row r="44119" hidden="1" x14ac:dyDescent="0.15"/>
    <row r="44120" hidden="1" x14ac:dyDescent="0.15"/>
    <row r="44121" hidden="1" x14ac:dyDescent="0.15"/>
    <row r="44122" hidden="1" x14ac:dyDescent="0.15"/>
    <row r="44123" hidden="1" x14ac:dyDescent="0.15"/>
    <row r="44124" hidden="1" x14ac:dyDescent="0.15"/>
    <row r="44125" hidden="1" x14ac:dyDescent="0.15"/>
    <row r="44126" hidden="1" x14ac:dyDescent="0.15"/>
    <row r="44127" hidden="1" x14ac:dyDescent="0.15"/>
    <row r="44128" hidden="1" x14ac:dyDescent="0.15"/>
    <row r="44129" hidden="1" x14ac:dyDescent="0.15"/>
    <row r="44130" hidden="1" x14ac:dyDescent="0.15"/>
    <row r="44131" hidden="1" x14ac:dyDescent="0.15"/>
    <row r="44132" hidden="1" x14ac:dyDescent="0.15"/>
    <row r="44133" hidden="1" x14ac:dyDescent="0.15"/>
    <row r="44134" hidden="1" x14ac:dyDescent="0.15"/>
    <row r="44135" hidden="1" x14ac:dyDescent="0.15"/>
    <row r="44136" hidden="1" x14ac:dyDescent="0.15"/>
    <row r="44137" hidden="1" x14ac:dyDescent="0.15"/>
    <row r="44138" hidden="1" x14ac:dyDescent="0.15"/>
    <row r="44139" hidden="1" x14ac:dyDescent="0.15"/>
    <row r="44140" hidden="1" x14ac:dyDescent="0.15"/>
    <row r="44141" hidden="1" x14ac:dyDescent="0.15"/>
    <row r="44142" hidden="1" x14ac:dyDescent="0.15"/>
    <row r="44143" hidden="1" x14ac:dyDescent="0.15"/>
    <row r="44144" hidden="1" x14ac:dyDescent="0.15"/>
    <row r="44145" hidden="1" x14ac:dyDescent="0.15"/>
    <row r="44146" hidden="1" x14ac:dyDescent="0.15"/>
    <row r="44147" hidden="1" x14ac:dyDescent="0.15"/>
    <row r="44148" hidden="1" x14ac:dyDescent="0.15"/>
    <row r="44149" hidden="1" x14ac:dyDescent="0.15"/>
    <row r="44150" hidden="1" x14ac:dyDescent="0.15"/>
    <row r="44151" hidden="1" x14ac:dyDescent="0.15"/>
    <row r="44152" hidden="1" x14ac:dyDescent="0.15"/>
    <row r="44153" hidden="1" x14ac:dyDescent="0.15"/>
    <row r="44154" hidden="1" x14ac:dyDescent="0.15"/>
    <row r="44155" hidden="1" x14ac:dyDescent="0.15"/>
    <row r="44156" hidden="1" x14ac:dyDescent="0.15"/>
    <row r="44157" hidden="1" x14ac:dyDescent="0.15"/>
    <row r="44158" hidden="1" x14ac:dyDescent="0.15"/>
    <row r="44159" hidden="1" x14ac:dyDescent="0.15"/>
    <row r="44160" hidden="1" x14ac:dyDescent="0.15"/>
    <row r="44161" hidden="1" x14ac:dyDescent="0.15"/>
    <row r="44162" hidden="1" x14ac:dyDescent="0.15"/>
    <row r="44163" hidden="1" x14ac:dyDescent="0.15"/>
    <row r="44164" hidden="1" x14ac:dyDescent="0.15"/>
    <row r="44165" hidden="1" x14ac:dyDescent="0.15"/>
    <row r="44166" hidden="1" x14ac:dyDescent="0.15"/>
    <row r="44167" hidden="1" x14ac:dyDescent="0.15"/>
    <row r="44168" hidden="1" x14ac:dyDescent="0.15"/>
    <row r="44169" hidden="1" x14ac:dyDescent="0.15"/>
    <row r="44170" hidden="1" x14ac:dyDescent="0.15"/>
    <row r="44171" hidden="1" x14ac:dyDescent="0.15"/>
    <row r="44172" hidden="1" x14ac:dyDescent="0.15"/>
    <row r="44173" hidden="1" x14ac:dyDescent="0.15"/>
    <row r="44174" hidden="1" x14ac:dyDescent="0.15"/>
    <row r="44175" hidden="1" x14ac:dyDescent="0.15"/>
    <row r="44176" hidden="1" x14ac:dyDescent="0.15"/>
    <row r="44177" hidden="1" x14ac:dyDescent="0.15"/>
    <row r="44178" hidden="1" x14ac:dyDescent="0.15"/>
    <row r="44179" hidden="1" x14ac:dyDescent="0.15"/>
    <row r="44180" hidden="1" x14ac:dyDescent="0.15"/>
    <row r="44181" hidden="1" x14ac:dyDescent="0.15"/>
    <row r="44182" hidden="1" x14ac:dyDescent="0.15"/>
    <row r="44183" hidden="1" x14ac:dyDescent="0.15"/>
    <row r="44184" hidden="1" x14ac:dyDescent="0.15"/>
    <row r="44185" hidden="1" x14ac:dyDescent="0.15"/>
    <row r="44186" hidden="1" x14ac:dyDescent="0.15"/>
    <row r="44187" hidden="1" x14ac:dyDescent="0.15"/>
    <row r="44188" hidden="1" x14ac:dyDescent="0.15"/>
    <row r="44189" hidden="1" x14ac:dyDescent="0.15"/>
    <row r="44190" hidden="1" x14ac:dyDescent="0.15"/>
    <row r="44191" hidden="1" x14ac:dyDescent="0.15"/>
    <row r="44192" hidden="1" x14ac:dyDescent="0.15"/>
    <row r="44193" hidden="1" x14ac:dyDescent="0.15"/>
    <row r="44194" hidden="1" x14ac:dyDescent="0.15"/>
    <row r="44195" hidden="1" x14ac:dyDescent="0.15"/>
    <row r="44196" hidden="1" x14ac:dyDescent="0.15"/>
    <row r="44197" hidden="1" x14ac:dyDescent="0.15"/>
    <row r="44198" hidden="1" x14ac:dyDescent="0.15"/>
    <row r="44199" hidden="1" x14ac:dyDescent="0.15"/>
    <row r="44200" hidden="1" x14ac:dyDescent="0.15"/>
    <row r="44201" hidden="1" x14ac:dyDescent="0.15"/>
    <row r="44202" hidden="1" x14ac:dyDescent="0.15"/>
    <row r="44203" hidden="1" x14ac:dyDescent="0.15"/>
    <row r="44204" hidden="1" x14ac:dyDescent="0.15"/>
    <row r="44205" hidden="1" x14ac:dyDescent="0.15"/>
    <row r="44206" hidden="1" x14ac:dyDescent="0.15"/>
    <row r="44207" hidden="1" x14ac:dyDescent="0.15"/>
    <row r="44208" hidden="1" x14ac:dyDescent="0.15"/>
    <row r="44209" hidden="1" x14ac:dyDescent="0.15"/>
    <row r="44210" hidden="1" x14ac:dyDescent="0.15"/>
    <row r="44211" hidden="1" x14ac:dyDescent="0.15"/>
    <row r="44212" hidden="1" x14ac:dyDescent="0.15"/>
    <row r="44213" hidden="1" x14ac:dyDescent="0.15"/>
    <row r="44214" hidden="1" x14ac:dyDescent="0.15"/>
    <row r="44215" hidden="1" x14ac:dyDescent="0.15"/>
    <row r="44216" hidden="1" x14ac:dyDescent="0.15"/>
    <row r="44217" hidden="1" x14ac:dyDescent="0.15"/>
    <row r="44218" hidden="1" x14ac:dyDescent="0.15"/>
    <row r="44219" hidden="1" x14ac:dyDescent="0.15"/>
    <row r="44220" hidden="1" x14ac:dyDescent="0.15"/>
    <row r="44221" hidden="1" x14ac:dyDescent="0.15"/>
    <row r="44222" hidden="1" x14ac:dyDescent="0.15"/>
    <row r="44223" hidden="1" x14ac:dyDescent="0.15"/>
    <row r="44224" hidden="1" x14ac:dyDescent="0.15"/>
    <row r="44225" hidden="1" x14ac:dyDescent="0.15"/>
    <row r="44226" hidden="1" x14ac:dyDescent="0.15"/>
    <row r="44227" hidden="1" x14ac:dyDescent="0.15"/>
    <row r="44228" hidden="1" x14ac:dyDescent="0.15"/>
    <row r="44229" hidden="1" x14ac:dyDescent="0.15"/>
    <row r="44230" hidden="1" x14ac:dyDescent="0.15"/>
    <row r="44231" hidden="1" x14ac:dyDescent="0.15"/>
    <row r="44232" hidden="1" x14ac:dyDescent="0.15"/>
    <row r="44233" hidden="1" x14ac:dyDescent="0.15"/>
    <row r="44234" hidden="1" x14ac:dyDescent="0.15"/>
    <row r="44235" hidden="1" x14ac:dyDescent="0.15"/>
    <row r="44236" hidden="1" x14ac:dyDescent="0.15"/>
    <row r="44237" hidden="1" x14ac:dyDescent="0.15"/>
    <row r="44238" hidden="1" x14ac:dyDescent="0.15"/>
    <row r="44239" hidden="1" x14ac:dyDescent="0.15"/>
    <row r="44240" hidden="1" x14ac:dyDescent="0.15"/>
    <row r="44241" hidden="1" x14ac:dyDescent="0.15"/>
    <row r="44242" hidden="1" x14ac:dyDescent="0.15"/>
    <row r="44243" hidden="1" x14ac:dyDescent="0.15"/>
    <row r="44244" hidden="1" x14ac:dyDescent="0.15"/>
    <row r="44245" hidden="1" x14ac:dyDescent="0.15"/>
    <row r="44246" hidden="1" x14ac:dyDescent="0.15"/>
    <row r="44247" hidden="1" x14ac:dyDescent="0.15"/>
    <row r="44248" hidden="1" x14ac:dyDescent="0.15"/>
    <row r="44249" hidden="1" x14ac:dyDescent="0.15"/>
    <row r="44250" hidden="1" x14ac:dyDescent="0.15"/>
    <row r="44251" hidden="1" x14ac:dyDescent="0.15"/>
    <row r="44252" hidden="1" x14ac:dyDescent="0.15"/>
    <row r="44253" hidden="1" x14ac:dyDescent="0.15"/>
    <row r="44254" hidden="1" x14ac:dyDescent="0.15"/>
    <row r="44255" hidden="1" x14ac:dyDescent="0.15"/>
    <row r="44256" hidden="1" x14ac:dyDescent="0.15"/>
    <row r="44257" hidden="1" x14ac:dyDescent="0.15"/>
    <row r="44258" hidden="1" x14ac:dyDescent="0.15"/>
    <row r="44259" hidden="1" x14ac:dyDescent="0.15"/>
    <row r="44260" hidden="1" x14ac:dyDescent="0.15"/>
    <row r="44261" hidden="1" x14ac:dyDescent="0.15"/>
    <row r="44262" hidden="1" x14ac:dyDescent="0.15"/>
    <row r="44263" hidden="1" x14ac:dyDescent="0.15"/>
    <row r="44264" hidden="1" x14ac:dyDescent="0.15"/>
    <row r="44265" hidden="1" x14ac:dyDescent="0.15"/>
    <row r="44266" hidden="1" x14ac:dyDescent="0.15"/>
    <row r="44267" hidden="1" x14ac:dyDescent="0.15"/>
    <row r="44268" hidden="1" x14ac:dyDescent="0.15"/>
    <row r="44269" hidden="1" x14ac:dyDescent="0.15"/>
    <row r="44270" hidden="1" x14ac:dyDescent="0.15"/>
    <row r="44271" hidden="1" x14ac:dyDescent="0.15"/>
    <row r="44272" hidden="1" x14ac:dyDescent="0.15"/>
    <row r="44273" hidden="1" x14ac:dyDescent="0.15"/>
    <row r="44274" hidden="1" x14ac:dyDescent="0.15"/>
    <row r="44275" hidden="1" x14ac:dyDescent="0.15"/>
    <row r="44276" hidden="1" x14ac:dyDescent="0.15"/>
    <row r="44277" hidden="1" x14ac:dyDescent="0.15"/>
    <row r="44278" hidden="1" x14ac:dyDescent="0.15"/>
    <row r="44279" hidden="1" x14ac:dyDescent="0.15"/>
    <row r="44280" hidden="1" x14ac:dyDescent="0.15"/>
    <row r="44281" hidden="1" x14ac:dyDescent="0.15"/>
    <row r="44282" hidden="1" x14ac:dyDescent="0.15"/>
    <row r="44283" hidden="1" x14ac:dyDescent="0.15"/>
    <row r="44284" hidden="1" x14ac:dyDescent="0.15"/>
    <row r="44285" hidden="1" x14ac:dyDescent="0.15"/>
    <row r="44286" hidden="1" x14ac:dyDescent="0.15"/>
    <row r="44287" hidden="1" x14ac:dyDescent="0.15"/>
    <row r="44288" hidden="1" x14ac:dyDescent="0.15"/>
    <row r="44289" hidden="1" x14ac:dyDescent="0.15"/>
    <row r="44290" hidden="1" x14ac:dyDescent="0.15"/>
    <row r="44291" hidden="1" x14ac:dyDescent="0.15"/>
    <row r="44292" hidden="1" x14ac:dyDescent="0.15"/>
    <row r="44293" hidden="1" x14ac:dyDescent="0.15"/>
    <row r="44294" hidden="1" x14ac:dyDescent="0.15"/>
    <row r="44295" hidden="1" x14ac:dyDescent="0.15"/>
    <row r="44296" hidden="1" x14ac:dyDescent="0.15"/>
    <row r="44297" hidden="1" x14ac:dyDescent="0.15"/>
    <row r="44298" hidden="1" x14ac:dyDescent="0.15"/>
    <row r="44299" hidden="1" x14ac:dyDescent="0.15"/>
    <row r="44300" hidden="1" x14ac:dyDescent="0.15"/>
    <row r="44301" hidden="1" x14ac:dyDescent="0.15"/>
    <row r="44302" hidden="1" x14ac:dyDescent="0.15"/>
    <row r="44303" hidden="1" x14ac:dyDescent="0.15"/>
    <row r="44304" hidden="1" x14ac:dyDescent="0.15"/>
    <row r="44305" hidden="1" x14ac:dyDescent="0.15"/>
    <row r="44306" hidden="1" x14ac:dyDescent="0.15"/>
    <row r="44307" hidden="1" x14ac:dyDescent="0.15"/>
    <row r="44308" hidden="1" x14ac:dyDescent="0.15"/>
    <row r="44309" hidden="1" x14ac:dyDescent="0.15"/>
    <row r="44310" hidden="1" x14ac:dyDescent="0.15"/>
    <row r="44311" hidden="1" x14ac:dyDescent="0.15"/>
    <row r="44312" hidden="1" x14ac:dyDescent="0.15"/>
    <row r="44313" hidden="1" x14ac:dyDescent="0.15"/>
    <row r="44314" hidden="1" x14ac:dyDescent="0.15"/>
    <row r="44315" hidden="1" x14ac:dyDescent="0.15"/>
    <row r="44316" hidden="1" x14ac:dyDescent="0.15"/>
    <row r="44317" hidden="1" x14ac:dyDescent="0.15"/>
    <row r="44318" hidden="1" x14ac:dyDescent="0.15"/>
    <row r="44319" hidden="1" x14ac:dyDescent="0.15"/>
    <row r="44320" hidden="1" x14ac:dyDescent="0.15"/>
    <row r="44321" hidden="1" x14ac:dyDescent="0.15"/>
    <row r="44322" hidden="1" x14ac:dyDescent="0.15"/>
    <row r="44323" hidden="1" x14ac:dyDescent="0.15"/>
    <row r="44324" hidden="1" x14ac:dyDescent="0.15"/>
    <row r="44325" hidden="1" x14ac:dyDescent="0.15"/>
    <row r="44326" hidden="1" x14ac:dyDescent="0.15"/>
    <row r="44327" hidden="1" x14ac:dyDescent="0.15"/>
    <row r="44328" hidden="1" x14ac:dyDescent="0.15"/>
    <row r="44329" hidden="1" x14ac:dyDescent="0.15"/>
    <row r="44330" hidden="1" x14ac:dyDescent="0.15"/>
    <row r="44331" hidden="1" x14ac:dyDescent="0.15"/>
    <row r="44332" hidden="1" x14ac:dyDescent="0.15"/>
    <row r="44333" hidden="1" x14ac:dyDescent="0.15"/>
    <row r="44334" hidden="1" x14ac:dyDescent="0.15"/>
    <row r="44335" hidden="1" x14ac:dyDescent="0.15"/>
    <row r="44336" hidden="1" x14ac:dyDescent="0.15"/>
    <row r="44337" hidden="1" x14ac:dyDescent="0.15"/>
    <row r="44338" hidden="1" x14ac:dyDescent="0.15"/>
    <row r="44339" hidden="1" x14ac:dyDescent="0.15"/>
    <row r="44340" hidden="1" x14ac:dyDescent="0.15"/>
    <row r="44341" hidden="1" x14ac:dyDescent="0.15"/>
    <row r="44342" hidden="1" x14ac:dyDescent="0.15"/>
    <row r="44343" hidden="1" x14ac:dyDescent="0.15"/>
    <row r="44344" hidden="1" x14ac:dyDescent="0.15"/>
    <row r="44345" hidden="1" x14ac:dyDescent="0.15"/>
    <row r="44346" hidden="1" x14ac:dyDescent="0.15"/>
    <row r="44347" hidden="1" x14ac:dyDescent="0.15"/>
    <row r="44348" hidden="1" x14ac:dyDescent="0.15"/>
    <row r="44349" hidden="1" x14ac:dyDescent="0.15"/>
    <row r="44350" hidden="1" x14ac:dyDescent="0.15"/>
    <row r="44351" hidden="1" x14ac:dyDescent="0.15"/>
    <row r="44352" hidden="1" x14ac:dyDescent="0.15"/>
    <row r="44353" hidden="1" x14ac:dyDescent="0.15"/>
    <row r="44354" hidden="1" x14ac:dyDescent="0.15"/>
    <row r="44355" hidden="1" x14ac:dyDescent="0.15"/>
    <row r="44356" hidden="1" x14ac:dyDescent="0.15"/>
    <row r="44357" hidden="1" x14ac:dyDescent="0.15"/>
    <row r="44358" hidden="1" x14ac:dyDescent="0.15"/>
    <row r="44359" hidden="1" x14ac:dyDescent="0.15"/>
    <row r="44360" hidden="1" x14ac:dyDescent="0.15"/>
    <row r="44361" hidden="1" x14ac:dyDescent="0.15"/>
    <row r="44362" hidden="1" x14ac:dyDescent="0.15"/>
    <row r="44363" hidden="1" x14ac:dyDescent="0.15"/>
    <row r="44364" hidden="1" x14ac:dyDescent="0.15"/>
    <row r="44365" hidden="1" x14ac:dyDescent="0.15"/>
    <row r="44366" hidden="1" x14ac:dyDescent="0.15"/>
    <row r="44367" hidden="1" x14ac:dyDescent="0.15"/>
    <row r="44368" hidden="1" x14ac:dyDescent="0.15"/>
    <row r="44369" hidden="1" x14ac:dyDescent="0.15"/>
    <row r="44370" hidden="1" x14ac:dyDescent="0.15"/>
    <row r="44371" hidden="1" x14ac:dyDescent="0.15"/>
    <row r="44372" hidden="1" x14ac:dyDescent="0.15"/>
    <row r="44373" hidden="1" x14ac:dyDescent="0.15"/>
    <row r="44374" hidden="1" x14ac:dyDescent="0.15"/>
    <row r="44375" hidden="1" x14ac:dyDescent="0.15"/>
    <row r="44376" hidden="1" x14ac:dyDescent="0.15"/>
    <row r="44377" hidden="1" x14ac:dyDescent="0.15"/>
    <row r="44378" hidden="1" x14ac:dyDescent="0.15"/>
    <row r="44379" hidden="1" x14ac:dyDescent="0.15"/>
    <row r="44380" hidden="1" x14ac:dyDescent="0.15"/>
    <row r="44381" hidden="1" x14ac:dyDescent="0.15"/>
    <row r="44382" hidden="1" x14ac:dyDescent="0.15"/>
    <row r="44383" hidden="1" x14ac:dyDescent="0.15"/>
    <row r="44384" hidden="1" x14ac:dyDescent="0.15"/>
    <row r="44385" hidden="1" x14ac:dyDescent="0.15"/>
    <row r="44386" hidden="1" x14ac:dyDescent="0.15"/>
    <row r="44387" hidden="1" x14ac:dyDescent="0.15"/>
    <row r="44388" hidden="1" x14ac:dyDescent="0.15"/>
    <row r="44389" hidden="1" x14ac:dyDescent="0.15"/>
    <row r="44390" hidden="1" x14ac:dyDescent="0.15"/>
    <row r="44391" hidden="1" x14ac:dyDescent="0.15"/>
    <row r="44392" hidden="1" x14ac:dyDescent="0.15"/>
    <row r="44393" hidden="1" x14ac:dyDescent="0.15"/>
    <row r="44394" hidden="1" x14ac:dyDescent="0.15"/>
    <row r="44395" hidden="1" x14ac:dyDescent="0.15"/>
    <row r="44396" hidden="1" x14ac:dyDescent="0.15"/>
    <row r="44397" hidden="1" x14ac:dyDescent="0.15"/>
    <row r="44398" hidden="1" x14ac:dyDescent="0.15"/>
    <row r="44399" hidden="1" x14ac:dyDescent="0.15"/>
    <row r="44400" hidden="1" x14ac:dyDescent="0.15"/>
    <row r="44401" hidden="1" x14ac:dyDescent="0.15"/>
    <row r="44402" hidden="1" x14ac:dyDescent="0.15"/>
    <row r="44403" hidden="1" x14ac:dyDescent="0.15"/>
    <row r="44404" hidden="1" x14ac:dyDescent="0.15"/>
    <row r="44405" hidden="1" x14ac:dyDescent="0.15"/>
    <row r="44406" hidden="1" x14ac:dyDescent="0.15"/>
    <row r="44407" hidden="1" x14ac:dyDescent="0.15"/>
    <row r="44408" hidden="1" x14ac:dyDescent="0.15"/>
    <row r="44409" hidden="1" x14ac:dyDescent="0.15"/>
    <row r="44410" hidden="1" x14ac:dyDescent="0.15"/>
    <row r="44411" hidden="1" x14ac:dyDescent="0.15"/>
    <row r="44412" hidden="1" x14ac:dyDescent="0.15"/>
    <row r="44413" hidden="1" x14ac:dyDescent="0.15"/>
    <row r="44414" hidden="1" x14ac:dyDescent="0.15"/>
    <row r="44415" hidden="1" x14ac:dyDescent="0.15"/>
    <row r="44416" hidden="1" x14ac:dyDescent="0.15"/>
    <row r="44417" hidden="1" x14ac:dyDescent="0.15"/>
    <row r="44418" hidden="1" x14ac:dyDescent="0.15"/>
    <row r="44419" hidden="1" x14ac:dyDescent="0.15"/>
    <row r="44420" hidden="1" x14ac:dyDescent="0.15"/>
    <row r="44421" hidden="1" x14ac:dyDescent="0.15"/>
    <row r="44422" hidden="1" x14ac:dyDescent="0.15"/>
    <row r="44423" hidden="1" x14ac:dyDescent="0.15"/>
    <row r="44424" hidden="1" x14ac:dyDescent="0.15"/>
    <row r="44425" hidden="1" x14ac:dyDescent="0.15"/>
    <row r="44426" hidden="1" x14ac:dyDescent="0.15"/>
    <row r="44427" hidden="1" x14ac:dyDescent="0.15"/>
    <row r="44428" hidden="1" x14ac:dyDescent="0.15"/>
    <row r="44429" hidden="1" x14ac:dyDescent="0.15"/>
    <row r="44430" hidden="1" x14ac:dyDescent="0.15"/>
    <row r="44431" hidden="1" x14ac:dyDescent="0.15"/>
    <row r="44432" hidden="1" x14ac:dyDescent="0.15"/>
    <row r="44433" hidden="1" x14ac:dyDescent="0.15"/>
    <row r="44434" hidden="1" x14ac:dyDescent="0.15"/>
    <row r="44435" hidden="1" x14ac:dyDescent="0.15"/>
    <row r="44436" hidden="1" x14ac:dyDescent="0.15"/>
    <row r="44437" hidden="1" x14ac:dyDescent="0.15"/>
    <row r="44438" hidden="1" x14ac:dyDescent="0.15"/>
    <row r="44439" hidden="1" x14ac:dyDescent="0.15"/>
    <row r="44440" hidden="1" x14ac:dyDescent="0.15"/>
    <row r="44441" hidden="1" x14ac:dyDescent="0.15"/>
    <row r="44442" hidden="1" x14ac:dyDescent="0.15"/>
    <row r="44443" hidden="1" x14ac:dyDescent="0.15"/>
    <row r="44444" hidden="1" x14ac:dyDescent="0.15"/>
    <row r="44445" hidden="1" x14ac:dyDescent="0.15"/>
    <row r="44446" hidden="1" x14ac:dyDescent="0.15"/>
    <row r="44447" hidden="1" x14ac:dyDescent="0.15"/>
    <row r="44448" hidden="1" x14ac:dyDescent="0.15"/>
    <row r="44449" hidden="1" x14ac:dyDescent="0.15"/>
    <row r="44450" hidden="1" x14ac:dyDescent="0.15"/>
    <row r="44451" hidden="1" x14ac:dyDescent="0.15"/>
    <row r="44452" hidden="1" x14ac:dyDescent="0.15"/>
    <row r="44453" hidden="1" x14ac:dyDescent="0.15"/>
    <row r="44454" hidden="1" x14ac:dyDescent="0.15"/>
    <row r="44455" hidden="1" x14ac:dyDescent="0.15"/>
    <row r="44456" hidden="1" x14ac:dyDescent="0.15"/>
    <row r="44457" hidden="1" x14ac:dyDescent="0.15"/>
    <row r="44458" hidden="1" x14ac:dyDescent="0.15"/>
    <row r="44459" hidden="1" x14ac:dyDescent="0.15"/>
    <row r="44460" hidden="1" x14ac:dyDescent="0.15"/>
    <row r="44461" hidden="1" x14ac:dyDescent="0.15"/>
    <row r="44462" hidden="1" x14ac:dyDescent="0.15"/>
    <row r="44463" hidden="1" x14ac:dyDescent="0.15"/>
    <row r="44464" hidden="1" x14ac:dyDescent="0.15"/>
    <row r="44465" hidden="1" x14ac:dyDescent="0.15"/>
    <row r="44466" hidden="1" x14ac:dyDescent="0.15"/>
    <row r="44467" hidden="1" x14ac:dyDescent="0.15"/>
    <row r="44468" hidden="1" x14ac:dyDescent="0.15"/>
    <row r="44469" hidden="1" x14ac:dyDescent="0.15"/>
    <row r="44470" hidden="1" x14ac:dyDescent="0.15"/>
    <row r="44471" hidden="1" x14ac:dyDescent="0.15"/>
    <row r="44472" hidden="1" x14ac:dyDescent="0.15"/>
    <row r="44473" hidden="1" x14ac:dyDescent="0.15"/>
    <row r="44474" hidden="1" x14ac:dyDescent="0.15"/>
    <row r="44475" hidden="1" x14ac:dyDescent="0.15"/>
    <row r="44476" hidden="1" x14ac:dyDescent="0.15"/>
    <row r="44477" hidden="1" x14ac:dyDescent="0.15"/>
    <row r="44478" hidden="1" x14ac:dyDescent="0.15"/>
    <row r="44479" hidden="1" x14ac:dyDescent="0.15"/>
    <row r="44480" hidden="1" x14ac:dyDescent="0.15"/>
    <row r="44481" hidden="1" x14ac:dyDescent="0.15"/>
    <row r="44482" hidden="1" x14ac:dyDescent="0.15"/>
    <row r="44483" hidden="1" x14ac:dyDescent="0.15"/>
    <row r="44484" hidden="1" x14ac:dyDescent="0.15"/>
    <row r="44485" hidden="1" x14ac:dyDescent="0.15"/>
    <row r="44486" hidden="1" x14ac:dyDescent="0.15"/>
    <row r="44487" hidden="1" x14ac:dyDescent="0.15"/>
    <row r="44488" hidden="1" x14ac:dyDescent="0.15"/>
    <row r="44489" hidden="1" x14ac:dyDescent="0.15"/>
    <row r="44490" hidden="1" x14ac:dyDescent="0.15"/>
    <row r="44491" hidden="1" x14ac:dyDescent="0.15"/>
    <row r="44492" hidden="1" x14ac:dyDescent="0.15"/>
    <row r="44493" hidden="1" x14ac:dyDescent="0.15"/>
    <row r="44494" hidden="1" x14ac:dyDescent="0.15"/>
    <row r="44495" hidden="1" x14ac:dyDescent="0.15"/>
    <row r="44496" hidden="1" x14ac:dyDescent="0.15"/>
    <row r="44497" hidden="1" x14ac:dyDescent="0.15"/>
    <row r="44498" hidden="1" x14ac:dyDescent="0.15"/>
    <row r="44499" hidden="1" x14ac:dyDescent="0.15"/>
    <row r="44500" hidden="1" x14ac:dyDescent="0.15"/>
    <row r="44501" hidden="1" x14ac:dyDescent="0.15"/>
    <row r="44502" hidden="1" x14ac:dyDescent="0.15"/>
    <row r="44503" hidden="1" x14ac:dyDescent="0.15"/>
    <row r="44504" hidden="1" x14ac:dyDescent="0.15"/>
    <row r="44505" hidden="1" x14ac:dyDescent="0.15"/>
    <row r="44506" hidden="1" x14ac:dyDescent="0.15"/>
    <row r="44507" hidden="1" x14ac:dyDescent="0.15"/>
    <row r="44508" hidden="1" x14ac:dyDescent="0.15"/>
    <row r="44509" hidden="1" x14ac:dyDescent="0.15"/>
    <row r="44510" hidden="1" x14ac:dyDescent="0.15"/>
    <row r="44511" hidden="1" x14ac:dyDescent="0.15"/>
    <row r="44512" hidden="1" x14ac:dyDescent="0.15"/>
    <row r="44513" hidden="1" x14ac:dyDescent="0.15"/>
    <row r="44514" hidden="1" x14ac:dyDescent="0.15"/>
    <row r="44515" hidden="1" x14ac:dyDescent="0.15"/>
    <row r="44516" hidden="1" x14ac:dyDescent="0.15"/>
    <row r="44517" hidden="1" x14ac:dyDescent="0.15"/>
    <row r="44518" hidden="1" x14ac:dyDescent="0.15"/>
    <row r="44519" hidden="1" x14ac:dyDescent="0.15"/>
    <row r="44520" hidden="1" x14ac:dyDescent="0.15"/>
    <row r="44521" hidden="1" x14ac:dyDescent="0.15"/>
    <row r="44522" hidden="1" x14ac:dyDescent="0.15"/>
    <row r="44523" hidden="1" x14ac:dyDescent="0.15"/>
    <row r="44524" hidden="1" x14ac:dyDescent="0.15"/>
    <row r="44525" hidden="1" x14ac:dyDescent="0.15"/>
    <row r="44526" hidden="1" x14ac:dyDescent="0.15"/>
    <row r="44527" hidden="1" x14ac:dyDescent="0.15"/>
    <row r="44528" hidden="1" x14ac:dyDescent="0.15"/>
    <row r="44529" hidden="1" x14ac:dyDescent="0.15"/>
    <row r="44530" hidden="1" x14ac:dyDescent="0.15"/>
    <row r="44531" hidden="1" x14ac:dyDescent="0.15"/>
    <row r="44532" hidden="1" x14ac:dyDescent="0.15"/>
    <row r="44533" hidden="1" x14ac:dyDescent="0.15"/>
    <row r="44534" hidden="1" x14ac:dyDescent="0.15"/>
    <row r="44535" hidden="1" x14ac:dyDescent="0.15"/>
    <row r="44536" hidden="1" x14ac:dyDescent="0.15"/>
    <row r="44537" hidden="1" x14ac:dyDescent="0.15"/>
    <row r="44538" hidden="1" x14ac:dyDescent="0.15"/>
    <row r="44539" hidden="1" x14ac:dyDescent="0.15"/>
    <row r="44540" hidden="1" x14ac:dyDescent="0.15"/>
    <row r="44541" hidden="1" x14ac:dyDescent="0.15"/>
    <row r="44542" hidden="1" x14ac:dyDescent="0.15"/>
    <row r="44543" hidden="1" x14ac:dyDescent="0.15"/>
    <row r="44544" hidden="1" x14ac:dyDescent="0.15"/>
    <row r="44545" hidden="1" x14ac:dyDescent="0.15"/>
    <row r="44546" hidden="1" x14ac:dyDescent="0.15"/>
    <row r="44547" hidden="1" x14ac:dyDescent="0.15"/>
    <row r="44548" hidden="1" x14ac:dyDescent="0.15"/>
    <row r="44549" hidden="1" x14ac:dyDescent="0.15"/>
    <row r="44550" hidden="1" x14ac:dyDescent="0.15"/>
    <row r="44551" hidden="1" x14ac:dyDescent="0.15"/>
    <row r="44552" hidden="1" x14ac:dyDescent="0.15"/>
    <row r="44553" hidden="1" x14ac:dyDescent="0.15"/>
    <row r="44554" hidden="1" x14ac:dyDescent="0.15"/>
    <row r="44555" hidden="1" x14ac:dyDescent="0.15"/>
    <row r="44556" hidden="1" x14ac:dyDescent="0.15"/>
    <row r="44557" hidden="1" x14ac:dyDescent="0.15"/>
    <row r="44558" hidden="1" x14ac:dyDescent="0.15"/>
    <row r="44559" hidden="1" x14ac:dyDescent="0.15"/>
    <row r="44560" hidden="1" x14ac:dyDescent="0.15"/>
    <row r="44561" hidden="1" x14ac:dyDescent="0.15"/>
    <row r="44562" hidden="1" x14ac:dyDescent="0.15"/>
    <row r="44563" hidden="1" x14ac:dyDescent="0.15"/>
    <row r="44564" hidden="1" x14ac:dyDescent="0.15"/>
    <row r="44565" hidden="1" x14ac:dyDescent="0.15"/>
    <row r="44566" hidden="1" x14ac:dyDescent="0.15"/>
    <row r="44567" hidden="1" x14ac:dyDescent="0.15"/>
    <row r="44568" hidden="1" x14ac:dyDescent="0.15"/>
    <row r="44569" hidden="1" x14ac:dyDescent="0.15"/>
    <row r="44570" hidden="1" x14ac:dyDescent="0.15"/>
    <row r="44571" hidden="1" x14ac:dyDescent="0.15"/>
    <row r="44572" hidden="1" x14ac:dyDescent="0.15"/>
    <row r="44573" hidden="1" x14ac:dyDescent="0.15"/>
    <row r="44574" hidden="1" x14ac:dyDescent="0.15"/>
    <row r="44575" hidden="1" x14ac:dyDescent="0.15"/>
    <row r="44576" hidden="1" x14ac:dyDescent="0.15"/>
    <row r="44577" hidden="1" x14ac:dyDescent="0.15"/>
    <row r="44578" hidden="1" x14ac:dyDescent="0.15"/>
    <row r="44579" hidden="1" x14ac:dyDescent="0.15"/>
    <row r="44580" hidden="1" x14ac:dyDescent="0.15"/>
    <row r="44581" hidden="1" x14ac:dyDescent="0.15"/>
    <row r="44582" hidden="1" x14ac:dyDescent="0.15"/>
    <row r="44583" hidden="1" x14ac:dyDescent="0.15"/>
    <row r="44584" hidden="1" x14ac:dyDescent="0.15"/>
    <row r="44585" hidden="1" x14ac:dyDescent="0.15"/>
    <row r="44586" hidden="1" x14ac:dyDescent="0.15"/>
    <row r="44587" hidden="1" x14ac:dyDescent="0.15"/>
    <row r="44588" hidden="1" x14ac:dyDescent="0.15"/>
    <row r="44589" hidden="1" x14ac:dyDescent="0.15"/>
    <row r="44590" hidden="1" x14ac:dyDescent="0.15"/>
    <row r="44591" hidden="1" x14ac:dyDescent="0.15"/>
    <row r="44592" hidden="1" x14ac:dyDescent="0.15"/>
    <row r="44593" hidden="1" x14ac:dyDescent="0.15"/>
    <row r="44594" hidden="1" x14ac:dyDescent="0.15"/>
    <row r="44595" hidden="1" x14ac:dyDescent="0.15"/>
    <row r="44596" hidden="1" x14ac:dyDescent="0.15"/>
    <row r="44597" hidden="1" x14ac:dyDescent="0.15"/>
    <row r="44598" hidden="1" x14ac:dyDescent="0.15"/>
    <row r="44599" hidden="1" x14ac:dyDescent="0.15"/>
    <row r="44600" hidden="1" x14ac:dyDescent="0.15"/>
    <row r="44601" hidden="1" x14ac:dyDescent="0.15"/>
    <row r="44602" hidden="1" x14ac:dyDescent="0.15"/>
    <row r="44603" hidden="1" x14ac:dyDescent="0.15"/>
    <row r="44604" hidden="1" x14ac:dyDescent="0.15"/>
    <row r="44605" hidden="1" x14ac:dyDescent="0.15"/>
    <row r="44606" hidden="1" x14ac:dyDescent="0.15"/>
    <row r="44607" hidden="1" x14ac:dyDescent="0.15"/>
    <row r="44608" hidden="1" x14ac:dyDescent="0.15"/>
    <row r="44609" hidden="1" x14ac:dyDescent="0.15"/>
    <row r="44610" hidden="1" x14ac:dyDescent="0.15"/>
    <row r="44611" hidden="1" x14ac:dyDescent="0.15"/>
    <row r="44612" hidden="1" x14ac:dyDescent="0.15"/>
    <row r="44613" hidden="1" x14ac:dyDescent="0.15"/>
    <row r="44614" hidden="1" x14ac:dyDescent="0.15"/>
    <row r="44615" hidden="1" x14ac:dyDescent="0.15"/>
    <row r="44616" hidden="1" x14ac:dyDescent="0.15"/>
    <row r="44617" hidden="1" x14ac:dyDescent="0.15"/>
    <row r="44618" hidden="1" x14ac:dyDescent="0.15"/>
    <row r="44619" hidden="1" x14ac:dyDescent="0.15"/>
    <row r="44620" hidden="1" x14ac:dyDescent="0.15"/>
    <row r="44621" hidden="1" x14ac:dyDescent="0.15"/>
    <row r="44622" hidden="1" x14ac:dyDescent="0.15"/>
    <row r="44623" hidden="1" x14ac:dyDescent="0.15"/>
    <row r="44624" hidden="1" x14ac:dyDescent="0.15"/>
    <row r="44625" hidden="1" x14ac:dyDescent="0.15"/>
    <row r="44626" hidden="1" x14ac:dyDescent="0.15"/>
    <row r="44627" hidden="1" x14ac:dyDescent="0.15"/>
    <row r="44628" hidden="1" x14ac:dyDescent="0.15"/>
    <row r="44629" hidden="1" x14ac:dyDescent="0.15"/>
    <row r="44630" hidden="1" x14ac:dyDescent="0.15"/>
    <row r="44631" hidden="1" x14ac:dyDescent="0.15"/>
    <row r="44632" hidden="1" x14ac:dyDescent="0.15"/>
    <row r="44633" hidden="1" x14ac:dyDescent="0.15"/>
    <row r="44634" hidden="1" x14ac:dyDescent="0.15"/>
    <row r="44635" hidden="1" x14ac:dyDescent="0.15"/>
    <row r="44636" hidden="1" x14ac:dyDescent="0.15"/>
    <row r="44637" hidden="1" x14ac:dyDescent="0.15"/>
    <row r="44638" hidden="1" x14ac:dyDescent="0.15"/>
    <row r="44639" hidden="1" x14ac:dyDescent="0.15"/>
    <row r="44640" hidden="1" x14ac:dyDescent="0.15"/>
    <row r="44641" hidden="1" x14ac:dyDescent="0.15"/>
    <row r="44642" hidden="1" x14ac:dyDescent="0.15"/>
    <row r="44643" hidden="1" x14ac:dyDescent="0.15"/>
    <row r="44644" hidden="1" x14ac:dyDescent="0.15"/>
    <row r="44645" hidden="1" x14ac:dyDescent="0.15"/>
    <row r="44646" hidden="1" x14ac:dyDescent="0.15"/>
    <row r="44647" hidden="1" x14ac:dyDescent="0.15"/>
    <row r="44648" hidden="1" x14ac:dyDescent="0.15"/>
    <row r="44649" hidden="1" x14ac:dyDescent="0.15"/>
    <row r="44650" hidden="1" x14ac:dyDescent="0.15"/>
    <row r="44651" hidden="1" x14ac:dyDescent="0.15"/>
    <row r="44652" hidden="1" x14ac:dyDescent="0.15"/>
    <row r="44653" hidden="1" x14ac:dyDescent="0.15"/>
    <row r="44654" hidden="1" x14ac:dyDescent="0.15"/>
    <row r="44655" hidden="1" x14ac:dyDescent="0.15"/>
    <row r="44656" hidden="1" x14ac:dyDescent="0.15"/>
    <row r="44657" hidden="1" x14ac:dyDescent="0.15"/>
    <row r="44658" hidden="1" x14ac:dyDescent="0.15"/>
    <row r="44659" hidden="1" x14ac:dyDescent="0.15"/>
    <row r="44660" hidden="1" x14ac:dyDescent="0.15"/>
    <row r="44661" hidden="1" x14ac:dyDescent="0.15"/>
    <row r="44662" hidden="1" x14ac:dyDescent="0.15"/>
    <row r="44663" hidden="1" x14ac:dyDescent="0.15"/>
    <row r="44664" hidden="1" x14ac:dyDescent="0.15"/>
    <row r="44665" hidden="1" x14ac:dyDescent="0.15"/>
    <row r="44666" hidden="1" x14ac:dyDescent="0.15"/>
    <row r="44667" hidden="1" x14ac:dyDescent="0.15"/>
    <row r="44668" hidden="1" x14ac:dyDescent="0.15"/>
    <row r="44669" hidden="1" x14ac:dyDescent="0.15"/>
    <row r="44670" hidden="1" x14ac:dyDescent="0.15"/>
    <row r="44671" hidden="1" x14ac:dyDescent="0.15"/>
    <row r="44672" hidden="1" x14ac:dyDescent="0.15"/>
    <row r="44673" hidden="1" x14ac:dyDescent="0.15"/>
    <row r="44674" hidden="1" x14ac:dyDescent="0.15"/>
    <row r="44675" hidden="1" x14ac:dyDescent="0.15"/>
    <row r="44676" hidden="1" x14ac:dyDescent="0.15"/>
    <row r="44677" hidden="1" x14ac:dyDescent="0.15"/>
    <row r="44678" hidden="1" x14ac:dyDescent="0.15"/>
    <row r="44679" hidden="1" x14ac:dyDescent="0.15"/>
    <row r="44680" hidden="1" x14ac:dyDescent="0.15"/>
    <row r="44681" hidden="1" x14ac:dyDescent="0.15"/>
    <row r="44682" hidden="1" x14ac:dyDescent="0.15"/>
    <row r="44683" hidden="1" x14ac:dyDescent="0.15"/>
    <row r="44684" hidden="1" x14ac:dyDescent="0.15"/>
    <row r="44685" hidden="1" x14ac:dyDescent="0.15"/>
    <row r="44686" hidden="1" x14ac:dyDescent="0.15"/>
    <row r="44687" hidden="1" x14ac:dyDescent="0.15"/>
    <row r="44688" hidden="1" x14ac:dyDescent="0.15"/>
    <row r="44689" hidden="1" x14ac:dyDescent="0.15"/>
    <row r="44690" hidden="1" x14ac:dyDescent="0.15"/>
    <row r="44691" hidden="1" x14ac:dyDescent="0.15"/>
    <row r="44692" hidden="1" x14ac:dyDescent="0.15"/>
    <row r="44693" hidden="1" x14ac:dyDescent="0.15"/>
    <row r="44694" hidden="1" x14ac:dyDescent="0.15"/>
    <row r="44695" hidden="1" x14ac:dyDescent="0.15"/>
    <row r="44696" hidden="1" x14ac:dyDescent="0.15"/>
    <row r="44697" hidden="1" x14ac:dyDescent="0.15"/>
    <row r="44698" hidden="1" x14ac:dyDescent="0.15"/>
    <row r="44699" hidden="1" x14ac:dyDescent="0.15"/>
    <row r="44700" hidden="1" x14ac:dyDescent="0.15"/>
    <row r="44701" hidden="1" x14ac:dyDescent="0.15"/>
    <row r="44702" hidden="1" x14ac:dyDescent="0.15"/>
    <row r="44703" hidden="1" x14ac:dyDescent="0.15"/>
    <row r="44704" hidden="1" x14ac:dyDescent="0.15"/>
    <row r="44705" hidden="1" x14ac:dyDescent="0.15"/>
    <row r="44706" hidden="1" x14ac:dyDescent="0.15"/>
    <row r="44707" hidden="1" x14ac:dyDescent="0.15"/>
    <row r="44708" hidden="1" x14ac:dyDescent="0.15"/>
    <row r="44709" hidden="1" x14ac:dyDescent="0.15"/>
    <row r="44710" hidden="1" x14ac:dyDescent="0.15"/>
    <row r="44711" hidden="1" x14ac:dyDescent="0.15"/>
    <row r="44712" hidden="1" x14ac:dyDescent="0.15"/>
    <row r="44713" hidden="1" x14ac:dyDescent="0.15"/>
    <row r="44714" hidden="1" x14ac:dyDescent="0.15"/>
    <row r="44715" hidden="1" x14ac:dyDescent="0.15"/>
    <row r="44716" hidden="1" x14ac:dyDescent="0.15"/>
    <row r="44717" hidden="1" x14ac:dyDescent="0.15"/>
    <row r="44718" hidden="1" x14ac:dyDescent="0.15"/>
    <row r="44719" hidden="1" x14ac:dyDescent="0.15"/>
    <row r="44720" hidden="1" x14ac:dyDescent="0.15"/>
    <row r="44721" hidden="1" x14ac:dyDescent="0.15"/>
    <row r="44722" hidden="1" x14ac:dyDescent="0.15"/>
    <row r="44723" hidden="1" x14ac:dyDescent="0.15"/>
    <row r="44724" hidden="1" x14ac:dyDescent="0.15"/>
    <row r="44725" hidden="1" x14ac:dyDescent="0.15"/>
    <row r="44726" hidden="1" x14ac:dyDescent="0.15"/>
    <row r="44727" hidden="1" x14ac:dyDescent="0.15"/>
    <row r="44728" hidden="1" x14ac:dyDescent="0.15"/>
    <row r="44729" hidden="1" x14ac:dyDescent="0.15"/>
    <row r="44730" hidden="1" x14ac:dyDescent="0.15"/>
    <row r="44731" hidden="1" x14ac:dyDescent="0.15"/>
    <row r="44732" hidden="1" x14ac:dyDescent="0.15"/>
    <row r="44733" hidden="1" x14ac:dyDescent="0.15"/>
    <row r="44734" hidden="1" x14ac:dyDescent="0.15"/>
    <row r="44735" hidden="1" x14ac:dyDescent="0.15"/>
    <row r="44736" hidden="1" x14ac:dyDescent="0.15"/>
    <row r="44737" hidden="1" x14ac:dyDescent="0.15"/>
    <row r="44738" hidden="1" x14ac:dyDescent="0.15"/>
    <row r="44739" hidden="1" x14ac:dyDescent="0.15"/>
    <row r="44740" hidden="1" x14ac:dyDescent="0.15"/>
    <row r="44741" hidden="1" x14ac:dyDescent="0.15"/>
    <row r="44742" hidden="1" x14ac:dyDescent="0.15"/>
    <row r="44743" hidden="1" x14ac:dyDescent="0.15"/>
    <row r="44744" hidden="1" x14ac:dyDescent="0.15"/>
    <row r="44745" hidden="1" x14ac:dyDescent="0.15"/>
    <row r="44746" hidden="1" x14ac:dyDescent="0.15"/>
    <row r="44747" hidden="1" x14ac:dyDescent="0.15"/>
    <row r="44748" hidden="1" x14ac:dyDescent="0.15"/>
    <row r="44749" hidden="1" x14ac:dyDescent="0.15"/>
    <row r="44750" hidden="1" x14ac:dyDescent="0.15"/>
    <row r="44751" hidden="1" x14ac:dyDescent="0.15"/>
    <row r="44752" hidden="1" x14ac:dyDescent="0.15"/>
    <row r="44753" hidden="1" x14ac:dyDescent="0.15"/>
    <row r="44754" hidden="1" x14ac:dyDescent="0.15"/>
    <row r="44755" hidden="1" x14ac:dyDescent="0.15"/>
    <row r="44756" hidden="1" x14ac:dyDescent="0.15"/>
    <row r="44757" hidden="1" x14ac:dyDescent="0.15"/>
    <row r="44758" hidden="1" x14ac:dyDescent="0.15"/>
    <row r="44759" hidden="1" x14ac:dyDescent="0.15"/>
    <row r="44760" hidden="1" x14ac:dyDescent="0.15"/>
    <row r="44761" hidden="1" x14ac:dyDescent="0.15"/>
    <row r="44762" hidden="1" x14ac:dyDescent="0.15"/>
    <row r="44763" hidden="1" x14ac:dyDescent="0.15"/>
    <row r="44764" hidden="1" x14ac:dyDescent="0.15"/>
    <row r="44765" hidden="1" x14ac:dyDescent="0.15"/>
    <row r="44766" hidden="1" x14ac:dyDescent="0.15"/>
    <row r="44767" hidden="1" x14ac:dyDescent="0.15"/>
    <row r="44768" hidden="1" x14ac:dyDescent="0.15"/>
    <row r="44769" hidden="1" x14ac:dyDescent="0.15"/>
    <row r="44770" hidden="1" x14ac:dyDescent="0.15"/>
    <row r="44771" hidden="1" x14ac:dyDescent="0.15"/>
    <row r="44772" hidden="1" x14ac:dyDescent="0.15"/>
    <row r="44773" hidden="1" x14ac:dyDescent="0.15"/>
    <row r="44774" hidden="1" x14ac:dyDescent="0.15"/>
    <row r="44775" hidden="1" x14ac:dyDescent="0.15"/>
    <row r="44776" hidden="1" x14ac:dyDescent="0.15"/>
    <row r="44777" hidden="1" x14ac:dyDescent="0.15"/>
    <row r="44778" hidden="1" x14ac:dyDescent="0.15"/>
    <row r="44779" hidden="1" x14ac:dyDescent="0.15"/>
    <row r="44780" hidden="1" x14ac:dyDescent="0.15"/>
    <row r="44781" hidden="1" x14ac:dyDescent="0.15"/>
    <row r="44782" hidden="1" x14ac:dyDescent="0.15"/>
    <row r="44783" hidden="1" x14ac:dyDescent="0.15"/>
    <row r="44784" hidden="1" x14ac:dyDescent="0.15"/>
    <row r="44785" hidden="1" x14ac:dyDescent="0.15"/>
    <row r="44786" hidden="1" x14ac:dyDescent="0.15"/>
    <row r="44787" hidden="1" x14ac:dyDescent="0.15"/>
    <row r="44788" hidden="1" x14ac:dyDescent="0.15"/>
    <row r="44789" hidden="1" x14ac:dyDescent="0.15"/>
    <row r="44790" hidden="1" x14ac:dyDescent="0.15"/>
    <row r="44791" hidden="1" x14ac:dyDescent="0.15"/>
    <row r="44792" hidden="1" x14ac:dyDescent="0.15"/>
    <row r="44793" hidden="1" x14ac:dyDescent="0.15"/>
    <row r="44794" hidden="1" x14ac:dyDescent="0.15"/>
    <row r="44795" hidden="1" x14ac:dyDescent="0.15"/>
    <row r="44796" hidden="1" x14ac:dyDescent="0.15"/>
    <row r="44797" hidden="1" x14ac:dyDescent="0.15"/>
    <row r="44798" hidden="1" x14ac:dyDescent="0.15"/>
    <row r="44799" hidden="1" x14ac:dyDescent="0.15"/>
    <row r="44800" hidden="1" x14ac:dyDescent="0.15"/>
    <row r="44801" hidden="1" x14ac:dyDescent="0.15"/>
    <row r="44802" hidden="1" x14ac:dyDescent="0.15"/>
    <row r="44803" hidden="1" x14ac:dyDescent="0.15"/>
    <row r="44804" hidden="1" x14ac:dyDescent="0.15"/>
    <row r="44805" hidden="1" x14ac:dyDescent="0.15"/>
    <row r="44806" hidden="1" x14ac:dyDescent="0.15"/>
    <row r="44807" hidden="1" x14ac:dyDescent="0.15"/>
    <row r="44808" hidden="1" x14ac:dyDescent="0.15"/>
    <row r="44809" hidden="1" x14ac:dyDescent="0.15"/>
    <row r="44810" hidden="1" x14ac:dyDescent="0.15"/>
    <row r="44811" hidden="1" x14ac:dyDescent="0.15"/>
    <row r="44812" hidden="1" x14ac:dyDescent="0.15"/>
    <row r="44813" hidden="1" x14ac:dyDescent="0.15"/>
    <row r="44814" hidden="1" x14ac:dyDescent="0.15"/>
    <row r="44815" hidden="1" x14ac:dyDescent="0.15"/>
    <row r="44816" hidden="1" x14ac:dyDescent="0.15"/>
    <row r="44817" hidden="1" x14ac:dyDescent="0.15"/>
    <row r="44818" hidden="1" x14ac:dyDescent="0.15"/>
    <row r="44819" hidden="1" x14ac:dyDescent="0.15"/>
    <row r="44820" hidden="1" x14ac:dyDescent="0.15"/>
    <row r="44821" hidden="1" x14ac:dyDescent="0.15"/>
    <row r="44822" hidden="1" x14ac:dyDescent="0.15"/>
    <row r="44823" hidden="1" x14ac:dyDescent="0.15"/>
    <row r="44824" hidden="1" x14ac:dyDescent="0.15"/>
    <row r="44825" hidden="1" x14ac:dyDescent="0.15"/>
    <row r="44826" hidden="1" x14ac:dyDescent="0.15"/>
    <row r="44827" hidden="1" x14ac:dyDescent="0.15"/>
    <row r="44828" hidden="1" x14ac:dyDescent="0.15"/>
    <row r="44829" hidden="1" x14ac:dyDescent="0.15"/>
    <row r="44830" hidden="1" x14ac:dyDescent="0.15"/>
    <row r="44831" hidden="1" x14ac:dyDescent="0.15"/>
    <row r="44832" hidden="1" x14ac:dyDescent="0.15"/>
    <row r="44833" hidden="1" x14ac:dyDescent="0.15"/>
    <row r="44834" hidden="1" x14ac:dyDescent="0.15"/>
    <row r="44835" hidden="1" x14ac:dyDescent="0.15"/>
    <row r="44836" hidden="1" x14ac:dyDescent="0.15"/>
    <row r="44837" hidden="1" x14ac:dyDescent="0.15"/>
    <row r="44838" hidden="1" x14ac:dyDescent="0.15"/>
    <row r="44839" hidden="1" x14ac:dyDescent="0.15"/>
    <row r="44840" hidden="1" x14ac:dyDescent="0.15"/>
    <row r="44841" hidden="1" x14ac:dyDescent="0.15"/>
    <row r="44842" hidden="1" x14ac:dyDescent="0.15"/>
    <row r="44843" hidden="1" x14ac:dyDescent="0.15"/>
    <row r="44844" hidden="1" x14ac:dyDescent="0.15"/>
    <row r="44845" hidden="1" x14ac:dyDescent="0.15"/>
    <row r="44846" hidden="1" x14ac:dyDescent="0.15"/>
    <row r="44847" hidden="1" x14ac:dyDescent="0.15"/>
    <row r="44848" hidden="1" x14ac:dyDescent="0.15"/>
    <row r="44849" hidden="1" x14ac:dyDescent="0.15"/>
    <row r="44850" hidden="1" x14ac:dyDescent="0.15"/>
    <row r="44851" hidden="1" x14ac:dyDescent="0.15"/>
    <row r="44852" hidden="1" x14ac:dyDescent="0.15"/>
    <row r="44853" hidden="1" x14ac:dyDescent="0.15"/>
    <row r="44854" hidden="1" x14ac:dyDescent="0.15"/>
    <row r="44855" hidden="1" x14ac:dyDescent="0.15"/>
    <row r="44856" hidden="1" x14ac:dyDescent="0.15"/>
    <row r="44857" hidden="1" x14ac:dyDescent="0.15"/>
    <row r="44858" hidden="1" x14ac:dyDescent="0.15"/>
    <row r="44859" hidden="1" x14ac:dyDescent="0.15"/>
    <row r="44860" hidden="1" x14ac:dyDescent="0.15"/>
    <row r="44861" hidden="1" x14ac:dyDescent="0.15"/>
    <row r="44862" hidden="1" x14ac:dyDescent="0.15"/>
    <row r="44863" hidden="1" x14ac:dyDescent="0.15"/>
    <row r="44864" hidden="1" x14ac:dyDescent="0.15"/>
    <row r="44865" hidden="1" x14ac:dyDescent="0.15"/>
    <row r="44866" hidden="1" x14ac:dyDescent="0.15"/>
    <row r="44867" hidden="1" x14ac:dyDescent="0.15"/>
    <row r="44868" hidden="1" x14ac:dyDescent="0.15"/>
    <row r="44869" hidden="1" x14ac:dyDescent="0.15"/>
    <row r="44870" hidden="1" x14ac:dyDescent="0.15"/>
    <row r="44871" hidden="1" x14ac:dyDescent="0.15"/>
    <row r="44872" hidden="1" x14ac:dyDescent="0.15"/>
    <row r="44873" hidden="1" x14ac:dyDescent="0.15"/>
    <row r="44874" hidden="1" x14ac:dyDescent="0.15"/>
    <row r="44875" hidden="1" x14ac:dyDescent="0.15"/>
    <row r="44876" hidden="1" x14ac:dyDescent="0.15"/>
    <row r="44877" hidden="1" x14ac:dyDescent="0.15"/>
    <row r="44878" hidden="1" x14ac:dyDescent="0.15"/>
    <row r="44879" hidden="1" x14ac:dyDescent="0.15"/>
    <row r="44880" hidden="1" x14ac:dyDescent="0.15"/>
    <row r="44881" hidden="1" x14ac:dyDescent="0.15"/>
    <row r="44882" hidden="1" x14ac:dyDescent="0.15"/>
    <row r="44883" hidden="1" x14ac:dyDescent="0.15"/>
    <row r="44884" hidden="1" x14ac:dyDescent="0.15"/>
    <row r="44885" hidden="1" x14ac:dyDescent="0.15"/>
    <row r="44886" hidden="1" x14ac:dyDescent="0.15"/>
    <row r="44887" hidden="1" x14ac:dyDescent="0.15"/>
    <row r="44888" hidden="1" x14ac:dyDescent="0.15"/>
    <row r="44889" hidden="1" x14ac:dyDescent="0.15"/>
    <row r="44890" hidden="1" x14ac:dyDescent="0.15"/>
    <row r="44891" hidden="1" x14ac:dyDescent="0.15"/>
    <row r="44892" hidden="1" x14ac:dyDescent="0.15"/>
    <row r="44893" hidden="1" x14ac:dyDescent="0.15"/>
    <row r="44894" hidden="1" x14ac:dyDescent="0.15"/>
    <row r="44895" hidden="1" x14ac:dyDescent="0.15"/>
    <row r="44896" hidden="1" x14ac:dyDescent="0.15"/>
    <row r="44897" hidden="1" x14ac:dyDescent="0.15"/>
    <row r="44898" hidden="1" x14ac:dyDescent="0.15"/>
    <row r="44899" hidden="1" x14ac:dyDescent="0.15"/>
    <row r="44900" hidden="1" x14ac:dyDescent="0.15"/>
    <row r="44901" hidden="1" x14ac:dyDescent="0.15"/>
    <row r="44902" hidden="1" x14ac:dyDescent="0.15"/>
    <row r="44903" hidden="1" x14ac:dyDescent="0.15"/>
    <row r="44904" hidden="1" x14ac:dyDescent="0.15"/>
    <row r="44905" hidden="1" x14ac:dyDescent="0.15"/>
    <row r="44906" hidden="1" x14ac:dyDescent="0.15"/>
    <row r="44907" hidden="1" x14ac:dyDescent="0.15"/>
    <row r="44908" hidden="1" x14ac:dyDescent="0.15"/>
    <row r="44909" hidden="1" x14ac:dyDescent="0.15"/>
    <row r="44910" hidden="1" x14ac:dyDescent="0.15"/>
    <row r="44911" hidden="1" x14ac:dyDescent="0.15"/>
    <row r="44912" hidden="1" x14ac:dyDescent="0.15"/>
    <row r="44913" hidden="1" x14ac:dyDescent="0.15"/>
    <row r="44914" hidden="1" x14ac:dyDescent="0.15"/>
    <row r="44915" hidden="1" x14ac:dyDescent="0.15"/>
    <row r="44916" hidden="1" x14ac:dyDescent="0.15"/>
    <row r="44917" hidden="1" x14ac:dyDescent="0.15"/>
    <row r="44918" hidden="1" x14ac:dyDescent="0.15"/>
    <row r="44919" hidden="1" x14ac:dyDescent="0.15"/>
    <row r="44920" hidden="1" x14ac:dyDescent="0.15"/>
    <row r="44921" hidden="1" x14ac:dyDescent="0.15"/>
    <row r="44922" hidden="1" x14ac:dyDescent="0.15"/>
    <row r="44923" hidden="1" x14ac:dyDescent="0.15"/>
    <row r="44924" hidden="1" x14ac:dyDescent="0.15"/>
    <row r="44925" hidden="1" x14ac:dyDescent="0.15"/>
    <row r="44926" hidden="1" x14ac:dyDescent="0.15"/>
    <row r="44927" hidden="1" x14ac:dyDescent="0.15"/>
    <row r="44928" hidden="1" x14ac:dyDescent="0.15"/>
    <row r="44929" hidden="1" x14ac:dyDescent="0.15"/>
    <row r="44930" hidden="1" x14ac:dyDescent="0.15"/>
    <row r="44931" hidden="1" x14ac:dyDescent="0.15"/>
    <row r="44932" hidden="1" x14ac:dyDescent="0.15"/>
    <row r="44933" hidden="1" x14ac:dyDescent="0.15"/>
    <row r="44934" hidden="1" x14ac:dyDescent="0.15"/>
    <row r="44935" hidden="1" x14ac:dyDescent="0.15"/>
    <row r="44936" hidden="1" x14ac:dyDescent="0.15"/>
    <row r="44937" hidden="1" x14ac:dyDescent="0.15"/>
    <row r="44938" hidden="1" x14ac:dyDescent="0.15"/>
    <row r="44939" hidden="1" x14ac:dyDescent="0.15"/>
    <row r="44940" hidden="1" x14ac:dyDescent="0.15"/>
    <row r="44941" hidden="1" x14ac:dyDescent="0.15"/>
    <row r="44942" hidden="1" x14ac:dyDescent="0.15"/>
    <row r="44943" hidden="1" x14ac:dyDescent="0.15"/>
    <row r="44944" hidden="1" x14ac:dyDescent="0.15"/>
    <row r="44945" hidden="1" x14ac:dyDescent="0.15"/>
    <row r="44946" hidden="1" x14ac:dyDescent="0.15"/>
    <row r="44947" hidden="1" x14ac:dyDescent="0.15"/>
    <row r="44948" hidden="1" x14ac:dyDescent="0.15"/>
    <row r="44949" hidden="1" x14ac:dyDescent="0.15"/>
    <row r="44950" hidden="1" x14ac:dyDescent="0.15"/>
    <row r="44951" hidden="1" x14ac:dyDescent="0.15"/>
    <row r="44952" hidden="1" x14ac:dyDescent="0.15"/>
    <row r="44953" hidden="1" x14ac:dyDescent="0.15"/>
    <row r="44954" hidden="1" x14ac:dyDescent="0.15"/>
    <row r="44955" hidden="1" x14ac:dyDescent="0.15"/>
    <row r="44956" hidden="1" x14ac:dyDescent="0.15"/>
    <row r="44957" hidden="1" x14ac:dyDescent="0.15"/>
    <row r="44958" hidden="1" x14ac:dyDescent="0.15"/>
    <row r="44959" hidden="1" x14ac:dyDescent="0.15"/>
    <row r="44960" hidden="1" x14ac:dyDescent="0.15"/>
    <row r="44961" hidden="1" x14ac:dyDescent="0.15"/>
    <row r="44962" hidden="1" x14ac:dyDescent="0.15"/>
    <row r="44963" hidden="1" x14ac:dyDescent="0.15"/>
    <row r="44964" hidden="1" x14ac:dyDescent="0.15"/>
    <row r="44965" hidden="1" x14ac:dyDescent="0.15"/>
    <row r="44966" hidden="1" x14ac:dyDescent="0.15"/>
    <row r="44967" hidden="1" x14ac:dyDescent="0.15"/>
    <row r="44968" hidden="1" x14ac:dyDescent="0.15"/>
    <row r="44969" hidden="1" x14ac:dyDescent="0.15"/>
    <row r="44970" hidden="1" x14ac:dyDescent="0.15"/>
    <row r="44971" hidden="1" x14ac:dyDescent="0.15"/>
    <row r="44972" hidden="1" x14ac:dyDescent="0.15"/>
    <row r="44973" hidden="1" x14ac:dyDescent="0.15"/>
    <row r="44974" hidden="1" x14ac:dyDescent="0.15"/>
    <row r="44975" hidden="1" x14ac:dyDescent="0.15"/>
    <row r="44976" hidden="1" x14ac:dyDescent="0.15"/>
    <row r="44977" hidden="1" x14ac:dyDescent="0.15"/>
    <row r="44978" hidden="1" x14ac:dyDescent="0.15"/>
    <row r="44979" hidden="1" x14ac:dyDescent="0.15"/>
    <row r="44980" hidden="1" x14ac:dyDescent="0.15"/>
    <row r="44981" hidden="1" x14ac:dyDescent="0.15"/>
    <row r="44982" hidden="1" x14ac:dyDescent="0.15"/>
    <row r="44983" hidden="1" x14ac:dyDescent="0.15"/>
    <row r="44984" hidden="1" x14ac:dyDescent="0.15"/>
    <row r="44985" hidden="1" x14ac:dyDescent="0.15"/>
    <row r="44986" hidden="1" x14ac:dyDescent="0.15"/>
    <row r="44987" hidden="1" x14ac:dyDescent="0.15"/>
    <row r="44988" hidden="1" x14ac:dyDescent="0.15"/>
    <row r="44989" hidden="1" x14ac:dyDescent="0.15"/>
    <row r="44990" hidden="1" x14ac:dyDescent="0.15"/>
    <row r="44991" hidden="1" x14ac:dyDescent="0.15"/>
    <row r="44992" hidden="1" x14ac:dyDescent="0.15"/>
    <row r="44993" hidden="1" x14ac:dyDescent="0.15"/>
    <row r="44994" hidden="1" x14ac:dyDescent="0.15"/>
    <row r="44995" hidden="1" x14ac:dyDescent="0.15"/>
    <row r="44996" hidden="1" x14ac:dyDescent="0.15"/>
    <row r="44997" hidden="1" x14ac:dyDescent="0.15"/>
    <row r="44998" hidden="1" x14ac:dyDescent="0.15"/>
    <row r="44999" hidden="1" x14ac:dyDescent="0.15"/>
    <row r="45000" hidden="1" x14ac:dyDescent="0.15"/>
    <row r="45001" hidden="1" x14ac:dyDescent="0.15"/>
    <row r="45002" hidden="1" x14ac:dyDescent="0.15"/>
    <row r="45003" hidden="1" x14ac:dyDescent="0.15"/>
    <row r="45004" hidden="1" x14ac:dyDescent="0.15"/>
    <row r="45005" hidden="1" x14ac:dyDescent="0.15"/>
    <row r="45006" hidden="1" x14ac:dyDescent="0.15"/>
    <row r="45007" hidden="1" x14ac:dyDescent="0.15"/>
    <row r="45008" hidden="1" x14ac:dyDescent="0.15"/>
    <row r="45009" hidden="1" x14ac:dyDescent="0.15"/>
    <row r="45010" hidden="1" x14ac:dyDescent="0.15"/>
    <row r="45011" hidden="1" x14ac:dyDescent="0.15"/>
    <row r="45012" hidden="1" x14ac:dyDescent="0.15"/>
    <row r="45013" hidden="1" x14ac:dyDescent="0.15"/>
    <row r="45014" hidden="1" x14ac:dyDescent="0.15"/>
    <row r="45015" hidden="1" x14ac:dyDescent="0.15"/>
    <row r="45016" hidden="1" x14ac:dyDescent="0.15"/>
    <row r="45017" hidden="1" x14ac:dyDescent="0.15"/>
    <row r="45018" hidden="1" x14ac:dyDescent="0.15"/>
    <row r="45019" hidden="1" x14ac:dyDescent="0.15"/>
    <row r="45020" hidden="1" x14ac:dyDescent="0.15"/>
    <row r="45021" hidden="1" x14ac:dyDescent="0.15"/>
    <row r="45022" hidden="1" x14ac:dyDescent="0.15"/>
    <row r="45023" hidden="1" x14ac:dyDescent="0.15"/>
    <row r="45024" hidden="1" x14ac:dyDescent="0.15"/>
    <row r="45025" hidden="1" x14ac:dyDescent="0.15"/>
    <row r="45026" hidden="1" x14ac:dyDescent="0.15"/>
    <row r="45027" hidden="1" x14ac:dyDescent="0.15"/>
    <row r="45028" hidden="1" x14ac:dyDescent="0.15"/>
    <row r="45029" hidden="1" x14ac:dyDescent="0.15"/>
    <row r="45030" hidden="1" x14ac:dyDescent="0.15"/>
    <row r="45031" hidden="1" x14ac:dyDescent="0.15"/>
    <row r="45032" hidden="1" x14ac:dyDescent="0.15"/>
    <row r="45033" hidden="1" x14ac:dyDescent="0.15"/>
    <row r="45034" hidden="1" x14ac:dyDescent="0.15"/>
    <row r="45035" hidden="1" x14ac:dyDescent="0.15"/>
    <row r="45036" hidden="1" x14ac:dyDescent="0.15"/>
    <row r="45037" hidden="1" x14ac:dyDescent="0.15"/>
    <row r="45038" hidden="1" x14ac:dyDescent="0.15"/>
    <row r="45039" hidden="1" x14ac:dyDescent="0.15"/>
    <row r="45040" hidden="1" x14ac:dyDescent="0.15"/>
    <row r="45041" hidden="1" x14ac:dyDescent="0.15"/>
    <row r="45042" hidden="1" x14ac:dyDescent="0.15"/>
    <row r="45043" hidden="1" x14ac:dyDescent="0.15"/>
    <row r="45044" hidden="1" x14ac:dyDescent="0.15"/>
    <row r="45045" hidden="1" x14ac:dyDescent="0.15"/>
    <row r="45046" hidden="1" x14ac:dyDescent="0.15"/>
    <row r="45047" hidden="1" x14ac:dyDescent="0.15"/>
    <row r="45048" hidden="1" x14ac:dyDescent="0.15"/>
    <row r="45049" hidden="1" x14ac:dyDescent="0.15"/>
    <row r="45050" hidden="1" x14ac:dyDescent="0.15"/>
    <row r="45051" hidden="1" x14ac:dyDescent="0.15"/>
    <row r="45052" hidden="1" x14ac:dyDescent="0.15"/>
    <row r="45053" hidden="1" x14ac:dyDescent="0.15"/>
    <row r="45054" hidden="1" x14ac:dyDescent="0.15"/>
    <row r="45055" hidden="1" x14ac:dyDescent="0.15"/>
    <row r="45056" hidden="1" x14ac:dyDescent="0.15"/>
    <row r="45057" hidden="1" x14ac:dyDescent="0.15"/>
    <row r="45058" hidden="1" x14ac:dyDescent="0.15"/>
    <row r="45059" hidden="1" x14ac:dyDescent="0.15"/>
    <row r="45060" hidden="1" x14ac:dyDescent="0.15"/>
    <row r="45061" hidden="1" x14ac:dyDescent="0.15"/>
    <row r="45062" hidden="1" x14ac:dyDescent="0.15"/>
    <row r="45063" hidden="1" x14ac:dyDescent="0.15"/>
    <row r="45064" hidden="1" x14ac:dyDescent="0.15"/>
    <row r="45065" hidden="1" x14ac:dyDescent="0.15"/>
    <row r="45066" hidden="1" x14ac:dyDescent="0.15"/>
    <row r="45067" hidden="1" x14ac:dyDescent="0.15"/>
    <row r="45068" hidden="1" x14ac:dyDescent="0.15"/>
    <row r="45069" hidden="1" x14ac:dyDescent="0.15"/>
    <row r="45070" hidden="1" x14ac:dyDescent="0.15"/>
    <row r="45071" hidden="1" x14ac:dyDescent="0.15"/>
    <row r="45072" hidden="1" x14ac:dyDescent="0.15"/>
    <row r="45073" hidden="1" x14ac:dyDescent="0.15"/>
    <row r="45074" hidden="1" x14ac:dyDescent="0.15"/>
    <row r="45075" hidden="1" x14ac:dyDescent="0.15"/>
    <row r="45076" hidden="1" x14ac:dyDescent="0.15"/>
    <row r="45077" hidden="1" x14ac:dyDescent="0.15"/>
    <row r="45078" hidden="1" x14ac:dyDescent="0.15"/>
    <row r="45079" hidden="1" x14ac:dyDescent="0.15"/>
    <row r="45080" hidden="1" x14ac:dyDescent="0.15"/>
    <row r="45081" hidden="1" x14ac:dyDescent="0.15"/>
    <row r="45082" hidden="1" x14ac:dyDescent="0.15"/>
    <row r="45083" hidden="1" x14ac:dyDescent="0.15"/>
    <row r="45084" hidden="1" x14ac:dyDescent="0.15"/>
    <row r="45085" hidden="1" x14ac:dyDescent="0.15"/>
    <row r="45086" hidden="1" x14ac:dyDescent="0.15"/>
    <row r="45087" hidden="1" x14ac:dyDescent="0.15"/>
    <row r="45088" hidden="1" x14ac:dyDescent="0.15"/>
    <row r="45089" hidden="1" x14ac:dyDescent="0.15"/>
    <row r="45090" hidden="1" x14ac:dyDescent="0.15"/>
    <row r="45091" hidden="1" x14ac:dyDescent="0.15"/>
    <row r="45092" hidden="1" x14ac:dyDescent="0.15"/>
    <row r="45093" hidden="1" x14ac:dyDescent="0.15"/>
    <row r="45094" hidden="1" x14ac:dyDescent="0.15"/>
    <row r="45095" hidden="1" x14ac:dyDescent="0.15"/>
    <row r="45096" hidden="1" x14ac:dyDescent="0.15"/>
    <row r="45097" hidden="1" x14ac:dyDescent="0.15"/>
    <row r="45098" hidden="1" x14ac:dyDescent="0.15"/>
    <row r="45099" hidden="1" x14ac:dyDescent="0.15"/>
    <row r="45100" hidden="1" x14ac:dyDescent="0.15"/>
    <row r="45101" hidden="1" x14ac:dyDescent="0.15"/>
    <row r="45102" hidden="1" x14ac:dyDescent="0.15"/>
    <row r="45103" hidden="1" x14ac:dyDescent="0.15"/>
    <row r="45104" hidden="1" x14ac:dyDescent="0.15"/>
    <row r="45105" hidden="1" x14ac:dyDescent="0.15"/>
    <row r="45106" hidden="1" x14ac:dyDescent="0.15"/>
    <row r="45107" hidden="1" x14ac:dyDescent="0.15"/>
    <row r="45108" hidden="1" x14ac:dyDescent="0.15"/>
    <row r="45109" hidden="1" x14ac:dyDescent="0.15"/>
    <row r="45110" hidden="1" x14ac:dyDescent="0.15"/>
    <row r="45111" hidden="1" x14ac:dyDescent="0.15"/>
    <row r="45112" hidden="1" x14ac:dyDescent="0.15"/>
    <row r="45113" hidden="1" x14ac:dyDescent="0.15"/>
    <row r="45114" hidden="1" x14ac:dyDescent="0.15"/>
    <row r="45115" hidden="1" x14ac:dyDescent="0.15"/>
    <row r="45116" hidden="1" x14ac:dyDescent="0.15"/>
    <row r="45117" hidden="1" x14ac:dyDescent="0.15"/>
    <row r="45118" hidden="1" x14ac:dyDescent="0.15"/>
    <row r="45119" hidden="1" x14ac:dyDescent="0.15"/>
    <row r="45120" hidden="1" x14ac:dyDescent="0.15"/>
    <row r="45121" hidden="1" x14ac:dyDescent="0.15"/>
    <row r="45122" hidden="1" x14ac:dyDescent="0.15"/>
    <row r="45123" hidden="1" x14ac:dyDescent="0.15"/>
    <row r="45124" hidden="1" x14ac:dyDescent="0.15"/>
    <row r="45125" hidden="1" x14ac:dyDescent="0.15"/>
    <row r="45126" hidden="1" x14ac:dyDescent="0.15"/>
    <row r="45127" hidden="1" x14ac:dyDescent="0.15"/>
    <row r="45128" hidden="1" x14ac:dyDescent="0.15"/>
    <row r="45129" hidden="1" x14ac:dyDescent="0.15"/>
    <row r="45130" hidden="1" x14ac:dyDescent="0.15"/>
    <row r="45131" hidden="1" x14ac:dyDescent="0.15"/>
    <row r="45132" hidden="1" x14ac:dyDescent="0.15"/>
    <row r="45133" hidden="1" x14ac:dyDescent="0.15"/>
    <row r="45134" hidden="1" x14ac:dyDescent="0.15"/>
    <row r="45135" hidden="1" x14ac:dyDescent="0.15"/>
    <row r="45136" hidden="1" x14ac:dyDescent="0.15"/>
    <row r="45137" hidden="1" x14ac:dyDescent="0.15"/>
    <row r="45138" hidden="1" x14ac:dyDescent="0.15"/>
    <row r="45139" hidden="1" x14ac:dyDescent="0.15"/>
    <row r="45140" hidden="1" x14ac:dyDescent="0.15"/>
    <row r="45141" hidden="1" x14ac:dyDescent="0.15"/>
    <row r="45142" hidden="1" x14ac:dyDescent="0.15"/>
    <row r="45143" hidden="1" x14ac:dyDescent="0.15"/>
    <row r="45144" hidden="1" x14ac:dyDescent="0.15"/>
    <row r="45145" hidden="1" x14ac:dyDescent="0.15"/>
    <row r="45146" hidden="1" x14ac:dyDescent="0.15"/>
    <row r="45147" hidden="1" x14ac:dyDescent="0.15"/>
    <row r="45148" hidden="1" x14ac:dyDescent="0.15"/>
    <row r="45149" hidden="1" x14ac:dyDescent="0.15"/>
    <row r="45150" hidden="1" x14ac:dyDescent="0.15"/>
    <row r="45151" hidden="1" x14ac:dyDescent="0.15"/>
    <row r="45152" hidden="1" x14ac:dyDescent="0.15"/>
    <row r="45153" hidden="1" x14ac:dyDescent="0.15"/>
    <row r="45154" hidden="1" x14ac:dyDescent="0.15"/>
    <row r="45155" hidden="1" x14ac:dyDescent="0.15"/>
    <row r="45156" hidden="1" x14ac:dyDescent="0.15"/>
    <row r="45157" hidden="1" x14ac:dyDescent="0.15"/>
    <row r="45158" hidden="1" x14ac:dyDescent="0.15"/>
    <row r="45159" hidden="1" x14ac:dyDescent="0.15"/>
    <row r="45160" hidden="1" x14ac:dyDescent="0.15"/>
    <row r="45161" hidden="1" x14ac:dyDescent="0.15"/>
    <row r="45162" hidden="1" x14ac:dyDescent="0.15"/>
    <row r="45163" hidden="1" x14ac:dyDescent="0.15"/>
    <row r="45164" hidden="1" x14ac:dyDescent="0.15"/>
    <row r="45165" hidden="1" x14ac:dyDescent="0.15"/>
    <row r="45166" hidden="1" x14ac:dyDescent="0.15"/>
    <row r="45167" hidden="1" x14ac:dyDescent="0.15"/>
    <row r="45168" hidden="1" x14ac:dyDescent="0.15"/>
    <row r="45169" hidden="1" x14ac:dyDescent="0.15"/>
    <row r="45170" hidden="1" x14ac:dyDescent="0.15"/>
    <row r="45171" hidden="1" x14ac:dyDescent="0.15"/>
    <row r="45172" hidden="1" x14ac:dyDescent="0.15"/>
    <row r="45173" hidden="1" x14ac:dyDescent="0.15"/>
    <row r="45174" hidden="1" x14ac:dyDescent="0.15"/>
    <row r="45175" hidden="1" x14ac:dyDescent="0.15"/>
    <row r="45176" hidden="1" x14ac:dyDescent="0.15"/>
    <row r="45177" hidden="1" x14ac:dyDescent="0.15"/>
    <row r="45178" hidden="1" x14ac:dyDescent="0.15"/>
    <row r="45179" hidden="1" x14ac:dyDescent="0.15"/>
    <row r="45180" hidden="1" x14ac:dyDescent="0.15"/>
    <row r="45181" hidden="1" x14ac:dyDescent="0.15"/>
    <row r="45182" hidden="1" x14ac:dyDescent="0.15"/>
    <row r="45183" hidden="1" x14ac:dyDescent="0.15"/>
    <row r="45184" hidden="1" x14ac:dyDescent="0.15"/>
    <row r="45185" hidden="1" x14ac:dyDescent="0.15"/>
    <row r="45186" hidden="1" x14ac:dyDescent="0.15"/>
    <row r="45187" hidden="1" x14ac:dyDescent="0.15"/>
    <row r="45188" hidden="1" x14ac:dyDescent="0.15"/>
    <row r="45189" hidden="1" x14ac:dyDescent="0.15"/>
    <row r="45190" hidden="1" x14ac:dyDescent="0.15"/>
    <row r="45191" hidden="1" x14ac:dyDescent="0.15"/>
    <row r="45192" hidden="1" x14ac:dyDescent="0.15"/>
    <row r="45193" hidden="1" x14ac:dyDescent="0.15"/>
    <row r="45194" hidden="1" x14ac:dyDescent="0.15"/>
    <row r="45195" hidden="1" x14ac:dyDescent="0.15"/>
    <row r="45196" hidden="1" x14ac:dyDescent="0.15"/>
    <row r="45197" hidden="1" x14ac:dyDescent="0.15"/>
    <row r="45198" hidden="1" x14ac:dyDescent="0.15"/>
    <row r="45199" hidden="1" x14ac:dyDescent="0.15"/>
    <row r="45200" hidden="1" x14ac:dyDescent="0.15"/>
    <row r="45201" hidden="1" x14ac:dyDescent="0.15"/>
    <row r="45202" hidden="1" x14ac:dyDescent="0.15"/>
    <row r="45203" hidden="1" x14ac:dyDescent="0.15"/>
    <row r="45204" hidden="1" x14ac:dyDescent="0.15"/>
    <row r="45205" hidden="1" x14ac:dyDescent="0.15"/>
    <row r="45206" hidden="1" x14ac:dyDescent="0.15"/>
    <row r="45207" hidden="1" x14ac:dyDescent="0.15"/>
    <row r="45208" hidden="1" x14ac:dyDescent="0.15"/>
    <row r="45209" hidden="1" x14ac:dyDescent="0.15"/>
    <row r="45210" hidden="1" x14ac:dyDescent="0.15"/>
    <row r="45211" hidden="1" x14ac:dyDescent="0.15"/>
    <row r="45212" hidden="1" x14ac:dyDescent="0.15"/>
    <row r="45213" hidden="1" x14ac:dyDescent="0.15"/>
    <row r="45214" hidden="1" x14ac:dyDescent="0.15"/>
    <row r="45215" hidden="1" x14ac:dyDescent="0.15"/>
    <row r="45216" hidden="1" x14ac:dyDescent="0.15"/>
    <row r="45217" hidden="1" x14ac:dyDescent="0.15"/>
    <row r="45218" hidden="1" x14ac:dyDescent="0.15"/>
    <row r="45219" hidden="1" x14ac:dyDescent="0.15"/>
    <row r="45220" hidden="1" x14ac:dyDescent="0.15"/>
    <row r="45221" hidden="1" x14ac:dyDescent="0.15"/>
    <row r="45222" hidden="1" x14ac:dyDescent="0.15"/>
    <row r="45223" hidden="1" x14ac:dyDescent="0.15"/>
    <row r="45224" hidden="1" x14ac:dyDescent="0.15"/>
    <row r="45225" hidden="1" x14ac:dyDescent="0.15"/>
    <row r="45226" hidden="1" x14ac:dyDescent="0.15"/>
    <row r="45227" hidden="1" x14ac:dyDescent="0.15"/>
    <row r="45228" hidden="1" x14ac:dyDescent="0.15"/>
    <row r="45229" hidden="1" x14ac:dyDescent="0.15"/>
    <row r="45230" hidden="1" x14ac:dyDescent="0.15"/>
    <row r="45231" hidden="1" x14ac:dyDescent="0.15"/>
    <row r="45232" hidden="1" x14ac:dyDescent="0.15"/>
    <row r="45233" hidden="1" x14ac:dyDescent="0.15"/>
    <row r="45234" hidden="1" x14ac:dyDescent="0.15"/>
    <row r="45235" hidden="1" x14ac:dyDescent="0.15"/>
    <row r="45236" hidden="1" x14ac:dyDescent="0.15"/>
    <row r="45237" hidden="1" x14ac:dyDescent="0.15"/>
    <row r="45238" hidden="1" x14ac:dyDescent="0.15"/>
    <row r="45239" hidden="1" x14ac:dyDescent="0.15"/>
    <row r="45240" hidden="1" x14ac:dyDescent="0.15"/>
    <row r="45241" hidden="1" x14ac:dyDescent="0.15"/>
    <row r="45242" hidden="1" x14ac:dyDescent="0.15"/>
    <row r="45243" hidden="1" x14ac:dyDescent="0.15"/>
    <row r="45244" hidden="1" x14ac:dyDescent="0.15"/>
    <row r="45245" hidden="1" x14ac:dyDescent="0.15"/>
    <row r="45246" hidden="1" x14ac:dyDescent="0.15"/>
    <row r="45247" hidden="1" x14ac:dyDescent="0.15"/>
    <row r="45248" hidden="1" x14ac:dyDescent="0.15"/>
    <row r="45249" hidden="1" x14ac:dyDescent="0.15"/>
    <row r="45250" hidden="1" x14ac:dyDescent="0.15"/>
    <row r="45251" hidden="1" x14ac:dyDescent="0.15"/>
    <row r="45252" hidden="1" x14ac:dyDescent="0.15"/>
    <row r="45253" hidden="1" x14ac:dyDescent="0.15"/>
    <row r="45254" hidden="1" x14ac:dyDescent="0.15"/>
    <row r="45255" hidden="1" x14ac:dyDescent="0.15"/>
    <row r="45256" hidden="1" x14ac:dyDescent="0.15"/>
    <row r="45257" hidden="1" x14ac:dyDescent="0.15"/>
    <row r="45258" hidden="1" x14ac:dyDescent="0.15"/>
    <row r="45259" hidden="1" x14ac:dyDescent="0.15"/>
    <row r="45260" hidden="1" x14ac:dyDescent="0.15"/>
    <row r="45261" hidden="1" x14ac:dyDescent="0.15"/>
    <row r="45262" hidden="1" x14ac:dyDescent="0.15"/>
    <row r="45263" hidden="1" x14ac:dyDescent="0.15"/>
    <row r="45264" hidden="1" x14ac:dyDescent="0.15"/>
    <row r="45265" hidden="1" x14ac:dyDescent="0.15"/>
    <row r="45266" hidden="1" x14ac:dyDescent="0.15"/>
    <row r="45267" hidden="1" x14ac:dyDescent="0.15"/>
    <row r="45268" hidden="1" x14ac:dyDescent="0.15"/>
    <row r="45269" hidden="1" x14ac:dyDescent="0.15"/>
    <row r="45270" hidden="1" x14ac:dyDescent="0.15"/>
    <row r="45271" hidden="1" x14ac:dyDescent="0.15"/>
    <row r="45272" hidden="1" x14ac:dyDescent="0.15"/>
    <row r="45273" hidden="1" x14ac:dyDescent="0.15"/>
    <row r="45274" hidden="1" x14ac:dyDescent="0.15"/>
    <row r="45275" hidden="1" x14ac:dyDescent="0.15"/>
    <row r="45276" hidden="1" x14ac:dyDescent="0.15"/>
    <row r="45277" hidden="1" x14ac:dyDescent="0.15"/>
    <row r="45278" hidden="1" x14ac:dyDescent="0.15"/>
    <row r="45279" hidden="1" x14ac:dyDescent="0.15"/>
    <row r="45280" hidden="1" x14ac:dyDescent="0.15"/>
    <row r="45281" hidden="1" x14ac:dyDescent="0.15"/>
    <row r="45282" hidden="1" x14ac:dyDescent="0.15"/>
    <row r="45283" hidden="1" x14ac:dyDescent="0.15"/>
    <row r="45284" hidden="1" x14ac:dyDescent="0.15"/>
    <row r="45285" hidden="1" x14ac:dyDescent="0.15"/>
    <row r="45286" hidden="1" x14ac:dyDescent="0.15"/>
    <row r="45287" hidden="1" x14ac:dyDescent="0.15"/>
    <row r="45288" hidden="1" x14ac:dyDescent="0.15"/>
    <row r="45289" hidden="1" x14ac:dyDescent="0.15"/>
    <row r="45290" hidden="1" x14ac:dyDescent="0.15"/>
    <row r="45291" hidden="1" x14ac:dyDescent="0.15"/>
    <row r="45292" hidden="1" x14ac:dyDescent="0.15"/>
    <row r="45293" hidden="1" x14ac:dyDescent="0.15"/>
    <row r="45294" hidden="1" x14ac:dyDescent="0.15"/>
    <row r="45295" hidden="1" x14ac:dyDescent="0.15"/>
    <row r="45296" hidden="1" x14ac:dyDescent="0.15"/>
    <row r="45297" hidden="1" x14ac:dyDescent="0.15"/>
    <row r="45298" hidden="1" x14ac:dyDescent="0.15"/>
    <row r="45299" hidden="1" x14ac:dyDescent="0.15"/>
    <row r="45300" hidden="1" x14ac:dyDescent="0.15"/>
    <row r="45301" hidden="1" x14ac:dyDescent="0.15"/>
    <row r="45302" hidden="1" x14ac:dyDescent="0.15"/>
    <row r="45303" hidden="1" x14ac:dyDescent="0.15"/>
    <row r="45304" hidden="1" x14ac:dyDescent="0.15"/>
    <row r="45305" hidden="1" x14ac:dyDescent="0.15"/>
    <row r="45306" hidden="1" x14ac:dyDescent="0.15"/>
    <row r="45307" hidden="1" x14ac:dyDescent="0.15"/>
    <row r="45308" hidden="1" x14ac:dyDescent="0.15"/>
    <row r="45309" hidden="1" x14ac:dyDescent="0.15"/>
    <row r="45310" hidden="1" x14ac:dyDescent="0.15"/>
    <row r="45311" hidden="1" x14ac:dyDescent="0.15"/>
    <row r="45312" hidden="1" x14ac:dyDescent="0.15"/>
    <row r="45313" hidden="1" x14ac:dyDescent="0.15"/>
    <row r="45314" hidden="1" x14ac:dyDescent="0.15"/>
    <row r="45315" hidden="1" x14ac:dyDescent="0.15"/>
    <row r="45316" hidden="1" x14ac:dyDescent="0.15"/>
    <row r="45317" hidden="1" x14ac:dyDescent="0.15"/>
    <row r="45318" hidden="1" x14ac:dyDescent="0.15"/>
    <row r="45319" hidden="1" x14ac:dyDescent="0.15"/>
    <row r="45320" hidden="1" x14ac:dyDescent="0.15"/>
    <row r="45321" hidden="1" x14ac:dyDescent="0.15"/>
    <row r="45322" hidden="1" x14ac:dyDescent="0.15"/>
    <row r="45323" hidden="1" x14ac:dyDescent="0.15"/>
    <row r="45324" hidden="1" x14ac:dyDescent="0.15"/>
    <row r="45325" hidden="1" x14ac:dyDescent="0.15"/>
    <row r="45326" hidden="1" x14ac:dyDescent="0.15"/>
    <row r="45327" hidden="1" x14ac:dyDescent="0.15"/>
    <row r="45328" hidden="1" x14ac:dyDescent="0.15"/>
    <row r="45329" hidden="1" x14ac:dyDescent="0.15"/>
    <row r="45330" hidden="1" x14ac:dyDescent="0.15"/>
    <row r="45331" hidden="1" x14ac:dyDescent="0.15"/>
    <row r="45332" hidden="1" x14ac:dyDescent="0.15"/>
    <row r="45333" hidden="1" x14ac:dyDescent="0.15"/>
    <row r="45334" hidden="1" x14ac:dyDescent="0.15"/>
    <row r="45335" hidden="1" x14ac:dyDescent="0.15"/>
    <row r="45336" hidden="1" x14ac:dyDescent="0.15"/>
    <row r="45337" hidden="1" x14ac:dyDescent="0.15"/>
    <row r="45338" hidden="1" x14ac:dyDescent="0.15"/>
    <row r="45339" hidden="1" x14ac:dyDescent="0.15"/>
    <row r="45340" hidden="1" x14ac:dyDescent="0.15"/>
    <row r="45341" hidden="1" x14ac:dyDescent="0.15"/>
    <row r="45342" hidden="1" x14ac:dyDescent="0.15"/>
    <row r="45343" hidden="1" x14ac:dyDescent="0.15"/>
    <row r="45344" hidden="1" x14ac:dyDescent="0.15"/>
    <row r="45345" hidden="1" x14ac:dyDescent="0.15"/>
    <row r="45346" hidden="1" x14ac:dyDescent="0.15"/>
    <row r="45347" hidden="1" x14ac:dyDescent="0.15"/>
    <row r="45348" hidden="1" x14ac:dyDescent="0.15"/>
    <row r="45349" hidden="1" x14ac:dyDescent="0.15"/>
    <row r="45350" hidden="1" x14ac:dyDescent="0.15"/>
    <row r="45351" hidden="1" x14ac:dyDescent="0.15"/>
    <row r="45352" hidden="1" x14ac:dyDescent="0.15"/>
    <row r="45353" hidden="1" x14ac:dyDescent="0.15"/>
    <row r="45354" hidden="1" x14ac:dyDescent="0.15"/>
    <row r="45355" hidden="1" x14ac:dyDescent="0.15"/>
    <row r="45356" hidden="1" x14ac:dyDescent="0.15"/>
    <row r="45357" hidden="1" x14ac:dyDescent="0.15"/>
    <row r="45358" hidden="1" x14ac:dyDescent="0.15"/>
    <row r="45359" hidden="1" x14ac:dyDescent="0.15"/>
    <row r="45360" hidden="1" x14ac:dyDescent="0.15"/>
    <row r="45361" hidden="1" x14ac:dyDescent="0.15"/>
    <row r="45362" hidden="1" x14ac:dyDescent="0.15"/>
    <row r="45363" hidden="1" x14ac:dyDescent="0.15"/>
    <row r="45364" hidden="1" x14ac:dyDescent="0.15"/>
    <row r="45365" hidden="1" x14ac:dyDescent="0.15"/>
    <row r="45366" hidden="1" x14ac:dyDescent="0.15"/>
    <row r="45367" hidden="1" x14ac:dyDescent="0.15"/>
    <row r="45368" hidden="1" x14ac:dyDescent="0.15"/>
    <row r="45369" hidden="1" x14ac:dyDescent="0.15"/>
    <row r="45370" hidden="1" x14ac:dyDescent="0.15"/>
    <row r="45371" hidden="1" x14ac:dyDescent="0.15"/>
    <row r="45372" hidden="1" x14ac:dyDescent="0.15"/>
    <row r="45373" hidden="1" x14ac:dyDescent="0.15"/>
    <row r="45374" hidden="1" x14ac:dyDescent="0.15"/>
    <row r="45375" hidden="1" x14ac:dyDescent="0.15"/>
    <row r="45376" hidden="1" x14ac:dyDescent="0.15"/>
    <row r="45377" hidden="1" x14ac:dyDescent="0.15"/>
    <row r="45378" hidden="1" x14ac:dyDescent="0.15"/>
    <row r="45379" hidden="1" x14ac:dyDescent="0.15"/>
    <row r="45380" hidden="1" x14ac:dyDescent="0.15"/>
    <row r="45381" hidden="1" x14ac:dyDescent="0.15"/>
    <row r="45382" hidden="1" x14ac:dyDescent="0.15"/>
    <row r="45383" hidden="1" x14ac:dyDescent="0.15"/>
    <row r="45384" hidden="1" x14ac:dyDescent="0.15"/>
    <row r="45385" hidden="1" x14ac:dyDescent="0.15"/>
    <row r="45386" hidden="1" x14ac:dyDescent="0.15"/>
    <row r="45387" hidden="1" x14ac:dyDescent="0.15"/>
    <row r="45388" hidden="1" x14ac:dyDescent="0.15"/>
    <row r="45389" hidden="1" x14ac:dyDescent="0.15"/>
    <row r="45390" hidden="1" x14ac:dyDescent="0.15"/>
    <row r="45391" hidden="1" x14ac:dyDescent="0.15"/>
    <row r="45392" hidden="1" x14ac:dyDescent="0.15"/>
    <row r="45393" hidden="1" x14ac:dyDescent="0.15"/>
    <row r="45394" hidden="1" x14ac:dyDescent="0.15"/>
    <row r="45395" hidden="1" x14ac:dyDescent="0.15"/>
    <row r="45396" hidden="1" x14ac:dyDescent="0.15"/>
    <row r="45397" hidden="1" x14ac:dyDescent="0.15"/>
    <row r="45398" hidden="1" x14ac:dyDescent="0.15"/>
    <row r="45399" hidden="1" x14ac:dyDescent="0.15"/>
    <row r="45400" hidden="1" x14ac:dyDescent="0.15"/>
    <row r="45401" hidden="1" x14ac:dyDescent="0.15"/>
    <row r="45402" hidden="1" x14ac:dyDescent="0.15"/>
    <row r="45403" hidden="1" x14ac:dyDescent="0.15"/>
    <row r="45404" hidden="1" x14ac:dyDescent="0.15"/>
    <row r="45405" hidden="1" x14ac:dyDescent="0.15"/>
    <row r="45406" hidden="1" x14ac:dyDescent="0.15"/>
    <row r="45407" hidden="1" x14ac:dyDescent="0.15"/>
    <row r="45408" hidden="1" x14ac:dyDescent="0.15"/>
    <row r="45409" hidden="1" x14ac:dyDescent="0.15"/>
    <row r="45410" hidden="1" x14ac:dyDescent="0.15"/>
    <row r="45411" hidden="1" x14ac:dyDescent="0.15"/>
    <row r="45412" hidden="1" x14ac:dyDescent="0.15"/>
    <row r="45413" hidden="1" x14ac:dyDescent="0.15"/>
    <row r="45414" hidden="1" x14ac:dyDescent="0.15"/>
    <row r="45415" hidden="1" x14ac:dyDescent="0.15"/>
    <row r="45416" hidden="1" x14ac:dyDescent="0.15"/>
    <row r="45417" hidden="1" x14ac:dyDescent="0.15"/>
    <row r="45418" hidden="1" x14ac:dyDescent="0.15"/>
    <row r="45419" hidden="1" x14ac:dyDescent="0.15"/>
    <row r="45420" hidden="1" x14ac:dyDescent="0.15"/>
    <row r="45421" hidden="1" x14ac:dyDescent="0.15"/>
    <row r="45422" hidden="1" x14ac:dyDescent="0.15"/>
    <row r="45423" hidden="1" x14ac:dyDescent="0.15"/>
    <row r="45424" hidden="1" x14ac:dyDescent="0.15"/>
    <row r="45425" hidden="1" x14ac:dyDescent="0.15"/>
    <row r="45426" hidden="1" x14ac:dyDescent="0.15"/>
    <row r="45427" hidden="1" x14ac:dyDescent="0.15"/>
    <row r="45428" hidden="1" x14ac:dyDescent="0.15"/>
    <row r="45429" hidden="1" x14ac:dyDescent="0.15"/>
    <row r="45430" hidden="1" x14ac:dyDescent="0.15"/>
    <row r="45431" hidden="1" x14ac:dyDescent="0.15"/>
    <row r="45432" hidden="1" x14ac:dyDescent="0.15"/>
    <row r="45433" hidden="1" x14ac:dyDescent="0.15"/>
    <row r="45434" hidden="1" x14ac:dyDescent="0.15"/>
    <row r="45435" hidden="1" x14ac:dyDescent="0.15"/>
    <row r="45436" hidden="1" x14ac:dyDescent="0.15"/>
    <row r="45437" hidden="1" x14ac:dyDescent="0.15"/>
    <row r="45438" hidden="1" x14ac:dyDescent="0.15"/>
    <row r="45439" hidden="1" x14ac:dyDescent="0.15"/>
    <row r="45440" hidden="1" x14ac:dyDescent="0.15"/>
    <row r="45441" hidden="1" x14ac:dyDescent="0.15"/>
    <row r="45442" hidden="1" x14ac:dyDescent="0.15"/>
    <row r="45443" hidden="1" x14ac:dyDescent="0.15"/>
    <row r="45444" hidden="1" x14ac:dyDescent="0.15"/>
    <row r="45445" hidden="1" x14ac:dyDescent="0.15"/>
    <row r="45446" hidden="1" x14ac:dyDescent="0.15"/>
    <row r="45447" hidden="1" x14ac:dyDescent="0.15"/>
    <row r="45448" hidden="1" x14ac:dyDescent="0.15"/>
    <row r="45449" hidden="1" x14ac:dyDescent="0.15"/>
    <row r="45450" hidden="1" x14ac:dyDescent="0.15"/>
    <row r="45451" hidden="1" x14ac:dyDescent="0.15"/>
    <row r="45452" hidden="1" x14ac:dyDescent="0.15"/>
    <row r="45453" hidden="1" x14ac:dyDescent="0.15"/>
    <row r="45454" hidden="1" x14ac:dyDescent="0.15"/>
    <row r="45455" hidden="1" x14ac:dyDescent="0.15"/>
    <row r="45456" hidden="1" x14ac:dyDescent="0.15"/>
    <row r="45457" hidden="1" x14ac:dyDescent="0.15"/>
    <row r="45458" hidden="1" x14ac:dyDescent="0.15"/>
    <row r="45459" hidden="1" x14ac:dyDescent="0.15"/>
    <row r="45460" hidden="1" x14ac:dyDescent="0.15"/>
    <row r="45461" hidden="1" x14ac:dyDescent="0.15"/>
    <row r="45462" hidden="1" x14ac:dyDescent="0.15"/>
    <row r="45463" hidden="1" x14ac:dyDescent="0.15"/>
    <row r="45464" hidden="1" x14ac:dyDescent="0.15"/>
    <row r="45465" hidden="1" x14ac:dyDescent="0.15"/>
    <row r="45466" hidden="1" x14ac:dyDescent="0.15"/>
    <row r="45467" hidden="1" x14ac:dyDescent="0.15"/>
    <row r="45468" hidden="1" x14ac:dyDescent="0.15"/>
    <row r="45469" hidden="1" x14ac:dyDescent="0.15"/>
    <row r="45470" hidden="1" x14ac:dyDescent="0.15"/>
    <row r="45471" hidden="1" x14ac:dyDescent="0.15"/>
    <row r="45472" hidden="1" x14ac:dyDescent="0.15"/>
    <row r="45473" hidden="1" x14ac:dyDescent="0.15"/>
    <row r="45474" hidden="1" x14ac:dyDescent="0.15"/>
    <row r="45475" hidden="1" x14ac:dyDescent="0.15"/>
    <row r="45476" hidden="1" x14ac:dyDescent="0.15"/>
    <row r="45477" hidden="1" x14ac:dyDescent="0.15"/>
    <row r="45478" hidden="1" x14ac:dyDescent="0.15"/>
    <row r="45479" hidden="1" x14ac:dyDescent="0.15"/>
    <row r="45480" hidden="1" x14ac:dyDescent="0.15"/>
    <row r="45481" hidden="1" x14ac:dyDescent="0.15"/>
    <row r="45482" hidden="1" x14ac:dyDescent="0.15"/>
    <row r="45483" hidden="1" x14ac:dyDescent="0.15"/>
    <row r="45484" hidden="1" x14ac:dyDescent="0.15"/>
    <row r="45485" hidden="1" x14ac:dyDescent="0.15"/>
    <row r="45486" hidden="1" x14ac:dyDescent="0.15"/>
    <row r="45487" hidden="1" x14ac:dyDescent="0.15"/>
    <row r="45488" hidden="1" x14ac:dyDescent="0.15"/>
    <row r="45489" hidden="1" x14ac:dyDescent="0.15"/>
    <row r="45490" hidden="1" x14ac:dyDescent="0.15"/>
    <row r="45491" hidden="1" x14ac:dyDescent="0.15"/>
    <row r="45492" hidden="1" x14ac:dyDescent="0.15"/>
    <row r="45493" hidden="1" x14ac:dyDescent="0.15"/>
    <row r="45494" hidden="1" x14ac:dyDescent="0.15"/>
    <row r="45495" hidden="1" x14ac:dyDescent="0.15"/>
    <row r="45496" hidden="1" x14ac:dyDescent="0.15"/>
    <row r="45497" hidden="1" x14ac:dyDescent="0.15"/>
    <row r="45498" hidden="1" x14ac:dyDescent="0.15"/>
    <row r="45499" hidden="1" x14ac:dyDescent="0.15"/>
    <row r="45500" hidden="1" x14ac:dyDescent="0.15"/>
    <row r="45501" hidden="1" x14ac:dyDescent="0.15"/>
    <row r="45502" hidden="1" x14ac:dyDescent="0.15"/>
    <row r="45503" hidden="1" x14ac:dyDescent="0.15"/>
    <row r="45504" hidden="1" x14ac:dyDescent="0.15"/>
    <row r="45505" hidden="1" x14ac:dyDescent="0.15"/>
    <row r="45506" hidden="1" x14ac:dyDescent="0.15"/>
    <row r="45507" hidden="1" x14ac:dyDescent="0.15"/>
    <row r="45508" hidden="1" x14ac:dyDescent="0.15"/>
    <row r="45509" hidden="1" x14ac:dyDescent="0.15"/>
    <row r="45510" hidden="1" x14ac:dyDescent="0.15"/>
    <row r="45511" hidden="1" x14ac:dyDescent="0.15"/>
    <row r="45512" hidden="1" x14ac:dyDescent="0.15"/>
    <row r="45513" hidden="1" x14ac:dyDescent="0.15"/>
    <row r="45514" hidden="1" x14ac:dyDescent="0.15"/>
    <row r="45515" hidden="1" x14ac:dyDescent="0.15"/>
    <row r="45516" hidden="1" x14ac:dyDescent="0.15"/>
    <row r="45517" hidden="1" x14ac:dyDescent="0.15"/>
    <row r="45518" hidden="1" x14ac:dyDescent="0.15"/>
    <row r="45519" hidden="1" x14ac:dyDescent="0.15"/>
    <row r="45520" hidden="1" x14ac:dyDescent="0.15"/>
    <row r="45521" hidden="1" x14ac:dyDescent="0.15"/>
    <row r="45522" hidden="1" x14ac:dyDescent="0.15"/>
    <row r="45523" hidden="1" x14ac:dyDescent="0.15"/>
    <row r="45524" hidden="1" x14ac:dyDescent="0.15"/>
    <row r="45525" hidden="1" x14ac:dyDescent="0.15"/>
    <row r="45526" hidden="1" x14ac:dyDescent="0.15"/>
    <row r="45527" hidden="1" x14ac:dyDescent="0.15"/>
    <row r="45528" hidden="1" x14ac:dyDescent="0.15"/>
    <row r="45529" hidden="1" x14ac:dyDescent="0.15"/>
    <row r="45530" hidden="1" x14ac:dyDescent="0.15"/>
    <row r="45531" hidden="1" x14ac:dyDescent="0.15"/>
    <row r="45532" hidden="1" x14ac:dyDescent="0.15"/>
    <row r="45533" hidden="1" x14ac:dyDescent="0.15"/>
    <row r="45534" hidden="1" x14ac:dyDescent="0.15"/>
    <row r="45535" hidden="1" x14ac:dyDescent="0.15"/>
    <row r="45536" hidden="1" x14ac:dyDescent="0.15"/>
    <row r="45537" hidden="1" x14ac:dyDescent="0.15"/>
    <row r="45538" hidden="1" x14ac:dyDescent="0.15"/>
    <row r="45539" hidden="1" x14ac:dyDescent="0.15"/>
    <row r="45540" hidden="1" x14ac:dyDescent="0.15"/>
    <row r="45541" hidden="1" x14ac:dyDescent="0.15"/>
    <row r="45542" hidden="1" x14ac:dyDescent="0.15"/>
    <row r="45543" hidden="1" x14ac:dyDescent="0.15"/>
    <row r="45544" hidden="1" x14ac:dyDescent="0.15"/>
    <row r="45545" hidden="1" x14ac:dyDescent="0.15"/>
    <row r="45546" hidden="1" x14ac:dyDescent="0.15"/>
    <row r="45547" hidden="1" x14ac:dyDescent="0.15"/>
    <row r="45548" hidden="1" x14ac:dyDescent="0.15"/>
    <row r="45549" hidden="1" x14ac:dyDescent="0.15"/>
    <row r="45550" hidden="1" x14ac:dyDescent="0.15"/>
    <row r="45551" hidden="1" x14ac:dyDescent="0.15"/>
    <row r="45552" hidden="1" x14ac:dyDescent="0.15"/>
    <row r="45553" hidden="1" x14ac:dyDescent="0.15"/>
    <row r="45554" hidden="1" x14ac:dyDescent="0.15"/>
    <row r="45555" hidden="1" x14ac:dyDescent="0.15"/>
    <row r="45556" hidden="1" x14ac:dyDescent="0.15"/>
    <row r="45557" hidden="1" x14ac:dyDescent="0.15"/>
    <row r="45558" hidden="1" x14ac:dyDescent="0.15"/>
    <row r="45559" hidden="1" x14ac:dyDescent="0.15"/>
    <row r="45560" hidden="1" x14ac:dyDescent="0.15"/>
    <row r="45561" hidden="1" x14ac:dyDescent="0.15"/>
    <row r="45562" hidden="1" x14ac:dyDescent="0.15"/>
    <row r="45563" hidden="1" x14ac:dyDescent="0.15"/>
    <row r="45564" hidden="1" x14ac:dyDescent="0.15"/>
    <row r="45565" hidden="1" x14ac:dyDescent="0.15"/>
    <row r="45566" hidden="1" x14ac:dyDescent="0.15"/>
    <row r="45567" hidden="1" x14ac:dyDescent="0.15"/>
    <row r="45568" hidden="1" x14ac:dyDescent="0.15"/>
    <row r="45569" hidden="1" x14ac:dyDescent="0.15"/>
    <row r="45570" hidden="1" x14ac:dyDescent="0.15"/>
    <row r="45571" hidden="1" x14ac:dyDescent="0.15"/>
    <row r="45572" hidden="1" x14ac:dyDescent="0.15"/>
    <row r="45573" hidden="1" x14ac:dyDescent="0.15"/>
    <row r="45574" hidden="1" x14ac:dyDescent="0.15"/>
    <row r="45575" hidden="1" x14ac:dyDescent="0.15"/>
    <row r="45576" hidden="1" x14ac:dyDescent="0.15"/>
    <row r="45577" hidden="1" x14ac:dyDescent="0.15"/>
    <row r="45578" hidden="1" x14ac:dyDescent="0.15"/>
    <row r="45579" hidden="1" x14ac:dyDescent="0.15"/>
    <row r="45580" hidden="1" x14ac:dyDescent="0.15"/>
    <row r="45581" hidden="1" x14ac:dyDescent="0.15"/>
    <row r="45582" hidden="1" x14ac:dyDescent="0.15"/>
    <row r="45583" hidden="1" x14ac:dyDescent="0.15"/>
    <row r="45584" hidden="1" x14ac:dyDescent="0.15"/>
    <row r="45585" hidden="1" x14ac:dyDescent="0.15"/>
    <row r="45586" hidden="1" x14ac:dyDescent="0.15"/>
    <row r="45587" hidden="1" x14ac:dyDescent="0.15"/>
    <row r="45588" hidden="1" x14ac:dyDescent="0.15"/>
    <row r="45589" hidden="1" x14ac:dyDescent="0.15"/>
    <row r="45590" hidden="1" x14ac:dyDescent="0.15"/>
    <row r="45591" hidden="1" x14ac:dyDescent="0.15"/>
    <row r="45592" hidden="1" x14ac:dyDescent="0.15"/>
    <row r="45593" hidden="1" x14ac:dyDescent="0.15"/>
    <row r="45594" hidden="1" x14ac:dyDescent="0.15"/>
    <row r="45595" hidden="1" x14ac:dyDescent="0.15"/>
    <row r="45596" hidden="1" x14ac:dyDescent="0.15"/>
    <row r="45597" hidden="1" x14ac:dyDescent="0.15"/>
    <row r="45598" hidden="1" x14ac:dyDescent="0.15"/>
    <row r="45599" hidden="1" x14ac:dyDescent="0.15"/>
    <row r="45600" hidden="1" x14ac:dyDescent="0.15"/>
    <row r="45601" hidden="1" x14ac:dyDescent="0.15"/>
    <row r="45602" hidden="1" x14ac:dyDescent="0.15"/>
    <row r="45603" hidden="1" x14ac:dyDescent="0.15"/>
    <row r="45604" hidden="1" x14ac:dyDescent="0.15"/>
    <row r="45605" hidden="1" x14ac:dyDescent="0.15"/>
    <row r="45606" hidden="1" x14ac:dyDescent="0.15"/>
    <row r="45607" hidden="1" x14ac:dyDescent="0.15"/>
    <row r="45608" hidden="1" x14ac:dyDescent="0.15"/>
    <row r="45609" hidden="1" x14ac:dyDescent="0.15"/>
    <row r="45610" hidden="1" x14ac:dyDescent="0.15"/>
    <row r="45611" hidden="1" x14ac:dyDescent="0.15"/>
    <row r="45612" hidden="1" x14ac:dyDescent="0.15"/>
    <row r="45613" hidden="1" x14ac:dyDescent="0.15"/>
    <row r="45614" hidden="1" x14ac:dyDescent="0.15"/>
    <row r="45615" hidden="1" x14ac:dyDescent="0.15"/>
    <row r="45616" hidden="1" x14ac:dyDescent="0.15"/>
    <row r="45617" hidden="1" x14ac:dyDescent="0.15"/>
    <row r="45618" hidden="1" x14ac:dyDescent="0.15"/>
    <row r="45619" hidden="1" x14ac:dyDescent="0.15"/>
    <row r="45620" hidden="1" x14ac:dyDescent="0.15"/>
    <row r="45621" hidden="1" x14ac:dyDescent="0.15"/>
    <row r="45622" hidden="1" x14ac:dyDescent="0.15"/>
    <row r="45623" hidden="1" x14ac:dyDescent="0.15"/>
    <row r="45624" hidden="1" x14ac:dyDescent="0.15"/>
    <row r="45625" hidden="1" x14ac:dyDescent="0.15"/>
    <row r="45626" hidden="1" x14ac:dyDescent="0.15"/>
    <row r="45627" hidden="1" x14ac:dyDescent="0.15"/>
    <row r="45628" hidden="1" x14ac:dyDescent="0.15"/>
    <row r="45629" hidden="1" x14ac:dyDescent="0.15"/>
    <row r="45630" hidden="1" x14ac:dyDescent="0.15"/>
    <row r="45631" hidden="1" x14ac:dyDescent="0.15"/>
    <row r="45632" hidden="1" x14ac:dyDescent="0.15"/>
    <row r="45633" hidden="1" x14ac:dyDescent="0.15"/>
    <row r="45634" hidden="1" x14ac:dyDescent="0.15"/>
    <row r="45635" hidden="1" x14ac:dyDescent="0.15"/>
    <row r="45636" hidden="1" x14ac:dyDescent="0.15"/>
    <row r="45637" hidden="1" x14ac:dyDescent="0.15"/>
    <row r="45638" hidden="1" x14ac:dyDescent="0.15"/>
    <row r="45639" hidden="1" x14ac:dyDescent="0.15"/>
    <row r="45640" hidden="1" x14ac:dyDescent="0.15"/>
    <row r="45641" hidden="1" x14ac:dyDescent="0.15"/>
    <row r="45642" hidden="1" x14ac:dyDescent="0.15"/>
    <row r="45643" hidden="1" x14ac:dyDescent="0.15"/>
    <row r="45644" hidden="1" x14ac:dyDescent="0.15"/>
    <row r="45645" hidden="1" x14ac:dyDescent="0.15"/>
    <row r="45646" hidden="1" x14ac:dyDescent="0.15"/>
    <row r="45647" hidden="1" x14ac:dyDescent="0.15"/>
    <row r="45648" hidden="1" x14ac:dyDescent="0.15"/>
    <row r="45649" hidden="1" x14ac:dyDescent="0.15"/>
    <row r="45650" hidden="1" x14ac:dyDescent="0.15"/>
    <row r="45651" hidden="1" x14ac:dyDescent="0.15"/>
    <row r="45652" hidden="1" x14ac:dyDescent="0.15"/>
    <row r="45653" hidden="1" x14ac:dyDescent="0.15"/>
    <row r="45654" hidden="1" x14ac:dyDescent="0.15"/>
    <row r="45655" hidden="1" x14ac:dyDescent="0.15"/>
    <row r="45656" hidden="1" x14ac:dyDescent="0.15"/>
    <row r="45657" hidden="1" x14ac:dyDescent="0.15"/>
    <row r="45658" hidden="1" x14ac:dyDescent="0.15"/>
    <row r="45659" hidden="1" x14ac:dyDescent="0.15"/>
    <row r="45660" hidden="1" x14ac:dyDescent="0.15"/>
    <row r="45661" hidden="1" x14ac:dyDescent="0.15"/>
    <row r="45662" hidden="1" x14ac:dyDescent="0.15"/>
    <row r="45663" hidden="1" x14ac:dyDescent="0.15"/>
    <row r="45664" hidden="1" x14ac:dyDescent="0.15"/>
    <row r="45665" hidden="1" x14ac:dyDescent="0.15"/>
    <row r="45666" hidden="1" x14ac:dyDescent="0.15"/>
    <row r="45667" hidden="1" x14ac:dyDescent="0.15"/>
    <row r="45668" hidden="1" x14ac:dyDescent="0.15"/>
    <row r="45669" hidden="1" x14ac:dyDescent="0.15"/>
    <row r="45670" hidden="1" x14ac:dyDescent="0.15"/>
    <row r="45671" hidden="1" x14ac:dyDescent="0.15"/>
    <row r="45672" hidden="1" x14ac:dyDescent="0.15"/>
    <row r="45673" hidden="1" x14ac:dyDescent="0.15"/>
    <row r="45674" hidden="1" x14ac:dyDescent="0.15"/>
    <row r="45675" hidden="1" x14ac:dyDescent="0.15"/>
    <row r="45676" hidden="1" x14ac:dyDescent="0.15"/>
    <row r="45677" hidden="1" x14ac:dyDescent="0.15"/>
    <row r="45678" hidden="1" x14ac:dyDescent="0.15"/>
    <row r="45679" hidden="1" x14ac:dyDescent="0.15"/>
    <row r="45680" hidden="1" x14ac:dyDescent="0.15"/>
    <row r="45681" hidden="1" x14ac:dyDescent="0.15"/>
    <row r="45682" hidden="1" x14ac:dyDescent="0.15"/>
    <row r="45683" hidden="1" x14ac:dyDescent="0.15"/>
    <row r="45684" hidden="1" x14ac:dyDescent="0.15"/>
    <row r="45685" hidden="1" x14ac:dyDescent="0.15"/>
    <row r="45686" hidden="1" x14ac:dyDescent="0.15"/>
    <row r="45687" hidden="1" x14ac:dyDescent="0.15"/>
    <row r="45688" hidden="1" x14ac:dyDescent="0.15"/>
    <row r="45689" hidden="1" x14ac:dyDescent="0.15"/>
    <row r="45690" hidden="1" x14ac:dyDescent="0.15"/>
    <row r="45691" hidden="1" x14ac:dyDescent="0.15"/>
    <row r="45692" hidden="1" x14ac:dyDescent="0.15"/>
    <row r="45693" hidden="1" x14ac:dyDescent="0.15"/>
    <row r="45694" hidden="1" x14ac:dyDescent="0.15"/>
    <row r="45695" hidden="1" x14ac:dyDescent="0.15"/>
    <row r="45696" hidden="1" x14ac:dyDescent="0.15"/>
    <row r="45697" hidden="1" x14ac:dyDescent="0.15"/>
    <row r="45698" hidden="1" x14ac:dyDescent="0.15"/>
    <row r="45699" hidden="1" x14ac:dyDescent="0.15"/>
    <row r="45700" hidden="1" x14ac:dyDescent="0.15"/>
    <row r="45701" hidden="1" x14ac:dyDescent="0.15"/>
    <row r="45702" hidden="1" x14ac:dyDescent="0.15"/>
    <row r="45703" hidden="1" x14ac:dyDescent="0.15"/>
    <row r="45704" hidden="1" x14ac:dyDescent="0.15"/>
    <row r="45705" hidden="1" x14ac:dyDescent="0.15"/>
    <row r="45706" hidden="1" x14ac:dyDescent="0.15"/>
    <row r="45707" hidden="1" x14ac:dyDescent="0.15"/>
    <row r="45708" hidden="1" x14ac:dyDescent="0.15"/>
    <row r="45709" hidden="1" x14ac:dyDescent="0.15"/>
    <row r="45710" hidden="1" x14ac:dyDescent="0.15"/>
    <row r="45711" hidden="1" x14ac:dyDescent="0.15"/>
    <row r="45712" hidden="1" x14ac:dyDescent="0.15"/>
    <row r="45713" hidden="1" x14ac:dyDescent="0.15"/>
    <row r="45714" hidden="1" x14ac:dyDescent="0.15"/>
    <row r="45715" hidden="1" x14ac:dyDescent="0.15"/>
    <row r="45716" hidden="1" x14ac:dyDescent="0.15"/>
    <row r="45717" hidden="1" x14ac:dyDescent="0.15"/>
    <row r="45718" hidden="1" x14ac:dyDescent="0.15"/>
    <row r="45719" hidden="1" x14ac:dyDescent="0.15"/>
    <row r="45720" hidden="1" x14ac:dyDescent="0.15"/>
    <row r="45721" hidden="1" x14ac:dyDescent="0.15"/>
    <row r="45722" hidden="1" x14ac:dyDescent="0.15"/>
    <row r="45723" hidden="1" x14ac:dyDescent="0.15"/>
    <row r="45724" hidden="1" x14ac:dyDescent="0.15"/>
    <row r="45725" hidden="1" x14ac:dyDescent="0.15"/>
    <row r="45726" hidden="1" x14ac:dyDescent="0.15"/>
    <row r="45727" hidden="1" x14ac:dyDescent="0.15"/>
    <row r="45728" hidden="1" x14ac:dyDescent="0.15"/>
    <row r="45729" hidden="1" x14ac:dyDescent="0.15"/>
    <row r="45730" hidden="1" x14ac:dyDescent="0.15"/>
    <row r="45731" hidden="1" x14ac:dyDescent="0.15"/>
    <row r="45732" hidden="1" x14ac:dyDescent="0.15"/>
    <row r="45733" hidden="1" x14ac:dyDescent="0.15"/>
    <row r="45734" hidden="1" x14ac:dyDescent="0.15"/>
    <row r="45735" hidden="1" x14ac:dyDescent="0.15"/>
    <row r="45736" hidden="1" x14ac:dyDescent="0.15"/>
    <row r="45737" hidden="1" x14ac:dyDescent="0.15"/>
    <row r="45738" hidden="1" x14ac:dyDescent="0.15"/>
    <row r="45739" hidden="1" x14ac:dyDescent="0.15"/>
    <row r="45740" hidden="1" x14ac:dyDescent="0.15"/>
    <row r="45741" hidden="1" x14ac:dyDescent="0.15"/>
    <row r="45742" hidden="1" x14ac:dyDescent="0.15"/>
    <row r="45743" hidden="1" x14ac:dyDescent="0.15"/>
    <row r="45744" hidden="1" x14ac:dyDescent="0.15"/>
    <row r="45745" hidden="1" x14ac:dyDescent="0.15"/>
    <row r="45746" hidden="1" x14ac:dyDescent="0.15"/>
    <row r="45747" hidden="1" x14ac:dyDescent="0.15"/>
    <row r="45748" hidden="1" x14ac:dyDescent="0.15"/>
    <row r="45749" hidden="1" x14ac:dyDescent="0.15"/>
    <row r="45750" hidden="1" x14ac:dyDescent="0.15"/>
    <row r="45751" hidden="1" x14ac:dyDescent="0.15"/>
    <row r="45752" hidden="1" x14ac:dyDescent="0.15"/>
    <row r="45753" hidden="1" x14ac:dyDescent="0.15"/>
    <row r="45754" hidden="1" x14ac:dyDescent="0.15"/>
    <row r="45755" hidden="1" x14ac:dyDescent="0.15"/>
    <row r="45756" hidden="1" x14ac:dyDescent="0.15"/>
    <row r="45757" hidden="1" x14ac:dyDescent="0.15"/>
    <row r="45758" hidden="1" x14ac:dyDescent="0.15"/>
    <row r="45759" hidden="1" x14ac:dyDescent="0.15"/>
    <row r="45760" hidden="1" x14ac:dyDescent="0.15"/>
    <row r="45761" hidden="1" x14ac:dyDescent="0.15"/>
    <row r="45762" hidden="1" x14ac:dyDescent="0.15"/>
    <row r="45763" hidden="1" x14ac:dyDescent="0.15"/>
    <row r="45764" hidden="1" x14ac:dyDescent="0.15"/>
    <row r="45765" hidden="1" x14ac:dyDescent="0.15"/>
    <row r="45766" hidden="1" x14ac:dyDescent="0.15"/>
    <row r="45767" hidden="1" x14ac:dyDescent="0.15"/>
    <row r="45768" hidden="1" x14ac:dyDescent="0.15"/>
    <row r="45769" hidden="1" x14ac:dyDescent="0.15"/>
    <row r="45770" hidden="1" x14ac:dyDescent="0.15"/>
    <row r="45771" hidden="1" x14ac:dyDescent="0.15"/>
    <row r="45772" hidden="1" x14ac:dyDescent="0.15"/>
    <row r="45773" hidden="1" x14ac:dyDescent="0.15"/>
    <row r="45774" hidden="1" x14ac:dyDescent="0.15"/>
    <row r="45775" hidden="1" x14ac:dyDescent="0.15"/>
    <row r="45776" hidden="1" x14ac:dyDescent="0.15"/>
    <row r="45777" hidden="1" x14ac:dyDescent="0.15"/>
    <row r="45778" hidden="1" x14ac:dyDescent="0.15"/>
    <row r="45779" hidden="1" x14ac:dyDescent="0.15"/>
    <row r="45780" hidden="1" x14ac:dyDescent="0.15"/>
    <row r="45781" hidden="1" x14ac:dyDescent="0.15"/>
    <row r="45782" hidden="1" x14ac:dyDescent="0.15"/>
    <row r="45783" hidden="1" x14ac:dyDescent="0.15"/>
    <row r="45784" hidden="1" x14ac:dyDescent="0.15"/>
    <row r="45785" hidden="1" x14ac:dyDescent="0.15"/>
    <row r="45786" hidden="1" x14ac:dyDescent="0.15"/>
    <row r="45787" hidden="1" x14ac:dyDescent="0.15"/>
    <row r="45788" hidden="1" x14ac:dyDescent="0.15"/>
    <row r="45789" hidden="1" x14ac:dyDescent="0.15"/>
    <row r="45790" hidden="1" x14ac:dyDescent="0.15"/>
    <row r="45791" hidden="1" x14ac:dyDescent="0.15"/>
    <row r="45792" hidden="1" x14ac:dyDescent="0.15"/>
    <row r="45793" hidden="1" x14ac:dyDescent="0.15"/>
    <row r="45794" hidden="1" x14ac:dyDescent="0.15"/>
    <row r="45795" hidden="1" x14ac:dyDescent="0.15"/>
    <row r="45796" hidden="1" x14ac:dyDescent="0.15"/>
    <row r="45797" hidden="1" x14ac:dyDescent="0.15"/>
    <row r="45798" hidden="1" x14ac:dyDescent="0.15"/>
    <row r="45799" hidden="1" x14ac:dyDescent="0.15"/>
    <row r="45800" hidden="1" x14ac:dyDescent="0.15"/>
    <row r="45801" hidden="1" x14ac:dyDescent="0.15"/>
    <row r="45802" hidden="1" x14ac:dyDescent="0.15"/>
    <row r="45803" hidden="1" x14ac:dyDescent="0.15"/>
    <row r="45804" hidden="1" x14ac:dyDescent="0.15"/>
    <row r="45805" hidden="1" x14ac:dyDescent="0.15"/>
    <row r="45806" hidden="1" x14ac:dyDescent="0.15"/>
    <row r="45807" hidden="1" x14ac:dyDescent="0.15"/>
    <row r="45808" hidden="1" x14ac:dyDescent="0.15"/>
    <row r="45809" hidden="1" x14ac:dyDescent="0.15"/>
    <row r="45810" hidden="1" x14ac:dyDescent="0.15"/>
    <row r="45811" hidden="1" x14ac:dyDescent="0.15"/>
    <row r="45812" hidden="1" x14ac:dyDescent="0.15"/>
    <row r="45813" hidden="1" x14ac:dyDescent="0.15"/>
    <row r="45814" hidden="1" x14ac:dyDescent="0.15"/>
    <row r="45815" hidden="1" x14ac:dyDescent="0.15"/>
    <row r="45816" hidden="1" x14ac:dyDescent="0.15"/>
    <row r="45817" hidden="1" x14ac:dyDescent="0.15"/>
    <row r="45818" hidden="1" x14ac:dyDescent="0.15"/>
    <row r="45819" hidden="1" x14ac:dyDescent="0.15"/>
    <row r="45820" hidden="1" x14ac:dyDescent="0.15"/>
    <row r="45821" hidden="1" x14ac:dyDescent="0.15"/>
    <row r="45822" hidden="1" x14ac:dyDescent="0.15"/>
    <row r="45823" hidden="1" x14ac:dyDescent="0.15"/>
    <row r="45824" hidden="1" x14ac:dyDescent="0.15"/>
    <row r="45825" hidden="1" x14ac:dyDescent="0.15"/>
    <row r="45826" hidden="1" x14ac:dyDescent="0.15"/>
    <row r="45827" hidden="1" x14ac:dyDescent="0.15"/>
    <row r="45828" hidden="1" x14ac:dyDescent="0.15"/>
    <row r="45829" hidden="1" x14ac:dyDescent="0.15"/>
    <row r="45830" hidden="1" x14ac:dyDescent="0.15"/>
    <row r="45831" hidden="1" x14ac:dyDescent="0.15"/>
    <row r="45832" hidden="1" x14ac:dyDescent="0.15"/>
    <row r="45833" hidden="1" x14ac:dyDescent="0.15"/>
    <row r="45834" hidden="1" x14ac:dyDescent="0.15"/>
    <row r="45835" hidden="1" x14ac:dyDescent="0.15"/>
    <row r="45836" hidden="1" x14ac:dyDescent="0.15"/>
    <row r="45837" hidden="1" x14ac:dyDescent="0.15"/>
    <row r="45838" hidden="1" x14ac:dyDescent="0.15"/>
    <row r="45839" hidden="1" x14ac:dyDescent="0.15"/>
    <row r="45840" hidden="1" x14ac:dyDescent="0.15"/>
    <row r="45841" hidden="1" x14ac:dyDescent="0.15"/>
    <row r="45842" hidden="1" x14ac:dyDescent="0.15"/>
    <row r="45843" hidden="1" x14ac:dyDescent="0.15"/>
    <row r="45844" hidden="1" x14ac:dyDescent="0.15"/>
    <row r="45845" hidden="1" x14ac:dyDescent="0.15"/>
    <row r="45846" hidden="1" x14ac:dyDescent="0.15"/>
    <row r="45847" hidden="1" x14ac:dyDescent="0.15"/>
    <row r="45848" hidden="1" x14ac:dyDescent="0.15"/>
    <row r="45849" hidden="1" x14ac:dyDescent="0.15"/>
    <row r="45850" hidden="1" x14ac:dyDescent="0.15"/>
    <row r="45851" hidden="1" x14ac:dyDescent="0.15"/>
    <row r="45852" hidden="1" x14ac:dyDescent="0.15"/>
    <row r="45853" hidden="1" x14ac:dyDescent="0.15"/>
    <row r="45854" hidden="1" x14ac:dyDescent="0.15"/>
    <row r="45855" hidden="1" x14ac:dyDescent="0.15"/>
    <row r="45856" hidden="1" x14ac:dyDescent="0.15"/>
    <row r="45857" hidden="1" x14ac:dyDescent="0.15"/>
    <row r="45858" hidden="1" x14ac:dyDescent="0.15"/>
    <row r="45859" hidden="1" x14ac:dyDescent="0.15"/>
    <row r="45860" hidden="1" x14ac:dyDescent="0.15"/>
    <row r="45861" hidden="1" x14ac:dyDescent="0.15"/>
    <row r="45862" hidden="1" x14ac:dyDescent="0.15"/>
    <row r="45863" hidden="1" x14ac:dyDescent="0.15"/>
    <row r="45864" hidden="1" x14ac:dyDescent="0.15"/>
    <row r="45865" hidden="1" x14ac:dyDescent="0.15"/>
    <row r="45866" hidden="1" x14ac:dyDescent="0.15"/>
    <row r="45867" hidden="1" x14ac:dyDescent="0.15"/>
    <row r="45868" hidden="1" x14ac:dyDescent="0.15"/>
    <row r="45869" hidden="1" x14ac:dyDescent="0.15"/>
    <row r="45870" hidden="1" x14ac:dyDescent="0.15"/>
    <row r="45871" hidden="1" x14ac:dyDescent="0.15"/>
    <row r="45872" hidden="1" x14ac:dyDescent="0.15"/>
    <row r="45873" hidden="1" x14ac:dyDescent="0.15"/>
    <row r="45874" hidden="1" x14ac:dyDescent="0.15"/>
    <row r="45875" hidden="1" x14ac:dyDescent="0.15"/>
    <row r="45876" hidden="1" x14ac:dyDescent="0.15"/>
    <row r="45877" hidden="1" x14ac:dyDescent="0.15"/>
    <row r="45878" hidden="1" x14ac:dyDescent="0.15"/>
    <row r="45879" hidden="1" x14ac:dyDescent="0.15"/>
    <row r="45880" hidden="1" x14ac:dyDescent="0.15"/>
    <row r="45881" hidden="1" x14ac:dyDescent="0.15"/>
    <row r="45882" hidden="1" x14ac:dyDescent="0.15"/>
    <row r="45883" hidden="1" x14ac:dyDescent="0.15"/>
    <row r="45884" hidden="1" x14ac:dyDescent="0.15"/>
    <row r="45885" hidden="1" x14ac:dyDescent="0.15"/>
    <row r="45886" hidden="1" x14ac:dyDescent="0.15"/>
    <row r="45887" hidden="1" x14ac:dyDescent="0.15"/>
    <row r="45888" hidden="1" x14ac:dyDescent="0.15"/>
    <row r="45889" hidden="1" x14ac:dyDescent="0.15"/>
    <row r="45890" hidden="1" x14ac:dyDescent="0.15"/>
    <row r="45891" hidden="1" x14ac:dyDescent="0.15"/>
    <row r="45892" hidden="1" x14ac:dyDescent="0.15"/>
    <row r="45893" hidden="1" x14ac:dyDescent="0.15"/>
    <row r="45894" hidden="1" x14ac:dyDescent="0.15"/>
    <row r="45895" hidden="1" x14ac:dyDescent="0.15"/>
    <row r="45896" hidden="1" x14ac:dyDescent="0.15"/>
    <row r="45897" hidden="1" x14ac:dyDescent="0.15"/>
    <row r="45898" hidden="1" x14ac:dyDescent="0.15"/>
    <row r="45899" hidden="1" x14ac:dyDescent="0.15"/>
    <row r="45900" hidden="1" x14ac:dyDescent="0.15"/>
    <row r="45901" hidden="1" x14ac:dyDescent="0.15"/>
    <row r="45902" hidden="1" x14ac:dyDescent="0.15"/>
    <row r="45903" hidden="1" x14ac:dyDescent="0.15"/>
    <row r="45904" hidden="1" x14ac:dyDescent="0.15"/>
    <row r="45905" hidden="1" x14ac:dyDescent="0.15"/>
    <row r="45906" hidden="1" x14ac:dyDescent="0.15"/>
    <row r="45907" hidden="1" x14ac:dyDescent="0.15"/>
    <row r="45908" hidden="1" x14ac:dyDescent="0.15"/>
    <row r="45909" hidden="1" x14ac:dyDescent="0.15"/>
    <row r="45910" hidden="1" x14ac:dyDescent="0.15"/>
    <row r="45911" hidden="1" x14ac:dyDescent="0.15"/>
    <row r="45912" hidden="1" x14ac:dyDescent="0.15"/>
    <row r="45913" hidden="1" x14ac:dyDescent="0.15"/>
    <row r="45914" hidden="1" x14ac:dyDescent="0.15"/>
    <row r="45915" hidden="1" x14ac:dyDescent="0.15"/>
    <row r="45916" hidden="1" x14ac:dyDescent="0.15"/>
    <row r="45917" hidden="1" x14ac:dyDescent="0.15"/>
    <row r="45918" hidden="1" x14ac:dyDescent="0.15"/>
    <row r="45919" hidden="1" x14ac:dyDescent="0.15"/>
    <row r="45920" hidden="1" x14ac:dyDescent="0.15"/>
    <row r="45921" hidden="1" x14ac:dyDescent="0.15"/>
    <row r="45922" hidden="1" x14ac:dyDescent="0.15"/>
    <row r="45923" hidden="1" x14ac:dyDescent="0.15"/>
    <row r="45924" hidden="1" x14ac:dyDescent="0.15"/>
    <row r="45925" hidden="1" x14ac:dyDescent="0.15"/>
    <row r="45926" hidden="1" x14ac:dyDescent="0.15"/>
    <row r="45927" hidden="1" x14ac:dyDescent="0.15"/>
    <row r="45928" hidden="1" x14ac:dyDescent="0.15"/>
    <row r="45929" hidden="1" x14ac:dyDescent="0.15"/>
    <row r="45930" hidden="1" x14ac:dyDescent="0.15"/>
    <row r="45931" hidden="1" x14ac:dyDescent="0.15"/>
    <row r="45932" hidden="1" x14ac:dyDescent="0.15"/>
    <row r="45933" hidden="1" x14ac:dyDescent="0.15"/>
    <row r="45934" hidden="1" x14ac:dyDescent="0.15"/>
    <row r="45935" hidden="1" x14ac:dyDescent="0.15"/>
    <row r="45936" hidden="1" x14ac:dyDescent="0.15"/>
    <row r="45937" hidden="1" x14ac:dyDescent="0.15"/>
    <row r="45938" hidden="1" x14ac:dyDescent="0.15"/>
    <row r="45939" hidden="1" x14ac:dyDescent="0.15"/>
    <row r="45940" hidden="1" x14ac:dyDescent="0.15"/>
    <row r="45941" hidden="1" x14ac:dyDescent="0.15"/>
    <row r="45942" hidden="1" x14ac:dyDescent="0.15"/>
    <row r="45943" hidden="1" x14ac:dyDescent="0.15"/>
    <row r="45944" hidden="1" x14ac:dyDescent="0.15"/>
    <row r="45945" hidden="1" x14ac:dyDescent="0.15"/>
    <row r="45946" hidden="1" x14ac:dyDescent="0.15"/>
    <row r="45947" hidden="1" x14ac:dyDescent="0.15"/>
    <row r="45948" hidden="1" x14ac:dyDescent="0.15"/>
    <row r="45949" hidden="1" x14ac:dyDescent="0.15"/>
    <row r="45950" hidden="1" x14ac:dyDescent="0.15"/>
    <row r="45951" hidden="1" x14ac:dyDescent="0.15"/>
    <row r="45952" hidden="1" x14ac:dyDescent="0.15"/>
    <row r="45953" hidden="1" x14ac:dyDescent="0.15"/>
    <row r="45954" hidden="1" x14ac:dyDescent="0.15"/>
    <row r="45955" hidden="1" x14ac:dyDescent="0.15"/>
    <row r="45956" hidden="1" x14ac:dyDescent="0.15"/>
    <row r="45957" hidden="1" x14ac:dyDescent="0.15"/>
    <row r="45958" hidden="1" x14ac:dyDescent="0.15"/>
    <row r="45959" hidden="1" x14ac:dyDescent="0.15"/>
    <row r="45960" hidden="1" x14ac:dyDescent="0.15"/>
    <row r="45961" hidden="1" x14ac:dyDescent="0.15"/>
    <row r="45962" hidden="1" x14ac:dyDescent="0.15"/>
    <row r="45963" hidden="1" x14ac:dyDescent="0.15"/>
    <row r="45964" hidden="1" x14ac:dyDescent="0.15"/>
    <row r="45965" hidden="1" x14ac:dyDescent="0.15"/>
    <row r="45966" hidden="1" x14ac:dyDescent="0.15"/>
    <row r="45967" hidden="1" x14ac:dyDescent="0.15"/>
    <row r="45968" hidden="1" x14ac:dyDescent="0.15"/>
    <row r="45969" hidden="1" x14ac:dyDescent="0.15"/>
    <row r="45970" hidden="1" x14ac:dyDescent="0.15"/>
    <row r="45971" hidden="1" x14ac:dyDescent="0.15"/>
    <row r="45972" hidden="1" x14ac:dyDescent="0.15"/>
    <row r="45973" hidden="1" x14ac:dyDescent="0.15"/>
    <row r="45974" hidden="1" x14ac:dyDescent="0.15"/>
    <row r="45975" hidden="1" x14ac:dyDescent="0.15"/>
    <row r="45976" hidden="1" x14ac:dyDescent="0.15"/>
    <row r="45977" hidden="1" x14ac:dyDescent="0.15"/>
    <row r="45978" hidden="1" x14ac:dyDescent="0.15"/>
    <row r="45979" hidden="1" x14ac:dyDescent="0.15"/>
    <row r="45980" hidden="1" x14ac:dyDescent="0.15"/>
    <row r="45981" hidden="1" x14ac:dyDescent="0.15"/>
    <row r="45982" hidden="1" x14ac:dyDescent="0.15"/>
    <row r="45983" hidden="1" x14ac:dyDescent="0.15"/>
    <row r="45984" hidden="1" x14ac:dyDescent="0.15"/>
    <row r="45985" hidden="1" x14ac:dyDescent="0.15"/>
    <row r="45986" hidden="1" x14ac:dyDescent="0.15"/>
    <row r="45987" hidden="1" x14ac:dyDescent="0.15"/>
    <row r="45988" hidden="1" x14ac:dyDescent="0.15"/>
    <row r="45989" hidden="1" x14ac:dyDescent="0.15"/>
    <row r="45990" hidden="1" x14ac:dyDescent="0.15"/>
    <row r="45991" hidden="1" x14ac:dyDescent="0.15"/>
    <row r="45992" hidden="1" x14ac:dyDescent="0.15"/>
    <row r="45993" hidden="1" x14ac:dyDescent="0.15"/>
    <row r="45994" hidden="1" x14ac:dyDescent="0.15"/>
    <row r="45995" hidden="1" x14ac:dyDescent="0.15"/>
    <row r="45996" hidden="1" x14ac:dyDescent="0.15"/>
    <row r="45997" hidden="1" x14ac:dyDescent="0.15"/>
    <row r="45998" hidden="1" x14ac:dyDescent="0.15"/>
    <row r="45999" hidden="1" x14ac:dyDescent="0.15"/>
    <row r="46000" hidden="1" x14ac:dyDescent="0.15"/>
    <row r="46001" hidden="1" x14ac:dyDescent="0.15"/>
    <row r="46002" hidden="1" x14ac:dyDescent="0.15"/>
    <row r="46003" hidden="1" x14ac:dyDescent="0.15"/>
    <row r="46004" hidden="1" x14ac:dyDescent="0.15"/>
    <row r="46005" hidden="1" x14ac:dyDescent="0.15"/>
    <row r="46006" hidden="1" x14ac:dyDescent="0.15"/>
    <row r="46007" hidden="1" x14ac:dyDescent="0.15"/>
    <row r="46008" hidden="1" x14ac:dyDescent="0.15"/>
    <row r="46009" hidden="1" x14ac:dyDescent="0.15"/>
    <row r="46010" hidden="1" x14ac:dyDescent="0.15"/>
    <row r="46011" hidden="1" x14ac:dyDescent="0.15"/>
    <row r="46012" hidden="1" x14ac:dyDescent="0.15"/>
    <row r="46013" hidden="1" x14ac:dyDescent="0.15"/>
    <row r="46014" hidden="1" x14ac:dyDescent="0.15"/>
    <row r="46015" hidden="1" x14ac:dyDescent="0.15"/>
    <row r="46016" hidden="1" x14ac:dyDescent="0.15"/>
    <row r="46017" hidden="1" x14ac:dyDescent="0.15"/>
    <row r="46018" hidden="1" x14ac:dyDescent="0.15"/>
    <row r="46019" hidden="1" x14ac:dyDescent="0.15"/>
    <row r="46020" hidden="1" x14ac:dyDescent="0.15"/>
    <row r="46021" hidden="1" x14ac:dyDescent="0.15"/>
    <row r="46022" hidden="1" x14ac:dyDescent="0.15"/>
    <row r="46023" hidden="1" x14ac:dyDescent="0.15"/>
    <row r="46024" hidden="1" x14ac:dyDescent="0.15"/>
    <row r="46025" hidden="1" x14ac:dyDescent="0.15"/>
    <row r="46026" hidden="1" x14ac:dyDescent="0.15"/>
    <row r="46027" hidden="1" x14ac:dyDescent="0.15"/>
    <row r="46028" hidden="1" x14ac:dyDescent="0.15"/>
    <row r="46029" hidden="1" x14ac:dyDescent="0.15"/>
    <row r="46030" hidden="1" x14ac:dyDescent="0.15"/>
    <row r="46031" hidden="1" x14ac:dyDescent="0.15"/>
    <row r="46032" hidden="1" x14ac:dyDescent="0.15"/>
    <row r="46033" hidden="1" x14ac:dyDescent="0.15"/>
    <row r="46034" hidden="1" x14ac:dyDescent="0.15"/>
    <row r="46035" hidden="1" x14ac:dyDescent="0.15"/>
    <row r="46036" hidden="1" x14ac:dyDescent="0.15"/>
    <row r="46037" hidden="1" x14ac:dyDescent="0.15"/>
    <row r="46038" hidden="1" x14ac:dyDescent="0.15"/>
    <row r="46039" hidden="1" x14ac:dyDescent="0.15"/>
    <row r="46040" hidden="1" x14ac:dyDescent="0.15"/>
    <row r="46041" hidden="1" x14ac:dyDescent="0.15"/>
    <row r="46042" hidden="1" x14ac:dyDescent="0.15"/>
    <row r="46043" hidden="1" x14ac:dyDescent="0.15"/>
    <row r="46044" hidden="1" x14ac:dyDescent="0.15"/>
    <row r="46045" hidden="1" x14ac:dyDescent="0.15"/>
    <row r="46046" hidden="1" x14ac:dyDescent="0.15"/>
    <row r="46047" hidden="1" x14ac:dyDescent="0.15"/>
    <row r="46048" hidden="1" x14ac:dyDescent="0.15"/>
    <row r="46049" hidden="1" x14ac:dyDescent="0.15"/>
    <row r="46050" hidden="1" x14ac:dyDescent="0.15"/>
    <row r="46051" hidden="1" x14ac:dyDescent="0.15"/>
    <row r="46052" hidden="1" x14ac:dyDescent="0.15"/>
    <row r="46053" hidden="1" x14ac:dyDescent="0.15"/>
    <row r="46054" hidden="1" x14ac:dyDescent="0.15"/>
    <row r="46055" hidden="1" x14ac:dyDescent="0.15"/>
    <row r="46056" hidden="1" x14ac:dyDescent="0.15"/>
    <row r="46057" hidden="1" x14ac:dyDescent="0.15"/>
    <row r="46058" hidden="1" x14ac:dyDescent="0.15"/>
    <row r="46059" hidden="1" x14ac:dyDescent="0.15"/>
    <row r="46060" hidden="1" x14ac:dyDescent="0.15"/>
    <row r="46061" hidden="1" x14ac:dyDescent="0.15"/>
    <row r="46062" hidden="1" x14ac:dyDescent="0.15"/>
    <row r="46063" hidden="1" x14ac:dyDescent="0.15"/>
    <row r="46064" hidden="1" x14ac:dyDescent="0.15"/>
    <row r="46065" hidden="1" x14ac:dyDescent="0.15"/>
    <row r="46066" hidden="1" x14ac:dyDescent="0.15"/>
    <row r="46067" hidden="1" x14ac:dyDescent="0.15"/>
    <row r="46068" hidden="1" x14ac:dyDescent="0.15"/>
    <row r="46069" hidden="1" x14ac:dyDescent="0.15"/>
    <row r="46070" hidden="1" x14ac:dyDescent="0.15"/>
    <row r="46071" hidden="1" x14ac:dyDescent="0.15"/>
    <row r="46072" hidden="1" x14ac:dyDescent="0.15"/>
    <row r="46073" hidden="1" x14ac:dyDescent="0.15"/>
    <row r="46074" hidden="1" x14ac:dyDescent="0.15"/>
    <row r="46075" hidden="1" x14ac:dyDescent="0.15"/>
    <row r="46076" hidden="1" x14ac:dyDescent="0.15"/>
    <row r="46077" hidden="1" x14ac:dyDescent="0.15"/>
    <row r="46078" hidden="1" x14ac:dyDescent="0.15"/>
    <row r="46079" hidden="1" x14ac:dyDescent="0.15"/>
    <row r="46080" hidden="1" x14ac:dyDescent="0.15"/>
    <row r="46081" hidden="1" x14ac:dyDescent="0.15"/>
    <row r="46082" hidden="1" x14ac:dyDescent="0.15"/>
    <row r="46083" hidden="1" x14ac:dyDescent="0.15"/>
    <row r="46084" hidden="1" x14ac:dyDescent="0.15"/>
    <row r="46085" hidden="1" x14ac:dyDescent="0.15"/>
    <row r="46086" hidden="1" x14ac:dyDescent="0.15"/>
    <row r="46087" hidden="1" x14ac:dyDescent="0.15"/>
    <row r="46088" hidden="1" x14ac:dyDescent="0.15"/>
    <row r="46089" hidden="1" x14ac:dyDescent="0.15"/>
    <row r="46090" hidden="1" x14ac:dyDescent="0.15"/>
    <row r="46091" hidden="1" x14ac:dyDescent="0.15"/>
    <row r="46092" hidden="1" x14ac:dyDescent="0.15"/>
    <row r="46093" hidden="1" x14ac:dyDescent="0.15"/>
    <row r="46094" hidden="1" x14ac:dyDescent="0.15"/>
    <row r="46095" hidden="1" x14ac:dyDescent="0.15"/>
    <row r="46096" hidden="1" x14ac:dyDescent="0.15"/>
    <row r="46097" hidden="1" x14ac:dyDescent="0.15"/>
    <row r="46098" hidden="1" x14ac:dyDescent="0.15"/>
    <row r="46099" hidden="1" x14ac:dyDescent="0.15"/>
    <row r="46100" hidden="1" x14ac:dyDescent="0.15"/>
    <row r="46101" hidden="1" x14ac:dyDescent="0.15"/>
    <row r="46102" hidden="1" x14ac:dyDescent="0.15"/>
    <row r="46103" hidden="1" x14ac:dyDescent="0.15"/>
    <row r="46104" hidden="1" x14ac:dyDescent="0.15"/>
    <row r="46105" hidden="1" x14ac:dyDescent="0.15"/>
    <row r="46106" hidden="1" x14ac:dyDescent="0.15"/>
    <row r="46107" hidden="1" x14ac:dyDescent="0.15"/>
    <row r="46108" hidden="1" x14ac:dyDescent="0.15"/>
    <row r="46109" hidden="1" x14ac:dyDescent="0.15"/>
    <row r="46110" hidden="1" x14ac:dyDescent="0.15"/>
    <row r="46111" hidden="1" x14ac:dyDescent="0.15"/>
    <row r="46112" hidden="1" x14ac:dyDescent="0.15"/>
    <row r="46113" hidden="1" x14ac:dyDescent="0.15"/>
    <row r="46114" hidden="1" x14ac:dyDescent="0.15"/>
    <row r="46115" hidden="1" x14ac:dyDescent="0.15"/>
    <row r="46116" hidden="1" x14ac:dyDescent="0.15"/>
    <row r="46117" hidden="1" x14ac:dyDescent="0.15"/>
    <row r="46118" hidden="1" x14ac:dyDescent="0.15"/>
    <row r="46119" hidden="1" x14ac:dyDescent="0.15"/>
    <row r="46120" hidden="1" x14ac:dyDescent="0.15"/>
    <row r="46121" hidden="1" x14ac:dyDescent="0.15"/>
    <row r="46122" hidden="1" x14ac:dyDescent="0.15"/>
    <row r="46123" hidden="1" x14ac:dyDescent="0.15"/>
    <row r="46124" hidden="1" x14ac:dyDescent="0.15"/>
    <row r="46125" hidden="1" x14ac:dyDescent="0.15"/>
    <row r="46126" hidden="1" x14ac:dyDescent="0.15"/>
    <row r="46127" hidden="1" x14ac:dyDescent="0.15"/>
    <row r="46128" hidden="1" x14ac:dyDescent="0.15"/>
    <row r="46129" hidden="1" x14ac:dyDescent="0.15"/>
    <row r="46130" hidden="1" x14ac:dyDescent="0.15"/>
    <row r="46131" hidden="1" x14ac:dyDescent="0.15"/>
    <row r="46132" hidden="1" x14ac:dyDescent="0.15"/>
    <row r="46133" hidden="1" x14ac:dyDescent="0.15"/>
    <row r="46134" hidden="1" x14ac:dyDescent="0.15"/>
    <row r="46135" hidden="1" x14ac:dyDescent="0.15"/>
    <row r="46136" hidden="1" x14ac:dyDescent="0.15"/>
    <row r="46137" hidden="1" x14ac:dyDescent="0.15"/>
    <row r="46138" hidden="1" x14ac:dyDescent="0.15"/>
    <row r="46139" hidden="1" x14ac:dyDescent="0.15"/>
    <row r="46140" hidden="1" x14ac:dyDescent="0.15"/>
    <row r="46141" hidden="1" x14ac:dyDescent="0.15"/>
    <row r="46142" hidden="1" x14ac:dyDescent="0.15"/>
    <row r="46143" hidden="1" x14ac:dyDescent="0.15"/>
    <row r="46144" hidden="1" x14ac:dyDescent="0.15"/>
    <row r="46145" hidden="1" x14ac:dyDescent="0.15"/>
    <row r="46146" hidden="1" x14ac:dyDescent="0.15"/>
    <row r="46147" hidden="1" x14ac:dyDescent="0.15"/>
    <row r="46148" hidden="1" x14ac:dyDescent="0.15"/>
    <row r="46149" hidden="1" x14ac:dyDescent="0.15"/>
    <row r="46150" hidden="1" x14ac:dyDescent="0.15"/>
    <row r="46151" hidden="1" x14ac:dyDescent="0.15"/>
    <row r="46152" hidden="1" x14ac:dyDescent="0.15"/>
    <row r="46153" hidden="1" x14ac:dyDescent="0.15"/>
    <row r="46154" hidden="1" x14ac:dyDescent="0.15"/>
    <row r="46155" hidden="1" x14ac:dyDescent="0.15"/>
    <row r="46156" hidden="1" x14ac:dyDescent="0.15"/>
    <row r="46157" hidden="1" x14ac:dyDescent="0.15"/>
    <row r="46158" hidden="1" x14ac:dyDescent="0.15"/>
    <row r="46159" hidden="1" x14ac:dyDescent="0.15"/>
    <row r="46160" hidden="1" x14ac:dyDescent="0.15"/>
    <row r="46161" hidden="1" x14ac:dyDescent="0.15"/>
    <row r="46162" hidden="1" x14ac:dyDescent="0.15"/>
    <row r="46163" hidden="1" x14ac:dyDescent="0.15"/>
    <row r="46164" hidden="1" x14ac:dyDescent="0.15"/>
    <row r="46165" hidden="1" x14ac:dyDescent="0.15"/>
    <row r="46166" hidden="1" x14ac:dyDescent="0.15"/>
    <row r="46167" hidden="1" x14ac:dyDescent="0.15"/>
    <row r="46168" hidden="1" x14ac:dyDescent="0.15"/>
    <row r="46169" hidden="1" x14ac:dyDescent="0.15"/>
    <row r="46170" hidden="1" x14ac:dyDescent="0.15"/>
    <row r="46171" hidden="1" x14ac:dyDescent="0.15"/>
    <row r="46172" hidden="1" x14ac:dyDescent="0.15"/>
    <row r="46173" hidden="1" x14ac:dyDescent="0.15"/>
    <row r="46174" hidden="1" x14ac:dyDescent="0.15"/>
    <row r="46175" hidden="1" x14ac:dyDescent="0.15"/>
    <row r="46176" hidden="1" x14ac:dyDescent="0.15"/>
    <row r="46177" hidden="1" x14ac:dyDescent="0.15"/>
    <row r="46178" hidden="1" x14ac:dyDescent="0.15"/>
    <row r="46179" hidden="1" x14ac:dyDescent="0.15"/>
    <row r="46180" hidden="1" x14ac:dyDescent="0.15"/>
    <row r="46181" hidden="1" x14ac:dyDescent="0.15"/>
    <row r="46182" hidden="1" x14ac:dyDescent="0.15"/>
    <row r="46183" hidden="1" x14ac:dyDescent="0.15"/>
    <row r="46184" hidden="1" x14ac:dyDescent="0.15"/>
    <row r="46185" hidden="1" x14ac:dyDescent="0.15"/>
    <row r="46186" hidden="1" x14ac:dyDescent="0.15"/>
    <row r="46187" hidden="1" x14ac:dyDescent="0.15"/>
    <row r="46188" hidden="1" x14ac:dyDescent="0.15"/>
    <row r="46189" hidden="1" x14ac:dyDescent="0.15"/>
    <row r="46190" hidden="1" x14ac:dyDescent="0.15"/>
    <row r="46191" hidden="1" x14ac:dyDescent="0.15"/>
    <row r="46192" hidden="1" x14ac:dyDescent="0.15"/>
    <row r="46193" hidden="1" x14ac:dyDescent="0.15"/>
    <row r="46194" hidden="1" x14ac:dyDescent="0.15"/>
    <row r="46195" hidden="1" x14ac:dyDescent="0.15"/>
    <row r="46196" hidden="1" x14ac:dyDescent="0.15"/>
    <row r="46197" hidden="1" x14ac:dyDescent="0.15"/>
    <row r="46198" hidden="1" x14ac:dyDescent="0.15"/>
    <row r="46199" hidden="1" x14ac:dyDescent="0.15"/>
    <row r="46200" hidden="1" x14ac:dyDescent="0.15"/>
    <row r="46201" hidden="1" x14ac:dyDescent="0.15"/>
    <row r="46202" hidden="1" x14ac:dyDescent="0.15"/>
    <row r="46203" hidden="1" x14ac:dyDescent="0.15"/>
    <row r="46204" hidden="1" x14ac:dyDescent="0.15"/>
    <row r="46205" hidden="1" x14ac:dyDescent="0.15"/>
    <row r="46206" hidden="1" x14ac:dyDescent="0.15"/>
    <row r="46207" hidden="1" x14ac:dyDescent="0.15"/>
    <row r="46208" hidden="1" x14ac:dyDescent="0.15"/>
    <row r="46209" hidden="1" x14ac:dyDescent="0.15"/>
    <row r="46210" hidden="1" x14ac:dyDescent="0.15"/>
    <row r="46211" hidden="1" x14ac:dyDescent="0.15"/>
    <row r="46212" hidden="1" x14ac:dyDescent="0.15"/>
    <row r="46213" hidden="1" x14ac:dyDescent="0.15"/>
    <row r="46214" hidden="1" x14ac:dyDescent="0.15"/>
    <row r="46215" hidden="1" x14ac:dyDescent="0.15"/>
    <row r="46216" hidden="1" x14ac:dyDescent="0.15"/>
    <row r="46217" hidden="1" x14ac:dyDescent="0.15"/>
    <row r="46218" hidden="1" x14ac:dyDescent="0.15"/>
    <row r="46219" hidden="1" x14ac:dyDescent="0.15"/>
    <row r="46220" hidden="1" x14ac:dyDescent="0.15"/>
    <row r="46221" hidden="1" x14ac:dyDescent="0.15"/>
    <row r="46222" hidden="1" x14ac:dyDescent="0.15"/>
    <row r="46223" hidden="1" x14ac:dyDescent="0.15"/>
    <row r="46224" hidden="1" x14ac:dyDescent="0.15"/>
    <row r="46225" hidden="1" x14ac:dyDescent="0.15"/>
    <row r="46226" hidden="1" x14ac:dyDescent="0.15"/>
    <row r="46227" hidden="1" x14ac:dyDescent="0.15"/>
    <row r="46228" hidden="1" x14ac:dyDescent="0.15"/>
    <row r="46229" hidden="1" x14ac:dyDescent="0.15"/>
    <row r="46230" hidden="1" x14ac:dyDescent="0.15"/>
    <row r="46231" hidden="1" x14ac:dyDescent="0.15"/>
    <row r="46232" hidden="1" x14ac:dyDescent="0.15"/>
    <row r="46233" hidden="1" x14ac:dyDescent="0.15"/>
    <row r="46234" hidden="1" x14ac:dyDescent="0.15"/>
    <row r="46235" hidden="1" x14ac:dyDescent="0.15"/>
    <row r="46236" hidden="1" x14ac:dyDescent="0.15"/>
    <row r="46237" hidden="1" x14ac:dyDescent="0.15"/>
    <row r="46238" hidden="1" x14ac:dyDescent="0.15"/>
    <row r="46239" hidden="1" x14ac:dyDescent="0.15"/>
    <row r="46240" hidden="1" x14ac:dyDescent="0.15"/>
    <row r="46241" hidden="1" x14ac:dyDescent="0.15"/>
    <row r="46242" hidden="1" x14ac:dyDescent="0.15"/>
    <row r="46243" hidden="1" x14ac:dyDescent="0.15"/>
    <row r="46244" hidden="1" x14ac:dyDescent="0.15"/>
    <row r="46245" hidden="1" x14ac:dyDescent="0.15"/>
    <row r="46246" hidden="1" x14ac:dyDescent="0.15"/>
    <row r="46247" hidden="1" x14ac:dyDescent="0.15"/>
    <row r="46248" hidden="1" x14ac:dyDescent="0.15"/>
    <row r="46249" hidden="1" x14ac:dyDescent="0.15"/>
    <row r="46250" hidden="1" x14ac:dyDescent="0.15"/>
    <row r="46251" hidden="1" x14ac:dyDescent="0.15"/>
    <row r="46252" hidden="1" x14ac:dyDescent="0.15"/>
    <row r="46253" hidden="1" x14ac:dyDescent="0.15"/>
    <row r="46254" hidden="1" x14ac:dyDescent="0.15"/>
    <row r="46255" hidden="1" x14ac:dyDescent="0.15"/>
    <row r="46256" hidden="1" x14ac:dyDescent="0.15"/>
    <row r="46257" hidden="1" x14ac:dyDescent="0.15"/>
    <row r="46258" hidden="1" x14ac:dyDescent="0.15"/>
    <row r="46259" hidden="1" x14ac:dyDescent="0.15"/>
    <row r="46260" hidden="1" x14ac:dyDescent="0.15"/>
    <row r="46261" hidden="1" x14ac:dyDescent="0.15"/>
    <row r="46262" hidden="1" x14ac:dyDescent="0.15"/>
    <row r="46263" hidden="1" x14ac:dyDescent="0.15"/>
    <row r="46264" hidden="1" x14ac:dyDescent="0.15"/>
    <row r="46265" hidden="1" x14ac:dyDescent="0.15"/>
    <row r="46266" hidden="1" x14ac:dyDescent="0.15"/>
    <row r="46267" hidden="1" x14ac:dyDescent="0.15"/>
    <row r="46268" hidden="1" x14ac:dyDescent="0.15"/>
    <row r="46269" hidden="1" x14ac:dyDescent="0.15"/>
    <row r="46270" hidden="1" x14ac:dyDescent="0.15"/>
    <row r="46271" hidden="1" x14ac:dyDescent="0.15"/>
    <row r="46272" hidden="1" x14ac:dyDescent="0.15"/>
    <row r="46273" hidden="1" x14ac:dyDescent="0.15"/>
    <row r="46274" hidden="1" x14ac:dyDescent="0.15"/>
    <row r="46275" hidden="1" x14ac:dyDescent="0.15"/>
    <row r="46276" hidden="1" x14ac:dyDescent="0.15"/>
    <row r="46277" hidden="1" x14ac:dyDescent="0.15"/>
    <row r="46278" hidden="1" x14ac:dyDescent="0.15"/>
    <row r="46279" hidden="1" x14ac:dyDescent="0.15"/>
    <row r="46280" hidden="1" x14ac:dyDescent="0.15"/>
    <row r="46281" hidden="1" x14ac:dyDescent="0.15"/>
    <row r="46282" hidden="1" x14ac:dyDescent="0.15"/>
    <row r="46283" hidden="1" x14ac:dyDescent="0.15"/>
    <row r="46284" hidden="1" x14ac:dyDescent="0.15"/>
    <row r="46285" hidden="1" x14ac:dyDescent="0.15"/>
    <row r="46286" hidden="1" x14ac:dyDescent="0.15"/>
    <row r="46287" hidden="1" x14ac:dyDescent="0.15"/>
    <row r="46288" hidden="1" x14ac:dyDescent="0.15"/>
    <row r="46289" hidden="1" x14ac:dyDescent="0.15"/>
    <row r="46290" hidden="1" x14ac:dyDescent="0.15"/>
    <row r="46291" hidden="1" x14ac:dyDescent="0.15"/>
    <row r="46292" hidden="1" x14ac:dyDescent="0.15"/>
    <row r="46293" hidden="1" x14ac:dyDescent="0.15"/>
    <row r="46294" hidden="1" x14ac:dyDescent="0.15"/>
    <row r="46295" hidden="1" x14ac:dyDescent="0.15"/>
    <row r="46296" hidden="1" x14ac:dyDescent="0.15"/>
    <row r="46297" hidden="1" x14ac:dyDescent="0.15"/>
    <row r="46298" hidden="1" x14ac:dyDescent="0.15"/>
    <row r="46299" hidden="1" x14ac:dyDescent="0.15"/>
    <row r="46300" hidden="1" x14ac:dyDescent="0.15"/>
    <row r="46301" hidden="1" x14ac:dyDescent="0.15"/>
    <row r="46302" hidden="1" x14ac:dyDescent="0.15"/>
    <row r="46303" hidden="1" x14ac:dyDescent="0.15"/>
    <row r="46304" hidden="1" x14ac:dyDescent="0.15"/>
    <row r="46305" hidden="1" x14ac:dyDescent="0.15"/>
    <row r="46306" hidden="1" x14ac:dyDescent="0.15"/>
    <row r="46307" hidden="1" x14ac:dyDescent="0.15"/>
    <row r="46308" hidden="1" x14ac:dyDescent="0.15"/>
    <row r="46309" hidden="1" x14ac:dyDescent="0.15"/>
    <row r="46310" hidden="1" x14ac:dyDescent="0.15"/>
    <row r="46311" hidden="1" x14ac:dyDescent="0.15"/>
    <row r="46312" hidden="1" x14ac:dyDescent="0.15"/>
    <row r="46313" hidden="1" x14ac:dyDescent="0.15"/>
    <row r="46314" hidden="1" x14ac:dyDescent="0.15"/>
    <row r="46315" hidden="1" x14ac:dyDescent="0.15"/>
    <row r="46316" hidden="1" x14ac:dyDescent="0.15"/>
    <row r="46317" hidden="1" x14ac:dyDescent="0.15"/>
    <row r="46318" hidden="1" x14ac:dyDescent="0.15"/>
    <row r="46319" hidden="1" x14ac:dyDescent="0.15"/>
    <row r="46320" hidden="1" x14ac:dyDescent="0.15"/>
    <row r="46321" hidden="1" x14ac:dyDescent="0.15"/>
    <row r="46322" hidden="1" x14ac:dyDescent="0.15"/>
    <row r="46323" hidden="1" x14ac:dyDescent="0.15"/>
    <row r="46324" hidden="1" x14ac:dyDescent="0.15"/>
    <row r="46325" hidden="1" x14ac:dyDescent="0.15"/>
    <row r="46326" hidden="1" x14ac:dyDescent="0.15"/>
    <row r="46327" hidden="1" x14ac:dyDescent="0.15"/>
    <row r="46328" hidden="1" x14ac:dyDescent="0.15"/>
    <row r="46329" hidden="1" x14ac:dyDescent="0.15"/>
    <row r="46330" hidden="1" x14ac:dyDescent="0.15"/>
    <row r="46331" hidden="1" x14ac:dyDescent="0.15"/>
    <row r="46332" hidden="1" x14ac:dyDescent="0.15"/>
    <row r="46333" hidden="1" x14ac:dyDescent="0.15"/>
    <row r="46334" hidden="1" x14ac:dyDescent="0.15"/>
    <row r="46335" hidden="1" x14ac:dyDescent="0.15"/>
    <row r="46336" hidden="1" x14ac:dyDescent="0.15"/>
    <row r="46337" hidden="1" x14ac:dyDescent="0.15"/>
    <row r="46338" hidden="1" x14ac:dyDescent="0.15"/>
    <row r="46339" hidden="1" x14ac:dyDescent="0.15"/>
    <row r="46340" hidden="1" x14ac:dyDescent="0.15"/>
    <row r="46341" hidden="1" x14ac:dyDescent="0.15"/>
    <row r="46342" hidden="1" x14ac:dyDescent="0.15"/>
    <row r="46343" hidden="1" x14ac:dyDescent="0.15"/>
    <row r="46344" hidden="1" x14ac:dyDescent="0.15"/>
    <row r="46345" hidden="1" x14ac:dyDescent="0.15"/>
    <row r="46346" hidden="1" x14ac:dyDescent="0.15"/>
    <row r="46347" hidden="1" x14ac:dyDescent="0.15"/>
    <row r="46348" hidden="1" x14ac:dyDescent="0.15"/>
    <row r="46349" hidden="1" x14ac:dyDescent="0.15"/>
    <row r="46350" hidden="1" x14ac:dyDescent="0.15"/>
    <row r="46351" hidden="1" x14ac:dyDescent="0.15"/>
    <row r="46352" hidden="1" x14ac:dyDescent="0.15"/>
    <row r="46353" hidden="1" x14ac:dyDescent="0.15"/>
    <row r="46354" hidden="1" x14ac:dyDescent="0.15"/>
    <row r="46355" hidden="1" x14ac:dyDescent="0.15"/>
    <row r="46356" hidden="1" x14ac:dyDescent="0.15"/>
    <row r="46357" hidden="1" x14ac:dyDescent="0.15"/>
    <row r="46358" hidden="1" x14ac:dyDescent="0.15"/>
    <row r="46359" hidden="1" x14ac:dyDescent="0.15"/>
    <row r="46360" hidden="1" x14ac:dyDescent="0.15"/>
    <row r="46361" hidden="1" x14ac:dyDescent="0.15"/>
    <row r="46362" hidden="1" x14ac:dyDescent="0.15"/>
    <row r="46363" hidden="1" x14ac:dyDescent="0.15"/>
    <row r="46364" hidden="1" x14ac:dyDescent="0.15"/>
    <row r="46365" hidden="1" x14ac:dyDescent="0.15"/>
    <row r="46366" hidden="1" x14ac:dyDescent="0.15"/>
    <row r="46367" hidden="1" x14ac:dyDescent="0.15"/>
    <row r="46368" hidden="1" x14ac:dyDescent="0.15"/>
    <row r="46369" hidden="1" x14ac:dyDescent="0.15"/>
    <row r="46370" hidden="1" x14ac:dyDescent="0.15"/>
    <row r="46371" hidden="1" x14ac:dyDescent="0.15"/>
    <row r="46372" hidden="1" x14ac:dyDescent="0.15"/>
    <row r="46373" hidden="1" x14ac:dyDescent="0.15"/>
    <row r="46374" hidden="1" x14ac:dyDescent="0.15"/>
    <row r="46375" hidden="1" x14ac:dyDescent="0.15"/>
    <row r="46376" hidden="1" x14ac:dyDescent="0.15"/>
    <row r="46377" hidden="1" x14ac:dyDescent="0.15"/>
    <row r="46378" hidden="1" x14ac:dyDescent="0.15"/>
    <row r="46379" hidden="1" x14ac:dyDescent="0.15"/>
    <row r="46380" hidden="1" x14ac:dyDescent="0.15"/>
    <row r="46381" hidden="1" x14ac:dyDescent="0.15"/>
    <row r="46382" hidden="1" x14ac:dyDescent="0.15"/>
    <row r="46383" hidden="1" x14ac:dyDescent="0.15"/>
    <row r="46384" hidden="1" x14ac:dyDescent="0.15"/>
    <row r="46385" hidden="1" x14ac:dyDescent="0.15"/>
    <row r="46386" hidden="1" x14ac:dyDescent="0.15"/>
    <row r="46387" hidden="1" x14ac:dyDescent="0.15"/>
    <row r="46388" hidden="1" x14ac:dyDescent="0.15"/>
    <row r="46389" hidden="1" x14ac:dyDescent="0.15"/>
    <row r="46390" hidden="1" x14ac:dyDescent="0.15"/>
    <row r="46391" hidden="1" x14ac:dyDescent="0.15"/>
    <row r="46392" hidden="1" x14ac:dyDescent="0.15"/>
    <row r="46393" hidden="1" x14ac:dyDescent="0.15"/>
    <row r="46394" hidden="1" x14ac:dyDescent="0.15"/>
    <row r="46395" hidden="1" x14ac:dyDescent="0.15"/>
    <row r="46396" hidden="1" x14ac:dyDescent="0.15"/>
    <row r="46397" hidden="1" x14ac:dyDescent="0.15"/>
    <row r="46398" hidden="1" x14ac:dyDescent="0.15"/>
    <row r="46399" hidden="1" x14ac:dyDescent="0.15"/>
    <row r="46400" hidden="1" x14ac:dyDescent="0.15"/>
    <row r="46401" hidden="1" x14ac:dyDescent="0.15"/>
    <row r="46402" hidden="1" x14ac:dyDescent="0.15"/>
    <row r="46403" hidden="1" x14ac:dyDescent="0.15"/>
    <row r="46404" hidden="1" x14ac:dyDescent="0.15"/>
    <row r="46405" hidden="1" x14ac:dyDescent="0.15"/>
    <row r="46406" hidden="1" x14ac:dyDescent="0.15"/>
    <row r="46407" hidden="1" x14ac:dyDescent="0.15"/>
    <row r="46408" hidden="1" x14ac:dyDescent="0.15"/>
    <row r="46409" hidden="1" x14ac:dyDescent="0.15"/>
    <row r="46410" hidden="1" x14ac:dyDescent="0.15"/>
    <row r="46411" hidden="1" x14ac:dyDescent="0.15"/>
    <row r="46412" hidden="1" x14ac:dyDescent="0.15"/>
    <row r="46413" hidden="1" x14ac:dyDescent="0.15"/>
    <row r="46414" hidden="1" x14ac:dyDescent="0.15"/>
    <row r="46415" hidden="1" x14ac:dyDescent="0.15"/>
    <row r="46416" hidden="1" x14ac:dyDescent="0.15"/>
    <row r="46417" hidden="1" x14ac:dyDescent="0.15"/>
    <row r="46418" hidden="1" x14ac:dyDescent="0.15"/>
    <row r="46419" hidden="1" x14ac:dyDescent="0.15"/>
    <row r="46420" hidden="1" x14ac:dyDescent="0.15"/>
    <row r="46421" hidden="1" x14ac:dyDescent="0.15"/>
    <row r="46422" hidden="1" x14ac:dyDescent="0.15"/>
    <row r="46423" hidden="1" x14ac:dyDescent="0.15"/>
    <row r="46424" hidden="1" x14ac:dyDescent="0.15"/>
    <row r="46425" hidden="1" x14ac:dyDescent="0.15"/>
    <row r="46426" hidden="1" x14ac:dyDescent="0.15"/>
    <row r="46427" hidden="1" x14ac:dyDescent="0.15"/>
    <row r="46428" hidden="1" x14ac:dyDescent="0.15"/>
    <row r="46429" hidden="1" x14ac:dyDescent="0.15"/>
    <row r="46430" hidden="1" x14ac:dyDescent="0.15"/>
    <row r="46431" hidden="1" x14ac:dyDescent="0.15"/>
    <row r="46432" hidden="1" x14ac:dyDescent="0.15"/>
    <row r="46433" hidden="1" x14ac:dyDescent="0.15"/>
    <row r="46434" hidden="1" x14ac:dyDescent="0.15"/>
    <row r="46435" hidden="1" x14ac:dyDescent="0.15"/>
    <row r="46436" hidden="1" x14ac:dyDescent="0.15"/>
    <row r="46437" hidden="1" x14ac:dyDescent="0.15"/>
    <row r="46438" hidden="1" x14ac:dyDescent="0.15"/>
    <row r="46439" hidden="1" x14ac:dyDescent="0.15"/>
    <row r="46440" hidden="1" x14ac:dyDescent="0.15"/>
    <row r="46441" hidden="1" x14ac:dyDescent="0.15"/>
    <row r="46442" hidden="1" x14ac:dyDescent="0.15"/>
    <row r="46443" hidden="1" x14ac:dyDescent="0.15"/>
    <row r="46444" hidden="1" x14ac:dyDescent="0.15"/>
    <row r="46445" hidden="1" x14ac:dyDescent="0.15"/>
    <row r="46446" hidden="1" x14ac:dyDescent="0.15"/>
    <row r="46447" hidden="1" x14ac:dyDescent="0.15"/>
    <row r="46448" hidden="1" x14ac:dyDescent="0.15"/>
    <row r="46449" hidden="1" x14ac:dyDescent="0.15"/>
    <row r="46450" hidden="1" x14ac:dyDescent="0.15"/>
    <row r="46451" hidden="1" x14ac:dyDescent="0.15"/>
    <row r="46452" hidden="1" x14ac:dyDescent="0.15"/>
    <row r="46453" hidden="1" x14ac:dyDescent="0.15"/>
    <row r="46454" hidden="1" x14ac:dyDescent="0.15"/>
    <row r="46455" hidden="1" x14ac:dyDescent="0.15"/>
    <row r="46456" hidden="1" x14ac:dyDescent="0.15"/>
    <row r="46457" hidden="1" x14ac:dyDescent="0.15"/>
    <row r="46458" hidden="1" x14ac:dyDescent="0.15"/>
    <row r="46459" hidden="1" x14ac:dyDescent="0.15"/>
    <row r="46460" hidden="1" x14ac:dyDescent="0.15"/>
    <row r="46461" hidden="1" x14ac:dyDescent="0.15"/>
    <row r="46462" hidden="1" x14ac:dyDescent="0.15"/>
    <row r="46463" hidden="1" x14ac:dyDescent="0.15"/>
    <row r="46464" hidden="1" x14ac:dyDescent="0.15"/>
    <row r="46465" hidden="1" x14ac:dyDescent="0.15"/>
    <row r="46466" hidden="1" x14ac:dyDescent="0.15"/>
    <row r="46467" hidden="1" x14ac:dyDescent="0.15"/>
    <row r="46468" hidden="1" x14ac:dyDescent="0.15"/>
    <row r="46469" hidden="1" x14ac:dyDescent="0.15"/>
    <row r="46470" hidden="1" x14ac:dyDescent="0.15"/>
    <row r="46471" hidden="1" x14ac:dyDescent="0.15"/>
    <row r="46472" hidden="1" x14ac:dyDescent="0.15"/>
    <row r="46473" hidden="1" x14ac:dyDescent="0.15"/>
    <row r="46474" hidden="1" x14ac:dyDescent="0.15"/>
    <row r="46475" hidden="1" x14ac:dyDescent="0.15"/>
    <row r="46476" hidden="1" x14ac:dyDescent="0.15"/>
    <row r="46477" hidden="1" x14ac:dyDescent="0.15"/>
    <row r="46478" hidden="1" x14ac:dyDescent="0.15"/>
    <row r="46479" hidden="1" x14ac:dyDescent="0.15"/>
    <row r="46480" hidden="1" x14ac:dyDescent="0.15"/>
    <row r="46481" hidden="1" x14ac:dyDescent="0.15"/>
    <row r="46482" hidden="1" x14ac:dyDescent="0.15"/>
    <row r="46483" hidden="1" x14ac:dyDescent="0.15"/>
    <row r="46484" hidden="1" x14ac:dyDescent="0.15"/>
    <row r="46485" hidden="1" x14ac:dyDescent="0.15"/>
    <row r="46486" hidden="1" x14ac:dyDescent="0.15"/>
    <row r="46487" hidden="1" x14ac:dyDescent="0.15"/>
    <row r="46488" hidden="1" x14ac:dyDescent="0.15"/>
    <row r="46489" hidden="1" x14ac:dyDescent="0.15"/>
    <row r="46490" hidden="1" x14ac:dyDescent="0.15"/>
    <row r="46491" hidden="1" x14ac:dyDescent="0.15"/>
    <row r="46492" hidden="1" x14ac:dyDescent="0.15"/>
    <row r="46493" hidden="1" x14ac:dyDescent="0.15"/>
    <row r="46494" hidden="1" x14ac:dyDescent="0.15"/>
    <row r="46495" hidden="1" x14ac:dyDescent="0.15"/>
    <row r="46496" hidden="1" x14ac:dyDescent="0.15"/>
    <row r="46497" hidden="1" x14ac:dyDescent="0.15"/>
    <row r="46498" hidden="1" x14ac:dyDescent="0.15"/>
    <row r="46499" hidden="1" x14ac:dyDescent="0.15"/>
    <row r="46500" hidden="1" x14ac:dyDescent="0.15"/>
    <row r="46501" hidden="1" x14ac:dyDescent="0.15"/>
    <row r="46502" hidden="1" x14ac:dyDescent="0.15"/>
    <row r="46503" hidden="1" x14ac:dyDescent="0.15"/>
    <row r="46504" hidden="1" x14ac:dyDescent="0.15"/>
    <row r="46505" hidden="1" x14ac:dyDescent="0.15"/>
    <row r="46506" hidden="1" x14ac:dyDescent="0.15"/>
    <row r="46507" hidden="1" x14ac:dyDescent="0.15"/>
    <row r="46508" hidden="1" x14ac:dyDescent="0.15"/>
    <row r="46509" hidden="1" x14ac:dyDescent="0.15"/>
    <row r="46510" hidden="1" x14ac:dyDescent="0.15"/>
    <row r="46511" hidden="1" x14ac:dyDescent="0.15"/>
    <row r="46512" hidden="1" x14ac:dyDescent="0.15"/>
    <row r="46513" hidden="1" x14ac:dyDescent="0.15"/>
    <row r="46514" hidden="1" x14ac:dyDescent="0.15"/>
    <row r="46515" hidden="1" x14ac:dyDescent="0.15"/>
    <row r="46516" hidden="1" x14ac:dyDescent="0.15"/>
    <row r="46517" hidden="1" x14ac:dyDescent="0.15"/>
    <row r="46518" hidden="1" x14ac:dyDescent="0.15"/>
    <row r="46519" hidden="1" x14ac:dyDescent="0.15"/>
    <row r="46520" hidden="1" x14ac:dyDescent="0.15"/>
    <row r="46521" hidden="1" x14ac:dyDescent="0.15"/>
    <row r="46522" hidden="1" x14ac:dyDescent="0.15"/>
    <row r="46523" hidden="1" x14ac:dyDescent="0.15"/>
    <row r="46524" hidden="1" x14ac:dyDescent="0.15"/>
    <row r="46525" hidden="1" x14ac:dyDescent="0.15"/>
    <row r="46526" hidden="1" x14ac:dyDescent="0.15"/>
    <row r="46527" hidden="1" x14ac:dyDescent="0.15"/>
    <row r="46528" hidden="1" x14ac:dyDescent="0.15"/>
    <row r="46529" hidden="1" x14ac:dyDescent="0.15"/>
    <row r="46530" hidden="1" x14ac:dyDescent="0.15"/>
    <row r="46531" hidden="1" x14ac:dyDescent="0.15"/>
    <row r="46532" hidden="1" x14ac:dyDescent="0.15"/>
    <row r="46533" hidden="1" x14ac:dyDescent="0.15"/>
    <row r="46534" hidden="1" x14ac:dyDescent="0.15"/>
    <row r="46535" hidden="1" x14ac:dyDescent="0.15"/>
    <row r="46536" hidden="1" x14ac:dyDescent="0.15"/>
    <row r="46537" hidden="1" x14ac:dyDescent="0.15"/>
    <row r="46538" hidden="1" x14ac:dyDescent="0.15"/>
    <row r="46539" hidden="1" x14ac:dyDescent="0.15"/>
    <row r="46540" hidden="1" x14ac:dyDescent="0.15"/>
    <row r="46541" hidden="1" x14ac:dyDescent="0.15"/>
    <row r="46542" hidden="1" x14ac:dyDescent="0.15"/>
    <row r="46543" hidden="1" x14ac:dyDescent="0.15"/>
    <row r="46544" hidden="1" x14ac:dyDescent="0.15"/>
    <row r="46545" hidden="1" x14ac:dyDescent="0.15"/>
    <row r="46546" hidden="1" x14ac:dyDescent="0.15"/>
    <row r="46547" hidden="1" x14ac:dyDescent="0.15"/>
    <row r="46548" hidden="1" x14ac:dyDescent="0.15"/>
    <row r="46549" hidden="1" x14ac:dyDescent="0.15"/>
    <row r="46550" hidden="1" x14ac:dyDescent="0.15"/>
    <row r="46551" hidden="1" x14ac:dyDescent="0.15"/>
    <row r="46552" hidden="1" x14ac:dyDescent="0.15"/>
    <row r="46553" hidden="1" x14ac:dyDescent="0.15"/>
    <row r="46554" hidden="1" x14ac:dyDescent="0.15"/>
    <row r="46555" hidden="1" x14ac:dyDescent="0.15"/>
    <row r="46556" hidden="1" x14ac:dyDescent="0.15"/>
    <row r="46557" hidden="1" x14ac:dyDescent="0.15"/>
    <row r="46558" hidden="1" x14ac:dyDescent="0.15"/>
    <row r="46559" hidden="1" x14ac:dyDescent="0.15"/>
    <row r="46560" hidden="1" x14ac:dyDescent="0.15"/>
    <row r="46561" hidden="1" x14ac:dyDescent="0.15"/>
    <row r="46562" hidden="1" x14ac:dyDescent="0.15"/>
    <row r="46563" hidden="1" x14ac:dyDescent="0.15"/>
    <row r="46564" hidden="1" x14ac:dyDescent="0.15"/>
    <row r="46565" hidden="1" x14ac:dyDescent="0.15"/>
    <row r="46566" hidden="1" x14ac:dyDescent="0.15"/>
    <row r="46567" hidden="1" x14ac:dyDescent="0.15"/>
    <row r="46568" hidden="1" x14ac:dyDescent="0.15"/>
    <row r="46569" hidden="1" x14ac:dyDescent="0.15"/>
    <row r="46570" hidden="1" x14ac:dyDescent="0.15"/>
    <row r="46571" hidden="1" x14ac:dyDescent="0.15"/>
    <row r="46572" hidden="1" x14ac:dyDescent="0.15"/>
    <row r="46573" hidden="1" x14ac:dyDescent="0.15"/>
    <row r="46574" hidden="1" x14ac:dyDescent="0.15"/>
    <row r="46575" hidden="1" x14ac:dyDescent="0.15"/>
    <row r="46576" hidden="1" x14ac:dyDescent="0.15"/>
    <row r="46577" hidden="1" x14ac:dyDescent="0.15"/>
    <row r="46578" hidden="1" x14ac:dyDescent="0.15"/>
    <row r="46579" hidden="1" x14ac:dyDescent="0.15"/>
    <row r="46580" hidden="1" x14ac:dyDescent="0.15"/>
    <row r="46581" hidden="1" x14ac:dyDescent="0.15"/>
    <row r="46582" hidden="1" x14ac:dyDescent="0.15"/>
    <row r="46583" hidden="1" x14ac:dyDescent="0.15"/>
    <row r="46584" hidden="1" x14ac:dyDescent="0.15"/>
    <row r="46585" hidden="1" x14ac:dyDescent="0.15"/>
    <row r="46586" hidden="1" x14ac:dyDescent="0.15"/>
    <row r="46587" hidden="1" x14ac:dyDescent="0.15"/>
    <row r="46588" hidden="1" x14ac:dyDescent="0.15"/>
    <row r="46589" hidden="1" x14ac:dyDescent="0.15"/>
    <row r="46590" hidden="1" x14ac:dyDescent="0.15"/>
    <row r="46591" hidden="1" x14ac:dyDescent="0.15"/>
    <row r="46592" hidden="1" x14ac:dyDescent="0.15"/>
    <row r="46593" hidden="1" x14ac:dyDescent="0.15"/>
    <row r="46594" hidden="1" x14ac:dyDescent="0.15"/>
    <row r="46595" hidden="1" x14ac:dyDescent="0.15"/>
    <row r="46596" hidden="1" x14ac:dyDescent="0.15"/>
    <row r="46597" hidden="1" x14ac:dyDescent="0.15"/>
    <row r="46598" hidden="1" x14ac:dyDescent="0.15"/>
    <row r="46599" hidden="1" x14ac:dyDescent="0.15"/>
    <row r="46600" hidden="1" x14ac:dyDescent="0.15"/>
    <row r="46601" hidden="1" x14ac:dyDescent="0.15"/>
    <row r="46602" hidden="1" x14ac:dyDescent="0.15"/>
    <row r="46603" hidden="1" x14ac:dyDescent="0.15"/>
    <row r="46604" hidden="1" x14ac:dyDescent="0.15"/>
    <row r="46605" hidden="1" x14ac:dyDescent="0.15"/>
    <row r="46606" hidden="1" x14ac:dyDescent="0.15"/>
    <row r="46607" hidden="1" x14ac:dyDescent="0.15"/>
    <row r="46608" hidden="1" x14ac:dyDescent="0.15"/>
    <row r="46609" hidden="1" x14ac:dyDescent="0.15"/>
    <row r="46610" hidden="1" x14ac:dyDescent="0.15"/>
    <row r="46611" hidden="1" x14ac:dyDescent="0.15"/>
    <row r="46612" hidden="1" x14ac:dyDescent="0.15"/>
    <row r="46613" hidden="1" x14ac:dyDescent="0.15"/>
    <row r="46614" hidden="1" x14ac:dyDescent="0.15"/>
    <row r="46615" hidden="1" x14ac:dyDescent="0.15"/>
    <row r="46616" hidden="1" x14ac:dyDescent="0.15"/>
    <row r="46617" hidden="1" x14ac:dyDescent="0.15"/>
    <row r="46618" hidden="1" x14ac:dyDescent="0.15"/>
    <row r="46619" hidden="1" x14ac:dyDescent="0.15"/>
    <row r="46620" hidden="1" x14ac:dyDescent="0.15"/>
    <row r="46621" hidden="1" x14ac:dyDescent="0.15"/>
    <row r="46622" hidden="1" x14ac:dyDescent="0.15"/>
    <row r="46623" hidden="1" x14ac:dyDescent="0.15"/>
    <row r="46624" hidden="1" x14ac:dyDescent="0.15"/>
    <row r="46625" hidden="1" x14ac:dyDescent="0.15"/>
    <row r="46626" hidden="1" x14ac:dyDescent="0.15"/>
    <row r="46627" hidden="1" x14ac:dyDescent="0.15"/>
    <row r="46628" hidden="1" x14ac:dyDescent="0.15"/>
    <row r="46629" hidden="1" x14ac:dyDescent="0.15"/>
    <row r="46630" hidden="1" x14ac:dyDescent="0.15"/>
    <row r="46631" hidden="1" x14ac:dyDescent="0.15"/>
    <row r="46632" hidden="1" x14ac:dyDescent="0.15"/>
    <row r="46633" hidden="1" x14ac:dyDescent="0.15"/>
    <row r="46634" hidden="1" x14ac:dyDescent="0.15"/>
    <row r="46635" hidden="1" x14ac:dyDescent="0.15"/>
    <row r="46636" hidden="1" x14ac:dyDescent="0.15"/>
    <row r="46637" hidden="1" x14ac:dyDescent="0.15"/>
    <row r="46638" hidden="1" x14ac:dyDescent="0.15"/>
    <row r="46639" hidden="1" x14ac:dyDescent="0.15"/>
    <row r="46640" hidden="1" x14ac:dyDescent="0.15"/>
    <row r="46641" hidden="1" x14ac:dyDescent="0.15"/>
    <row r="46642" hidden="1" x14ac:dyDescent="0.15"/>
    <row r="46643" hidden="1" x14ac:dyDescent="0.15"/>
    <row r="46644" hidden="1" x14ac:dyDescent="0.15"/>
    <row r="46645" hidden="1" x14ac:dyDescent="0.15"/>
    <row r="46646" hidden="1" x14ac:dyDescent="0.15"/>
    <row r="46647" hidden="1" x14ac:dyDescent="0.15"/>
    <row r="46648" hidden="1" x14ac:dyDescent="0.15"/>
    <row r="46649" hidden="1" x14ac:dyDescent="0.15"/>
    <row r="46650" hidden="1" x14ac:dyDescent="0.15"/>
    <row r="46651" hidden="1" x14ac:dyDescent="0.15"/>
    <row r="46652" hidden="1" x14ac:dyDescent="0.15"/>
    <row r="46653" hidden="1" x14ac:dyDescent="0.15"/>
    <row r="46654" hidden="1" x14ac:dyDescent="0.15"/>
    <row r="46655" hidden="1" x14ac:dyDescent="0.15"/>
    <row r="46656" hidden="1" x14ac:dyDescent="0.15"/>
    <row r="46657" hidden="1" x14ac:dyDescent="0.15"/>
    <row r="46658" hidden="1" x14ac:dyDescent="0.15"/>
    <row r="46659" hidden="1" x14ac:dyDescent="0.15"/>
    <row r="46660" hidden="1" x14ac:dyDescent="0.15"/>
    <row r="46661" hidden="1" x14ac:dyDescent="0.15"/>
    <row r="46662" hidden="1" x14ac:dyDescent="0.15"/>
    <row r="46663" hidden="1" x14ac:dyDescent="0.15"/>
    <row r="46664" hidden="1" x14ac:dyDescent="0.15"/>
    <row r="46665" hidden="1" x14ac:dyDescent="0.15"/>
    <row r="46666" hidden="1" x14ac:dyDescent="0.15"/>
    <row r="46667" hidden="1" x14ac:dyDescent="0.15"/>
    <row r="46668" hidden="1" x14ac:dyDescent="0.15"/>
    <row r="46669" hidden="1" x14ac:dyDescent="0.15"/>
    <row r="46670" hidden="1" x14ac:dyDescent="0.15"/>
    <row r="46671" hidden="1" x14ac:dyDescent="0.15"/>
    <row r="46672" hidden="1" x14ac:dyDescent="0.15"/>
    <row r="46673" hidden="1" x14ac:dyDescent="0.15"/>
    <row r="46674" hidden="1" x14ac:dyDescent="0.15"/>
    <row r="46675" hidden="1" x14ac:dyDescent="0.15"/>
    <row r="46676" hidden="1" x14ac:dyDescent="0.15"/>
    <row r="46677" hidden="1" x14ac:dyDescent="0.15"/>
    <row r="46678" hidden="1" x14ac:dyDescent="0.15"/>
    <row r="46679" hidden="1" x14ac:dyDescent="0.15"/>
    <row r="46680" hidden="1" x14ac:dyDescent="0.15"/>
    <row r="46681" hidden="1" x14ac:dyDescent="0.15"/>
    <row r="46682" hidden="1" x14ac:dyDescent="0.15"/>
    <row r="46683" hidden="1" x14ac:dyDescent="0.15"/>
    <row r="46684" hidden="1" x14ac:dyDescent="0.15"/>
    <row r="46685" hidden="1" x14ac:dyDescent="0.15"/>
    <row r="46686" hidden="1" x14ac:dyDescent="0.15"/>
    <row r="46687" hidden="1" x14ac:dyDescent="0.15"/>
    <row r="46688" hidden="1" x14ac:dyDescent="0.15"/>
    <row r="46689" hidden="1" x14ac:dyDescent="0.15"/>
    <row r="46690" hidden="1" x14ac:dyDescent="0.15"/>
    <row r="46691" hidden="1" x14ac:dyDescent="0.15"/>
    <row r="46692" hidden="1" x14ac:dyDescent="0.15"/>
    <row r="46693" hidden="1" x14ac:dyDescent="0.15"/>
    <row r="46694" hidden="1" x14ac:dyDescent="0.15"/>
    <row r="46695" hidden="1" x14ac:dyDescent="0.15"/>
    <row r="46696" hidden="1" x14ac:dyDescent="0.15"/>
    <row r="46697" hidden="1" x14ac:dyDescent="0.15"/>
    <row r="46698" hidden="1" x14ac:dyDescent="0.15"/>
    <row r="46699" hidden="1" x14ac:dyDescent="0.15"/>
    <row r="46700" hidden="1" x14ac:dyDescent="0.15"/>
    <row r="46701" hidden="1" x14ac:dyDescent="0.15"/>
    <row r="46702" hidden="1" x14ac:dyDescent="0.15"/>
    <row r="46703" hidden="1" x14ac:dyDescent="0.15"/>
    <row r="46704" hidden="1" x14ac:dyDescent="0.15"/>
    <row r="46705" hidden="1" x14ac:dyDescent="0.15"/>
    <row r="46706" hidden="1" x14ac:dyDescent="0.15"/>
    <row r="46707" hidden="1" x14ac:dyDescent="0.15"/>
    <row r="46708" hidden="1" x14ac:dyDescent="0.15"/>
    <row r="46709" hidden="1" x14ac:dyDescent="0.15"/>
    <row r="46710" hidden="1" x14ac:dyDescent="0.15"/>
    <row r="46711" hidden="1" x14ac:dyDescent="0.15"/>
    <row r="46712" hidden="1" x14ac:dyDescent="0.15"/>
    <row r="46713" hidden="1" x14ac:dyDescent="0.15"/>
    <row r="46714" hidden="1" x14ac:dyDescent="0.15"/>
    <row r="46715" hidden="1" x14ac:dyDescent="0.15"/>
    <row r="46716" hidden="1" x14ac:dyDescent="0.15"/>
    <row r="46717" hidden="1" x14ac:dyDescent="0.15"/>
    <row r="46718" hidden="1" x14ac:dyDescent="0.15"/>
    <row r="46719" hidden="1" x14ac:dyDescent="0.15"/>
    <row r="46720" hidden="1" x14ac:dyDescent="0.15"/>
    <row r="46721" hidden="1" x14ac:dyDescent="0.15"/>
    <row r="46722" hidden="1" x14ac:dyDescent="0.15"/>
    <row r="46723" hidden="1" x14ac:dyDescent="0.15"/>
    <row r="46724" hidden="1" x14ac:dyDescent="0.15"/>
    <row r="46725" hidden="1" x14ac:dyDescent="0.15"/>
    <row r="46726" hidden="1" x14ac:dyDescent="0.15"/>
    <row r="46727" hidden="1" x14ac:dyDescent="0.15"/>
    <row r="46728" hidden="1" x14ac:dyDescent="0.15"/>
    <row r="46729" hidden="1" x14ac:dyDescent="0.15"/>
    <row r="46730" hidden="1" x14ac:dyDescent="0.15"/>
    <row r="46731" hidden="1" x14ac:dyDescent="0.15"/>
    <row r="46732" hidden="1" x14ac:dyDescent="0.15"/>
    <row r="46733" hidden="1" x14ac:dyDescent="0.15"/>
    <row r="46734" hidden="1" x14ac:dyDescent="0.15"/>
    <row r="46735" hidden="1" x14ac:dyDescent="0.15"/>
    <row r="46736" hidden="1" x14ac:dyDescent="0.15"/>
    <row r="46737" hidden="1" x14ac:dyDescent="0.15"/>
    <row r="46738" hidden="1" x14ac:dyDescent="0.15"/>
    <row r="46739" hidden="1" x14ac:dyDescent="0.15"/>
    <row r="46740" hidden="1" x14ac:dyDescent="0.15"/>
    <row r="46741" hidden="1" x14ac:dyDescent="0.15"/>
    <row r="46742" hidden="1" x14ac:dyDescent="0.15"/>
    <row r="46743" hidden="1" x14ac:dyDescent="0.15"/>
    <row r="46744" hidden="1" x14ac:dyDescent="0.15"/>
    <row r="46745" hidden="1" x14ac:dyDescent="0.15"/>
    <row r="46746" hidden="1" x14ac:dyDescent="0.15"/>
    <row r="46747" hidden="1" x14ac:dyDescent="0.15"/>
    <row r="46748" hidden="1" x14ac:dyDescent="0.15"/>
    <row r="46749" hidden="1" x14ac:dyDescent="0.15"/>
    <row r="46750" hidden="1" x14ac:dyDescent="0.15"/>
    <row r="46751" hidden="1" x14ac:dyDescent="0.15"/>
    <row r="46752" hidden="1" x14ac:dyDescent="0.15"/>
    <row r="46753" hidden="1" x14ac:dyDescent="0.15"/>
    <row r="46754" hidden="1" x14ac:dyDescent="0.15"/>
    <row r="46755" hidden="1" x14ac:dyDescent="0.15"/>
    <row r="46756" hidden="1" x14ac:dyDescent="0.15"/>
    <row r="46757" hidden="1" x14ac:dyDescent="0.15"/>
    <row r="46758" hidden="1" x14ac:dyDescent="0.15"/>
    <row r="46759" hidden="1" x14ac:dyDescent="0.15"/>
    <row r="46760" hidden="1" x14ac:dyDescent="0.15"/>
    <row r="46761" hidden="1" x14ac:dyDescent="0.15"/>
    <row r="46762" hidden="1" x14ac:dyDescent="0.15"/>
    <row r="46763" hidden="1" x14ac:dyDescent="0.15"/>
    <row r="46764" hidden="1" x14ac:dyDescent="0.15"/>
    <row r="46765" hidden="1" x14ac:dyDescent="0.15"/>
    <row r="46766" hidden="1" x14ac:dyDescent="0.15"/>
    <row r="46767" hidden="1" x14ac:dyDescent="0.15"/>
    <row r="46768" hidden="1" x14ac:dyDescent="0.15"/>
    <row r="46769" hidden="1" x14ac:dyDescent="0.15"/>
    <row r="46770" hidden="1" x14ac:dyDescent="0.15"/>
    <row r="46771" hidden="1" x14ac:dyDescent="0.15"/>
    <row r="46772" hidden="1" x14ac:dyDescent="0.15"/>
    <row r="46773" hidden="1" x14ac:dyDescent="0.15"/>
    <row r="46774" hidden="1" x14ac:dyDescent="0.15"/>
    <row r="46775" hidden="1" x14ac:dyDescent="0.15"/>
    <row r="46776" hidden="1" x14ac:dyDescent="0.15"/>
    <row r="46777" hidden="1" x14ac:dyDescent="0.15"/>
    <row r="46778" hidden="1" x14ac:dyDescent="0.15"/>
    <row r="46779" hidden="1" x14ac:dyDescent="0.15"/>
    <row r="46780" hidden="1" x14ac:dyDescent="0.15"/>
    <row r="46781" hidden="1" x14ac:dyDescent="0.15"/>
    <row r="46782" hidden="1" x14ac:dyDescent="0.15"/>
    <row r="46783" hidden="1" x14ac:dyDescent="0.15"/>
    <row r="46784" hidden="1" x14ac:dyDescent="0.15"/>
    <row r="46785" hidden="1" x14ac:dyDescent="0.15"/>
    <row r="46786" hidden="1" x14ac:dyDescent="0.15"/>
    <row r="46787" hidden="1" x14ac:dyDescent="0.15"/>
    <row r="46788" hidden="1" x14ac:dyDescent="0.15"/>
    <row r="46789" hidden="1" x14ac:dyDescent="0.15"/>
    <row r="46790" hidden="1" x14ac:dyDescent="0.15"/>
    <row r="46791" hidden="1" x14ac:dyDescent="0.15"/>
    <row r="46792" hidden="1" x14ac:dyDescent="0.15"/>
    <row r="46793" hidden="1" x14ac:dyDescent="0.15"/>
    <row r="46794" hidden="1" x14ac:dyDescent="0.15"/>
    <row r="46795" hidden="1" x14ac:dyDescent="0.15"/>
    <row r="46796" hidden="1" x14ac:dyDescent="0.15"/>
    <row r="46797" hidden="1" x14ac:dyDescent="0.15"/>
    <row r="46798" hidden="1" x14ac:dyDescent="0.15"/>
    <row r="46799" hidden="1" x14ac:dyDescent="0.15"/>
    <row r="46800" hidden="1" x14ac:dyDescent="0.15"/>
    <row r="46801" hidden="1" x14ac:dyDescent="0.15"/>
    <row r="46802" hidden="1" x14ac:dyDescent="0.15"/>
    <row r="46803" hidden="1" x14ac:dyDescent="0.15"/>
    <row r="46804" hidden="1" x14ac:dyDescent="0.15"/>
    <row r="46805" hidden="1" x14ac:dyDescent="0.15"/>
    <row r="46806" hidden="1" x14ac:dyDescent="0.15"/>
    <row r="46807" hidden="1" x14ac:dyDescent="0.15"/>
    <row r="46808" hidden="1" x14ac:dyDescent="0.15"/>
    <row r="46809" hidden="1" x14ac:dyDescent="0.15"/>
    <row r="46810" hidden="1" x14ac:dyDescent="0.15"/>
    <row r="46811" hidden="1" x14ac:dyDescent="0.15"/>
    <row r="46812" hidden="1" x14ac:dyDescent="0.15"/>
    <row r="46813" hidden="1" x14ac:dyDescent="0.15"/>
    <row r="46814" hidden="1" x14ac:dyDescent="0.15"/>
    <row r="46815" hidden="1" x14ac:dyDescent="0.15"/>
    <row r="46816" hidden="1" x14ac:dyDescent="0.15"/>
    <row r="46817" hidden="1" x14ac:dyDescent="0.15"/>
    <row r="46818" hidden="1" x14ac:dyDescent="0.15"/>
    <row r="46819" hidden="1" x14ac:dyDescent="0.15"/>
    <row r="46820" hidden="1" x14ac:dyDescent="0.15"/>
    <row r="46821" hidden="1" x14ac:dyDescent="0.15"/>
    <row r="46822" hidden="1" x14ac:dyDescent="0.15"/>
    <row r="46823" hidden="1" x14ac:dyDescent="0.15"/>
    <row r="46824" hidden="1" x14ac:dyDescent="0.15"/>
    <row r="46825" hidden="1" x14ac:dyDescent="0.15"/>
    <row r="46826" hidden="1" x14ac:dyDescent="0.15"/>
    <row r="46827" hidden="1" x14ac:dyDescent="0.15"/>
    <row r="46828" hidden="1" x14ac:dyDescent="0.15"/>
    <row r="46829" hidden="1" x14ac:dyDescent="0.15"/>
    <row r="46830" hidden="1" x14ac:dyDescent="0.15"/>
    <row r="46831" hidden="1" x14ac:dyDescent="0.15"/>
    <row r="46832" hidden="1" x14ac:dyDescent="0.15"/>
    <row r="46833" hidden="1" x14ac:dyDescent="0.15"/>
    <row r="46834" hidden="1" x14ac:dyDescent="0.15"/>
    <row r="46835" hidden="1" x14ac:dyDescent="0.15"/>
    <row r="46836" hidden="1" x14ac:dyDescent="0.15"/>
    <row r="46837" hidden="1" x14ac:dyDescent="0.15"/>
    <row r="46838" hidden="1" x14ac:dyDescent="0.15"/>
    <row r="46839" hidden="1" x14ac:dyDescent="0.15"/>
    <row r="46840" hidden="1" x14ac:dyDescent="0.15"/>
    <row r="46841" hidden="1" x14ac:dyDescent="0.15"/>
    <row r="46842" hidden="1" x14ac:dyDescent="0.15"/>
    <row r="46843" hidden="1" x14ac:dyDescent="0.15"/>
    <row r="46844" hidden="1" x14ac:dyDescent="0.15"/>
    <row r="46845" hidden="1" x14ac:dyDescent="0.15"/>
    <row r="46846" hidden="1" x14ac:dyDescent="0.15"/>
    <row r="46847" hidden="1" x14ac:dyDescent="0.15"/>
    <row r="46848" hidden="1" x14ac:dyDescent="0.15"/>
    <row r="46849" hidden="1" x14ac:dyDescent="0.15"/>
    <row r="46850" hidden="1" x14ac:dyDescent="0.15"/>
    <row r="46851" hidden="1" x14ac:dyDescent="0.15"/>
    <row r="46852" hidden="1" x14ac:dyDescent="0.15"/>
    <row r="46853" hidden="1" x14ac:dyDescent="0.15"/>
    <row r="46854" hidden="1" x14ac:dyDescent="0.15"/>
    <row r="46855" hidden="1" x14ac:dyDescent="0.15"/>
    <row r="46856" hidden="1" x14ac:dyDescent="0.15"/>
    <row r="46857" hidden="1" x14ac:dyDescent="0.15"/>
    <row r="46858" hidden="1" x14ac:dyDescent="0.15"/>
    <row r="46859" hidden="1" x14ac:dyDescent="0.15"/>
    <row r="46860" hidden="1" x14ac:dyDescent="0.15"/>
    <row r="46861" hidden="1" x14ac:dyDescent="0.15"/>
    <row r="46862" hidden="1" x14ac:dyDescent="0.15"/>
    <row r="46863" hidden="1" x14ac:dyDescent="0.15"/>
    <row r="46864" hidden="1" x14ac:dyDescent="0.15"/>
    <row r="46865" hidden="1" x14ac:dyDescent="0.15"/>
    <row r="46866" hidden="1" x14ac:dyDescent="0.15"/>
    <row r="46867" hidden="1" x14ac:dyDescent="0.15"/>
    <row r="46868" hidden="1" x14ac:dyDescent="0.15"/>
    <row r="46869" hidden="1" x14ac:dyDescent="0.15"/>
    <row r="46870" hidden="1" x14ac:dyDescent="0.15"/>
    <row r="46871" hidden="1" x14ac:dyDescent="0.15"/>
    <row r="46872" hidden="1" x14ac:dyDescent="0.15"/>
    <row r="46873" hidden="1" x14ac:dyDescent="0.15"/>
    <row r="46874" hidden="1" x14ac:dyDescent="0.15"/>
    <row r="46875" hidden="1" x14ac:dyDescent="0.15"/>
    <row r="46876" hidden="1" x14ac:dyDescent="0.15"/>
    <row r="46877" hidden="1" x14ac:dyDescent="0.15"/>
    <row r="46878" hidden="1" x14ac:dyDescent="0.15"/>
    <row r="46879" hidden="1" x14ac:dyDescent="0.15"/>
    <row r="46880" hidden="1" x14ac:dyDescent="0.15"/>
    <row r="46881" hidden="1" x14ac:dyDescent="0.15"/>
    <row r="46882" hidden="1" x14ac:dyDescent="0.15"/>
    <row r="46883" hidden="1" x14ac:dyDescent="0.15"/>
    <row r="46884" hidden="1" x14ac:dyDescent="0.15"/>
    <row r="46885" hidden="1" x14ac:dyDescent="0.15"/>
    <row r="46886" hidden="1" x14ac:dyDescent="0.15"/>
    <row r="46887" hidden="1" x14ac:dyDescent="0.15"/>
    <row r="46888" hidden="1" x14ac:dyDescent="0.15"/>
    <row r="46889" hidden="1" x14ac:dyDescent="0.15"/>
    <row r="46890" hidden="1" x14ac:dyDescent="0.15"/>
    <row r="46891" hidden="1" x14ac:dyDescent="0.15"/>
    <row r="46892" hidden="1" x14ac:dyDescent="0.15"/>
    <row r="46893" hidden="1" x14ac:dyDescent="0.15"/>
    <row r="46894" hidden="1" x14ac:dyDescent="0.15"/>
    <row r="46895" hidden="1" x14ac:dyDescent="0.15"/>
    <row r="46896" hidden="1" x14ac:dyDescent="0.15"/>
    <row r="46897" hidden="1" x14ac:dyDescent="0.15"/>
    <row r="46898" hidden="1" x14ac:dyDescent="0.15"/>
    <row r="46899" hidden="1" x14ac:dyDescent="0.15"/>
    <row r="46900" hidden="1" x14ac:dyDescent="0.15"/>
    <row r="46901" hidden="1" x14ac:dyDescent="0.15"/>
    <row r="46902" hidden="1" x14ac:dyDescent="0.15"/>
    <row r="46903" hidden="1" x14ac:dyDescent="0.15"/>
    <row r="46904" hidden="1" x14ac:dyDescent="0.15"/>
    <row r="46905" hidden="1" x14ac:dyDescent="0.15"/>
    <row r="46906" hidden="1" x14ac:dyDescent="0.15"/>
    <row r="46907" hidden="1" x14ac:dyDescent="0.15"/>
    <row r="46908" hidden="1" x14ac:dyDescent="0.15"/>
    <row r="46909" hidden="1" x14ac:dyDescent="0.15"/>
    <row r="46910" hidden="1" x14ac:dyDescent="0.15"/>
    <row r="46911" hidden="1" x14ac:dyDescent="0.15"/>
    <row r="46912" hidden="1" x14ac:dyDescent="0.15"/>
    <row r="46913" hidden="1" x14ac:dyDescent="0.15"/>
    <row r="46914" hidden="1" x14ac:dyDescent="0.15"/>
    <row r="46915" hidden="1" x14ac:dyDescent="0.15"/>
    <row r="46916" hidden="1" x14ac:dyDescent="0.15"/>
    <row r="46917" hidden="1" x14ac:dyDescent="0.15"/>
    <row r="46918" hidden="1" x14ac:dyDescent="0.15"/>
    <row r="46919" hidden="1" x14ac:dyDescent="0.15"/>
    <row r="46920" hidden="1" x14ac:dyDescent="0.15"/>
    <row r="46921" hidden="1" x14ac:dyDescent="0.15"/>
    <row r="46922" hidden="1" x14ac:dyDescent="0.15"/>
    <row r="46923" hidden="1" x14ac:dyDescent="0.15"/>
    <row r="46924" hidden="1" x14ac:dyDescent="0.15"/>
    <row r="46925" hidden="1" x14ac:dyDescent="0.15"/>
    <row r="46926" hidden="1" x14ac:dyDescent="0.15"/>
    <row r="46927" hidden="1" x14ac:dyDescent="0.15"/>
    <row r="46928" hidden="1" x14ac:dyDescent="0.15"/>
    <row r="46929" hidden="1" x14ac:dyDescent="0.15"/>
    <row r="46930" hidden="1" x14ac:dyDescent="0.15"/>
    <row r="46931" hidden="1" x14ac:dyDescent="0.15"/>
    <row r="46932" hidden="1" x14ac:dyDescent="0.15"/>
    <row r="46933" hidden="1" x14ac:dyDescent="0.15"/>
    <row r="46934" hidden="1" x14ac:dyDescent="0.15"/>
    <row r="46935" hidden="1" x14ac:dyDescent="0.15"/>
    <row r="46936" hidden="1" x14ac:dyDescent="0.15"/>
    <row r="46937" hidden="1" x14ac:dyDescent="0.15"/>
    <row r="46938" hidden="1" x14ac:dyDescent="0.15"/>
    <row r="46939" hidden="1" x14ac:dyDescent="0.15"/>
    <row r="46940" hidden="1" x14ac:dyDescent="0.15"/>
    <row r="46941" hidden="1" x14ac:dyDescent="0.15"/>
    <row r="46942" hidden="1" x14ac:dyDescent="0.15"/>
    <row r="46943" hidden="1" x14ac:dyDescent="0.15"/>
    <row r="46944" hidden="1" x14ac:dyDescent="0.15"/>
    <row r="46945" hidden="1" x14ac:dyDescent="0.15"/>
    <row r="46946" hidden="1" x14ac:dyDescent="0.15"/>
    <row r="46947" hidden="1" x14ac:dyDescent="0.15"/>
    <row r="46948" hidden="1" x14ac:dyDescent="0.15"/>
    <row r="46949" hidden="1" x14ac:dyDescent="0.15"/>
    <row r="46950" hidden="1" x14ac:dyDescent="0.15"/>
    <row r="46951" hidden="1" x14ac:dyDescent="0.15"/>
    <row r="46952" hidden="1" x14ac:dyDescent="0.15"/>
    <row r="46953" hidden="1" x14ac:dyDescent="0.15"/>
    <row r="46954" hidden="1" x14ac:dyDescent="0.15"/>
    <row r="46955" hidden="1" x14ac:dyDescent="0.15"/>
    <row r="46956" hidden="1" x14ac:dyDescent="0.15"/>
    <row r="46957" hidden="1" x14ac:dyDescent="0.15"/>
    <row r="46958" hidden="1" x14ac:dyDescent="0.15"/>
    <row r="46959" hidden="1" x14ac:dyDescent="0.15"/>
    <row r="46960" hidden="1" x14ac:dyDescent="0.15"/>
    <row r="46961" hidden="1" x14ac:dyDescent="0.15"/>
    <row r="46962" hidden="1" x14ac:dyDescent="0.15"/>
    <row r="46963" hidden="1" x14ac:dyDescent="0.15"/>
    <row r="46964" hidden="1" x14ac:dyDescent="0.15"/>
    <row r="46965" hidden="1" x14ac:dyDescent="0.15"/>
    <row r="46966" hidden="1" x14ac:dyDescent="0.15"/>
    <row r="46967" hidden="1" x14ac:dyDescent="0.15"/>
    <row r="46968" hidden="1" x14ac:dyDescent="0.15"/>
    <row r="46969" hidden="1" x14ac:dyDescent="0.15"/>
    <row r="46970" hidden="1" x14ac:dyDescent="0.15"/>
    <row r="46971" hidden="1" x14ac:dyDescent="0.15"/>
    <row r="46972" hidden="1" x14ac:dyDescent="0.15"/>
    <row r="46973" hidden="1" x14ac:dyDescent="0.15"/>
    <row r="46974" hidden="1" x14ac:dyDescent="0.15"/>
    <row r="46975" hidden="1" x14ac:dyDescent="0.15"/>
    <row r="46976" hidden="1" x14ac:dyDescent="0.15"/>
    <row r="46977" hidden="1" x14ac:dyDescent="0.15"/>
    <row r="46978" hidden="1" x14ac:dyDescent="0.15"/>
    <row r="46979" hidden="1" x14ac:dyDescent="0.15"/>
    <row r="46980" hidden="1" x14ac:dyDescent="0.15"/>
    <row r="46981" hidden="1" x14ac:dyDescent="0.15"/>
    <row r="46982" hidden="1" x14ac:dyDescent="0.15"/>
    <row r="46983" hidden="1" x14ac:dyDescent="0.15"/>
    <row r="46984" hidden="1" x14ac:dyDescent="0.15"/>
    <row r="46985" hidden="1" x14ac:dyDescent="0.15"/>
    <row r="46986" hidden="1" x14ac:dyDescent="0.15"/>
    <row r="46987" hidden="1" x14ac:dyDescent="0.15"/>
    <row r="46988" hidden="1" x14ac:dyDescent="0.15"/>
    <row r="46989" hidden="1" x14ac:dyDescent="0.15"/>
    <row r="46990" hidden="1" x14ac:dyDescent="0.15"/>
    <row r="46991" hidden="1" x14ac:dyDescent="0.15"/>
    <row r="46992" hidden="1" x14ac:dyDescent="0.15"/>
    <row r="46993" hidden="1" x14ac:dyDescent="0.15"/>
    <row r="46994" hidden="1" x14ac:dyDescent="0.15"/>
    <row r="46995" hidden="1" x14ac:dyDescent="0.15"/>
    <row r="46996" hidden="1" x14ac:dyDescent="0.15"/>
    <row r="46997" hidden="1" x14ac:dyDescent="0.15"/>
    <row r="46998" hidden="1" x14ac:dyDescent="0.15"/>
    <row r="46999" hidden="1" x14ac:dyDescent="0.15"/>
    <row r="47000" hidden="1" x14ac:dyDescent="0.15"/>
    <row r="47001" hidden="1" x14ac:dyDescent="0.15"/>
    <row r="47002" hidden="1" x14ac:dyDescent="0.15"/>
    <row r="47003" hidden="1" x14ac:dyDescent="0.15"/>
    <row r="47004" hidden="1" x14ac:dyDescent="0.15"/>
    <row r="47005" hidden="1" x14ac:dyDescent="0.15"/>
    <row r="47006" hidden="1" x14ac:dyDescent="0.15"/>
    <row r="47007" hidden="1" x14ac:dyDescent="0.15"/>
    <row r="47008" hidden="1" x14ac:dyDescent="0.15"/>
    <row r="47009" hidden="1" x14ac:dyDescent="0.15"/>
    <row r="47010" hidden="1" x14ac:dyDescent="0.15"/>
    <row r="47011" hidden="1" x14ac:dyDescent="0.15"/>
    <row r="47012" hidden="1" x14ac:dyDescent="0.15"/>
    <row r="47013" hidden="1" x14ac:dyDescent="0.15"/>
    <row r="47014" hidden="1" x14ac:dyDescent="0.15"/>
    <row r="47015" hidden="1" x14ac:dyDescent="0.15"/>
    <row r="47016" hidden="1" x14ac:dyDescent="0.15"/>
    <row r="47017" hidden="1" x14ac:dyDescent="0.15"/>
    <row r="47018" hidden="1" x14ac:dyDescent="0.15"/>
    <row r="47019" hidden="1" x14ac:dyDescent="0.15"/>
    <row r="47020" hidden="1" x14ac:dyDescent="0.15"/>
    <row r="47021" hidden="1" x14ac:dyDescent="0.15"/>
    <row r="47022" hidden="1" x14ac:dyDescent="0.15"/>
    <row r="47023" hidden="1" x14ac:dyDescent="0.15"/>
    <row r="47024" hidden="1" x14ac:dyDescent="0.15"/>
    <row r="47025" hidden="1" x14ac:dyDescent="0.15"/>
    <row r="47026" hidden="1" x14ac:dyDescent="0.15"/>
    <row r="47027" hidden="1" x14ac:dyDescent="0.15"/>
    <row r="47028" hidden="1" x14ac:dyDescent="0.15"/>
    <row r="47029" hidden="1" x14ac:dyDescent="0.15"/>
    <row r="47030" hidden="1" x14ac:dyDescent="0.15"/>
    <row r="47031" hidden="1" x14ac:dyDescent="0.15"/>
    <row r="47032" hidden="1" x14ac:dyDescent="0.15"/>
    <row r="47033" hidden="1" x14ac:dyDescent="0.15"/>
    <row r="47034" hidden="1" x14ac:dyDescent="0.15"/>
    <row r="47035" hidden="1" x14ac:dyDescent="0.15"/>
    <row r="47036" hidden="1" x14ac:dyDescent="0.15"/>
    <row r="47037" hidden="1" x14ac:dyDescent="0.15"/>
    <row r="47038" hidden="1" x14ac:dyDescent="0.15"/>
    <row r="47039" hidden="1" x14ac:dyDescent="0.15"/>
    <row r="47040" hidden="1" x14ac:dyDescent="0.15"/>
    <row r="47041" hidden="1" x14ac:dyDescent="0.15"/>
    <row r="47042" hidden="1" x14ac:dyDescent="0.15"/>
    <row r="47043" hidden="1" x14ac:dyDescent="0.15"/>
    <row r="47044" hidden="1" x14ac:dyDescent="0.15"/>
    <row r="47045" hidden="1" x14ac:dyDescent="0.15"/>
    <row r="47046" hidden="1" x14ac:dyDescent="0.15"/>
    <row r="47047" hidden="1" x14ac:dyDescent="0.15"/>
    <row r="47048" hidden="1" x14ac:dyDescent="0.15"/>
    <row r="47049" hidden="1" x14ac:dyDescent="0.15"/>
    <row r="47050" hidden="1" x14ac:dyDescent="0.15"/>
    <row r="47051" hidden="1" x14ac:dyDescent="0.15"/>
    <row r="47052" hidden="1" x14ac:dyDescent="0.15"/>
    <row r="47053" hidden="1" x14ac:dyDescent="0.15"/>
    <row r="47054" hidden="1" x14ac:dyDescent="0.15"/>
    <row r="47055" hidden="1" x14ac:dyDescent="0.15"/>
    <row r="47056" hidden="1" x14ac:dyDescent="0.15"/>
    <row r="47057" hidden="1" x14ac:dyDescent="0.15"/>
    <row r="47058" hidden="1" x14ac:dyDescent="0.15"/>
    <row r="47059" hidden="1" x14ac:dyDescent="0.15"/>
    <row r="47060" hidden="1" x14ac:dyDescent="0.15"/>
    <row r="47061" hidden="1" x14ac:dyDescent="0.15"/>
    <row r="47062" hidden="1" x14ac:dyDescent="0.15"/>
    <row r="47063" hidden="1" x14ac:dyDescent="0.15"/>
    <row r="47064" hidden="1" x14ac:dyDescent="0.15"/>
    <row r="47065" hidden="1" x14ac:dyDescent="0.15"/>
    <row r="47066" hidden="1" x14ac:dyDescent="0.15"/>
    <row r="47067" hidden="1" x14ac:dyDescent="0.15"/>
    <row r="47068" hidden="1" x14ac:dyDescent="0.15"/>
    <row r="47069" hidden="1" x14ac:dyDescent="0.15"/>
    <row r="47070" hidden="1" x14ac:dyDescent="0.15"/>
    <row r="47071" hidden="1" x14ac:dyDescent="0.15"/>
    <row r="47072" hidden="1" x14ac:dyDescent="0.15"/>
    <row r="47073" hidden="1" x14ac:dyDescent="0.15"/>
    <row r="47074" hidden="1" x14ac:dyDescent="0.15"/>
    <row r="47075" hidden="1" x14ac:dyDescent="0.15"/>
    <row r="47076" hidden="1" x14ac:dyDescent="0.15"/>
    <row r="47077" hidden="1" x14ac:dyDescent="0.15"/>
    <row r="47078" hidden="1" x14ac:dyDescent="0.15"/>
    <row r="47079" hidden="1" x14ac:dyDescent="0.15"/>
    <row r="47080" hidden="1" x14ac:dyDescent="0.15"/>
    <row r="47081" hidden="1" x14ac:dyDescent="0.15"/>
    <row r="47082" hidden="1" x14ac:dyDescent="0.15"/>
    <row r="47083" hidden="1" x14ac:dyDescent="0.15"/>
    <row r="47084" hidden="1" x14ac:dyDescent="0.15"/>
    <row r="47085" hidden="1" x14ac:dyDescent="0.15"/>
    <row r="47086" hidden="1" x14ac:dyDescent="0.15"/>
    <row r="47087" hidden="1" x14ac:dyDescent="0.15"/>
    <row r="47088" hidden="1" x14ac:dyDescent="0.15"/>
    <row r="47089" hidden="1" x14ac:dyDescent="0.15"/>
    <row r="47090" hidden="1" x14ac:dyDescent="0.15"/>
    <row r="47091" hidden="1" x14ac:dyDescent="0.15"/>
    <row r="47092" hidden="1" x14ac:dyDescent="0.15"/>
    <row r="47093" hidden="1" x14ac:dyDescent="0.15"/>
    <row r="47094" hidden="1" x14ac:dyDescent="0.15"/>
    <row r="47095" hidden="1" x14ac:dyDescent="0.15"/>
    <row r="47096" hidden="1" x14ac:dyDescent="0.15"/>
    <row r="47097" hidden="1" x14ac:dyDescent="0.15"/>
    <row r="47098" hidden="1" x14ac:dyDescent="0.15"/>
    <row r="47099" hidden="1" x14ac:dyDescent="0.15"/>
    <row r="47100" hidden="1" x14ac:dyDescent="0.15"/>
    <row r="47101" hidden="1" x14ac:dyDescent="0.15"/>
    <row r="47102" hidden="1" x14ac:dyDescent="0.15"/>
    <row r="47103" hidden="1" x14ac:dyDescent="0.15"/>
    <row r="47104" hidden="1" x14ac:dyDescent="0.15"/>
    <row r="47105" hidden="1" x14ac:dyDescent="0.15"/>
    <row r="47106" hidden="1" x14ac:dyDescent="0.15"/>
    <row r="47107" hidden="1" x14ac:dyDescent="0.15"/>
    <row r="47108" hidden="1" x14ac:dyDescent="0.15"/>
    <row r="47109" hidden="1" x14ac:dyDescent="0.15"/>
    <row r="47110" hidden="1" x14ac:dyDescent="0.15"/>
    <row r="47111" hidden="1" x14ac:dyDescent="0.15"/>
    <row r="47112" hidden="1" x14ac:dyDescent="0.15"/>
    <row r="47113" hidden="1" x14ac:dyDescent="0.15"/>
    <row r="47114" hidden="1" x14ac:dyDescent="0.15"/>
    <row r="47115" hidden="1" x14ac:dyDescent="0.15"/>
    <row r="47116" hidden="1" x14ac:dyDescent="0.15"/>
    <row r="47117" hidden="1" x14ac:dyDescent="0.15"/>
    <row r="47118" hidden="1" x14ac:dyDescent="0.15"/>
    <row r="47119" hidden="1" x14ac:dyDescent="0.15"/>
    <row r="47120" hidden="1" x14ac:dyDescent="0.15"/>
    <row r="47121" hidden="1" x14ac:dyDescent="0.15"/>
    <row r="47122" hidden="1" x14ac:dyDescent="0.15"/>
    <row r="47123" hidden="1" x14ac:dyDescent="0.15"/>
    <row r="47124" hidden="1" x14ac:dyDescent="0.15"/>
    <row r="47125" hidden="1" x14ac:dyDescent="0.15"/>
    <row r="47126" hidden="1" x14ac:dyDescent="0.15"/>
    <row r="47127" hidden="1" x14ac:dyDescent="0.15"/>
    <row r="47128" hidden="1" x14ac:dyDescent="0.15"/>
    <row r="47129" hidden="1" x14ac:dyDescent="0.15"/>
    <row r="47130" hidden="1" x14ac:dyDescent="0.15"/>
    <row r="47131" hidden="1" x14ac:dyDescent="0.15"/>
    <row r="47132" hidden="1" x14ac:dyDescent="0.15"/>
    <row r="47133" hidden="1" x14ac:dyDescent="0.15"/>
    <row r="47134" hidden="1" x14ac:dyDescent="0.15"/>
    <row r="47135" hidden="1" x14ac:dyDescent="0.15"/>
    <row r="47136" hidden="1" x14ac:dyDescent="0.15"/>
    <row r="47137" hidden="1" x14ac:dyDescent="0.15"/>
    <row r="47138" hidden="1" x14ac:dyDescent="0.15"/>
    <row r="47139" hidden="1" x14ac:dyDescent="0.15"/>
    <row r="47140" hidden="1" x14ac:dyDescent="0.15"/>
    <row r="47141" hidden="1" x14ac:dyDescent="0.15"/>
    <row r="47142" hidden="1" x14ac:dyDescent="0.15"/>
    <row r="47143" hidden="1" x14ac:dyDescent="0.15"/>
    <row r="47144" hidden="1" x14ac:dyDescent="0.15"/>
    <row r="47145" hidden="1" x14ac:dyDescent="0.15"/>
    <row r="47146" hidden="1" x14ac:dyDescent="0.15"/>
    <row r="47147" hidden="1" x14ac:dyDescent="0.15"/>
    <row r="47148" hidden="1" x14ac:dyDescent="0.15"/>
    <row r="47149" hidden="1" x14ac:dyDescent="0.15"/>
    <row r="47150" hidden="1" x14ac:dyDescent="0.15"/>
    <row r="47151" hidden="1" x14ac:dyDescent="0.15"/>
    <row r="47152" hidden="1" x14ac:dyDescent="0.15"/>
    <row r="47153" hidden="1" x14ac:dyDescent="0.15"/>
    <row r="47154" hidden="1" x14ac:dyDescent="0.15"/>
    <row r="47155" hidden="1" x14ac:dyDescent="0.15"/>
    <row r="47156" hidden="1" x14ac:dyDescent="0.15"/>
    <row r="47157" hidden="1" x14ac:dyDescent="0.15"/>
    <row r="47158" hidden="1" x14ac:dyDescent="0.15"/>
    <row r="47159" hidden="1" x14ac:dyDescent="0.15"/>
    <row r="47160" hidden="1" x14ac:dyDescent="0.15"/>
    <row r="47161" hidden="1" x14ac:dyDescent="0.15"/>
    <row r="47162" hidden="1" x14ac:dyDescent="0.15"/>
    <row r="47163" hidden="1" x14ac:dyDescent="0.15"/>
    <row r="47164" hidden="1" x14ac:dyDescent="0.15"/>
    <row r="47165" hidden="1" x14ac:dyDescent="0.15"/>
    <row r="47166" hidden="1" x14ac:dyDescent="0.15"/>
    <row r="47167" hidden="1" x14ac:dyDescent="0.15"/>
    <row r="47168" hidden="1" x14ac:dyDescent="0.15"/>
    <row r="47169" hidden="1" x14ac:dyDescent="0.15"/>
    <row r="47170" hidden="1" x14ac:dyDescent="0.15"/>
    <row r="47171" hidden="1" x14ac:dyDescent="0.15"/>
    <row r="47172" hidden="1" x14ac:dyDescent="0.15"/>
    <row r="47173" hidden="1" x14ac:dyDescent="0.15"/>
    <row r="47174" hidden="1" x14ac:dyDescent="0.15"/>
    <row r="47175" hidden="1" x14ac:dyDescent="0.15"/>
    <row r="47176" hidden="1" x14ac:dyDescent="0.15"/>
    <row r="47177" hidden="1" x14ac:dyDescent="0.15"/>
    <row r="47178" hidden="1" x14ac:dyDescent="0.15"/>
    <row r="47179" hidden="1" x14ac:dyDescent="0.15"/>
    <row r="47180" hidden="1" x14ac:dyDescent="0.15"/>
    <row r="47181" hidden="1" x14ac:dyDescent="0.15"/>
    <row r="47182" hidden="1" x14ac:dyDescent="0.15"/>
    <row r="47183" hidden="1" x14ac:dyDescent="0.15"/>
    <row r="47184" hidden="1" x14ac:dyDescent="0.15"/>
    <row r="47185" hidden="1" x14ac:dyDescent="0.15"/>
    <row r="47186" hidden="1" x14ac:dyDescent="0.15"/>
    <row r="47187" hidden="1" x14ac:dyDescent="0.15"/>
    <row r="47188" hidden="1" x14ac:dyDescent="0.15"/>
    <row r="47189" hidden="1" x14ac:dyDescent="0.15"/>
    <row r="47190" hidden="1" x14ac:dyDescent="0.15"/>
    <row r="47191" hidden="1" x14ac:dyDescent="0.15"/>
    <row r="47192" hidden="1" x14ac:dyDescent="0.15"/>
    <row r="47193" hidden="1" x14ac:dyDescent="0.15"/>
    <row r="47194" hidden="1" x14ac:dyDescent="0.15"/>
    <row r="47195" hidden="1" x14ac:dyDescent="0.15"/>
    <row r="47196" hidden="1" x14ac:dyDescent="0.15"/>
    <row r="47197" hidden="1" x14ac:dyDescent="0.15"/>
    <row r="47198" hidden="1" x14ac:dyDescent="0.15"/>
    <row r="47199" hidden="1" x14ac:dyDescent="0.15"/>
    <row r="47200" hidden="1" x14ac:dyDescent="0.15"/>
    <row r="47201" hidden="1" x14ac:dyDescent="0.15"/>
    <row r="47202" hidden="1" x14ac:dyDescent="0.15"/>
    <row r="47203" hidden="1" x14ac:dyDescent="0.15"/>
    <row r="47204" hidden="1" x14ac:dyDescent="0.15"/>
    <row r="47205" hidden="1" x14ac:dyDescent="0.15"/>
    <row r="47206" hidden="1" x14ac:dyDescent="0.15"/>
    <row r="47207" hidden="1" x14ac:dyDescent="0.15"/>
    <row r="47208" hidden="1" x14ac:dyDescent="0.15"/>
    <row r="47209" hidden="1" x14ac:dyDescent="0.15"/>
    <row r="47210" hidden="1" x14ac:dyDescent="0.15"/>
    <row r="47211" hidden="1" x14ac:dyDescent="0.15"/>
    <row r="47212" hidden="1" x14ac:dyDescent="0.15"/>
    <row r="47213" hidden="1" x14ac:dyDescent="0.15"/>
    <row r="47214" hidden="1" x14ac:dyDescent="0.15"/>
    <row r="47215" hidden="1" x14ac:dyDescent="0.15"/>
    <row r="47216" hidden="1" x14ac:dyDescent="0.15"/>
    <row r="47217" hidden="1" x14ac:dyDescent="0.15"/>
    <row r="47218" hidden="1" x14ac:dyDescent="0.15"/>
    <row r="47219" hidden="1" x14ac:dyDescent="0.15"/>
    <row r="47220" hidden="1" x14ac:dyDescent="0.15"/>
    <row r="47221" hidden="1" x14ac:dyDescent="0.15"/>
    <row r="47222" hidden="1" x14ac:dyDescent="0.15"/>
    <row r="47223" hidden="1" x14ac:dyDescent="0.15"/>
    <row r="47224" hidden="1" x14ac:dyDescent="0.15"/>
    <row r="47225" hidden="1" x14ac:dyDescent="0.15"/>
    <row r="47226" hidden="1" x14ac:dyDescent="0.15"/>
    <row r="47227" hidden="1" x14ac:dyDescent="0.15"/>
    <row r="47228" hidden="1" x14ac:dyDescent="0.15"/>
    <row r="47229" hidden="1" x14ac:dyDescent="0.15"/>
    <row r="47230" hidden="1" x14ac:dyDescent="0.15"/>
    <row r="47231" hidden="1" x14ac:dyDescent="0.15"/>
    <row r="47232" hidden="1" x14ac:dyDescent="0.15"/>
    <row r="47233" hidden="1" x14ac:dyDescent="0.15"/>
    <row r="47234" hidden="1" x14ac:dyDescent="0.15"/>
    <row r="47235" hidden="1" x14ac:dyDescent="0.15"/>
    <row r="47236" hidden="1" x14ac:dyDescent="0.15"/>
    <row r="47237" hidden="1" x14ac:dyDescent="0.15"/>
    <row r="47238" hidden="1" x14ac:dyDescent="0.15"/>
    <row r="47239" hidden="1" x14ac:dyDescent="0.15"/>
    <row r="47240" hidden="1" x14ac:dyDescent="0.15"/>
    <row r="47241" hidden="1" x14ac:dyDescent="0.15"/>
    <row r="47242" hidden="1" x14ac:dyDescent="0.15"/>
    <row r="47243" hidden="1" x14ac:dyDescent="0.15"/>
    <row r="47244" hidden="1" x14ac:dyDescent="0.15"/>
    <row r="47245" hidden="1" x14ac:dyDescent="0.15"/>
    <row r="47246" hidden="1" x14ac:dyDescent="0.15"/>
    <row r="47247" hidden="1" x14ac:dyDescent="0.15"/>
    <row r="47248" hidden="1" x14ac:dyDescent="0.15"/>
    <row r="47249" hidden="1" x14ac:dyDescent="0.15"/>
    <row r="47250" hidden="1" x14ac:dyDescent="0.15"/>
    <row r="47251" hidden="1" x14ac:dyDescent="0.15"/>
    <row r="47252" hidden="1" x14ac:dyDescent="0.15"/>
    <row r="47253" hidden="1" x14ac:dyDescent="0.15"/>
    <row r="47254" hidden="1" x14ac:dyDescent="0.15"/>
    <row r="47255" hidden="1" x14ac:dyDescent="0.15"/>
    <row r="47256" hidden="1" x14ac:dyDescent="0.15"/>
    <row r="47257" hidden="1" x14ac:dyDescent="0.15"/>
    <row r="47258" hidden="1" x14ac:dyDescent="0.15"/>
    <row r="47259" hidden="1" x14ac:dyDescent="0.15"/>
    <row r="47260" hidden="1" x14ac:dyDescent="0.15"/>
    <row r="47261" hidden="1" x14ac:dyDescent="0.15"/>
    <row r="47262" hidden="1" x14ac:dyDescent="0.15"/>
    <row r="47263" hidden="1" x14ac:dyDescent="0.15"/>
    <row r="47264" hidden="1" x14ac:dyDescent="0.15"/>
    <row r="47265" hidden="1" x14ac:dyDescent="0.15"/>
    <row r="47266" hidden="1" x14ac:dyDescent="0.15"/>
    <row r="47267" hidden="1" x14ac:dyDescent="0.15"/>
    <row r="47268" hidden="1" x14ac:dyDescent="0.15"/>
    <row r="47269" hidden="1" x14ac:dyDescent="0.15"/>
    <row r="47270" hidden="1" x14ac:dyDescent="0.15"/>
    <row r="47271" hidden="1" x14ac:dyDescent="0.15"/>
    <row r="47272" hidden="1" x14ac:dyDescent="0.15"/>
    <row r="47273" hidden="1" x14ac:dyDescent="0.15"/>
    <row r="47274" hidden="1" x14ac:dyDescent="0.15"/>
    <row r="47275" hidden="1" x14ac:dyDescent="0.15"/>
    <row r="47276" hidden="1" x14ac:dyDescent="0.15"/>
    <row r="47277" hidden="1" x14ac:dyDescent="0.15"/>
    <row r="47278" hidden="1" x14ac:dyDescent="0.15"/>
    <row r="47279" hidden="1" x14ac:dyDescent="0.15"/>
    <row r="47280" hidden="1" x14ac:dyDescent="0.15"/>
    <row r="47281" hidden="1" x14ac:dyDescent="0.15"/>
    <row r="47282" hidden="1" x14ac:dyDescent="0.15"/>
    <row r="47283" hidden="1" x14ac:dyDescent="0.15"/>
    <row r="47284" hidden="1" x14ac:dyDescent="0.15"/>
    <row r="47285" hidden="1" x14ac:dyDescent="0.15"/>
    <row r="47286" hidden="1" x14ac:dyDescent="0.15"/>
    <row r="47287" hidden="1" x14ac:dyDescent="0.15"/>
    <row r="47288" hidden="1" x14ac:dyDescent="0.15"/>
    <row r="47289" hidden="1" x14ac:dyDescent="0.15"/>
    <row r="47290" hidden="1" x14ac:dyDescent="0.15"/>
    <row r="47291" hidden="1" x14ac:dyDescent="0.15"/>
    <row r="47292" hidden="1" x14ac:dyDescent="0.15"/>
    <row r="47293" hidden="1" x14ac:dyDescent="0.15"/>
    <row r="47294" hidden="1" x14ac:dyDescent="0.15"/>
    <row r="47295" hidden="1" x14ac:dyDescent="0.15"/>
    <row r="47296" hidden="1" x14ac:dyDescent="0.15"/>
    <row r="47297" hidden="1" x14ac:dyDescent="0.15"/>
    <row r="47298" hidden="1" x14ac:dyDescent="0.15"/>
    <row r="47299" hidden="1" x14ac:dyDescent="0.15"/>
    <row r="47300" hidden="1" x14ac:dyDescent="0.15"/>
    <row r="47301" hidden="1" x14ac:dyDescent="0.15"/>
    <row r="47302" hidden="1" x14ac:dyDescent="0.15"/>
    <row r="47303" hidden="1" x14ac:dyDescent="0.15"/>
    <row r="47304" hidden="1" x14ac:dyDescent="0.15"/>
    <row r="47305" hidden="1" x14ac:dyDescent="0.15"/>
    <row r="47306" hidden="1" x14ac:dyDescent="0.15"/>
    <row r="47307" hidden="1" x14ac:dyDescent="0.15"/>
    <row r="47308" hidden="1" x14ac:dyDescent="0.15"/>
    <row r="47309" hidden="1" x14ac:dyDescent="0.15"/>
    <row r="47310" hidden="1" x14ac:dyDescent="0.15"/>
    <row r="47311" hidden="1" x14ac:dyDescent="0.15"/>
    <row r="47312" hidden="1" x14ac:dyDescent="0.15"/>
    <row r="47313" hidden="1" x14ac:dyDescent="0.15"/>
    <row r="47314" hidden="1" x14ac:dyDescent="0.15"/>
    <row r="47315" hidden="1" x14ac:dyDescent="0.15"/>
    <row r="47316" hidden="1" x14ac:dyDescent="0.15"/>
    <row r="47317" hidden="1" x14ac:dyDescent="0.15"/>
    <row r="47318" hidden="1" x14ac:dyDescent="0.15"/>
    <row r="47319" hidden="1" x14ac:dyDescent="0.15"/>
    <row r="47320" hidden="1" x14ac:dyDescent="0.15"/>
    <row r="47321" hidden="1" x14ac:dyDescent="0.15"/>
    <row r="47322" hidden="1" x14ac:dyDescent="0.15"/>
    <row r="47323" hidden="1" x14ac:dyDescent="0.15"/>
    <row r="47324" hidden="1" x14ac:dyDescent="0.15"/>
    <row r="47325" hidden="1" x14ac:dyDescent="0.15"/>
    <row r="47326" hidden="1" x14ac:dyDescent="0.15"/>
    <row r="47327" hidden="1" x14ac:dyDescent="0.15"/>
    <row r="47328" hidden="1" x14ac:dyDescent="0.15"/>
    <row r="47329" hidden="1" x14ac:dyDescent="0.15"/>
    <row r="47330" hidden="1" x14ac:dyDescent="0.15"/>
    <row r="47331" hidden="1" x14ac:dyDescent="0.15"/>
    <row r="47332" hidden="1" x14ac:dyDescent="0.15"/>
    <row r="47333" hidden="1" x14ac:dyDescent="0.15"/>
    <row r="47334" hidden="1" x14ac:dyDescent="0.15"/>
    <row r="47335" hidden="1" x14ac:dyDescent="0.15"/>
    <row r="47336" hidden="1" x14ac:dyDescent="0.15"/>
    <row r="47337" hidden="1" x14ac:dyDescent="0.15"/>
    <row r="47338" hidden="1" x14ac:dyDescent="0.15"/>
    <row r="47339" hidden="1" x14ac:dyDescent="0.15"/>
    <row r="47340" hidden="1" x14ac:dyDescent="0.15"/>
    <row r="47341" hidden="1" x14ac:dyDescent="0.15"/>
    <row r="47342" hidden="1" x14ac:dyDescent="0.15"/>
    <row r="47343" hidden="1" x14ac:dyDescent="0.15"/>
    <row r="47344" hidden="1" x14ac:dyDescent="0.15"/>
    <row r="47345" hidden="1" x14ac:dyDescent="0.15"/>
    <row r="47346" hidden="1" x14ac:dyDescent="0.15"/>
    <row r="47347" hidden="1" x14ac:dyDescent="0.15"/>
    <row r="47348" hidden="1" x14ac:dyDescent="0.15"/>
    <row r="47349" hidden="1" x14ac:dyDescent="0.15"/>
    <row r="47350" hidden="1" x14ac:dyDescent="0.15"/>
    <row r="47351" hidden="1" x14ac:dyDescent="0.15"/>
    <row r="47352" hidden="1" x14ac:dyDescent="0.15"/>
    <row r="47353" hidden="1" x14ac:dyDescent="0.15"/>
    <row r="47354" hidden="1" x14ac:dyDescent="0.15"/>
    <row r="47355" hidden="1" x14ac:dyDescent="0.15"/>
    <row r="47356" hidden="1" x14ac:dyDescent="0.15"/>
    <row r="47357" hidden="1" x14ac:dyDescent="0.15"/>
    <row r="47358" hidden="1" x14ac:dyDescent="0.15"/>
    <row r="47359" hidden="1" x14ac:dyDescent="0.15"/>
    <row r="47360" hidden="1" x14ac:dyDescent="0.15"/>
    <row r="47361" hidden="1" x14ac:dyDescent="0.15"/>
    <row r="47362" hidden="1" x14ac:dyDescent="0.15"/>
    <row r="47363" hidden="1" x14ac:dyDescent="0.15"/>
    <row r="47364" hidden="1" x14ac:dyDescent="0.15"/>
    <row r="47365" hidden="1" x14ac:dyDescent="0.15"/>
    <row r="47366" hidden="1" x14ac:dyDescent="0.15"/>
    <row r="47367" hidden="1" x14ac:dyDescent="0.15"/>
    <row r="47368" hidden="1" x14ac:dyDescent="0.15"/>
    <row r="47369" hidden="1" x14ac:dyDescent="0.15"/>
    <row r="47370" hidden="1" x14ac:dyDescent="0.15"/>
    <row r="47371" hidden="1" x14ac:dyDescent="0.15"/>
    <row r="47372" hidden="1" x14ac:dyDescent="0.15"/>
    <row r="47373" hidden="1" x14ac:dyDescent="0.15"/>
    <row r="47374" hidden="1" x14ac:dyDescent="0.15"/>
    <row r="47375" hidden="1" x14ac:dyDescent="0.15"/>
    <row r="47376" hidden="1" x14ac:dyDescent="0.15"/>
    <row r="47377" hidden="1" x14ac:dyDescent="0.15"/>
    <row r="47378" hidden="1" x14ac:dyDescent="0.15"/>
    <row r="47379" hidden="1" x14ac:dyDescent="0.15"/>
    <row r="47380" hidden="1" x14ac:dyDescent="0.15"/>
    <row r="47381" hidden="1" x14ac:dyDescent="0.15"/>
    <row r="47382" hidden="1" x14ac:dyDescent="0.15"/>
    <row r="47383" hidden="1" x14ac:dyDescent="0.15"/>
    <row r="47384" hidden="1" x14ac:dyDescent="0.15"/>
    <row r="47385" hidden="1" x14ac:dyDescent="0.15"/>
    <row r="47386" hidden="1" x14ac:dyDescent="0.15"/>
    <row r="47387" hidden="1" x14ac:dyDescent="0.15"/>
    <row r="47388" hidden="1" x14ac:dyDescent="0.15"/>
    <row r="47389" hidden="1" x14ac:dyDescent="0.15"/>
    <row r="47390" hidden="1" x14ac:dyDescent="0.15"/>
    <row r="47391" hidden="1" x14ac:dyDescent="0.15"/>
    <row r="47392" hidden="1" x14ac:dyDescent="0.15"/>
    <row r="47393" hidden="1" x14ac:dyDescent="0.15"/>
    <row r="47394" hidden="1" x14ac:dyDescent="0.15"/>
    <row r="47395" hidden="1" x14ac:dyDescent="0.15"/>
    <row r="47396" hidden="1" x14ac:dyDescent="0.15"/>
    <row r="47397" hidden="1" x14ac:dyDescent="0.15"/>
    <row r="47398" hidden="1" x14ac:dyDescent="0.15"/>
    <row r="47399" hidden="1" x14ac:dyDescent="0.15"/>
    <row r="47400" hidden="1" x14ac:dyDescent="0.15"/>
    <row r="47401" hidden="1" x14ac:dyDescent="0.15"/>
    <row r="47402" hidden="1" x14ac:dyDescent="0.15"/>
    <row r="47403" hidden="1" x14ac:dyDescent="0.15"/>
    <row r="47404" hidden="1" x14ac:dyDescent="0.15"/>
    <row r="47405" hidden="1" x14ac:dyDescent="0.15"/>
    <row r="47406" hidden="1" x14ac:dyDescent="0.15"/>
    <row r="47407" hidden="1" x14ac:dyDescent="0.15"/>
    <row r="47408" hidden="1" x14ac:dyDescent="0.15"/>
    <row r="47409" hidden="1" x14ac:dyDescent="0.15"/>
    <row r="47410" hidden="1" x14ac:dyDescent="0.15"/>
    <row r="47411" hidden="1" x14ac:dyDescent="0.15"/>
    <row r="47412" hidden="1" x14ac:dyDescent="0.15"/>
    <row r="47413" hidden="1" x14ac:dyDescent="0.15"/>
    <row r="47414" hidden="1" x14ac:dyDescent="0.15"/>
    <row r="47415" hidden="1" x14ac:dyDescent="0.15"/>
    <row r="47416" hidden="1" x14ac:dyDescent="0.15"/>
    <row r="47417" hidden="1" x14ac:dyDescent="0.15"/>
    <row r="47418" hidden="1" x14ac:dyDescent="0.15"/>
    <row r="47419" hidden="1" x14ac:dyDescent="0.15"/>
    <row r="47420" hidden="1" x14ac:dyDescent="0.15"/>
    <row r="47421" hidden="1" x14ac:dyDescent="0.15"/>
    <row r="47422" hidden="1" x14ac:dyDescent="0.15"/>
    <row r="47423" hidden="1" x14ac:dyDescent="0.15"/>
    <row r="47424" hidden="1" x14ac:dyDescent="0.15"/>
    <row r="47425" hidden="1" x14ac:dyDescent="0.15"/>
    <row r="47426" hidden="1" x14ac:dyDescent="0.15"/>
    <row r="47427" hidden="1" x14ac:dyDescent="0.15"/>
    <row r="47428" hidden="1" x14ac:dyDescent="0.15"/>
    <row r="47429" hidden="1" x14ac:dyDescent="0.15"/>
    <row r="47430" hidden="1" x14ac:dyDescent="0.15"/>
    <row r="47431" hidden="1" x14ac:dyDescent="0.15"/>
    <row r="47432" hidden="1" x14ac:dyDescent="0.15"/>
    <row r="47433" hidden="1" x14ac:dyDescent="0.15"/>
    <row r="47434" hidden="1" x14ac:dyDescent="0.15"/>
    <row r="47435" hidden="1" x14ac:dyDescent="0.15"/>
    <row r="47436" hidden="1" x14ac:dyDescent="0.15"/>
    <row r="47437" hidden="1" x14ac:dyDescent="0.15"/>
    <row r="47438" hidden="1" x14ac:dyDescent="0.15"/>
    <row r="47439" hidden="1" x14ac:dyDescent="0.15"/>
    <row r="47440" hidden="1" x14ac:dyDescent="0.15"/>
    <row r="47441" hidden="1" x14ac:dyDescent="0.15"/>
    <row r="47442" hidden="1" x14ac:dyDescent="0.15"/>
    <row r="47443" hidden="1" x14ac:dyDescent="0.15"/>
    <row r="47444" hidden="1" x14ac:dyDescent="0.15"/>
    <row r="47445" hidden="1" x14ac:dyDescent="0.15"/>
    <row r="47446" hidden="1" x14ac:dyDescent="0.15"/>
    <row r="47447" hidden="1" x14ac:dyDescent="0.15"/>
    <row r="47448" hidden="1" x14ac:dyDescent="0.15"/>
    <row r="47449" hidden="1" x14ac:dyDescent="0.15"/>
    <row r="47450" hidden="1" x14ac:dyDescent="0.15"/>
    <row r="47451" hidden="1" x14ac:dyDescent="0.15"/>
    <row r="47452" hidden="1" x14ac:dyDescent="0.15"/>
    <row r="47453" hidden="1" x14ac:dyDescent="0.15"/>
    <row r="47454" hidden="1" x14ac:dyDescent="0.15"/>
    <row r="47455" hidden="1" x14ac:dyDescent="0.15"/>
    <row r="47456" hidden="1" x14ac:dyDescent="0.15"/>
    <row r="47457" hidden="1" x14ac:dyDescent="0.15"/>
    <row r="47458" hidden="1" x14ac:dyDescent="0.15"/>
    <row r="47459" hidden="1" x14ac:dyDescent="0.15"/>
    <row r="47460" hidden="1" x14ac:dyDescent="0.15"/>
    <row r="47461" hidden="1" x14ac:dyDescent="0.15"/>
    <row r="47462" hidden="1" x14ac:dyDescent="0.15"/>
    <row r="47463" hidden="1" x14ac:dyDescent="0.15"/>
    <row r="47464" hidden="1" x14ac:dyDescent="0.15"/>
    <row r="47465" hidden="1" x14ac:dyDescent="0.15"/>
    <row r="47466" hidden="1" x14ac:dyDescent="0.15"/>
    <row r="47467" hidden="1" x14ac:dyDescent="0.15"/>
    <row r="47468" hidden="1" x14ac:dyDescent="0.15"/>
    <row r="47469" hidden="1" x14ac:dyDescent="0.15"/>
    <row r="47470" hidden="1" x14ac:dyDescent="0.15"/>
    <row r="47471" hidden="1" x14ac:dyDescent="0.15"/>
    <row r="47472" hidden="1" x14ac:dyDescent="0.15"/>
    <row r="47473" hidden="1" x14ac:dyDescent="0.15"/>
    <row r="47474" hidden="1" x14ac:dyDescent="0.15"/>
    <row r="47475" hidden="1" x14ac:dyDescent="0.15"/>
    <row r="47476" hidden="1" x14ac:dyDescent="0.15"/>
    <row r="47477" hidden="1" x14ac:dyDescent="0.15"/>
    <row r="47478" hidden="1" x14ac:dyDescent="0.15"/>
    <row r="47479" hidden="1" x14ac:dyDescent="0.15"/>
    <row r="47480" hidden="1" x14ac:dyDescent="0.15"/>
    <row r="47481" hidden="1" x14ac:dyDescent="0.15"/>
    <row r="47482" hidden="1" x14ac:dyDescent="0.15"/>
    <row r="47483" hidden="1" x14ac:dyDescent="0.15"/>
    <row r="47484" hidden="1" x14ac:dyDescent="0.15"/>
    <row r="47485" hidden="1" x14ac:dyDescent="0.15"/>
    <row r="47486" hidden="1" x14ac:dyDescent="0.15"/>
    <row r="47487" hidden="1" x14ac:dyDescent="0.15"/>
    <row r="47488" hidden="1" x14ac:dyDescent="0.15"/>
    <row r="47489" hidden="1" x14ac:dyDescent="0.15"/>
    <row r="47490" hidden="1" x14ac:dyDescent="0.15"/>
    <row r="47491" hidden="1" x14ac:dyDescent="0.15"/>
    <row r="47492" hidden="1" x14ac:dyDescent="0.15"/>
    <row r="47493" hidden="1" x14ac:dyDescent="0.15"/>
    <row r="47494" hidden="1" x14ac:dyDescent="0.15"/>
    <row r="47495" hidden="1" x14ac:dyDescent="0.15"/>
    <row r="47496" hidden="1" x14ac:dyDescent="0.15"/>
    <row r="47497" hidden="1" x14ac:dyDescent="0.15"/>
    <row r="47498" hidden="1" x14ac:dyDescent="0.15"/>
    <row r="47499" hidden="1" x14ac:dyDescent="0.15"/>
    <row r="47500" hidden="1" x14ac:dyDescent="0.15"/>
    <row r="47501" hidden="1" x14ac:dyDescent="0.15"/>
    <row r="47502" hidden="1" x14ac:dyDescent="0.15"/>
    <row r="47503" hidden="1" x14ac:dyDescent="0.15"/>
    <row r="47504" hidden="1" x14ac:dyDescent="0.15"/>
    <row r="47505" hidden="1" x14ac:dyDescent="0.15"/>
    <row r="47506" hidden="1" x14ac:dyDescent="0.15"/>
    <row r="47507" hidden="1" x14ac:dyDescent="0.15"/>
    <row r="47508" hidden="1" x14ac:dyDescent="0.15"/>
    <row r="47509" hidden="1" x14ac:dyDescent="0.15"/>
    <row r="47510" hidden="1" x14ac:dyDescent="0.15"/>
    <row r="47511" hidden="1" x14ac:dyDescent="0.15"/>
    <row r="47512" hidden="1" x14ac:dyDescent="0.15"/>
    <row r="47513" hidden="1" x14ac:dyDescent="0.15"/>
    <row r="47514" hidden="1" x14ac:dyDescent="0.15"/>
    <row r="47515" hidden="1" x14ac:dyDescent="0.15"/>
    <row r="47516" hidden="1" x14ac:dyDescent="0.15"/>
    <row r="47517" hidden="1" x14ac:dyDescent="0.15"/>
    <row r="47518" hidden="1" x14ac:dyDescent="0.15"/>
    <row r="47519" hidden="1" x14ac:dyDescent="0.15"/>
    <row r="47520" hidden="1" x14ac:dyDescent="0.15"/>
    <row r="47521" hidden="1" x14ac:dyDescent="0.15"/>
    <row r="47522" hidden="1" x14ac:dyDescent="0.15"/>
    <row r="47523" hidden="1" x14ac:dyDescent="0.15"/>
    <row r="47524" hidden="1" x14ac:dyDescent="0.15"/>
    <row r="47525" hidden="1" x14ac:dyDescent="0.15"/>
    <row r="47526" hidden="1" x14ac:dyDescent="0.15"/>
    <row r="47527" hidden="1" x14ac:dyDescent="0.15"/>
    <row r="47528" hidden="1" x14ac:dyDescent="0.15"/>
    <row r="47529" hidden="1" x14ac:dyDescent="0.15"/>
    <row r="47530" hidden="1" x14ac:dyDescent="0.15"/>
    <row r="47531" hidden="1" x14ac:dyDescent="0.15"/>
    <row r="47532" hidden="1" x14ac:dyDescent="0.15"/>
    <row r="47533" hidden="1" x14ac:dyDescent="0.15"/>
    <row r="47534" hidden="1" x14ac:dyDescent="0.15"/>
    <row r="47535" hidden="1" x14ac:dyDescent="0.15"/>
    <row r="47536" hidden="1" x14ac:dyDescent="0.15"/>
    <row r="47537" hidden="1" x14ac:dyDescent="0.15"/>
    <row r="47538" hidden="1" x14ac:dyDescent="0.15"/>
    <row r="47539" hidden="1" x14ac:dyDescent="0.15"/>
    <row r="47540" hidden="1" x14ac:dyDescent="0.15"/>
    <row r="47541" hidden="1" x14ac:dyDescent="0.15"/>
    <row r="47542" hidden="1" x14ac:dyDescent="0.15"/>
    <row r="47543" hidden="1" x14ac:dyDescent="0.15"/>
    <row r="47544" hidden="1" x14ac:dyDescent="0.15"/>
    <row r="47545" hidden="1" x14ac:dyDescent="0.15"/>
    <row r="47546" hidden="1" x14ac:dyDescent="0.15"/>
    <row r="47547" hidden="1" x14ac:dyDescent="0.15"/>
    <row r="47548" hidden="1" x14ac:dyDescent="0.15"/>
    <row r="47549" hidden="1" x14ac:dyDescent="0.15"/>
    <row r="47550" hidden="1" x14ac:dyDescent="0.15"/>
    <row r="47551" hidden="1" x14ac:dyDescent="0.15"/>
    <row r="47552" hidden="1" x14ac:dyDescent="0.15"/>
    <row r="47553" hidden="1" x14ac:dyDescent="0.15"/>
    <row r="47554" hidden="1" x14ac:dyDescent="0.15"/>
    <row r="47555" hidden="1" x14ac:dyDescent="0.15"/>
    <row r="47556" hidden="1" x14ac:dyDescent="0.15"/>
    <row r="47557" hidden="1" x14ac:dyDescent="0.15"/>
    <row r="47558" hidden="1" x14ac:dyDescent="0.15"/>
    <row r="47559" hidden="1" x14ac:dyDescent="0.15"/>
    <row r="47560" hidden="1" x14ac:dyDescent="0.15"/>
    <row r="47561" hidden="1" x14ac:dyDescent="0.15"/>
    <row r="47562" hidden="1" x14ac:dyDescent="0.15"/>
    <row r="47563" hidden="1" x14ac:dyDescent="0.15"/>
    <row r="47564" hidden="1" x14ac:dyDescent="0.15"/>
    <row r="47565" hidden="1" x14ac:dyDescent="0.15"/>
    <row r="47566" hidden="1" x14ac:dyDescent="0.15"/>
    <row r="47567" hidden="1" x14ac:dyDescent="0.15"/>
    <row r="47568" hidden="1" x14ac:dyDescent="0.15"/>
    <row r="47569" hidden="1" x14ac:dyDescent="0.15"/>
    <row r="47570" hidden="1" x14ac:dyDescent="0.15"/>
    <row r="47571" hidden="1" x14ac:dyDescent="0.15"/>
    <row r="47572" hidden="1" x14ac:dyDescent="0.15"/>
    <row r="47573" hidden="1" x14ac:dyDescent="0.15"/>
    <row r="47574" hidden="1" x14ac:dyDescent="0.15"/>
    <row r="47575" hidden="1" x14ac:dyDescent="0.15"/>
    <row r="47576" hidden="1" x14ac:dyDescent="0.15"/>
    <row r="47577" hidden="1" x14ac:dyDescent="0.15"/>
    <row r="47578" hidden="1" x14ac:dyDescent="0.15"/>
    <row r="47579" hidden="1" x14ac:dyDescent="0.15"/>
    <row r="47580" hidden="1" x14ac:dyDescent="0.15"/>
    <row r="47581" hidden="1" x14ac:dyDescent="0.15"/>
    <row r="47582" hidden="1" x14ac:dyDescent="0.15"/>
    <row r="47583" hidden="1" x14ac:dyDescent="0.15"/>
    <row r="47584" hidden="1" x14ac:dyDescent="0.15"/>
    <row r="47585" hidden="1" x14ac:dyDescent="0.15"/>
    <row r="47586" hidden="1" x14ac:dyDescent="0.15"/>
    <row r="47587" hidden="1" x14ac:dyDescent="0.15"/>
    <row r="47588" hidden="1" x14ac:dyDescent="0.15"/>
    <row r="47589" hidden="1" x14ac:dyDescent="0.15"/>
    <row r="47590" hidden="1" x14ac:dyDescent="0.15"/>
    <row r="47591" hidden="1" x14ac:dyDescent="0.15"/>
    <row r="47592" hidden="1" x14ac:dyDescent="0.15"/>
    <row r="47593" hidden="1" x14ac:dyDescent="0.15"/>
    <row r="47594" hidden="1" x14ac:dyDescent="0.15"/>
    <row r="47595" hidden="1" x14ac:dyDescent="0.15"/>
    <row r="47596" hidden="1" x14ac:dyDescent="0.15"/>
    <row r="47597" hidden="1" x14ac:dyDescent="0.15"/>
    <row r="47598" hidden="1" x14ac:dyDescent="0.15"/>
    <row r="47599" hidden="1" x14ac:dyDescent="0.15"/>
    <row r="47600" hidden="1" x14ac:dyDescent="0.15"/>
    <row r="47601" hidden="1" x14ac:dyDescent="0.15"/>
    <row r="47602" hidden="1" x14ac:dyDescent="0.15"/>
    <row r="47603" hidden="1" x14ac:dyDescent="0.15"/>
    <row r="47604" hidden="1" x14ac:dyDescent="0.15"/>
    <row r="47605" hidden="1" x14ac:dyDescent="0.15"/>
    <row r="47606" hidden="1" x14ac:dyDescent="0.15"/>
    <row r="47607" hidden="1" x14ac:dyDescent="0.15"/>
    <row r="47608" hidden="1" x14ac:dyDescent="0.15"/>
    <row r="47609" hidden="1" x14ac:dyDescent="0.15"/>
    <row r="47610" hidden="1" x14ac:dyDescent="0.15"/>
    <row r="47611" hidden="1" x14ac:dyDescent="0.15"/>
    <row r="47612" hidden="1" x14ac:dyDescent="0.15"/>
    <row r="47613" hidden="1" x14ac:dyDescent="0.15"/>
    <row r="47614" hidden="1" x14ac:dyDescent="0.15"/>
    <row r="47615" hidden="1" x14ac:dyDescent="0.15"/>
    <row r="47616" hidden="1" x14ac:dyDescent="0.15"/>
    <row r="47617" hidden="1" x14ac:dyDescent="0.15"/>
    <row r="47618" hidden="1" x14ac:dyDescent="0.15"/>
    <row r="47619" hidden="1" x14ac:dyDescent="0.15"/>
    <row r="47620" hidden="1" x14ac:dyDescent="0.15"/>
    <row r="47621" hidden="1" x14ac:dyDescent="0.15"/>
    <row r="47622" hidden="1" x14ac:dyDescent="0.15"/>
    <row r="47623" hidden="1" x14ac:dyDescent="0.15"/>
    <row r="47624" hidden="1" x14ac:dyDescent="0.15"/>
    <row r="47625" hidden="1" x14ac:dyDescent="0.15"/>
    <row r="47626" hidden="1" x14ac:dyDescent="0.15"/>
    <row r="47627" hidden="1" x14ac:dyDescent="0.15"/>
    <row r="47628" hidden="1" x14ac:dyDescent="0.15"/>
    <row r="47629" hidden="1" x14ac:dyDescent="0.15"/>
    <row r="47630" hidden="1" x14ac:dyDescent="0.15"/>
    <row r="47631" hidden="1" x14ac:dyDescent="0.15"/>
    <row r="47632" hidden="1" x14ac:dyDescent="0.15"/>
    <row r="47633" hidden="1" x14ac:dyDescent="0.15"/>
    <row r="47634" hidden="1" x14ac:dyDescent="0.15"/>
    <row r="47635" hidden="1" x14ac:dyDescent="0.15"/>
    <row r="47636" hidden="1" x14ac:dyDescent="0.15"/>
    <row r="47637" hidden="1" x14ac:dyDescent="0.15"/>
    <row r="47638" hidden="1" x14ac:dyDescent="0.15"/>
    <row r="47639" hidden="1" x14ac:dyDescent="0.15"/>
    <row r="47640" hidden="1" x14ac:dyDescent="0.15"/>
    <row r="47641" hidden="1" x14ac:dyDescent="0.15"/>
    <row r="47642" hidden="1" x14ac:dyDescent="0.15"/>
    <row r="47643" hidden="1" x14ac:dyDescent="0.15"/>
    <row r="47644" hidden="1" x14ac:dyDescent="0.15"/>
    <row r="47645" hidden="1" x14ac:dyDescent="0.15"/>
    <row r="47646" hidden="1" x14ac:dyDescent="0.15"/>
    <row r="47647" hidden="1" x14ac:dyDescent="0.15"/>
    <row r="47648" hidden="1" x14ac:dyDescent="0.15"/>
    <row r="47649" hidden="1" x14ac:dyDescent="0.15"/>
    <row r="47650" hidden="1" x14ac:dyDescent="0.15"/>
    <row r="47651" hidden="1" x14ac:dyDescent="0.15"/>
    <row r="47652" hidden="1" x14ac:dyDescent="0.15"/>
    <row r="47653" hidden="1" x14ac:dyDescent="0.15"/>
    <row r="47654" hidden="1" x14ac:dyDescent="0.15"/>
    <row r="47655" hidden="1" x14ac:dyDescent="0.15"/>
    <row r="47656" hidden="1" x14ac:dyDescent="0.15"/>
    <row r="47657" hidden="1" x14ac:dyDescent="0.15"/>
    <row r="47658" hidden="1" x14ac:dyDescent="0.15"/>
    <row r="47659" hidden="1" x14ac:dyDescent="0.15"/>
    <row r="47660" hidden="1" x14ac:dyDescent="0.15"/>
    <row r="47661" hidden="1" x14ac:dyDescent="0.15"/>
    <row r="47662" hidden="1" x14ac:dyDescent="0.15"/>
    <row r="47663" hidden="1" x14ac:dyDescent="0.15"/>
    <row r="47664" hidden="1" x14ac:dyDescent="0.15"/>
    <row r="47665" hidden="1" x14ac:dyDescent="0.15"/>
    <row r="47666" hidden="1" x14ac:dyDescent="0.15"/>
    <row r="47667" hidden="1" x14ac:dyDescent="0.15"/>
    <row r="47668" hidden="1" x14ac:dyDescent="0.15"/>
    <row r="47669" hidden="1" x14ac:dyDescent="0.15"/>
    <row r="47670" hidden="1" x14ac:dyDescent="0.15"/>
    <row r="47671" hidden="1" x14ac:dyDescent="0.15"/>
    <row r="47672" hidden="1" x14ac:dyDescent="0.15"/>
    <row r="47673" hidden="1" x14ac:dyDescent="0.15"/>
    <row r="47674" hidden="1" x14ac:dyDescent="0.15"/>
    <row r="47675" hidden="1" x14ac:dyDescent="0.15"/>
    <row r="47676" hidden="1" x14ac:dyDescent="0.15"/>
    <row r="47677" hidden="1" x14ac:dyDescent="0.15"/>
    <row r="47678" hidden="1" x14ac:dyDescent="0.15"/>
    <row r="47679" hidden="1" x14ac:dyDescent="0.15"/>
    <row r="47680" hidden="1" x14ac:dyDescent="0.15"/>
    <row r="47681" hidden="1" x14ac:dyDescent="0.15"/>
    <row r="47682" hidden="1" x14ac:dyDescent="0.15"/>
    <row r="47683" hidden="1" x14ac:dyDescent="0.15"/>
    <row r="47684" hidden="1" x14ac:dyDescent="0.15"/>
    <row r="47685" hidden="1" x14ac:dyDescent="0.15"/>
    <row r="47686" hidden="1" x14ac:dyDescent="0.15"/>
    <row r="47687" hidden="1" x14ac:dyDescent="0.15"/>
    <row r="47688" hidden="1" x14ac:dyDescent="0.15"/>
    <row r="47689" hidden="1" x14ac:dyDescent="0.15"/>
    <row r="47690" hidden="1" x14ac:dyDescent="0.15"/>
    <row r="47691" hidden="1" x14ac:dyDescent="0.15"/>
    <row r="47692" hidden="1" x14ac:dyDescent="0.15"/>
    <row r="47693" hidden="1" x14ac:dyDescent="0.15"/>
    <row r="47694" hidden="1" x14ac:dyDescent="0.15"/>
    <row r="47695" hidden="1" x14ac:dyDescent="0.15"/>
    <row r="47696" hidden="1" x14ac:dyDescent="0.15"/>
    <row r="47697" hidden="1" x14ac:dyDescent="0.15"/>
    <row r="47698" hidden="1" x14ac:dyDescent="0.15"/>
    <row r="47699" hidden="1" x14ac:dyDescent="0.15"/>
    <row r="47700" hidden="1" x14ac:dyDescent="0.15"/>
    <row r="47701" hidden="1" x14ac:dyDescent="0.15"/>
    <row r="47702" hidden="1" x14ac:dyDescent="0.15"/>
    <row r="47703" hidden="1" x14ac:dyDescent="0.15"/>
    <row r="47704" hidden="1" x14ac:dyDescent="0.15"/>
    <row r="47705" hidden="1" x14ac:dyDescent="0.15"/>
    <row r="47706" hidden="1" x14ac:dyDescent="0.15"/>
    <row r="47707" hidden="1" x14ac:dyDescent="0.15"/>
    <row r="47708" hidden="1" x14ac:dyDescent="0.15"/>
    <row r="47709" hidden="1" x14ac:dyDescent="0.15"/>
    <row r="47710" hidden="1" x14ac:dyDescent="0.15"/>
    <row r="47711" hidden="1" x14ac:dyDescent="0.15"/>
    <row r="47712" hidden="1" x14ac:dyDescent="0.15"/>
    <row r="47713" hidden="1" x14ac:dyDescent="0.15"/>
    <row r="47714" hidden="1" x14ac:dyDescent="0.15"/>
    <row r="47715" hidden="1" x14ac:dyDescent="0.15"/>
    <row r="47716" hidden="1" x14ac:dyDescent="0.15"/>
    <row r="47717" hidden="1" x14ac:dyDescent="0.15"/>
    <row r="47718" hidden="1" x14ac:dyDescent="0.15"/>
    <row r="47719" hidden="1" x14ac:dyDescent="0.15"/>
    <row r="47720" hidden="1" x14ac:dyDescent="0.15"/>
    <row r="47721" hidden="1" x14ac:dyDescent="0.15"/>
    <row r="47722" hidden="1" x14ac:dyDescent="0.15"/>
    <row r="47723" hidden="1" x14ac:dyDescent="0.15"/>
    <row r="47724" hidden="1" x14ac:dyDescent="0.15"/>
    <row r="47725" hidden="1" x14ac:dyDescent="0.15"/>
    <row r="47726" hidden="1" x14ac:dyDescent="0.15"/>
    <row r="47727" hidden="1" x14ac:dyDescent="0.15"/>
    <row r="47728" hidden="1" x14ac:dyDescent="0.15"/>
    <row r="47729" hidden="1" x14ac:dyDescent="0.15"/>
    <row r="47730" hidden="1" x14ac:dyDescent="0.15"/>
    <row r="47731" hidden="1" x14ac:dyDescent="0.15"/>
    <row r="47732" hidden="1" x14ac:dyDescent="0.15"/>
    <row r="47733" hidden="1" x14ac:dyDescent="0.15"/>
    <row r="47734" hidden="1" x14ac:dyDescent="0.15"/>
    <row r="47735" hidden="1" x14ac:dyDescent="0.15"/>
    <row r="47736" hidden="1" x14ac:dyDescent="0.15"/>
    <row r="47737" hidden="1" x14ac:dyDescent="0.15"/>
    <row r="47738" hidden="1" x14ac:dyDescent="0.15"/>
    <row r="47739" hidden="1" x14ac:dyDescent="0.15"/>
    <row r="47740" hidden="1" x14ac:dyDescent="0.15"/>
    <row r="47741" hidden="1" x14ac:dyDescent="0.15"/>
    <row r="47742" hidden="1" x14ac:dyDescent="0.15"/>
    <row r="47743" hidden="1" x14ac:dyDescent="0.15"/>
    <row r="47744" hidden="1" x14ac:dyDescent="0.15"/>
    <row r="47745" hidden="1" x14ac:dyDescent="0.15"/>
    <row r="47746" hidden="1" x14ac:dyDescent="0.15"/>
    <row r="47747" hidden="1" x14ac:dyDescent="0.15"/>
    <row r="47748" hidden="1" x14ac:dyDescent="0.15"/>
    <row r="47749" hidden="1" x14ac:dyDescent="0.15"/>
    <row r="47750" hidden="1" x14ac:dyDescent="0.15"/>
    <row r="47751" hidden="1" x14ac:dyDescent="0.15"/>
    <row r="47752" hidden="1" x14ac:dyDescent="0.15"/>
    <row r="47753" hidden="1" x14ac:dyDescent="0.15"/>
    <row r="47754" hidden="1" x14ac:dyDescent="0.15"/>
    <row r="47755" hidden="1" x14ac:dyDescent="0.15"/>
    <row r="47756" hidden="1" x14ac:dyDescent="0.15"/>
    <row r="47757" hidden="1" x14ac:dyDescent="0.15"/>
    <row r="47758" hidden="1" x14ac:dyDescent="0.15"/>
    <row r="47759" hidden="1" x14ac:dyDescent="0.15"/>
    <row r="47760" hidden="1" x14ac:dyDescent="0.15"/>
    <row r="47761" hidden="1" x14ac:dyDescent="0.15"/>
    <row r="47762" hidden="1" x14ac:dyDescent="0.15"/>
    <row r="47763" hidden="1" x14ac:dyDescent="0.15"/>
    <row r="47764" hidden="1" x14ac:dyDescent="0.15"/>
    <row r="47765" hidden="1" x14ac:dyDescent="0.15"/>
    <row r="47766" hidden="1" x14ac:dyDescent="0.15"/>
    <row r="47767" hidden="1" x14ac:dyDescent="0.15"/>
    <row r="47768" hidden="1" x14ac:dyDescent="0.15"/>
    <row r="47769" hidden="1" x14ac:dyDescent="0.15"/>
    <row r="47770" hidden="1" x14ac:dyDescent="0.15"/>
    <row r="47771" hidden="1" x14ac:dyDescent="0.15"/>
    <row r="47772" hidden="1" x14ac:dyDescent="0.15"/>
    <row r="47773" hidden="1" x14ac:dyDescent="0.15"/>
    <row r="47774" hidden="1" x14ac:dyDescent="0.15"/>
    <row r="47775" hidden="1" x14ac:dyDescent="0.15"/>
    <row r="47776" hidden="1" x14ac:dyDescent="0.15"/>
    <row r="47777" hidden="1" x14ac:dyDescent="0.15"/>
    <row r="47778" hidden="1" x14ac:dyDescent="0.15"/>
    <row r="47779" hidden="1" x14ac:dyDescent="0.15"/>
    <row r="47780" hidden="1" x14ac:dyDescent="0.15"/>
    <row r="47781" hidden="1" x14ac:dyDescent="0.15"/>
    <row r="47782" hidden="1" x14ac:dyDescent="0.15"/>
    <row r="47783" hidden="1" x14ac:dyDescent="0.15"/>
    <row r="47784" hidden="1" x14ac:dyDescent="0.15"/>
    <row r="47785" hidden="1" x14ac:dyDescent="0.15"/>
    <row r="47786" hidden="1" x14ac:dyDescent="0.15"/>
    <row r="47787" hidden="1" x14ac:dyDescent="0.15"/>
    <row r="47788" hidden="1" x14ac:dyDescent="0.15"/>
    <row r="47789" hidden="1" x14ac:dyDescent="0.15"/>
    <row r="47790" hidden="1" x14ac:dyDescent="0.15"/>
    <row r="47791" hidden="1" x14ac:dyDescent="0.15"/>
    <row r="47792" hidden="1" x14ac:dyDescent="0.15"/>
    <row r="47793" hidden="1" x14ac:dyDescent="0.15"/>
    <row r="47794" hidden="1" x14ac:dyDescent="0.15"/>
    <row r="47795" hidden="1" x14ac:dyDescent="0.15"/>
    <row r="47796" hidden="1" x14ac:dyDescent="0.15"/>
    <row r="47797" hidden="1" x14ac:dyDescent="0.15"/>
    <row r="47798" hidden="1" x14ac:dyDescent="0.15"/>
    <row r="47799" hidden="1" x14ac:dyDescent="0.15"/>
    <row r="47800" hidden="1" x14ac:dyDescent="0.15"/>
    <row r="47801" hidden="1" x14ac:dyDescent="0.15"/>
    <row r="47802" hidden="1" x14ac:dyDescent="0.15"/>
    <row r="47803" hidden="1" x14ac:dyDescent="0.15"/>
    <row r="47804" hidden="1" x14ac:dyDescent="0.15"/>
    <row r="47805" hidden="1" x14ac:dyDescent="0.15"/>
    <row r="47806" hidden="1" x14ac:dyDescent="0.15"/>
    <row r="47807" hidden="1" x14ac:dyDescent="0.15"/>
    <row r="47808" hidden="1" x14ac:dyDescent="0.15"/>
    <row r="47809" hidden="1" x14ac:dyDescent="0.15"/>
    <row r="47810" hidden="1" x14ac:dyDescent="0.15"/>
    <row r="47811" hidden="1" x14ac:dyDescent="0.15"/>
    <row r="47812" hidden="1" x14ac:dyDescent="0.15"/>
    <row r="47813" hidden="1" x14ac:dyDescent="0.15"/>
    <row r="47814" hidden="1" x14ac:dyDescent="0.15"/>
    <row r="47815" hidden="1" x14ac:dyDescent="0.15"/>
    <row r="47816" hidden="1" x14ac:dyDescent="0.15"/>
    <row r="47817" hidden="1" x14ac:dyDescent="0.15"/>
    <row r="47818" hidden="1" x14ac:dyDescent="0.15"/>
    <row r="47819" hidden="1" x14ac:dyDescent="0.15"/>
    <row r="47820" hidden="1" x14ac:dyDescent="0.15"/>
    <row r="47821" hidden="1" x14ac:dyDescent="0.15"/>
    <row r="47822" hidden="1" x14ac:dyDescent="0.15"/>
    <row r="47823" hidden="1" x14ac:dyDescent="0.15"/>
    <row r="47824" hidden="1" x14ac:dyDescent="0.15"/>
    <row r="47825" hidden="1" x14ac:dyDescent="0.15"/>
    <row r="47826" hidden="1" x14ac:dyDescent="0.15"/>
    <row r="47827" hidden="1" x14ac:dyDescent="0.15"/>
    <row r="47828" hidden="1" x14ac:dyDescent="0.15"/>
    <row r="47829" hidden="1" x14ac:dyDescent="0.15"/>
    <row r="47830" hidden="1" x14ac:dyDescent="0.15"/>
    <row r="47831" hidden="1" x14ac:dyDescent="0.15"/>
    <row r="47832" hidden="1" x14ac:dyDescent="0.15"/>
    <row r="47833" hidden="1" x14ac:dyDescent="0.15"/>
    <row r="47834" hidden="1" x14ac:dyDescent="0.15"/>
    <row r="47835" hidden="1" x14ac:dyDescent="0.15"/>
    <row r="47836" hidden="1" x14ac:dyDescent="0.15"/>
    <row r="47837" hidden="1" x14ac:dyDescent="0.15"/>
    <row r="47838" hidden="1" x14ac:dyDescent="0.15"/>
    <row r="47839" hidden="1" x14ac:dyDescent="0.15"/>
    <row r="47840" hidden="1" x14ac:dyDescent="0.15"/>
    <row r="47841" hidden="1" x14ac:dyDescent="0.15"/>
    <row r="47842" hidden="1" x14ac:dyDescent="0.15"/>
    <row r="47843" hidden="1" x14ac:dyDescent="0.15"/>
    <row r="47844" hidden="1" x14ac:dyDescent="0.15"/>
    <row r="47845" hidden="1" x14ac:dyDescent="0.15"/>
    <row r="47846" hidden="1" x14ac:dyDescent="0.15"/>
    <row r="47847" hidden="1" x14ac:dyDescent="0.15"/>
    <row r="47848" hidden="1" x14ac:dyDescent="0.15"/>
    <row r="47849" hidden="1" x14ac:dyDescent="0.15"/>
    <row r="47850" hidden="1" x14ac:dyDescent="0.15"/>
    <row r="47851" hidden="1" x14ac:dyDescent="0.15"/>
    <row r="47852" hidden="1" x14ac:dyDescent="0.15"/>
    <row r="47853" hidden="1" x14ac:dyDescent="0.15"/>
    <row r="47854" hidden="1" x14ac:dyDescent="0.15"/>
    <row r="47855" hidden="1" x14ac:dyDescent="0.15"/>
    <row r="47856" hidden="1" x14ac:dyDescent="0.15"/>
    <row r="47857" hidden="1" x14ac:dyDescent="0.15"/>
    <row r="47858" hidden="1" x14ac:dyDescent="0.15"/>
    <row r="47859" hidden="1" x14ac:dyDescent="0.15"/>
    <row r="47860" hidden="1" x14ac:dyDescent="0.15"/>
    <row r="47861" hidden="1" x14ac:dyDescent="0.15"/>
    <row r="47862" hidden="1" x14ac:dyDescent="0.15"/>
    <row r="47863" hidden="1" x14ac:dyDescent="0.15"/>
    <row r="47864" hidden="1" x14ac:dyDescent="0.15"/>
    <row r="47865" hidden="1" x14ac:dyDescent="0.15"/>
    <row r="47866" hidden="1" x14ac:dyDescent="0.15"/>
    <row r="47867" hidden="1" x14ac:dyDescent="0.15"/>
    <row r="47868" hidden="1" x14ac:dyDescent="0.15"/>
    <row r="47869" hidden="1" x14ac:dyDescent="0.15"/>
    <row r="47870" hidden="1" x14ac:dyDescent="0.15"/>
    <row r="47871" hidden="1" x14ac:dyDescent="0.15"/>
    <row r="47872" hidden="1" x14ac:dyDescent="0.15"/>
    <row r="47873" hidden="1" x14ac:dyDescent="0.15"/>
    <row r="47874" hidden="1" x14ac:dyDescent="0.15"/>
    <row r="47875" hidden="1" x14ac:dyDescent="0.15"/>
    <row r="47876" hidden="1" x14ac:dyDescent="0.15"/>
    <row r="47877" hidden="1" x14ac:dyDescent="0.15"/>
    <row r="47878" hidden="1" x14ac:dyDescent="0.15"/>
    <row r="47879" hidden="1" x14ac:dyDescent="0.15"/>
    <row r="47880" hidden="1" x14ac:dyDescent="0.15"/>
    <row r="47881" hidden="1" x14ac:dyDescent="0.15"/>
    <row r="47882" hidden="1" x14ac:dyDescent="0.15"/>
    <row r="47883" hidden="1" x14ac:dyDescent="0.15"/>
    <row r="47884" hidden="1" x14ac:dyDescent="0.15"/>
    <row r="47885" hidden="1" x14ac:dyDescent="0.15"/>
    <row r="47886" hidden="1" x14ac:dyDescent="0.15"/>
    <row r="47887" hidden="1" x14ac:dyDescent="0.15"/>
    <row r="47888" hidden="1" x14ac:dyDescent="0.15"/>
    <row r="47889" hidden="1" x14ac:dyDescent="0.15"/>
    <row r="47890" hidden="1" x14ac:dyDescent="0.15"/>
    <row r="47891" hidden="1" x14ac:dyDescent="0.15"/>
    <row r="47892" hidden="1" x14ac:dyDescent="0.15"/>
    <row r="47893" hidden="1" x14ac:dyDescent="0.15"/>
    <row r="47894" hidden="1" x14ac:dyDescent="0.15"/>
    <row r="47895" hidden="1" x14ac:dyDescent="0.15"/>
    <row r="47896" hidden="1" x14ac:dyDescent="0.15"/>
    <row r="47897" hidden="1" x14ac:dyDescent="0.15"/>
    <row r="47898" hidden="1" x14ac:dyDescent="0.15"/>
    <row r="47899" hidden="1" x14ac:dyDescent="0.15"/>
    <row r="47900" hidden="1" x14ac:dyDescent="0.15"/>
    <row r="47901" hidden="1" x14ac:dyDescent="0.15"/>
    <row r="47902" hidden="1" x14ac:dyDescent="0.15"/>
    <row r="47903" hidden="1" x14ac:dyDescent="0.15"/>
    <row r="47904" hidden="1" x14ac:dyDescent="0.15"/>
    <row r="47905" hidden="1" x14ac:dyDescent="0.15"/>
    <row r="47906" hidden="1" x14ac:dyDescent="0.15"/>
    <row r="47907" hidden="1" x14ac:dyDescent="0.15"/>
    <row r="47908" hidden="1" x14ac:dyDescent="0.15"/>
    <row r="47909" hidden="1" x14ac:dyDescent="0.15"/>
    <row r="47910" hidden="1" x14ac:dyDescent="0.15"/>
    <row r="47911" hidden="1" x14ac:dyDescent="0.15"/>
    <row r="47912" hidden="1" x14ac:dyDescent="0.15"/>
    <row r="47913" hidden="1" x14ac:dyDescent="0.15"/>
    <row r="47914" hidden="1" x14ac:dyDescent="0.15"/>
    <row r="47915" hidden="1" x14ac:dyDescent="0.15"/>
    <row r="47916" hidden="1" x14ac:dyDescent="0.15"/>
    <row r="47917" hidden="1" x14ac:dyDescent="0.15"/>
    <row r="47918" hidden="1" x14ac:dyDescent="0.15"/>
    <row r="47919" hidden="1" x14ac:dyDescent="0.15"/>
    <row r="47920" hidden="1" x14ac:dyDescent="0.15"/>
    <row r="47921" hidden="1" x14ac:dyDescent="0.15"/>
    <row r="47922" hidden="1" x14ac:dyDescent="0.15"/>
    <row r="47923" hidden="1" x14ac:dyDescent="0.15"/>
    <row r="47924" hidden="1" x14ac:dyDescent="0.15"/>
    <row r="47925" hidden="1" x14ac:dyDescent="0.15"/>
    <row r="47926" hidden="1" x14ac:dyDescent="0.15"/>
    <row r="47927" hidden="1" x14ac:dyDescent="0.15"/>
    <row r="47928" hidden="1" x14ac:dyDescent="0.15"/>
    <row r="47929" hidden="1" x14ac:dyDescent="0.15"/>
    <row r="47930" hidden="1" x14ac:dyDescent="0.15"/>
    <row r="47931" hidden="1" x14ac:dyDescent="0.15"/>
    <row r="47932" hidden="1" x14ac:dyDescent="0.15"/>
    <row r="47933" hidden="1" x14ac:dyDescent="0.15"/>
    <row r="47934" hidden="1" x14ac:dyDescent="0.15"/>
    <row r="47935" hidden="1" x14ac:dyDescent="0.15"/>
    <row r="47936" hidden="1" x14ac:dyDescent="0.15"/>
    <row r="47937" hidden="1" x14ac:dyDescent="0.15"/>
    <row r="47938" hidden="1" x14ac:dyDescent="0.15"/>
    <row r="47939" hidden="1" x14ac:dyDescent="0.15"/>
    <row r="47940" hidden="1" x14ac:dyDescent="0.15"/>
    <row r="47941" hidden="1" x14ac:dyDescent="0.15"/>
    <row r="47942" hidden="1" x14ac:dyDescent="0.15"/>
    <row r="47943" hidden="1" x14ac:dyDescent="0.15"/>
    <row r="47944" hidden="1" x14ac:dyDescent="0.15"/>
    <row r="47945" hidden="1" x14ac:dyDescent="0.15"/>
    <row r="47946" hidden="1" x14ac:dyDescent="0.15"/>
    <row r="47947" hidden="1" x14ac:dyDescent="0.15"/>
    <row r="47948" hidden="1" x14ac:dyDescent="0.15"/>
    <row r="47949" hidden="1" x14ac:dyDescent="0.15"/>
    <row r="47950" hidden="1" x14ac:dyDescent="0.15"/>
    <row r="47951" hidden="1" x14ac:dyDescent="0.15"/>
    <row r="47952" hidden="1" x14ac:dyDescent="0.15"/>
    <row r="47953" hidden="1" x14ac:dyDescent="0.15"/>
    <row r="47954" hidden="1" x14ac:dyDescent="0.15"/>
    <row r="47955" hidden="1" x14ac:dyDescent="0.15"/>
    <row r="47956" hidden="1" x14ac:dyDescent="0.15"/>
    <row r="47957" hidden="1" x14ac:dyDescent="0.15"/>
    <row r="47958" hidden="1" x14ac:dyDescent="0.15"/>
    <row r="47959" hidden="1" x14ac:dyDescent="0.15"/>
    <row r="47960" hidden="1" x14ac:dyDescent="0.15"/>
    <row r="47961" hidden="1" x14ac:dyDescent="0.15"/>
    <row r="47962" hidden="1" x14ac:dyDescent="0.15"/>
    <row r="47963" hidden="1" x14ac:dyDescent="0.15"/>
    <row r="47964" hidden="1" x14ac:dyDescent="0.15"/>
    <row r="47965" hidden="1" x14ac:dyDescent="0.15"/>
    <row r="47966" hidden="1" x14ac:dyDescent="0.15"/>
    <row r="47967" hidden="1" x14ac:dyDescent="0.15"/>
    <row r="47968" hidden="1" x14ac:dyDescent="0.15"/>
    <row r="47969" hidden="1" x14ac:dyDescent="0.15"/>
    <row r="47970" hidden="1" x14ac:dyDescent="0.15"/>
    <row r="47971" hidden="1" x14ac:dyDescent="0.15"/>
    <row r="47972" hidden="1" x14ac:dyDescent="0.15"/>
    <row r="47973" hidden="1" x14ac:dyDescent="0.15"/>
    <row r="47974" hidden="1" x14ac:dyDescent="0.15"/>
    <row r="47975" hidden="1" x14ac:dyDescent="0.15"/>
    <row r="47976" hidden="1" x14ac:dyDescent="0.15"/>
    <row r="47977" hidden="1" x14ac:dyDescent="0.15"/>
    <row r="47978" hidden="1" x14ac:dyDescent="0.15"/>
    <row r="47979" hidden="1" x14ac:dyDescent="0.15"/>
    <row r="47980" hidden="1" x14ac:dyDescent="0.15"/>
    <row r="47981" hidden="1" x14ac:dyDescent="0.15"/>
    <row r="47982" hidden="1" x14ac:dyDescent="0.15"/>
    <row r="47983" hidden="1" x14ac:dyDescent="0.15"/>
    <row r="47984" hidden="1" x14ac:dyDescent="0.15"/>
    <row r="47985" hidden="1" x14ac:dyDescent="0.15"/>
    <row r="47986" hidden="1" x14ac:dyDescent="0.15"/>
    <row r="47987" hidden="1" x14ac:dyDescent="0.15"/>
    <row r="47988" hidden="1" x14ac:dyDescent="0.15"/>
    <row r="47989" hidden="1" x14ac:dyDescent="0.15"/>
    <row r="47990" hidden="1" x14ac:dyDescent="0.15"/>
    <row r="47991" hidden="1" x14ac:dyDescent="0.15"/>
    <row r="47992" hidden="1" x14ac:dyDescent="0.15"/>
    <row r="47993" hidden="1" x14ac:dyDescent="0.15"/>
    <row r="47994" hidden="1" x14ac:dyDescent="0.15"/>
    <row r="47995" hidden="1" x14ac:dyDescent="0.15"/>
    <row r="47996" hidden="1" x14ac:dyDescent="0.15"/>
    <row r="47997" hidden="1" x14ac:dyDescent="0.15"/>
    <row r="47998" hidden="1" x14ac:dyDescent="0.15"/>
    <row r="47999" hidden="1" x14ac:dyDescent="0.15"/>
    <row r="48000" hidden="1" x14ac:dyDescent="0.15"/>
    <row r="48001" hidden="1" x14ac:dyDescent="0.15"/>
    <row r="48002" hidden="1" x14ac:dyDescent="0.15"/>
    <row r="48003" hidden="1" x14ac:dyDescent="0.15"/>
    <row r="48004" hidden="1" x14ac:dyDescent="0.15"/>
    <row r="48005" hidden="1" x14ac:dyDescent="0.15"/>
    <row r="48006" hidden="1" x14ac:dyDescent="0.15"/>
    <row r="48007" hidden="1" x14ac:dyDescent="0.15"/>
    <row r="48008" hidden="1" x14ac:dyDescent="0.15"/>
    <row r="48009" hidden="1" x14ac:dyDescent="0.15"/>
    <row r="48010" hidden="1" x14ac:dyDescent="0.15"/>
    <row r="48011" hidden="1" x14ac:dyDescent="0.15"/>
    <row r="48012" hidden="1" x14ac:dyDescent="0.15"/>
    <row r="48013" hidden="1" x14ac:dyDescent="0.15"/>
    <row r="48014" hidden="1" x14ac:dyDescent="0.15"/>
    <row r="48015" hidden="1" x14ac:dyDescent="0.15"/>
    <row r="48016" hidden="1" x14ac:dyDescent="0.15"/>
    <row r="48017" hidden="1" x14ac:dyDescent="0.15"/>
    <row r="48018" hidden="1" x14ac:dyDescent="0.15"/>
    <row r="48019" hidden="1" x14ac:dyDescent="0.15"/>
    <row r="48020" hidden="1" x14ac:dyDescent="0.15"/>
    <row r="48021" hidden="1" x14ac:dyDescent="0.15"/>
    <row r="48022" hidden="1" x14ac:dyDescent="0.15"/>
    <row r="48023" hidden="1" x14ac:dyDescent="0.15"/>
    <row r="48024" hidden="1" x14ac:dyDescent="0.15"/>
    <row r="48025" hidden="1" x14ac:dyDescent="0.15"/>
    <row r="48026" hidden="1" x14ac:dyDescent="0.15"/>
    <row r="48027" hidden="1" x14ac:dyDescent="0.15"/>
    <row r="48028" hidden="1" x14ac:dyDescent="0.15"/>
    <row r="48029" hidden="1" x14ac:dyDescent="0.15"/>
    <row r="48030" hidden="1" x14ac:dyDescent="0.15"/>
    <row r="48031" hidden="1" x14ac:dyDescent="0.15"/>
    <row r="48032" hidden="1" x14ac:dyDescent="0.15"/>
    <row r="48033" hidden="1" x14ac:dyDescent="0.15"/>
    <row r="48034" hidden="1" x14ac:dyDescent="0.15"/>
    <row r="48035" hidden="1" x14ac:dyDescent="0.15"/>
    <row r="48036" hidden="1" x14ac:dyDescent="0.15"/>
    <row r="48037" hidden="1" x14ac:dyDescent="0.15"/>
    <row r="48038" hidden="1" x14ac:dyDescent="0.15"/>
    <row r="48039" hidden="1" x14ac:dyDescent="0.15"/>
    <row r="48040" hidden="1" x14ac:dyDescent="0.15"/>
    <row r="48041" hidden="1" x14ac:dyDescent="0.15"/>
    <row r="48042" hidden="1" x14ac:dyDescent="0.15"/>
    <row r="48043" hidden="1" x14ac:dyDescent="0.15"/>
    <row r="48044" hidden="1" x14ac:dyDescent="0.15"/>
    <row r="48045" hidden="1" x14ac:dyDescent="0.15"/>
    <row r="48046" hidden="1" x14ac:dyDescent="0.15"/>
    <row r="48047" hidden="1" x14ac:dyDescent="0.15"/>
    <row r="48048" hidden="1" x14ac:dyDescent="0.15"/>
    <row r="48049" hidden="1" x14ac:dyDescent="0.15"/>
    <row r="48050" hidden="1" x14ac:dyDescent="0.15"/>
    <row r="48051" hidden="1" x14ac:dyDescent="0.15"/>
    <row r="48052" hidden="1" x14ac:dyDescent="0.15"/>
    <row r="48053" hidden="1" x14ac:dyDescent="0.15"/>
    <row r="48054" hidden="1" x14ac:dyDescent="0.15"/>
    <row r="48055" hidden="1" x14ac:dyDescent="0.15"/>
    <row r="48056" hidden="1" x14ac:dyDescent="0.15"/>
    <row r="48057" hidden="1" x14ac:dyDescent="0.15"/>
    <row r="48058" hidden="1" x14ac:dyDescent="0.15"/>
    <row r="48059" hidden="1" x14ac:dyDescent="0.15"/>
    <row r="48060" hidden="1" x14ac:dyDescent="0.15"/>
    <row r="48061" hidden="1" x14ac:dyDescent="0.15"/>
    <row r="48062" hidden="1" x14ac:dyDescent="0.15"/>
    <row r="48063" hidden="1" x14ac:dyDescent="0.15"/>
    <row r="48064" hidden="1" x14ac:dyDescent="0.15"/>
    <row r="48065" hidden="1" x14ac:dyDescent="0.15"/>
    <row r="48066" hidden="1" x14ac:dyDescent="0.15"/>
    <row r="48067" hidden="1" x14ac:dyDescent="0.15"/>
    <row r="48068" hidden="1" x14ac:dyDescent="0.15"/>
    <row r="48069" hidden="1" x14ac:dyDescent="0.15"/>
    <row r="48070" hidden="1" x14ac:dyDescent="0.15"/>
    <row r="48071" hidden="1" x14ac:dyDescent="0.15"/>
    <row r="48072" hidden="1" x14ac:dyDescent="0.15"/>
    <row r="48073" hidden="1" x14ac:dyDescent="0.15"/>
    <row r="48074" hidden="1" x14ac:dyDescent="0.15"/>
    <row r="48075" hidden="1" x14ac:dyDescent="0.15"/>
    <row r="48076" hidden="1" x14ac:dyDescent="0.15"/>
    <row r="48077" hidden="1" x14ac:dyDescent="0.15"/>
    <row r="48078" hidden="1" x14ac:dyDescent="0.15"/>
    <row r="48079" hidden="1" x14ac:dyDescent="0.15"/>
    <row r="48080" hidden="1" x14ac:dyDescent="0.15"/>
    <row r="48081" hidden="1" x14ac:dyDescent="0.15"/>
    <row r="48082" hidden="1" x14ac:dyDescent="0.15"/>
    <row r="48083" hidden="1" x14ac:dyDescent="0.15"/>
    <row r="48084" hidden="1" x14ac:dyDescent="0.15"/>
    <row r="48085" hidden="1" x14ac:dyDescent="0.15"/>
    <row r="48086" hidden="1" x14ac:dyDescent="0.15"/>
    <row r="48087" hidden="1" x14ac:dyDescent="0.15"/>
    <row r="48088" hidden="1" x14ac:dyDescent="0.15"/>
    <row r="48089" hidden="1" x14ac:dyDescent="0.15"/>
    <row r="48090" hidden="1" x14ac:dyDescent="0.15"/>
    <row r="48091" hidden="1" x14ac:dyDescent="0.15"/>
    <row r="48092" hidden="1" x14ac:dyDescent="0.15"/>
    <row r="48093" hidden="1" x14ac:dyDescent="0.15"/>
    <row r="48094" hidden="1" x14ac:dyDescent="0.15"/>
    <row r="48095" hidden="1" x14ac:dyDescent="0.15"/>
    <row r="48096" hidden="1" x14ac:dyDescent="0.15"/>
    <row r="48097" hidden="1" x14ac:dyDescent="0.15"/>
    <row r="48098" hidden="1" x14ac:dyDescent="0.15"/>
    <row r="48099" hidden="1" x14ac:dyDescent="0.15"/>
    <row r="48100" hidden="1" x14ac:dyDescent="0.15"/>
    <row r="48101" hidden="1" x14ac:dyDescent="0.15"/>
    <row r="48102" hidden="1" x14ac:dyDescent="0.15"/>
    <row r="48103" hidden="1" x14ac:dyDescent="0.15"/>
    <row r="48104" hidden="1" x14ac:dyDescent="0.15"/>
    <row r="48105" hidden="1" x14ac:dyDescent="0.15"/>
    <row r="48106" hidden="1" x14ac:dyDescent="0.15"/>
    <row r="48107" hidden="1" x14ac:dyDescent="0.15"/>
    <row r="48108" hidden="1" x14ac:dyDescent="0.15"/>
    <row r="48109" hidden="1" x14ac:dyDescent="0.15"/>
    <row r="48110" hidden="1" x14ac:dyDescent="0.15"/>
    <row r="48111" hidden="1" x14ac:dyDescent="0.15"/>
    <row r="48112" hidden="1" x14ac:dyDescent="0.15"/>
    <row r="48113" hidden="1" x14ac:dyDescent="0.15"/>
    <row r="48114" hidden="1" x14ac:dyDescent="0.15"/>
    <row r="48115" hidden="1" x14ac:dyDescent="0.15"/>
    <row r="48116" hidden="1" x14ac:dyDescent="0.15"/>
    <row r="48117" hidden="1" x14ac:dyDescent="0.15"/>
    <row r="48118" hidden="1" x14ac:dyDescent="0.15"/>
    <row r="48119" hidden="1" x14ac:dyDescent="0.15"/>
    <row r="48120" hidden="1" x14ac:dyDescent="0.15"/>
    <row r="48121" hidden="1" x14ac:dyDescent="0.15"/>
    <row r="48122" hidden="1" x14ac:dyDescent="0.15"/>
    <row r="48123" hidden="1" x14ac:dyDescent="0.15"/>
    <row r="48124" hidden="1" x14ac:dyDescent="0.15"/>
    <row r="48125" hidden="1" x14ac:dyDescent="0.15"/>
    <row r="48126" hidden="1" x14ac:dyDescent="0.15"/>
    <row r="48127" hidden="1" x14ac:dyDescent="0.15"/>
    <row r="48128" hidden="1" x14ac:dyDescent="0.15"/>
    <row r="48129" hidden="1" x14ac:dyDescent="0.15"/>
    <row r="48130" hidden="1" x14ac:dyDescent="0.15"/>
    <row r="48131" hidden="1" x14ac:dyDescent="0.15"/>
    <row r="48132" hidden="1" x14ac:dyDescent="0.15"/>
    <row r="48133" hidden="1" x14ac:dyDescent="0.15"/>
    <row r="48134" hidden="1" x14ac:dyDescent="0.15"/>
    <row r="48135" hidden="1" x14ac:dyDescent="0.15"/>
    <row r="48136" hidden="1" x14ac:dyDescent="0.15"/>
    <row r="48137" hidden="1" x14ac:dyDescent="0.15"/>
    <row r="48138" hidden="1" x14ac:dyDescent="0.15"/>
    <row r="48139" hidden="1" x14ac:dyDescent="0.15"/>
    <row r="48140" hidden="1" x14ac:dyDescent="0.15"/>
    <row r="48141" hidden="1" x14ac:dyDescent="0.15"/>
    <row r="48142" hidden="1" x14ac:dyDescent="0.15"/>
    <row r="48143" hidden="1" x14ac:dyDescent="0.15"/>
    <row r="48144" hidden="1" x14ac:dyDescent="0.15"/>
    <row r="48145" hidden="1" x14ac:dyDescent="0.15"/>
    <row r="48146" hidden="1" x14ac:dyDescent="0.15"/>
    <row r="48147" hidden="1" x14ac:dyDescent="0.15"/>
    <row r="48148" hidden="1" x14ac:dyDescent="0.15"/>
    <row r="48149" hidden="1" x14ac:dyDescent="0.15"/>
    <row r="48150" hidden="1" x14ac:dyDescent="0.15"/>
    <row r="48151" hidden="1" x14ac:dyDescent="0.15"/>
    <row r="48152" hidden="1" x14ac:dyDescent="0.15"/>
    <row r="48153" hidden="1" x14ac:dyDescent="0.15"/>
    <row r="48154" hidden="1" x14ac:dyDescent="0.15"/>
    <row r="48155" hidden="1" x14ac:dyDescent="0.15"/>
    <row r="48156" hidden="1" x14ac:dyDescent="0.15"/>
    <row r="48157" hidden="1" x14ac:dyDescent="0.15"/>
    <row r="48158" hidden="1" x14ac:dyDescent="0.15"/>
    <row r="48159" hidden="1" x14ac:dyDescent="0.15"/>
    <row r="48160" hidden="1" x14ac:dyDescent="0.15"/>
    <row r="48161" hidden="1" x14ac:dyDescent="0.15"/>
    <row r="48162" hidden="1" x14ac:dyDescent="0.15"/>
    <row r="48163" hidden="1" x14ac:dyDescent="0.15"/>
    <row r="48164" hidden="1" x14ac:dyDescent="0.15"/>
    <row r="48165" hidden="1" x14ac:dyDescent="0.15"/>
    <row r="48166" hidden="1" x14ac:dyDescent="0.15"/>
    <row r="48167" hidden="1" x14ac:dyDescent="0.15"/>
    <row r="48168" hidden="1" x14ac:dyDescent="0.15"/>
    <row r="48169" hidden="1" x14ac:dyDescent="0.15"/>
    <row r="48170" hidden="1" x14ac:dyDescent="0.15"/>
    <row r="48171" hidden="1" x14ac:dyDescent="0.15"/>
    <row r="48172" hidden="1" x14ac:dyDescent="0.15"/>
    <row r="48173" hidden="1" x14ac:dyDescent="0.15"/>
    <row r="48174" hidden="1" x14ac:dyDescent="0.15"/>
    <row r="48175" hidden="1" x14ac:dyDescent="0.15"/>
    <row r="48176" hidden="1" x14ac:dyDescent="0.15"/>
    <row r="48177" hidden="1" x14ac:dyDescent="0.15"/>
    <row r="48178" hidden="1" x14ac:dyDescent="0.15"/>
    <row r="48179" hidden="1" x14ac:dyDescent="0.15"/>
    <row r="48180" hidden="1" x14ac:dyDescent="0.15"/>
    <row r="48181" hidden="1" x14ac:dyDescent="0.15"/>
    <row r="48182" hidden="1" x14ac:dyDescent="0.15"/>
    <row r="48183" hidden="1" x14ac:dyDescent="0.15"/>
    <row r="48184" hidden="1" x14ac:dyDescent="0.15"/>
    <row r="48185" hidden="1" x14ac:dyDescent="0.15"/>
    <row r="48186" hidden="1" x14ac:dyDescent="0.15"/>
    <row r="48187" hidden="1" x14ac:dyDescent="0.15"/>
    <row r="48188" hidden="1" x14ac:dyDescent="0.15"/>
    <row r="48189" hidden="1" x14ac:dyDescent="0.15"/>
    <row r="48190" hidden="1" x14ac:dyDescent="0.15"/>
    <row r="48191" hidden="1" x14ac:dyDescent="0.15"/>
    <row r="48192" hidden="1" x14ac:dyDescent="0.15"/>
    <row r="48193" hidden="1" x14ac:dyDescent="0.15"/>
    <row r="48194" hidden="1" x14ac:dyDescent="0.15"/>
    <row r="48195" hidden="1" x14ac:dyDescent="0.15"/>
    <row r="48196" hidden="1" x14ac:dyDescent="0.15"/>
    <row r="48197" hidden="1" x14ac:dyDescent="0.15"/>
    <row r="48198" hidden="1" x14ac:dyDescent="0.15"/>
    <row r="48199" hidden="1" x14ac:dyDescent="0.15"/>
    <row r="48200" hidden="1" x14ac:dyDescent="0.15"/>
    <row r="48201" hidden="1" x14ac:dyDescent="0.15"/>
    <row r="48202" hidden="1" x14ac:dyDescent="0.15"/>
    <row r="48203" hidden="1" x14ac:dyDescent="0.15"/>
    <row r="48204" hidden="1" x14ac:dyDescent="0.15"/>
    <row r="48205" hidden="1" x14ac:dyDescent="0.15"/>
    <row r="48206" hidden="1" x14ac:dyDescent="0.15"/>
    <row r="48207" hidden="1" x14ac:dyDescent="0.15"/>
    <row r="48208" hidden="1" x14ac:dyDescent="0.15"/>
    <row r="48209" hidden="1" x14ac:dyDescent="0.15"/>
    <row r="48210" hidden="1" x14ac:dyDescent="0.15"/>
    <row r="48211" hidden="1" x14ac:dyDescent="0.15"/>
    <row r="48212" hidden="1" x14ac:dyDescent="0.15"/>
    <row r="48213" hidden="1" x14ac:dyDescent="0.15"/>
    <row r="48214" hidden="1" x14ac:dyDescent="0.15"/>
    <row r="48215" hidden="1" x14ac:dyDescent="0.15"/>
    <row r="48216" hidden="1" x14ac:dyDescent="0.15"/>
    <row r="48217" hidden="1" x14ac:dyDescent="0.15"/>
    <row r="48218" hidden="1" x14ac:dyDescent="0.15"/>
    <row r="48219" hidden="1" x14ac:dyDescent="0.15"/>
    <row r="48220" hidden="1" x14ac:dyDescent="0.15"/>
    <row r="48221" hidden="1" x14ac:dyDescent="0.15"/>
    <row r="48222" hidden="1" x14ac:dyDescent="0.15"/>
    <row r="48223" hidden="1" x14ac:dyDescent="0.15"/>
    <row r="48224" hidden="1" x14ac:dyDescent="0.15"/>
    <row r="48225" hidden="1" x14ac:dyDescent="0.15"/>
    <row r="48226" hidden="1" x14ac:dyDescent="0.15"/>
    <row r="48227" hidden="1" x14ac:dyDescent="0.15"/>
    <row r="48228" hidden="1" x14ac:dyDescent="0.15"/>
    <row r="48229" hidden="1" x14ac:dyDescent="0.15"/>
    <row r="48230" hidden="1" x14ac:dyDescent="0.15"/>
    <row r="48231" hidden="1" x14ac:dyDescent="0.15"/>
    <row r="48232" hidden="1" x14ac:dyDescent="0.15"/>
    <row r="48233" hidden="1" x14ac:dyDescent="0.15"/>
    <row r="48234" hidden="1" x14ac:dyDescent="0.15"/>
    <row r="48235" hidden="1" x14ac:dyDescent="0.15"/>
    <row r="48236" hidden="1" x14ac:dyDescent="0.15"/>
    <row r="48237" hidden="1" x14ac:dyDescent="0.15"/>
    <row r="48238" hidden="1" x14ac:dyDescent="0.15"/>
    <row r="48239" hidden="1" x14ac:dyDescent="0.15"/>
    <row r="48240" hidden="1" x14ac:dyDescent="0.15"/>
    <row r="48241" hidden="1" x14ac:dyDescent="0.15"/>
    <row r="48242" hidden="1" x14ac:dyDescent="0.15"/>
    <row r="48243" hidden="1" x14ac:dyDescent="0.15"/>
    <row r="48244" hidden="1" x14ac:dyDescent="0.15"/>
    <row r="48245" hidden="1" x14ac:dyDescent="0.15"/>
    <row r="48246" hidden="1" x14ac:dyDescent="0.15"/>
    <row r="48247" hidden="1" x14ac:dyDescent="0.15"/>
    <row r="48248" hidden="1" x14ac:dyDescent="0.15"/>
    <row r="48249" hidden="1" x14ac:dyDescent="0.15"/>
    <row r="48250" hidden="1" x14ac:dyDescent="0.15"/>
    <row r="48251" hidden="1" x14ac:dyDescent="0.15"/>
    <row r="48252" hidden="1" x14ac:dyDescent="0.15"/>
    <row r="48253" hidden="1" x14ac:dyDescent="0.15"/>
    <row r="48254" hidden="1" x14ac:dyDescent="0.15"/>
    <row r="48255" hidden="1" x14ac:dyDescent="0.15"/>
    <row r="48256" hidden="1" x14ac:dyDescent="0.15"/>
    <row r="48257" hidden="1" x14ac:dyDescent="0.15"/>
    <row r="48258" hidden="1" x14ac:dyDescent="0.15"/>
    <row r="48259" hidden="1" x14ac:dyDescent="0.15"/>
    <row r="48260" hidden="1" x14ac:dyDescent="0.15"/>
    <row r="48261" hidden="1" x14ac:dyDescent="0.15"/>
    <row r="48262" hidden="1" x14ac:dyDescent="0.15"/>
    <row r="48263" hidden="1" x14ac:dyDescent="0.15"/>
    <row r="48264" hidden="1" x14ac:dyDescent="0.15"/>
    <row r="48265" hidden="1" x14ac:dyDescent="0.15"/>
    <row r="48266" hidden="1" x14ac:dyDescent="0.15"/>
    <row r="48267" hidden="1" x14ac:dyDescent="0.15"/>
    <row r="48268" hidden="1" x14ac:dyDescent="0.15"/>
    <row r="48269" hidden="1" x14ac:dyDescent="0.15"/>
    <row r="48270" hidden="1" x14ac:dyDescent="0.15"/>
    <row r="48271" hidden="1" x14ac:dyDescent="0.15"/>
    <row r="48272" hidden="1" x14ac:dyDescent="0.15"/>
    <row r="48273" hidden="1" x14ac:dyDescent="0.15"/>
    <row r="48274" hidden="1" x14ac:dyDescent="0.15"/>
    <row r="48275" hidden="1" x14ac:dyDescent="0.15"/>
    <row r="48276" hidden="1" x14ac:dyDescent="0.15"/>
    <row r="48277" hidden="1" x14ac:dyDescent="0.15"/>
    <row r="48278" hidden="1" x14ac:dyDescent="0.15"/>
    <row r="48279" hidden="1" x14ac:dyDescent="0.15"/>
    <row r="48280" hidden="1" x14ac:dyDescent="0.15"/>
    <row r="48281" hidden="1" x14ac:dyDescent="0.15"/>
    <row r="48282" hidden="1" x14ac:dyDescent="0.15"/>
    <row r="48283" hidden="1" x14ac:dyDescent="0.15"/>
    <row r="48284" hidden="1" x14ac:dyDescent="0.15"/>
    <row r="48285" hidden="1" x14ac:dyDescent="0.15"/>
    <row r="48286" hidden="1" x14ac:dyDescent="0.15"/>
    <row r="48287" hidden="1" x14ac:dyDescent="0.15"/>
    <row r="48288" hidden="1" x14ac:dyDescent="0.15"/>
    <row r="48289" hidden="1" x14ac:dyDescent="0.15"/>
    <row r="48290" hidden="1" x14ac:dyDescent="0.15"/>
    <row r="48291" hidden="1" x14ac:dyDescent="0.15"/>
    <row r="48292" hidden="1" x14ac:dyDescent="0.15"/>
    <row r="48293" hidden="1" x14ac:dyDescent="0.15"/>
    <row r="48294" hidden="1" x14ac:dyDescent="0.15"/>
    <row r="48295" hidden="1" x14ac:dyDescent="0.15"/>
    <row r="48296" hidden="1" x14ac:dyDescent="0.15"/>
    <row r="48297" hidden="1" x14ac:dyDescent="0.15"/>
    <row r="48298" hidden="1" x14ac:dyDescent="0.15"/>
    <row r="48299" hidden="1" x14ac:dyDescent="0.15"/>
    <row r="48300" hidden="1" x14ac:dyDescent="0.15"/>
    <row r="48301" hidden="1" x14ac:dyDescent="0.15"/>
    <row r="48302" hidden="1" x14ac:dyDescent="0.15"/>
    <row r="48303" hidden="1" x14ac:dyDescent="0.15"/>
    <row r="48304" hidden="1" x14ac:dyDescent="0.15"/>
    <row r="48305" hidden="1" x14ac:dyDescent="0.15"/>
    <row r="48306" hidden="1" x14ac:dyDescent="0.15"/>
    <row r="48307" hidden="1" x14ac:dyDescent="0.15"/>
    <row r="48308" hidden="1" x14ac:dyDescent="0.15"/>
    <row r="48309" hidden="1" x14ac:dyDescent="0.15"/>
    <row r="48310" hidden="1" x14ac:dyDescent="0.15"/>
    <row r="48311" hidden="1" x14ac:dyDescent="0.15"/>
    <row r="48312" hidden="1" x14ac:dyDescent="0.15"/>
    <row r="48313" hidden="1" x14ac:dyDescent="0.15"/>
    <row r="48314" hidden="1" x14ac:dyDescent="0.15"/>
    <row r="48315" hidden="1" x14ac:dyDescent="0.15"/>
    <row r="48316" hidden="1" x14ac:dyDescent="0.15"/>
    <row r="48317" hidden="1" x14ac:dyDescent="0.15"/>
    <row r="48318" hidden="1" x14ac:dyDescent="0.15"/>
    <row r="48319" hidden="1" x14ac:dyDescent="0.15"/>
    <row r="48320" hidden="1" x14ac:dyDescent="0.15"/>
    <row r="48321" hidden="1" x14ac:dyDescent="0.15"/>
    <row r="48322" hidden="1" x14ac:dyDescent="0.15"/>
    <row r="48323" hidden="1" x14ac:dyDescent="0.15"/>
    <row r="48324" hidden="1" x14ac:dyDescent="0.15"/>
    <row r="48325" hidden="1" x14ac:dyDescent="0.15"/>
    <row r="48326" hidden="1" x14ac:dyDescent="0.15"/>
    <row r="48327" hidden="1" x14ac:dyDescent="0.15"/>
    <row r="48328" hidden="1" x14ac:dyDescent="0.15"/>
    <row r="48329" hidden="1" x14ac:dyDescent="0.15"/>
    <row r="48330" hidden="1" x14ac:dyDescent="0.15"/>
    <row r="48331" hidden="1" x14ac:dyDescent="0.15"/>
    <row r="48332" hidden="1" x14ac:dyDescent="0.15"/>
    <row r="48333" hidden="1" x14ac:dyDescent="0.15"/>
    <row r="48334" hidden="1" x14ac:dyDescent="0.15"/>
    <row r="48335" hidden="1" x14ac:dyDescent="0.15"/>
    <row r="48336" hidden="1" x14ac:dyDescent="0.15"/>
    <row r="48337" hidden="1" x14ac:dyDescent="0.15"/>
    <row r="48338" hidden="1" x14ac:dyDescent="0.15"/>
    <row r="48339" hidden="1" x14ac:dyDescent="0.15"/>
    <row r="48340" hidden="1" x14ac:dyDescent="0.15"/>
    <row r="48341" hidden="1" x14ac:dyDescent="0.15"/>
    <row r="48342" hidden="1" x14ac:dyDescent="0.15"/>
    <row r="48343" hidden="1" x14ac:dyDescent="0.15"/>
    <row r="48344" hidden="1" x14ac:dyDescent="0.15"/>
    <row r="48345" hidden="1" x14ac:dyDescent="0.15"/>
    <row r="48346" hidden="1" x14ac:dyDescent="0.15"/>
    <row r="48347" hidden="1" x14ac:dyDescent="0.15"/>
    <row r="48348" hidden="1" x14ac:dyDescent="0.15"/>
    <row r="48349" hidden="1" x14ac:dyDescent="0.15"/>
    <row r="48350" hidden="1" x14ac:dyDescent="0.15"/>
    <row r="48351" hidden="1" x14ac:dyDescent="0.15"/>
    <row r="48352" hidden="1" x14ac:dyDescent="0.15"/>
    <row r="48353" hidden="1" x14ac:dyDescent="0.15"/>
    <row r="48354" hidden="1" x14ac:dyDescent="0.15"/>
    <row r="48355" hidden="1" x14ac:dyDescent="0.15"/>
    <row r="48356" hidden="1" x14ac:dyDescent="0.15"/>
    <row r="48357" hidden="1" x14ac:dyDescent="0.15"/>
    <row r="48358" hidden="1" x14ac:dyDescent="0.15"/>
    <row r="48359" hidden="1" x14ac:dyDescent="0.15"/>
    <row r="48360" hidden="1" x14ac:dyDescent="0.15"/>
    <row r="48361" hidden="1" x14ac:dyDescent="0.15"/>
    <row r="48362" hidden="1" x14ac:dyDescent="0.15"/>
    <row r="48363" hidden="1" x14ac:dyDescent="0.15"/>
    <row r="48364" hidden="1" x14ac:dyDescent="0.15"/>
    <row r="48365" hidden="1" x14ac:dyDescent="0.15"/>
    <row r="48366" hidden="1" x14ac:dyDescent="0.15"/>
    <row r="48367" hidden="1" x14ac:dyDescent="0.15"/>
    <row r="48368" hidden="1" x14ac:dyDescent="0.15"/>
    <row r="48369" hidden="1" x14ac:dyDescent="0.15"/>
    <row r="48370" hidden="1" x14ac:dyDescent="0.15"/>
    <row r="48371" hidden="1" x14ac:dyDescent="0.15"/>
    <row r="48372" hidden="1" x14ac:dyDescent="0.15"/>
    <row r="48373" hidden="1" x14ac:dyDescent="0.15"/>
    <row r="48374" hidden="1" x14ac:dyDescent="0.15"/>
    <row r="48375" hidden="1" x14ac:dyDescent="0.15"/>
    <row r="48376" hidden="1" x14ac:dyDescent="0.15"/>
    <row r="48377" hidden="1" x14ac:dyDescent="0.15"/>
    <row r="48378" hidden="1" x14ac:dyDescent="0.15"/>
    <row r="48379" hidden="1" x14ac:dyDescent="0.15"/>
    <row r="48380" hidden="1" x14ac:dyDescent="0.15"/>
    <row r="48381" hidden="1" x14ac:dyDescent="0.15"/>
    <row r="48382" hidden="1" x14ac:dyDescent="0.15"/>
    <row r="48383" hidden="1" x14ac:dyDescent="0.15"/>
    <row r="48384" hidden="1" x14ac:dyDescent="0.15"/>
    <row r="48385" hidden="1" x14ac:dyDescent="0.15"/>
    <row r="48386" hidden="1" x14ac:dyDescent="0.15"/>
    <row r="48387" hidden="1" x14ac:dyDescent="0.15"/>
    <row r="48388" hidden="1" x14ac:dyDescent="0.15"/>
    <row r="48389" hidden="1" x14ac:dyDescent="0.15"/>
    <row r="48390" hidden="1" x14ac:dyDescent="0.15"/>
    <row r="48391" hidden="1" x14ac:dyDescent="0.15"/>
    <row r="48392" hidden="1" x14ac:dyDescent="0.15"/>
    <row r="48393" hidden="1" x14ac:dyDescent="0.15"/>
    <row r="48394" hidden="1" x14ac:dyDescent="0.15"/>
    <row r="48395" hidden="1" x14ac:dyDescent="0.15"/>
    <row r="48396" hidden="1" x14ac:dyDescent="0.15"/>
    <row r="48397" hidden="1" x14ac:dyDescent="0.15"/>
    <row r="48398" hidden="1" x14ac:dyDescent="0.15"/>
    <row r="48399" hidden="1" x14ac:dyDescent="0.15"/>
    <row r="48400" hidden="1" x14ac:dyDescent="0.15"/>
    <row r="48401" hidden="1" x14ac:dyDescent="0.15"/>
    <row r="48402" hidden="1" x14ac:dyDescent="0.15"/>
    <row r="48403" hidden="1" x14ac:dyDescent="0.15"/>
    <row r="48404" hidden="1" x14ac:dyDescent="0.15"/>
    <row r="48405" hidden="1" x14ac:dyDescent="0.15"/>
    <row r="48406" hidden="1" x14ac:dyDescent="0.15"/>
    <row r="48407" hidden="1" x14ac:dyDescent="0.15"/>
    <row r="48408" hidden="1" x14ac:dyDescent="0.15"/>
    <row r="48409" hidden="1" x14ac:dyDescent="0.15"/>
    <row r="48410" hidden="1" x14ac:dyDescent="0.15"/>
    <row r="48411" hidden="1" x14ac:dyDescent="0.15"/>
    <row r="48412" hidden="1" x14ac:dyDescent="0.15"/>
    <row r="48413" hidden="1" x14ac:dyDescent="0.15"/>
    <row r="48414" hidden="1" x14ac:dyDescent="0.15"/>
    <row r="48415" hidden="1" x14ac:dyDescent="0.15"/>
    <row r="48416" hidden="1" x14ac:dyDescent="0.15"/>
    <row r="48417" hidden="1" x14ac:dyDescent="0.15"/>
    <row r="48418" hidden="1" x14ac:dyDescent="0.15"/>
    <row r="48419" hidden="1" x14ac:dyDescent="0.15"/>
    <row r="48420" hidden="1" x14ac:dyDescent="0.15"/>
    <row r="48421" hidden="1" x14ac:dyDescent="0.15"/>
    <row r="48422" hidden="1" x14ac:dyDescent="0.15"/>
    <row r="48423" hidden="1" x14ac:dyDescent="0.15"/>
    <row r="48424" hidden="1" x14ac:dyDescent="0.15"/>
    <row r="48425" hidden="1" x14ac:dyDescent="0.15"/>
    <row r="48426" hidden="1" x14ac:dyDescent="0.15"/>
    <row r="48427" hidden="1" x14ac:dyDescent="0.15"/>
    <row r="48428" hidden="1" x14ac:dyDescent="0.15"/>
    <row r="48429" hidden="1" x14ac:dyDescent="0.15"/>
    <row r="48430" hidden="1" x14ac:dyDescent="0.15"/>
    <row r="48431" hidden="1" x14ac:dyDescent="0.15"/>
    <row r="48432" hidden="1" x14ac:dyDescent="0.15"/>
    <row r="48433" hidden="1" x14ac:dyDescent="0.15"/>
    <row r="48434" hidden="1" x14ac:dyDescent="0.15"/>
    <row r="48435" hidden="1" x14ac:dyDescent="0.15"/>
    <row r="48436" hidden="1" x14ac:dyDescent="0.15"/>
    <row r="48437" hidden="1" x14ac:dyDescent="0.15"/>
    <row r="48438" hidden="1" x14ac:dyDescent="0.15"/>
    <row r="48439" hidden="1" x14ac:dyDescent="0.15"/>
    <row r="48440" hidden="1" x14ac:dyDescent="0.15"/>
    <row r="48441" hidden="1" x14ac:dyDescent="0.15"/>
    <row r="48442" hidden="1" x14ac:dyDescent="0.15"/>
    <row r="48443" hidden="1" x14ac:dyDescent="0.15"/>
    <row r="48444" hidden="1" x14ac:dyDescent="0.15"/>
    <row r="48445" hidden="1" x14ac:dyDescent="0.15"/>
    <row r="48446" hidden="1" x14ac:dyDescent="0.15"/>
    <row r="48447" hidden="1" x14ac:dyDescent="0.15"/>
    <row r="48448" hidden="1" x14ac:dyDescent="0.15"/>
    <row r="48449" hidden="1" x14ac:dyDescent="0.15"/>
    <row r="48450" hidden="1" x14ac:dyDescent="0.15"/>
    <row r="48451" hidden="1" x14ac:dyDescent="0.15"/>
    <row r="48452" hidden="1" x14ac:dyDescent="0.15"/>
    <row r="48453" hidden="1" x14ac:dyDescent="0.15"/>
    <row r="48454" hidden="1" x14ac:dyDescent="0.15"/>
    <row r="48455" hidden="1" x14ac:dyDescent="0.15"/>
    <row r="48456" hidden="1" x14ac:dyDescent="0.15"/>
    <row r="48457" hidden="1" x14ac:dyDescent="0.15"/>
    <row r="48458" hidden="1" x14ac:dyDescent="0.15"/>
    <row r="48459" hidden="1" x14ac:dyDescent="0.15"/>
    <row r="48460" hidden="1" x14ac:dyDescent="0.15"/>
    <row r="48461" hidden="1" x14ac:dyDescent="0.15"/>
    <row r="48462" hidden="1" x14ac:dyDescent="0.15"/>
    <row r="48463" hidden="1" x14ac:dyDescent="0.15"/>
    <row r="48464" hidden="1" x14ac:dyDescent="0.15"/>
    <row r="48465" hidden="1" x14ac:dyDescent="0.15"/>
    <row r="48466" hidden="1" x14ac:dyDescent="0.15"/>
    <row r="48467" hidden="1" x14ac:dyDescent="0.15"/>
    <row r="48468" hidden="1" x14ac:dyDescent="0.15"/>
    <row r="48469" hidden="1" x14ac:dyDescent="0.15"/>
    <row r="48470" hidden="1" x14ac:dyDescent="0.15"/>
    <row r="48471" hidden="1" x14ac:dyDescent="0.15"/>
    <row r="48472" hidden="1" x14ac:dyDescent="0.15"/>
    <row r="48473" hidden="1" x14ac:dyDescent="0.15"/>
    <row r="48474" hidden="1" x14ac:dyDescent="0.15"/>
    <row r="48475" hidden="1" x14ac:dyDescent="0.15"/>
    <row r="48476" hidden="1" x14ac:dyDescent="0.15"/>
    <row r="48477" hidden="1" x14ac:dyDescent="0.15"/>
    <row r="48478" hidden="1" x14ac:dyDescent="0.15"/>
    <row r="48479" hidden="1" x14ac:dyDescent="0.15"/>
    <row r="48480" hidden="1" x14ac:dyDescent="0.15"/>
    <row r="48481" hidden="1" x14ac:dyDescent="0.15"/>
    <row r="48482" hidden="1" x14ac:dyDescent="0.15"/>
    <row r="48483" hidden="1" x14ac:dyDescent="0.15"/>
    <row r="48484" hidden="1" x14ac:dyDescent="0.15"/>
    <row r="48485" hidden="1" x14ac:dyDescent="0.15"/>
    <row r="48486" hidden="1" x14ac:dyDescent="0.15"/>
    <row r="48487" hidden="1" x14ac:dyDescent="0.15"/>
    <row r="48488" hidden="1" x14ac:dyDescent="0.15"/>
    <row r="48489" hidden="1" x14ac:dyDescent="0.15"/>
    <row r="48490" hidden="1" x14ac:dyDescent="0.15"/>
    <row r="48491" hidden="1" x14ac:dyDescent="0.15"/>
    <row r="48492" hidden="1" x14ac:dyDescent="0.15"/>
    <row r="48493" hidden="1" x14ac:dyDescent="0.15"/>
    <row r="48494" hidden="1" x14ac:dyDescent="0.15"/>
    <row r="48495" hidden="1" x14ac:dyDescent="0.15"/>
    <row r="48496" hidden="1" x14ac:dyDescent="0.15"/>
    <row r="48497" hidden="1" x14ac:dyDescent="0.15"/>
    <row r="48498" hidden="1" x14ac:dyDescent="0.15"/>
    <row r="48499" hidden="1" x14ac:dyDescent="0.15"/>
    <row r="48500" hidden="1" x14ac:dyDescent="0.15"/>
    <row r="48501" hidden="1" x14ac:dyDescent="0.15"/>
    <row r="48502" hidden="1" x14ac:dyDescent="0.15"/>
    <row r="48503" hidden="1" x14ac:dyDescent="0.15"/>
    <row r="48504" hidden="1" x14ac:dyDescent="0.15"/>
    <row r="48505" hidden="1" x14ac:dyDescent="0.15"/>
    <row r="48506" hidden="1" x14ac:dyDescent="0.15"/>
    <row r="48507" hidden="1" x14ac:dyDescent="0.15"/>
    <row r="48508" hidden="1" x14ac:dyDescent="0.15"/>
    <row r="48509" hidden="1" x14ac:dyDescent="0.15"/>
    <row r="48510" hidden="1" x14ac:dyDescent="0.15"/>
    <row r="48511" hidden="1" x14ac:dyDescent="0.15"/>
    <row r="48512" hidden="1" x14ac:dyDescent="0.15"/>
    <row r="48513" hidden="1" x14ac:dyDescent="0.15"/>
    <row r="48514" hidden="1" x14ac:dyDescent="0.15"/>
    <row r="48515" hidden="1" x14ac:dyDescent="0.15"/>
    <row r="48516" hidden="1" x14ac:dyDescent="0.15"/>
    <row r="48517" hidden="1" x14ac:dyDescent="0.15"/>
    <row r="48518" hidden="1" x14ac:dyDescent="0.15"/>
    <row r="48519" hidden="1" x14ac:dyDescent="0.15"/>
    <row r="48520" hidden="1" x14ac:dyDescent="0.15"/>
    <row r="48521" hidden="1" x14ac:dyDescent="0.15"/>
    <row r="48522" hidden="1" x14ac:dyDescent="0.15"/>
    <row r="48523" hidden="1" x14ac:dyDescent="0.15"/>
    <row r="48524" hidden="1" x14ac:dyDescent="0.15"/>
    <row r="48525" hidden="1" x14ac:dyDescent="0.15"/>
    <row r="48526" hidden="1" x14ac:dyDescent="0.15"/>
    <row r="48527" hidden="1" x14ac:dyDescent="0.15"/>
    <row r="48528" hidden="1" x14ac:dyDescent="0.15"/>
    <row r="48529" hidden="1" x14ac:dyDescent="0.15"/>
    <row r="48530" hidden="1" x14ac:dyDescent="0.15"/>
    <row r="48531" hidden="1" x14ac:dyDescent="0.15"/>
    <row r="48532" hidden="1" x14ac:dyDescent="0.15"/>
    <row r="48533" hidden="1" x14ac:dyDescent="0.15"/>
    <row r="48534" hidden="1" x14ac:dyDescent="0.15"/>
    <row r="48535" hidden="1" x14ac:dyDescent="0.15"/>
    <row r="48536" hidden="1" x14ac:dyDescent="0.15"/>
    <row r="48537" hidden="1" x14ac:dyDescent="0.15"/>
    <row r="48538" hidden="1" x14ac:dyDescent="0.15"/>
    <row r="48539" hidden="1" x14ac:dyDescent="0.15"/>
    <row r="48540" hidden="1" x14ac:dyDescent="0.15"/>
    <row r="48541" hidden="1" x14ac:dyDescent="0.15"/>
    <row r="48542" hidden="1" x14ac:dyDescent="0.15"/>
    <row r="48543" hidden="1" x14ac:dyDescent="0.15"/>
    <row r="48544" hidden="1" x14ac:dyDescent="0.15"/>
    <row r="48545" hidden="1" x14ac:dyDescent="0.15"/>
    <row r="48546" hidden="1" x14ac:dyDescent="0.15"/>
    <row r="48547" hidden="1" x14ac:dyDescent="0.15"/>
    <row r="48548" hidden="1" x14ac:dyDescent="0.15"/>
    <row r="48549" hidden="1" x14ac:dyDescent="0.15"/>
    <row r="48550" hidden="1" x14ac:dyDescent="0.15"/>
    <row r="48551" hidden="1" x14ac:dyDescent="0.15"/>
    <row r="48552" hidden="1" x14ac:dyDescent="0.15"/>
    <row r="48553" hidden="1" x14ac:dyDescent="0.15"/>
    <row r="48554" hidden="1" x14ac:dyDescent="0.15"/>
    <row r="48555" hidden="1" x14ac:dyDescent="0.15"/>
    <row r="48556" hidden="1" x14ac:dyDescent="0.15"/>
    <row r="48557" hidden="1" x14ac:dyDescent="0.15"/>
    <row r="48558" hidden="1" x14ac:dyDescent="0.15"/>
    <row r="48559" hidden="1" x14ac:dyDescent="0.15"/>
    <row r="48560" hidden="1" x14ac:dyDescent="0.15"/>
    <row r="48561" hidden="1" x14ac:dyDescent="0.15"/>
    <row r="48562" hidden="1" x14ac:dyDescent="0.15"/>
    <row r="48563" hidden="1" x14ac:dyDescent="0.15"/>
    <row r="48564" hidden="1" x14ac:dyDescent="0.15"/>
    <row r="48565" hidden="1" x14ac:dyDescent="0.15"/>
    <row r="48566" hidden="1" x14ac:dyDescent="0.15"/>
    <row r="48567" hidden="1" x14ac:dyDescent="0.15"/>
    <row r="48568" hidden="1" x14ac:dyDescent="0.15"/>
    <row r="48569" hidden="1" x14ac:dyDescent="0.15"/>
    <row r="48570" hidden="1" x14ac:dyDescent="0.15"/>
    <row r="48571" hidden="1" x14ac:dyDescent="0.15"/>
    <row r="48572" hidden="1" x14ac:dyDescent="0.15"/>
    <row r="48573" hidden="1" x14ac:dyDescent="0.15"/>
    <row r="48574" hidden="1" x14ac:dyDescent="0.15"/>
    <row r="48575" hidden="1" x14ac:dyDescent="0.15"/>
    <row r="48576" hidden="1" x14ac:dyDescent="0.15"/>
    <row r="48577" hidden="1" x14ac:dyDescent="0.15"/>
    <row r="48578" hidden="1" x14ac:dyDescent="0.15"/>
    <row r="48579" hidden="1" x14ac:dyDescent="0.15"/>
    <row r="48580" hidden="1" x14ac:dyDescent="0.15"/>
    <row r="48581" hidden="1" x14ac:dyDescent="0.15"/>
    <row r="48582" hidden="1" x14ac:dyDescent="0.15"/>
    <row r="48583" hidden="1" x14ac:dyDescent="0.15"/>
    <row r="48584" hidden="1" x14ac:dyDescent="0.15"/>
    <row r="48585" hidden="1" x14ac:dyDescent="0.15"/>
    <row r="48586" hidden="1" x14ac:dyDescent="0.15"/>
    <row r="48587" hidden="1" x14ac:dyDescent="0.15"/>
    <row r="48588" hidden="1" x14ac:dyDescent="0.15"/>
    <row r="48589" hidden="1" x14ac:dyDescent="0.15"/>
    <row r="48590" hidden="1" x14ac:dyDescent="0.15"/>
    <row r="48591" hidden="1" x14ac:dyDescent="0.15"/>
    <row r="48592" hidden="1" x14ac:dyDescent="0.15"/>
    <row r="48593" hidden="1" x14ac:dyDescent="0.15"/>
    <row r="48594" hidden="1" x14ac:dyDescent="0.15"/>
    <row r="48595" hidden="1" x14ac:dyDescent="0.15"/>
    <row r="48596" hidden="1" x14ac:dyDescent="0.15"/>
    <row r="48597" hidden="1" x14ac:dyDescent="0.15"/>
    <row r="48598" hidden="1" x14ac:dyDescent="0.15"/>
    <row r="48599" hidden="1" x14ac:dyDescent="0.15"/>
    <row r="48600" hidden="1" x14ac:dyDescent="0.15"/>
    <row r="48601" hidden="1" x14ac:dyDescent="0.15"/>
    <row r="48602" hidden="1" x14ac:dyDescent="0.15"/>
    <row r="48603" hidden="1" x14ac:dyDescent="0.15"/>
    <row r="48604" hidden="1" x14ac:dyDescent="0.15"/>
    <row r="48605" hidden="1" x14ac:dyDescent="0.15"/>
    <row r="48606" hidden="1" x14ac:dyDescent="0.15"/>
    <row r="48607" hidden="1" x14ac:dyDescent="0.15"/>
    <row r="48608" hidden="1" x14ac:dyDescent="0.15"/>
    <row r="48609" hidden="1" x14ac:dyDescent="0.15"/>
    <row r="48610" hidden="1" x14ac:dyDescent="0.15"/>
    <row r="48611" hidden="1" x14ac:dyDescent="0.15"/>
    <row r="48612" hidden="1" x14ac:dyDescent="0.15"/>
    <row r="48613" hidden="1" x14ac:dyDescent="0.15"/>
    <row r="48614" hidden="1" x14ac:dyDescent="0.15"/>
    <row r="48615" hidden="1" x14ac:dyDescent="0.15"/>
    <row r="48616" hidden="1" x14ac:dyDescent="0.15"/>
    <row r="48617" hidden="1" x14ac:dyDescent="0.15"/>
    <row r="48618" hidden="1" x14ac:dyDescent="0.15"/>
    <row r="48619" hidden="1" x14ac:dyDescent="0.15"/>
    <row r="48620" hidden="1" x14ac:dyDescent="0.15"/>
    <row r="48621" hidden="1" x14ac:dyDescent="0.15"/>
    <row r="48622" hidden="1" x14ac:dyDescent="0.15"/>
    <row r="48623" hidden="1" x14ac:dyDescent="0.15"/>
    <row r="48624" hidden="1" x14ac:dyDescent="0.15"/>
    <row r="48625" hidden="1" x14ac:dyDescent="0.15"/>
    <row r="48626" hidden="1" x14ac:dyDescent="0.15"/>
    <row r="48627" hidden="1" x14ac:dyDescent="0.15"/>
    <row r="48628" hidden="1" x14ac:dyDescent="0.15"/>
    <row r="48629" hidden="1" x14ac:dyDescent="0.15"/>
    <row r="48630" hidden="1" x14ac:dyDescent="0.15"/>
    <row r="48631" hidden="1" x14ac:dyDescent="0.15"/>
    <row r="48632" hidden="1" x14ac:dyDescent="0.15"/>
    <row r="48633" hidden="1" x14ac:dyDescent="0.15"/>
    <row r="48634" hidden="1" x14ac:dyDescent="0.15"/>
    <row r="48635" hidden="1" x14ac:dyDescent="0.15"/>
    <row r="48636" hidden="1" x14ac:dyDescent="0.15"/>
    <row r="48637" hidden="1" x14ac:dyDescent="0.15"/>
    <row r="48638" hidden="1" x14ac:dyDescent="0.15"/>
    <row r="48639" hidden="1" x14ac:dyDescent="0.15"/>
    <row r="48640" hidden="1" x14ac:dyDescent="0.15"/>
    <row r="48641" hidden="1" x14ac:dyDescent="0.15"/>
    <row r="48642" hidden="1" x14ac:dyDescent="0.15"/>
    <row r="48643" hidden="1" x14ac:dyDescent="0.15"/>
    <row r="48644" hidden="1" x14ac:dyDescent="0.15"/>
    <row r="48645" hidden="1" x14ac:dyDescent="0.15"/>
    <row r="48646" hidden="1" x14ac:dyDescent="0.15"/>
    <row r="48647" hidden="1" x14ac:dyDescent="0.15"/>
    <row r="48648" hidden="1" x14ac:dyDescent="0.15"/>
    <row r="48649" hidden="1" x14ac:dyDescent="0.15"/>
    <row r="48650" hidden="1" x14ac:dyDescent="0.15"/>
    <row r="48651" hidden="1" x14ac:dyDescent="0.15"/>
    <row r="48652" hidden="1" x14ac:dyDescent="0.15"/>
    <row r="48653" hidden="1" x14ac:dyDescent="0.15"/>
    <row r="48654" hidden="1" x14ac:dyDescent="0.15"/>
    <row r="48655" hidden="1" x14ac:dyDescent="0.15"/>
    <row r="48656" hidden="1" x14ac:dyDescent="0.15"/>
    <row r="48657" hidden="1" x14ac:dyDescent="0.15"/>
    <row r="48658" hidden="1" x14ac:dyDescent="0.15"/>
    <row r="48659" hidden="1" x14ac:dyDescent="0.15"/>
    <row r="48660" hidden="1" x14ac:dyDescent="0.15"/>
    <row r="48661" hidden="1" x14ac:dyDescent="0.15"/>
    <row r="48662" hidden="1" x14ac:dyDescent="0.15"/>
    <row r="48663" hidden="1" x14ac:dyDescent="0.15"/>
    <row r="48664" hidden="1" x14ac:dyDescent="0.15"/>
    <row r="48665" hidden="1" x14ac:dyDescent="0.15"/>
    <row r="48666" hidden="1" x14ac:dyDescent="0.15"/>
    <row r="48667" hidden="1" x14ac:dyDescent="0.15"/>
    <row r="48668" hidden="1" x14ac:dyDescent="0.15"/>
    <row r="48669" hidden="1" x14ac:dyDescent="0.15"/>
    <row r="48670" hidden="1" x14ac:dyDescent="0.15"/>
    <row r="48671" hidden="1" x14ac:dyDescent="0.15"/>
    <row r="48672" hidden="1" x14ac:dyDescent="0.15"/>
    <row r="48673" hidden="1" x14ac:dyDescent="0.15"/>
    <row r="48674" hidden="1" x14ac:dyDescent="0.15"/>
    <row r="48675" hidden="1" x14ac:dyDescent="0.15"/>
    <row r="48676" hidden="1" x14ac:dyDescent="0.15"/>
    <row r="48677" hidden="1" x14ac:dyDescent="0.15"/>
    <row r="48678" hidden="1" x14ac:dyDescent="0.15"/>
    <row r="48679" hidden="1" x14ac:dyDescent="0.15"/>
    <row r="48680" hidden="1" x14ac:dyDescent="0.15"/>
    <row r="48681" hidden="1" x14ac:dyDescent="0.15"/>
    <row r="48682" hidden="1" x14ac:dyDescent="0.15"/>
    <row r="48683" hidden="1" x14ac:dyDescent="0.15"/>
    <row r="48684" hidden="1" x14ac:dyDescent="0.15"/>
    <row r="48685" hidden="1" x14ac:dyDescent="0.15"/>
    <row r="48686" hidden="1" x14ac:dyDescent="0.15"/>
    <row r="48687" hidden="1" x14ac:dyDescent="0.15"/>
    <row r="48688" hidden="1" x14ac:dyDescent="0.15"/>
    <row r="48689" hidden="1" x14ac:dyDescent="0.15"/>
    <row r="48690" hidden="1" x14ac:dyDescent="0.15"/>
    <row r="48691" hidden="1" x14ac:dyDescent="0.15"/>
    <row r="48692" hidden="1" x14ac:dyDescent="0.15"/>
    <row r="48693" hidden="1" x14ac:dyDescent="0.15"/>
    <row r="48694" hidden="1" x14ac:dyDescent="0.15"/>
    <row r="48695" hidden="1" x14ac:dyDescent="0.15"/>
    <row r="48696" hidden="1" x14ac:dyDescent="0.15"/>
    <row r="48697" hidden="1" x14ac:dyDescent="0.15"/>
    <row r="48698" hidden="1" x14ac:dyDescent="0.15"/>
    <row r="48699" hidden="1" x14ac:dyDescent="0.15"/>
    <row r="48700" hidden="1" x14ac:dyDescent="0.15"/>
    <row r="48701" hidden="1" x14ac:dyDescent="0.15"/>
    <row r="48702" hidden="1" x14ac:dyDescent="0.15"/>
    <row r="48703" hidden="1" x14ac:dyDescent="0.15"/>
    <row r="48704" hidden="1" x14ac:dyDescent="0.15"/>
    <row r="48705" hidden="1" x14ac:dyDescent="0.15"/>
    <row r="48706" hidden="1" x14ac:dyDescent="0.15"/>
    <row r="48707" hidden="1" x14ac:dyDescent="0.15"/>
    <row r="48708" hidden="1" x14ac:dyDescent="0.15"/>
    <row r="48709" hidden="1" x14ac:dyDescent="0.15"/>
    <row r="48710" hidden="1" x14ac:dyDescent="0.15"/>
    <row r="48711" hidden="1" x14ac:dyDescent="0.15"/>
    <row r="48712" hidden="1" x14ac:dyDescent="0.15"/>
    <row r="48713" hidden="1" x14ac:dyDescent="0.15"/>
    <row r="48714" hidden="1" x14ac:dyDescent="0.15"/>
    <row r="48715" hidden="1" x14ac:dyDescent="0.15"/>
    <row r="48716" hidden="1" x14ac:dyDescent="0.15"/>
    <row r="48717" hidden="1" x14ac:dyDescent="0.15"/>
    <row r="48718" hidden="1" x14ac:dyDescent="0.15"/>
    <row r="48719" hidden="1" x14ac:dyDescent="0.15"/>
    <row r="48720" hidden="1" x14ac:dyDescent="0.15"/>
    <row r="48721" hidden="1" x14ac:dyDescent="0.15"/>
    <row r="48722" hidden="1" x14ac:dyDescent="0.15"/>
    <row r="48723" hidden="1" x14ac:dyDescent="0.15"/>
    <row r="48724" hidden="1" x14ac:dyDescent="0.15"/>
    <row r="48725" hidden="1" x14ac:dyDescent="0.15"/>
    <row r="48726" hidden="1" x14ac:dyDescent="0.15"/>
    <row r="48727" hidden="1" x14ac:dyDescent="0.15"/>
    <row r="48728" hidden="1" x14ac:dyDescent="0.15"/>
    <row r="48729" hidden="1" x14ac:dyDescent="0.15"/>
    <row r="48730" hidden="1" x14ac:dyDescent="0.15"/>
    <row r="48731" hidden="1" x14ac:dyDescent="0.15"/>
    <row r="48732" hidden="1" x14ac:dyDescent="0.15"/>
    <row r="48733" hidden="1" x14ac:dyDescent="0.15"/>
    <row r="48734" hidden="1" x14ac:dyDescent="0.15"/>
    <row r="48735" hidden="1" x14ac:dyDescent="0.15"/>
    <row r="48736" hidden="1" x14ac:dyDescent="0.15"/>
    <row r="48737" hidden="1" x14ac:dyDescent="0.15"/>
    <row r="48738" hidden="1" x14ac:dyDescent="0.15"/>
    <row r="48739" hidden="1" x14ac:dyDescent="0.15"/>
    <row r="48740" hidden="1" x14ac:dyDescent="0.15"/>
    <row r="48741" hidden="1" x14ac:dyDescent="0.15"/>
    <row r="48742" hidden="1" x14ac:dyDescent="0.15"/>
    <row r="48743" hidden="1" x14ac:dyDescent="0.15"/>
    <row r="48744" hidden="1" x14ac:dyDescent="0.15"/>
    <row r="48745" hidden="1" x14ac:dyDescent="0.15"/>
    <row r="48746" hidden="1" x14ac:dyDescent="0.15"/>
    <row r="48747" hidden="1" x14ac:dyDescent="0.15"/>
    <row r="48748" hidden="1" x14ac:dyDescent="0.15"/>
    <row r="48749" hidden="1" x14ac:dyDescent="0.15"/>
    <row r="48750" hidden="1" x14ac:dyDescent="0.15"/>
    <row r="48751" hidden="1" x14ac:dyDescent="0.15"/>
    <row r="48752" hidden="1" x14ac:dyDescent="0.15"/>
    <row r="48753" hidden="1" x14ac:dyDescent="0.15"/>
    <row r="48754" hidden="1" x14ac:dyDescent="0.15"/>
    <row r="48755" hidden="1" x14ac:dyDescent="0.15"/>
    <row r="48756" hidden="1" x14ac:dyDescent="0.15"/>
    <row r="48757" hidden="1" x14ac:dyDescent="0.15"/>
    <row r="48758" hidden="1" x14ac:dyDescent="0.15"/>
    <row r="48759" hidden="1" x14ac:dyDescent="0.15"/>
    <row r="48760" hidden="1" x14ac:dyDescent="0.15"/>
    <row r="48761" hidden="1" x14ac:dyDescent="0.15"/>
    <row r="48762" hidden="1" x14ac:dyDescent="0.15"/>
    <row r="48763" hidden="1" x14ac:dyDescent="0.15"/>
    <row r="48764" hidden="1" x14ac:dyDescent="0.15"/>
    <row r="48765" hidden="1" x14ac:dyDescent="0.15"/>
    <row r="48766" hidden="1" x14ac:dyDescent="0.15"/>
    <row r="48767" hidden="1" x14ac:dyDescent="0.15"/>
    <row r="48768" hidden="1" x14ac:dyDescent="0.15"/>
    <row r="48769" hidden="1" x14ac:dyDescent="0.15"/>
    <row r="48770" hidden="1" x14ac:dyDescent="0.15"/>
    <row r="48771" hidden="1" x14ac:dyDescent="0.15"/>
    <row r="48772" hidden="1" x14ac:dyDescent="0.15"/>
    <row r="48773" hidden="1" x14ac:dyDescent="0.15"/>
    <row r="48774" hidden="1" x14ac:dyDescent="0.15"/>
    <row r="48775" hidden="1" x14ac:dyDescent="0.15"/>
    <row r="48776" hidden="1" x14ac:dyDescent="0.15"/>
    <row r="48777" hidden="1" x14ac:dyDescent="0.15"/>
    <row r="48778" hidden="1" x14ac:dyDescent="0.15"/>
    <row r="48779" hidden="1" x14ac:dyDescent="0.15"/>
    <row r="48780" hidden="1" x14ac:dyDescent="0.15"/>
    <row r="48781" hidden="1" x14ac:dyDescent="0.15"/>
    <row r="48782" hidden="1" x14ac:dyDescent="0.15"/>
    <row r="48783" hidden="1" x14ac:dyDescent="0.15"/>
    <row r="48784" hidden="1" x14ac:dyDescent="0.15"/>
    <row r="48785" hidden="1" x14ac:dyDescent="0.15"/>
    <row r="48786" hidden="1" x14ac:dyDescent="0.15"/>
    <row r="48787" hidden="1" x14ac:dyDescent="0.15"/>
    <row r="48788" hidden="1" x14ac:dyDescent="0.15"/>
    <row r="48789" hidden="1" x14ac:dyDescent="0.15"/>
    <row r="48790" hidden="1" x14ac:dyDescent="0.15"/>
    <row r="48791" hidden="1" x14ac:dyDescent="0.15"/>
    <row r="48792" hidden="1" x14ac:dyDescent="0.15"/>
    <row r="48793" hidden="1" x14ac:dyDescent="0.15"/>
    <row r="48794" hidden="1" x14ac:dyDescent="0.15"/>
    <row r="48795" hidden="1" x14ac:dyDescent="0.15"/>
    <row r="48796" hidden="1" x14ac:dyDescent="0.15"/>
    <row r="48797" hidden="1" x14ac:dyDescent="0.15"/>
    <row r="48798" hidden="1" x14ac:dyDescent="0.15"/>
    <row r="48799" hidden="1" x14ac:dyDescent="0.15"/>
    <row r="48800" hidden="1" x14ac:dyDescent="0.15"/>
    <row r="48801" hidden="1" x14ac:dyDescent="0.15"/>
    <row r="48802" hidden="1" x14ac:dyDescent="0.15"/>
    <row r="48803" hidden="1" x14ac:dyDescent="0.15"/>
    <row r="48804" hidden="1" x14ac:dyDescent="0.15"/>
    <row r="48805" hidden="1" x14ac:dyDescent="0.15"/>
    <row r="48806" hidden="1" x14ac:dyDescent="0.15"/>
    <row r="48807" hidden="1" x14ac:dyDescent="0.15"/>
    <row r="48808" hidden="1" x14ac:dyDescent="0.15"/>
    <row r="48809" hidden="1" x14ac:dyDescent="0.15"/>
    <row r="48810" hidden="1" x14ac:dyDescent="0.15"/>
    <row r="48811" hidden="1" x14ac:dyDescent="0.15"/>
    <row r="48812" hidden="1" x14ac:dyDescent="0.15"/>
    <row r="48813" hidden="1" x14ac:dyDescent="0.15"/>
    <row r="48814" hidden="1" x14ac:dyDescent="0.15"/>
    <row r="48815" hidden="1" x14ac:dyDescent="0.15"/>
    <row r="48816" hidden="1" x14ac:dyDescent="0.15"/>
    <row r="48817" hidden="1" x14ac:dyDescent="0.15"/>
    <row r="48818" hidden="1" x14ac:dyDescent="0.15"/>
    <row r="48819" hidden="1" x14ac:dyDescent="0.15"/>
    <row r="48820" hidden="1" x14ac:dyDescent="0.15"/>
    <row r="48821" hidden="1" x14ac:dyDescent="0.15"/>
    <row r="48822" hidden="1" x14ac:dyDescent="0.15"/>
    <row r="48823" hidden="1" x14ac:dyDescent="0.15"/>
    <row r="48824" hidden="1" x14ac:dyDescent="0.15"/>
    <row r="48825" hidden="1" x14ac:dyDescent="0.15"/>
    <row r="48826" hidden="1" x14ac:dyDescent="0.15"/>
    <row r="48827" hidden="1" x14ac:dyDescent="0.15"/>
    <row r="48828" hidden="1" x14ac:dyDescent="0.15"/>
    <row r="48829" hidden="1" x14ac:dyDescent="0.15"/>
    <row r="48830" hidden="1" x14ac:dyDescent="0.15"/>
    <row r="48831" hidden="1" x14ac:dyDescent="0.15"/>
    <row r="48832" hidden="1" x14ac:dyDescent="0.15"/>
    <row r="48833" hidden="1" x14ac:dyDescent="0.15"/>
    <row r="48834" hidden="1" x14ac:dyDescent="0.15"/>
    <row r="48835" hidden="1" x14ac:dyDescent="0.15"/>
    <row r="48836" hidden="1" x14ac:dyDescent="0.15"/>
    <row r="48837" hidden="1" x14ac:dyDescent="0.15"/>
    <row r="48838" hidden="1" x14ac:dyDescent="0.15"/>
    <row r="48839" hidden="1" x14ac:dyDescent="0.15"/>
    <row r="48840" hidden="1" x14ac:dyDescent="0.15"/>
    <row r="48841" hidden="1" x14ac:dyDescent="0.15"/>
    <row r="48842" hidden="1" x14ac:dyDescent="0.15"/>
    <row r="48843" hidden="1" x14ac:dyDescent="0.15"/>
    <row r="48844" hidden="1" x14ac:dyDescent="0.15"/>
    <row r="48845" hidden="1" x14ac:dyDescent="0.15"/>
    <row r="48846" hidden="1" x14ac:dyDescent="0.15"/>
    <row r="48847" hidden="1" x14ac:dyDescent="0.15"/>
    <row r="48848" hidden="1" x14ac:dyDescent="0.15"/>
    <row r="48849" hidden="1" x14ac:dyDescent="0.15"/>
    <row r="48850" hidden="1" x14ac:dyDescent="0.15"/>
    <row r="48851" hidden="1" x14ac:dyDescent="0.15"/>
    <row r="48852" hidden="1" x14ac:dyDescent="0.15"/>
    <row r="48853" hidden="1" x14ac:dyDescent="0.15"/>
    <row r="48854" hidden="1" x14ac:dyDescent="0.15"/>
    <row r="48855" hidden="1" x14ac:dyDescent="0.15"/>
    <row r="48856" hidden="1" x14ac:dyDescent="0.15"/>
    <row r="48857" hidden="1" x14ac:dyDescent="0.15"/>
    <row r="48858" hidden="1" x14ac:dyDescent="0.15"/>
    <row r="48859" hidden="1" x14ac:dyDescent="0.15"/>
    <row r="48860" hidden="1" x14ac:dyDescent="0.15"/>
    <row r="48861" hidden="1" x14ac:dyDescent="0.15"/>
    <row r="48862" hidden="1" x14ac:dyDescent="0.15"/>
    <row r="48863" hidden="1" x14ac:dyDescent="0.15"/>
    <row r="48864" hidden="1" x14ac:dyDescent="0.15"/>
    <row r="48865" hidden="1" x14ac:dyDescent="0.15"/>
    <row r="48866" hidden="1" x14ac:dyDescent="0.15"/>
    <row r="48867" hidden="1" x14ac:dyDescent="0.15"/>
    <row r="48868" hidden="1" x14ac:dyDescent="0.15"/>
    <row r="48869" hidden="1" x14ac:dyDescent="0.15"/>
    <row r="48870" hidden="1" x14ac:dyDescent="0.15"/>
    <row r="48871" hidden="1" x14ac:dyDescent="0.15"/>
    <row r="48872" hidden="1" x14ac:dyDescent="0.15"/>
    <row r="48873" hidden="1" x14ac:dyDescent="0.15"/>
    <row r="48874" hidden="1" x14ac:dyDescent="0.15"/>
    <row r="48875" hidden="1" x14ac:dyDescent="0.15"/>
    <row r="48876" hidden="1" x14ac:dyDescent="0.15"/>
    <row r="48877" hidden="1" x14ac:dyDescent="0.15"/>
    <row r="48878" hidden="1" x14ac:dyDescent="0.15"/>
    <row r="48879" hidden="1" x14ac:dyDescent="0.15"/>
    <row r="48880" hidden="1" x14ac:dyDescent="0.15"/>
    <row r="48881" hidden="1" x14ac:dyDescent="0.15"/>
    <row r="48882" hidden="1" x14ac:dyDescent="0.15"/>
    <row r="48883" hidden="1" x14ac:dyDescent="0.15"/>
    <row r="48884" hidden="1" x14ac:dyDescent="0.15"/>
    <row r="48885" hidden="1" x14ac:dyDescent="0.15"/>
    <row r="48886" hidden="1" x14ac:dyDescent="0.15"/>
    <row r="48887" hidden="1" x14ac:dyDescent="0.15"/>
    <row r="48888" hidden="1" x14ac:dyDescent="0.15"/>
    <row r="48889" hidden="1" x14ac:dyDescent="0.15"/>
    <row r="48890" hidden="1" x14ac:dyDescent="0.15"/>
    <row r="48891" hidden="1" x14ac:dyDescent="0.15"/>
    <row r="48892" hidden="1" x14ac:dyDescent="0.15"/>
    <row r="48893" hidden="1" x14ac:dyDescent="0.15"/>
    <row r="48894" hidden="1" x14ac:dyDescent="0.15"/>
    <row r="48895" hidden="1" x14ac:dyDescent="0.15"/>
    <row r="48896" hidden="1" x14ac:dyDescent="0.15"/>
    <row r="48897" hidden="1" x14ac:dyDescent="0.15"/>
    <row r="48898" hidden="1" x14ac:dyDescent="0.15"/>
    <row r="48899" hidden="1" x14ac:dyDescent="0.15"/>
    <row r="48900" hidden="1" x14ac:dyDescent="0.15"/>
    <row r="48901" hidden="1" x14ac:dyDescent="0.15"/>
    <row r="48902" hidden="1" x14ac:dyDescent="0.15"/>
    <row r="48903" hidden="1" x14ac:dyDescent="0.15"/>
    <row r="48904" hidden="1" x14ac:dyDescent="0.15"/>
    <row r="48905" hidden="1" x14ac:dyDescent="0.15"/>
    <row r="48906" hidden="1" x14ac:dyDescent="0.15"/>
    <row r="48907" hidden="1" x14ac:dyDescent="0.15"/>
    <row r="48908" hidden="1" x14ac:dyDescent="0.15"/>
    <row r="48909" hidden="1" x14ac:dyDescent="0.15"/>
    <row r="48910" hidden="1" x14ac:dyDescent="0.15"/>
    <row r="48911" hidden="1" x14ac:dyDescent="0.15"/>
    <row r="48912" hidden="1" x14ac:dyDescent="0.15"/>
    <row r="48913" hidden="1" x14ac:dyDescent="0.15"/>
    <row r="48914" hidden="1" x14ac:dyDescent="0.15"/>
    <row r="48915" hidden="1" x14ac:dyDescent="0.15"/>
    <row r="48916" hidden="1" x14ac:dyDescent="0.15"/>
    <row r="48917" hidden="1" x14ac:dyDescent="0.15"/>
    <row r="48918" hidden="1" x14ac:dyDescent="0.15"/>
    <row r="48919" hidden="1" x14ac:dyDescent="0.15"/>
    <row r="48920" hidden="1" x14ac:dyDescent="0.15"/>
    <row r="48921" hidden="1" x14ac:dyDescent="0.15"/>
    <row r="48922" hidden="1" x14ac:dyDescent="0.15"/>
    <row r="48923" hidden="1" x14ac:dyDescent="0.15"/>
    <row r="48924" hidden="1" x14ac:dyDescent="0.15"/>
    <row r="48925" hidden="1" x14ac:dyDescent="0.15"/>
    <row r="48926" hidden="1" x14ac:dyDescent="0.15"/>
    <row r="48927" hidden="1" x14ac:dyDescent="0.15"/>
    <row r="48928" hidden="1" x14ac:dyDescent="0.15"/>
    <row r="48929" hidden="1" x14ac:dyDescent="0.15"/>
    <row r="48930" hidden="1" x14ac:dyDescent="0.15"/>
    <row r="48931" hidden="1" x14ac:dyDescent="0.15"/>
    <row r="48932" hidden="1" x14ac:dyDescent="0.15"/>
    <row r="48933" hidden="1" x14ac:dyDescent="0.15"/>
    <row r="48934" hidden="1" x14ac:dyDescent="0.15"/>
    <row r="48935" hidden="1" x14ac:dyDescent="0.15"/>
    <row r="48936" hidden="1" x14ac:dyDescent="0.15"/>
    <row r="48937" hidden="1" x14ac:dyDescent="0.15"/>
    <row r="48938" hidden="1" x14ac:dyDescent="0.15"/>
    <row r="48939" hidden="1" x14ac:dyDescent="0.15"/>
    <row r="48940" hidden="1" x14ac:dyDescent="0.15"/>
    <row r="48941" hidden="1" x14ac:dyDescent="0.15"/>
    <row r="48942" hidden="1" x14ac:dyDescent="0.15"/>
    <row r="48943" hidden="1" x14ac:dyDescent="0.15"/>
    <row r="48944" hidden="1" x14ac:dyDescent="0.15"/>
    <row r="48945" hidden="1" x14ac:dyDescent="0.15"/>
    <row r="48946" hidden="1" x14ac:dyDescent="0.15"/>
    <row r="48947" hidden="1" x14ac:dyDescent="0.15"/>
    <row r="48948" hidden="1" x14ac:dyDescent="0.15"/>
    <row r="48949" hidden="1" x14ac:dyDescent="0.15"/>
    <row r="48950" hidden="1" x14ac:dyDescent="0.15"/>
    <row r="48951" hidden="1" x14ac:dyDescent="0.15"/>
    <row r="48952" hidden="1" x14ac:dyDescent="0.15"/>
    <row r="48953" hidden="1" x14ac:dyDescent="0.15"/>
    <row r="48954" hidden="1" x14ac:dyDescent="0.15"/>
    <row r="48955" hidden="1" x14ac:dyDescent="0.15"/>
    <row r="48956" hidden="1" x14ac:dyDescent="0.15"/>
    <row r="48957" hidden="1" x14ac:dyDescent="0.15"/>
    <row r="48958" hidden="1" x14ac:dyDescent="0.15"/>
    <row r="48959" hidden="1" x14ac:dyDescent="0.15"/>
    <row r="48960" hidden="1" x14ac:dyDescent="0.15"/>
    <row r="48961" hidden="1" x14ac:dyDescent="0.15"/>
    <row r="48962" hidden="1" x14ac:dyDescent="0.15"/>
    <row r="48963" hidden="1" x14ac:dyDescent="0.15"/>
    <row r="48964" hidden="1" x14ac:dyDescent="0.15"/>
    <row r="48965" hidden="1" x14ac:dyDescent="0.15"/>
    <row r="48966" hidden="1" x14ac:dyDescent="0.15"/>
    <row r="48967" hidden="1" x14ac:dyDescent="0.15"/>
    <row r="48968" hidden="1" x14ac:dyDescent="0.15"/>
    <row r="48969" hidden="1" x14ac:dyDescent="0.15"/>
    <row r="48970" hidden="1" x14ac:dyDescent="0.15"/>
    <row r="48971" hidden="1" x14ac:dyDescent="0.15"/>
    <row r="48972" hidden="1" x14ac:dyDescent="0.15"/>
    <row r="48973" hidden="1" x14ac:dyDescent="0.15"/>
    <row r="48974" hidden="1" x14ac:dyDescent="0.15"/>
    <row r="48975" hidden="1" x14ac:dyDescent="0.15"/>
    <row r="48976" hidden="1" x14ac:dyDescent="0.15"/>
    <row r="48977" hidden="1" x14ac:dyDescent="0.15"/>
    <row r="48978" hidden="1" x14ac:dyDescent="0.15"/>
    <row r="48979" hidden="1" x14ac:dyDescent="0.15"/>
    <row r="48980" hidden="1" x14ac:dyDescent="0.15"/>
    <row r="48981" hidden="1" x14ac:dyDescent="0.15"/>
    <row r="48982" hidden="1" x14ac:dyDescent="0.15"/>
    <row r="48983" hidden="1" x14ac:dyDescent="0.15"/>
    <row r="48984" hidden="1" x14ac:dyDescent="0.15"/>
    <row r="48985" hidden="1" x14ac:dyDescent="0.15"/>
    <row r="48986" hidden="1" x14ac:dyDescent="0.15"/>
    <row r="48987" hidden="1" x14ac:dyDescent="0.15"/>
    <row r="48988" hidden="1" x14ac:dyDescent="0.15"/>
    <row r="48989" hidden="1" x14ac:dyDescent="0.15"/>
    <row r="48990" hidden="1" x14ac:dyDescent="0.15"/>
    <row r="48991" hidden="1" x14ac:dyDescent="0.15"/>
    <row r="48992" hidden="1" x14ac:dyDescent="0.15"/>
    <row r="48993" hidden="1" x14ac:dyDescent="0.15"/>
    <row r="48994" hidden="1" x14ac:dyDescent="0.15"/>
    <row r="48995" hidden="1" x14ac:dyDescent="0.15"/>
    <row r="48996" hidden="1" x14ac:dyDescent="0.15"/>
    <row r="48997" hidden="1" x14ac:dyDescent="0.15"/>
    <row r="48998" hidden="1" x14ac:dyDescent="0.15"/>
    <row r="48999" hidden="1" x14ac:dyDescent="0.15"/>
    <row r="49000" hidden="1" x14ac:dyDescent="0.15"/>
    <row r="49001" hidden="1" x14ac:dyDescent="0.15"/>
    <row r="49002" hidden="1" x14ac:dyDescent="0.15"/>
    <row r="49003" hidden="1" x14ac:dyDescent="0.15"/>
    <row r="49004" hidden="1" x14ac:dyDescent="0.15"/>
    <row r="49005" hidden="1" x14ac:dyDescent="0.15"/>
    <row r="49006" hidden="1" x14ac:dyDescent="0.15"/>
    <row r="49007" hidden="1" x14ac:dyDescent="0.15"/>
    <row r="49008" hidden="1" x14ac:dyDescent="0.15"/>
    <row r="49009" hidden="1" x14ac:dyDescent="0.15"/>
    <row r="49010" hidden="1" x14ac:dyDescent="0.15"/>
    <row r="49011" hidden="1" x14ac:dyDescent="0.15"/>
    <row r="49012" hidden="1" x14ac:dyDescent="0.15"/>
    <row r="49013" hidden="1" x14ac:dyDescent="0.15"/>
    <row r="49014" hidden="1" x14ac:dyDescent="0.15"/>
    <row r="49015" hidden="1" x14ac:dyDescent="0.15"/>
    <row r="49016" hidden="1" x14ac:dyDescent="0.15"/>
    <row r="49017" hidden="1" x14ac:dyDescent="0.15"/>
    <row r="49018" hidden="1" x14ac:dyDescent="0.15"/>
    <row r="49019" hidden="1" x14ac:dyDescent="0.15"/>
    <row r="49020" hidden="1" x14ac:dyDescent="0.15"/>
    <row r="49021" hidden="1" x14ac:dyDescent="0.15"/>
    <row r="49022" hidden="1" x14ac:dyDescent="0.15"/>
    <row r="49023" hidden="1" x14ac:dyDescent="0.15"/>
    <row r="49024" hidden="1" x14ac:dyDescent="0.15"/>
    <row r="49025" hidden="1" x14ac:dyDescent="0.15"/>
    <row r="49026" hidden="1" x14ac:dyDescent="0.15"/>
    <row r="49027" hidden="1" x14ac:dyDescent="0.15"/>
    <row r="49028" hidden="1" x14ac:dyDescent="0.15"/>
    <row r="49029" hidden="1" x14ac:dyDescent="0.15"/>
    <row r="49030" hidden="1" x14ac:dyDescent="0.15"/>
    <row r="49031" hidden="1" x14ac:dyDescent="0.15"/>
    <row r="49032" hidden="1" x14ac:dyDescent="0.15"/>
    <row r="49033" hidden="1" x14ac:dyDescent="0.15"/>
    <row r="49034" hidden="1" x14ac:dyDescent="0.15"/>
    <row r="49035" hidden="1" x14ac:dyDescent="0.15"/>
    <row r="49036" hidden="1" x14ac:dyDescent="0.15"/>
    <row r="49037" hidden="1" x14ac:dyDescent="0.15"/>
    <row r="49038" hidden="1" x14ac:dyDescent="0.15"/>
    <row r="49039" hidden="1" x14ac:dyDescent="0.15"/>
    <row r="49040" hidden="1" x14ac:dyDescent="0.15"/>
    <row r="49041" hidden="1" x14ac:dyDescent="0.15"/>
    <row r="49042" hidden="1" x14ac:dyDescent="0.15"/>
    <row r="49043" hidden="1" x14ac:dyDescent="0.15"/>
    <row r="49044" hidden="1" x14ac:dyDescent="0.15"/>
    <row r="49045" hidden="1" x14ac:dyDescent="0.15"/>
    <row r="49046" hidden="1" x14ac:dyDescent="0.15"/>
    <row r="49047" hidden="1" x14ac:dyDescent="0.15"/>
    <row r="49048" hidden="1" x14ac:dyDescent="0.15"/>
    <row r="49049" hidden="1" x14ac:dyDescent="0.15"/>
    <row r="49050" hidden="1" x14ac:dyDescent="0.15"/>
    <row r="49051" hidden="1" x14ac:dyDescent="0.15"/>
    <row r="49052" hidden="1" x14ac:dyDescent="0.15"/>
    <row r="49053" hidden="1" x14ac:dyDescent="0.15"/>
    <row r="49054" hidden="1" x14ac:dyDescent="0.15"/>
    <row r="49055" hidden="1" x14ac:dyDescent="0.15"/>
    <row r="49056" hidden="1" x14ac:dyDescent="0.15"/>
    <row r="49057" hidden="1" x14ac:dyDescent="0.15"/>
    <row r="49058" hidden="1" x14ac:dyDescent="0.15"/>
    <row r="49059" hidden="1" x14ac:dyDescent="0.15"/>
    <row r="49060" hidden="1" x14ac:dyDescent="0.15"/>
    <row r="49061" hidden="1" x14ac:dyDescent="0.15"/>
    <row r="49062" hidden="1" x14ac:dyDescent="0.15"/>
    <row r="49063" hidden="1" x14ac:dyDescent="0.15"/>
    <row r="49064" hidden="1" x14ac:dyDescent="0.15"/>
    <row r="49065" hidden="1" x14ac:dyDescent="0.15"/>
    <row r="49066" hidden="1" x14ac:dyDescent="0.15"/>
    <row r="49067" hidden="1" x14ac:dyDescent="0.15"/>
    <row r="49068" hidden="1" x14ac:dyDescent="0.15"/>
    <row r="49069" hidden="1" x14ac:dyDescent="0.15"/>
    <row r="49070" hidden="1" x14ac:dyDescent="0.15"/>
    <row r="49071" hidden="1" x14ac:dyDescent="0.15"/>
    <row r="49072" hidden="1" x14ac:dyDescent="0.15"/>
    <row r="49073" hidden="1" x14ac:dyDescent="0.15"/>
    <row r="49074" hidden="1" x14ac:dyDescent="0.15"/>
    <row r="49075" hidden="1" x14ac:dyDescent="0.15"/>
    <row r="49076" hidden="1" x14ac:dyDescent="0.15"/>
    <row r="49077" hidden="1" x14ac:dyDescent="0.15"/>
    <row r="49078" hidden="1" x14ac:dyDescent="0.15"/>
    <row r="49079" hidden="1" x14ac:dyDescent="0.15"/>
    <row r="49080" hidden="1" x14ac:dyDescent="0.15"/>
    <row r="49081" hidden="1" x14ac:dyDescent="0.15"/>
    <row r="49082" hidden="1" x14ac:dyDescent="0.15"/>
    <row r="49083" hidden="1" x14ac:dyDescent="0.15"/>
    <row r="49084" hidden="1" x14ac:dyDescent="0.15"/>
    <row r="49085" hidden="1" x14ac:dyDescent="0.15"/>
    <row r="49086" hidden="1" x14ac:dyDescent="0.15"/>
    <row r="49087" hidden="1" x14ac:dyDescent="0.15"/>
    <row r="49088" hidden="1" x14ac:dyDescent="0.15"/>
    <row r="49089" hidden="1" x14ac:dyDescent="0.15"/>
    <row r="49090" hidden="1" x14ac:dyDescent="0.15"/>
    <row r="49091" hidden="1" x14ac:dyDescent="0.15"/>
    <row r="49092" hidden="1" x14ac:dyDescent="0.15"/>
    <row r="49093" hidden="1" x14ac:dyDescent="0.15"/>
    <row r="49094" hidden="1" x14ac:dyDescent="0.15"/>
    <row r="49095" hidden="1" x14ac:dyDescent="0.15"/>
    <row r="49096" hidden="1" x14ac:dyDescent="0.15"/>
    <row r="49097" hidden="1" x14ac:dyDescent="0.15"/>
    <row r="49098" hidden="1" x14ac:dyDescent="0.15"/>
    <row r="49099" hidden="1" x14ac:dyDescent="0.15"/>
    <row r="49100" hidden="1" x14ac:dyDescent="0.15"/>
    <row r="49101" hidden="1" x14ac:dyDescent="0.15"/>
    <row r="49102" hidden="1" x14ac:dyDescent="0.15"/>
    <row r="49103" hidden="1" x14ac:dyDescent="0.15"/>
    <row r="49104" hidden="1" x14ac:dyDescent="0.15"/>
    <row r="49105" hidden="1" x14ac:dyDescent="0.15"/>
    <row r="49106" hidden="1" x14ac:dyDescent="0.15"/>
    <row r="49107" hidden="1" x14ac:dyDescent="0.15"/>
    <row r="49108" hidden="1" x14ac:dyDescent="0.15"/>
    <row r="49109" hidden="1" x14ac:dyDescent="0.15"/>
    <row r="49110" hidden="1" x14ac:dyDescent="0.15"/>
    <row r="49111" hidden="1" x14ac:dyDescent="0.15"/>
    <row r="49112" hidden="1" x14ac:dyDescent="0.15"/>
    <row r="49113" hidden="1" x14ac:dyDescent="0.15"/>
    <row r="49114" hidden="1" x14ac:dyDescent="0.15"/>
    <row r="49115" hidden="1" x14ac:dyDescent="0.15"/>
    <row r="49116" hidden="1" x14ac:dyDescent="0.15"/>
    <row r="49117" hidden="1" x14ac:dyDescent="0.15"/>
    <row r="49118" hidden="1" x14ac:dyDescent="0.15"/>
    <row r="49119" hidden="1" x14ac:dyDescent="0.15"/>
    <row r="49120" hidden="1" x14ac:dyDescent="0.15"/>
    <row r="49121" hidden="1" x14ac:dyDescent="0.15"/>
    <row r="49122" hidden="1" x14ac:dyDescent="0.15"/>
    <row r="49123" hidden="1" x14ac:dyDescent="0.15"/>
    <row r="49124" hidden="1" x14ac:dyDescent="0.15"/>
    <row r="49125" hidden="1" x14ac:dyDescent="0.15"/>
    <row r="49126" hidden="1" x14ac:dyDescent="0.15"/>
    <row r="49127" hidden="1" x14ac:dyDescent="0.15"/>
    <row r="49128" hidden="1" x14ac:dyDescent="0.15"/>
    <row r="49129" hidden="1" x14ac:dyDescent="0.15"/>
    <row r="49130" hidden="1" x14ac:dyDescent="0.15"/>
    <row r="49131" hidden="1" x14ac:dyDescent="0.15"/>
    <row r="49132" hidden="1" x14ac:dyDescent="0.15"/>
    <row r="49133" hidden="1" x14ac:dyDescent="0.15"/>
    <row r="49134" hidden="1" x14ac:dyDescent="0.15"/>
    <row r="49135" hidden="1" x14ac:dyDescent="0.15"/>
    <row r="49136" hidden="1" x14ac:dyDescent="0.15"/>
    <row r="49137" hidden="1" x14ac:dyDescent="0.15"/>
    <row r="49138" hidden="1" x14ac:dyDescent="0.15"/>
    <row r="49139" hidden="1" x14ac:dyDescent="0.15"/>
    <row r="49140" hidden="1" x14ac:dyDescent="0.15"/>
    <row r="49141" hidden="1" x14ac:dyDescent="0.15"/>
    <row r="49142" hidden="1" x14ac:dyDescent="0.15"/>
    <row r="49143" hidden="1" x14ac:dyDescent="0.15"/>
    <row r="49144" hidden="1" x14ac:dyDescent="0.15"/>
    <row r="49145" hidden="1" x14ac:dyDescent="0.15"/>
    <row r="49146" hidden="1" x14ac:dyDescent="0.15"/>
    <row r="49147" hidden="1" x14ac:dyDescent="0.15"/>
    <row r="49148" hidden="1" x14ac:dyDescent="0.15"/>
    <row r="49149" hidden="1" x14ac:dyDescent="0.15"/>
    <row r="49150" hidden="1" x14ac:dyDescent="0.15"/>
    <row r="49151" hidden="1" x14ac:dyDescent="0.15"/>
    <row r="49152" hidden="1" x14ac:dyDescent="0.15"/>
    <row r="49153" hidden="1" x14ac:dyDescent="0.15"/>
    <row r="49154" hidden="1" x14ac:dyDescent="0.15"/>
    <row r="49155" hidden="1" x14ac:dyDescent="0.15"/>
    <row r="49156" hidden="1" x14ac:dyDescent="0.15"/>
    <row r="49157" hidden="1" x14ac:dyDescent="0.15"/>
    <row r="49158" hidden="1" x14ac:dyDescent="0.15"/>
    <row r="49159" hidden="1" x14ac:dyDescent="0.15"/>
    <row r="49160" hidden="1" x14ac:dyDescent="0.15"/>
    <row r="49161" hidden="1" x14ac:dyDescent="0.15"/>
    <row r="49162" hidden="1" x14ac:dyDescent="0.15"/>
    <row r="49163" hidden="1" x14ac:dyDescent="0.15"/>
    <row r="49164" hidden="1" x14ac:dyDescent="0.15"/>
    <row r="49165" hidden="1" x14ac:dyDescent="0.15"/>
    <row r="49166" hidden="1" x14ac:dyDescent="0.15"/>
    <row r="49167" hidden="1" x14ac:dyDescent="0.15"/>
    <row r="49168" hidden="1" x14ac:dyDescent="0.15"/>
    <row r="49169" hidden="1" x14ac:dyDescent="0.15"/>
    <row r="49170" hidden="1" x14ac:dyDescent="0.15"/>
    <row r="49171" hidden="1" x14ac:dyDescent="0.15"/>
    <row r="49172" hidden="1" x14ac:dyDescent="0.15"/>
    <row r="49173" hidden="1" x14ac:dyDescent="0.15"/>
    <row r="49174" hidden="1" x14ac:dyDescent="0.15"/>
    <row r="49175" hidden="1" x14ac:dyDescent="0.15"/>
    <row r="49176" hidden="1" x14ac:dyDescent="0.15"/>
    <row r="49177" hidden="1" x14ac:dyDescent="0.15"/>
    <row r="49178" hidden="1" x14ac:dyDescent="0.15"/>
    <row r="49179" hidden="1" x14ac:dyDescent="0.15"/>
    <row r="49180" hidden="1" x14ac:dyDescent="0.15"/>
    <row r="49181" hidden="1" x14ac:dyDescent="0.15"/>
    <row r="49182" hidden="1" x14ac:dyDescent="0.15"/>
    <row r="49183" hidden="1" x14ac:dyDescent="0.15"/>
    <row r="49184" hidden="1" x14ac:dyDescent="0.15"/>
    <row r="49185" hidden="1" x14ac:dyDescent="0.15"/>
    <row r="49186" hidden="1" x14ac:dyDescent="0.15"/>
    <row r="49187" hidden="1" x14ac:dyDescent="0.15"/>
    <row r="49188" hidden="1" x14ac:dyDescent="0.15"/>
    <row r="49189" hidden="1" x14ac:dyDescent="0.15"/>
    <row r="49190" hidden="1" x14ac:dyDescent="0.15"/>
    <row r="49191" hidden="1" x14ac:dyDescent="0.15"/>
    <row r="49192" hidden="1" x14ac:dyDescent="0.15"/>
    <row r="49193" hidden="1" x14ac:dyDescent="0.15"/>
    <row r="49194" hidden="1" x14ac:dyDescent="0.15"/>
    <row r="49195" hidden="1" x14ac:dyDescent="0.15"/>
    <row r="49196" hidden="1" x14ac:dyDescent="0.15"/>
    <row r="49197" hidden="1" x14ac:dyDescent="0.15"/>
    <row r="49198" hidden="1" x14ac:dyDescent="0.15"/>
    <row r="49199" hidden="1" x14ac:dyDescent="0.15"/>
    <row r="49200" hidden="1" x14ac:dyDescent="0.15"/>
    <row r="49201" hidden="1" x14ac:dyDescent="0.15"/>
    <row r="49202" hidden="1" x14ac:dyDescent="0.15"/>
    <row r="49203" hidden="1" x14ac:dyDescent="0.15"/>
    <row r="49204" hidden="1" x14ac:dyDescent="0.15"/>
    <row r="49205" hidden="1" x14ac:dyDescent="0.15"/>
    <row r="49206" hidden="1" x14ac:dyDescent="0.15"/>
    <row r="49207" hidden="1" x14ac:dyDescent="0.15"/>
    <row r="49208" hidden="1" x14ac:dyDescent="0.15"/>
    <row r="49209" hidden="1" x14ac:dyDescent="0.15"/>
    <row r="49210" hidden="1" x14ac:dyDescent="0.15"/>
    <row r="49211" hidden="1" x14ac:dyDescent="0.15"/>
    <row r="49212" hidden="1" x14ac:dyDescent="0.15"/>
    <row r="49213" hidden="1" x14ac:dyDescent="0.15"/>
    <row r="49214" hidden="1" x14ac:dyDescent="0.15"/>
    <row r="49215" hidden="1" x14ac:dyDescent="0.15"/>
    <row r="49216" hidden="1" x14ac:dyDescent="0.15"/>
    <row r="49217" hidden="1" x14ac:dyDescent="0.15"/>
    <row r="49218" hidden="1" x14ac:dyDescent="0.15"/>
    <row r="49219" hidden="1" x14ac:dyDescent="0.15"/>
    <row r="49220" hidden="1" x14ac:dyDescent="0.15"/>
    <row r="49221" hidden="1" x14ac:dyDescent="0.15"/>
    <row r="49222" hidden="1" x14ac:dyDescent="0.15"/>
    <row r="49223" hidden="1" x14ac:dyDescent="0.15"/>
    <row r="49224" hidden="1" x14ac:dyDescent="0.15"/>
    <row r="49225" hidden="1" x14ac:dyDescent="0.15"/>
    <row r="49226" hidden="1" x14ac:dyDescent="0.15"/>
    <row r="49227" hidden="1" x14ac:dyDescent="0.15"/>
    <row r="49228" hidden="1" x14ac:dyDescent="0.15"/>
    <row r="49229" hidden="1" x14ac:dyDescent="0.15"/>
    <row r="49230" hidden="1" x14ac:dyDescent="0.15"/>
    <row r="49231" hidden="1" x14ac:dyDescent="0.15"/>
    <row r="49232" hidden="1" x14ac:dyDescent="0.15"/>
    <row r="49233" hidden="1" x14ac:dyDescent="0.15"/>
    <row r="49234" hidden="1" x14ac:dyDescent="0.15"/>
    <row r="49235" hidden="1" x14ac:dyDescent="0.15"/>
    <row r="49236" hidden="1" x14ac:dyDescent="0.15"/>
    <row r="49237" hidden="1" x14ac:dyDescent="0.15"/>
    <row r="49238" hidden="1" x14ac:dyDescent="0.15"/>
    <row r="49239" hidden="1" x14ac:dyDescent="0.15"/>
    <row r="49240" hidden="1" x14ac:dyDescent="0.15"/>
    <row r="49241" hidden="1" x14ac:dyDescent="0.15"/>
    <row r="49242" hidden="1" x14ac:dyDescent="0.15"/>
    <row r="49243" hidden="1" x14ac:dyDescent="0.15"/>
    <row r="49244" hidden="1" x14ac:dyDescent="0.15"/>
    <row r="49245" hidden="1" x14ac:dyDescent="0.15"/>
    <row r="49246" hidden="1" x14ac:dyDescent="0.15"/>
    <row r="49247" hidden="1" x14ac:dyDescent="0.15"/>
    <row r="49248" hidden="1" x14ac:dyDescent="0.15"/>
    <row r="49249" hidden="1" x14ac:dyDescent="0.15"/>
    <row r="49250" hidden="1" x14ac:dyDescent="0.15"/>
    <row r="49251" hidden="1" x14ac:dyDescent="0.15"/>
    <row r="49252" hidden="1" x14ac:dyDescent="0.15"/>
    <row r="49253" hidden="1" x14ac:dyDescent="0.15"/>
    <row r="49254" hidden="1" x14ac:dyDescent="0.15"/>
    <row r="49255" hidden="1" x14ac:dyDescent="0.15"/>
    <row r="49256" hidden="1" x14ac:dyDescent="0.15"/>
    <row r="49257" hidden="1" x14ac:dyDescent="0.15"/>
    <row r="49258" hidden="1" x14ac:dyDescent="0.15"/>
    <row r="49259" hidden="1" x14ac:dyDescent="0.15"/>
    <row r="49260" hidden="1" x14ac:dyDescent="0.15"/>
    <row r="49261" hidden="1" x14ac:dyDescent="0.15"/>
    <row r="49262" hidden="1" x14ac:dyDescent="0.15"/>
    <row r="49263" hidden="1" x14ac:dyDescent="0.15"/>
    <row r="49264" hidden="1" x14ac:dyDescent="0.15"/>
    <row r="49265" hidden="1" x14ac:dyDescent="0.15"/>
    <row r="49266" hidden="1" x14ac:dyDescent="0.15"/>
    <row r="49267" hidden="1" x14ac:dyDescent="0.15"/>
    <row r="49268" hidden="1" x14ac:dyDescent="0.15"/>
    <row r="49269" hidden="1" x14ac:dyDescent="0.15"/>
    <row r="49270" hidden="1" x14ac:dyDescent="0.15"/>
    <row r="49271" hidden="1" x14ac:dyDescent="0.15"/>
    <row r="49272" hidden="1" x14ac:dyDescent="0.15"/>
    <row r="49273" hidden="1" x14ac:dyDescent="0.15"/>
    <row r="49274" hidden="1" x14ac:dyDescent="0.15"/>
    <row r="49275" hidden="1" x14ac:dyDescent="0.15"/>
    <row r="49276" hidden="1" x14ac:dyDescent="0.15"/>
    <row r="49277" hidden="1" x14ac:dyDescent="0.15"/>
    <row r="49278" hidden="1" x14ac:dyDescent="0.15"/>
    <row r="49279" hidden="1" x14ac:dyDescent="0.15"/>
    <row r="49280" hidden="1" x14ac:dyDescent="0.15"/>
    <row r="49281" hidden="1" x14ac:dyDescent="0.15"/>
    <row r="49282" hidden="1" x14ac:dyDescent="0.15"/>
    <row r="49283" hidden="1" x14ac:dyDescent="0.15"/>
    <row r="49284" hidden="1" x14ac:dyDescent="0.15"/>
    <row r="49285" hidden="1" x14ac:dyDescent="0.15"/>
    <row r="49286" hidden="1" x14ac:dyDescent="0.15"/>
    <row r="49287" hidden="1" x14ac:dyDescent="0.15"/>
    <row r="49288" hidden="1" x14ac:dyDescent="0.15"/>
    <row r="49289" hidden="1" x14ac:dyDescent="0.15"/>
    <row r="49290" hidden="1" x14ac:dyDescent="0.15"/>
    <row r="49291" hidden="1" x14ac:dyDescent="0.15"/>
    <row r="49292" hidden="1" x14ac:dyDescent="0.15"/>
    <row r="49293" hidden="1" x14ac:dyDescent="0.15"/>
    <row r="49294" hidden="1" x14ac:dyDescent="0.15"/>
    <row r="49295" hidden="1" x14ac:dyDescent="0.15"/>
    <row r="49296" hidden="1" x14ac:dyDescent="0.15"/>
    <row r="49297" hidden="1" x14ac:dyDescent="0.15"/>
    <row r="49298" hidden="1" x14ac:dyDescent="0.15"/>
    <row r="49299" hidden="1" x14ac:dyDescent="0.15"/>
    <row r="49300" hidden="1" x14ac:dyDescent="0.15"/>
    <row r="49301" hidden="1" x14ac:dyDescent="0.15"/>
    <row r="49302" hidden="1" x14ac:dyDescent="0.15"/>
    <row r="49303" hidden="1" x14ac:dyDescent="0.15"/>
    <row r="49304" hidden="1" x14ac:dyDescent="0.15"/>
    <row r="49305" hidden="1" x14ac:dyDescent="0.15"/>
    <row r="49306" hidden="1" x14ac:dyDescent="0.15"/>
    <row r="49307" hidden="1" x14ac:dyDescent="0.15"/>
    <row r="49308" hidden="1" x14ac:dyDescent="0.15"/>
    <row r="49309" hidden="1" x14ac:dyDescent="0.15"/>
    <row r="49310" hidden="1" x14ac:dyDescent="0.15"/>
    <row r="49311" hidden="1" x14ac:dyDescent="0.15"/>
    <row r="49312" hidden="1" x14ac:dyDescent="0.15"/>
    <row r="49313" hidden="1" x14ac:dyDescent="0.15"/>
    <row r="49314" hidden="1" x14ac:dyDescent="0.15"/>
    <row r="49315" hidden="1" x14ac:dyDescent="0.15"/>
    <row r="49316" hidden="1" x14ac:dyDescent="0.15"/>
    <row r="49317" hidden="1" x14ac:dyDescent="0.15"/>
    <row r="49318" hidden="1" x14ac:dyDescent="0.15"/>
    <row r="49319" hidden="1" x14ac:dyDescent="0.15"/>
    <row r="49320" hidden="1" x14ac:dyDescent="0.15"/>
    <row r="49321" hidden="1" x14ac:dyDescent="0.15"/>
    <row r="49322" hidden="1" x14ac:dyDescent="0.15"/>
    <row r="49323" hidden="1" x14ac:dyDescent="0.15"/>
    <row r="49324" hidden="1" x14ac:dyDescent="0.15"/>
    <row r="49325" hidden="1" x14ac:dyDescent="0.15"/>
    <row r="49326" hidden="1" x14ac:dyDescent="0.15"/>
    <row r="49327" hidden="1" x14ac:dyDescent="0.15"/>
    <row r="49328" hidden="1" x14ac:dyDescent="0.15"/>
    <row r="49329" hidden="1" x14ac:dyDescent="0.15"/>
    <row r="49330" hidden="1" x14ac:dyDescent="0.15"/>
    <row r="49331" hidden="1" x14ac:dyDescent="0.15"/>
    <row r="49332" hidden="1" x14ac:dyDescent="0.15"/>
    <row r="49333" hidden="1" x14ac:dyDescent="0.15"/>
    <row r="49334" hidden="1" x14ac:dyDescent="0.15"/>
    <row r="49335" hidden="1" x14ac:dyDescent="0.15"/>
    <row r="49336" hidden="1" x14ac:dyDescent="0.15"/>
    <row r="49337" hidden="1" x14ac:dyDescent="0.15"/>
    <row r="49338" hidden="1" x14ac:dyDescent="0.15"/>
    <row r="49339" hidden="1" x14ac:dyDescent="0.15"/>
    <row r="49340" hidden="1" x14ac:dyDescent="0.15"/>
    <row r="49341" hidden="1" x14ac:dyDescent="0.15"/>
    <row r="49342" hidden="1" x14ac:dyDescent="0.15"/>
    <row r="49343" hidden="1" x14ac:dyDescent="0.15"/>
    <row r="49344" hidden="1" x14ac:dyDescent="0.15"/>
    <row r="49345" hidden="1" x14ac:dyDescent="0.15"/>
    <row r="49346" hidden="1" x14ac:dyDescent="0.15"/>
    <row r="49347" hidden="1" x14ac:dyDescent="0.15"/>
    <row r="49348" hidden="1" x14ac:dyDescent="0.15"/>
    <row r="49349" hidden="1" x14ac:dyDescent="0.15"/>
    <row r="49350" hidden="1" x14ac:dyDescent="0.15"/>
    <row r="49351" hidden="1" x14ac:dyDescent="0.15"/>
    <row r="49352" hidden="1" x14ac:dyDescent="0.15"/>
    <row r="49353" hidden="1" x14ac:dyDescent="0.15"/>
    <row r="49354" hidden="1" x14ac:dyDescent="0.15"/>
    <row r="49355" hidden="1" x14ac:dyDescent="0.15"/>
    <row r="49356" hidden="1" x14ac:dyDescent="0.15"/>
    <row r="49357" hidden="1" x14ac:dyDescent="0.15"/>
    <row r="49358" hidden="1" x14ac:dyDescent="0.15"/>
    <row r="49359" hidden="1" x14ac:dyDescent="0.15"/>
    <row r="49360" hidden="1" x14ac:dyDescent="0.15"/>
    <row r="49361" hidden="1" x14ac:dyDescent="0.15"/>
    <row r="49362" hidden="1" x14ac:dyDescent="0.15"/>
    <row r="49363" hidden="1" x14ac:dyDescent="0.15"/>
    <row r="49364" hidden="1" x14ac:dyDescent="0.15"/>
    <row r="49365" hidden="1" x14ac:dyDescent="0.15"/>
    <row r="49366" hidden="1" x14ac:dyDescent="0.15"/>
    <row r="49367" hidden="1" x14ac:dyDescent="0.15"/>
    <row r="49368" hidden="1" x14ac:dyDescent="0.15"/>
    <row r="49369" hidden="1" x14ac:dyDescent="0.15"/>
    <row r="49370" hidden="1" x14ac:dyDescent="0.15"/>
    <row r="49371" hidden="1" x14ac:dyDescent="0.15"/>
    <row r="49372" hidden="1" x14ac:dyDescent="0.15"/>
    <row r="49373" hidden="1" x14ac:dyDescent="0.15"/>
    <row r="49374" hidden="1" x14ac:dyDescent="0.15"/>
    <row r="49375" hidden="1" x14ac:dyDescent="0.15"/>
    <row r="49376" hidden="1" x14ac:dyDescent="0.15"/>
    <row r="49377" hidden="1" x14ac:dyDescent="0.15"/>
    <row r="49378" hidden="1" x14ac:dyDescent="0.15"/>
    <row r="49379" hidden="1" x14ac:dyDescent="0.15"/>
    <row r="49380" hidden="1" x14ac:dyDescent="0.15"/>
    <row r="49381" hidden="1" x14ac:dyDescent="0.15"/>
    <row r="49382" hidden="1" x14ac:dyDescent="0.15"/>
    <row r="49383" hidden="1" x14ac:dyDescent="0.15"/>
    <row r="49384" hidden="1" x14ac:dyDescent="0.15"/>
    <row r="49385" hidden="1" x14ac:dyDescent="0.15"/>
    <row r="49386" hidden="1" x14ac:dyDescent="0.15"/>
    <row r="49387" hidden="1" x14ac:dyDescent="0.15"/>
    <row r="49388" hidden="1" x14ac:dyDescent="0.15"/>
    <row r="49389" hidden="1" x14ac:dyDescent="0.15"/>
    <row r="49390" hidden="1" x14ac:dyDescent="0.15"/>
    <row r="49391" hidden="1" x14ac:dyDescent="0.15"/>
    <row r="49392" hidden="1" x14ac:dyDescent="0.15"/>
    <row r="49393" hidden="1" x14ac:dyDescent="0.15"/>
    <row r="49394" hidden="1" x14ac:dyDescent="0.15"/>
    <row r="49395" hidden="1" x14ac:dyDescent="0.15"/>
    <row r="49396" hidden="1" x14ac:dyDescent="0.15"/>
    <row r="49397" hidden="1" x14ac:dyDescent="0.15"/>
    <row r="49398" hidden="1" x14ac:dyDescent="0.15"/>
    <row r="49399" hidden="1" x14ac:dyDescent="0.15"/>
    <row r="49400" hidden="1" x14ac:dyDescent="0.15"/>
    <row r="49401" hidden="1" x14ac:dyDescent="0.15"/>
    <row r="49402" hidden="1" x14ac:dyDescent="0.15"/>
    <row r="49403" hidden="1" x14ac:dyDescent="0.15"/>
    <row r="49404" hidden="1" x14ac:dyDescent="0.15"/>
    <row r="49405" hidden="1" x14ac:dyDescent="0.15"/>
    <row r="49406" hidden="1" x14ac:dyDescent="0.15"/>
    <row r="49407" hidden="1" x14ac:dyDescent="0.15"/>
    <row r="49408" hidden="1" x14ac:dyDescent="0.15"/>
    <row r="49409" hidden="1" x14ac:dyDescent="0.15"/>
    <row r="49410" hidden="1" x14ac:dyDescent="0.15"/>
    <row r="49411" hidden="1" x14ac:dyDescent="0.15"/>
    <row r="49412" hidden="1" x14ac:dyDescent="0.15"/>
    <row r="49413" hidden="1" x14ac:dyDescent="0.15"/>
    <row r="49414" hidden="1" x14ac:dyDescent="0.15"/>
    <row r="49415" hidden="1" x14ac:dyDescent="0.15"/>
    <row r="49416" hidden="1" x14ac:dyDescent="0.15"/>
    <row r="49417" hidden="1" x14ac:dyDescent="0.15"/>
    <row r="49418" hidden="1" x14ac:dyDescent="0.15"/>
    <row r="49419" hidden="1" x14ac:dyDescent="0.15"/>
    <row r="49420" hidden="1" x14ac:dyDescent="0.15"/>
    <row r="49421" hidden="1" x14ac:dyDescent="0.15"/>
    <row r="49422" hidden="1" x14ac:dyDescent="0.15"/>
    <row r="49423" hidden="1" x14ac:dyDescent="0.15"/>
    <row r="49424" hidden="1" x14ac:dyDescent="0.15"/>
    <row r="49425" hidden="1" x14ac:dyDescent="0.15"/>
    <row r="49426" hidden="1" x14ac:dyDescent="0.15"/>
    <row r="49427" hidden="1" x14ac:dyDescent="0.15"/>
    <row r="49428" hidden="1" x14ac:dyDescent="0.15"/>
    <row r="49429" hidden="1" x14ac:dyDescent="0.15"/>
    <row r="49430" hidden="1" x14ac:dyDescent="0.15"/>
    <row r="49431" hidden="1" x14ac:dyDescent="0.15"/>
    <row r="49432" hidden="1" x14ac:dyDescent="0.15"/>
    <row r="49433" hidden="1" x14ac:dyDescent="0.15"/>
    <row r="49434" hidden="1" x14ac:dyDescent="0.15"/>
    <row r="49435" hidden="1" x14ac:dyDescent="0.15"/>
    <row r="49436" hidden="1" x14ac:dyDescent="0.15"/>
    <row r="49437" hidden="1" x14ac:dyDescent="0.15"/>
    <row r="49438" hidden="1" x14ac:dyDescent="0.15"/>
    <row r="49439" hidden="1" x14ac:dyDescent="0.15"/>
    <row r="49440" hidden="1" x14ac:dyDescent="0.15"/>
    <row r="49441" hidden="1" x14ac:dyDescent="0.15"/>
    <row r="49442" hidden="1" x14ac:dyDescent="0.15"/>
    <row r="49443" hidden="1" x14ac:dyDescent="0.15"/>
    <row r="49444" hidden="1" x14ac:dyDescent="0.15"/>
    <row r="49445" hidden="1" x14ac:dyDescent="0.15"/>
    <row r="49446" hidden="1" x14ac:dyDescent="0.15"/>
    <row r="49447" hidden="1" x14ac:dyDescent="0.15"/>
    <row r="49448" hidden="1" x14ac:dyDescent="0.15"/>
    <row r="49449" hidden="1" x14ac:dyDescent="0.15"/>
    <row r="49450" hidden="1" x14ac:dyDescent="0.15"/>
    <row r="49451" hidden="1" x14ac:dyDescent="0.15"/>
    <row r="49452" hidden="1" x14ac:dyDescent="0.15"/>
    <row r="49453" hidden="1" x14ac:dyDescent="0.15"/>
    <row r="49454" hidden="1" x14ac:dyDescent="0.15"/>
    <row r="49455" hidden="1" x14ac:dyDescent="0.15"/>
    <row r="49456" hidden="1" x14ac:dyDescent="0.15"/>
    <row r="49457" hidden="1" x14ac:dyDescent="0.15"/>
    <row r="49458" hidden="1" x14ac:dyDescent="0.15"/>
    <row r="49459" hidden="1" x14ac:dyDescent="0.15"/>
    <row r="49460" hidden="1" x14ac:dyDescent="0.15"/>
    <row r="49461" hidden="1" x14ac:dyDescent="0.15"/>
    <row r="49462" hidden="1" x14ac:dyDescent="0.15"/>
    <row r="49463" hidden="1" x14ac:dyDescent="0.15"/>
    <row r="49464" hidden="1" x14ac:dyDescent="0.15"/>
    <row r="49465" hidden="1" x14ac:dyDescent="0.15"/>
    <row r="49466" hidden="1" x14ac:dyDescent="0.15"/>
    <row r="49467" hidden="1" x14ac:dyDescent="0.15"/>
    <row r="49468" hidden="1" x14ac:dyDescent="0.15"/>
    <row r="49469" hidden="1" x14ac:dyDescent="0.15"/>
    <row r="49470" hidden="1" x14ac:dyDescent="0.15"/>
    <row r="49471" hidden="1" x14ac:dyDescent="0.15"/>
    <row r="49472" hidden="1" x14ac:dyDescent="0.15"/>
    <row r="49473" hidden="1" x14ac:dyDescent="0.15"/>
    <row r="49474" hidden="1" x14ac:dyDescent="0.15"/>
    <row r="49475" hidden="1" x14ac:dyDescent="0.15"/>
    <row r="49476" hidden="1" x14ac:dyDescent="0.15"/>
    <row r="49477" hidden="1" x14ac:dyDescent="0.15"/>
    <row r="49478" hidden="1" x14ac:dyDescent="0.15"/>
    <row r="49479" hidden="1" x14ac:dyDescent="0.15"/>
    <row r="49480" hidden="1" x14ac:dyDescent="0.15"/>
    <row r="49481" hidden="1" x14ac:dyDescent="0.15"/>
    <row r="49482" hidden="1" x14ac:dyDescent="0.15"/>
    <row r="49483" hidden="1" x14ac:dyDescent="0.15"/>
    <row r="49484" hidden="1" x14ac:dyDescent="0.15"/>
    <row r="49485" hidden="1" x14ac:dyDescent="0.15"/>
    <row r="49486" hidden="1" x14ac:dyDescent="0.15"/>
    <row r="49487" hidden="1" x14ac:dyDescent="0.15"/>
    <row r="49488" hidden="1" x14ac:dyDescent="0.15"/>
    <row r="49489" hidden="1" x14ac:dyDescent="0.15"/>
    <row r="49490" hidden="1" x14ac:dyDescent="0.15"/>
    <row r="49491" hidden="1" x14ac:dyDescent="0.15"/>
    <row r="49492" hidden="1" x14ac:dyDescent="0.15"/>
    <row r="49493" hidden="1" x14ac:dyDescent="0.15"/>
    <row r="49494" hidden="1" x14ac:dyDescent="0.15"/>
    <row r="49495" hidden="1" x14ac:dyDescent="0.15"/>
    <row r="49496" hidden="1" x14ac:dyDescent="0.15"/>
    <row r="49497" hidden="1" x14ac:dyDescent="0.15"/>
    <row r="49498" hidden="1" x14ac:dyDescent="0.15"/>
    <row r="49499" hidden="1" x14ac:dyDescent="0.15"/>
    <row r="49500" hidden="1" x14ac:dyDescent="0.15"/>
    <row r="49501" hidden="1" x14ac:dyDescent="0.15"/>
    <row r="49502" hidden="1" x14ac:dyDescent="0.15"/>
    <row r="49503" hidden="1" x14ac:dyDescent="0.15"/>
    <row r="49504" hidden="1" x14ac:dyDescent="0.15"/>
    <row r="49505" hidden="1" x14ac:dyDescent="0.15"/>
    <row r="49506" hidden="1" x14ac:dyDescent="0.15"/>
    <row r="49507" hidden="1" x14ac:dyDescent="0.15"/>
    <row r="49508" hidden="1" x14ac:dyDescent="0.15"/>
    <row r="49509" hidden="1" x14ac:dyDescent="0.15"/>
    <row r="49510" hidden="1" x14ac:dyDescent="0.15"/>
    <row r="49511" hidden="1" x14ac:dyDescent="0.15"/>
    <row r="49512" hidden="1" x14ac:dyDescent="0.15"/>
    <row r="49513" hidden="1" x14ac:dyDescent="0.15"/>
    <row r="49514" hidden="1" x14ac:dyDescent="0.15"/>
    <row r="49515" hidden="1" x14ac:dyDescent="0.15"/>
    <row r="49516" hidden="1" x14ac:dyDescent="0.15"/>
    <row r="49517" hidden="1" x14ac:dyDescent="0.15"/>
    <row r="49518" hidden="1" x14ac:dyDescent="0.15"/>
    <row r="49519" hidden="1" x14ac:dyDescent="0.15"/>
    <row r="49520" hidden="1" x14ac:dyDescent="0.15"/>
    <row r="49521" hidden="1" x14ac:dyDescent="0.15"/>
    <row r="49522" hidden="1" x14ac:dyDescent="0.15"/>
    <row r="49523" hidden="1" x14ac:dyDescent="0.15"/>
    <row r="49524" hidden="1" x14ac:dyDescent="0.15"/>
    <row r="49525" hidden="1" x14ac:dyDescent="0.15"/>
    <row r="49526" hidden="1" x14ac:dyDescent="0.15"/>
    <row r="49527" hidden="1" x14ac:dyDescent="0.15"/>
    <row r="49528" hidden="1" x14ac:dyDescent="0.15"/>
    <row r="49529" hidden="1" x14ac:dyDescent="0.15"/>
    <row r="49530" hidden="1" x14ac:dyDescent="0.15"/>
    <row r="49531" hidden="1" x14ac:dyDescent="0.15"/>
    <row r="49532" hidden="1" x14ac:dyDescent="0.15"/>
    <row r="49533" hidden="1" x14ac:dyDescent="0.15"/>
    <row r="49534" hidden="1" x14ac:dyDescent="0.15"/>
    <row r="49535" hidden="1" x14ac:dyDescent="0.15"/>
    <row r="49536" hidden="1" x14ac:dyDescent="0.15"/>
    <row r="49537" hidden="1" x14ac:dyDescent="0.15"/>
    <row r="49538" hidden="1" x14ac:dyDescent="0.15"/>
    <row r="49539" hidden="1" x14ac:dyDescent="0.15"/>
    <row r="49540" hidden="1" x14ac:dyDescent="0.15"/>
    <row r="49541" hidden="1" x14ac:dyDescent="0.15"/>
    <row r="49542" hidden="1" x14ac:dyDescent="0.15"/>
    <row r="49543" hidden="1" x14ac:dyDescent="0.15"/>
    <row r="49544" hidden="1" x14ac:dyDescent="0.15"/>
    <row r="49545" hidden="1" x14ac:dyDescent="0.15"/>
    <row r="49546" hidden="1" x14ac:dyDescent="0.15"/>
    <row r="49547" hidden="1" x14ac:dyDescent="0.15"/>
    <row r="49548" hidden="1" x14ac:dyDescent="0.15"/>
    <row r="49549" hidden="1" x14ac:dyDescent="0.15"/>
    <row r="49550" hidden="1" x14ac:dyDescent="0.15"/>
    <row r="49551" hidden="1" x14ac:dyDescent="0.15"/>
    <row r="49552" hidden="1" x14ac:dyDescent="0.15"/>
    <row r="49553" hidden="1" x14ac:dyDescent="0.15"/>
    <row r="49554" hidden="1" x14ac:dyDescent="0.15"/>
    <row r="49555" hidden="1" x14ac:dyDescent="0.15"/>
    <row r="49556" hidden="1" x14ac:dyDescent="0.15"/>
    <row r="49557" hidden="1" x14ac:dyDescent="0.15"/>
    <row r="49558" hidden="1" x14ac:dyDescent="0.15"/>
    <row r="49559" hidden="1" x14ac:dyDescent="0.15"/>
    <row r="49560" hidden="1" x14ac:dyDescent="0.15"/>
    <row r="49561" hidden="1" x14ac:dyDescent="0.15"/>
    <row r="49562" hidden="1" x14ac:dyDescent="0.15"/>
    <row r="49563" hidden="1" x14ac:dyDescent="0.15"/>
    <row r="49564" hidden="1" x14ac:dyDescent="0.15"/>
    <row r="49565" hidden="1" x14ac:dyDescent="0.15"/>
    <row r="49566" hidden="1" x14ac:dyDescent="0.15"/>
    <row r="49567" hidden="1" x14ac:dyDescent="0.15"/>
    <row r="49568" hidden="1" x14ac:dyDescent="0.15"/>
    <row r="49569" hidden="1" x14ac:dyDescent="0.15"/>
    <row r="49570" hidden="1" x14ac:dyDescent="0.15"/>
    <row r="49571" hidden="1" x14ac:dyDescent="0.15"/>
    <row r="49572" hidden="1" x14ac:dyDescent="0.15"/>
    <row r="49573" hidden="1" x14ac:dyDescent="0.15"/>
    <row r="49574" hidden="1" x14ac:dyDescent="0.15"/>
    <row r="49575" hidden="1" x14ac:dyDescent="0.15"/>
    <row r="49576" hidden="1" x14ac:dyDescent="0.15"/>
    <row r="49577" hidden="1" x14ac:dyDescent="0.15"/>
    <row r="49578" hidden="1" x14ac:dyDescent="0.15"/>
    <row r="49579" hidden="1" x14ac:dyDescent="0.15"/>
    <row r="49580" hidden="1" x14ac:dyDescent="0.15"/>
    <row r="49581" hidden="1" x14ac:dyDescent="0.15"/>
    <row r="49582" hidden="1" x14ac:dyDescent="0.15"/>
    <row r="49583" hidden="1" x14ac:dyDescent="0.15"/>
    <row r="49584" hidden="1" x14ac:dyDescent="0.15"/>
    <row r="49585" hidden="1" x14ac:dyDescent="0.15"/>
    <row r="49586" hidden="1" x14ac:dyDescent="0.15"/>
    <row r="49587" hidden="1" x14ac:dyDescent="0.15"/>
    <row r="49588" hidden="1" x14ac:dyDescent="0.15"/>
    <row r="49589" hidden="1" x14ac:dyDescent="0.15"/>
    <row r="49590" hidden="1" x14ac:dyDescent="0.15"/>
    <row r="49591" hidden="1" x14ac:dyDescent="0.15"/>
    <row r="49592" hidden="1" x14ac:dyDescent="0.15"/>
    <row r="49593" hidden="1" x14ac:dyDescent="0.15"/>
    <row r="49594" hidden="1" x14ac:dyDescent="0.15"/>
    <row r="49595" hidden="1" x14ac:dyDescent="0.15"/>
    <row r="49596" hidden="1" x14ac:dyDescent="0.15"/>
    <row r="49597" hidden="1" x14ac:dyDescent="0.15"/>
    <row r="49598" hidden="1" x14ac:dyDescent="0.15"/>
    <row r="49599" hidden="1" x14ac:dyDescent="0.15"/>
    <row r="49600" hidden="1" x14ac:dyDescent="0.15"/>
    <row r="49601" hidden="1" x14ac:dyDescent="0.15"/>
    <row r="49602" hidden="1" x14ac:dyDescent="0.15"/>
    <row r="49603" hidden="1" x14ac:dyDescent="0.15"/>
    <row r="49604" hidden="1" x14ac:dyDescent="0.15"/>
    <row r="49605" hidden="1" x14ac:dyDescent="0.15"/>
    <row r="49606" hidden="1" x14ac:dyDescent="0.15"/>
    <row r="49607" hidden="1" x14ac:dyDescent="0.15"/>
    <row r="49608" hidden="1" x14ac:dyDescent="0.15"/>
    <row r="49609" hidden="1" x14ac:dyDescent="0.15"/>
    <row r="49610" hidden="1" x14ac:dyDescent="0.15"/>
    <row r="49611" hidden="1" x14ac:dyDescent="0.15"/>
    <row r="49612" hidden="1" x14ac:dyDescent="0.15"/>
    <row r="49613" hidden="1" x14ac:dyDescent="0.15"/>
    <row r="49614" hidden="1" x14ac:dyDescent="0.15"/>
    <row r="49615" hidden="1" x14ac:dyDescent="0.15"/>
    <row r="49616" hidden="1" x14ac:dyDescent="0.15"/>
    <row r="49617" hidden="1" x14ac:dyDescent="0.15"/>
    <row r="49618" hidden="1" x14ac:dyDescent="0.15"/>
    <row r="49619" hidden="1" x14ac:dyDescent="0.15"/>
    <row r="49620" hidden="1" x14ac:dyDescent="0.15"/>
    <row r="49621" hidden="1" x14ac:dyDescent="0.15"/>
    <row r="49622" hidden="1" x14ac:dyDescent="0.15"/>
    <row r="49623" hidden="1" x14ac:dyDescent="0.15"/>
    <row r="49624" hidden="1" x14ac:dyDescent="0.15"/>
    <row r="49625" hidden="1" x14ac:dyDescent="0.15"/>
    <row r="49626" hidden="1" x14ac:dyDescent="0.15"/>
    <row r="49627" hidden="1" x14ac:dyDescent="0.15"/>
    <row r="49628" hidden="1" x14ac:dyDescent="0.15"/>
    <row r="49629" hidden="1" x14ac:dyDescent="0.15"/>
    <row r="49630" hidden="1" x14ac:dyDescent="0.15"/>
    <row r="49631" hidden="1" x14ac:dyDescent="0.15"/>
    <row r="49632" hidden="1" x14ac:dyDescent="0.15"/>
    <row r="49633" hidden="1" x14ac:dyDescent="0.15"/>
    <row r="49634" hidden="1" x14ac:dyDescent="0.15"/>
    <row r="49635" hidden="1" x14ac:dyDescent="0.15"/>
    <row r="49636" hidden="1" x14ac:dyDescent="0.15"/>
    <row r="49637" hidden="1" x14ac:dyDescent="0.15"/>
    <row r="49638" hidden="1" x14ac:dyDescent="0.15"/>
    <row r="49639" hidden="1" x14ac:dyDescent="0.15"/>
    <row r="49640" hidden="1" x14ac:dyDescent="0.15"/>
    <row r="49641" hidden="1" x14ac:dyDescent="0.15"/>
    <row r="49642" hidden="1" x14ac:dyDescent="0.15"/>
    <row r="49643" hidden="1" x14ac:dyDescent="0.15"/>
    <row r="49644" hidden="1" x14ac:dyDescent="0.15"/>
    <row r="49645" hidden="1" x14ac:dyDescent="0.15"/>
    <row r="49646" hidden="1" x14ac:dyDescent="0.15"/>
    <row r="49647" hidden="1" x14ac:dyDescent="0.15"/>
    <row r="49648" hidden="1" x14ac:dyDescent="0.15"/>
    <row r="49649" hidden="1" x14ac:dyDescent="0.15"/>
    <row r="49650" hidden="1" x14ac:dyDescent="0.15"/>
    <row r="49651" hidden="1" x14ac:dyDescent="0.15"/>
    <row r="49652" hidden="1" x14ac:dyDescent="0.15"/>
    <row r="49653" hidden="1" x14ac:dyDescent="0.15"/>
    <row r="49654" hidden="1" x14ac:dyDescent="0.15"/>
    <row r="49655" hidden="1" x14ac:dyDescent="0.15"/>
    <row r="49656" hidden="1" x14ac:dyDescent="0.15"/>
    <row r="49657" hidden="1" x14ac:dyDescent="0.15"/>
    <row r="49658" hidden="1" x14ac:dyDescent="0.15"/>
    <row r="49659" hidden="1" x14ac:dyDescent="0.15"/>
    <row r="49660" hidden="1" x14ac:dyDescent="0.15"/>
    <row r="49661" hidden="1" x14ac:dyDescent="0.15"/>
    <row r="49662" hidden="1" x14ac:dyDescent="0.15"/>
    <row r="49663" hidden="1" x14ac:dyDescent="0.15"/>
    <row r="49664" hidden="1" x14ac:dyDescent="0.15"/>
    <row r="49665" hidden="1" x14ac:dyDescent="0.15"/>
    <row r="49666" hidden="1" x14ac:dyDescent="0.15"/>
    <row r="49667" hidden="1" x14ac:dyDescent="0.15"/>
    <row r="49668" hidden="1" x14ac:dyDescent="0.15"/>
    <row r="49669" hidden="1" x14ac:dyDescent="0.15"/>
    <row r="49670" hidden="1" x14ac:dyDescent="0.15"/>
    <row r="49671" hidden="1" x14ac:dyDescent="0.15"/>
    <row r="49672" hidden="1" x14ac:dyDescent="0.15"/>
    <row r="49673" hidden="1" x14ac:dyDescent="0.15"/>
    <row r="49674" hidden="1" x14ac:dyDescent="0.15"/>
    <row r="49675" hidden="1" x14ac:dyDescent="0.15"/>
    <row r="49676" hidden="1" x14ac:dyDescent="0.15"/>
    <row r="49677" hidden="1" x14ac:dyDescent="0.15"/>
    <row r="49678" hidden="1" x14ac:dyDescent="0.15"/>
    <row r="49679" hidden="1" x14ac:dyDescent="0.15"/>
    <row r="49680" hidden="1" x14ac:dyDescent="0.15"/>
    <row r="49681" hidden="1" x14ac:dyDescent="0.15"/>
    <row r="49682" hidden="1" x14ac:dyDescent="0.15"/>
    <row r="49683" hidden="1" x14ac:dyDescent="0.15"/>
    <row r="49684" hidden="1" x14ac:dyDescent="0.15"/>
    <row r="49685" hidden="1" x14ac:dyDescent="0.15"/>
    <row r="49686" hidden="1" x14ac:dyDescent="0.15"/>
    <row r="49687" hidden="1" x14ac:dyDescent="0.15"/>
    <row r="49688" hidden="1" x14ac:dyDescent="0.15"/>
    <row r="49689" hidden="1" x14ac:dyDescent="0.15"/>
    <row r="49690" hidden="1" x14ac:dyDescent="0.15"/>
    <row r="49691" hidden="1" x14ac:dyDescent="0.15"/>
    <row r="49692" hidden="1" x14ac:dyDescent="0.15"/>
    <row r="49693" hidden="1" x14ac:dyDescent="0.15"/>
    <row r="49694" hidden="1" x14ac:dyDescent="0.15"/>
    <row r="49695" hidden="1" x14ac:dyDescent="0.15"/>
    <row r="49696" hidden="1" x14ac:dyDescent="0.15"/>
    <row r="49697" hidden="1" x14ac:dyDescent="0.15"/>
    <row r="49698" hidden="1" x14ac:dyDescent="0.15"/>
    <row r="49699" hidden="1" x14ac:dyDescent="0.15"/>
    <row r="49700" hidden="1" x14ac:dyDescent="0.15"/>
    <row r="49701" hidden="1" x14ac:dyDescent="0.15"/>
    <row r="49702" hidden="1" x14ac:dyDescent="0.15"/>
    <row r="49703" hidden="1" x14ac:dyDescent="0.15"/>
    <row r="49704" hidden="1" x14ac:dyDescent="0.15"/>
    <row r="49705" hidden="1" x14ac:dyDescent="0.15"/>
    <row r="49706" hidden="1" x14ac:dyDescent="0.15"/>
    <row r="49707" hidden="1" x14ac:dyDescent="0.15"/>
    <row r="49708" hidden="1" x14ac:dyDescent="0.15"/>
    <row r="49709" hidden="1" x14ac:dyDescent="0.15"/>
    <row r="49710" hidden="1" x14ac:dyDescent="0.15"/>
    <row r="49711" hidden="1" x14ac:dyDescent="0.15"/>
    <row r="49712" hidden="1" x14ac:dyDescent="0.15"/>
    <row r="49713" hidden="1" x14ac:dyDescent="0.15"/>
    <row r="49714" hidden="1" x14ac:dyDescent="0.15"/>
    <row r="49715" hidden="1" x14ac:dyDescent="0.15"/>
    <row r="49716" hidden="1" x14ac:dyDescent="0.15"/>
    <row r="49717" hidden="1" x14ac:dyDescent="0.15"/>
    <row r="49718" hidden="1" x14ac:dyDescent="0.15"/>
    <row r="49719" hidden="1" x14ac:dyDescent="0.15"/>
    <row r="49720" hidden="1" x14ac:dyDescent="0.15"/>
    <row r="49721" hidden="1" x14ac:dyDescent="0.15"/>
    <row r="49722" hidden="1" x14ac:dyDescent="0.15"/>
    <row r="49723" hidden="1" x14ac:dyDescent="0.15"/>
    <row r="49724" hidden="1" x14ac:dyDescent="0.15"/>
    <row r="49725" hidden="1" x14ac:dyDescent="0.15"/>
    <row r="49726" hidden="1" x14ac:dyDescent="0.15"/>
    <row r="49727" hidden="1" x14ac:dyDescent="0.15"/>
    <row r="49728" hidden="1" x14ac:dyDescent="0.15"/>
    <row r="49729" hidden="1" x14ac:dyDescent="0.15"/>
    <row r="49730" hidden="1" x14ac:dyDescent="0.15"/>
    <row r="49731" hidden="1" x14ac:dyDescent="0.15"/>
    <row r="49732" hidden="1" x14ac:dyDescent="0.15"/>
    <row r="49733" hidden="1" x14ac:dyDescent="0.15"/>
    <row r="49734" hidden="1" x14ac:dyDescent="0.15"/>
    <row r="49735" hidden="1" x14ac:dyDescent="0.15"/>
    <row r="49736" hidden="1" x14ac:dyDescent="0.15"/>
    <row r="49737" hidden="1" x14ac:dyDescent="0.15"/>
    <row r="49738" hidden="1" x14ac:dyDescent="0.15"/>
    <row r="49739" hidden="1" x14ac:dyDescent="0.15"/>
    <row r="49740" hidden="1" x14ac:dyDescent="0.15"/>
    <row r="49741" hidden="1" x14ac:dyDescent="0.15"/>
    <row r="49742" hidden="1" x14ac:dyDescent="0.15"/>
    <row r="49743" hidden="1" x14ac:dyDescent="0.15"/>
    <row r="49744" hidden="1" x14ac:dyDescent="0.15"/>
    <row r="49745" hidden="1" x14ac:dyDescent="0.15"/>
    <row r="49746" hidden="1" x14ac:dyDescent="0.15"/>
    <row r="49747" hidden="1" x14ac:dyDescent="0.15"/>
    <row r="49748" hidden="1" x14ac:dyDescent="0.15"/>
    <row r="49749" hidden="1" x14ac:dyDescent="0.15"/>
    <row r="49750" hidden="1" x14ac:dyDescent="0.15"/>
    <row r="49751" hidden="1" x14ac:dyDescent="0.15"/>
    <row r="49752" hidden="1" x14ac:dyDescent="0.15"/>
    <row r="49753" hidden="1" x14ac:dyDescent="0.15"/>
    <row r="49754" hidden="1" x14ac:dyDescent="0.15"/>
    <row r="49755" hidden="1" x14ac:dyDescent="0.15"/>
    <row r="49756" hidden="1" x14ac:dyDescent="0.15"/>
    <row r="49757" hidden="1" x14ac:dyDescent="0.15"/>
    <row r="49758" hidden="1" x14ac:dyDescent="0.15"/>
    <row r="49759" hidden="1" x14ac:dyDescent="0.15"/>
    <row r="49760" hidden="1" x14ac:dyDescent="0.15"/>
    <row r="49761" hidden="1" x14ac:dyDescent="0.15"/>
    <row r="49762" hidden="1" x14ac:dyDescent="0.15"/>
    <row r="49763" hidden="1" x14ac:dyDescent="0.15"/>
    <row r="49764" hidden="1" x14ac:dyDescent="0.15"/>
    <row r="49765" hidden="1" x14ac:dyDescent="0.15"/>
    <row r="49766" hidden="1" x14ac:dyDescent="0.15"/>
    <row r="49767" hidden="1" x14ac:dyDescent="0.15"/>
    <row r="49768" hidden="1" x14ac:dyDescent="0.15"/>
    <row r="49769" hidden="1" x14ac:dyDescent="0.15"/>
    <row r="49770" hidden="1" x14ac:dyDescent="0.15"/>
    <row r="49771" hidden="1" x14ac:dyDescent="0.15"/>
    <row r="49772" hidden="1" x14ac:dyDescent="0.15"/>
    <row r="49773" hidden="1" x14ac:dyDescent="0.15"/>
    <row r="49774" hidden="1" x14ac:dyDescent="0.15"/>
    <row r="49775" hidden="1" x14ac:dyDescent="0.15"/>
    <row r="49776" hidden="1" x14ac:dyDescent="0.15"/>
    <row r="49777" hidden="1" x14ac:dyDescent="0.15"/>
    <row r="49778" hidden="1" x14ac:dyDescent="0.15"/>
    <row r="49779" hidden="1" x14ac:dyDescent="0.15"/>
    <row r="49780" hidden="1" x14ac:dyDescent="0.15"/>
    <row r="49781" hidden="1" x14ac:dyDescent="0.15"/>
    <row r="49782" hidden="1" x14ac:dyDescent="0.15"/>
    <row r="49783" hidden="1" x14ac:dyDescent="0.15"/>
    <row r="49784" hidden="1" x14ac:dyDescent="0.15"/>
    <row r="49785" hidden="1" x14ac:dyDescent="0.15"/>
    <row r="49786" hidden="1" x14ac:dyDescent="0.15"/>
    <row r="49787" hidden="1" x14ac:dyDescent="0.15"/>
    <row r="49788" hidden="1" x14ac:dyDescent="0.15"/>
    <row r="49789" hidden="1" x14ac:dyDescent="0.15"/>
    <row r="49790" hidden="1" x14ac:dyDescent="0.15"/>
    <row r="49791" hidden="1" x14ac:dyDescent="0.15"/>
    <row r="49792" hidden="1" x14ac:dyDescent="0.15"/>
    <row r="49793" hidden="1" x14ac:dyDescent="0.15"/>
    <row r="49794" hidden="1" x14ac:dyDescent="0.15"/>
    <row r="49795" hidden="1" x14ac:dyDescent="0.15"/>
    <row r="49796" hidden="1" x14ac:dyDescent="0.15"/>
    <row r="49797" hidden="1" x14ac:dyDescent="0.15"/>
    <row r="49798" hidden="1" x14ac:dyDescent="0.15"/>
    <row r="49799" hidden="1" x14ac:dyDescent="0.15"/>
    <row r="49800" hidden="1" x14ac:dyDescent="0.15"/>
    <row r="49801" hidden="1" x14ac:dyDescent="0.15"/>
    <row r="49802" hidden="1" x14ac:dyDescent="0.15"/>
    <row r="49803" hidden="1" x14ac:dyDescent="0.15"/>
    <row r="49804" hidden="1" x14ac:dyDescent="0.15"/>
    <row r="49805" hidden="1" x14ac:dyDescent="0.15"/>
    <row r="49806" hidden="1" x14ac:dyDescent="0.15"/>
    <row r="49807" hidden="1" x14ac:dyDescent="0.15"/>
    <row r="49808" hidden="1" x14ac:dyDescent="0.15"/>
    <row r="49809" hidden="1" x14ac:dyDescent="0.15"/>
    <row r="49810" hidden="1" x14ac:dyDescent="0.15"/>
    <row r="49811" hidden="1" x14ac:dyDescent="0.15"/>
    <row r="49812" hidden="1" x14ac:dyDescent="0.15"/>
    <row r="49813" hidden="1" x14ac:dyDescent="0.15"/>
    <row r="49814" hidden="1" x14ac:dyDescent="0.15"/>
    <row r="49815" hidden="1" x14ac:dyDescent="0.15"/>
    <row r="49816" hidden="1" x14ac:dyDescent="0.15"/>
    <row r="49817" hidden="1" x14ac:dyDescent="0.15"/>
    <row r="49818" hidden="1" x14ac:dyDescent="0.15"/>
    <row r="49819" hidden="1" x14ac:dyDescent="0.15"/>
    <row r="49820" hidden="1" x14ac:dyDescent="0.15"/>
    <row r="49821" hidden="1" x14ac:dyDescent="0.15"/>
    <row r="49822" hidden="1" x14ac:dyDescent="0.15"/>
    <row r="49823" hidden="1" x14ac:dyDescent="0.15"/>
    <row r="49824" hidden="1" x14ac:dyDescent="0.15"/>
    <row r="49825" hidden="1" x14ac:dyDescent="0.15"/>
    <row r="49826" hidden="1" x14ac:dyDescent="0.15"/>
    <row r="49827" hidden="1" x14ac:dyDescent="0.15"/>
    <row r="49828" hidden="1" x14ac:dyDescent="0.15"/>
    <row r="49829" hidden="1" x14ac:dyDescent="0.15"/>
    <row r="49830" hidden="1" x14ac:dyDescent="0.15"/>
    <row r="49831" hidden="1" x14ac:dyDescent="0.15"/>
    <row r="49832" hidden="1" x14ac:dyDescent="0.15"/>
    <row r="49833" hidden="1" x14ac:dyDescent="0.15"/>
    <row r="49834" hidden="1" x14ac:dyDescent="0.15"/>
    <row r="49835" hidden="1" x14ac:dyDescent="0.15"/>
    <row r="49836" hidden="1" x14ac:dyDescent="0.15"/>
    <row r="49837" hidden="1" x14ac:dyDescent="0.15"/>
    <row r="49838" hidden="1" x14ac:dyDescent="0.15"/>
    <row r="49839" hidden="1" x14ac:dyDescent="0.15"/>
    <row r="49840" hidden="1" x14ac:dyDescent="0.15"/>
    <row r="49841" hidden="1" x14ac:dyDescent="0.15"/>
    <row r="49842" hidden="1" x14ac:dyDescent="0.15"/>
    <row r="49843" hidden="1" x14ac:dyDescent="0.15"/>
    <row r="49844" hidden="1" x14ac:dyDescent="0.15"/>
    <row r="49845" hidden="1" x14ac:dyDescent="0.15"/>
    <row r="49846" hidden="1" x14ac:dyDescent="0.15"/>
    <row r="49847" hidden="1" x14ac:dyDescent="0.15"/>
    <row r="49848" hidden="1" x14ac:dyDescent="0.15"/>
    <row r="49849" hidden="1" x14ac:dyDescent="0.15"/>
    <row r="49850" hidden="1" x14ac:dyDescent="0.15"/>
    <row r="49851" hidden="1" x14ac:dyDescent="0.15"/>
    <row r="49852" hidden="1" x14ac:dyDescent="0.15"/>
    <row r="49853" hidden="1" x14ac:dyDescent="0.15"/>
    <row r="49854" hidden="1" x14ac:dyDescent="0.15"/>
    <row r="49855" hidden="1" x14ac:dyDescent="0.15"/>
    <row r="49856" hidden="1" x14ac:dyDescent="0.15"/>
    <row r="49857" hidden="1" x14ac:dyDescent="0.15"/>
    <row r="49858" hidden="1" x14ac:dyDescent="0.15"/>
    <row r="49859" hidden="1" x14ac:dyDescent="0.15"/>
    <row r="49860" hidden="1" x14ac:dyDescent="0.15"/>
    <row r="49861" hidden="1" x14ac:dyDescent="0.15"/>
    <row r="49862" hidden="1" x14ac:dyDescent="0.15"/>
    <row r="49863" hidden="1" x14ac:dyDescent="0.15"/>
    <row r="49864" hidden="1" x14ac:dyDescent="0.15"/>
    <row r="49865" hidden="1" x14ac:dyDescent="0.15"/>
    <row r="49866" hidden="1" x14ac:dyDescent="0.15"/>
    <row r="49867" hidden="1" x14ac:dyDescent="0.15"/>
    <row r="49868" hidden="1" x14ac:dyDescent="0.15"/>
    <row r="49869" hidden="1" x14ac:dyDescent="0.15"/>
    <row r="49870" hidden="1" x14ac:dyDescent="0.15"/>
    <row r="49871" hidden="1" x14ac:dyDescent="0.15"/>
    <row r="49872" hidden="1" x14ac:dyDescent="0.15"/>
    <row r="49873" hidden="1" x14ac:dyDescent="0.15"/>
    <row r="49874" hidden="1" x14ac:dyDescent="0.15"/>
    <row r="49875" hidden="1" x14ac:dyDescent="0.15"/>
    <row r="49876" hidden="1" x14ac:dyDescent="0.15"/>
    <row r="49877" hidden="1" x14ac:dyDescent="0.15"/>
    <row r="49878" hidden="1" x14ac:dyDescent="0.15"/>
    <row r="49879" hidden="1" x14ac:dyDescent="0.15"/>
    <row r="49880" hidden="1" x14ac:dyDescent="0.15"/>
    <row r="49881" hidden="1" x14ac:dyDescent="0.15"/>
    <row r="49882" hidden="1" x14ac:dyDescent="0.15"/>
    <row r="49883" hidden="1" x14ac:dyDescent="0.15"/>
    <row r="49884" hidden="1" x14ac:dyDescent="0.15"/>
    <row r="49885" hidden="1" x14ac:dyDescent="0.15"/>
    <row r="49886" hidden="1" x14ac:dyDescent="0.15"/>
    <row r="49887" hidden="1" x14ac:dyDescent="0.15"/>
    <row r="49888" hidden="1" x14ac:dyDescent="0.15"/>
    <row r="49889" hidden="1" x14ac:dyDescent="0.15"/>
    <row r="49890" hidden="1" x14ac:dyDescent="0.15"/>
    <row r="49891" hidden="1" x14ac:dyDescent="0.15"/>
    <row r="49892" hidden="1" x14ac:dyDescent="0.15"/>
    <row r="49893" hidden="1" x14ac:dyDescent="0.15"/>
    <row r="49894" hidden="1" x14ac:dyDescent="0.15"/>
    <row r="49895" hidden="1" x14ac:dyDescent="0.15"/>
    <row r="49896" hidden="1" x14ac:dyDescent="0.15"/>
    <row r="49897" hidden="1" x14ac:dyDescent="0.15"/>
    <row r="49898" hidden="1" x14ac:dyDescent="0.15"/>
    <row r="49899" hidden="1" x14ac:dyDescent="0.15"/>
    <row r="49900" hidden="1" x14ac:dyDescent="0.15"/>
    <row r="49901" hidden="1" x14ac:dyDescent="0.15"/>
    <row r="49902" hidden="1" x14ac:dyDescent="0.15"/>
    <row r="49903" hidden="1" x14ac:dyDescent="0.15"/>
    <row r="49904" hidden="1" x14ac:dyDescent="0.15"/>
    <row r="49905" hidden="1" x14ac:dyDescent="0.15"/>
    <row r="49906" hidden="1" x14ac:dyDescent="0.15"/>
    <row r="49907" hidden="1" x14ac:dyDescent="0.15"/>
    <row r="49908" hidden="1" x14ac:dyDescent="0.15"/>
    <row r="49909" hidden="1" x14ac:dyDescent="0.15"/>
    <row r="49910" hidden="1" x14ac:dyDescent="0.15"/>
    <row r="49911" hidden="1" x14ac:dyDescent="0.15"/>
    <row r="49912" hidden="1" x14ac:dyDescent="0.15"/>
    <row r="49913" hidden="1" x14ac:dyDescent="0.15"/>
    <row r="49914" hidden="1" x14ac:dyDescent="0.15"/>
    <row r="49915" hidden="1" x14ac:dyDescent="0.15"/>
    <row r="49916" hidden="1" x14ac:dyDescent="0.15"/>
    <row r="49917" hidden="1" x14ac:dyDescent="0.15"/>
    <row r="49918" hidden="1" x14ac:dyDescent="0.15"/>
    <row r="49919" hidden="1" x14ac:dyDescent="0.15"/>
    <row r="49920" hidden="1" x14ac:dyDescent="0.15"/>
    <row r="49921" hidden="1" x14ac:dyDescent="0.15"/>
    <row r="49922" hidden="1" x14ac:dyDescent="0.15"/>
    <row r="49923" hidden="1" x14ac:dyDescent="0.15"/>
    <row r="49924" hidden="1" x14ac:dyDescent="0.15"/>
    <row r="49925" hidden="1" x14ac:dyDescent="0.15"/>
    <row r="49926" hidden="1" x14ac:dyDescent="0.15"/>
    <row r="49927" hidden="1" x14ac:dyDescent="0.15"/>
    <row r="49928" hidden="1" x14ac:dyDescent="0.15"/>
    <row r="49929" hidden="1" x14ac:dyDescent="0.15"/>
    <row r="49930" hidden="1" x14ac:dyDescent="0.15"/>
    <row r="49931" hidden="1" x14ac:dyDescent="0.15"/>
    <row r="49932" hidden="1" x14ac:dyDescent="0.15"/>
    <row r="49933" hidden="1" x14ac:dyDescent="0.15"/>
    <row r="49934" hidden="1" x14ac:dyDescent="0.15"/>
    <row r="49935" hidden="1" x14ac:dyDescent="0.15"/>
    <row r="49936" hidden="1" x14ac:dyDescent="0.15"/>
    <row r="49937" hidden="1" x14ac:dyDescent="0.15"/>
    <row r="49938" hidden="1" x14ac:dyDescent="0.15"/>
    <row r="49939" hidden="1" x14ac:dyDescent="0.15"/>
    <row r="49940" hidden="1" x14ac:dyDescent="0.15"/>
    <row r="49941" hidden="1" x14ac:dyDescent="0.15"/>
    <row r="49942" hidden="1" x14ac:dyDescent="0.15"/>
    <row r="49943" hidden="1" x14ac:dyDescent="0.15"/>
    <row r="49944" hidden="1" x14ac:dyDescent="0.15"/>
    <row r="49945" hidden="1" x14ac:dyDescent="0.15"/>
    <row r="49946" hidden="1" x14ac:dyDescent="0.15"/>
    <row r="49947" hidden="1" x14ac:dyDescent="0.15"/>
    <row r="49948" hidden="1" x14ac:dyDescent="0.15"/>
    <row r="49949" hidden="1" x14ac:dyDescent="0.15"/>
    <row r="49950" hidden="1" x14ac:dyDescent="0.15"/>
    <row r="49951" hidden="1" x14ac:dyDescent="0.15"/>
    <row r="49952" hidden="1" x14ac:dyDescent="0.15"/>
    <row r="49953" hidden="1" x14ac:dyDescent="0.15"/>
    <row r="49954" hidden="1" x14ac:dyDescent="0.15"/>
    <row r="49955" hidden="1" x14ac:dyDescent="0.15"/>
    <row r="49956" hidden="1" x14ac:dyDescent="0.15"/>
    <row r="49957" hidden="1" x14ac:dyDescent="0.15"/>
    <row r="49958" hidden="1" x14ac:dyDescent="0.15"/>
    <row r="49959" hidden="1" x14ac:dyDescent="0.15"/>
    <row r="49960" hidden="1" x14ac:dyDescent="0.15"/>
    <row r="49961" hidden="1" x14ac:dyDescent="0.15"/>
    <row r="49962" hidden="1" x14ac:dyDescent="0.15"/>
    <row r="49963" hidden="1" x14ac:dyDescent="0.15"/>
    <row r="49964" hidden="1" x14ac:dyDescent="0.15"/>
    <row r="49965" hidden="1" x14ac:dyDescent="0.15"/>
    <row r="49966" hidden="1" x14ac:dyDescent="0.15"/>
    <row r="49967" hidden="1" x14ac:dyDescent="0.15"/>
    <row r="49968" hidden="1" x14ac:dyDescent="0.15"/>
    <row r="49969" hidden="1" x14ac:dyDescent="0.15"/>
    <row r="49970" hidden="1" x14ac:dyDescent="0.15"/>
    <row r="49971" hidden="1" x14ac:dyDescent="0.15"/>
    <row r="49972" hidden="1" x14ac:dyDescent="0.15"/>
    <row r="49973" hidden="1" x14ac:dyDescent="0.15"/>
    <row r="49974" hidden="1" x14ac:dyDescent="0.15"/>
    <row r="49975" hidden="1" x14ac:dyDescent="0.15"/>
    <row r="49976" hidden="1" x14ac:dyDescent="0.15"/>
    <row r="49977" hidden="1" x14ac:dyDescent="0.15"/>
    <row r="49978" hidden="1" x14ac:dyDescent="0.15"/>
    <row r="49979" hidden="1" x14ac:dyDescent="0.15"/>
    <row r="49980" hidden="1" x14ac:dyDescent="0.15"/>
    <row r="49981" hidden="1" x14ac:dyDescent="0.15"/>
    <row r="49982" hidden="1" x14ac:dyDescent="0.15"/>
    <row r="49983" hidden="1" x14ac:dyDescent="0.15"/>
    <row r="49984" hidden="1" x14ac:dyDescent="0.15"/>
    <row r="49985" hidden="1" x14ac:dyDescent="0.15"/>
    <row r="49986" hidden="1" x14ac:dyDescent="0.15"/>
    <row r="49987" hidden="1" x14ac:dyDescent="0.15"/>
    <row r="49988" hidden="1" x14ac:dyDescent="0.15"/>
    <row r="49989" hidden="1" x14ac:dyDescent="0.15"/>
    <row r="49990" hidden="1" x14ac:dyDescent="0.15"/>
    <row r="49991" hidden="1" x14ac:dyDescent="0.15"/>
    <row r="49992" hidden="1" x14ac:dyDescent="0.15"/>
    <row r="49993" hidden="1" x14ac:dyDescent="0.15"/>
    <row r="49994" hidden="1" x14ac:dyDescent="0.15"/>
    <row r="49995" hidden="1" x14ac:dyDescent="0.15"/>
    <row r="49996" hidden="1" x14ac:dyDescent="0.15"/>
    <row r="49997" hidden="1" x14ac:dyDescent="0.15"/>
    <row r="49998" hidden="1" x14ac:dyDescent="0.15"/>
    <row r="49999" hidden="1" x14ac:dyDescent="0.15"/>
    <row r="50000" hidden="1" x14ac:dyDescent="0.15"/>
    <row r="50001" hidden="1" x14ac:dyDescent="0.15"/>
    <row r="50002" hidden="1" x14ac:dyDescent="0.15"/>
    <row r="50003" hidden="1" x14ac:dyDescent="0.15"/>
    <row r="50004" hidden="1" x14ac:dyDescent="0.15"/>
    <row r="50005" hidden="1" x14ac:dyDescent="0.15"/>
    <row r="50006" hidden="1" x14ac:dyDescent="0.15"/>
    <row r="50007" hidden="1" x14ac:dyDescent="0.15"/>
    <row r="50008" hidden="1" x14ac:dyDescent="0.15"/>
    <row r="50009" hidden="1" x14ac:dyDescent="0.15"/>
    <row r="50010" hidden="1" x14ac:dyDescent="0.15"/>
    <row r="50011" hidden="1" x14ac:dyDescent="0.15"/>
    <row r="50012" hidden="1" x14ac:dyDescent="0.15"/>
    <row r="50013" hidden="1" x14ac:dyDescent="0.15"/>
    <row r="50014" hidden="1" x14ac:dyDescent="0.15"/>
    <row r="50015" hidden="1" x14ac:dyDescent="0.15"/>
    <row r="50016" hidden="1" x14ac:dyDescent="0.15"/>
    <row r="50017" hidden="1" x14ac:dyDescent="0.15"/>
    <row r="50018" hidden="1" x14ac:dyDescent="0.15"/>
    <row r="50019" hidden="1" x14ac:dyDescent="0.15"/>
    <row r="50020" hidden="1" x14ac:dyDescent="0.15"/>
    <row r="50021" hidden="1" x14ac:dyDescent="0.15"/>
    <row r="50022" hidden="1" x14ac:dyDescent="0.15"/>
    <row r="50023" hidden="1" x14ac:dyDescent="0.15"/>
    <row r="50024" hidden="1" x14ac:dyDescent="0.15"/>
    <row r="50025" hidden="1" x14ac:dyDescent="0.15"/>
    <row r="50026" hidden="1" x14ac:dyDescent="0.15"/>
    <row r="50027" hidden="1" x14ac:dyDescent="0.15"/>
    <row r="50028" hidden="1" x14ac:dyDescent="0.15"/>
    <row r="50029" hidden="1" x14ac:dyDescent="0.15"/>
    <row r="50030" hidden="1" x14ac:dyDescent="0.15"/>
    <row r="50031" hidden="1" x14ac:dyDescent="0.15"/>
    <row r="50032" hidden="1" x14ac:dyDescent="0.15"/>
    <row r="50033" hidden="1" x14ac:dyDescent="0.15"/>
    <row r="50034" hidden="1" x14ac:dyDescent="0.15"/>
    <row r="50035" hidden="1" x14ac:dyDescent="0.15"/>
    <row r="50036" hidden="1" x14ac:dyDescent="0.15"/>
    <row r="50037" hidden="1" x14ac:dyDescent="0.15"/>
    <row r="50038" hidden="1" x14ac:dyDescent="0.15"/>
    <row r="50039" hidden="1" x14ac:dyDescent="0.15"/>
    <row r="50040" hidden="1" x14ac:dyDescent="0.15"/>
    <row r="50041" hidden="1" x14ac:dyDescent="0.15"/>
    <row r="50042" hidden="1" x14ac:dyDescent="0.15"/>
    <row r="50043" hidden="1" x14ac:dyDescent="0.15"/>
    <row r="50044" hidden="1" x14ac:dyDescent="0.15"/>
    <row r="50045" hidden="1" x14ac:dyDescent="0.15"/>
    <row r="50046" hidden="1" x14ac:dyDescent="0.15"/>
    <row r="50047" hidden="1" x14ac:dyDescent="0.15"/>
    <row r="50048" hidden="1" x14ac:dyDescent="0.15"/>
    <row r="50049" hidden="1" x14ac:dyDescent="0.15"/>
    <row r="50050" hidden="1" x14ac:dyDescent="0.15"/>
    <row r="50051" hidden="1" x14ac:dyDescent="0.15"/>
    <row r="50052" hidden="1" x14ac:dyDescent="0.15"/>
    <row r="50053" hidden="1" x14ac:dyDescent="0.15"/>
    <row r="50054" hidden="1" x14ac:dyDescent="0.15"/>
    <row r="50055" hidden="1" x14ac:dyDescent="0.15"/>
    <row r="50056" hidden="1" x14ac:dyDescent="0.15"/>
    <row r="50057" hidden="1" x14ac:dyDescent="0.15"/>
    <row r="50058" hidden="1" x14ac:dyDescent="0.15"/>
    <row r="50059" hidden="1" x14ac:dyDescent="0.15"/>
    <row r="50060" hidden="1" x14ac:dyDescent="0.15"/>
    <row r="50061" hidden="1" x14ac:dyDescent="0.15"/>
    <row r="50062" hidden="1" x14ac:dyDescent="0.15"/>
    <row r="50063" hidden="1" x14ac:dyDescent="0.15"/>
    <row r="50064" hidden="1" x14ac:dyDescent="0.15"/>
    <row r="50065" hidden="1" x14ac:dyDescent="0.15"/>
    <row r="50066" hidden="1" x14ac:dyDescent="0.15"/>
    <row r="50067" hidden="1" x14ac:dyDescent="0.15"/>
    <row r="50068" hidden="1" x14ac:dyDescent="0.15"/>
    <row r="50069" hidden="1" x14ac:dyDescent="0.15"/>
    <row r="50070" hidden="1" x14ac:dyDescent="0.15"/>
    <row r="50071" hidden="1" x14ac:dyDescent="0.15"/>
    <row r="50072" hidden="1" x14ac:dyDescent="0.15"/>
    <row r="50073" hidden="1" x14ac:dyDescent="0.15"/>
    <row r="50074" hidden="1" x14ac:dyDescent="0.15"/>
    <row r="50075" hidden="1" x14ac:dyDescent="0.15"/>
    <row r="50076" hidden="1" x14ac:dyDescent="0.15"/>
    <row r="50077" hidden="1" x14ac:dyDescent="0.15"/>
    <row r="50078" hidden="1" x14ac:dyDescent="0.15"/>
    <row r="50079" hidden="1" x14ac:dyDescent="0.15"/>
    <row r="50080" hidden="1" x14ac:dyDescent="0.15"/>
    <row r="50081" hidden="1" x14ac:dyDescent="0.15"/>
    <row r="50082" hidden="1" x14ac:dyDescent="0.15"/>
    <row r="50083" hidden="1" x14ac:dyDescent="0.15"/>
    <row r="50084" hidden="1" x14ac:dyDescent="0.15"/>
    <row r="50085" hidden="1" x14ac:dyDescent="0.15"/>
    <row r="50086" hidden="1" x14ac:dyDescent="0.15"/>
    <row r="50087" hidden="1" x14ac:dyDescent="0.15"/>
    <row r="50088" hidden="1" x14ac:dyDescent="0.15"/>
    <row r="50089" hidden="1" x14ac:dyDescent="0.15"/>
    <row r="50090" hidden="1" x14ac:dyDescent="0.15"/>
    <row r="50091" hidden="1" x14ac:dyDescent="0.15"/>
    <row r="50092" hidden="1" x14ac:dyDescent="0.15"/>
    <row r="50093" hidden="1" x14ac:dyDescent="0.15"/>
    <row r="50094" hidden="1" x14ac:dyDescent="0.15"/>
    <row r="50095" hidden="1" x14ac:dyDescent="0.15"/>
    <row r="50096" hidden="1" x14ac:dyDescent="0.15"/>
    <row r="50097" hidden="1" x14ac:dyDescent="0.15"/>
    <row r="50098" hidden="1" x14ac:dyDescent="0.15"/>
    <row r="50099" hidden="1" x14ac:dyDescent="0.15"/>
    <row r="50100" hidden="1" x14ac:dyDescent="0.15"/>
    <row r="50101" hidden="1" x14ac:dyDescent="0.15"/>
    <row r="50102" hidden="1" x14ac:dyDescent="0.15"/>
    <row r="50103" hidden="1" x14ac:dyDescent="0.15"/>
    <row r="50104" hidden="1" x14ac:dyDescent="0.15"/>
    <row r="50105" hidden="1" x14ac:dyDescent="0.15"/>
    <row r="50106" hidden="1" x14ac:dyDescent="0.15"/>
    <row r="50107" hidden="1" x14ac:dyDescent="0.15"/>
    <row r="50108" hidden="1" x14ac:dyDescent="0.15"/>
    <row r="50109" hidden="1" x14ac:dyDescent="0.15"/>
    <row r="50110" hidden="1" x14ac:dyDescent="0.15"/>
    <row r="50111" hidden="1" x14ac:dyDescent="0.15"/>
    <row r="50112" hidden="1" x14ac:dyDescent="0.15"/>
    <row r="50113" hidden="1" x14ac:dyDescent="0.15"/>
    <row r="50114" hidden="1" x14ac:dyDescent="0.15"/>
    <row r="50115" hidden="1" x14ac:dyDescent="0.15"/>
    <row r="50116" hidden="1" x14ac:dyDescent="0.15"/>
    <row r="50117" hidden="1" x14ac:dyDescent="0.15"/>
    <row r="50118" hidden="1" x14ac:dyDescent="0.15"/>
    <row r="50119" hidden="1" x14ac:dyDescent="0.15"/>
    <row r="50120" hidden="1" x14ac:dyDescent="0.15"/>
    <row r="50121" hidden="1" x14ac:dyDescent="0.15"/>
    <row r="50122" hidden="1" x14ac:dyDescent="0.15"/>
    <row r="50123" hidden="1" x14ac:dyDescent="0.15"/>
    <row r="50124" hidden="1" x14ac:dyDescent="0.15"/>
    <row r="50125" hidden="1" x14ac:dyDescent="0.15"/>
    <row r="50126" hidden="1" x14ac:dyDescent="0.15"/>
    <row r="50127" hidden="1" x14ac:dyDescent="0.15"/>
    <row r="50128" hidden="1" x14ac:dyDescent="0.15"/>
    <row r="50129" hidden="1" x14ac:dyDescent="0.15"/>
    <row r="50130" hidden="1" x14ac:dyDescent="0.15"/>
    <row r="50131" hidden="1" x14ac:dyDescent="0.15"/>
    <row r="50132" hidden="1" x14ac:dyDescent="0.15"/>
    <row r="50133" hidden="1" x14ac:dyDescent="0.15"/>
    <row r="50134" hidden="1" x14ac:dyDescent="0.15"/>
    <row r="50135" hidden="1" x14ac:dyDescent="0.15"/>
    <row r="50136" hidden="1" x14ac:dyDescent="0.15"/>
    <row r="50137" hidden="1" x14ac:dyDescent="0.15"/>
    <row r="50138" hidden="1" x14ac:dyDescent="0.15"/>
    <row r="50139" hidden="1" x14ac:dyDescent="0.15"/>
    <row r="50140" hidden="1" x14ac:dyDescent="0.15"/>
    <row r="50141" hidden="1" x14ac:dyDescent="0.15"/>
    <row r="50142" hidden="1" x14ac:dyDescent="0.15"/>
    <row r="50143" hidden="1" x14ac:dyDescent="0.15"/>
    <row r="50144" hidden="1" x14ac:dyDescent="0.15"/>
    <row r="50145" hidden="1" x14ac:dyDescent="0.15"/>
    <row r="50146" hidden="1" x14ac:dyDescent="0.15"/>
    <row r="50147" hidden="1" x14ac:dyDescent="0.15"/>
    <row r="50148" hidden="1" x14ac:dyDescent="0.15"/>
    <row r="50149" hidden="1" x14ac:dyDescent="0.15"/>
    <row r="50150" hidden="1" x14ac:dyDescent="0.15"/>
    <row r="50151" hidden="1" x14ac:dyDescent="0.15"/>
    <row r="50152" hidden="1" x14ac:dyDescent="0.15"/>
    <row r="50153" hidden="1" x14ac:dyDescent="0.15"/>
    <row r="50154" hidden="1" x14ac:dyDescent="0.15"/>
    <row r="50155" hidden="1" x14ac:dyDescent="0.15"/>
    <row r="50156" hidden="1" x14ac:dyDescent="0.15"/>
    <row r="50157" hidden="1" x14ac:dyDescent="0.15"/>
    <row r="50158" hidden="1" x14ac:dyDescent="0.15"/>
    <row r="50159" hidden="1" x14ac:dyDescent="0.15"/>
    <row r="50160" hidden="1" x14ac:dyDescent="0.15"/>
    <row r="50161" hidden="1" x14ac:dyDescent="0.15"/>
    <row r="50162" hidden="1" x14ac:dyDescent="0.15"/>
    <row r="50163" hidden="1" x14ac:dyDescent="0.15"/>
    <row r="50164" hidden="1" x14ac:dyDescent="0.15"/>
    <row r="50165" hidden="1" x14ac:dyDescent="0.15"/>
    <row r="50166" hidden="1" x14ac:dyDescent="0.15"/>
    <row r="50167" hidden="1" x14ac:dyDescent="0.15"/>
    <row r="50168" hidden="1" x14ac:dyDescent="0.15"/>
    <row r="50169" hidden="1" x14ac:dyDescent="0.15"/>
    <row r="50170" hidden="1" x14ac:dyDescent="0.15"/>
    <row r="50171" hidden="1" x14ac:dyDescent="0.15"/>
    <row r="50172" hidden="1" x14ac:dyDescent="0.15"/>
    <row r="50173" hidden="1" x14ac:dyDescent="0.15"/>
    <row r="50174" hidden="1" x14ac:dyDescent="0.15"/>
    <row r="50175" hidden="1" x14ac:dyDescent="0.15"/>
    <row r="50176" hidden="1" x14ac:dyDescent="0.15"/>
    <row r="50177" hidden="1" x14ac:dyDescent="0.15"/>
    <row r="50178" hidden="1" x14ac:dyDescent="0.15"/>
    <row r="50179" hidden="1" x14ac:dyDescent="0.15"/>
    <row r="50180" hidden="1" x14ac:dyDescent="0.15"/>
    <row r="50181" hidden="1" x14ac:dyDescent="0.15"/>
    <row r="50182" hidden="1" x14ac:dyDescent="0.15"/>
    <row r="50183" hidden="1" x14ac:dyDescent="0.15"/>
    <row r="50184" hidden="1" x14ac:dyDescent="0.15"/>
    <row r="50185" hidden="1" x14ac:dyDescent="0.15"/>
    <row r="50186" hidden="1" x14ac:dyDescent="0.15"/>
    <row r="50187" hidden="1" x14ac:dyDescent="0.15"/>
    <row r="50188" hidden="1" x14ac:dyDescent="0.15"/>
    <row r="50189" hidden="1" x14ac:dyDescent="0.15"/>
    <row r="50190" hidden="1" x14ac:dyDescent="0.15"/>
    <row r="50191" hidden="1" x14ac:dyDescent="0.15"/>
    <row r="50192" hidden="1" x14ac:dyDescent="0.15"/>
    <row r="50193" hidden="1" x14ac:dyDescent="0.15"/>
    <row r="50194" hidden="1" x14ac:dyDescent="0.15"/>
    <row r="50195" hidden="1" x14ac:dyDescent="0.15"/>
    <row r="50196" hidden="1" x14ac:dyDescent="0.15"/>
    <row r="50197" hidden="1" x14ac:dyDescent="0.15"/>
    <row r="50198" hidden="1" x14ac:dyDescent="0.15"/>
    <row r="50199" hidden="1" x14ac:dyDescent="0.15"/>
    <row r="50200" hidden="1" x14ac:dyDescent="0.15"/>
    <row r="50201" hidden="1" x14ac:dyDescent="0.15"/>
    <row r="50202" hidden="1" x14ac:dyDescent="0.15"/>
    <row r="50203" hidden="1" x14ac:dyDescent="0.15"/>
    <row r="50204" hidden="1" x14ac:dyDescent="0.15"/>
    <row r="50205" hidden="1" x14ac:dyDescent="0.15"/>
    <row r="50206" hidden="1" x14ac:dyDescent="0.15"/>
    <row r="50207" hidden="1" x14ac:dyDescent="0.15"/>
    <row r="50208" hidden="1" x14ac:dyDescent="0.15"/>
    <row r="50209" hidden="1" x14ac:dyDescent="0.15"/>
    <row r="50210" hidden="1" x14ac:dyDescent="0.15"/>
    <row r="50211" hidden="1" x14ac:dyDescent="0.15"/>
    <row r="50212" hidden="1" x14ac:dyDescent="0.15"/>
    <row r="50213" hidden="1" x14ac:dyDescent="0.15"/>
    <row r="50214" hidden="1" x14ac:dyDescent="0.15"/>
    <row r="50215" hidden="1" x14ac:dyDescent="0.15"/>
    <row r="50216" hidden="1" x14ac:dyDescent="0.15"/>
    <row r="50217" hidden="1" x14ac:dyDescent="0.15"/>
    <row r="50218" hidden="1" x14ac:dyDescent="0.15"/>
    <row r="50219" hidden="1" x14ac:dyDescent="0.15"/>
    <row r="50220" hidden="1" x14ac:dyDescent="0.15"/>
    <row r="50221" hidden="1" x14ac:dyDescent="0.15"/>
    <row r="50222" hidden="1" x14ac:dyDescent="0.15"/>
    <row r="50223" hidden="1" x14ac:dyDescent="0.15"/>
    <row r="50224" hidden="1" x14ac:dyDescent="0.15"/>
    <row r="50225" hidden="1" x14ac:dyDescent="0.15"/>
    <row r="50226" hidden="1" x14ac:dyDescent="0.15"/>
    <row r="50227" hidden="1" x14ac:dyDescent="0.15"/>
    <row r="50228" hidden="1" x14ac:dyDescent="0.15"/>
    <row r="50229" hidden="1" x14ac:dyDescent="0.15"/>
    <row r="50230" hidden="1" x14ac:dyDescent="0.15"/>
    <row r="50231" hidden="1" x14ac:dyDescent="0.15"/>
    <row r="50232" hidden="1" x14ac:dyDescent="0.15"/>
    <row r="50233" hidden="1" x14ac:dyDescent="0.15"/>
    <row r="50234" hidden="1" x14ac:dyDescent="0.15"/>
    <row r="50235" hidden="1" x14ac:dyDescent="0.15"/>
    <row r="50236" hidden="1" x14ac:dyDescent="0.15"/>
    <row r="50237" hidden="1" x14ac:dyDescent="0.15"/>
    <row r="50238" hidden="1" x14ac:dyDescent="0.15"/>
    <row r="50239" hidden="1" x14ac:dyDescent="0.15"/>
    <row r="50240" hidden="1" x14ac:dyDescent="0.15"/>
    <row r="50241" hidden="1" x14ac:dyDescent="0.15"/>
    <row r="50242" hidden="1" x14ac:dyDescent="0.15"/>
    <row r="50243" hidden="1" x14ac:dyDescent="0.15"/>
    <row r="50244" hidden="1" x14ac:dyDescent="0.15"/>
    <row r="50245" hidden="1" x14ac:dyDescent="0.15"/>
    <row r="50246" hidden="1" x14ac:dyDescent="0.15"/>
    <row r="50247" hidden="1" x14ac:dyDescent="0.15"/>
    <row r="50248" hidden="1" x14ac:dyDescent="0.15"/>
    <row r="50249" hidden="1" x14ac:dyDescent="0.15"/>
    <row r="50250" hidden="1" x14ac:dyDescent="0.15"/>
    <row r="50251" hidden="1" x14ac:dyDescent="0.15"/>
    <row r="50252" hidden="1" x14ac:dyDescent="0.15"/>
    <row r="50253" hidden="1" x14ac:dyDescent="0.15"/>
    <row r="50254" hidden="1" x14ac:dyDescent="0.15"/>
    <row r="50255" hidden="1" x14ac:dyDescent="0.15"/>
    <row r="50256" hidden="1" x14ac:dyDescent="0.15"/>
    <row r="50257" hidden="1" x14ac:dyDescent="0.15"/>
    <row r="50258" hidden="1" x14ac:dyDescent="0.15"/>
    <row r="50259" hidden="1" x14ac:dyDescent="0.15"/>
    <row r="50260" hidden="1" x14ac:dyDescent="0.15"/>
    <row r="50261" hidden="1" x14ac:dyDescent="0.15"/>
    <row r="50262" hidden="1" x14ac:dyDescent="0.15"/>
    <row r="50263" hidden="1" x14ac:dyDescent="0.15"/>
    <row r="50264" hidden="1" x14ac:dyDescent="0.15"/>
    <row r="50265" hidden="1" x14ac:dyDescent="0.15"/>
    <row r="50266" hidden="1" x14ac:dyDescent="0.15"/>
    <row r="50267" hidden="1" x14ac:dyDescent="0.15"/>
    <row r="50268" hidden="1" x14ac:dyDescent="0.15"/>
    <row r="50269" hidden="1" x14ac:dyDescent="0.15"/>
    <row r="50270" hidden="1" x14ac:dyDescent="0.15"/>
    <row r="50271" hidden="1" x14ac:dyDescent="0.15"/>
    <row r="50272" hidden="1" x14ac:dyDescent="0.15"/>
    <row r="50273" hidden="1" x14ac:dyDescent="0.15"/>
    <row r="50274" hidden="1" x14ac:dyDescent="0.15"/>
    <row r="50275" hidden="1" x14ac:dyDescent="0.15"/>
    <row r="50276" hidden="1" x14ac:dyDescent="0.15"/>
    <row r="50277" hidden="1" x14ac:dyDescent="0.15"/>
    <row r="50278" hidden="1" x14ac:dyDescent="0.15"/>
    <row r="50279" hidden="1" x14ac:dyDescent="0.15"/>
    <row r="50280" hidden="1" x14ac:dyDescent="0.15"/>
    <row r="50281" hidden="1" x14ac:dyDescent="0.15"/>
    <row r="50282" hidden="1" x14ac:dyDescent="0.15"/>
    <row r="50283" hidden="1" x14ac:dyDescent="0.15"/>
    <row r="50284" hidden="1" x14ac:dyDescent="0.15"/>
    <row r="50285" hidden="1" x14ac:dyDescent="0.15"/>
    <row r="50286" hidden="1" x14ac:dyDescent="0.15"/>
    <row r="50287" hidden="1" x14ac:dyDescent="0.15"/>
    <row r="50288" hidden="1" x14ac:dyDescent="0.15"/>
    <row r="50289" hidden="1" x14ac:dyDescent="0.15"/>
    <row r="50290" hidden="1" x14ac:dyDescent="0.15"/>
    <row r="50291" hidden="1" x14ac:dyDescent="0.15"/>
    <row r="50292" hidden="1" x14ac:dyDescent="0.15"/>
    <row r="50293" hidden="1" x14ac:dyDescent="0.15"/>
    <row r="50294" hidden="1" x14ac:dyDescent="0.15"/>
    <row r="50295" hidden="1" x14ac:dyDescent="0.15"/>
    <row r="50296" hidden="1" x14ac:dyDescent="0.15"/>
    <row r="50297" hidden="1" x14ac:dyDescent="0.15"/>
    <row r="50298" hidden="1" x14ac:dyDescent="0.15"/>
    <row r="50299" hidden="1" x14ac:dyDescent="0.15"/>
    <row r="50300" hidden="1" x14ac:dyDescent="0.15"/>
    <row r="50301" hidden="1" x14ac:dyDescent="0.15"/>
    <row r="50302" hidden="1" x14ac:dyDescent="0.15"/>
    <row r="50303" hidden="1" x14ac:dyDescent="0.15"/>
    <row r="50304" hidden="1" x14ac:dyDescent="0.15"/>
    <row r="50305" hidden="1" x14ac:dyDescent="0.15"/>
    <row r="50306" hidden="1" x14ac:dyDescent="0.15"/>
    <row r="50307" hidden="1" x14ac:dyDescent="0.15"/>
    <row r="50308" hidden="1" x14ac:dyDescent="0.15"/>
    <row r="50309" hidden="1" x14ac:dyDescent="0.15"/>
    <row r="50310" hidden="1" x14ac:dyDescent="0.15"/>
    <row r="50311" hidden="1" x14ac:dyDescent="0.15"/>
    <row r="50312" hidden="1" x14ac:dyDescent="0.15"/>
    <row r="50313" hidden="1" x14ac:dyDescent="0.15"/>
    <row r="50314" hidden="1" x14ac:dyDescent="0.15"/>
    <row r="50315" hidden="1" x14ac:dyDescent="0.15"/>
    <row r="50316" hidden="1" x14ac:dyDescent="0.15"/>
    <row r="50317" hidden="1" x14ac:dyDescent="0.15"/>
    <row r="50318" hidden="1" x14ac:dyDescent="0.15"/>
    <row r="50319" hidden="1" x14ac:dyDescent="0.15"/>
    <row r="50320" hidden="1" x14ac:dyDescent="0.15"/>
    <row r="50321" hidden="1" x14ac:dyDescent="0.15"/>
    <row r="50322" hidden="1" x14ac:dyDescent="0.15"/>
    <row r="50323" hidden="1" x14ac:dyDescent="0.15"/>
    <row r="50324" hidden="1" x14ac:dyDescent="0.15"/>
    <row r="50325" hidden="1" x14ac:dyDescent="0.15"/>
    <row r="50326" hidden="1" x14ac:dyDescent="0.15"/>
    <row r="50327" hidden="1" x14ac:dyDescent="0.15"/>
    <row r="50328" hidden="1" x14ac:dyDescent="0.15"/>
    <row r="50329" hidden="1" x14ac:dyDescent="0.15"/>
    <row r="50330" hidden="1" x14ac:dyDescent="0.15"/>
    <row r="50331" hidden="1" x14ac:dyDescent="0.15"/>
    <row r="50332" hidden="1" x14ac:dyDescent="0.15"/>
    <row r="50333" hidden="1" x14ac:dyDescent="0.15"/>
    <row r="50334" hidden="1" x14ac:dyDescent="0.15"/>
    <row r="50335" hidden="1" x14ac:dyDescent="0.15"/>
    <row r="50336" hidden="1" x14ac:dyDescent="0.15"/>
    <row r="50337" hidden="1" x14ac:dyDescent="0.15"/>
    <row r="50338" hidden="1" x14ac:dyDescent="0.15"/>
    <row r="50339" hidden="1" x14ac:dyDescent="0.15"/>
    <row r="50340" hidden="1" x14ac:dyDescent="0.15"/>
    <row r="50341" hidden="1" x14ac:dyDescent="0.15"/>
    <row r="50342" hidden="1" x14ac:dyDescent="0.15"/>
    <row r="50343" hidden="1" x14ac:dyDescent="0.15"/>
    <row r="50344" hidden="1" x14ac:dyDescent="0.15"/>
    <row r="50345" hidden="1" x14ac:dyDescent="0.15"/>
    <row r="50346" hidden="1" x14ac:dyDescent="0.15"/>
    <row r="50347" hidden="1" x14ac:dyDescent="0.15"/>
    <row r="50348" hidden="1" x14ac:dyDescent="0.15"/>
    <row r="50349" hidden="1" x14ac:dyDescent="0.15"/>
    <row r="50350" hidden="1" x14ac:dyDescent="0.15"/>
    <row r="50351" hidden="1" x14ac:dyDescent="0.15"/>
    <row r="50352" hidden="1" x14ac:dyDescent="0.15"/>
    <row r="50353" hidden="1" x14ac:dyDescent="0.15"/>
    <row r="50354" hidden="1" x14ac:dyDescent="0.15"/>
    <row r="50355" hidden="1" x14ac:dyDescent="0.15"/>
    <row r="50356" hidden="1" x14ac:dyDescent="0.15"/>
    <row r="50357" hidden="1" x14ac:dyDescent="0.15"/>
    <row r="50358" hidden="1" x14ac:dyDescent="0.15"/>
    <row r="50359" hidden="1" x14ac:dyDescent="0.15"/>
    <row r="50360" hidden="1" x14ac:dyDescent="0.15"/>
    <row r="50361" hidden="1" x14ac:dyDescent="0.15"/>
    <row r="50362" hidden="1" x14ac:dyDescent="0.15"/>
    <row r="50363" hidden="1" x14ac:dyDescent="0.15"/>
    <row r="50364" hidden="1" x14ac:dyDescent="0.15"/>
    <row r="50365" hidden="1" x14ac:dyDescent="0.15"/>
    <row r="50366" hidden="1" x14ac:dyDescent="0.15"/>
    <row r="50367" hidden="1" x14ac:dyDescent="0.15"/>
    <row r="50368" hidden="1" x14ac:dyDescent="0.15"/>
    <row r="50369" hidden="1" x14ac:dyDescent="0.15"/>
    <row r="50370" hidden="1" x14ac:dyDescent="0.15"/>
    <row r="50371" hidden="1" x14ac:dyDescent="0.15"/>
    <row r="50372" hidden="1" x14ac:dyDescent="0.15"/>
    <row r="50373" hidden="1" x14ac:dyDescent="0.15"/>
    <row r="50374" hidden="1" x14ac:dyDescent="0.15"/>
    <row r="50375" hidden="1" x14ac:dyDescent="0.15"/>
    <row r="50376" hidden="1" x14ac:dyDescent="0.15"/>
    <row r="50377" hidden="1" x14ac:dyDescent="0.15"/>
    <row r="50378" hidden="1" x14ac:dyDescent="0.15"/>
    <row r="50379" hidden="1" x14ac:dyDescent="0.15"/>
    <row r="50380" hidden="1" x14ac:dyDescent="0.15"/>
    <row r="50381" hidden="1" x14ac:dyDescent="0.15"/>
    <row r="50382" hidden="1" x14ac:dyDescent="0.15"/>
    <row r="50383" hidden="1" x14ac:dyDescent="0.15"/>
    <row r="50384" hidden="1" x14ac:dyDescent="0.15"/>
    <row r="50385" hidden="1" x14ac:dyDescent="0.15"/>
    <row r="50386" hidden="1" x14ac:dyDescent="0.15"/>
    <row r="50387" hidden="1" x14ac:dyDescent="0.15"/>
    <row r="50388" hidden="1" x14ac:dyDescent="0.15"/>
    <row r="50389" hidden="1" x14ac:dyDescent="0.15"/>
    <row r="50390" hidden="1" x14ac:dyDescent="0.15"/>
    <row r="50391" hidden="1" x14ac:dyDescent="0.15"/>
    <row r="50392" hidden="1" x14ac:dyDescent="0.15"/>
    <row r="50393" hidden="1" x14ac:dyDescent="0.15"/>
    <row r="50394" hidden="1" x14ac:dyDescent="0.15"/>
    <row r="50395" hidden="1" x14ac:dyDescent="0.15"/>
    <row r="50396" hidden="1" x14ac:dyDescent="0.15"/>
    <row r="50397" hidden="1" x14ac:dyDescent="0.15"/>
    <row r="50398" hidden="1" x14ac:dyDescent="0.15"/>
    <row r="50399" hidden="1" x14ac:dyDescent="0.15"/>
    <row r="50400" hidden="1" x14ac:dyDescent="0.15"/>
    <row r="50401" hidden="1" x14ac:dyDescent="0.15"/>
    <row r="50402" hidden="1" x14ac:dyDescent="0.15"/>
    <row r="50403" hidden="1" x14ac:dyDescent="0.15"/>
    <row r="50404" hidden="1" x14ac:dyDescent="0.15"/>
    <row r="50405" hidden="1" x14ac:dyDescent="0.15"/>
    <row r="50406" hidden="1" x14ac:dyDescent="0.15"/>
    <row r="50407" hidden="1" x14ac:dyDescent="0.15"/>
    <row r="50408" hidden="1" x14ac:dyDescent="0.15"/>
    <row r="50409" hidden="1" x14ac:dyDescent="0.15"/>
    <row r="50410" hidden="1" x14ac:dyDescent="0.15"/>
    <row r="50411" hidden="1" x14ac:dyDescent="0.15"/>
    <row r="50412" hidden="1" x14ac:dyDescent="0.15"/>
    <row r="50413" hidden="1" x14ac:dyDescent="0.15"/>
    <row r="50414" hidden="1" x14ac:dyDescent="0.15"/>
    <row r="50415" hidden="1" x14ac:dyDescent="0.15"/>
    <row r="50416" hidden="1" x14ac:dyDescent="0.15"/>
    <row r="50417" hidden="1" x14ac:dyDescent="0.15"/>
    <row r="50418" hidden="1" x14ac:dyDescent="0.15"/>
    <row r="50419" hidden="1" x14ac:dyDescent="0.15"/>
    <row r="50420" hidden="1" x14ac:dyDescent="0.15"/>
    <row r="50421" hidden="1" x14ac:dyDescent="0.15"/>
    <row r="50422" hidden="1" x14ac:dyDescent="0.15"/>
    <row r="50423" hidden="1" x14ac:dyDescent="0.15"/>
    <row r="50424" hidden="1" x14ac:dyDescent="0.15"/>
    <row r="50425" hidden="1" x14ac:dyDescent="0.15"/>
    <row r="50426" hidden="1" x14ac:dyDescent="0.15"/>
    <row r="50427" hidden="1" x14ac:dyDescent="0.15"/>
    <row r="50428" hidden="1" x14ac:dyDescent="0.15"/>
    <row r="50429" hidden="1" x14ac:dyDescent="0.15"/>
    <row r="50430" hidden="1" x14ac:dyDescent="0.15"/>
    <row r="50431" hidden="1" x14ac:dyDescent="0.15"/>
    <row r="50432" hidden="1" x14ac:dyDescent="0.15"/>
    <row r="50433" hidden="1" x14ac:dyDescent="0.15"/>
    <row r="50434" hidden="1" x14ac:dyDescent="0.15"/>
    <row r="50435" hidden="1" x14ac:dyDescent="0.15"/>
    <row r="50436" hidden="1" x14ac:dyDescent="0.15"/>
    <row r="50437" hidden="1" x14ac:dyDescent="0.15"/>
    <row r="50438" hidden="1" x14ac:dyDescent="0.15"/>
    <row r="50439" hidden="1" x14ac:dyDescent="0.15"/>
    <row r="50440" hidden="1" x14ac:dyDescent="0.15"/>
    <row r="50441" hidden="1" x14ac:dyDescent="0.15"/>
    <row r="50442" hidden="1" x14ac:dyDescent="0.15"/>
    <row r="50443" hidden="1" x14ac:dyDescent="0.15"/>
    <row r="50444" hidden="1" x14ac:dyDescent="0.15"/>
    <row r="50445" hidden="1" x14ac:dyDescent="0.15"/>
    <row r="50446" hidden="1" x14ac:dyDescent="0.15"/>
    <row r="50447" hidden="1" x14ac:dyDescent="0.15"/>
    <row r="50448" hidden="1" x14ac:dyDescent="0.15"/>
    <row r="50449" hidden="1" x14ac:dyDescent="0.15"/>
    <row r="50450" hidden="1" x14ac:dyDescent="0.15"/>
    <row r="50451" hidden="1" x14ac:dyDescent="0.15"/>
    <row r="50452" hidden="1" x14ac:dyDescent="0.15"/>
    <row r="50453" hidden="1" x14ac:dyDescent="0.15"/>
    <row r="50454" hidden="1" x14ac:dyDescent="0.15"/>
    <row r="50455" hidden="1" x14ac:dyDescent="0.15"/>
    <row r="50456" hidden="1" x14ac:dyDescent="0.15"/>
    <row r="50457" hidden="1" x14ac:dyDescent="0.15"/>
    <row r="50458" hidden="1" x14ac:dyDescent="0.15"/>
    <row r="50459" hidden="1" x14ac:dyDescent="0.15"/>
    <row r="50460" hidden="1" x14ac:dyDescent="0.15"/>
    <row r="50461" hidden="1" x14ac:dyDescent="0.15"/>
    <row r="50462" hidden="1" x14ac:dyDescent="0.15"/>
    <row r="50463" hidden="1" x14ac:dyDescent="0.15"/>
    <row r="50464" hidden="1" x14ac:dyDescent="0.15"/>
    <row r="50465" hidden="1" x14ac:dyDescent="0.15"/>
    <row r="50466" hidden="1" x14ac:dyDescent="0.15"/>
    <row r="50467" hidden="1" x14ac:dyDescent="0.15"/>
    <row r="50468" hidden="1" x14ac:dyDescent="0.15"/>
    <row r="50469" hidden="1" x14ac:dyDescent="0.15"/>
    <row r="50470" hidden="1" x14ac:dyDescent="0.15"/>
    <row r="50471" hidden="1" x14ac:dyDescent="0.15"/>
    <row r="50472" hidden="1" x14ac:dyDescent="0.15"/>
    <row r="50473" hidden="1" x14ac:dyDescent="0.15"/>
    <row r="50474" hidden="1" x14ac:dyDescent="0.15"/>
    <row r="50475" hidden="1" x14ac:dyDescent="0.15"/>
    <row r="50476" hidden="1" x14ac:dyDescent="0.15"/>
    <row r="50477" hidden="1" x14ac:dyDescent="0.15"/>
    <row r="50478" hidden="1" x14ac:dyDescent="0.15"/>
    <row r="50479" hidden="1" x14ac:dyDescent="0.15"/>
    <row r="50480" hidden="1" x14ac:dyDescent="0.15"/>
    <row r="50481" hidden="1" x14ac:dyDescent="0.15"/>
    <row r="50482" hidden="1" x14ac:dyDescent="0.15"/>
    <row r="50483" hidden="1" x14ac:dyDescent="0.15"/>
    <row r="50484" hidden="1" x14ac:dyDescent="0.15"/>
    <row r="50485" hidden="1" x14ac:dyDescent="0.15"/>
    <row r="50486" hidden="1" x14ac:dyDescent="0.15"/>
    <row r="50487" hidden="1" x14ac:dyDescent="0.15"/>
    <row r="50488" hidden="1" x14ac:dyDescent="0.15"/>
    <row r="50489" hidden="1" x14ac:dyDescent="0.15"/>
    <row r="50490" hidden="1" x14ac:dyDescent="0.15"/>
    <row r="50491" hidden="1" x14ac:dyDescent="0.15"/>
    <row r="50492" hidden="1" x14ac:dyDescent="0.15"/>
    <row r="50493" hidden="1" x14ac:dyDescent="0.15"/>
    <row r="50494" hidden="1" x14ac:dyDescent="0.15"/>
    <row r="50495" hidden="1" x14ac:dyDescent="0.15"/>
    <row r="50496" hidden="1" x14ac:dyDescent="0.15"/>
    <row r="50497" hidden="1" x14ac:dyDescent="0.15"/>
    <row r="50498" hidden="1" x14ac:dyDescent="0.15"/>
    <row r="50499" hidden="1" x14ac:dyDescent="0.15"/>
    <row r="50500" hidden="1" x14ac:dyDescent="0.15"/>
    <row r="50501" hidden="1" x14ac:dyDescent="0.15"/>
    <row r="50502" hidden="1" x14ac:dyDescent="0.15"/>
    <row r="50503" hidden="1" x14ac:dyDescent="0.15"/>
    <row r="50504" hidden="1" x14ac:dyDescent="0.15"/>
    <row r="50505" hidden="1" x14ac:dyDescent="0.15"/>
    <row r="50506" hidden="1" x14ac:dyDescent="0.15"/>
    <row r="50507" hidden="1" x14ac:dyDescent="0.15"/>
    <row r="50508" hidden="1" x14ac:dyDescent="0.15"/>
    <row r="50509" hidden="1" x14ac:dyDescent="0.15"/>
    <row r="50510" hidden="1" x14ac:dyDescent="0.15"/>
    <row r="50511" hidden="1" x14ac:dyDescent="0.15"/>
    <row r="50512" hidden="1" x14ac:dyDescent="0.15"/>
    <row r="50513" hidden="1" x14ac:dyDescent="0.15"/>
    <row r="50514" hidden="1" x14ac:dyDescent="0.15"/>
    <row r="50515" hidden="1" x14ac:dyDescent="0.15"/>
    <row r="50516" hidden="1" x14ac:dyDescent="0.15"/>
    <row r="50517" hidden="1" x14ac:dyDescent="0.15"/>
    <row r="50518" hidden="1" x14ac:dyDescent="0.15"/>
    <row r="50519" hidden="1" x14ac:dyDescent="0.15"/>
    <row r="50520" hidden="1" x14ac:dyDescent="0.15"/>
    <row r="50521" hidden="1" x14ac:dyDescent="0.15"/>
    <row r="50522" hidden="1" x14ac:dyDescent="0.15"/>
    <row r="50523" hidden="1" x14ac:dyDescent="0.15"/>
    <row r="50524" hidden="1" x14ac:dyDescent="0.15"/>
    <row r="50525" hidden="1" x14ac:dyDescent="0.15"/>
    <row r="50526" hidden="1" x14ac:dyDescent="0.15"/>
    <row r="50527" hidden="1" x14ac:dyDescent="0.15"/>
    <row r="50528" hidden="1" x14ac:dyDescent="0.15"/>
    <row r="50529" hidden="1" x14ac:dyDescent="0.15"/>
    <row r="50530" hidden="1" x14ac:dyDescent="0.15"/>
    <row r="50531" hidden="1" x14ac:dyDescent="0.15"/>
    <row r="50532" hidden="1" x14ac:dyDescent="0.15"/>
    <row r="50533" hidden="1" x14ac:dyDescent="0.15"/>
    <row r="50534" hidden="1" x14ac:dyDescent="0.15"/>
    <row r="50535" hidden="1" x14ac:dyDescent="0.15"/>
    <row r="50536" hidden="1" x14ac:dyDescent="0.15"/>
    <row r="50537" hidden="1" x14ac:dyDescent="0.15"/>
    <row r="50538" hidden="1" x14ac:dyDescent="0.15"/>
    <row r="50539" hidden="1" x14ac:dyDescent="0.15"/>
    <row r="50540" hidden="1" x14ac:dyDescent="0.15"/>
    <row r="50541" hidden="1" x14ac:dyDescent="0.15"/>
    <row r="50542" hidden="1" x14ac:dyDescent="0.15"/>
    <row r="50543" hidden="1" x14ac:dyDescent="0.15"/>
    <row r="50544" hidden="1" x14ac:dyDescent="0.15"/>
    <row r="50545" hidden="1" x14ac:dyDescent="0.15"/>
    <row r="50546" hidden="1" x14ac:dyDescent="0.15"/>
    <row r="50547" hidden="1" x14ac:dyDescent="0.15"/>
    <row r="50548" hidden="1" x14ac:dyDescent="0.15"/>
    <row r="50549" hidden="1" x14ac:dyDescent="0.15"/>
    <row r="50550" hidden="1" x14ac:dyDescent="0.15"/>
    <row r="50551" hidden="1" x14ac:dyDescent="0.15"/>
    <row r="50552" hidden="1" x14ac:dyDescent="0.15"/>
    <row r="50553" hidden="1" x14ac:dyDescent="0.15"/>
    <row r="50554" hidden="1" x14ac:dyDescent="0.15"/>
    <row r="50555" hidden="1" x14ac:dyDescent="0.15"/>
    <row r="50556" hidden="1" x14ac:dyDescent="0.15"/>
    <row r="50557" hidden="1" x14ac:dyDescent="0.15"/>
    <row r="50558" hidden="1" x14ac:dyDescent="0.15"/>
    <row r="50559" hidden="1" x14ac:dyDescent="0.15"/>
    <row r="50560" hidden="1" x14ac:dyDescent="0.15"/>
    <row r="50561" hidden="1" x14ac:dyDescent="0.15"/>
    <row r="50562" hidden="1" x14ac:dyDescent="0.15"/>
    <row r="50563" hidden="1" x14ac:dyDescent="0.15"/>
    <row r="50564" hidden="1" x14ac:dyDescent="0.15"/>
    <row r="50565" hidden="1" x14ac:dyDescent="0.15"/>
    <row r="50566" hidden="1" x14ac:dyDescent="0.15"/>
    <row r="50567" hidden="1" x14ac:dyDescent="0.15"/>
    <row r="50568" hidden="1" x14ac:dyDescent="0.15"/>
    <row r="50569" hidden="1" x14ac:dyDescent="0.15"/>
    <row r="50570" hidden="1" x14ac:dyDescent="0.15"/>
    <row r="50571" hidden="1" x14ac:dyDescent="0.15"/>
    <row r="50572" hidden="1" x14ac:dyDescent="0.15"/>
    <row r="50573" hidden="1" x14ac:dyDescent="0.15"/>
    <row r="50574" hidden="1" x14ac:dyDescent="0.15"/>
    <row r="50575" hidden="1" x14ac:dyDescent="0.15"/>
    <row r="50576" hidden="1" x14ac:dyDescent="0.15"/>
    <row r="50577" hidden="1" x14ac:dyDescent="0.15"/>
    <row r="50578" hidden="1" x14ac:dyDescent="0.15"/>
    <row r="50579" hidden="1" x14ac:dyDescent="0.15"/>
    <row r="50580" hidden="1" x14ac:dyDescent="0.15"/>
    <row r="50581" hidden="1" x14ac:dyDescent="0.15"/>
    <row r="50582" hidden="1" x14ac:dyDescent="0.15"/>
    <row r="50583" hidden="1" x14ac:dyDescent="0.15"/>
    <row r="50584" hidden="1" x14ac:dyDescent="0.15"/>
    <row r="50585" hidden="1" x14ac:dyDescent="0.15"/>
    <row r="50586" hidden="1" x14ac:dyDescent="0.15"/>
    <row r="50587" hidden="1" x14ac:dyDescent="0.15"/>
    <row r="50588" hidden="1" x14ac:dyDescent="0.15"/>
    <row r="50589" hidden="1" x14ac:dyDescent="0.15"/>
    <row r="50590" hidden="1" x14ac:dyDescent="0.15"/>
    <row r="50591" hidden="1" x14ac:dyDescent="0.15"/>
    <row r="50592" hidden="1" x14ac:dyDescent="0.15"/>
    <row r="50593" hidden="1" x14ac:dyDescent="0.15"/>
    <row r="50594" hidden="1" x14ac:dyDescent="0.15"/>
    <row r="50595" hidden="1" x14ac:dyDescent="0.15"/>
    <row r="50596" hidden="1" x14ac:dyDescent="0.15"/>
    <row r="50597" hidden="1" x14ac:dyDescent="0.15"/>
    <row r="50598" hidden="1" x14ac:dyDescent="0.15"/>
    <row r="50599" hidden="1" x14ac:dyDescent="0.15"/>
    <row r="50600" hidden="1" x14ac:dyDescent="0.15"/>
    <row r="50601" hidden="1" x14ac:dyDescent="0.15"/>
    <row r="50602" hidden="1" x14ac:dyDescent="0.15"/>
    <row r="50603" hidden="1" x14ac:dyDescent="0.15"/>
    <row r="50604" hidden="1" x14ac:dyDescent="0.15"/>
    <row r="50605" hidden="1" x14ac:dyDescent="0.15"/>
    <row r="50606" hidden="1" x14ac:dyDescent="0.15"/>
    <row r="50607" hidden="1" x14ac:dyDescent="0.15"/>
    <row r="50608" hidden="1" x14ac:dyDescent="0.15"/>
    <row r="50609" hidden="1" x14ac:dyDescent="0.15"/>
    <row r="50610" hidden="1" x14ac:dyDescent="0.15"/>
    <row r="50611" hidden="1" x14ac:dyDescent="0.15"/>
    <row r="50612" hidden="1" x14ac:dyDescent="0.15"/>
    <row r="50613" hidden="1" x14ac:dyDescent="0.15"/>
    <row r="50614" hidden="1" x14ac:dyDescent="0.15"/>
    <row r="50615" hidden="1" x14ac:dyDescent="0.15"/>
    <row r="50616" hidden="1" x14ac:dyDescent="0.15"/>
    <row r="50617" hidden="1" x14ac:dyDescent="0.15"/>
    <row r="50618" hidden="1" x14ac:dyDescent="0.15"/>
    <row r="50619" hidden="1" x14ac:dyDescent="0.15"/>
    <row r="50620" hidden="1" x14ac:dyDescent="0.15"/>
    <row r="50621" hidden="1" x14ac:dyDescent="0.15"/>
    <row r="50622" hidden="1" x14ac:dyDescent="0.15"/>
    <row r="50623" hidden="1" x14ac:dyDescent="0.15"/>
    <row r="50624" hidden="1" x14ac:dyDescent="0.15"/>
    <row r="50625" hidden="1" x14ac:dyDescent="0.15"/>
    <row r="50626" hidden="1" x14ac:dyDescent="0.15"/>
    <row r="50627" hidden="1" x14ac:dyDescent="0.15"/>
    <row r="50628" hidden="1" x14ac:dyDescent="0.15"/>
    <row r="50629" hidden="1" x14ac:dyDescent="0.15"/>
    <row r="50630" hidden="1" x14ac:dyDescent="0.15"/>
    <row r="50631" hidden="1" x14ac:dyDescent="0.15"/>
    <row r="50632" hidden="1" x14ac:dyDescent="0.15"/>
    <row r="50633" hidden="1" x14ac:dyDescent="0.15"/>
    <row r="50634" hidden="1" x14ac:dyDescent="0.15"/>
    <row r="50635" hidden="1" x14ac:dyDescent="0.15"/>
    <row r="50636" hidden="1" x14ac:dyDescent="0.15"/>
    <row r="50637" hidden="1" x14ac:dyDescent="0.15"/>
    <row r="50638" hidden="1" x14ac:dyDescent="0.15"/>
    <row r="50639" hidden="1" x14ac:dyDescent="0.15"/>
    <row r="50640" hidden="1" x14ac:dyDescent="0.15"/>
    <row r="50641" hidden="1" x14ac:dyDescent="0.15"/>
    <row r="50642" hidden="1" x14ac:dyDescent="0.15"/>
    <row r="50643" hidden="1" x14ac:dyDescent="0.15"/>
    <row r="50644" hidden="1" x14ac:dyDescent="0.15"/>
    <row r="50645" hidden="1" x14ac:dyDescent="0.15"/>
    <row r="50646" hidden="1" x14ac:dyDescent="0.15"/>
    <row r="50647" hidden="1" x14ac:dyDescent="0.15"/>
    <row r="50648" hidden="1" x14ac:dyDescent="0.15"/>
    <row r="50649" hidden="1" x14ac:dyDescent="0.15"/>
    <row r="50650" hidden="1" x14ac:dyDescent="0.15"/>
    <row r="50651" hidden="1" x14ac:dyDescent="0.15"/>
    <row r="50652" hidden="1" x14ac:dyDescent="0.15"/>
    <row r="50653" hidden="1" x14ac:dyDescent="0.15"/>
    <row r="50654" hidden="1" x14ac:dyDescent="0.15"/>
    <row r="50655" hidden="1" x14ac:dyDescent="0.15"/>
    <row r="50656" hidden="1" x14ac:dyDescent="0.15"/>
    <row r="50657" hidden="1" x14ac:dyDescent="0.15"/>
    <row r="50658" hidden="1" x14ac:dyDescent="0.15"/>
    <row r="50659" hidden="1" x14ac:dyDescent="0.15"/>
    <row r="50660" hidden="1" x14ac:dyDescent="0.15"/>
    <row r="50661" hidden="1" x14ac:dyDescent="0.15"/>
    <row r="50662" hidden="1" x14ac:dyDescent="0.15"/>
    <row r="50663" hidden="1" x14ac:dyDescent="0.15"/>
    <row r="50664" hidden="1" x14ac:dyDescent="0.15"/>
    <row r="50665" hidden="1" x14ac:dyDescent="0.15"/>
    <row r="50666" hidden="1" x14ac:dyDescent="0.15"/>
    <row r="50667" hidden="1" x14ac:dyDescent="0.15"/>
    <row r="50668" hidden="1" x14ac:dyDescent="0.15"/>
    <row r="50669" hidden="1" x14ac:dyDescent="0.15"/>
    <row r="50670" hidden="1" x14ac:dyDescent="0.15"/>
    <row r="50671" hidden="1" x14ac:dyDescent="0.15"/>
    <row r="50672" hidden="1" x14ac:dyDescent="0.15"/>
    <row r="50673" hidden="1" x14ac:dyDescent="0.15"/>
    <row r="50674" hidden="1" x14ac:dyDescent="0.15"/>
    <row r="50675" hidden="1" x14ac:dyDescent="0.15"/>
    <row r="50676" hidden="1" x14ac:dyDescent="0.15"/>
    <row r="50677" hidden="1" x14ac:dyDescent="0.15"/>
    <row r="50678" hidden="1" x14ac:dyDescent="0.15"/>
    <row r="50679" hidden="1" x14ac:dyDescent="0.15"/>
    <row r="50680" hidden="1" x14ac:dyDescent="0.15"/>
    <row r="50681" hidden="1" x14ac:dyDescent="0.15"/>
    <row r="50682" hidden="1" x14ac:dyDescent="0.15"/>
    <row r="50683" hidden="1" x14ac:dyDescent="0.15"/>
    <row r="50684" hidden="1" x14ac:dyDescent="0.15"/>
    <row r="50685" hidden="1" x14ac:dyDescent="0.15"/>
    <row r="50686" hidden="1" x14ac:dyDescent="0.15"/>
    <row r="50687" hidden="1" x14ac:dyDescent="0.15"/>
    <row r="50688" hidden="1" x14ac:dyDescent="0.15"/>
    <row r="50689" hidden="1" x14ac:dyDescent="0.15"/>
    <row r="50690" hidden="1" x14ac:dyDescent="0.15"/>
    <row r="50691" hidden="1" x14ac:dyDescent="0.15"/>
    <row r="50692" hidden="1" x14ac:dyDescent="0.15"/>
    <row r="50693" hidden="1" x14ac:dyDescent="0.15"/>
    <row r="50694" hidden="1" x14ac:dyDescent="0.15"/>
    <row r="50695" hidden="1" x14ac:dyDescent="0.15"/>
    <row r="50696" hidden="1" x14ac:dyDescent="0.15"/>
    <row r="50697" hidden="1" x14ac:dyDescent="0.15"/>
    <row r="50698" hidden="1" x14ac:dyDescent="0.15"/>
    <row r="50699" hidden="1" x14ac:dyDescent="0.15"/>
    <row r="50700" hidden="1" x14ac:dyDescent="0.15"/>
    <row r="50701" hidden="1" x14ac:dyDescent="0.15"/>
    <row r="50702" hidden="1" x14ac:dyDescent="0.15"/>
    <row r="50703" hidden="1" x14ac:dyDescent="0.15"/>
    <row r="50704" hidden="1" x14ac:dyDescent="0.15"/>
    <row r="50705" hidden="1" x14ac:dyDescent="0.15"/>
    <row r="50706" hidden="1" x14ac:dyDescent="0.15"/>
    <row r="50707" hidden="1" x14ac:dyDescent="0.15"/>
    <row r="50708" hidden="1" x14ac:dyDescent="0.15"/>
    <row r="50709" hidden="1" x14ac:dyDescent="0.15"/>
    <row r="50710" hidden="1" x14ac:dyDescent="0.15"/>
    <row r="50711" hidden="1" x14ac:dyDescent="0.15"/>
    <row r="50712" hidden="1" x14ac:dyDescent="0.15"/>
    <row r="50713" hidden="1" x14ac:dyDescent="0.15"/>
    <row r="50714" hidden="1" x14ac:dyDescent="0.15"/>
    <row r="50715" hidden="1" x14ac:dyDescent="0.15"/>
    <row r="50716" hidden="1" x14ac:dyDescent="0.15"/>
    <row r="50717" hidden="1" x14ac:dyDescent="0.15"/>
    <row r="50718" hidden="1" x14ac:dyDescent="0.15"/>
    <row r="50719" hidden="1" x14ac:dyDescent="0.15"/>
    <row r="50720" hidden="1" x14ac:dyDescent="0.15"/>
    <row r="50721" hidden="1" x14ac:dyDescent="0.15"/>
    <row r="50722" hidden="1" x14ac:dyDescent="0.15"/>
    <row r="50723" hidden="1" x14ac:dyDescent="0.15"/>
    <row r="50724" hidden="1" x14ac:dyDescent="0.15"/>
    <row r="50725" hidden="1" x14ac:dyDescent="0.15"/>
    <row r="50726" hidden="1" x14ac:dyDescent="0.15"/>
    <row r="50727" hidden="1" x14ac:dyDescent="0.15"/>
    <row r="50728" hidden="1" x14ac:dyDescent="0.15"/>
    <row r="50729" hidden="1" x14ac:dyDescent="0.15"/>
    <row r="50730" hidden="1" x14ac:dyDescent="0.15"/>
    <row r="50731" hidden="1" x14ac:dyDescent="0.15"/>
    <row r="50732" hidden="1" x14ac:dyDescent="0.15"/>
    <row r="50733" hidden="1" x14ac:dyDescent="0.15"/>
    <row r="50734" hidden="1" x14ac:dyDescent="0.15"/>
    <row r="50735" hidden="1" x14ac:dyDescent="0.15"/>
    <row r="50736" hidden="1" x14ac:dyDescent="0.15"/>
    <row r="50737" hidden="1" x14ac:dyDescent="0.15"/>
    <row r="50738" hidden="1" x14ac:dyDescent="0.15"/>
    <row r="50739" hidden="1" x14ac:dyDescent="0.15"/>
    <row r="50740" hidden="1" x14ac:dyDescent="0.15"/>
    <row r="50741" hidden="1" x14ac:dyDescent="0.15"/>
    <row r="50742" hidden="1" x14ac:dyDescent="0.15"/>
    <row r="50743" hidden="1" x14ac:dyDescent="0.15"/>
    <row r="50744" hidden="1" x14ac:dyDescent="0.15"/>
    <row r="50745" hidden="1" x14ac:dyDescent="0.15"/>
    <row r="50746" hidden="1" x14ac:dyDescent="0.15"/>
    <row r="50747" hidden="1" x14ac:dyDescent="0.15"/>
    <row r="50748" hidden="1" x14ac:dyDescent="0.15"/>
    <row r="50749" hidden="1" x14ac:dyDescent="0.15"/>
    <row r="50750" hidden="1" x14ac:dyDescent="0.15"/>
    <row r="50751" hidden="1" x14ac:dyDescent="0.15"/>
    <row r="50752" hidden="1" x14ac:dyDescent="0.15"/>
    <row r="50753" hidden="1" x14ac:dyDescent="0.15"/>
    <row r="50754" hidden="1" x14ac:dyDescent="0.15"/>
    <row r="50755" hidden="1" x14ac:dyDescent="0.15"/>
    <row r="50756" hidden="1" x14ac:dyDescent="0.15"/>
    <row r="50757" hidden="1" x14ac:dyDescent="0.15"/>
    <row r="50758" hidden="1" x14ac:dyDescent="0.15"/>
    <row r="50759" hidden="1" x14ac:dyDescent="0.15"/>
    <row r="50760" hidden="1" x14ac:dyDescent="0.15"/>
    <row r="50761" hidden="1" x14ac:dyDescent="0.15"/>
    <row r="50762" hidden="1" x14ac:dyDescent="0.15"/>
    <row r="50763" hidden="1" x14ac:dyDescent="0.15"/>
    <row r="50764" hidden="1" x14ac:dyDescent="0.15"/>
    <row r="50765" hidden="1" x14ac:dyDescent="0.15"/>
    <row r="50766" hidden="1" x14ac:dyDescent="0.15"/>
    <row r="50767" hidden="1" x14ac:dyDescent="0.15"/>
    <row r="50768" hidden="1" x14ac:dyDescent="0.15"/>
    <row r="50769" hidden="1" x14ac:dyDescent="0.15"/>
    <row r="50770" hidden="1" x14ac:dyDescent="0.15"/>
    <row r="50771" hidden="1" x14ac:dyDescent="0.15"/>
    <row r="50772" hidden="1" x14ac:dyDescent="0.15"/>
    <row r="50773" hidden="1" x14ac:dyDescent="0.15"/>
    <row r="50774" hidden="1" x14ac:dyDescent="0.15"/>
    <row r="50775" hidden="1" x14ac:dyDescent="0.15"/>
    <row r="50776" hidden="1" x14ac:dyDescent="0.15"/>
    <row r="50777" hidden="1" x14ac:dyDescent="0.15"/>
    <row r="50778" hidden="1" x14ac:dyDescent="0.15"/>
    <row r="50779" hidden="1" x14ac:dyDescent="0.15"/>
    <row r="50780" hidden="1" x14ac:dyDescent="0.15"/>
    <row r="50781" hidden="1" x14ac:dyDescent="0.15"/>
    <row r="50782" hidden="1" x14ac:dyDescent="0.15"/>
    <row r="50783" hidden="1" x14ac:dyDescent="0.15"/>
    <row r="50784" hidden="1" x14ac:dyDescent="0.15"/>
    <row r="50785" hidden="1" x14ac:dyDescent="0.15"/>
    <row r="50786" hidden="1" x14ac:dyDescent="0.15"/>
    <row r="50787" hidden="1" x14ac:dyDescent="0.15"/>
    <row r="50788" hidden="1" x14ac:dyDescent="0.15"/>
    <row r="50789" hidden="1" x14ac:dyDescent="0.15"/>
    <row r="50790" hidden="1" x14ac:dyDescent="0.15"/>
    <row r="50791" hidden="1" x14ac:dyDescent="0.15"/>
    <row r="50792" hidden="1" x14ac:dyDescent="0.15"/>
    <row r="50793" hidden="1" x14ac:dyDescent="0.15"/>
    <row r="50794" hidden="1" x14ac:dyDescent="0.15"/>
    <row r="50795" hidden="1" x14ac:dyDescent="0.15"/>
    <row r="50796" hidden="1" x14ac:dyDescent="0.15"/>
    <row r="50797" hidden="1" x14ac:dyDescent="0.15"/>
    <row r="50798" hidden="1" x14ac:dyDescent="0.15"/>
    <row r="50799" hidden="1" x14ac:dyDescent="0.15"/>
    <row r="50800" hidden="1" x14ac:dyDescent="0.15"/>
    <row r="50801" hidden="1" x14ac:dyDescent="0.15"/>
    <row r="50802" hidden="1" x14ac:dyDescent="0.15"/>
    <row r="50803" hidden="1" x14ac:dyDescent="0.15"/>
    <row r="50804" hidden="1" x14ac:dyDescent="0.15"/>
    <row r="50805" hidden="1" x14ac:dyDescent="0.15"/>
    <row r="50806" hidden="1" x14ac:dyDescent="0.15"/>
    <row r="50807" hidden="1" x14ac:dyDescent="0.15"/>
    <row r="50808" hidden="1" x14ac:dyDescent="0.15"/>
    <row r="50809" hidden="1" x14ac:dyDescent="0.15"/>
    <row r="50810" hidden="1" x14ac:dyDescent="0.15"/>
    <row r="50811" hidden="1" x14ac:dyDescent="0.15"/>
    <row r="50812" hidden="1" x14ac:dyDescent="0.15"/>
    <row r="50813" hidden="1" x14ac:dyDescent="0.15"/>
    <row r="50814" hidden="1" x14ac:dyDescent="0.15"/>
    <row r="50815" hidden="1" x14ac:dyDescent="0.15"/>
    <row r="50816" hidden="1" x14ac:dyDescent="0.15"/>
    <row r="50817" hidden="1" x14ac:dyDescent="0.15"/>
    <row r="50818" hidden="1" x14ac:dyDescent="0.15"/>
    <row r="50819" hidden="1" x14ac:dyDescent="0.15"/>
    <row r="50820" hidden="1" x14ac:dyDescent="0.15"/>
    <row r="50821" hidden="1" x14ac:dyDescent="0.15"/>
    <row r="50822" hidden="1" x14ac:dyDescent="0.15"/>
    <row r="50823" hidden="1" x14ac:dyDescent="0.15"/>
    <row r="50824" hidden="1" x14ac:dyDescent="0.15"/>
    <row r="50825" hidden="1" x14ac:dyDescent="0.15"/>
    <row r="50826" hidden="1" x14ac:dyDescent="0.15"/>
    <row r="50827" hidden="1" x14ac:dyDescent="0.15"/>
    <row r="50828" hidden="1" x14ac:dyDescent="0.15"/>
    <row r="50829" hidden="1" x14ac:dyDescent="0.15"/>
    <row r="50830" hidden="1" x14ac:dyDescent="0.15"/>
    <row r="50831" hidden="1" x14ac:dyDescent="0.15"/>
    <row r="50832" hidden="1" x14ac:dyDescent="0.15"/>
    <row r="50833" hidden="1" x14ac:dyDescent="0.15"/>
    <row r="50834" hidden="1" x14ac:dyDescent="0.15"/>
    <row r="50835" hidden="1" x14ac:dyDescent="0.15"/>
    <row r="50836" hidden="1" x14ac:dyDescent="0.15"/>
    <row r="50837" hidden="1" x14ac:dyDescent="0.15"/>
    <row r="50838" hidden="1" x14ac:dyDescent="0.15"/>
    <row r="50839" hidden="1" x14ac:dyDescent="0.15"/>
    <row r="50840" hidden="1" x14ac:dyDescent="0.15"/>
    <row r="50841" hidden="1" x14ac:dyDescent="0.15"/>
    <row r="50842" hidden="1" x14ac:dyDescent="0.15"/>
    <row r="50843" hidden="1" x14ac:dyDescent="0.15"/>
    <row r="50844" hidden="1" x14ac:dyDescent="0.15"/>
    <row r="50845" hidden="1" x14ac:dyDescent="0.15"/>
    <row r="50846" hidden="1" x14ac:dyDescent="0.15"/>
    <row r="50847" hidden="1" x14ac:dyDescent="0.15"/>
    <row r="50848" hidden="1" x14ac:dyDescent="0.15"/>
    <row r="50849" hidden="1" x14ac:dyDescent="0.15"/>
    <row r="50850" hidden="1" x14ac:dyDescent="0.15"/>
    <row r="50851" hidden="1" x14ac:dyDescent="0.15"/>
    <row r="50852" hidden="1" x14ac:dyDescent="0.15"/>
    <row r="50853" hidden="1" x14ac:dyDescent="0.15"/>
    <row r="50854" hidden="1" x14ac:dyDescent="0.15"/>
    <row r="50855" hidden="1" x14ac:dyDescent="0.15"/>
    <row r="50856" hidden="1" x14ac:dyDescent="0.15"/>
    <row r="50857" hidden="1" x14ac:dyDescent="0.15"/>
    <row r="50858" hidden="1" x14ac:dyDescent="0.15"/>
    <row r="50859" hidden="1" x14ac:dyDescent="0.15"/>
    <row r="50860" hidden="1" x14ac:dyDescent="0.15"/>
    <row r="50861" hidden="1" x14ac:dyDescent="0.15"/>
    <row r="50862" hidden="1" x14ac:dyDescent="0.15"/>
    <row r="50863" hidden="1" x14ac:dyDescent="0.15"/>
    <row r="50864" hidden="1" x14ac:dyDescent="0.15"/>
    <row r="50865" hidden="1" x14ac:dyDescent="0.15"/>
    <row r="50866" hidden="1" x14ac:dyDescent="0.15"/>
    <row r="50867" hidden="1" x14ac:dyDescent="0.15"/>
    <row r="50868" hidden="1" x14ac:dyDescent="0.15"/>
    <row r="50869" hidden="1" x14ac:dyDescent="0.15"/>
    <row r="50870" hidden="1" x14ac:dyDescent="0.15"/>
    <row r="50871" hidden="1" x14ac:dyDescent="0.15"/>
    <row r="50872" hidden="1" x14ac:dyDescent="0.15"/>
    <row r="50873" hidden="1" x14ac:dyDescent="0.15"/>
    <row r="50874" hidden="1" x14ac:dyDescent="0.15"/>
    <row r="50875" hidden="1" x14ac:dyDescent="0.15"/>
    <row r="50876" hidden="1" x14ac:dyDescent="0.15"/>
    <row r="50877" hidden="1" x14ac:dyDescent="0.15"/>
    <row r="50878" hidden="1" x14ac:dyDescent="0.15"/>
    <row r="50879" hidden="1" x14ac:dyDescent="0.15"/>
    <row r="50880" hidden="1" x14ac:dyDescent="0.15"/>
    <row r="50881" hidden="1" x14ac:dyDescent="0.15"/>
    <row r="50882" hidden="1" x14ac:dyDescent="0.15"/>
    <row r="50883" hidden="1" x14ac:dyDescent="0.15"/>
    <row r="50884" hidden="1" x14ac:dyDescent="0.15"/>
    <row r="50885" hidden="1" x14ac:dyDescent="0.15"/>
    <row r="50886" hidden="1" x14ac:dyDescent="0.15"/>
    <row r="50887" hidden="1" x14ac:dyDescent="0.15"/>
    <row r="50888" hidden="1" x14ac:dyDescent="0.15"/>
    <row r="50889" hidden="1" x14ac:dyDescent="0.15"/>
    <row r="50890" hidden="1" x14ac:dyDescent="0.15"/>
    <row r="50891" hidden="1" x14ac:dyDescent="0.15"/>
    <row r="50892" hidden="1" x14ac:dyDescent="0.15"/>
    <row r="50893" hidden="1" x14ac:dyDescent="0.15"/>
    <row r="50894" hidden="1" x14ac:dyDescent="0.15"/>
    <row r="50895" hidden="1" x14ac:dyDescent="0.15"/>
    <row r="50896" hidden="1" x14ac:dyDescent="0.15"/>
    <row r="50897" hidden="1" x14ac:dyDescent="0.15"/>
    <row r="50898" hidden="1" x14ac:dyDescent="0.15"/>
    <row r="50899" hidden="1" x14ac:dyDescent="0.15"/>
    <row r="50900" hidden="1" x14ac:dyDescent="0.15"/>
    <row r="50901" hidden="1" x14ac:dyDescent="0.15"/>
    <row r="50902" hidden="1" x14ac:dyDescent="0.15"/>
    <row r="50903" hidden="1" x14ac:dyDescent="0.15"/>
    <row r="50904" hidden="1" x14ac:dyDescent="0.15"/>
    <row r="50905" hidden="1" x14ac:dyDescent="0.15"/>
    <row r="50906" hidden="1" x14ac:dyDescent="0.15"/>
    <row r="50907" hidden="1" x14ac:dyDescent="0.15"/>
    <row r="50908" hidden="1" x14ac:dyDescent="0.15"/>
    <row r="50909" hidden="1" x14ac:dyDescent="0.15"/>
    <row r="50910" hidden="1" x14ac:dyDescent="0.15"/>
    <row r="50911" hidden="1" x14ac:dyDescent="0.15"/>
    <row r="50912" hidden="1" x14ac:dyDescent="0.15"/>
    <row r="50913" hidden="1" x14ac:dyDescent="0.15"/>
    <row r="50914" hidden="1" x14ac:dyDescent="0.15"/>
    <row r="50915" hidden="1" x14ac:dyDescent="0.15"/>
    <row r="50916" hidden="1" x14ac:dyDescent="0.15"/>
    <row r="50917" hidden="1" x14ac:dyDescent="0.15"/>
    <row r="50918" hidden="1" x14ac:dyDescent="0.15"/>
    <row r="50919" hidden="1" x14ac:dyDescent="0.15"/>
    <row r="50920" hidden="1" x14ac:dyDescent="0.15"/>
    <row r="50921" hidden="1" x14ac:dyDescent="0.15"/>
    <row r="50922" hidden="1" x14ac:dyDescent="0.15"/>
    <row r="50923" hidden="1" x14ac:dyDescent="0.15"/>
    <row r="50924" hidden="1" x14ac:dyDescent="0.15"/>
    <row r="50925" hidden="1" x14ac:dyDescent="0.15"/>
    <row r="50926" hidden="1" x14ac:dyDescent="0.15"/>
    <row r="50927" hidden="1" x14ac:dyDescent="0.15"/>
    <row r="50928" hidden="1" x14ac:dyDescent="0.15"/>
    <row r="50929" hidden="1" x14ac:dyDescent="0.15"/>
    <row r="50930" hidden="1" x14ac:dyDescent="0.15"/>
    <row r="50931" hidden="1" x14ac:dyDescent="0.15"/>
    <row r="50932" hidden="1" x14ac:dyDescent="0.15"/>
    <row r="50933" hidden="1" x14ac:dyDescent="0.15"/>
    <row r="50934" hidden="1" x14ac:dyDescent="0.15"/>
    <row r="50935" hidden="1" x14ac:dyDescent="0.15"/>
    <row r="50936" hidden="1" x14ac:dyDescent="0.15"/>
    <row r="50937" hidden="1" x14ac:dyDescent="0.15"/>
    <row r="50938" hidden="1" x14ac:dyDescent="0.15"/>
    <row r="50939" hidden="1" x14ac:dyDescent="0.15"/>
    <row r="50940" hidden="1" x14ac:dyDescent="0.15"/>
    <row r="50941" hidden="1" x14ac:dyDescent="0.15"/>
    <row r="50942" hidden="1" x14ac:dyDescent="0.15"/>
    <row r="50943" hidden="1" x14ac:dyDescent="0.15"/>
    <row r="50944" hidden="1" x14ac:dyDescent="0.15"/>
    <row r="50945" hidden="1" x14ac:dyDescent="0.15"/>
    <row r="50946" hidden="1" x14ac:dyDescent="0.15"/>
    <row r="50947" hidden="1" x14ac:dyDescent="0.15"/>
    <row r="50948" hidden="1" x14ac:dyDescent="0.15"/>
    <row r="50949" hidden="1" x14ac:dyDescent="0.15"/>
    <row r="50950" hidden="1" x14ac:dyDescent="0.15"/>
    <row r="50951" hidden="1" x14ac:dyDescent="0.15"/>
    <row r="50952" hidden="1" x14ac:dyDescent="0.15"/>
    <row r="50953" hidden="1" x14ac:dyDescent="0.15"/>
    <row r="50954" hidden="1" x14ac:dyDescent="0.15"/>
    <row r="50955" hidden="1" x14ac:dyDescent="0.15"/>
    <row r="50956" hidden="1" x14ac:dyDescent="0.15"/>
    <row r="50957" hidden="1" x14ac:dyDescent="0.15"/>
    <row r="50958" hidden="1" x14ac:dyDescent="0.15"/>
    <row r="50959" hidden="1" x14ac:dyDescent="0.15"/>
    <row r="50960" hidden="1" x14ac:dyDescent="0.15"/>
    <row r="50961" hidden="1" x14ac:dyDescent="0.15"/>
    <row r="50962" hidden="1" x14ac:dyDescent="0.15"/>
    <row r="50963" hidden="1" x14ac:dyDescent="0.15"/>
    <row r="50964" hidden="1" x14ac:dyDescent="0.15"/>
    <row r="50965" hidden="1" x14ac:dyDescent="0.15"/>
    <row r="50966" hidden="1" x14ac:dyDescent="0.15"/>
    <row r="50967" hidden="1" x14ac:dyDescent="0.15"/>
    <row r="50968" hidden="1" x14ac:dyDescent="0.15"/>
    <row r="50969" hidden="1" x14ac:dyDescent="0.15"/>
    <row r="50970" hidden="1" x14ac:dyDescent="0.15"/>
    <row r="50971" hidden="1" x14ac:dyDescent="0.15"/>
    <row r="50972" hidden="1" x14ac:dyDescent="0.15"/>
    <row r="50973" hidden="1" x14ac:dyDescent="0.15"/>
    <row r="50974" hidden="1" x14ac:dyDescent="0.15"/>
    <row r="50975" hidden="1" x14ac:dyDescent="0.15"/>
    <row r="50976" hidden="1" x14ac:dyDescent="0.15"/>
    <row r="50977" hidden="1" x14ac:dyDescent="0.15"/>
    <row r="50978" hidden="1" x14ac:dyDescent="0.15"/>
    <row r="50979" hidden="1" x14ac:dyDescent="0.15"/>
    <row r="50980" hidden="1" x14ac:dyDescent="0.15"/>
    <row r="50981" hidden="1" x14ac:dyDescent="0.15"/>
    <row r="50982" hidden="1" x14ac:dyDescent="0.15"/>
    <row r="50983" hidden="1" x14ac:dyDescent="0.15"/>
    <row r="50984" hidden="1" x14ac:dyDescent="0.15"/>
    <row r="50985" hidden="1" x14ac:dyDescent="0.15"/>
    <row r="50986" hidden="1" x14ac:dyDescent="0.15"/>
    <row r="50987" hidden="1" x14ac:dyDescent="0.15"/>
    <row r="50988" hidden="1" x14ac:dyDescent="0.15"/>
    <row r="50989" hidden="1" x14ac:dyDescent="0.15"/>
    <row r="50990" hidden="1" x14ac:dyDescent="0.15"/>
    <row r="50991" hidden="1" x14ac:dyDescent="0.15"/>
    <row r="50992" hidden="1" x14ac:dyDescent="0.15"/>
    <row r="50993" hidden="1" x14ac:dyDescent="0.15"/>
    <row r="50994" hidden="1" x14ac:dyDescent="0.15"/>
    <row r="50995" hidden="1" x14ac:dyDescent="0.15"/>
    <row r="50996" hidden="1" x14ac:dyDescent="0.15"/>
    <row r="50997" hidden="1" x14ac:dyDescent="0.15"/>
    <row r="50998" hidden="1" x14ac:dyDescent="0.15"/>
    <row r="50999" hidden="1" x14ac:dyDescent="0.15"/>
    <row r="51000" hidden="1" x14ac:dyDescent="0.15"/>
    <row r="51001" hidden="1" x14ac:dyDescent="0.15"/>
    <row r="51002" hidden="1" x14ac:dyDescent="0.15"/>
    <row r="51003" hidden="1" x14ac:dyDescent="0.15"/>
    <row r="51004" hidden="1" x14ac:dyDescent="0.15"/>
    <row r="51005" hidden="1" x14ac:dyDescent="0.15"/>
    <row r="51006" hidden="1" x14ac:dyDescent="0.15"/>
    <row r="51007" hidden="1" x14ac:dyDescent="0.15"/>
    <row r="51008" hidden="1" x14ac:dyDescent="0.15"/>
    <row r="51009" hidden="1" x14ac:dyDescent="0.15"/>
    <row r="51010" hidden="1" x14ac:dyDescent="0.15"/>
    <row r="51011" hidden="1" x14ac:dyDescent="0.15"/>
    <row r="51012" hidden="1" x14ac:dyDescent="0.15"/>
    <row r="51013" hidden="1" x14ac:dyDescent="0.15"/>
    <row r="51014" hidden="1" x14ac:dyDescent="0.15"/>
    <row r="51015" hidden="1" x14ac:dyDescent="0.15"/>
    <row r="51016" hidden="1" x14ac:dyDescent="0.15"/>
    <row r="51017" hidden="1" x14ac:dyDescent="0.15"/>
    <row r="51018" hidden="1" x14ac:dyDescent="0.15"/>
    <row r="51019" hidden="1" x14ac:dyDescent="0.15"/>
    <row r="51020" hidden="1" x14ac:dyDescent="0.15"/>
    <row r="51021" hidden="1" x14ac:dyDescent="0.15"/>
    <row r="51022" hidden="1" x14ac:dyDescent="0.15"/>
    <row r="51023" hidden="1" x14ac:dyDescent="0.15"/>
    <row r="51024" hidden="1" x14ac:dyDescent="0.15"/>
    <row r="51025" hidden="1" x14ac:dyDescent="0.15"/>
    <row r="51026" hidden="1" x14ac:dyDescent="0.15"/>
    <row r="51027" hidden="1" x14ac:dyDescent="0.15"/>
    <row r="51028" hidden="1" x14ac:dyDescent="0.15"/>
    <row r="51029" hidden="1" x14ac:dyDescent="0.15"/>
    <row r="51030" hidden="1" x14ac:dyDescent="0.15"/>
    <row r="51031" hidden="1" x14ac:dyDescent="0.15"/>
    <row r="51032" hidden="1" x14ac:dyDescent="0.15"/>
    <row r="51033" hidden="1" x14ac:dyDescent="0.15"/>
    <row r="51034" hidden="1" x14ac:dyDescent="0.15"/>
    <row r="51035" hidden="1" x14ac:dyDescent="0.15"/>
    <row r="51036" hidden="1" x14ac:dyDescent="0.15"/>
    <row r="51037" hidden="1" x14ac:dyDescent="0.15"/>
    <row r="51038" hidden="1" x14ac:dyDescent="0.15"/>
    <row r="51039" hidden="1" x14ac:dyDescent="0.15"/>
    <row r="51040" hidden="1" x14ac:dyDescent="0.15"/>
    <row r="51041" hidden="1" x14ac:dyDescent="0.15"/>
    <row r="51042" hidden="1" x14ac:dyDescent="0.15"/>
    <row r="51043" hidden="1" x14ac:dyDescent="0.15"/>
    <row r="51044" hidden="1" x14ac:dyDescent="0.15"/>
    <row r="51045" hidden="1" x14ac:dyDescent="0.15"/>
    <row r="51046" hidden="1" x14ac:dyDescent="0.15"/>
    <row r="51047" hidden="1" x14ac:dyDescent="0.15"/>
    <row r="51048" hidden="1" x14ac:dyDescent="0.15"/>
    <row r="51049" hidden="1" x14ac:dyDescent="0.15"/>
    <row r="51050" hidden="1" x14ac:dyDescent="0.15"/>
    <row r="51051" hidden="1" x14ac:dyDescent="0.15"/>
    <row r="51052" hidden="1" x14ac:dyDescent="0.15"/>
    <row r="51053" hidden="1" x14ac:dyDescent="0.15"/>
    <row r="51054" hidden="1" x14ac:dyDescent="0.15"/>
    <row r="51055" hidden="1" x14ac:dyDescent="0.15"/>
    <row r="51056" hidden="1" x14ac:dyDescent="0.15"/>
    <row r="51057" hidden="1" x14ac:dyDescent="0.15"/>
    <row r="51058" hidden="1" x14ac:dyDescent="0.15"/>
    <row r="51059" hidden="1" x14ac:dyDescent="0.15"/>
    <row r="51060" hidden="1" x14ac:dyDescent="0.15"/>
    <row r="51061" hidden="1" x14ac:dyDescent="0.15"/>
    <row r="51062" hidden="1" x14ac:dyDescent="0.15"/>
    <row r="51063" hidden="1" x14ac:dyDescent="0.15"/>
    <row r="51064" hidden="1" x14ac:dyDescent="0.15"/>
    <row r="51065" hidden="1" x14ac:dyDescent="0.15"/>
    <row r="51066" hidden="1" x14ac:dyDescent="0.15"/>
    <row r="51067" hidden="1" x14ac:dyDescent="0.15"/>
    <row r="51068" hidden="1" x14ac:dyDescent="0.15"/>
    <row r="51069" hidden="1" x14ac:dyDescent="0.15"/>
    <row r="51070" hidden="1" x14ac:dyDescent="0.15"/>
    <row r="51071" hidden="1" x14ac:dyDescent="0.15"/>
    <row r="51072" hidden="1" x14ac:dyDescent="0.15"/>
    <row r="51073" hidden="1" x14ac:dyDescent="0.15"/>
    <row r="51074" hidden="1" x14ac:dyDescent="0.15"/>
    <row r="51075" hidden="1" x14ac:dyDescent="0.15"/>
    <row r="51076" hidden="1" x14ac:dyDescent="0.15"/>
    <row r="51077" hidden="1" x14ac:dyDescent="0.15"/>
    <row r="51078" hidden="1" x14ac:dyDescent="0.15"/>
    <row r="51079" hidden="1" x14ac:dyDescent="0.15"/>
    <row r="51080" hidden="1" x14ac:dyDescent="0.15"/>
    <row r="51081" hidden="1" x14ac:dyDescent="0.15"/>
    <row r="51082" hidden="1" x14ac:dyDescent="0.15"/>
    <row r="51083" hidden="1" x14ac:dyDescent="0.15"/>
    <row r="51084" hidden="1" x14ac:dyDescent="0.15"/>
    <row r="51085" hidden="1" x14ac:dyDescent="0.15"/>
    <row r="51086" hidden="1" x14ac:dyDescent="0.15"/>
    <row r="51087" hidden="1" x14ac:dyDescent="0.15"/>
    <row r="51088" hidden="1" x14ac:dyDescent="0.15"/>
    <row r="51089" hidden="1" x14ac:dyDescent="0.15"/>
    <row r="51090" hidden="1" x14ac:dyDescent="0.15"/>
    <row r="51091" hidden="1" x14ac:dyDescent="0.15"/>
    <row r="51092" hidden="1" x14ac:dyDescent="0.15"/>
    <row r="51093" hidden="1" x14ac:dyDescent="0.15"/>
    <row r="51094" hidden="1" x14ac:dyDescent="0.15"/>
    <row r="51095" hidden="1" x14ac:dyDescent="0.15"/>
    <row r="51096" hidden="1" x14ac:dyDescent="0.15"/>
    <row r="51097" hidden="1" x14ac:dyDescent="0.15"/>
    <row r="51098" hidden="1" x14ac:dyDescent="0.15"/>
    <row r="51099" hidden="1" x14ac:dyDescent="0.15"/>
    <row r="51100" hidden="1" x14ac:dyDescent="0.15"/>
    <row r="51101" hidden="1" x14ac:dyDescent="0.15"/>
    <row r="51102" hidden="1" x14ac:dyDescent="0.15"/>
    <row r="51103" hidden="1" x14ac:dyDescent="0.15"/>
    <row r="51104" hidden="1" x14ac:dyDescent="0.15"/>
    <row r="51105" hidden="1" x14ac:dyDescent="0.15"/>
    <row r="51106" hidden="1" x14ac:dyDescent="0.15"/>
    <row r="51107" hidden="1" x14ac:dyDescent="0.15"/>
    <row r="51108" hidden="1" x14ac:dyDescent="0.15"/>
    <row r="51109" hidden="1" x14ac:dyDescent="0.15"/>
    <row r="51110" hidden="1" x14ac:dyDescent="0.15"/>
    <row r="51111" hidden="1" x14ac:dyDescent="0.15"/>
    <row r="51112" hidden="1" x14ac:dyDescent="0.15"/>
    <row r="51113" hidden="1" x14ac:dyDescent="0.15"/>
    <row r="51114" hidden="1" x14ac:dyDescent="0.15"/>
    <row r="51115" hidden="1" x14ac:dyDescent="0.15"/>
    <row r="51116" hidden="1" x14ac:dyDescent="0.15"/>
    <row r="51117" hidden="1" x14ac:dyDescent="0.15"/>
    <row r="51118" hidden="1" x14ac:dyDescent="0.15"/>
    <row r="51119" hidden="1" x14ac:dyDescent="0.15"/>
    <row r="51120" hidden="1" x14ac:dyDescent="0.15"/>
    <row r="51121" hidden="1" x14ac:dyDescent="0.15"/>
    <row r="51122" hidden="1" x14ac:dyDescent="0.15"/>
    <row r="51123" hidden="1" x14ac:dyDescent="0.15"/>
    <row r="51124" hidden="1" x14ac:dyDescent="0.15"/>
    <row r="51125" hidden="1" x14ac:dyDescent="0.15"/>
    <row r="51126" hidden="1" x14ac:dyDescent="0.15"/>
    <row r="51127" hidden="1" x14ac:dyDescent="0.15"/>
    <row r="51128" hidden="1" x14ac:dyDescent="0.15"/>
    <row r="51129" hidden="1" x14ac:dyDescent="0.15"/>
    <row r="51130" hidden="1" x14ac:dyDescent="0.15"/>
    <row r="51131" hidden="1" x14ac:dyDescent="0.15"/>
    <row r="51132" hidden="1" x14ac:dyDescent="0.15"/>
    <row r="51133" hidden="1" x14ac:dyDescent="0.15"/>
    <row r="51134" hidden="1" x14ac:dyDescent="0.15"/>
    <row r="51135" hidden="1" x14ac:dyDescent="0.15"/>
    <row r="51136" hidden="1" x14ac:dyDescent="0.15"/>
    <row r="51137" hidden="1" x14ac:dyDescent="0.15"/>
    <row r="51138" hidden="1" x14ac:dyDescent="0.15"/>
    <row r="51139" hidden="1" x14ac:dyDescent="0.15"/>
    <row r="51140" hidden="1" x14ac:dyDescent="0.15"/>
    <row r="51141" hidden="1" x14ac:dyDescent="0.15"/>
    <row r="51142" hidden="1" x14ac:dyDescent="0.15"/>
    <row r="51143" hidden="1" x14ac:dyDescent="0.15"/>
    <row r="51144" hidden="1" x14ac:dyDescent="0.15"/>
    <row r="51145" hidden="1" x14ac:dyDescent="0.15"/>
    <row r="51146" hidden="1" x14ac:dyDescent="0.15"/>
    <row r="51147" hidden="1" x14ac:dyDescent="0.15"/>
    <row r="51148" hidden="1" x14ac:dyDescent="0.15"/>
    <row r="51149" hidden="1" x14ac:dyDescent="0.15"/>
    <row r="51150" hidden="1" x14ac:dyDescent="0.15"/>
    <row r="51151" hidden="1" x14ac:dyDescent="0.15"/>
    <row r="51152" hidden="1" x14ac:dyDescent="0.15"/>
    <row r="51153" hidden="1" x14ac:dyDescent="0.15"/>
    <row r="51154" hidden="1" x14ac:dyDescent="0.15"/>
    <row r="51155" hidden="1" x14ac:dyDescent="0.15"/>
    <row r="51156" hidden="1" x14ac:dyDescent="0.15"/>
    <row r="51157" hidden="1" x14ac:dyDescent="0.15"/>
    <row r="51158" hidden="1" x14ac:dyDescent="0.15"/>
    <row r="51159" hidden="1" x14ac:dyDescent="0.15"/>
    <row r="51160" hidden="1" x14ac:dyDescent="0.15"/>
    <row r="51161" hidden="1" x14ac:dyDescent="0.15"/>
    <row r="51162" hidden="1" x14ac:dyDescent="0.15"/>
    <row r="51163" hidden="1" x14ac:dyDescent="0.15"/>
    <row r="51164" hidden="1" x14ac:dyDescent="0.15"/>
    <row r="51165" hidden="1" x14ac:dyDescent="0.15"/>
    <row r="51166" hidden="1" x14ac:dyDescent="0.15"/>
    <row r="51167" hidden="1" x14ac:dyDescent="0.15"/>
    <row r="51168" hidden="1" x14ac:dyDescent="0.15"/>
    <row r="51169" hidden="1" x14ac:dyDescent="0.15"/>
    <row r="51170" hidden="1" x14ac:dyDescent="0.15"/>
    <row r="51171" hidden="1" x14ac:dyDescent="0.15"/>
    <row r="51172" hidden="1" x14ac:dyDescent="0.15"/>
    <row r="51173" hidden="1" x14ac:dyDescent="0.15"/>
    <row r="51174" hidden="1" x14ac:dyDescent="0.15"/>
    <row r="51175" hidden="1" x14ac:dyDescent="0.15"/>
    <row r="51176" hidden="1" x14ac:dyDescent="0.15"/>
    <row r="51177" hidden="1" x14ac:dyDescent="0.15"/>
    <row r="51178" hidden="1" x14ac:dyDescent="0.15"/>
    <row r="51179" hidden="1" x14ac:dyDescent="0.15"/>
    <row r="51180" hidden="1" x14ac:dyDescent="0.15"/>
    <row r="51181" hidden="1" x14ac:dyDescent="0.15"/>
    <row r="51182" hidden="1" x14ac:dyDescent="0.15"/>
    <row r="51183" hidden="1" x14ac:dyDescent="0.15"/>
    <row r="51184" hidden="1" x14ac:dyDescent="0.15"/>
    <row r="51185" hidden="1" x14ac:dyDescent="0.15"/>
    <row r="51186" hidden="1" x14ac:dyDescent="0.15"/>
    <row r="51187" hidden="1" x14ac:dyDescent="0.15"/>
    <row r="51188" hidden="1" x14ac:dyDescent="0.15"/>
    <row r="51189" hidden="1" x14ac:dyDescent="0.15"/>
    <row r="51190" hidden="1" x14ac:dyDescent="0.15"/>
    <row r="51191" hidden="1" x14ac:dyDescent="0.15"/>
    <row r="51192" hidden="1" x14ac:dyDescent="0.15"/>
    <row r="51193" hidden="1" x14ac:dyDescent="0.15"/>
    <row r="51194" hidden="1" x14ac:dyDescent="0.15"/>
    <row r="51195" hidden="1" x14ac:dyDescent="0.15"/>
    <row r="51196" hidden="1" x14ac:dyDescent="0.15"/>
    <row r="51197" hidden="1" x14ac:dyDescent="0.15"/>
    <row r="51198" hidden="1" x14ac:dyDescent="0.15"/>
    <row r="51199" hidden="1" x14ac:dyDescent="0.15"/>
    <row r="51200" hidden="1" x14ac:dyDescent="0.15"/>
    <row r="51201" hidden="1" x14ac:dyDescent="0.15"/>
    <row r="51202" hidden="1" x14ac:dyDescent="0.15"/>
    <row r="51203" hidden="1" x14ac:dyDescent="0.15"/>
    <row r="51204" hidden="1" x14ac:dyDescent="0.15"/>
    <row r="51205" hidden="1" x14ac:dyDescent="0.15"/>
    <row r="51206" hidden="1" x14ac:dyDescent="0.15"/>
    <row r="51207" hidden="1" x14ac:dyDescent="0.15"/>
    <row r="51208" hidden="1" x14ac:dyDescent="0.15"/>
    <row r="51209" hidden="1" x14ac:dyDescent="0.15"/>
    <row r="51210" hidden="1" x14ac:dyDescent="0.15"/>
    <row r="51211" hidden="1" x14ac:dyDescent="0.15"/>
    <row r="51212" hidden="1" x14ac:dyDescent="0.15"/>
    <row r="51213" hidden="1" x14ac:dyDescent="0.15"/>
    <row r="51214" hidden="1" x14ac:dyDescent="0.15"/>
    <row r="51215" hidden="1" x14ac:dyDescent="0.15"/>
    <row r="51216" hidden="1" x14ac:dyDescent="0.15"/>
    <row r="51217" hidden="1" x14ac:dyDescent="0.15"/>
    <row r="51218" hidden="1" x14ac:dyDescent="0.15"/>
    <row r="51219" hidden="1" x14ac:dyDescent="0.15"/>
    <row r="51220" hidden="1" x14ac:dyDescent="0.15"/>
    <row r="51221" hidden="1" x14ac:dyDescent="0.15"/>
    <row r="51222" hidden="1" x14ac:dyDescent="0.15"/>
    <row r="51223" hidden="1" x14ac:dyDescent="0.15"/>
    <row r="51224" hidden="1" x14ac:dyDescent="0.15"/>
    <row r="51225" hidden="1" x14ac:dyDescent="0.15"/>
    <row r="51226" hidden="1" x14ac:dyDescent="0.15"/>
    <row r="51227" hidden="1" x14ac:dyDescent="0.15"/>
    <row r="51228" hidden="1" x14ac:dyDescent="0.15"/>
    <row r="51229" hidden="1" x14ac:dyDescent="0.15"/>
    <row r="51230" hidden="1" x14ac:dyDescent="0.15"/>
    <row r="51231" hidden="1" x14ac:dyDescent="0.15"/>
    <row r="51232" hidden="1" x14ac:dyDescent="0.15"/>
    <row r="51233" hidden="1" x14ac:dyDescent="0.15"/>
    <row r="51234" hidden="1" x14ac:dyDescent="0.15"/>
    <row r="51235" hidden="1" x14ac:dyDescent="0.15"/>
    <row r="51236" hidden="1" x14ac:dyDescent="0.15"/>
    <row r="51237" hidden="1" x14ac:dyDescent="0.15"/>
    <row r="51238" hidden="1" x14ac:dyDescent="0.15"/>
    <row r="51239" hidden="1" x14ac:dyDescent="0.15"/>
    <row r="51240" hidden="1" x14ac:dyDescent="0.15"/>
    <row r="51241" hidden="1" x14ac:dyDescent="0.15"/>
    <row r="51242" hidden="1" x14ac:dyDescent="0.15"/>
    <row r="51243" hidden="1" x14ac:dyDescent="0.15"/>
    <row r="51244" hidden="1" x14ac:dyDescent="0.15"/>
    <row r="51245" hidden="1" x14ac:dyDescent="0.15"/>
    <row r="51246" hidden="1" x14ac:dyDescent="0.15"/>
    <row r="51247" hidden="1" x14ac:dyDescent="0.15"/>
    <row r="51248" hidden="1" x14ac:dyDescent="0.15"/>
    <row r="51249" hidden="1" x14ac:dyDescent="0.15"/>
    <row r="51250" hidden="1" x14ac:dyDescent="0.15"/>
    <row r="51251" hidden="1" x14ac:dyDescent="0.15"/>
    <row r="51252" hidden="1" x14ac:dyDescent="0.15"/>
    <row r="51253" hidden="1" x14ac:dyDescent="0.15"/>
    <row r="51254" hidden="1" x14ac:dyDescent="0.15"/>
    <row r="51255" hidden="1" x14ac:dyDescent="0.15"/>
    <row r="51256" hidden="1" x14ac:dyDescent="0.15"/>
    <row r="51257" hidden="1" x14ac:dyDescent="0.15"/>
    <row r="51258" hidden="1" x14ac:dyDescent="0.15"/>
    <row r="51259" hidden="1" x14ac:dyDescent="0.15"/>
    <row r="51260" hidden="1" x14ac:dyDescent="0.15"/>
    <row r="51261" hidden="1" x14ac:dyDescent="0.15"/>
    <row r="51262" hidden="1" x14ac:dyDescent="0.15"/>
    <row r="51263" hidden="1" x14ac:dyDescent="0.15"/>
    <row r="51264" hidden="1" x14ac:dyDescent="0.15"/>
    <row r="51265" hidden="1" x14ac:dyDescent="0.15"/>
    <row r="51266" hidden="1" x14ac:dyDescent="0.15"/>
    <row r="51267" hidden="1" x14ac:dyDescent="0.15"/>
    <row r="51268" hidden="1" x14ac:dyDescent="0.15"/>
    <row r="51269" hidden="1" x14ac:dyDescent="0.15"/>
    <row r="51270" hidden="1" x14ac:dyDescent="0.15"/>
    <row r="51271" hidden="1" x14ac:dyDescent="0.15"/>
    <row r="51272" hidden="1" x14ac:dyDescent="0.15"/>
    <row r="51273" hidden="1" x14ac:dyDescent="0.15"/>
    <row r="51274" hidden="1" x14ac:dyDescent="0.15"/>
    <row r="51275" hidden="1" x14ac:dyDescent="0.15"/>
    <row r="51276" hidden="1" x14ac:dyDescent="0.15"/>
    <row r="51277" hidden="1" x14ac:dyDescent="0.15"/>
    <row r="51278" hidden="1" x14ac:dyDescent="0.15"/>
    <row r="51279" hidden="1" x14ac:dyDescent="0.15"/>
    <row r="51280" hidden="1" x14ac:dyDescent="0.15"/>
    <row r="51281" hidden="1" x14ac:dyDescent="0.15"/>
    <row r="51282" hidden="1" x14ac:dyDescent="0.15"/>
    <row r="51283" hidden="1" x14ac:dyDescent="0.15"/>
    <row r="51284" hidden="1" x14ac:dyDescent="0.15"/>
    <row r="51285" hidden="1" x14ac:dyDescent="0.15"/>
    <row r="51286" hidden="1" x14ac:dyDescent="0.15"/>
    <row r="51287" hidden="1" x14ac:dyDescent="0.15"/>
    <row r="51288" hidden="1" x14ac:dyDescent="0.15"/>
    <row r="51289" hidden="1" x14ac:dyDescent="0.15"/>
    <row r="51290" hidden="1" x14ac:dyDescent="0.15"/>
    <row r="51291" hidden="1" x14ac:dyDescent="0.15"/>
    <row r="51292" hidden="1" x14ac:dyDescent="0.15"/>
    <row r="51293" hidden="1" x14ac:dyDescent="0.15"/>
    <row r="51294" hidden="1" x14ac:dyDescent="0.15"/>
    <row r="51295" hidden="1" x14ac:dyDescent="0.15"/>
    <row r="51296" hidden="1" x14ac:dyDescent="0.15"/>
    <row r="51297" hidden="1" x14ac:dyDescent="0.15"/>
    <row r="51298" hidden="1" x14ac:dyDescent="0.15"/>
    <row r="51299" hidden="1" x14ac:dyDescent="0.15"/>
    <row r="51300" hidden="1" x14ac:dyDescent="0.15"/>
    <row r="51301" hidden="1" x14ac:dyDescent="0.15"/>
    <row r="51302" hidden="1" x14ac:dyDescent="0.15"/>
    <row r="51303" hidden="1" x14ac:dyDescent="0.15"/>
    <row r="51304" hidden="1" x14ac:dyDescent="0.15"/>
    <row r="51305" hidden="1" x14ac:dyDescent="0.15"/>
    <row r="51306" hidden="1" x14ac:dyDescent="0.15"/>
    <row r="51307" hidden="1" x14ac:dyDescent="0.15"/>
    <row r="51308" hidden="1" x14ac:dyDescent="0.15"/>
    <row r="51309" hidden="1" x14ac:dyDescent="0.15"/>
    <row r="51310" hidden="1" x14ac:dyDescent="0.15"/>
    <row r="51311" hidden="1" x14ac:dyDescent="0.15"/>
    <row r="51312" hidden="1" x14ac:dyDescent="0.15"/>
    <row r="51313" hidden="1" x14ac:dyDescent="0.15"/>
    <row r="51314" hidden="1" x14ac:dyDescent="0.15"/>
    <row r="51315" hidden="1" x14ac:dyDescent="0.15"/>
    <row r="51316" hidden="1" x14ac:dyDescent="0.15"/>
    <row r="51317" hidden="1" x14ac:dyDescent="0.15"/>
    <row r="51318" hidden="1" x14ac:dyDescent="0.15"/>
    <row r="51319" hidden="1" x14ac:dyDescent="0.15"/>
    <row r="51320" hidden="1" x14ac:dyDescent="0.15"/>
    <row r="51321" hidden="1" x14ac:dyDescent="0.15"/>
    <row r="51322" hidden="1" x14ac:dyDescent="0.15"/>
    <row r="51323" hidden="1" x14ac:dyDescent="0.15"/>
    <row r="51324" hidden="1" x14ac:dyDescent="0.15"/>
    <row r="51325" hidden="1" x14ac:dyDescent="0.15"/>
    <row r="51326" hidden="1" x14ac:dyDescent="0.15"/>
    <row r="51327" hidden="1" x14ac:dyDescent="0.15"/>
    <row r="51328" hidden="1" x14ac:dyDescent="0.15"/>
    <row r="51329" hidden="1" x14ac:dyDescent="0.15"/>
    <row r="51330" hidden="1" x14ac:dyDescent="0.15"/>
    <row r="51331" hidden="1" x14ac:dyDescent="0.15"/>
    <row r="51332" hidden="1" x14ac:dyDescent="0.15"/>
    <row r="51333" hidden="1" x14ac:dyDescent="0.15"/>
    <row r="51334" hidden="1" x14ac:dyDescent="0.15"/>
    <row r="51335" hidden="1" x14ac:dyDescent="0.15"/>
    <row r="51336" hidden="1" x14ac:dyDescent="0.15"/>
    <row r="51337" hidden="1" x14ac:dyDescent="0.15"/>
    <row r="51338" hidden="1" x14ac:dyDescent="0.15"/>
    <row r="51339" hidden="1" x14ac:dyDescent="0.15"/>
    <row r="51340" hidden="1" x14ac:dyDescent="0.15"/>
    <row r="51341" hidden="1" x14ac:dyDescent="0.15"/>
    <row r="51342" hidden="1" x14ac:dyDescent="0.15"/>
    <row r="51343" hidden="1" x14ac:dyDescent="0.15"/>
    <row r="51344" hidden="1" x14ac:dyDescent="0.15"/>
    <row r="51345" hidden="1" x14ac:dyDescent="0.15"/>
    <row r="51346" hidden="1" x14ac:dyDescent="0.15"/>
    <row r="51347" hidden="1" x14ac:dyDescent="0.15"/>
    <row r="51348" hidden="1" x14ac:dyDescent="0.15"/>
    <row r="51349" hidden="1" x14ac:dyDescent="0.15"/>
    <row r="51350" hidden="1" x14ac:dyDescent="0.15"/>
    <row r="51351" hidden="1" x14ac:dyDescent="0.15"/>
    <row r="51352" hidden="1" x14ac:dyDescent="0.15"/>
    <row r="51353" hidden="1" x14ac:dyDescent="0.15"/>
    <row r="51354" hidden="1" x14ac:dyDescent="0.15"/>
    <row r="51355" hidden="1" x14ac:dyDescent="0.15"/>
    <row r="51356" hidden="1" x14ac:dyDescent="0.15"/>
    <row r="51357" hidden="1" x14ac:dyDescent="0.15"/>
    <row r="51358" hidden="1" x14ac:dyDescent="0.15"/>
    <row r="51359" hidden="1" x14ac:dyDescent="0.15"/>
    <row r="51360" hidden="1" x14ac:dyDescent="0.15"/>
    <row r="51361" hidden="1" x14ac:dyDescent="0.15"/>
    <row r="51362" hidden="1" x14ac:dyDescent="0.15"/>
    <row r="51363" hidden="1" x14ac:dyDescent="0.15"/>
    <row r="51364" hidden="1" x14ac:dyDescent="0.15"/>
    <row r="51365" hidden="1" x14ac:dyDescent="0.15"/>
    <row r="51366" hidden="1" x14ac:dyDescent="0.15"/>
    <row r="51367" hidden="1" x14ac:dyDescent="0.15"/>
    <row r="51368" hidden="1" x14ac:dyDescent="0.15"/>
    <row r="51369" hidden="1" x14ac:dyDescent="0.15"/>
    <row r="51370" hidden="1" x14ac:dyDescent="0.15"/>
    <row r="51371" hidden="1" x14ac:dyDescent="0.15"/>
    <row r="51372" hidden="1" x14ac:dyDescent="0.15"/>
    <row r="51373" hidden="1" x14ac:dyDescent="0.15"/>
    <row r="51374" hidden="1" x14ac:dyDescent="0.15"/>
    <row r="51375" hidden="1" x14ac:dyDescent="0.15"/>
    <row r="51376" hidden="1" x14ac:dyDescent="0.15"/>
    <row r="51377" hidden="1" x14ac:dyDescent="0.15"/>
    <row r="51378" hidden="1" x14ac:dyDescent="0.15"/>
    <row r="51379" hidden="1" x14ac:dyDescent="0.15"/>
    <row r="51380" hidden="1" x14ac:dyDescent="0.15"/>
    <row r="51381" hidden="1" x14ac:dyDescent="0.15"/>
    <row r="51382" hidden="1" x14ac:dyDescent="0.15"/>
    <row r="51383" hidden="1" x14ac:dyDescent="0.15"/>
    <row r="51384" hidden="1" x14ac:dyDescent="0.15"/>
    <row r="51385" hidden="1" x14ac:dyDescent="0.15"/>
    <row r="51386" hidden="1" x14ac:dyDescent="0.15"/>
    <row r="51387" hidden="1" x14ac:dyDescent="0.15"/>
    <row r="51388" hidden="1" x14ac:dyDescent="0.15"/>
    <row r="51389" hidden="1" x14ac:dyDescent="0.15"/>
    <row r="51390" hidden="1" x14ac:dyDescent="0.15"/>
    <row r="51391" hidden="1" x14ac:dyDescent="0.15"/>
    <row r="51392" hidden="1" x14ac:dyDescent="0.15"/>
    <row r="51393" hidden="1" x14ac:dyDescent="0.15"/>
    <row r="51394" hidden="1" x14ac:dyDescent="0.15"/>
    <row r="51395" hidden="1" x14ac:dyDescent="0.15"/>
    <row r="51396" hidden="1" x14ac:dyDescent="0.15"/>
    <row r="51397" hidden="1" x14ac:dyDescent="0.15"/>
    <row r="51398" hidden="1" x14ac:dyDescent="0.15"/>
    <row r="51399" hidden="1" x14ac:dyDescent="0.15"/>
    <row r="51400" hidden="1" x14ac:dyDescent="0.15"/>
    <row r="51401" hidden="1" x14ac:dyDescent="0.15"/>
    <row r="51402" hidden="1" x14ac:dyDescent="0.15"/>
    <row r="51403" hidden="1" x14ac:dyDescent="0.15"/>
    <row r="51404" hidden="1" x14ac:dyDescent="0.15"/>
    <row r="51405" hidden="1" x14ac:dyDescent="0.15"/>
    <row r="51406" hidden="1" x14ac:dyDescent="0.15"/>
    <row r="51407" hidden="1" x14ac:dyDescent="0.15"/>
    <row r="51408" hidden="1" x14ac:dyDescent="0.15"/>
    <row r="51409" hidden="1" x14ac:dyDescent="0.15"/>
    <row r="51410" hidden="1" x14ac:dyDescent="0.15"/>
    <row r="51411" hidden="1" x14ac:dyDescent="0.15"/>
    <row r="51412" hidden="1" x14ac:dyDescent="0.15"/>
    <row r="51413" hidden="1" x14ac:dyDescent="0.15"/>
    <row r="51414" hidden="1" x14ac:dyDescent="0.15"/>
    <row r="51415" hidden="1" x14ac:dyDescent="0.15"/>
    <row r="51416" hidden="1" x14ac:dyDescent="0.15"/>
    <row r="51417" hidden="1" x14ac:dyDescent="0.15"/>
    <row r="51418" hidden="1" x14ac:dyDescent="0.15"/>
    <row r="51419" hidden="1" x14ac:dyDescent="0.15"/>
    <row r="51420" hidden="1" x14ac:dyDescent="0.15"/>
    <row r="51421" hidden="1" x14ac:dyDescent="0.15"/>
    <row r="51422" hidden="1" x14ac:dyDescent="0.15"/>
    <row r="51423" hidden="1" x14ac:dyDescent="0.15"/>
    <row r="51424" hidden="1" x14ac:dyDescent="0.15"/>
    <row r="51425" hidden="1" x14ac:dyDescent="0.15"/>
    <row r="51426" hidden="1" x14ac:dyDescent="0.15"/>
    <row r="51427" hidden="1" x14ac:dyDescent="0.15"/>
    <row r="51428" hidden="1" x14ac:dyDescent="0.15"/>
    <row r="51429" hidden="1" x14ac:dyDescent="0.15"/>
    <row r="51430" hidden="1" x14ac:dyDescent="0.15"/>
    <row r="51431" hidden="1" x14ac:dyDescent="0.15"/>
    <row r="51432" hidden="1" x14ac:dyDescent="0.15"/>
    <row r="51433" hidden="1" x14ac:dyDescent="0.15"/>
    <row r="51434" hidden="1" x14ac:dyDescent="0.15"/>
    <row r="51435" hidden="1" x14ac:dyDescent="0.15"/>
    <row r="51436" hidden="1" x14ac:dyDescent="0.15"/>
    <row r="51437" hidden="1" x14ac:dyDescent="0.15"/>
    <row r="51438" hidden="1" x14ac:dyDescent="0.15"/>
    <row r="51439" hidden="1" x14ac:dyDescent="0.15"/>
    <row r="51440" hidden="1" x14ac:dyDescent="0.15"/>
    <row r="51441" hidden="1" x14ac:dyDescent="0.15"/>
    <row r="51442" hidden="1" x14ac:dyDescent="0.15"/>
    <row r="51443" hidden="1" x14ac:dyDescent="0.15"/>
    <row r="51444" hidden="1" x14ac:dyDescent="0.15"/>
    <row r="51445" hidden="1" x14ac:dyDescent="0.15"/>
    <row r="51446" hidden="1" x14ac:dyDescent="0.15"/>
    <row r="51447" hidden="1" x14ac:dyDescent="0.15"/>
    <row r="51448" hidden="1" x14ac:dyDescent="0.15"/>
    <row r="51449" hidden="1" x14ac:dyDescent="0.15"/>
    <row r="51450" hidden="1" x14ac:dyDescent="0.15"/>
    <row r="51451" hidden="1" x14ac:dyDescent="0.15"/>
    <row r="51452" hidden="1" x14ac:dyDescent="0.15"/>
    <row r="51453" hidden="1" x14ac:dyDescent="0.15"/>
    <row r="51454" hidden="1" x14ac:dyDescent="0.15"/>
    <row r="51455" hidden="1" x14ac:dyDescent="0.15"/>
    <row r="51456" hidden="1" x14ac:dyDescent="0.15"/>
    <row r="51457" hidden="1" x14ac:dyDescent="0.15"/>
    <row r="51458" hidden="1" x14ac:dyDescent="0.15"/>
    <row r="51459" hidden="1" x14ac:dyDescent="0.15"/>
    <row r="51460" hidden="1" x14ac:dyDescent="0.15"/>
    <row r="51461" hidden="1" x14ac:dyDescent="0.15"/>
    <row r="51462" hidden="1" x14ac:dyDescent="0.15"/>
    <row r="51463" hidden="1" x14ac:dyDescent="0.15"/>
    <row r="51464" hidden="1" x14ac:dyDescent="0.15"/>
    <row r="51465" hidden="1" x14ac:dyDescent="0.15"/>
    <row r="51466" hidden="1" x14ac:dyDescent="0.15"/>
    <row r="51467" hidden="1" x14ac:dyDescent="0.15"/>
    <row r="51468" hidden="1" x14ac:dyDescent="0.15"/>
    <row r="51469" hidden="1" x14ac:dyDescent="0.15"/>
    <row r="51470" hidden="1" x14ac:dyDescent="0.15"/>
    <row r="51471" hidden="1" x14ac:dyDescent="0.15"/>
    <row r="51472" hidden="1" x14ac:dyDescent="0.15"/>
    <row r="51473" hidden="1" x14ac:dyDescent="0.15"/>
    <row r="51474" hidden="1" x14ac:dyDescent="0.15"/>
    <row r="51475" hidden="1" x14ac:dyDescent="0.15"/>
    <row r="51476" hidden="1" x14ac:dyDescent="0.15"/>
    <row r="51477" hidden="1" x14ac:dyDescent="0.15"/>
    <row r="51478" hidden="1" x14ac:dyDescent="0.15"/>
    <row r="51479" hidden="1" x14ac:dyDescent="0.15"/>
    <row r="51480" hidden="1" x14ac:dyDescent="0.15"/>
    <row r="51481" hidden="1" x14ac:dyDescent="0.15"/>
    <row r="51482" hidden="1" x14ac:dyDescent="0.15"/>
    <row r="51483" hidden="1" x14ac:dyDescent="0.15"/>
    <row r="51484" hidden="1" x14ac:dyDescent="0.15"/>
    <row r="51485" hidden="1" x14ac:dyDescent="0.15"/>
    <row r="51486" hidden="1" x14ac:dyDescent="0.15"/>
    <row r="51487" hidden="1" x14ac:dyDescent="0.15"/>
    <row r="51488" hidden="1" x14ac:dyDescent="0.15"/>
    <row r="51489" hidden="1" x14ac:dyDescent="0.15"/>
    <row r="51490" hidden="1" x14ac:dyDescent="0.15"/>
    <row r="51491" hidden="1" x14ac:dyDescent="0.15"/>
    <row r="51492" hidden="1" x14ac:dyDescent="0.15"/>
    <row r="51493" hidden="1" x14ac:dyDescent="0.15"/>
    <row r="51494" hidden="1" x14ac:dyDescent="0.15"/>
    <row r="51495" hidden="1" x14ac:dyDescent="0.15"/>
    <row r="51496" hidden="1" x14ac:dyDescent="0.15"/>
    <row r="51497" hidden="1" x14ac:dyDescent="0.15"/>
    <row r="51498" hidden="1" x14ac:dyDescent="0.15"/>
    <row r="51499" hidden="1" x14ac:dyDescent="0.15"/>
    <row r="51500" hidden="1" x14ac:dyDescent="0.15"/>
    <row r="51501" hidden="1" x14ac:dyDescent="0.15"/>
    <row r="51502" hidden="1" x14ac:dyDescent="0.15"/>
    <row r="51503" hidden="1" x14ac:dyDescent="0.15"/>
    <row r="51504" hidden="1" x14ac:dyDescent="0.15"/>
    <row r="51505" hidden="1" x14ac:dyDescent="0.15"/>
    <row r="51506" hidden="1" x14ac:dyDescent="0.15"/>
    <row r="51507" hidden="1" x14ac:dyDescent="0.15"/>
    <row r="51508" hidden="1" x14ac:dyDescent="0.15"/>
    <row r="51509" hidden="1" x14ac:dyDescent="0.15"/>
    <row r="51510" hidden="1" x14ac:dyDescent="0.15"/>
    <row r="51511" hidden="1" x14ac:dyDescent="0.15"/>
    <row r="51512" hidden="1" x14ac:dyDescent="0.15"/>
    <row r="51513" hidden="1" x14ac:dyDescent="0.15"/>
    <row r="51514" hidden="1" x14ac:dyDescent="0.15"/>
    <row r="51515" hidden="1" x14ac:dyDescent="0.15"/>
    <row r="51516" hidden="1" x14ac:dyDescent="0.15"/>
    <row r="51517" hidden="1" x14ac:dyDescent="0.15"/>
    <row r="51518" hidden="1" x14ac:dyDescent="0.15"/>
    <row r="51519" hidden="1" x14ac:dyDescent="0.15"/>
    <row r="51520" hidden="1" x14ac:dyDescent="0.15"/>
    <row r="51521" hidden="1" x14ac:dyDescent="0.15"/>
    <row r="51522" hidden="1" x14ac:dyDescent="0.15"/>
    <row r="51523" hidden="1" x14ac:dyDescent="0.15"/>
    <row r="51524" hidden="1" x14ac:dyDescent="0.15"/>
    <row r="51525" hidden="1" x14ac:dyDescent="0.15"/>
    <row r="51526" hidden="1" x14ac:dyDescent="0.15"/>
    <row r="51527" hidden="1" x14ac:dyDescent="0.15"/>
    <row r="51528" hidden="1" x14ac:dyDescent="0.15"/>
    <row r="51529" hidden="1" x14ac:dyDescent="0.15"/>
    <row r="51530" hidden="1" x14ac:dyDescent="0.15"/>
    <row r="51531" hidden="1" x14ac:dyDescent="0.15"/>
    <row r="51532" hidden="1" x14ac:dyDescent="0.15"/>
    <row r="51533" hidden="1" x14ac:dyDescent="0.15"/>
    <row r="51534" hidden="1" x14ac:dyDescent="0.15"/>
    <row r="51535" hidden="1" x14ac:dyDescent="0.15"/>
    <row r="51536" hidden="1" x14ac:dyDescent="0.15"/>
    <row r="51537" hidden="1" x14ac:dyDescent="0.15"/>
    <row r="51538" hidden="1" x14ac:dyDescent="0.15"/>
    <row r="51539" hidden="1" x14ac:dyDescent="0.15"/>
    <row r="51540" hidden="1" x14ac:dyDescent="0.15"/>
    <row r="51541" hidden="1" x14ac:dyDescent="0.15"/>
    <row r="51542" hidden="1" x14ac:dyDescent="0.15"/>
    <row r="51543" hidden="1" x14ac:dyDescent="0.15"/>
    <row r="51544" hidden="1" x14ac:dyDescent="0.15"/>
    <row r="51545" hidden="1" x14ac:dyDescent="0.15"/>
    <row r="51546" hidden="1" x14ac:dyDescent="0.15"/>
    <row r="51547" hidden="1" x14ac:dyDescent="0.15"/>
    <row r="51548" hidden="1" x14ac:dyDescent="0.15"/>
    <row r="51549" hidden="1" x14ac:dyDescent="0.15"/>
    <row r="51550" hidden="1" x14ac:dyDescent="0.15"/>
    <row r="51551" hidden="1" x14ac:dyDescent="0.15"/>
    <row r="51552" hidden="1" x14ac:dyDescent="0.15"/>
    <row r="51553" hidden="1" x14ac:dyDescent="0.15"/>
    <row r="51554" hidden="1" x14ac:dyDescent="0.15"/>
    <row r="51555" hidden="1" x14ac:dyDescent="0.15"/>
    <row r="51556" hidden="1" x14ac:dyDescent="0.15"/>
    <row r="51557" hidden="1" x14ac:dyDescent="0.15"/>
    <row r="51558" hidden="1" x14ac:dyDescent="0.15"/>
    <row r="51559" hidden="1" x14ac:dyDescent="0.15"/>
    <row r="51560" hidden="1" x14ac:dyDescent="0.15"/>
    <row r="51561" hidden="1" x14ac:dyDescent="0.15"/>
    <row r="51562" hidden="1" x14ac:dyDescent="0.15"/>
    <row r="51563" hidden="1" x14ac:dyDescent="0.15"/>
    <row r="51564" hidden="1" x14ac:dyDescent="0.15"/>
    <row r="51565" hidden="1" x14ac:dyDescent="0.15"/>
    <row r="51566" hidden="1" x14ac:dyDescent="0.15"/>
    <row r="51567" hidden="1" x14ac:dyDescent="0.15"/>
    <row r="51568" hidden="1" x14ac:dyDescent="0.15"/>
    <row r="51569" hidden="1" x14ac:dyDescent="0.15"/>
    <row r="51570" hidden="1" x14ac:dyDescent="0.15"/>
    <row r="51571" hidden="1" x14ac:dyDescent="0.15"/>
    <row r="51572" hidden="1" x14ac:dyDescent="0.15"/>
    <row r="51573" hidden="1" x14ac:dyDescent="0.15"/>
    <row r="51574" hidden="1" x14ac:dyDescent="0.15"/>
    <row r="51575" hidden="1" x14ac:dyDescent="0.15"/>
    <row r="51576" hidden="1" x14ac:dyDescent="0.15"/>
    <row r="51577" hidden="1" x14ac:dyDescent="0.15"/>
    <row r="51578" hidden="1" x14ac:dyDescent="0.15"/>
    <row r="51579" hidden="1" x14ac:dyDescent="0.15"/>
    <row r="51580" hidden="1" x14ac:dyDescent="0.15"/>
    <row r="51581" hidden="1" x14ac:dyDescent="0.15"/>
    <row r="51582" hidden="1" x14ac:dyDescent="0.15"/>
    <row r="51583" hidden="1" x14ac:dyDescent="0.15"/>
    <row r="51584" hidden="1" x14ac:dyDescent="0.15"/>
    <row r="51585" hidden="1" x14ac:dyDescent="0.15"/>
    <row r="51586" hidden="1" x14ac:dyDescent="0.15"/>
    <row r="51587" hidden="1" x14ac:dyDescent="0.15"/>
    <row r="51588" hidden="1" x14ac:dyDescent="0.15"/>
    <row r="51589" hidden="1" x14ac:dyDescent="0.15"/>
    <row r="51590" hidden="1" x14ac:dyDescent="0.15"/>
    <row r="51591" hidden="1" x14ac:dyDescent="0.15"/>
    <row r="51592" hidden="1" x14ac:dyDescent="0.15"/>
    <row r="51593" hidden="1" x14ac:dyDescent="0.15"/>
    <row r="51594" hidden="1" x14ac:dyDescent="0.15"/>
    <row r="51595" hidden="1" x14ac:dyDescent="0.15"/>
    <row r="51596" hidden="1" x14ac:dyDescent="0.15"/>
    <row r="51597" hidden="1" x14ac:dyDescent="0.15"/>
    <row r="51598" hidden="1" x14ac:dyDescent="0.15"/>
    <row r="51599" hidden="1" x14ac:dyDescent="0.15"/>
    <row r="51600" hidden="1" x14ac:dyDescent="0.15"/>
    <row r="51601" hidden="1" x14ac:dyDescent="0.15"/>
    <row r="51602" hidden="1" x14ac:dyDescent="0.15"/>
    <row r="51603" hidden="1" x14ac:dyDescent="0.15"/>
    <row r="51604" hidden="1" x14ac:dyDescent="0.15"/>
    <row r="51605" hidden="1" x14ac:dyDescent="0.15"/>
    <row r="51606" hidden="1" x14ac:dyDescent="0.15"/>
    <row r="51607" hidden="1" x14ac:dyDescent="0.15"/>
    <row r="51608" hidden="1" x14ac:dyDescent="0.15"/>
    <row r="51609" hidden="1" x14ac:dyDescent="0.15"/>
    <row r="51610" hidden="1" x14ac:dyDescent="0.15"/>
    <row r="51611" hidden="1" x14ac:dyDescent="0.15"/>
    <row r="51612" hidden="1" x14ac:dyDescent="0.15"/>
    <row r="51613" hidden="1" x14ac:dyDescent="0.15"/>
    <row r="51614" hidden="1" x14ac:dyDescent="0.15"/>
    <row r="51615" hidden="1" x14ac:dyDescent="0.15"/>
    <row r="51616" hidden="1" x14ac:dyDescent="0.15"/>
    <row r="51617" hidden="1" x14ac:dyDescent="0.15"/>
    <row r="51618" hidden="1" x14ac:dyDescent="0.15"/>
    <row r="51619" hidden="1" x14ac:dyDescent="0.15"/>
    <row r="51620" hidden="1" x14ac:dyDescent="0.15"/>
    <row r="51621" hidden="1" x14ac:dyDescent="0.15"/>
    <row r="51622" hidden="1" x14ac:dyDescent="0.15"/>
    <row r="51623" hidden="1" x14ac:dyDescent="0.15"/>
    <row r="51624" hidden="1" x14ac:dyDescent="0.15"/>
    <row r="51625" hidden="1" x14ac:dyDescent="0.15"/>
    <row r="51626" hidden="1" x14ac:dyDescent="0.15"/>
    <row r="51627" hidden="1" x14ac:dyDescent="0.15"/>
    <row r="51628" hidden="1" x14ac:dyDescent="0.15"/>
    <row r="51629" hidden="1" x14ac:dyDescent="0.15"/>
    <row r="51630" hidden="1" x14ac:dyDescent="0.15"/>
    <row r="51631" hidden="1" x14ac:dyDescent="0.15"/>
    <row r="51632" hidden="1" x14ac:dyDescent="0.15"/>
    <row r="51633" hidden="1" x14ac:dyDescent="0.15"/>
    <row r="51634" hidden="1" x14ac:dyDescent="0.15"/>
    <row r="51635" hidden="1" x14ac:dyDescent="0.15"/>
    <row r="51636" hidden="1" x14ac:dyDescent="0.15"/>
    <row r="51637" hidden="1" x14ac:dyDescent="0.15"/>
    <row r="51638" hidden="1" x14ac:dyDescent="0.15"/>
    <row r="51639" hidden="1" x14ac:dyDescent="0.15"/>
    <row r="51640" hidden="1" x14ac:dyDescent="0.15"/>
    <row r="51641" hidden="1" x14ac:dyDescent="0.15"/>
    <row r="51642" hidden="1" x14ac:dyDescent="0.15"/>
    <row r="51643" hidden="1" x14ac:dyDescent="0.15"/>
    <row r="51644" hidden="1" x14ac:dyDescent="0.15"/>
    <row r="51645" hidden="1" x14ac:dyDescent="0.15"/>
    <row r="51646" hidden="1" x14ac:dyDescent="0.15"/>
    <row r="51647" hidden="1" x14ac:dyDescent="0.15"/>
    <row r="51648" hidden="1" x14ac:dyDescent="0.15"/>
    <row r="51649" hidden="1" x14ac:dyDescent="0.15"/>
    <row r="51650" hidden="1" x14ac:dyDescent="0.15"/>
    <row r="51651" hidden="1" x14ac:dyDescent="0.15"/>
    <row r="51652" hidden="1" x14ac:dyDescent="0.15"/>
    <row r="51653" hidden="1" x14ac:dyDescent="0.15"/>
    <row r="51654" hidden="1" x14ac:dyDescent="0.15"/>
    <row r="51655" hidden="1" x14ac:dyDescent="0.15"/>
    <row r="51656" hidden="1" x14ac:dyDescent="0.15"/>
    <row r="51657" hidden="1" x14ac:dyDescent="0.15"/>
    <row r="51658" hidden="1" x14ac:dyDescent="0.15"/>
    <row r="51659" hidden="1" x14ac:dyDescent="0.15"/>
    <row r="51660" hidden="1" x14ac:dyDescent="0.15"/>
    <row r="51661" hidden="1" x14ac:dyDescent="0.15"/>
    <row r="51662" hidden="1" x14ac:dyDescent="0.15"/>
    <row r="51663" hidden="1" x14ac:dyDescent="0.15"/>
    <row r="51664" hidden="1" x14ac:dyDescent="0.15"/>
    <row r="51665" hidden="1" x14ac:dyDescent="0.15"/>
    <row r="51666" hidden="1" x14ac:dyDescent="0.15"/>
    <row r="51667" hidden="1" x14ac:dyDescent="0.15"/>
    <row r="51668" hidden="1" x14ac:dyDescent="0.15"/>
    <row r="51669" hidden="1" x14ac:dyDescent="0.15"/>
    <row r="51670" hidden="1" x14ac:dyDescent="0.15"/>
    <row r="51671" hidden="1" x14ac:dyDescent="0.15"/>
    <row r="51672" hidden="1" x14ac:dyDescent="0.15"/>
    <row r="51673" hidden="1" x14ac:dyDescent="0.15"/>
    <row r="51674" hidden="1" x14ac:dyDescent="0.15"/>
    <row r="51675" hidden="1" x14ac:dyDescent="0.15"/>
    <row r="51676" hidden="1" x14ac:dyDescent="0.15"/>
    <row r="51677" hidden="1" x14ac:dyDescent="0.15"/>
    <row r="51678" hidden="1" x14ac:dyDescent="0.15"/>
    <row r="51679" hidden="1" x14ac:dyDescent="0.15"/>
    <row r="51680" hidden="1" x14ac:dyDescent="0.15"/>
    <row r="51681" hidden="1" x14ac:dyDescent="0.15"/>
    <row r="51682" hidden="1" x14ac:dyDescent="0.15"/>
    <row r="51683" hidden="1" x14ac:dyDescent="0.15"/>
    <row r="51684" hidden="1" x14ac:dyDescent="0.15"/>
    <row r="51685" hidden="1" x14ac:dyDescent="0.15"/>
    <row r="51686" hidden="1" x14ac:dyDescent="0.15"/>
    <row r="51687" hidden="1" x14ac:dyDescent="0.15"/>
    <row r="51688" hidden="1" x14ac:dyDescent="0.15"/>
    <row r="51689" hidden="1" x14ac:dyDescent="0.15"/>
    <row r="51690" hidden="1" x14ac:dyDescent="0.15"/>
    <row r="51691" hidden="1" x14ac:dyDescent="0.15"/>
    <row r="51692" hidden="1" x14ac:dyDescent="0.15"/>
    <row r="51693" hidden="1" x14ac:dyDescent="0.15"/>
    <row r="51694" hidden="1" x14ac:dyDescent="0.15"/>
    <row r="51695" hidden="1" x14ac:dyDescent="0.15"/>
    <row r="51696" hidden="1" x14ac:dyDescent="0.15"/>
    <row r="51697" hidden="1" x14ac:dyDescent="0.15"/>
    <row r="51698" hidden="1" x14ac:dyDescent="0.15"/>
    <row r="51699" hidden="1" x14ac:dyDescent="0.15"/>
    <row r="51700" hidden="1" x14ac:dyDescent="0.15"/>
    <row r="51701" hidden="1" x14ac:dyDescent="0.15"/>
    <row r="51702" hidden="1" x14ac:dyDescent="0.15"/>
    <row r="51703" hidden="1" x14ac:dyDescent="0.15"/>
    <row r="51704" hidden="1" x14ac:dyDescent="0.15"/>
    <row r="51705" hidden="1" x14ac:dyDescent="0.15"/>
    <row r="51706" hidden="1" x14ac:dyDescent="0.15"/>
    <row r="51707" hidden="1" x14ac:dyDescent="0.15"/>
    <row r="51708" hidden="1" x14ac:dyDescent="0.15"/>
    <row r="51709" hidden="1" x14ac:dyDescent="0.15"/>
    <row r="51710" hidden="1" x14ac:dyDescent="0.15"/>
    <row r="51711" hidden="1" x14ac:dyDescent="0.15"/>
    <row r="51712" hidden="1" x14ac:dyDescent="0.15"/>
    <row r="51713" hidden="1" x14ac:dyDescent="0.15"/>
    <row r="51714" hidden="1" x14ac:dyDescent="0.15"/>
    <row r="51715" hidden="1" x14ac:dyDescent="0.15"/>
    <row r="51716" hidden="1" x14ac:dyDescent="0.15"/>
    <row r="51717" hidden="1" x14ac:dyDescent="0.15"/>
    <row r="51718" hidden="1" x14ac:dyDescent="0.15"/>
    <row r="51719" hidden="1" x14ac:dyDescent="0.15"/>
    <row r="51720" hidden="1" x14ac:dyDescent="0.15"/>
    <row r="51721" hidden="1" x14ac:dyDescent="0.15"/>
    <row r="51722" hidden="1" x14ac:dyDescent="0.15"/>
    <row r="51723" hidden="1" x14ac:dyDescent="0.15"/>
    <row r="51724" hidden="1" x14ac:dyDescent="0.15"/>
    <row r="51725" hidden="1" x14ac:dyDescent="0.15"/>
    <row r="51726" hidden="1" x14ac:dyDescent="0.15"/>
    <row r="51727" hidden="1" x14ac:dyDescent="0.15"/>
    <row r="51728" hidden="1" x14ac:dyDescent="0.15"/>
    <row r="51729" hidden="1" x14ac:dyDescent="0.15"/>
    <row r="51730" hidden="1" x14ac:dyDescent="0.15"/>
    <row r="51731" hidden="1" x14ac:dyDescent="0.15"/>
    <row r="51732" hidden="1" x14ac:dyDescent="0.15"/>
    <row r="51733" hidden="1" x14ac:dyDescent="0.15"/>
    <row r="51734" hidden="1" x14ac:dyDescent="0.15"/>
    <row r="51735" hidden="1" x14ac:dyDescent="0.15"/>
    <row r="51736" hidden="1" x14ac:dyDescent="0.15"/>
    <row r="51737" hidden="1" x14ac:dyDescent="0.15"/>
    <row r="51738" hidden="1" x14ac:dyDescent="0.15"/>
    <row r="51739" hidden="1" x14ac:dyDescent="0.15"/>
    <row r="51740" hidden="1" x14ac:dyDescent="0.15"/>
    <row r="51741" hidden="1" x14ac:dyDescent="0.15"/>
    <row r="51742" hidden="1" x14ac:dyDescent="0.15"/>
    <row r="51743" hidden="1" x14ac:dyDescent="0.15"/>
    <row r="51744" hidden="1" x14ac:dyDescent="0.15"/>
    <row r="51745" hidden="1" x14ac:dyDescent="0.15"/>
    <row r="51746" hidden="1" x14ac:dyDescent="0.15"/>
    <row r="51747" hidden="1" x14ac:dyDescent="0.15"/>
    <row r="51748" hidden="1" x14ac:dyDescent="0.15"/>
    <row r="51749" hidden="1" x14ac:dyDescent="0.15"/>
    <row r="51750" hidden="1" x14ac:dyDescent="0.15"/>
    <row r="51751" hidden="1" x14ac:dyDescent="0.15"/>
    <row r="51752" hidden="1" x14ac:dyDescent="0.15"/>
    <row r="51753" hidden="1" x14ac:dyDescent="0.15"/>
    <row r="51754" hidden="1" x14ac:dyDescent="0.15"/>
    <row r="51755" hidden="1" x14ac:dyDescent="0.15"/>
    <row r="51756" hidden="1" x14ac:dyDescent="0.15"/>
    <row r="51757" hidden="1" x14ac:dyDescent="0.15"/>
    <row r="51758" hidden="1" x14ac:dyDescent="0.15"/>
    <row r="51759" hidden="1" x14ac:dyDescent="0.15"/>
    <row r="51760" hidden="1" x14ac:dyDescent="0.15"/>
    <row r="51761" hidden="1" x14ac:dyDescent="0.15"/>
    <row r="51762" hidden="1" x14ac:dyDescent="0.15"/>
    <row r="51763" hidden="1" x14ac:dyDescent="0.15"/>
    <row r="51764" hidden="1" x14ac:dyDescent="0.15"/>
    <row r="51765" hidden="1" x14ac:dyDescent="0.15"/>
    <row r="51766" hidden="1" x14ac:dyDescent="0.15"/>
    <row r="51767" hidden="1" x14ac:dyDescent="0.15"/>
    <row r="51768" hidden="1" x14ac:dyDescent="0.15"/>
    <row r="51769" hidden="1" x14ac:dyDescent="0.15"/>
    <row r="51770" hidden="1" x14ac:dyDescent="0.15"/>
    <row r="51771" hidden="1" x14ac:dyDescent="0.15"/>
    <row r="51772" hidden="1" x14ac:dyDescent="0.15"/>
    <row r="51773" hidden="1" x14ac:dyDescent="0.15"/>
    <row r="51774" hidden="1" x14ac:dyDescent="0.15"/>
    <row r="51775" hidden="1" x14ac:dyDescent="0.15"/>
    <row r="51776" hidden="1" x14ac:dyDescent="0.15"/>
    <row r="51777" hidden="1" x14ac:dyDescent="0.15"/>
    <row r="51778" hidden="1" x14ac:dyDescent="0.15"/>
    <row r="51779" hidden="1" x14ac:dyDescent="0.15"/>
    <row r="51780" hidden="1" x14ac:dyDescent="0.15"/>
    <row r="51781" hidden="1" x14ac:dyDescent="0.15"/>
    <row r="51782" hidden="1" x14ac:dyDescent="0.15"/>
    <row r="51783" hidden="1" x14ac:dyDescent="0.15"/>
    <row r="51784" hidden="1" x14ac:dyDescent="0.15"/>
    <row r="51785" hidden="1" x14ac:dyDescent="0.15"/>
    <row r="51786" hidden="1" x14ac:dyDescent="0.15"/>
    <row r="51787" hidden="1" x14ac:dyDescent="0.15"/>
    <row r="51788" hidden="1" x14ac:dyDescent="0.15"/>
    <row r="51789" hidden="1" x14ac:dyDescent="0.15"/>
    <row r="51790" hidden="1" x14ac:dyDescent="0.15"/>
    <row r="51791" hidden="1" x14ac:dyDescent="0.15"/>
    <row r="51792" hidden="1" x14ac:dyDescent="0.15"/>
    <row r="51793" hidden="1" x14ac:dyDescent="0.15"/>
    <row r="51794" hidden="1" x14ac:dyDescent="0.15"/>
    <row r="51795" hidden="1" x14ac:dyDescent="0.15"/>
    <row r="51796" hidden="1" x14ac:dyDescent="0.15"/>
    <row r="51797" hidden="1" x14ac:dyDescent="0.15"/>
    <row r="51798" hidden="1" x14ac:dyDescent="0.15"/>
    <row r="51799" hidden="1" x14ac:dyDescent="0.15"/>
    <row r="51800" hidden="1" x14ac:dyDescent="0.15"/>
    <row r="51801" hidden="1" x14ac:dyDescent="0.15"/>
    <row r="51802" hidden="1" x14ac:dyDescent="0.15"/>
    <row r="51803" hidden="1" x14ac:dyDescent="0.15"/>
    <row r="51804" hidden="1" x14ac:dyDescent="0.15"/>
    <row r="51805" hidden="1" x14ac:dyDescent="0.15"/>
    <row r="51806" hidden="1" x14ac:dyDescent="0.15"/>
    <row r="51807" hidden="1" x14ac:dyDescent="0.15"/>
    <row r="51808" hidden="1" x14ac:dyDescent="0.15"/>
    <row r="51809" hidden="1" x14ac:dyDescent="0.15"/>
    <row r="51810" hidden="1" x14ac:dyDescent="0.15"/>
    <row r="51811" hidden="1" x14ac:dyDescent="0.15"/>
    <row r="51812" hidden="1" x14ac:dyDescent="0.15"/>
    <row r="51813" hidden="1" x14ac:dyDescent="0.15"/>
    <row r="51814" hidden="1" x14ac:dyDescent="0.15"/>
    <row r="51815" hidden="1" x14ac:dyDescent="0.15"/>
    <row r="51816" hidden="1" x14ac:dyDescent="0.15"/>
    <row r="51817" hidden="1" x14ac:dyDescent="0.15"/>
    <row r="51818" hidden="1" x14ac:dyDescent="0.15"/>
    <row r="51819" hidden="1" x14ac:dyDescent="0.15"/>
    <row r="51820" hidden="1" x14ac:dyDescent="0.15"/>
    <row r="51821" hidden="1" x14ac:dyDescent="0.15"/>
    <row r="51822" hidden="1" x14ac:dyDescent="0.15"/>
    <row r="51823" hidden="1" x14ac:dyDescent="0.15"/>
    <row r="51824" hidden="1" x14ac:dyDescent="0.15"/>
    <row r="51825" hidden="1" x14ac:dyDescent="0.15"/>
    <row r="51826" hidden="1" x14ac:dyDescent="0.15"/>
    <row r="51827" hidden="1" x14ac:dyDescent="0.15"/>
    <row r="51828" hidden="1" x14ac:dyDescent="0.15"/>
    <row r="51829" hidden="1" x14ac:dyDescent="0.15"/>
    <row r="51830" hidden="1" x14ac:dyDescent="0.15"/>
    <row r="51831" hidden="1" x14ac:dyDescent="0.15"/>
    <row r="51832" hidden="1" x14ac:dyDescent="0.15"/>
    <row r="51833" hidden="1" x14ac:dyDescent="0.15"/>
    <row r="51834" hidden="1" x14ac:dyDescent="0.15"/>
    <row r="51835" hidden="1" x14ac:dyDescent="0.15"/>
    <row r="51836" hidden="1" x14ac:dyDescent="0.15"/>
    <row r="51837" hidden="1" x14ac:dyDescent="0.15"/>
    <row r="51838" hidden="1" x14ac:dyDescent="0.15"/>
    <row r="51839" hidden="1" x14ac:dyDescent="0.15"/>
    <row r="51840" hidden="1" x14ac:dyDescent="0.15"/>
    <row r="51841" hidden="1" x14ac:dyDescent="0.15"/>
    <row r="51842" hidden="1" x14ac:dyDescent="0.15"/>
    <row r="51843" hidden="1" x14ac:dyDescent="0.15"/>
    <row r="51844" hidden="1" x14ac:dyDescent="0.15"/>
    <row r="51845" hidden="1" x14ac:dyDescent="0.15"/>
    <row r="51846" hidden="1" x14ac:dyDescent="0.15"/>
    <row r="51847" hidden="1" x14ac:dyDescent="0.15"/>
    <row r="51848" hidden="1" x14ac:dyDescent="0.15"/>
    <row r="51849" hidden="1" x14ac:dyDescent="0.15"/>
    <row r="51850" hidden="1" x14ac:dyDescent="0.15"/>
    <row r="51851" hidden="1" x14ac:dyDescent="0.15"/>
    <row r="51852" hidden="1" x14ac:dyDescent="0.15"/>
    <row r="51853" hidden="1" x14ac:dyDescent="0.15"/>
    <row r="51854" hidden="1" x14ac:dyDescent="0.15"/>
    <row r="51855" hidden="1" x14ac:dyDescent="0.15"/>
    <row r="51856" hidden="1" x14ac:dyDescent="0.15"/>
    <row r="51857" hidden="1" x14ac:dyDescent="0.15"/>
    <row r="51858" hidden="1" x14ac:dyDescent="0.15"/>
    <row r="51859" hidden="1" x14ac:dyDescent="0.15"/>
    <row r="51860" hidden="1" x14ac:dyDescent="0.15"/>
    <row r="51861" hidden="1" x14ac:dyDescent="0.15"/>
    <row r="51862" hidden="1" x14ac:dyDescent="0.15"/>
    <row r="51863" hidden="1" x14ac:dyDescent="0.15"/>
    <row r="51864" hidden="1" x14ac:dyDescent="0.15"/>
    <row r="51865" hidden="1" x14ac:dyDescent="0.15"/>
    <row r="51866" hidden="1" x14ac:dyDescent="0.15"/>
    <row r="51867" hidden="1" x14ac:dyDescent="0.15"/>
    <row r="51868" hidden="1" x14ac:dyDescent="0.15"/>
    <row r="51869" hidden="1" x14ac:dyDescent="0.15"/>
    <row r="51870" hidden="1" x14ac:dyDescent="0.15"/>
    <row r="51871" hidden="1" x14ac:dyDescent="0.15"/>
    <row r="51872" hidden="1" x14ac:dyDescent="0.15"/>
    <row r="51873" hidden="1" x14ac:dyDescent="0.15"/>
    <row r="51874" hidden="1" x14ac:dyDescent="0.15"/>
    <row r="51875" hidden="1" x14ac:dyDescent="0.15"/>
    <row r="51876" hidden="1" x14ac:dyDescent="0.15"/>
    <row r="51877" hidden="1" x14ac:dyDescent="0.15"/>
    <row r="51878" hidden="1" x14ac:dyDescent="0.15"/>
    <row r="51879" hidden="1" x14ac:dyDescent="0.15"/>
    <row r="51880" hidden="1" x14ac:dyDescent="0.15"/>
    <row r="51881" hidden="1" x14ac:dyDescent="0.15"/>
    <row r="51882" hidden="1" x14ac:dyDescent="0.15"/>
    <row r="51883" hidden="1" x14ac:dyDescent="0.15"/>
    <row r="51884" hidden="1" x14ac:dyDescent="0.15"/>
    <row r="51885" hidden="1" x14ac:dyDescent="0.15"/>
    <row r="51886" hidden="1" x14ac:dyDescent="0.15"/>
    <row r="51887" hidden="1" x14ac:dyDescent="0.15"/>
    <row r="51888" hidden="1" x14ac:dyDescent="0.15"/>
    <row r="51889" hidden="1" x14ac:dyDescent="0.15"/>
    <row r="51890" hidden="1" x14ac:dyDescent="0.15"/>
    <row r="51891" hidden="1" x14ac:dyDescent="0.15"/>
    <row r="51892" hidden="1" x14ac:dyDescent="0.15"/>
    <row r="51893" hidden="1" x14ac:dyDescent="0.15"/>
    <row r="51894" hidden="1" x14ac:dyDescent="0.15"/>
    <row r="51895" hidden="1" x14ac:dyDescent="0.15"/>
    <row r="51896" hidden="1" x14ac:dyDescent="0.15"/>
    <row r="51897" hidden="1" x14ac:dyDescent="0.15"/>
    <row r="51898" hidden="1" x14ac:dyDescent="0.15"/>
    <row r="51899" hidden="1" x14ac:dyDescent="0.15"/>
    <row r="51900" hidden="1" x14ac:dyDescent="0.15"/>
    <row r="51901" hidden="1" x14ac:dyDescent="0.15"/>
    <row r="51902" hidden="1" x14ac:dyDescent="0.15"/>
    <row r="51903" hidden="1" x14ac:dyDescent="0.15"/>
    <row r="51904" hidden="1" x14ac:dyDescent="0.15"/>
    <row r="51905" hidden="1" x14ac:dyDescent="0.15"/>
    <row r="51906" hidden="1" x14ac:dyDescent="0.15"/>
    <row r="51907" hidden="1" x14ac:dyDescent="0.15"/>
    <row r="51908" hidden="1" x14ac:dyDescent="0.15"/>
    <row r="51909" hidden="1" x14ac:dyDescent="0.15"/>
    <row r="51910" hidden="1" x14ac:dyDescent="0.15"/>
    <row r="51911" hidden="1" x14ac:dyDescent="0.15"/>
    <row r="51912" hidden="1" x14ac:dyDescent="0.15"/>
    <row r="51913" hidden="1" x14ac:dyDescent="0.15"/>
    <row r="51914" hidden="1" x14ac:dyDescent="0.15"/>
    <row r="51915" hidden="1" x14ac:dyDescent="0.15"/>
    <row r="51916" hidden="1" x14ac:dyDescent="0.15"/>
    <row r="51917" hidden="1" x14ac:dyDescent="0.15"/>
    <row r="51918" hidden="1" x14ac:dyDescent="0.15"/>
    <row r="51919" hidden="1" x14ac:dyDescent="0.15"/>
    <row r="51920" hidden="1" x14ac:dyDescent="0.15"/>
    <row r="51921" hidden="1" x14ac:dyDescent="0.15"/>
    <row r="51922" hidden="1" x14ac:dyDescent="0.15"/>
    <row r="51923" hidden="1" x14ac:dyDescent="0.15"/>
    <row r="51924" hidden="1" x14ac:dyDescent="0.15"/>
    <row r="51925" hidden="1" x14ac:dyDescent="0.15"/>
    <row r="51926" hidden="1" x14ac:dyDescent="0.15"/>
    <row r="51927" hidden="1" x14ac:dyDescent="0.15"/>
    <row r="51928" hidden="1" x14ac:dyDescent="0.15"/>
    <row r="51929" hidden="1" x14ac:dyDescent="0.15"/>
    <row r="51930" hidden="1" x14ac:dyDescent="0.15"/>
    <row r="51931" hidden="1" x14ac:dyDescent="0.15"/>
    <row r="51932" hidden="1" x14ac:dyDescent="0.15"/>
    <row r="51933" hidden="1" x14ac:dyDescent="0.15"/>
    <row r="51934" hidden="1" x14ac:dyDescent="0.15"/>
    <row r="51935" hidden="1" x14ac:dyDescent="0.15"/>
    <row r="51936" hidden="1" x14ac:dyDescent="0.15"/>
    <row r="51937" hidden="1" x14ac:dyDescent="0.15"/>
    <row r="51938" hidden="1" x14ac:dyDescent="0.15"/>
    <row r="51939" hidden="1" x14ac:dyDescent="0.15"/>
    <row r="51940" hidden="1" x14ac:dyDescent="0.15"/>
    <row r="51941" hidden="1" x14ac:dyDescent="0.15"/>
    <row r="51942" hidden="1" x14ac:dyDescent="0.15"/>
    <row r="51943" hidden="1" x14ac:dyDescent="0.15"/>
    <row r="51944" hidden="1" x14ac:dyDescent="0.15"/>
    <row r="51945" hidden="1" x14ac:dyDescent="0.15"/>
    <row r="51946" hidden="1" x14ac:dyDescent="0.15"/>
    <row r="51947" hidden="1" x14ac:dyDescent="0.15"/>
    <row r="51948" hidden="1" x14ac:dyDescent="0.15"/>
    <row r="51949" hidden="1" x14ac:dyDescent="0.15"/>
    <row r="51950" hidden="1" x14ac:dyDescent="0.15"/>
    <row r="51951" hidden="1" x14ac:dyDescent="0.15"/>
    <row r="51952" hidden="1" x14ac:dyDescent="0.15"/>
    <row r="51953" hidden="1" x14ac:dyDescent="0.15"/>
    <row r="51954" hidden="1" x14ac:dyDescent="0.15"/>
    <row r="51955" hidden="1" x14ac:dyDescent="0.15"/>
    <row r="51956" hidden="1" x14ac:dyDescent="0.15"/>
    <row r="51957" hidden="1" x14ac:dyDescent="0.15"/>
    <row r="51958" hidden="1" x14ac:dyDescent="0.15"/>
    <row r="51959" hidden="1" x14ac:dyDescent="0.15"/>
    <row r="51960" hidden="1" x14ac:dyDescent="0.15"/>
    <row r="51961" hidden="1" x14ac:dyDescent="0.15"/>
    <row r="51962" hidden="1" x14ac:dyDescent="0.15"/>
    <row r="51963" hidden="1" x14ac:dyDescent="0.15"/>
    <row r="51964" hidden="1" x14ac:dyDescent="0.15"/>
    <row r="51965" hidden="1" x14ac:dyDescent="0.15"/>
    <row r="51966" hidden="1" x14ac:dyDescent="0.15"/>
    <row r="51967" hidden="1" x14ac:dyDescent="0.15"/>
    <row r="51968" hidden="1" x14ac:dyDescent="0.15"/>
    <row r="51969" hidden="1" x14ac:dyDescent="0.15"/>
    <row r="51970" hidden="1" x14ac:dyDescent="0.15"/>
    <row r="51971" hidden="1" x14ac:dyDescent="0.15"/>
    <row r="51972" hidden="1" x14ac:dyDescent="0.15"/>
    <row r="51973" hidden="1" x14ac:dyDescent="0.15"/>
    <row r="51974" hidden="1" x14ac:dyDescent="0.15"/>
    <row r="51975" hidden="1" x14ac:dyDescent="0.15"/>
    <row r="51976" hidden="1" x14ac:dyDescent="0.15"/>
    <row r="51977" hidden="1" x14ac:dyDescent="0.15"/>
    <row r="51978" hidden="1" x14ac:dyDescent="0.15"/>
    <row r="51979" hidden="1" x14ac:dyDescent="0.15"/>
    <row r="51980" hidden="1" x14ac:dyDescent="0.15"/>
    <row r="51981" hidden="1" x14ac:dyDescent="0.15"/>
    <row r="51982" hidden="1" x14ac:dyDescent="0.15"/>
    <row r="51983" hidden="1" x14ac:dyDescent="0.15"/>
    <row r="51984" hidden="1" x14ac:dyDescent="0.15"/>
    <row r="51985" hidden="1" x14ac:dyDescent="0.15"/>
    <row r="51986" hidden="1" x14ac:dyDescent="0.15"/>
    <row r="51987" hidden="1" x14ac:dyDescent="0.15"/>
    <row r="51988" hidden="1" x14ac:dyDescent="0.15"/>
    <row r="51989" hidden="1" x14ac:dyDescent="0.15"/>
    <row r="51990" hidden="1" x14ac:dyDescent="0.15"/>
    <row r="51991" hidden="1" x14ac:dyDescent="0.15"/>
    <row r="51992" hidden="1" x14ac:dyDescent="0.15"/>
    <row r="51993" hidden="1" x14ac:dyDescent="0.15"/>
    <row r="51994" hidden="1" x14ac:dyDescent="0.15"/>
    <row r="51995" hidden="1" x14ac:dyDescent="0.15"/>
    <row r="51996" hidden="1" x14ac:dyDescent="0.15"/>
    <row r="51997" hidden="1" x14ac:dyDescent="0.15"/>
    <row r="51998" hidden="1" x14ac:dyDescent="0.15"/>
    <row r="51999" hidden="1" x14ac:dyDescent="0.15"/>
    <row r="52000" hidden="1" x14ac:dyDescent="0.15"/>
    <row r="52001" hidden="1" x14ac:dyDescent="0.15"/>
    <row r="52002" hidden="1" x14ac:dyDescent="0.15"/>
    <row r="52003" hidden="1" x14ac:dyDescent="0.15"/>
    <row r="52004" hidden="1" x14ac:dyDescent="0.15"/>
    <row r="52005" hidden="1" x14ac:dyDescent="0.15"/>
    <row r="52006" hidden="1" x14ac:dyDescent="0.15"/>
    <row r="52007" hidden="1" x14ac:dyDescent="0.15"/>
    <row r="52008" hidden="1" x14ac:dyDescent="0.15"/>
    <row r="52009" hidden="1" x14ac:dyDescent="0.15"/>
    <row r="52010" hidden="1" x14ac:dyDescent="0.15"/>
    <row r="52011" hidden="1" x14ac:dyDescent="0.15"/>
    <row r="52012" hidden="1" x14ac:dyDescent="0.15"/>
    <row r="52013" hidden="1" x14ac:dyDescent="0.15"/>
    <row r="52014" hidden="1" x14ac:dyDescent="0.15"/>
    <row r="52015" hidden="1" x14ac:dyDescent="0.15"/>
    <row r="52016" hidden="1" x14ac:dyDescent="0.15"/>
    <row r="52017" hidden="1" x14ac:dyDescent="0.15"/>
    <row r="52018" hidden="1" x14ac:dyDescent="0.15"/>
    <row r="52019" hidden="1" x14ac:dyDescent="0.15"/>
    <row r="52020" hidden="1" x14ac:dyDescent="0.15"/>
    <row r="52021" hidden="1" x14ac:dyDescent="0.15"/>
    <row r="52022" hidden="1" x14ac:dyDescent="0.15"/>
    <row r="52023" hidden="1" x14ac:dyDescent="0.15"/>
    <row r="52024" hidden="1" x14ac:dyDescent="0.15"/>
    <row r="52025" hidden="1" x14ac:dyDescent="0.15"/>
    <row r="52026" hidden="1" x14ac:dyDescent="0.15"/>
    <row r="52027" hidden="1" x14ac:dyDescent="0.15"/>
    <row r="52028" hidden="1" x14ac:dyDescent="0.15"/>
    <row r="52029" hidden="1" x14ac:dyDescent="0.15"/>
    <row r="52030" hidden="1" x14ac:dyDescent="0.15"/>
    <row r="52031" hidden="1" x14ac:dyDescent="0.15"/>
    <row r="52032" hidden="1" x14ac:dyDescent="0.15"/>
    <row r="52033" hidden="1" x14ac:dyDescent="0.15"/>
    <row r="52034" hidden="1" x14ac:dyDescent="0.15"/>
    <row r="52035" hidden="1" x14ac:dyDescent="0.15"/>
    <row r="52036" hidden="1" x14ac:dyDescent="0.15"/>
    <row r="52037" hidden="1" x14ac:dyDescent="0.15"/>
    <row r="52038" hidden="1" x14ac:dyDescent="0.15"/>
    <row r="52039" hidden="1" x14ac:dyDescent="0.15"/>
    <row r="52040" hidden="1" x14ac:dyDescent="0.15"/>
    <row r="52041" hidden="1" x14ac:dyDescent="0.15"/>
    <row r="52042" hidden="1" x14ac:dyDescent="0.15"/>
    <row r="52043" hidden="1" x14ac:dyDescent="0.15"/>
    <row r="52044" hidden="1" x14ac:dyDescent="0.15"/>
    <row r="52045" hidden="1" x14ac:dyDescent="0.15"/>
    <row r="52046" hidden="1" x14ac:dyDescent="0.15"/>
    <row r="52047" hidden="1" x14ac:dyDescent="0.15"/>
    <row r="52048" hidden="1" x14ac:dyDescent="0.15"/>
    <row r="52049" hidden="1" x14ac:dyDescent="0.15"/>
    <row r="52050" hidden="1" x14ac:dyDescent="0.15"/>
    <row r="52051" hidden="1" x14ac:dyDescent="0.15"/>
    <row r="52052" hidden="1" x14ac:dyDescent="0.15"/>
    <row r="52053" hidden="1" x14ac:dyDescent="0.15"/>
    <row r="52054" hidden="1" x14ac:dyDescent="0.15"/>
    <row r="52055" hidden="1" x14ac:dyDescent="0.15"/>
    <row r="52056" hidden="1" x14ac:dyDescent="0.15"/>
    <row r="52057" hidden="1" x14ac:dyDescent="0.15"/>
    <row r="52058" hidden="1" x14ac:dyDescent="0.15"/>
    <row r="52059" hidden="1" x14ac:dyDescent="0.15"/>
    <row r="52060" hidden="1" x14ac:dyDescent="0.15"/>
    <row r="52061" hidden="1" x14ac:dyDescent="0.15"/>
    <row r="52062" hidden="1" x14ac:dyDescent="0.15"/>
    <row r="52063" hidden="1" x14ac:dyDescent="0.15"/>
    <row r="52064" hidden="1" x14ac:dyDescent="0.15"/>
    <row r="52065" hidden="1" x14ac:dyDescent="0.15"/>
    <row r="52066" hidden="1" x14ac:dyDescent="0.15"/>
    <row r="52067" hidden="1" x14ac:dyDescent="0.15"/>
    <row r="52068" hidden="1" x14ac:dyDescent="0.15"/>
    <row r="52069" hidden="1" x14ac:dyDescent="0.15"/>
    <row r="52070" hidden="1" x14ac:dyDescent="0.15"/>
    <row r="52071" hidden="1" x14ac:dyDescent="0.15"/>
    <row r="52072" hidden="1" x14ac:dyDescent="0.15"/>
    <row r="52073" hidden="1" x14ac:dyDescent="0.15"/>
    <row r="52074" hidden="1" x14ac:dyDescent="0.15"/>
    <row r="52075" hidden="1" x14ac:dyDescent="0.15"/>
    <row r="52076" hidden="1" x14ac:dyDescent="0.15"/>
    <row r="52077" hidden="1" x14ac:dyDescent="0.15"/>
    <row r="52078" hidden="1" x14ac:dyDescent="0.15"/>
    <row r="52079" hidden="1" x14ac:dyDescent="0.15"/>
    <row r="52080" hidden="1" x14ac:dyDescent="0.15"/>
    <row r="52081" hidden="1" x14ac:dyDescent="0.15"/>
    <row r="52082" hidden="1" x14ac:dyDescent="0.15"/>
    <row r="52083" hidden="1" x14ac:dyDescent="0.15"/>
    <row r="52084" hidden="1" x14ac:dyDescent="0.15"/>
    <row r="52085" hidden="1" x14ac:dyDescent="0.15"/>
    <row r="52086" hidden="1" x14ac:dyDescent="0.15"/>
    <row r="52087" hidden="1" x14ac:dyDescent="0.15"/>
    <row r="52088" hidden="1" x14ac:dyDescent="0.15"/>
    <row r="52089" hidden="1" x14ac:dyDescent="0.15"/>
    <row r="52090" hidden="1" x14ac:dyDescent="0.15"/>
    <row r="52091" hidden="1" x14ac:dyDescent="0.15"/>
    <row r="52092" hidden="1" x14ac:dyDescent="0.15"/>
    <row r="52093" hidden="1" x14ac:dyDescent="0.15"/>
    <row r="52094" hidden="1" x14ac:dyDescent="0.15"/>
    <row r="52095" hidden="1" x14ac:dyDescent="0.15"/>
    <row r="52096" hidden="1" x14ac:dyDescent="0.15"/>
    <row r="52097" hidden="1" x14ac:dyDescent="0.15"/>
    <row r="52098" hidden="1" x14ac:dyDescent="0.15"/>
    <row r="52099" hidden="1" x14ac:dyDescent="0.15"/>
    <row r="52100" hidden="1" x14ac:dyDescent="0.15"/>
    <row r="52101" hidden="1" x14ac:dyDescent="0.15"/>
    <row r="52102" hidden="1" x14ac:dyDescent="0.15"/>
    <row r="52103" hidden="1" x14ac:dyDescent="0.15"/>
    <row r="52104" hidden="1" x14ac:dyDescent="0.15"/>
    <row r="52105" hidden="1" x14ac:dyDescent="0.15"/>
    <row r="52106" hidden="1" x14ac:dyDescent="0.15"/>
    <row r="52107" hidden="1" x14ac:dyDescent="0.15"/>
    <row r="52108" hidden="1" x14ac:dyDescent="0.15"/>
    <row r="52109" hidden="1" x14ac:dyDescent="0.15"/>
    <row r="52110" hidden="1" x14ac:dyDescent="0.15"/>
    <row r="52111" hidden="1" x14ac:dyDescent="0.15"/>
    <row r="52112" hidden="1" x14ac:dyDescent="0.15"/>
    <row r="52113" hidden="1" x14ac:dyDescent="0.15"/>
    <row r="52114" hidden="1" x14ac:dyDescent="0.15"/>
    <row r="52115" hidden="1" x14ac:dyDescent="0.15"/>
    <row r="52116" hidden="1" x14ac:dyDescent="0.15"/>
    <row r="52117" hidden="1" x14ac:dyDescent="0.15"/>
    <row r="52118" hidden="1" x14ac:dyDescent="0.15"/>
    <row r="52119" hidden="1" x14ac:dyDescent="0.15"/>
    <row r="52120" hidden="1" x14ac:dyDescent="0.15"/>
    <row r="52121" hidden="1" x14ac:dyDescent="0.15"/>
    <row r="52122" hidden="1" x14ac:dyDescent="0.15"/>
    <row r="52123" hidden="1" x14ac:dyDescent="0.15"/>
    <row r="52124" hidden="1" x14ac:dyDescent="0.15"/>
    <row r="52125" hidden="1" x14ac:dyDescent="0.15"/>
    <row r="52126" hidden="1" x14ac:dyDescent="0.15"/>
    <row r="52127" hidden="1" x14ac:dyDescent="0.15"/>
    <row r="52128" hidden="1" x14ac:dyDescent="0.15"/>
    <row r="52129" hidden="1" x14ac:dyDescent="0.15"/>
    <row r="52130" hidden="1" x14ac:dyDescent="0.15"/>
    <row r="52131" hidden="1" x14ac:dyDescent="0.15"/>
    <row r="52132" hidden="1" x14ac:dyDescent="0.15"/>
    <row r="52133" hidden="1" x14ac:dyDescent="0.15"/>
    <row r="52134" hidden="1" x14ac:dyDescent="0.15"/>
    <row r="52135" hidden="1" x14ac:dyDescent="0.15"/>
    <row r="52136" hidden="1" x14ac:dyDescent="0.15"/>
    <row r="52137" hidden="1" x14ac:dyDescent="0.15"/>
    <row r="52138" hidden="1" x14ac:dyDescent="0.15"/>
    <row r="52139" hidden="1" x14ac:dyDescent="0.15"/>
    <row r="52140" hidden="1" x14ac:dyDescent="0.15"/>
    <row r="52141" hidden="1" x14ac:dyDescent="0.15"/>
    <row r="52142" hidden="1" x14ac:dyDescent="0.15"/>
    <row r="52143" hidden="1" x14ac:dyDescent="0.15"/>
    <row r="52144" hidden="1" x14ac:dyDescent="0.15"/>
    <row r="52145" hidden="1" x14ac:dyDescent="0.15"/>
    <row r="52146" hidden="1" x14ac:dyDescent="0.15"/>
    <row r="52147" hidden="1" x14ac:dyDescent="0.15"/>
    <row r="52148" hidden="1" x14ac:dyDescent="0.15"/>
    <row r="52149" hidden="1" x14ac:dyDescent="0.15"/>
    <row r="52150" hidden="1" x14ac:dyDescent="0.15"/>
    <row r="52151" hidden="1" x14ac:dyDescent="0.15"/>
    <row r="52152" hidden="1" x14ac:dyDescent="0.15"/>
    <row r="52153" hidden="1" x14ac:dyDescent="0.15"/>
    <row r="52154" hidden="1" x14ac:dyDescent="0.15"/>
    <row r="52155" hidden="1" x14ac:dyDescent="0.15"/>
    <row r="52156" hidden="1" x14ac:dyDescent="0.15"/>
    <row r="52157" hidden="1" x14ac:dyDescent="0.15"/>
    <row r="52158" hidden="1" x14ac:dyDescent="0.15"/>
    <row r="52159" hidden="1" x14ac:dyDescent="0.15"/>
    <row r="52160" hidden="1" x14ac:dyDescent="0.15"/>
    <row r="52161" hidden="1" x14ac:dyDescent="0.15"/>
    <row r="52162" hidden="1" x14ac:dyDescent="0.15"/>
    <row r="52163" hidden="1" x14ac:dyDescent="0.15"/>
    <row r="52164" hidden="1" x14ac:dyDescent="0.15"/>
    <row r="52165" hidden="1" x14ac:dyDescent="0.15"/>
    <row r="52166" hidden="1" x14ac:dyDescent="0.15"/>
    <row r="52167" hidden="1" x14ac:dyDescent="0.15"/>
    <row r="52168" hidden="1" x14ac:dyDescent="0.15"/>
    <row r="52169" hidden="1" x14ac:dyDescent="0.15"/>
    <row r="52170" hidden="1" x14ac:dyDescent="0.15"/>
    <row r="52171" hidden="1" x14ac:dyDescent="0.15"/>
    <row r="52172" hidden="1" x14ac:dyDescent="0.15"/>
    <row r="52173" hidden="1" x14ac:dyDescent="0.15"/>
    <row r="52174" hidden="1" x14ac:dyDescent="0.15"/>
    <row r="52175" hidden="1" x14ac:dyDescent="0.15"/>
    <row r="52176" hidden="1" x14ac:dyDescent="0.15"/>
    <row r="52177" hidden="1" x14ac:dyDescent="0.15"/>
    <row r="52178" hidden="1" x14ac:dyDescent="0.15"/>
    <row r="52179" hidden="1" x14ac:dyDescent="0.15"/>
    <row r="52180" hidden="1" x14ac:dyDescent="0.15"/>
    <row r="52181" hidden="1" x14ac:dyDescent="0.15"/>
    <row r="52182" hidden="1" x14ac:dyDescent="0.15"/>
    <row r="52183" hidden="1" x14ac:dyDescent="0.15"/>
    <row r="52184" hidden="1" x14ac:dyDescent="0.15"/>
    <row r="52185" hidden="1" x14ac:dyDescent="0.15"/>
    <row r="52186" hidden="1" x14ac:dyDescent="0.15"/>
    <row r="52187" hidden="1" x14ac:dyDescent="0.15"/>
    <row r="52188" hidden="1" x14ac:dyDescent="0.15"/>
    <row r="52189" hidden="1" x14ac:dyDescent="0.15"/>
    <row r="52190" hidden="1" x14ac:dyDescent="0.15"/>
    <row r="52191" hidden="1" x14ac:dyDescent="0.15"/>
    <row r="52192" hidden="1" x14ac:dyDescent="0.15"/>
    <row r="52193" hidden="1" x14ac:dyDescent="0.15"/>
    <row r="52194" hidden="1" x14ac:dyDescent="0.15"/>
    <row r="52195" hidden="1" x14ac:dyDescent="0.15"/>
    <row r="52196" hidden="1" x14ac:dyDescent="0.15"/>
    <row r="52197" hidden="1" x14ac:dyDescent="0.15"/>
    <row r="52198" hidden="1" x14ac:dyDescent="0.15"/>
    <row r="52199" hidden="1" x14ac:dyDescent="0.15"/>
    <row r="52200" hidden="1" x14ac:dyDescent="0.15"/>
    <row r="52201" hidden="1" x14ac:dyDescent="0.15"/>
    <row r="52202" hidden="1" x14ac:dyDescent="0.15"/>
    <row r="52203" hidden="1" x14ac:dyDescent="0.15"/>
    <row r="52204" hidden="1" x14ac:dyDescent="0.15"/>
    <row r="52205" hidden="1" x14ac:dyDescent="0.15"/>
    <row r="52206" hidden="1" x14ac:dyDescent="0.15"/>
    <row r="52207" hidden="1" x14ac:dyDescent="0.15"/>
    <row r="52208" hidden="1" x14ac:dyDescent="0.15"/>
    <row r="52209" hidden="1" x14ac:dyDescent="0.15"/>
    <row r="52210" hidden="1" x14ac:dyDescent="0.15"/>
    <row r="52211" hidden="1" x14ac:dyDescent="0.15"/>
    <row r="52212" hidden="1" x14ac:dyDescent="0.15"/>
    <row r="52213" hidden="1" x14ac:dyDescent="0.15"/>
    <row r="52214" hidden="1" x14ac:dyDescent="0.15"/>
    <row r="52215" hidden="1" x14ac:dyDescent="0.15"/>
    <row r="52216" hidden="1" x14ac:dyDescent="0.15"/>
    <row r="52217" hidden="1" x14ac:dyDescent="0.15"/>
    <row r="52218" hidden="1" x14ac:dyDescent="0.15"/>
    <row r="52219" hidden="1" x14ac:dyDescent="0.15"/>
    <row r="52220" hidden="1" x14ac:dyDescent="0.15"/>
    <row r="52221" hidden="1" x14ac:dyDescent="0.15"/>
    <row r="52222" hidden="1" x14ac:dyDescent="0.15"/>
    <row r="52223" hidden="1" x14ac:dyDescent="0.15"/>
    <row r="52224" hidden="1" x14ac:dyDescent="0.15"/>
    <row r="52225" hidden="1" x14ac:dyDescent="0.15"/>
    <row r="52226" hidden="1" x14ac:dyDescent="0.15"/>
    <row r="52227" hidden="1" x14ac:dyDescent="0.15"/>
    <row r="52228" hidden="1" x14ac:dyDescent="0.15"/>
    <row r="52229" hidden="1" x14ac:dyDescent="0.15"/>
    <row r="52230" hidden="1" x14ac:dyDescent="0.15"/>
    <row r="52231" hidden="1" x14ac:dyDescent="0.15"/>
    <row r="52232" hidden="1" x14ac:dyDescent="0.15"/>
    <row r="52233" hidden="1" x14ac:dyDescent="0.15"/>
    <row r="52234" hidden="1" x14ac:dyDescent="0.15"/>
    <row r="52235" hidden="1" x14ac:dyDescent="0.15"/>
    <row r="52236" hidden="1" x14ac:dyDescent="0.15"/>
    <row r="52237" hidden="1" x14ac:dyDescent="0.15"/>
    <row r="52238" hidden="1" x14ac:dyDescent="0.15"/>
    <row r="52239" hidden="1" x14ac:dyDescent="0.15"/>
    <row r="52240" hidden="1" x14ac:dyDescent="0.15"/>
    <row r="52241" hidden="1" x14ac:dyDescent="0.15"/>
    <row r="52242" hidden="1" x14ac:dyDescent="0.15"/>
    <row r="52243" hidden="1" x14ac:dyDescent="0.15"/>
    <row r="52244" hidden="1" x14ac:dyDescent="0.15"/>
    <row r="52245" hidden="1" x14ac:dyDescent="0.15"/>
    <row r="52246" hidden="1" x14ac:dyDescent="0.15"/>
    <row r="52247" hidden="1" x14ac:dyDescent="0.15"/>
    <row r="52248" hidden="1" x14ac:dyDescent="0.15"/>
    <row r="52249" hidden="1" x14ac:dyDescent="0.15"/>
    <row r="52250" hidden="1" x14ac:dyDescent="0.15"/>
    <row r="52251" hidden="1" x14ac:dyDescent="0.15"/>
    <row r="52252" hidden="1" x14ac:dyDescent="0.15"/>
    <row r="52253" hidden="1" x14ac:dyDescent="0.15"/>
    <row r="52254" hidden="1" x14ac:dyDescent="0.15"/>
    <row r="52255" hidden="1" x14ac:dyDescent="0.15"/>
    <row r="52256" hidden="1" x14ac:dyDescent="0.15"/>
    <row r="52257" hidden="1" x14ac:dyDescent="0.15"/>
    <row r="52258" hidden="1" x14ac:dyDescent="0.15"/>
    <row r="52259" hidden="1" x14ac:dyDescent="0.15"/>
    <row r="52260" hidden="1" x14ac:dyDescent="0.15"/>
    <row r="52261" hidden="1" x14ac:dyDescent="0.15"/>
    <row r="52262" hidden="1" x14ac:dyDescent="0.15"/>
    <row r="52263" hidden="1" x14ac:dyDescent="0.15"/>
    <row r="52264" hidden="1" x14ac:dyDescent="0.15"/>
    <row r="52265" hidden="1" x14ac:dyDescent="0.15"/>
    <row r="52266" hidden="1" x14ac:dyDescent="0.15"/>
    <row r="52267" hidden="1" x14ac:dyDescent="0.15"/>
    <row r="52268" hidden="1" x14ac:dyDescent="0.15"/>
    <row r="52269" hidden="1" x14ac:dyDescent="0.15"/>
    <row r="52270" hidden="1" x14ac:dyDescent="0.15"/>
    <row r="52271" hidden="1" x14ac:dyDescent="0.15"/>
    <row r="52272" hidden="1" x14ac:dyDescent="0.15"/>
    <row r="52273" hidden="1" x14ac:dyDescent="0.15"/>
    <row r="52274" hidden="1" x14ac:dyDescent="0.15"/>
    <row r="52275" hidden="1" x14ac:dyDescent="0.15"/>
    <row r="52276" hidden="1" x14ac:dyDescent="0.15"/>
    <row r="52277" hidden="1" x14ac:dyDescent="0.15"/>
    <row r="52278" hidden="1" x14ac:dyDescent="0.15"/>
    <row r="52279" hidden="1" x14ac:dyDescent="0.15"/>
    <row r="52280" hidden="1" x14ac:dyDescent="0.15"/>
    <row r="52281" hidden="1" x14ac:dyDescent="0.15"/>
    <row r="52282" hidden="1" x14ac:dyDescent="0.15"/>
    <row r="52283" hidden="1" x14ac:dyDescent="0.15"/>
    <row r="52284" hidden="1" x14ac:dyDescent="0.15"/>
    <row r="52285" hidden="1" x14ac:dyDescent="0.15"/>
    <row r="52286" hidden="1" x14ac:dyDescent="0.15"/>
    <row r="52287" hidden="1" x14ac:dyDescent="0.15"/>
    <row r="52288" hidden="1" x14ac:dyDescent="0.15"/>
    <row r="52289" hidden="1" x14ac:dyDescent="0.15"/>
    <row r="52290" hidden="1" x14ac:dyDescent="0.15"/>
    <row r="52291" hidden="1" x14ac:dyDescent="0.15"/>
    <row r="52292" hidden="1" x14ac:dyDescent="0.15"/>
    <row r="52293" hidden="1" x14ac:dyDescent="0.15"/>
    <row r="52294" hidden="1" x14ac:dyDescent="0.15"/>
    <row r="52295" hidden="1" x14ac:dyDescent="0.15"/>
    <row r="52296" hidden="1" x14ac:dyDescent="0.15"/>
    <row r="52297" hidden="1" x14ac:dyDescent="0.15"/>
    <row r="52298" hidden="1" x14ac:dyDescent="0.15"/>
    <row r="52299" hidden="1" x14ac:dyDescent="0.15"/>
    <row r="52300" hidden="1" x14ac:dyDescent="0.15"/>
    <row r="52301" hidden="1" x14ac:dyDescent="0.15"/>
    <row r="52302" hidden="1" x14ac:dyDescent="0.15"/>
    <row r="52303" hidden="1" x14ac:dyDescent="0.15"/>
    <row r="52304" hidden="1" x14ac:dyDescent="0.15"/>
    <row r="52305" hidden="1" x14ac:dyDescent="0.15"/>
    <row r="52306" hidden="1" x14ac:dyDescent="0.15"/>
    <row r="52307" hidden="1" x14ac:dyDescent="0.15"/>
    <row r="52308" hidden="1" x14ac:dyDescent="0.15"/>
    <row r="52309" hidden="1" x14ac:dyDescent="0.15"/>
    <row r="52310" hidden="1" x14ac:dyDescent="0.15"/>
    <row r="52311" hidden="1" x14ac:dyDescent="0.15"/>
    <row r="52312" hidden="1" x14ac:dyDescent="0.15"/>
    <row r="52313" hidden="1" x14ac:dyDescent="0.15"/>
    <row r="52314" hidden="1" x14ac:dyDescent="0.15"/>
    <row r="52315" hidden="1" x14ac:dyDescent="0.15"/>
    <row r="52316" hidden="1" x14ac:dyDescent="0.15"/>
    <row r="52317" hidden="1" x14ac:dyDescent="0.15"/>
    <row r="52318" hidden="1" x14ac:dyDescent="0.15"/>
    <row r="52319" hidden="1" x14ac:dyDescent="0.15"/>
    <row r="52320" hidden="1" x14ac:dyDescent="0.15"/>
    <row r="52321" hidden="1" x14ac:dyDescent="0.15"/>
    <row r="52322" hidden="1" x14ac:dyDescent="0.15"/>
    <row r="52323" hidden="1" x14ac:dyDescent="0.15"/>
    <row r="52324" hidden="1" x14ac:dyDescent="0.15"/>
    <row r="52325" hidden="1" x14ac:dyDescent="0.15"/>
    <row r="52326" hidden="1" x14ac:dyDescent="0.15"/>
    <row r="52327" hidden="1" x14ac:dyDescent="0.15"/>
    <row r="52328" hidden="1" x14ac:dyDescent="0.15"/>
    <row r="52329" hidden="1" x14ac:dyDescent="0.15"/>
    <row r="52330" hidden="1" x14ac:dyDescent="0.15"/>
    <row r="52331" hidden="1" x14ac:dyDescent="0.15"/>
    <row r="52332" hidden="1" x14ac:dyDescent="0.15"/>
    <row r="52333" hidden="1" x14ac:dyDescent="0.15"/>
    <row r="52334" hidden="1" x14ac:dyDescent="0.15"/>
    <row r="52335" hidden="1" x14ac:dyDescent="0.15"/>
    <row r="52336" hidden="1" x14ac:dyDescent="0.15"/>
    <row r="52337" hidden="1" x14ac:dyDescent="0.15"/>
    <row r="52338" hidden="1" x14ac:dyDescent="0.15"/>
    <row r="52339" hidden="1" x14ac:dyDescent="0.15"/>
    <row r="52340" hidden="1" x14ac:dyDescent="0.15"/>
    <row r="52341" hidden="1" x14ac:dyDescent="0.15"/>
    <row r="52342" hidden="1" x14ac:dyDescent="0.15"/>
    <row r="52343" hidden="1" x14ac:dyDescent="0.15"/>
    <row r="52344" hidden="1" x14ac:dyDescent="0.15"/>
    <row r="52345" hidden="1" x14ac:dyDescent="0.15"/>
    <row r="52346" hidden="1" x14ac:dyDescent="0.15"/>
    <row r="52347" hidden="1" x14ac:dyDescent="0.15"/>
    <row r="52348" hidden="1" x14ac:dyDescent="0.15"/>
    <row r="52349" hidden="1" x14ac:dyDescent="0.15"/>
    <row r="52350" hidden="1" x14ac:dyDescent="0.15"/>
    <row r="52351" hidden="1" x14ac:dyDescent="0.15"/>
    <row r="52352" hidden="1" x14ac:dyDescent="0.15"/>
    <row r="52353" hidden="1" x14ac:dyDescent="0.15"/>
    <row r="52354" hidden="1" x14ac:dyDescent="0.15"/>
    <row r="52355" hidden="1" x14ac:dyDescent="0.15"/>
    <row r="52356" hidden="1" x14ac:dyDescent="0.15"/>
    <row r="52357" hidden="1" x14ac:dyDescent="0.15"/>
    <row r="52358" hidden="1" x14ac:dyDescent="0.15"/>
    <row r="52359" hidden="1" x14ac:dyDescent="0.15"/>
    <row r="52360" hidden="1" x14ac:dyDescent="0.15"/>
    <row r="52361" hidden="1" x14ac:dyDescent="0.15"/>
    <row r="52362" hidden="1" x14ac:dyDescent="0.15"/>
    <row r="52363" hidden="1" x14ac:dyDescent="0.15"/>
    <row r="52364" hidden="1" x14ac:dyDescent="0.15"/>
    <row r="52365" hidden="1" x14ac:dyDescent="0.15"/>
    <row r="52366" hidden="1" x14ac:dyDescent="0.15"/>
    <row r="52367" hidden="1" x14ac:dyDescent="0.15"/>
    <row r="52368" hidden="1" x14ac:dyDescent="0.15"/>
    <row r="52369" hidden="1" x14ac:dyDescent="0.15"/>
    <row r="52370" hidden="1" x14ac:dyDescent="0.15"/>
    <row r="52371" hidden="1" x14ac:dyDescent="0.15"/>
    <row r="52372" hidden="1" x14ac:dyDescent="0.15"/>
    <row r="52373" hidden="1" x14ac:dyDescent="0.15"/>
    <row r="52374" hidden="1" x14ac:dyDescent="0.15"/>
    <row r="52375" hidden="1" x14ac:dyDescent="0.15"/>
    <row r="52376" hidden="1" x14ac:dyDescent="0.15"/>
    <row r="52377" hidden="1" x14ac:dyDescent="0.15"/>
    <row r="52378" hidden="1" x14ac:dyDescent="0.15"/>
    <row r="52379" hidden="1" x14ac:dyDescent="0.15"/>
    <row r="52380" hidden="1" x14ac:dyDescent="0.15"/>
    <row r="52381" hidden="1" x14ac:dyDescent="0.15"/>
    <row r="52382" hidden="1" x14ac:dyDescent="0.15"/>
    <row r="52383" hidden="1" x14ac:dyDescent="0.15"/>
    <row r="52384" hidden="1" x14ac:dyDescent="0.15"/>
    <row r="52385" hidden="1" x14ac:dyDescent="0.15"/>
    <row r="52386" hidden="1" x14ac:dyDescent="0.15"/>
    <row r="52387" hidden="1" x14ac:dyDescent="0.15"/>
    <row r="52388" hidden="1" x14ac:dyDescent="0.15"/>
    <row r="52389" hidden="1" x14ac:dyDescent="0.15"/>
    <row r="52390" hidden="1" x14ac:dyDescent="0.15"/>
    <row r="52391" hidden="1" x14ac:dyDescent="0.15"/>
    <row r="52392" hidden="1" x14ac:dyDescent="0.15"/>
    <row r="52393" hidden="1" x14ac:dyDescent="0.15"/>
    <row r="52394" hidden="1" x14ac:dyDescent="0.15"/>
    <row r="52395" hidden="1" x14ac:dyDescent="0.15"/>
    <row r="52396" hidden="1" x14ac:dyDescent="0.15"/>
    <row r="52397" hidden="1" x14ac:dyDescent="0.15"/>
    <row r="52398" hidden="1" x14ac:dyDescent="0.15"/>
    <row r="52399" hidden="1" x14ac:dyDescent="0.15"/>
    <row r="52400" hidden="1" x14ac:dyDescent="0.15"/>
    <row r="52401" hidden="1" x14ac:dyDescent="0.15"/>
    <row r="52402" hidden="1" x14ac:dyDescent="0.15"/>
    <row r="52403" hidden="1" x14ac:dyDescent="0.15"/>
    <row r="52404" hidden="1" x14ac:dyDescent="0.15"/>
    <row r="52405" hidden="1" x14ac:dyDescent="0.15"/>
    <row r="52406" hidden="1" x14ac:dyDescent="0.15"/>
    <row r="52407" hidden="1" x14ac:dyDescent="0.15"/>
    <row r="52408" hidden="1" x14ac:dyDescent="0.15"/>
    <row r="52409" hidden="1" x14ac:dyDescent="0.15"/>
    <row r="52410" hidden="1" x14ac:dyDescent="0.15"/>
    <row r="52411" hidden="1" x14ac:dyDescent="0.15"/>
    <row r="52412" hidden="1" x14ac:dyDescent="0.15"/>
    <row r="52413" hidden="1" x14ac:dyDescent="0.15"/>
    <row r="52414" hidden="1" x14ac:dyDescent="0.15"/>
    <row r="52415" hidden="1" x14ac:dyDescent="0.15"/>
    <row r="52416" hidden="1" x14ac:dyDescent="0.15"/>
    <row r="52417" hidden="1" x14ac:dyDescent="0.15"/>
    <row r="52418" hidden="1" x14ac:dyDescent="0.15"/>
    <row r="52419" hidden="1" x14ac:dyDescent="0.15"/>
    <row r="52420" hidden="1" x14ac:dyDescent="0.15"/>
    <row r="52421" hidden="1" x14ac:dyDescent="0.15"/>
    <row r="52422" hidden="1" x14ac:dyDescent="0.15"/>
    <row r="52423" hidden="1" x14ac:dyDescent="0.15"/>
    <row r="52424" hidden="1" x14ac:dyDescent="0.15"/>
    <row r="52425" hidden="1" x14ac:dyDescent="0.15"/>
    <row r="52426" hidden="1" x14ac:dyDescent="0.15"/>
    <row r="52427" hidden="1" x14ac:dyDescent="0.15"/>
    <row r="52428" hidden="1" x14ac:dyDescent="0.15"/>
    <row r="52429" hidden="1" x14ac:dyDescent="0.15"/>
    <row r="52430" hidden="1" x14ac:dyDescent="0.15"/>
    <row r="52431" hidden="1" x14ac:dyDescent="0.15"/>
    <row r="52432" hidden="1" x14ac:dyDescent="0.15"/>
    <row r="52433" hidden="1" x14ac:dyDescent="0.15"/>
    <row r="52434" hidden="1" x14ac:dyDescent="0.15"/>
    <row r="52435" hidden="1" x14ac:dyDescent="0.15"/>
    <row r="52436" hidden="1" x14ac:dyDescent="0.15"/>
    <row r="52437" hidden="1" x14ac:dyDescent="0.15"/>
    <row r="52438" hidden="1" x14ac:dyDescent="0.15"/>
    <row r="52439" hidden="1" x14ac:dyDescent="0.15"/>
    <row r="52440" hidden="1" x14ac:dyDescent="0.15"/>
    <row r="52441" hidden="1" x14ac:dyDescent="0.15"/>
    <row r="52442" hidden="1" x14ac:dyDescent="0.15"/>
    <row r="52443" hidden="1" x14ac:dyDescent="0.15"/>
    <row r="52444" hidden="1" x14ac:dyDescent="0.15"/>
    <row r="52445" hidden="1" x14ac:dyDescent="0.15"/>
    <row r="52446" hidden="1" x14ac:dyDescent="0.15"/>
    <row r="52447" hidden="1" x14ac:dyDescent="0.15"/>
    <row r="52448" hidden="1" x14ac:dyDescent="0.15"/>
    <row r="52449" hidden="1" x14ac:dyDescent="0.15"/>
    <row r="52450" hidden="1" x14ac:dyDescent="0.15"/>
    <row r="52451" hidden="1" x14ac:dyDescent="0.15"/>
    <row r="52452" hidden="1" x14ac:dyDescent="0.15"/>
    <row r="52453" hidden="1" x14ac:dyDescent="0.15"/>
    <row r="52454" hidden="1" x14ac:dyDescent="0.15"/>
    <row r="52455" hidden="1" x14ac:dyDescent="0.15"/>
    <row r="52456" hidden="1" x14ac:dyDescent="0.15"/>
    <row r="52457" hidden="1" x14ac:dyDescent="0.15"/>
    <row r="52458" hidden="1" x14ac:dyDescent="0.15"/>
    <row r="52459" hidden="1" x14ac:dyDescent="0.15"/>
    <row r="52460" hidden="1" x14ac:dyDescent="0.15"/>
    <row r="52461" hidden="1" x14ac:dyDescent="0.15"/>
    <row r="52462" hidden="1" x14ac:dyDescent="0.15"/>
    <row r="52463" hidden="1" x14ac:dyDescent="0.15"/>
    <row r="52464" hidden="1" x14ac:dyDescent="0.15"/>
    <row r="52465" hidden="1" x14ac:dyDescent="0.15"/>
    <row r="52466" hidden="1" x14ac:dyDescent="0.15"/>
    <row r="52467" hidden="1" x14ac:dyDescent="0.15"/>
    <row r="52468" hidden="1" x14ac:dyDescent="0.15"/>
    <row r="52469" hidden="1" x14ac:dyDescent="0.15"/>
    <row r="52470" hidden="1" x14ac:dyDescent="0.15"/>
    <row r="52471" hidden="1" x14ac:dyDescent="0.15"/>
    <row r="52472" hidden="1" x14ac:dyDescent="0.15"/>
    <row r="52473" hidden="1" x14ac:dyDescent="0.15"/>
    <row r="52474" hidden="1" x14ac:dyDescent="0.15"/>
    <row r="52475" hidden="1" x14ac:dyDescent="0.15"/>
    <row r="52476" hidden="1" x14ac:dyDescent="0.15"/>
    <row r="52477" hidden="1" x14ac:dyDescent="0.15"/>
    <row r="52478" hidden="1" x14ac:dyDescent="0.15"/>
    <row r="52479" hidden="1" x14ac:dyDescent="0.15"/>
    <row r="52480" hidden="1" x14ac:dyDescent="0.15"/>
    <row r="52481" hidden="1" x14ac:dyDescent="0.15"/>
    <row r="52482" hidden="1" x14ac:dyDescent="0.15"/>
    <row r="52483" hidden="1" x14ac:dyDescent="0.15"/>
    <row r="52484" hidden="1" x14ac:dyDescent="0.15"/>
    <row r="52485" hidden="1" x14ac:dyDescent="0.15"/>
    <row r="52486" hidden="1" x14ac:dyDescent="0.15"/>
    <row r="52487" hidden="1" x14ac:dyDescent="0.15"/>
    <row r="52488" hidden="1" x14ac:dyDescent="0.15"/>
    <row r="52489" hidden="1" x14ac:dyDescent="0.15"/>
    <row r="52490" hidden="1" x14ac:dyDescent="0.15"/>
    <row r="52491" hidden="1" x14ac:dyDescent="0.15"/>
    <row r="52492" hidden="1" x14ac:dyDescent="0.15"/>
    <row r="52493" hidden="1" x14ac:dyDescent="0.15"/>
    <row r="52494" hidden="1" x14ac:dyDescent="0.15"/>
    <row r="52495" hidden="1" x14ac:dyDescent="0.15"/>
    <row r="52496" hidden="1" x14ac:dyDescent="0.15"/>
    <row r="52497" hidden="1" x14ac:dyDescent="0.15"/>
    <row r="52498" hidden="1" x14ac:dyDescent="0.15"/>
    <row r="52499" hidden="1" x14ac:dyDescent="0.15"/>
    <row r="52500" hidden="1" x14ac:dyDescent="0.15"/>
    <row r="52501" hidden="1" x14ac:dyDescent="0.15"/>
    <row r="52502" hidden="1" x14ac:dyDescent="0.15"/>
    <row r="52503" hidden="1" x14ac:dyDescent="0.15"/>
    <row r="52504" hidden="1" x14ac:dyDescent="0.15"/>
    <row r="52505" hidden="1" x14ac:dyDescent="0.15"/>
    <row r="52506" hidden="1" x14ac:dyDescent="0.15"/>
    <row r="52507" hidden="1" x14ac:dyDescent="0.15"/>
    <row r="52508" hidden="1" x14ac:dyDescent="0.15"/>
    <row r="52509" hidden="1" x14ac:dyDescent="0.15"/>
    <row r="52510" hidden="1" x14ac:dyDescent="0.15"/>
    <row r="52511" hidden="1" x14ac:dyDescent="0.15"/>
    <row r="52512" hidden="1" x14ac:dyDescent="0.15"/>
    <row r="52513" hidden="1" x14ac:dyDescent="0.15"/>
    <row r="52514" hidden="1" x14ac:dyDescent="0.15"/>
    <row r="52515" hidden="1" x14ac:dyDescent="0.15"/>
    <row r="52516" hidden="1" x14ac:dyDescent="0.15"/>
    <row r="52517" hidden="1" x14ac:dyDescent="0.15"/>
    <row r="52518" hidden="1" x14ac:dyDescent="0.15"/>
    <row r="52519" hidden="1" x14ac:dyDescent="0.15"/>
    <row r="52520" hidden="1" x14ac:dyDescent="0.15"/>
    <row r="52521" hidden="1" x14ac:dyDescent="0.15"/>
    <row r="52522" hidden="1" x14ac:dyDescent="0.15"/>
    <row r="52523" hidden="1" x14ac:dyDescent="0.15"/>
    <row r="52524" hidden="1" x14ac:dyDescent="0.15"/>
    <row r="52525" hidden="1" x14ac:dyDescent="0.15"/>
    <row r="52526" hidden="1" x14ac:dyDescent="0.15"/>
    <row r="52527" hidden="1" x14ac:dyDescent="0.15"/>
    <row r="52528" hidden="1" x14ac:dyDescent="0.15"/>
    <row r="52529" hidden="1" x14ac:dyDescent="0.15"/>
    <row r="52530" hidden="1" x14ac:dyDescent="0.15"/>
    <row r="52531" hidden="1" x14ac:dyDescent="0.15"/>
    <row r="52532" hidden="1" x14ac:dyDescent="0.15"/>
    <row r="52533" hidden="1" x14ac:dyDescent="0.15"/>
    <row r="52534" hidden="1" x14ac:dyDescent="0.15"/>
    <row r="52535" hidden="1" x14ac:dyDescent="0.15"/>
    <row r="52536" hidden="1" x14ac:dyDescent="0.15"/>
    <row r="52537" hidden="1" x14ac:dyDescent="0.15"/>
    <row r="52538" hidden="1" x14ac:dyDescent="0.15"/>
    <row r="52539" hidden="1" x14ac:dyDescent="0.15"/>
    <row r="52540" hidden="1" x14ac:dyDescent="0.15"/>
    <row r="52541" hidden="1" x14ac:dyDescent="0.15"/>
    <row r="52542" hidden="1" x14ac:dyDescent="0.15"/>
    <row r="52543" hidden="1" x14ac:dyDescent="0.15"/>
    <row r="52544" hidden="1" x14ac:dyDescent="0.15"/>
    <row r="52545" hidden="1" x14ac:dyDescent="0.15"/>
    <row r="52546" hidden="1" x14ac:dyDescent="0.15"/>
    <row r="52547" hidden="1" x14ac:dyDescent="0.15"/>
    <row r="52548" hidden="1" x14ac:dyDescent="0.15"/>
    <row r="52549" hidden="1" x14ac:dyDescent="0.15"/>
    <row r="52550" hidden="1" x14ac:dyDescent="0.15"/>
    <row r="52551" hidden="1" x14ac:dyDescent="0.15"/>
    <row r="52552" hidden="1" x14ac:dyDescent="0.15"/>
    <row r="52553" hidden="1" x14ac:dyDescent="0.15"/>
    <row r="52554" hidden="1" x14ac:dyDescent="0.15"/>
    <row r="52555" hidden="1" x14ac:dyDescent="0.15"/>
    <row r="52556" hidden="1" x14ac:dyDescent="0.15"/>
    <row r="52557" hidden="1" x14ac:dyDescent="0.15"/>
    <row r="52558" hidden="1" x14ac:dyDescent="0.15"/>
    <row r="52559" hidden="1" x14ac:dyDescent="0.15"/>
    <row r="52560" hidden="1" x14ac:dyDescent="0.15"/>
    <row r="52561" hidden="1" x14ac:dyDescent="0.15"/>
    <row r="52562" hidden="1" x14ac:dyDescent="0.15"/>
    <row r="52563" hidden="1" x14ac:dyDescent="0.15"/>
    <row r="52564" hidden="1" x14ac:dyDescent="0.15"/>
    <row r="52565" hidden="1" x14ac:dyDescent="0.15"/>
    <row r="52566" hidden="1" x14ac:dyDescent="0.15"/>
    <row r="52567" hidden="1" x14ac:dyDescent="0.15"/>
    <row r="52568" hidden="1" x14ac:dyDescent="0.15"/>
    <row r="52569" hidden="1" x14ac:dyDescent="0.15"/>
    <row r="52570" hidden="1" x14ac:dyDescent="0.15"/>
    <row r="52571" hidden="1" x14ac:dyDescent="0.15"/>
    <row r="52572" hidden="1" x14ac:dyDescent="0.15"/>
    <row r="52573" hidden="1" x14ac:dyDescent="0.15"/>
    <row r="52574" hidden="1" x14ac:dyDescent="0.15"/>
    <row r="52575" hidden="1" x14ac:dyDescent="0.15"/>
    <row r="52576" hidden="1" x14ac:dyDescent="0.15"/>
    <row r="52577" hidden="1" x14ac:dyDescent="0.15"/>
    <row r="52578" hidden="1" x14ac:dyDescent="0.15"/>
    <row r="52579" hidden="1" x14ac:dyDescent="0.15"/>
    <row r="52580" hidden="1" x14ac:dyDescent="0.15"/>
    <row r="52581" hidden="1" x14ac:dyDescent="0.15"/>
    <row r="52582" hidden="1" x14ac:dyDescent="0.15"/>
    <row r="52583" hidden="1" x14ac:dyDescent="0.15"/>
    <row r="52584" hidden="1" x14ac:dyDescent="0.15"/>
    <row r="52585" hidden="1" x14ac:dyDescent="0.15"/>
    <row r="52586" hidden="1" x14ac:dyDescent="0.15"/>
    <row r="52587" hidden="1" x14ac:dyDescent="0.15"/>
    <row r="52588" hidden="1" x14ac:dyDescent="0.15"/>
    <row r="52589" hidden="1" x14ac:dyDescent="0.15"/>
    <row r="52590" hidden="1" x14ac:dyDescent="0.15"/>
    <row r="52591" hidden="1" x14ac:dyDescent="0.15"/>
    <row r="52592" hidden="1" x14ac:dyDescent="0.15"/>
    <row r="52593" hidden="1" x14ac:dyDescent="0.15"/>
    <row r="52594" hidden="1" x14ac:dyDescent="0.15"/>
    <row r="52595" hidden="1" x14ac:dyDescent="0.15"/>
    <row r="52596" hidden="1" x14ac:dyDescent="0.15"/>
    <row r="52597" hidden="1" x14ac:dyDescent="0.15"/>
    <row r="52598" hidden="1" x14ac:dyDescent="0.15"/>
    <row r="52599" hidden="1" x14ac:dyDescent="0.15"/>
    <row r="52600" hidden="1" x14ac:dyDescent="0.15"/>
    <row r="52601" hidden="1" x14ac:dyDescent="0.15"/>
    <row r="52602" hidden="1" x14ac:dyDescent="0.15"/>
    <row r="52603" hidden="1" x14ac:dyDescent="0.15"/>
    <row r="52604" hidden="1" x14ac:dyDescent="0.15"/>
    <row r="52605" hidden="1" x14ac:dyDescent="0.15"/>
    <row r="52606" hidden="1" x14ac:dyDescent="0.15"/>
    <row r="52607" hidden="1" x14ac:dyDescent="0.15"/>
    <row r="52608" hidden="1" x14ac:dyDescent="0.15"/>
    <row r="52609" hidden="1" x14ac:dyDescent="0.15"/>
    <row r="52610" hidden="1" x14ac:dyDescent="0.15"/>
    <row r="52611" hidden="1" x14ac:dyDescent="0.15"/>
    <row r="52612" hidden="1" x14ac:dyDescent="0.15"/>
    <row r="52613" hidden="1" x14ac:dyDescent="0.15"/>
    <row r="52614" hidden="1" x14ac:dyDescent="0.15"/>
    <row r="52615" hidden="1" x14ac:dyDescent="0.15"/>
    <row r="52616" hidden="1" x14ac:dyDescent="0.15"/>
    <row r="52617" hidden="1" x14ac:dyDescent="0.15"/>
    <row r="52618" hidden="1" x14ac:dyDescent="0.15"/>
    <row r="52619" hidden="1" x14ac:dyDescent="0.15"/>
    <row r="52620" hidden="1" x14ac:dyDescent="0.15"/>
    <row r="52621" hidden="1" x14ac:dyDescent="0.15"/>
    <row r="52622" hidden="1" x14ac:dyDescent="0.15"/>
    <row r="52623" hidden="1" x14ac:dyDescent="0.15"/>
    <row r="52624" hidden="1" x14ac:dyDescent="0.15"/>
    <row r="52625" hidden="1" x14ac:dyDescent="0.15"/>
    <row r="52626" hidden="1" x14ac:dyDescent="0.15"/>
    <row r="52627" hidden="1" x14ac:dyDescent="0.15"/>
    <row r="52628" hidden="1" x14ac:dyDescent="0.15"/>
    <row r="52629" hidden="1" x14ac:dyDescent="0.15"/>
    <row r="52630" hidden="1" x14ac:dyDescent="0.15"/>
    <row r="52631" hidden="1" x14ac:dyDescent="0.15"/>
    <row r="52632" hidden="1" x14ac:dyDescent="0.15"/>
    <row r="52633" hidden="1" x14ac:dyDescent="0.15"/>
    <row r="52634" hidden="1" x14ac:dyDescent="0.15"/>
    <row r="52635" hidden="1" x14ac:dyDescent="0.15"/>
    <row r="52636" hidden="1" x14ac:dyDescent="0.15"/>
    <row r="52637" hidden="1" x14ac:dyDescent="0.15"/>
    <row r="52638" hidden="1" x14ac:dyDescent="0.15"/>
    <row r="52639" hidden="1" x14ac:dyDescent="0.15"/>
    <row r="52640" hidden="1" x14ac:dyDescent="0.15"/>
    <row r="52641" hidden="1" x14ac:dyDescent="0.15"/>
    <row r="52642" hidden="1" x14ac:dyDescent="0.15"/>
    <row r="52643" hidden="1" x14ac:dyDescent="0.15"/>
    <row r="52644" hidden="1" x14ac:dyDescent="0.15"/>
    <row r="52645" hidden="1" x14ac:dyDescent="0.15"/>
    <row r="52646" hidden="1" x14ac:dyDescent="0.15"/>
    <row r="52647" hidden="1" x14ac:dyDescent="0.15"/>
    <row r="52648" hidden="1" x14ac:dyDescent="0.15"/>
    <row r="52649" hidden="1" x14ac:dyDescent="0.15"/>
    <row r="52650" hidden="1" x14ac:dyDescent="0.15"/>
    <row r="52651" hidden="1" x14ac:dyDescent="0.15"/>
    <row r="52652" hidden="1" x14ac:dyDescent="0.15"/>
    <row r="52653" hidden="1" x14ac:dyDescent="0.15"/>
    <row r="52654" hidden="1" x14ac:dyDescent="0.15"/>
    <row r="52655" hidden="1" x14ac:dyDescent="0.15"/>
    <row r="52656" hidden="1" x14ac:dyDescent="0.15"/>
    <row r="52657" hidden="1" x14ac:dyDescent="0.15"/>
    <row r="52658" hidden="1" x14ac:dyDescent="0.15"/>
    <row r="52659" hidden="1" x14ac:dyDescent="0.15"/>
    <row r="52660" hidden="1" x14ac:dyDescent="0.15"/>
    <row r="52661" hidden="1" x14ac:dyDescent="0.15"/>
    <row r="52662" hidden="1" x14ac:dyDescent="0.15"/>
    <row r="52663" hidden="1" x14ac:dyDescent="0.15"/>
    <row r="52664" hidden="1" x14ac:dyDescent="0.15"/>
    <row r="52665" hidden="1" x14ac:dyDescent="0.15"/>
    <row r="52666" hidden="1" x14ac:dyDescent="0.15"/>
    <row r="52667" hidden="1" x14ac:dyDescent="0.15"/>
    <row r="52668" hidden="1" x14ac:dyDescent="0.15"/>
    <row r="52669" hidden="1" x14ac:dyDescent="0.15"/>
    <row r="52670" hidden="1" x14ac:dyDescent="0.15"/>
    <row r="52671" hidden="1" x14ac:dyDescent="0.15"/>
    <row r="52672" hidden="1" x14ac:dyDescent="0.15"/>
    <row r="52673" hidden="1" x14ac:dyDescent="0.15"/>
    <row r="52674" hidden="1" x14ac:dyDescent="0.15"/>
    <row r="52675" hidden="1" x14ac:dyDescent="0.15"/>
    <row r="52676" hidden="1" x14ac:dyDescent="0.15"/>
    <row r="52677" hidden="1" x14ac:dyDescent="0.15"/>
    <row r="52678" hidden="1" x14ac:dyDescent="0.15"/>
    <row r="52679" hidden="1" x14ac:dyDescent="0.15"/>
    <row r="52680" hidden="1" x14ac:dyDescent="0.15"/>
    <row r="52681" hidden="1" x14ac:dyDescent="0.15"/>
    <row r="52682" hidden="1" x14ac:dyDescent="0.15"/>
    <row r="52683" hidden="1" x14ac:dyDescent="0.15"/>
    <row r="52684" hidden="1" x14ac:dyDescent="0.15"/>
    <row r="52685" hidden="1" x14ac:dyDescent="0.15"/>
    <row r="52686" hidden="1" x14ac:dyDescent="0.15"/>
    <row r="52687" hidden="1" x14ac:dyDescent="0.15"/>
    <row r="52688" hidden="1" x14ac:dyDescent="0.15"/>
    <row r="52689" hidden="1" x14ac:dyDescent="0.15"/>
    <row r="52690" hidden="1" x14ac:dyDescent="0.15"/>
    <row r="52691" hidden="1" x14ac:dyDescent="0.15"/>
    <row r="52692" hidden="1" x14ac:dyDescent="0.15"/>
    <row r="52693" hidden="1" x14ac:dyDescent="0.15"/>
    <row r="52694" hidden="1" x14ac:dyDescent="0.15"/>
    <row r="52695" hidden="1" x14ac:dyDescent="0.15"/>
    <row r="52696" hidden="1" x14ac:dyDescent="0.15"/>
    <row r="52697" hidden="1" x14ac:dyDescent="0.15"/>
    <row r="52698" hidden="1" x14ac:dyDescent="0.15"/>
    <row r="52699" hidden="1" x14ac:dyDescent="0.15"/>
    <row r="52700" hidden="1" x14ac:dyDescent="0.15"/>
    <row r="52701" hidden="1" x14ac:dyDescent="0.15"/>
    <row r="52702" hidden="1" x14ac:dyDescent="0.15"/>
    <row r="52703" hidden="1" x14ac:dyDescent="0.15"/>
    <row r="52704" hidden="1" x14ac:dyDescent="0.15"/>
    <row r="52705" hidden="1" x14ac:dyDescent="0.15"/>
    <row r="52706" hidden="1" x14ac:dyDescent="0.15"/>
    <row r="52707" hidden="1" x14ac:dyDescent="0.15"/>
    <row r="52708" hidden="1" x14ac:dyDescent="0.15"/>
    <row r="52709" hidden="1" x14ac:dyDescent="0.15"/>
    <row r="52710" hidden="1" x14ac:dyDescent="0.15"/>
    <row r="52711" hidden="1" x14ac:dyDescent="0.15"/>
    <row r="52712" hidden="1" x14ac:dyDescent="0.15"/>
    <row r="52713" hidden="1" x14ac:dyDescent="0.15"/>
    <row r="52714" hidden="1" x14ac:dyDescent="0.15"/>
    <row r="52715" hidden="1" x14ac:dyDescent="0.15"/>
    <row r="52716" hidden="1" x14ac:dyDescent="0.15"/>
    <row r="52717" hidden="1" x14ac:dyDescent="0.15"/>
    <row r="52718" hidden="1" x14ac:dyDescent="0.15"/>
    <row r="52719" hidden="1" x14ac:dyDescent="0.15"/>
    <row r="52720" hidden="1" x14ac:dyDescent="0.15"/>
    <row r="52721" hidden="1" x14ac:dyDescent="0.15"/>
    <row r="52722" hidden="1" x14ac:dyDescent="0.15"/>
    <row r="52723" hidden="1" x14ac:dyDescent="0.15"/>
    <row r="52724" hidden="1" x14ac:dyDescent="0.15"/>
    <row r="52725" hidden="1" x14ac:dyDescent="0.15"/>
    <row r="52726" hidden="1" x14ac:dyDescent="0.15"/>
    <row r="52727" hidden="1" x14ac:dyDescent="0.15"/>
    <row r="52728" hidden="1" x14ac:dyDescent="0.15"/>
    <row r="52729" hidden="1" x14ac:dyDescent="0.15"/>
    <row r="52730" hidden="1" x14ac:dyDescent="0.15"/>
    <row r="52731" hidden="1" x14ac:dyDescent="0.15"/>
    <row r="52732" hidden="1" x14ac:dyDescent="0.15"/>
    <row r="52733" hidden="1" x14ac:dyDescent="0.15"/>
    <row r="52734" hidden="1" x14ac:dyDescent="0.15"/>
    <row r="52735" hidden="1" x14ac:dyDescent="0.15"/>
    <row r="52736" hidden="1" x14ac:dyDescent="0.15"/>
    <row r="52737" hidden="1" x14ac:dyDescent="0.15"/>
    <row r="52738" hidden="1" x14ac:dyDescent="0.15"/>
    <row r="52739" hidden="1" x14ac:dyDescent="0.15"/>
    <row r="52740" hidden="1" x14ac:dyDescent="0.15"/>
    <row r="52741" hidden="1" x14ac:dyDescent="0.15"/>
    <row r="52742" hidden="1" x14ac:dyDescent="0.15"/>
    <row r="52743" hidden="1" x14ac:dyDescent="0.15"/>
    <row r="52744" hidden="1" x14ac:dyDescent="0.15"/>
    <row r="52745" hidden="1" x14ac:dyDescent="0.15"/>
    <row r="52746" hidden="1" x14ac:dyDescent="0.15"/>
    <row r="52747" hidden="1" x14ac:dyDescent="0.15"/>
    <row r="52748" hidden="1" x14ac:dyDescent="0.15"/>
    <row r="52749" hidden="1" x14ac:dyDescent="0.15"/>
    <row r="52750" hidden="1" x14ac:dyDescent="0.15"/>
    <row r="52751" hidden="1" x14ac:dyDescent="0.15"/>
    <row r="52752" hidden="1" x14ac:dyDescent="0.15"/>
    <row r="52753" hidden="1" x14ac:dyDescent="0.15"/>
    <row r="52754" hidden="1" x14ac:dyDescent="0.15"/>
    <row r="52755" hidden="1" x14ac:dyDescent="0.15"/>
    <row r="52756" hidden="1" x14ac:dyDescent="0.15"/>
    <row r="52757" hidden="1" x14ac:dyDescent="0.15"/>
    <row r="52758" hidden="1" x14ac:dyDescent="0.15"/>
    <row r="52759" hidden="1" x14ac:dyDescent="0.15"/>
    <row r="52760" hidden="1" x14ac:dyDescent="0.15"/>
    <row r="52761" hidden="1" x14ac:dyDescent="0.15"/>
    <row r="52762" hidden="1" x14ac:dyDescent="0.15"/>
    <row r="52763" hidden="1" x14ac:dyDescent="0.15"/>
    <row r="52764" hidden="1" x14ac:dyDescent="0.15"/>
    <row r="52765" hidden="1" x14ac:dyDescent="0.15"/>
    <row r="52766" hidden="1" x14ac:dyDescent="0.15"/>
    <row r="52767" hidden="1" x14ac:dyDescent="0.15"/>
    <row r="52768" hidden="1" x14ac:dyDescent="0.15"/>
    <row r="52769" hidden="1" x14ac:dyDescent="0.15"/>
    <row r="52770" hidden="1" x14ac:dyDescent="0.15"/>
    <row r="52771" hidden="1" x14ac:dyDescent="0.15"/>
    <row r="52772" hidden="1" x14ac:dyDescent="0.15"/>
    <row r="52773" hidden="1" x14ac:dyDescent="0.15"/>
    <row r="52774" hidden="1" x14ac:dyDescent="0.15"/>
    <row r="52775" hidden="1" x14ac:dyDescent="0.15"/>
    <row r="52776" hidden="1" x14ac:dyDescent="0.15"/>
    <row r="52777" hidden="1" x14ac:dyDescent="0.15"/>
    <row r="52778" hidden="1" x14ac:dyDescent="0.15"/>
    <row r="52779" hidden="1" x14ac:dyDescent="0.15"/>
    <row r="52780" hidden="1" x14ac:dyDescent="0.15"/>
    <row r="52781" hidden="1" x14ac:dyDescent="0.15"/>
    <row r="52782" hidden="1" x14ac:dyDescent="0.15"/>
    <row r="52783" hidden="1" x14ac:dyDescent="0.15"/>
    <row r="52784" hidden="1" x14ac:dyDescent="0.15"/>
    <row r="52785" hidden="1" x14ac:dyDescent="0.15"/>
    <row r="52786" hidden="1" x14ac:dyDescent="0.15"/>
    <row r="52787" hidden="1" x14ac:dyDescent="0.15"/>
    <row r="52788" hidden="1" x14ac:dyDescent="0.15"/>
    <row r="52789" hidden="1" x14ac:dyDescent="0.15"/>
    <row r="52790" hidden="1" x14ac:dyDescent="0.15"/>
    <row r="52791" hidden="1" x14ac:dyDescent="0.15"/>
    <row r="52792" hidden="1" x14ac:dyDescent="0.15"/>
    <row r="52793" hidden="1" x14ac:dyDescent="0.15"/>
    <row r="52794" hidden="1" x14ac:dyDescent="0.15"/>
    <row r="52795" hidden="1" x14ac:dyDescent="0.15"/>
    <row r="52796" hidden="1" x14ac:dyDescent="0.15"/>
    <row r="52797" hidden="1" x14ac:dyDescent="0.15"/>
    <row r="52798" hidden="1" x14ac:dyDescent="0.15"/>
    <row r="52799" hidden="1" x14ac:dyDescent="0.15"/>
    <row r="52800" hidden="1" x14ac:dyDescent="0.15"/>
    <row r="52801" hidden="1" x14ac:dyDescent="0.15"/>
    <row r="52802" hidden="1" x14ac:dyDescent="0.15"/>
    <row r="52803" hidden="1" x14ac:dyDescent="0.15"/>
    <row r="52804" hidden="1" x14ac:dyDescent="0.15"/>
    <row r="52805" hidden="1" x14ac:dyDescent="0.15"/>
    <row r="52806" hidden="1" x14ac:dyDescent="0.15"/>
    <row r="52807" hidden="1" x14ac:dyDescent="0.15"/>
    <row r="52808" hidden="1" x14ac:dyDescent="0.15"/>
    <row r="52809" hidden="1" x14ac:dyDescent="0.15"/>
    <row r="52810" hidden="1" x14ac:dyDescent="0.15"/>
    <row r="52811" hidden="1" x14ac:dyDescent="0.15"/>
    <row r="52812" hidden="1" x14ac:dyDescent="0.15"/>
    <row r="52813" hidden="1" x14ac:dyDescent="0.15"/>
    <row r="52814" hidden="1" x14ac:dyDescent="0.15"/>
    <row r="52815" hidden="1" x14ac:dyDescent="0.15"/>
    <row r="52816" hidden="1" x14ac:dyDescent="0.15"/>
    <row r="52817" hidden="1" x14ac:dyDescent="0.15"/>
    <row r="52818" hidden="1" x14ac:dyDescent="0.15"/>
    <row r="52819" hidden="1" x14ac:dyDescent="0.15"/>
    <row r="52820" hidden="1" x14ac:dyDescent="0.15"/>
    <row r="52821" hidden="1" x14ac:dyDescent="0.15"/>
    <row r="52822" hidden="1" x14ac:dyDescent="0.15"/>
    <row r="52823" hidden="1" x14ac:dyDescent="0.15"/>
    <row r="52824" hidden="1" x14ac:dyDescent="0.15"/>
    <row r="52825" hidden="1" x14ac:dyDescent="0.15"/>
    <row r="52826" hidden="1" x14ac:dyDescent="0.15"/>
    <row r="52827" hidden="1" x14ac:dyDescent="0.15"/>
    <row r="52828" hidden="1" x14ac:dyDescent="0.15"/>
    <row r="52829" hidden="1" x14ac:dyDescent="0.15"/>
    <row r="52830" hidden="1" x14ac:dyDescent="0.15"/>
    <row r="52831" hidden="1" x14ac:dyDescent="0.15"/>
    <row r="52832" hidden="1" x14ac:dyDescent="0.15"/>
    <row r="52833" hidden="1" x14ac:dyDescent="0.15"/>
    <row r="52834" hidden="1" x14ac:dyDescent="0.15"/>
    <row r="52835" hidden="1" x14ac:dyDescent="0.15"/>
    <row r="52836" hidden="1" x14ac:dyDescent="0.15"/>
    <row r="52837" hidden="1" x14ac:dyDescent="0.15"/>
    <row r="52838" hidden="1" x14ac:dyDescent="0.15"/>
    <row r="52839" hidden="1" x14ac:dyDescent="0.15"/>
    <row r="52840" hidden="1" x14ac:dyDescent="0.15"/>
    <row r="52841" hidden="1" x14ac:dyDescent="0.15"/>
    <row r="52842" hidden="1" x14ac:dyDescent="0.15"/>
    <row r="52843" hidden="1" x14ac:dyDescent="0.15"/>
    <row r="52844" hidden="1" x14ac:dyDescent="0.15"/>
    <row r="52845" hidden="1" x14ac:dyDescent="0.15"/>
    <row r="52846" hidden="1" x14ac:dyDescent="0.15"/>
    <row r="52847" hidden="1" x14ac:dyDescent="0.15"/>
    <row r="52848" hidden="1" x14ac:dyDescent="0.15"/>
    <row r="52849" hidden="1" x14ac:dyDescent="0.15"/>
    <row r="52850" hidden="1" x14ac:dyDescent="0.15"/>
    <row r="52851" hidden="1" x14ac:dyDescent="0.15"/>
    <row r="52852" hidden="1" x14ac:dyDescent="0.15"/>
    <row r="52853" hidden="1" x14ac:dyDescent="0.15"/>
    <row r="52854" hidden="1" x14ac:dyDescent="0.15"/>
    <row r="52855" hidden="1" x14ac:dyDescent="0.15"/>
    <row r="52856" hidden="1" x14ac:dyDescent="0.15"/>
    <row r="52857" hidden="1" x14ac:dyDescent="0.15"/>
    <row r="52858" hidden="1" x14ac:dyDescent="0.15"/>
    <row r="52859" hidden="1" x14ac:dyDescent="0.15"/>
    <row r="52860" hidden="1" x14ac:dyDescent="0.15"/>
    <row r="52861" hidden="1" x14ac:dyDescent="0.15"/>
    <row r="52862" hidden="1" x14ac:dyDescent="0.15"/>
    <row r="52863" hidden="1" x14ac:dyDescent="0.15"/>
    <row r="52864" hidden="1" x14ac:dyDescent="0.15"/>
    <row r="52865" hidden="1" x14ac:dyDescent="0.15"/>
    <row r="52866" hidden="1" x14ac:dyDescent="0.15"/>
    <row r="52867" hidden="1" x14ac:dyDescent="0.15"/>
    <row r="52868" hidden="1" x14ac:dyDescent="0.15"/>
    <row r="52869" hidden="1" x14ac:dyDescent="0.15"/>
    <row r="52870" hidden="1" x14ac:dyDescent="0.15"/>
    <row r="52871" hidden="1" x14ac:dyDescent="0.15"/>
    <row r="52872" hidden="1" x14ac:dyDescent="0.15"/>
    <row r="52873" hidden="1" x14ac:dyDescent="0.15"/>
    <row r="52874" hidden="1" x14ac:dyDescent="0.15"/>
    <row r="52875" hidden="1" x14ac:dyDescent="0.15"/>
    <row r="52876" hidden="1" x14ac:dyDescent="0.15"/>
    <row r="52877" hidden="1" x14ac:dyDescent="0.15"/>
    <row r="52878" hidden="1" x14ac:dyDescent="0.15"/>
    <row r="52879" hidden="1" x14ac:dyDescent="0.15"/>
    <row r="52880" hidden="1" x14ac:dyDescent="0.15"/>
    <row r="52881" hidden="1" x14ac:dyDescent="0.15"/>
    <row r="52882" hidden="1" x14ac:dyDescent="0.15"/>
    <row r="52883" hidden="1" x14ac:dyDescent="0.15"/>
    <row r="52884" hidden="1" x14ac:dyDescent="0.15"/>
    <row r="52885" hidden="1" x14ac:dyDescent="0.15"/>
    <row r="52886" hidden="1" x14ac:dyDescent="0.15"/>
    <row r="52887" hidden="1" x14ac:dyDescent="0.15"/>
    <row r="52888" hidden="1" x14ac:dyDescent="0.15"/>
    <row r="52889" hidden="1" x14ac:dyDescent="0.15"/>
    <row r="52890" hidden="1" x14ac:dyDescent="0.15"/>
    <row r="52891" hidden="1" x14ac:dyDescent="0.15"/>
    <row r="52892" hidden="1" x14ac:dyDescent="0.15"/>
    <row r="52893" hidden="1" x14ac:dyDescent="0.15"/>
    <row r="52894" hidden="1" x14ac:dyDescent="0.15"/>
    <row r="52895" hidden="1" x14ac:dyDescent="0.15"/>
    <row r="52896" hidden="1" x14ac:dyDescent="0.15"/>
    <row r="52897" hidden="1" x14ac:dyDescent="0.15"/>
    <row r="52898" hidden="1" x14ac:dyDescent="0.15"/>
    <row r="52899" hidden="1" x14ac:dyDescent="0.15"/>
    <row r="52900" hidden="1" x14ac:dyDescent="0.15"/>
    <row r="52901" hidden="1" x14ac:dyDescent="0.15"/>
    <row r="52902" hidden="1" x14ac:dyDescent="0.15"/>
    <row r="52903" hidden="1" x14ac:dyDescent="0.15"/>
    <row r="52904" hidden="1" x14ac:dyDescent="0.15"/>
    <row r="52905" hidden="1" x14ac:dyDescent="0.15"/>
    <row r="52906" hidden="1" x14ac:dyDescent="0.15"/>
    <row r="52907" hidden="1" x14ac:dyDescent="0.15"/>
    <row r="52908" hidden="1" x14ac:dyDescent="0.15"/>
    <row r="52909" hidden="1" x14ac:dyDescent="0.15"/>
    <row r="52910" hidden="1" x14ac:dyDescent="0.15"/>
    <row r="52911" hidden="1" x14ac:dyDescent="0.15"/>
    <row r="52912" hidden="1" x14ac:dyDescent="0.15"/>
    <row r="52913" hidden="1" x14ac:dyDescent="0.15"/>
    <row r="52914" hidden="1" x14ac:dyDescent="0.15"/>
    <row r="52915" hidden="1" x14ac:dyDescent="0.15"/>
    <row r="52916" hidden="1" x14ac:dyDescent="0.15"/>
    <row r="52917" hidden="1" x14ac:dyDescent="0.15"/>
    <row r="52918" hidden="1" x14ac:dyDescent="0.15"/>
    <row r="52919" hidden="1" x14ac:dyDescent="0.15"/>
    <row r="52920" hidden="1" x14ac:dyDescent="0.15"/>
    <row r="52921" hidden="1" x14ac:dyDescent="0.15"/>
    <row r="52922" hidden="1" x14ac:dyDescent="0.15"/>
    <row r="52923" hidden="1" x14ac:dyDescent="0.15"/>
    <row r="52924" hidden="1" x14ac:dyDescent="0.15"/>
    <row r="52925" hidden="1" x14ac:dyDescent="0.15"/>
    <row r="52926" hidden="1" x14ac:dyDescent="0.15"/>
    <row r="52927" hidden="1" x14ac:dyDescent="0.15"/>
    <row r="52928" hidden="1" x14ac:dyDescent="0.15"/>
    <row r="52929" hidden="1" x14ac:dyDescent="0.15"/>
    <row r="52930" hidden="1" x14ac:dyDescent="0.15"/>
    <row r="52931" hidden="1" x14ac:dyDescent="0.15"/>
    <row r="52932" hidden="1" x14ac:dyDescent="0.15"/>
    <row r="52933" hidden="1" x14ac:dyDescent="0.15"/>
    <row r="52934" hidden="1" x14ac:dyDescent="0.15"/>
    <row r="52935" hidden="1" x14ac:dyDescent="0.15"/>
    <row r="52936" hidden="1" x14ac:dyDescent="0.15"/>
    <row r="52937" hidden="1" x14ac:dyDescent="0.15"/>
    <row r="52938" hidden="1" x14ac:dyDescent="0.15"/>
    <row r="52939" hidden="1" x14ac:dyDescent="0.15"/>
    <row r="52940" hidden="1" x14ac:dyDescent="0.15"/>
    <row r="52941" hidden="1" x14ac:dyDescent="0.15"/>
    <row r="52942" hidden="1" x14ac:dyDescent="0.15"/>
    <row r="52943" hidden="1" x14ac:dyDescent="0.15"/>
    <row r="52944" hidden="1" x14ac:dyDescent="0.15"/>
    <row r="52945" hidden="1" x14ac:dyDescent="0.15"/>
    <row r="52946" hidden="1" x14ac:dyDescent="0.15"/>
    <row r="52947" hidden="1" x14ac:dyDescent="0.15"/>
    <row r="52948" hidden="1" x14ac:dyDescent="0.15"/>
    <row r="52949" hidden="1" x14ac:dyDescent="0.15"/>
    <row r="52950" hidden="1" x14ac:dyDescent="0.15"/>
    <row r="52951" hidden="1" x14ac:dyDescent="0.15"/>
    <row r="52952" hidden="1" x14ac:dyDescent="0.15"/>
    <row r="52953" hidden="1" x14ac:dyDescent="0.15"/>
    <row r="52954" hidden="1" x14ac:dyDescent="0.15"/>
    <row r="52955" hidden="1" x14ac:dyDescent="0.15"/>
    <row r="52956" hidden="1" x14ac:dyDescent="0.15"/>
    <row r="52957" hidden="1" x14ac:dyDescent="0.15"/>
    <row r="52958" hidden="1" x14ac:dyDescent="0.15"/>
    <row r="52959" hidden="1" x14ac:dyDescent="0.15"/>
    <row r="52960" hidden="1" x14ac:dyDescent="0.15"/>
    <row r="52961" hidden="1" x14ac:dyDescent="0.15"/>
    <row r="52962" hidden="1" x14ac:dyDescent="0.15"/>
    <row r="52963" hidden="1" x14ac:dyDescent="0.15"/>
    <row r="52964" hidden="1" x14ac:dyDescent="0.15"/>
    <row r="52965" hidden="1" x14ac:dyDescent="0.15"/>
    <row r="52966" hidden="1" x14ac:dyDescent="0.15"/>
    <row r="52967" hidden="1" x14ac:dyDescent="0.15"/>
    <row r="52968" hidden="1" x14ac:dyDescent="0.15"/>
    <row r="52969" hidden="1" x14ac:dyDescent="0.15"/>
    <row r="52970" hidden="1" x14ac:dyDescent="0.15"/>
    <row r="52971" hidden="1" x14ac:dyDescent="0.15"/>
    <row r="52972" hidden="1" x14ac:dyDescent="0.15"/>
    <row r="52973" hidden="1" x14ac:dyDescent="0.15"/>
    <row r="52974" hidden="1" x14ac:dyDescent="0.15"/>
    <row r="52975" hidden="1" x14ac:dyDescent="0.15"/>
    <row r="52976" hidden="1" x14ac:dyDescent="0.15"/>
    <row r="52977" hidden="1" x14ac:dyDescent="0.15"/>
    <row r="52978" hidden="1" x14ac:dyDescent="0.15"/>
    <row r="52979" hidden="1" x14ac:dyDescent="0.15"/>
    <row r="52980" hidden="1" x14ac:dyDescent="0.15"/>
    <row r="52981" hidden="1" x14ac:dyDescent="0.15"/>
    <row r="52982" hidden="1" x14ac:dyDescent="0.15"/>
    <row r="52983" hidden="1" x14ac:dyDescent="0.15"/>
    <row r="52984" hidden="1" x14ac:dyDescent="0.15"/>
    <row r="52985" hidden="1" x14ac:dyDescent="0.15"/>
    <row r="52986" hidden="1" x14ac:dyDescent="0.15"/>
    <row r="52987" hidden="1" x14ac:dyDescent="0.15"/>
    <row r="52988" hidden="1" x14ac:dyDescent="0.15"/>
    <row r="52989" hidden="1" x14ac:dyDescent="0.15"/>
    <row r="52990" hidden="1" x14ac:dyDescent="0.15"/>
    <row r="52991" hidden="1" x14ac:dyDescent="0.15"/>
    <row r="52992" hidden="1" x14ac:dyDescent="0.15"/>
    <row r="52993" hidden="1" x14ac:dyDescent="0.15"/>
    <row r="52994" hidden="1" x14ac:dyDescent="0.15"/>
    <row r="52995" hidden="1" x14ac:dyDescent="0.15"/>
    <row r="52996" hidden="1" x14ac:dyDescent="0.15"/>
    <row r="52997" hidden="1" x14ac:dyDescent="0.15"/>
    <row r="52998" hidden="1" x14ac:dyDescent="0.15"/>
    <row r="52999" hidden="1" x14ac:dyDescent="0.15"/>
    <row r="53000" hidden="1" x14ac:dyDescent="0.15"/>
    <row r="53001" hidden="1" x14ac:dyDescent="0.15"/>
    <row r="53002" hidden="1" x14ac:dyDescent="0.15"/>
    <row r="53003" hidden="1" x14ac:dyDescent="0.15"/>
    <row r="53004" hidden="1" x14ac:dyDescent="0.15"/>
    <row r="53005" hidden="1" x14ac:dyDescent="0.15"/>
    <row r="53006" hidden="1" x14ac:dyDescent="0.15"/>
    <row r="53007" hidden="1" x14ac:dyDescent="0.15"/>
    <row r="53008" hidden="1" x14ac:dyDescent="0.15"/>
    <row r="53009" hidden="1" x14ac:dyDescent="0.15"/>
    <row r="53010" hidden="1" x14ac:dyDescent="0.15"/>
    <row r="53011" hidden="1" x14ac:dyDescent="0.15"/>
    <row r="53012" hidden="1" x14ac:dyDescent="0.15"/>
    <row r="53013" hidden="1" x14ac:dyDescent="0.15"/>
    <row r="53014" hidden="1" x14ac:dyDescent="0.15"/>
    <row r="53015" hidden="1" x14ac:dyDescent="0.15"/>
    <row r="53016" hidden="1" x14ac:dyDescent="0.15"/>
    <row r="53017" hidden="1" x14ac:dyDescent="0.15"/>
    <row r="53018" hidden="1" x14ac:dyDescent="0.15"/>
    <row r="53019" hidden="1" x14ac:dyDescent="0.15"/>
    <row r="53020" hidden="1" x14ac:dyDescent="0.15"/>
    <row r="53021" hidden="1" x14ac:dyDescent="0.15"/>
    <row r="53022" hidden="1" x14ac:dyDescent="0.15"/>
    <row r="53023" hidden="1" x14ac:dyDescent="0.15"/>
    <row r="53024" hidden="1" x14ac:dyDescent="0.15"/>
    <row r="53025" hidden="1" x14ac:dyDescent="0.15"/>
    <row r="53026" hidden="1" x14ac:dyDescent="0.15"/>
    <row r="53027" hidden="1" x14ac:dyDescent="0.15"/>
    <row r="53028" hidden="1" x14ac:dyDescent="0.15"/>
    <row r="53029" hidden="1" x14ac:dyDescent="0.15"/>
    <row r="53030" hidden="1" x14ac:dyDescent="0.15"/>
    <row r="53031" hidden="1" x14ac:dyDescent="0.15"/>
    <row r="53032" hidden="1" x14ac:dyDescent="0.15"/>
    <row r="53033" hidden="1" x14ac:dyDescent="0.15"/>
    <row r="53034" hidden="1" x14ac:dyDescent="0.15"/>
    <row r="53035" hidden="1" x14ac:dyDescent="0.15"/>
    <row r="53036" hidden="1" x14ac:dyDescent="0.15"/>
    <row r="53037" hidden="1" x14ac:dyDescent="0.15"/>
    <row r="53038" hidden="1" x14ac:dyDescent="0.15"/>
    <row r="53039" hidden="1" x14ac:dyDescent="0.15"/>
    <row r="53040" hidden="1" x14ac:dyDescent="0.15"/>
    <row r="53041" hidden="1" x14ac:dyDescent="0.15"/>
    <row r="53042" hidden="1" x14ac:dyDescent="0.15"/>
    <row r="53043" hidden="1" x14ac:dyDescent="0.15"/>
    <row r="53044" hidden="1" x14ac:dyDescent="0.15"/>
    <row r="53045" hidden="1" x14ac:dyDescent="0.15"/>
    <row r="53046" hidden="1" x14ac:dyDescent="0.15"/>
    <row r="53047" hidden="1" x14ac:dyDescent="0.15"/>
    <row r="53048" hidden="1" x14ac:dyDescent="0.15"/>
    <row r="53049" hidden="1" x14ac:dyDescent="0.15"/>
    <row r="53050" hidden="1" x14ac:dyDescent="0.15"/>
    <row r="53051" hidden="1" x14ac:dyDescent="0.15"/>
    <row r="53052" hidden="1" x14ac:dyDescent="0.15"/>
    <row r="53053" hidden="1" x14ac:dyDescent="0.15"/>
    <row r="53054" hidden="1" x14ac:dyDescent="0.15"/>
    <row r="53055" hidden="1" x14ac:dyDescent="0.15"/>
    <row r="53056" hidden="1" x14ac:dyDescent="0.15"/>
    <row r="53057" hidden="1" x14ac:dyDescent="0.15"/>
    <row r="53058" hidden="1" x14ac:dyDescent="0.15"/>
    <row r="53059" hidden="1" x14ac:dyDescent="0.15"/>
    <row r="53060" hidden="1" x14ac:dyDescent="0.15"/>
    <row r="53061" hidden="1" x14ac:dyDescent="0.15"/>
    <row r="53062" hidden="1" x14ac:dyDescent="0.15"/>
    <row r="53063" hidden="1" x14ac:dyDescent="0.15"/>
    <row r="53064" hidden="1" x14ac:dyDescent="0.15"/>
    <row r="53065" hidden="1" x14ac:dyDescent="0.15"/>
    <row r="53066" hidden="1" x14ac:dyDescent="0.15"/>
    <row r="53067" hidden="1" x14ac:dyDescent="0.15"/>
    <row r="53068" hidden="1" x14ac:dyDescent="0.15"/>
    <row r="53069" hidden="1" x14ac:dyDescent="0.15"/>
    <row r="53070" hidden="1" x14ac:dyDescent="0.15"/>
    <row r="53071" hidden="1" x14ac:dyDescent="0.15"/>
    <row r="53072" hidden="1" x14ac:dyDescent="0.15"/>
    <row r="53073" hidden="1" x14ac:dyDescent="0.15"/>
    <row r="53074" hidden="1" x14ac:dyDescent="0.15"/>
    <row r="53075" hidden="1" x14ac:dyDescent="0.15"/>
    <row r="53076" hidden="1" x14ac:dyDescent="0.15"/>
    <row r="53077" hidden="1" x14ac:dyDescent="0.15"/>
    <row r="53078" hidden="1" x14ac:dyDescent="0.15"/>
    <row r="53079" hidden="1" x14ac:dyDescent="0.15"/>
    <row r="53080" hidden="1" x14ac:dyDescent="0.15"/>
    <row r="53081" hidden="1" x14ac:dyDescent="0.15"/>
    <row r="53082" hidden="1" x14ac:dyDescent="0.15"/>
    <row r="53083" hidden="1" x14ac:dyDescent="0.15"/>
    <row r="53084" hidden="1" x14ac:dyDescent="0.15"/>
    <row r="53085" hidden="1" x14ac:dyDescent="0.15"/>
    <row r="53086" hidden="1" x14ac:dyDescent="0.15"/>
    <row r="53087" hidden="1" x14ac:dyDescent="0.15"/>
    <row r="53088" hidden="1" x14ac:dyDescent="0.15"/>
    <row r="53089" hidden="1" x14ac:dyDescent="0.15"/>
    <row r="53090" hidden="1" x14ac:dyDescent="0.15"/>
    <row r="53091" hidden="1" x14ac:dyDescent="0.15"/>
    <row r="53092" hidden="1" x14ac:dyDescent="0.15"/>
    <row r="53093" hidden="1" x14ac:dyDescent="0.15"/>
    <row r="53094" hidden="1" x14ac:dyDescent="0.15"/>
    <row r="53095" hidden="1" x14ac:dyDescent="0.15"/>
    <row r="53096" hidden="1" x14ac:dyDescent="0.15"/>
    <row r="53097" hidden="1" x14ac:dyDescent="0.15"/>
    <row r="53098" hidden="1" x14ac:dyDescent="0.15"/>
    <row r="53099" hidden="1" x14ac:dyDescent="0.15"/>
    <row r="53100" hidden="1" x14ac:dyDescent="0.15"/>
    <row r="53101" hidden="1" x14ac:dyDescent="0.15"/>
    <row r="53102" hidden="1" x14ac:dyDescent="0.15"/>
    <row r="53103" hidden="1" x14ac:dyDescent="0.15"/>
    <row r="53104" hidden="1" x14ac:dyDescent="0.15"/>
    <row r="53105" hidden="1" x14ac:dyDescent="0.15"/>
    <row r="53106" hidden="1" x14ac:dyDescent="0.15"/>
    <row r="53107" hidden="1" x14ac:dyDescent="0.15"/>
    <row r="53108" hidden="1" x14ac:dyDescent="0.15"/>
    <row r="53109" hidden="1" x14ac:dyDescent="0.15"/>
    <row r="53110" hidden="1" x14ac:dyDescent="0.15"/>
    <row r="53111" hidden="1" x14ac:dyDescent="0.15"/>
    <row r="53112" hidden="1" x14ac:dyDescent="0.15"/>
    <row r="53113" hidden="1" x14ac:dyDescent="0.15"/>
    <row r="53114" hidden="1" x14ac:dyDescent="0.15"/>
    <row r="53115" hidden="1" x14ac:dyDescent="0.15"/>
    <row r="53116" hidden="1" x14ac:dyDescent="0.15"/>
    <row r="53117" hidden="1" x14ac:dyDescent="0.15"/>
    <row r="53118" hidden="1" x14ac:dyDescent="0.15"/>
    <row r="53119" hidden="1" x14ac:dyDescent="0.15"/>
    <row r="53120" hidden="1" x14ac:dyDescent="0.15"/>
    <row r="53121" hidden="1" x14ac:dyDescent="0.15"/>
    <row r="53122" hidden="1" x14ac:dyDescent="0.15"/>
    <row r="53123" hidden="1" x14ac:dyDescent="0.15"/>
    <row r="53124" hidden="1" x14ac:dyDescent="0.15"/>
    <row r="53125" hidden="1" x14ac:dyDescent="0.15"/>
    <row r="53126" hidden="1" x14ac:dyDescent="0.15"/>
    <row r="53127" hidden="1" x14ac:dyDescent="0.15"/>
    <row r="53128" hidden="1" x14ac:dyDescent="0.15"/>
    <row r="53129" hidden="1" x14ac:dyDescent="0.15"/>
    <row r="53130" hidden="1" x14ac:dyDescent="0.15"/>
    <row r="53131" hidden="1" x14ac:dyDescent="0.15"/>
    <row r="53132" hidden="1" x14ac:dyDescent="0.15"/>
    <row r="53133" hidden="1" x14ac:dyDescent="0.15"/>
    <row r="53134" hidden="1" x14ac:dyDescent="0.15"/>
    <row r="53135" hidden="1" x14ac:dyDescent="0.15"/>
    <row r="53136" hidden="1" x14ac:dyDescent="0.15"/>
    <row r="53137" hidden="1" x14ac:dyDescent="0.15"/>
    <row r="53138" hidden="1" x14ac:dyDescent="0.15"/>
    <row r="53139" hidden="1" x14ac:dyDescent="0.15"/>
    <row r="53140" hidden="1" x14ac:dyDescent="0.15"/>
    <row r="53141" hidden="1" x14ac:dyDescent="0.15"/>
    <row r="53142" hidden="1" x14ac:dyDescent="0.15"/>
    <row r="53143" hidden="1" x14ac:dyDescent="0.15"/>
    <row r="53144" hidden="1" x14ac:dyDescent="0.15"/>
    <row r="53145" hidden="1" x14ac:dyDescent="0.15"/>
    <row r="53146" hidden="1" x14ac:dyDescent="0.15"/>
    <row r="53147" hidden="1" x14ac:dyDescent="0.15"/>
    <row r="53148" hidden="1" x14ac:dyDescent="0.15"/>
    <row r="53149" hidden="1" x14ac:dyDescent="0.15"/>
    <row r="53150" hidden="1" x14ac:dyDescent="0.15"/>
    <row r="53151" hidden="1" x14ac:dyDescent="0.15"/>
    <row r="53152" hidden="1" x14ac:dyDescent="0.15"/>
    <row r="53153" hidden="1" x14ac:dyDescent="0.15"/>
    <row r="53154" hidden="1" x14ac:dyDescent="0.15"/>
    <row r="53155" hidden="1" x14ac:dyDescent="0.15"/>
    <row r="53156" hidden="1" x14ac:dyDescent="0.15"/>
    <row r="53157" hidden="1" x14ac:dyDescent="0.15"/>
    <row r="53158" hidden="1" x14ac:dyDescent="0.15"/>
    <row r="53159" hidden="1" x14ac:dyDescent="0.15"/>
    <row r="53160" hidden="1" x14ac:dyDescent="0.15"/>
    <row r="53161" hidden="1" x14ac:dyDescent="0.15"/>
    <row r="53162" hidden="1" x14ac:dyDescent="0.15"/>
    <row r="53163" hidden="1" x14ac:dyDescent="0.15"/>
    <row r="53164" hidden="1" x14ac:dyDescent="0.15"/>
    <row r="53165" hidden="1" x14ac:dyDescent="0.15"/>
    <row r="53166" hidden="1" x14ac:dyDescent="0.15"/>
    <row r="53167" hidden="1" x14ac:dyDescent="0.15"/>
    <row r="53168" hidden="1" x14ac:dyDescent="0.15"/>
    <row r="53169" hidden="1" x14ac:dyDescent="0.15"/>
    <row r="53170" hidden="1" x14ac:dyDescent="0.15"/>
    <row r="53171" hidden="1" x14ac:dyDescent="0.15"/>
    <row r="53172" hidden="1" x14ac:dyDescent="0.15"/>
    <row r="53173" hidden="1" x14ac:dyDescent="0.15"/>
    <row r="53174" hidden="1" x14ac:dyDescent="0.15"/>
    <row r="53175" hidden="1" x14ac:dyDescent="0.15"/>
    <row r="53176" hidden="1" x14ac:dyDescent="0.15"/>
    <row r="53177" hidden="1" x14ac:dyDescent="0.15"/>
    <row r="53178" hidden="1" x14ac:dyDescent="0.15"/>
    <row r="53179" hidden="1" x14ac:dyDescent="0.15"/>
    <row r="53180" hidden="1" x14ac:dyDescent="0.15"/>
    <row r="53181" hidden="1" x14ac:dyDescent="0.15"/>
    <row r="53182" hidden="1" x14ac:dyDescent="0.15"/>
    <row r="53183" hidden="1" x14ac:dyDescent="0.15"/>
    <row r="53184" hidden="1" x14ac:dyDescent="0.15"/>
    <row r="53185" hidden="1" x14ac:dyDescent="0.15"/>
    <row r="53186" hidden="1" x14ac:dyDescent="0.15"/>
    <row r="53187" hidden="1" x14ac:dyDescent="0.15"/>
    <row r="53188" hidden="1" x14ac:dyDescent="0.15"/>
    <row r="53189" hidden="1" x14ac:dyDescent="0.15"/>
    <row r="53190" hidden="1" x14ac:dyDescent="0.15"/>
    <row r="53191" hidden="1" x14ac:dyDescent="0.15"/>
    <row r="53192" hidden="1" x14ac:dyDescent="0.15"/>
    <row r="53193" hidden="1" x14ac:dyDescent="0.15"/>
    <row r="53194" hidden="1" x14ac:dyDescent="0.15"/>
    <row r="53195" hidden="1" x14ac:dyDescent="0.15"/>
    <row r="53196" hidden="1" x14ac:dyDescent="0.15"/>
    <row r="53197" hidden="1" x14ac:dyDescent="0.15"/>
    <row r="53198" hidden="1" x14ac:dyDescent="0.15"/>
    <row r="53199" hidden="1" x14ac:dyDescent="0.15"/>
    <row r="53200" hidden="1" x14ac:dyDescent="0.15"/>
    <row r="53201" hidden="1" x14ac:dyDescent="0.15"/>
    <row r="53202" hidden="1" x14ac:dyDescent="0.15"/>
    <row r="53203" hidden="1" x14ac:dyDescent="0.15"/>
    <row r="53204" hidden="1" x14ac:dyDescent="0.15"/>
    <row r="53205" hidden="1" x14ac:dyDescent="0.15"/>
    <row r="53206" hidden="1" x14ac:dyDescent="0.15"/>
    <row r="53207" hidden="1" x14ac:dyDescent="0.15"/>
    <row r="53208" hidden="1" x14ac:dyDescent="0.15"/>
    <row r="53209" hidden="1" x14ac:dyDescent="0.15"/>
    <row r="53210" hidden="1" x14ac:dyDescent="0.15"/>
    <row r="53211" hidden="1" x14ac:dyDescent="0.15"/>
    <row r="53212" hidden="1" x14ac:dyDescent="0.15"/>
    <row r="53213" hidden="1" x14ac:dyDescent="0.15"/>
    <row r="53214" hidden="1" x14ac:dyDescent="0.15"/>
    <row r="53215" hidden="1" x14ac:dyDescent="0.15"/>
    <row r="53216" hidden="1" x14ac:dyDescent="0.15"/>
    <row r="53217" hidden="1" x14ac:dyDescent="0.15"/>
    <row r="53218" hidden="1" x14ac:dyDescent="0.15"/>
    <row r="53219" hidden="1" x14ac:dyDescent="0.15"/>
    <row r="53220" hidden="1" x14ac:dyDescent="0.15"/>
    <row r="53221" hidden="1" x14ac:dyDescent="0.15"/>
    <row r="53222" hidden="1" x14ac:dyDescent="0.15"/>
    <row r="53223" hidden="1" x14ac:dyDescent="0.15"/>
    <row r="53224" hidden="1" x14ac:dyDescent="0.15"/>
    <row r="53225" hidden="1" x14ac:dyDescent="0.15"/>
    <row r="53226" hidden="1" x14ac:dyDescent="0.15"/>
    <row r="53227" hidden="1" x14ac:dyDescent="0.15"/>
    <row r="53228" hidden="1" x14ac:dyDescent="0.15"/>
    <row r="53229" hidden="1" x14ac:dyDescent="0.15"/>
    <row r="53230" hidden="1" x14ac:dyDescent="0.15"/>
    <row r="53231" hidden="1" x14ac:dyDescent="0.15"/>
    <row r="53232" hidden="1" x14ac:dyDescent="0.15"/>
    <row r="53233" hidden="1" x14ac:dyDescent="0.15"/>
    <row r="53234" hidden="1" x14ac:dyDescent="0.15"/>
    <row r="53235" hidden="1" x14ac:dyDescent="0.15"/>
    <row r="53236" hidden="1" x14ac:dyDescent="0.15"/>
    <row r="53237" hidden="1" x14ac:dyDescent="0.15"/>
    <row r="53238" hidden="1" x14ac:dyDescent="0.15"/>
    <row r="53239" hidden="1" x14ac:dyDescent="0.15"/>
    <row r="53240" hidden="1" x14ac:dyDescent="0.15"/>
    <row r="53241" hidden="1" x14ac:dyDescent="0.15"/>
    <row r="53242" hidden="1" x14ac:dyDescent="0.15"/>
    <row r="53243" hidden="1" x14ac:dyDescent="0.15"/>
    <row r="53244" hidden="1" x14ac:dyDescent="0.15"/>
    <row r="53245" hidden="1" x14ac:dyDescent="0.15"/>
    <row r="53246" hidden="1" x14ac:dyDescent="0.15"/>
    <row r="53247" hidden="1" x14ac:dyDescent="0.15"/>
    <row r="53248" hidden="1" x14ac:dyDescent="0.15"/>
    <row r="53249" hidden="1" x14ac:dyDescent="0.15"/>
    <row r="53250" hidden="1" x14ac:dyDescent="0.15"/>
    <row r="53251" hidden="1" x14ac:dyDescent="0.15"/>
    <row r="53252" hidden="1" x14ac:dyDescent="0.15"/>
    <row r="53253" hidden="1" x14ac:dyDescent="0.15"/>
    <row r="53254" hidden="1" x14ac:dyDescent="0.15"/>
    <row r="53255" hidden="1" x14ac:dyDescent="0.15"/>
    <row r="53256" hidden="1" x14ac:dyDescent="0.15"/>
    <row r="53257" hidden="1" x14ac:dyDescent="0.15"/>
    <row r="53258" hidden="1" x14ac:dyDescent="0.15"/>
    <row r="53259" hidden="1" x14ac:dyDescent="0.15"/>
    <row r="53260" hidden="1" x14ac:dyDescent="0.15"/>
    <row r="53261" hidden="1" x14ac:dyDescent="0.15"/>
    <row r="53262" hidden="1" x14ac:dyDescent="0.15"/>
    <row r="53263" hidden="1" x14ac:dyDescent="0.15"/>
    <row r="53264" hidden="1" x14ac:dyDescent="0.15"/>
    <row r="53265" hidden="1" x14ac:dyDescent="0.15"/>
    <row r="53266" hidden="1" x14ac:dyDescent="0.15"/>
    <row r="53267" hidden="1" x14ac:dyDescent="0.15"/>
    <row r="53268" hidden="1" x14ac:dyDescent="0.15"/>
    <row r="53269" hidden="1" x14ac:dyDescent="0.15"/>
    <row r="53270" hidden="1" x14ac:dyDescent="0.15"/>
    <row r="53271" hidden="1" x14ac:dyDescent="0.15"/>
    <row r="53272" hidden="1" x14ac:dyDescent="0.15"/>
    <row r="53273" hidden="1" x14ac:dyDescent="0.15"/>
    <row r="53274" hidden="1" x14ac:dyDescent="0.15"/>
    <row r="53275" hidden="1" x14ac:dyDescent="0.15"/>
    <row r="53276" hidden="1" x14ac:dyDescent="0.15"/>
    <row r="53277" hidden="1" x14ac:dyDescent="0.15"/>
    <row r="53278" hidden="1" x14ac:dyDescent="0.15"/>
    <row r="53279" hidden="1" x14ac:dyDescent="0.15"/>
    <row r="53280" hidden="1" x14ac:dyDescent="0.15"/>
    <row r="53281" hidden="1" x14ac:dyDescent="0.15"/>
    <row r="53282" hidden="1" x14ac:dyDescent="0.15"/>
    <row r="53283" hidden="1" x14ac:dyDescent="0.15"/>
    <row r="53284" hidden="1" x14ac:dyDescent="0.15"/>
    <row r="53285" hidden="1" x14ac:dyDescent="0.15"/>
    <row r="53286" hidden="1" x14ac:dyDescent="0.15"/>
    <row r="53287" hidden="1" x14ac:dyDescent="0.15"/>
    <row r="53288" hidden="1" x14ac:dyDescent="0.15"/>
    <row r="53289" hidden="1" x14ac:dyDescent="0.15"/>
    <row r="53290" hidden="1" x14ac:dyDescent="0.15"/>
    <row r="53291" hidden="1" x14ac:dyDescent="0.15"/>
    <row r="53292" hidden="1" x14ac:dyDescent="0.15"/>
    <row r="53293" hidden="1" x14ac:dyDescent="0.15"/>
    <row r="53294" hidden="1" x14ac:dyDescent="0.15"/>
    <row r="53295" hidden="1" x14ac:dyDescent="0.15"/>
    <row r="53296" hidden="1" x14ac:dyDescent="0.15"/>
    <row r="53297" hidden="1" x14ac:dyDescent="0.15"/>
    <row r="53298" hidden="1" x14ac:dyDescent="0.15"/>
    <row r="53299" hidden="1" x14ac:dyDescent="0.15"/>
    <row r="53300" hidden="1" x14ac:dyDescent="0.15"/>
    <row r="53301" hidden="1" x14ac:dyDescent="0.15"/>
    <row r="53302" hidden="1" x14ac:dyDescent="0.15"/>
    <row r="53303" hidden="1" x14ac:dyDescent="0.15"/>
    <row r="53304" hidden="1" x14ac:dyDescent="0.15"/>
    <row r="53305" hidden="1" x14ac:dyDescent="0.15"/>
    <row r="53306" hidden="1" x14ac:dyDescent="0.15"/>
    <row r="53307" hidden="1" x14ac:dyDescent="0.15"/>
    <row r="53308" hidden="1" x14ac:dyDescent="0.15"/>
    <row r="53309" hidden="1" x14ac:dyDescent="0.15"/>
    <row r="53310" hidden="1" x14ac:dyDescent="0.15"/>
    <row r="53311" hidden="1" x14ac:dyDescent="0.15"/>
    <row r="53312" hidden="1" x14ac:dyDescent="0.15"/>
    <row r="53313" hidden="1" x14ac:dyDescent="0.15"/>
    <row r="53314" hidden="1" x14ac:dyDescent="0.15"/>
    <row r="53315" hidden="1" x14ac:dyDescent="0.15"/>
    <row r="53316" hidden="1" x14ac:dyDescent="0.15"/>
    <row r="53317" hidden="1" x14ac:dyDescent="0.15"/>
    <row r="53318" hidden="1" x14ac:dyDescent="0.15"/>
    <row r="53319" hidden="1" x14ac:dyDescent="0.15"/>
    <row r="53320" hidden="1" x14ac:dyDescent="0.15"/>
    <row r="53321" hidden="1" x14ac:dyDescent="0.15"/>
    <row r="53322" hidden="1" x14ac:dyDescent="0.15"/>
    <row r="53323" hidden="1" x14ac:dyDescent="0.15"/>
    <row r="53324" hidden="1" x14ac:dyDescent="0.15"/>
    <row r="53325" hidden="1" x14ac:dyDescent="0.15"/>
    <row r="53326" hidden="1" x14ac:dyDescent="0.15"/>
    <row r="53327" hidden="1" x14ac:dyDescent="0.15"/>
    <row r="53328" hidden="1" x14ac:dyDescent="0.15"/>
    <row r="53329" hidden="1" x14ac:dyDescent="0.15"/>
    <row r="53330" hidden="1" x14ac:dyDescent="0.15"/>
    <row r="53331" hidden="1" x14ac:dyDescent="0.15"/>
    <row r="53332" hidden="1" x14ac:dyDescent="0.15"/>
    <row r="53333" hidden="1" x14ac:dyDescent="0.15"/>
    <row r="53334" hidden="1" x14ac:dyDescent="0.15"/>
    <row r="53335" hidden="1" x14ac:dyDescent="0.15"/>
    <row r="53336" hidden="1" x14ac:dyDescent="0.15"/>
    <row r="53337" hidden="1" x14ac:dyDescent="0.15"/>
    <row r="53338" hidden="1" x14ac:dyDescent="0.15"/>
    <row r="53339" hidden="1" x14ac:dyDescent="0.15"/>
    <row r="53340" hidden="1" x14ac:dyDescent="0.15"/>
    <row r="53341" hidden="1" x14ac:dyDescent="0.15"/>
    <row r="53342" hidden="1" x14ac:dyDescent="0.15"/>
    <row r="53343" hidden="1" x14ac:dyDescent="0.15"/>
    <row r="53344" hidden="1" x14ac:dyDescent="0.15"/>
    <row r="53345" hidden="1" x14ac:dyDescent="0.15"/>
    <row r="53346" hidden="1" x14ac:dyDescent="0.15"/>
    <row r="53347" hidden="1" x14ac:dyDescent="0.15"/>
    <row r="53348" hidden="1" x14ac:dyDescent="0.15"/>
    <row r="53349" hidden="1" x14ac:dyDescent="0.15"/>
    <row r="53350" hidden="1" x14ac:dyDescent="0.15"/>
    <row r="53351" hidden="1" x14ac:dyDescent="0.15"/>
    <row r="53352" hidden="1" x14ac:dyDescent="0.15"/>
    <row r="53353" hidden="1" x14ac:dyDescent="0.15"/>
    <row r="53354" hidden="1" x14ac:dyDescent="0.15"/>
    <row r="53355" hidden="1" x14ac:dyDescent="0.15"/>
    <row r="53356" hidden="1" x14ac:dyDescent="0.15"/>
    <row r="53357" hidden="1" x14ac:dyDescent="0.15"/>
    <row r="53358" hidden="1" x14ac:dyDescent="0.15"/>
    <row r="53359" hidden="1" x14ac:dyDescent="0.15"/>
    <row r="53360" hidden="1" x14ac:dyDescent="0.15"/>
    <row r="53361" hidden="1" x14ac:dyDescent="0.15"/>
    <row r="53362" hidden="1" x14ac:dyDescent="0.15"/>
    <row r="53363" hidden="1" x14ac:dyDescent="0.15"/>
    <row r="53364" hidden="1" x14ac:dyDescent="0.15"/>
    <row r="53365" hidden="1" x14ac:dyDescent="0.15"/>
    <row r="53366" hidden="1" x14ac:dyDescent="0.15"/>
    <row r="53367" hidden="1" x14ac:dyDescent="0.15"/>
    <row r="53368" hidden="1" x14ac:dyDescent="0.15"/>
    <row r="53369" hidden="1" x14ac:dyDescent="0.15"/>
    <row r="53370" hidden="1" x14ac:dyDescent="0.15"/>
    <row r="53371" hidden="1" x14ac:dyDescent="0.15"/>
    <row r="53372" hidden="1" x14ac:dyDescent="0.15"/>
    <row r="53373" hidden="1" x14ac:dyDescent="0.15"/>
    <row r="53374" hidden="1" x14ac:dyDescent="0.15"/>
    <row r="53375" hidden="1" x14ac:dyDescent="0.15"/>
    <row r="53376" hidden="1" x14ac:dyDescent="0.15"/>
    <row r="53377" hidden="1" x14ac:dyDescent="0.15"/>
    <row r="53378" hidden="1" x14ac:dyDescent="0.15"/>
    <row r="53379" hidden="1" x14ac:dyDescent="0.15"/>
    <row r="53380" hidden="1" x14ac:dyDescent="0.15"/>
    <row r="53381" hidden="1" x14ac:dyDescent="0.15"/>
    <row r="53382" hidden="1" x14ac:dyDescent="0.15"/>
    <row r="53383" hidden="1" x14ac:dyDescent="0.15"/>
    <row r="53384" hidden="1" x14ac:dyDescent="0.15"/>
    <row r="53385" hidden="1" x14ac:dyDescent="0.15"/>
    <row r="53386" hidden="1" x14ac:dyDescent="0.15"/>
    <row r="53387" hidden="1" x14ac:dyDescent="0.15"/>
    <row r="53388" hidden="1" x14ac:dyDescent="0.15"/>
    <row r="53389" hidden="1" x14ac:dyDescent="0.15"/>
    <row r="53390" hidden="1" x14ac:dyDescent="0.15"/>
    <row r="53391" hidden="1" x14ac:dyDescent="0.15"/>
    <row r="53392" hidden="1" x14ac:dyDescent="0.15"/>
    <row r="53393" hidden="1" x14ac:dyDescent="0.15"/>
    <row r="53394" hidden="1" x14ac:dyDescent="0.15"/>
    <row r="53395" hidden="1" x14ac:dyDescent="0.15"/>
    <row r="53396" hidden="1" x14ac:dyDescent="0.15"/>
    <row r="53397" hidden="1" x14ac:dyDescent="0.15"/>
    <row r="53398" hidden="1" x14ac:dyDescent="0.15"/>
    <row r="53399" hidden="1" x14ac:dyDescent="0.15"/>
    <row r="53400" hidden="1" x14ac:dyDescent="0.15"/>
    <row r="53401" hidden="1" x14ac:dyDescent="0.15"/>
    <row r="53402" hidden="1" x14ac:dyDescent="0.15"/>
    <row r="53403" hidden="1" x14ac:dyDescent="0.15"/>
    <row r="53404" hidden="1" x14ac:dyDescent="0.15"/>
    <row r="53405" hidden="1" x14ac:dyDescent="0.15"/>
    <row r="53406" hidden="1" x14ac:dyDescent="0.15"/>
    <row r="53407" hidden="1" x14ac:dyDescent="0.15"/>
    <row r="53408" hidden="1" x14ac:dyDescent="0.15"/>
    <row r="53409" hidden="1" x14ac:dyDescent="0.15"/>
    <row r="53410" hidden="1" x14ac:dyDescent="0.15"/>
    <row r="53411" hidden="1" x14ac:dyDescent="0.15"/>
    <row r="53412" hidden="1" x14ac:dyDescent="0.15"/>
    <row r="53413" hidden="1" x14ac:dyDescent="0.15"/>
    <row r="53414" hidden="1" x14ac:dyDescent="0.15"/>
    <row r="53415" hidden="1" x14ac:dyDescent="0.15"/>
    <row r="53416" hidden="1" x14ac:dyDescent="0.15"/>
    <row r="53417" hidden="1" x14ac:dyDescent="0.15"/>
    <row r="53418" hidden="1" x14ac:dyDescent="0.15"/>
    <row r="53419" hidden="1" x14ac:dyDescent="0.15"/>
    <row r="53420" hidden="1" x14ac:dyDescent="0.15"/>
    <row r="53421" hidden="1" x14ac:dyDescent="0.15"/>
    <row r="53422" hidden="1" x14ac:dyDescent="0.15"/>
    <row r="53423" hidden="1" x14ac:dyDescent="0.15"/>
    <row r="53424" hidden="1" x14ac:dyDescent="0.15"/>
    <row r="53425" hidden="1" x14ac:dyDescent="0.15"/>
    <row r="53426" hidden="1" x14ac:dyDescent="0.15"/>
    <row r="53427" hidden="1" x14ac:dyDescent="0.15"/>
    <row r="53428" hidden="1" x14ac:dyDescent="0.15"/>
    <row r="53429" hidden="1" x14ac:dyDescent="0.15"/>
    <row r="53430" hidden="1" x14ac:dyDescent="0.15"/>
    <row r="53431" hidden="1" x14ac:dyDescent="0.15"/>
    <row r="53432" hidden="1" x14ac:dyDescent="0.15"/>
    <row r="53433" hidden="1" x14ac:dyDescent="0.15"/>
    <row r="53434" hidden="1" x14ac:dyDescent="0.15"/>
    <row r="53435" hidden="1" x14ac:dyDescent="0.15"/>
    <row r="53436" hidden="1" x14ac:dyDescent="0.15"/>
    <row r="53437" hidden="1" x14ac:dyDescent="0.15"/>
    <row r="53438" hidden="1" x14ac:dyDescent="0.15"/>
    <row r="53439" hidden="1" x14ac:dyDescent="0.15"/>
    <row r="53440" hidden="1" x14ac:dyDescent="0.15"/>
    <row r="53441" hidden="1" x14ac:dyDescent="0.15"/>
    <row r="53442" hidden="1" x14ac:dyDescent="0.15"/>
    <row r="53443" hidden="1" x14ac:dyDescent="0.15"/>
    <row r="53444" hidden="1" x14ac:dyDescent="0.15"/>
    <row r="53445" hidden="1" x14ac:dyDescent="0.15"/>
    <row r="53446" hidden="1" x14ac:dyDescent="0.15"/>
    <row r="53447" hidden="1" x14ac:dyDescent="0.15"/>
    <row r="53448" hidden="1" x14ac:dyDescent="0.15"/>
    <row r="53449" hidden="1" x14ac:dyDescent="0.15"/>
    <row r="53450" hidden="1" x14ac:dyDescent="0.15"/>
    <row r="53451" hidden="1" x14ac:dyDescent="0.15"/>
    <row r="53452" hidden="1" x14ac:dyDescent="0.15"/>
    <row r="53453" hidden="1" x14ac:dyDescent="0.15"/>
    <row r="53454" hidden="1" x14ac:dyDescent="0.15"/>
    <row r="53455" hidden="1" x14ac:dyDescent="0.15"/>
    <row r="53456" hidden="1" x14ac:dyDescent="0.15"/>
    <row r="53457" hidden="1" x14ac:dyDescent="0.15"/>
    <row r="53458" hidden="1" x14ac:dyDescent="0.15"/>
    <row r="53459" hidden="1" x14ac:dyDescent="0.15"/>
    <row r="53460" hidden="1" x14ac:dyDescent="0.15"/>
    <row r="53461" hidden="1" x14ac:dyDescent="0.15"/>
    <row r="53462" hidden="1" x14ac:dyDescent="0.15"/>
    <row r="53463" hidden="1" x14ac:dyDescent="0.15"/>
    <row r="53464" hidden="1" x14ac:dyDescent="0.15"/>
    <row r="53465" hidden="1" x14ac:dyDescent="0.15"/>
    <row r="53466" hidden="1" x14ac:dyDescent="0.15"/>
    <row r="53467" hidden="1" x14ac:dyDescent="0.15"/>
    <row r="53468" hidden="1" x14ac:dyDescent="0.15"/>
    <row r="53469" hidden="1" x14ac:dyDescent="0.15"/>
    <row r="53470" hidden="1" x14ac:dyDescent="0.15"/>
    <row r="53471" hidden="1" x14ac:dyDescent="0.15"/>
    <row r="53472" hidden="1" x14ac:dyDescent="0.15"/>
    <row r="53473" hidden="1" x14ac:dyDescent="0.15"/>
    <row r="53474" hidden="1" x14ac:dyDescent="0.15"/>
    <row r="53475" hidden="1" x14ac:dyDescent="0.15"/>
    <row r="53476" hidden="1" x14ac:dyDescent="0.15"/>
    <row r="53477" hidden="1" x14ac:dyDescent="0.15"/>
    <row r="53478" hidden="1" x14ac:dyDescent="0.15"/>
    <row r="53479" hidden="1" x14ac:dyDescent="0.15"/>
    <row r="53480" hidden="1" x14ac:dyDescent="0.15"/>
    <row r="53481" hidden="1" x14ac:dyDescent="0.15"/>
    <row r="53482" hidden="1" x14ac:dyDescent="0.15"/>
    <row r="53483" hidden="1" x14ac:dyDescent="0.15"/>
    <row r="53484" hidden="1" x14ac:dyDescent="0.15"/>
    <row r="53485" hidden="1" x14ac:dyDescent="0.15"/>
    <row r="53486" hidden="1" x14ac:dyDescent="0.15"/>
    <row r="53487" hidden="1" x14ac:dyDescent="0.15"/>
    <row r="53488" hidden="1" x14ac:dyDescent="0.15"/>
    <row r="53489" hidden="1" x14ac:dyDescent="0.15"/>
    <row r="53490" hidden="1" x14ac:dyDescent="0.15"/>
    <row r="53491" hidden="1" x14ac:dyDescent="0.15"/>
    <row r="53492" hidden="1" x14ac:dyDescent="0.15"/>
    <row r="53493" hidden="1" x14ac:dyDescent="0.15"/>
    <row r="53494" hidden="1" x14ac:dyDescent="0.15"/>
    <row r="53495" hidden="1" x14ac:dyDescent="0.15"/>
    <row r="53496" hidden="1" x14ac:dyDescent="0.15"/>
    <row r="53497" hidden="1" x14ac:dyDescent="0.15"/>
    <row r="53498" hidden="1" x14ac:dyDescent="0.15"/>
    <row r="53499" hidden="1" x14ac:dyDescent="0.15"/>
    <row r="53500" hidden="1" x14ac:dyDescent="0.15"/>
    <row r="53501" hidden="1" x14ac:dyDescent="0.15"/>
    <row r="53502" hidden="1" x14ac:dyDescent="0.15"/>
    <row r="53503" hidden="1" x14ac:dyDescent="0.15"/>
    <row r="53504" hidden="1" x14ac:dyDescent="0.15"/>
    <row r="53505" hidden="1" x14ac:dyDescent="0.15"/>
    <row r="53506" hidden="1" x14ac:dyDescent="0.15"/>
    <row r="53507" hidden="1" x14ac:dyDescent="0.15"/>
    <row r="53508" hidden="1" x14ac:dyDescent="0.15"/>
    <row r="53509" hidden="1" x14ac:dyDescent="0.15"/>
    <row r="53510" hidden="1" x14ac:dyDescent="0.15"/>
    <row r="53511" hidden="1" x14ac:dyDescent="0.15"/>
    <row r="53512" hidden="1" x14ac:dyDescent="0.15"/>
    <row r="53513" hidden="1" x14ac:dyDescent="0.15"/>
    <row r="53514" hidden="1" x14ac:dyDescent="0.15"/>
    <row r="53515" hidden="1" x14ac:dyDescent="0.15"/>
    <row r="53516" hidden="1" x14ac:dyDescent="0.15"/>
    <row r="53517" hidden="1" x14ac:dyDescent="0.15"/>
    <row r="53518" hidden="1" x14ac:dyDescent="0.15"/>
    <row r="53519" hidden="1" x14ac:dyDescent="0.15"/>
    <row r="53520" hidden="1" x14ac:dyDescent="0.15"/>
    <row r="53521" hidden="1" x14ac:dyDescent="0.15"/>
    <row r="53522" hidden="1" x14ac:dyDescent="0.15"/>
    <row r="53523" hidden="1" x14ac:dyDescent="0.15"/>
    <row r="53524" hidden="1" x14ac:dyDescent="0.15"/>
    <row r="53525" hidden="1" x14ac:dyDescent="0.15"/>
    <row r="53526" hidden="1" x14ac:dyDescent="0.15"/>
    <row r="53527" hidden="1" x14ac:dyDescent="0.15"/>
    <row r="53528" hidden="1" x14ac:dyDescent="0.15"/>
    <row r="53529" hidden="1" x14ac:dyDescent="0.15"/>
    <row r="53530" hidden="1" x14ac:dyDescent="0.15"/>
    <row r="53531" hidden="1" x14ac:dyDescent="0.15"/>
    <row r="53532" hidden="1" x14ac:dyDescent="0.15"/>
    <row r="53533" hidden="1" x14ac:dyDescent="0.15"/>
    <row r="53534" hidden="1" x14ac:dyDescent="0.15"/>
    <row r="53535" hidden="1" x14ac:dyDescent="0.15"/>
    <row r="53536" hidden="1" x14ac:dyDescent="0.15"/>
    <row r="53537" hidden="1" x14ac:dyDescent="0.15"/>
    <row r="53538" hidden="1" x14ac:dyDescent="0.15"/>
    <row r="53539" hidden="1" x14ac:dyDescent="0.15"/>
    <row r="53540" hidden="1" x14ac:dyDescent="0.15"/>
    <row r="53541" hidden="1" x14ac:dyDescent="0.15"/>
    <row r="53542" hidden="1" x14ac:dyDescent="0.15"/>
    <row r="53543" hidden="1" x14ac:dyDescent="0.15"/>
    <row r="53544" hidden="1" x14ac:dyDescent="0.15"/>
    <row r="53545" hidden="1" x14ac:dyDescent="0.15"/>
    <row r="53546" hidden="1" x14ac:dyDescent="0.15"/>
    <row r="53547" hidden="1" x14ac:dyDescent="0.15"/>
    <row r="53548" hidden="1" x14ac:dyDescent="0.15"/>
    <row r="53549" hidden="1" x14ac:dyDescent="0.15"/>
    <row r="53550" hidden="1" x14ac:dyDescent="0.15"/>
    <row r="53551" hidden="1" x14ac:dyDescent="0.15"/>
    <row r="53552" hidden="1" x14ac:dyDescent="0.15"/>
    <row r="53553" hidden="1" x14ac:dyDescent="0.15"/>
    <row r="53554" hidden="1" x14ac:dyDescent="0.15"/>
    <row r="53555" hidden="1" x14ac:dyDescent="0.15"/>
    <row r="53556" hidden="1" x14ac:dyDescent="0.15"/>
    <row r="53557" hidden="1" x14ac:dyDescent="0.15"/>
    <row r="53558" hidden="1" x14ac:dyDescent="0.15"/>
    <row r="53559" hidden="1" x14ac:dyDescent="0.15"/>
    <row r="53560" hidden="1" x14ac:dyDescent="0.15"/>
    <row r="53561" hidden="1" x14ac:dyDescent="0.15"/>
    <row r="53562" hidden="1" x14ac:dyDescent="0.15"/>
    <row r="53563" hidden="1" x14ac:dyDescent="0.15"/>
    <row r="53564" hidden="1" x14ac:dyDescent="0.15"/>
    <row r="53565" hidden="1" x14ac:dyDescent="0.15"/>
    <row r="53566" hidden="1" x14ac:dyDescent="0.15"/>
    <row r="53567" hidden="1" x14ac:dyDescent="0.15"/>
    <row r="53568" hidden="1" x14ac:dyDescent="0.15"/>
    <row r="53569" hidden="1" x14ac:dyDescent="0.15"/>
    <row r="53570" hidden="1" x14ac:dyDescent="0.15"/>
    <row r="53571" hidden="1" x14ac:dyDescent="0.15"/>
    <row r="53572" hidden="1" x14ac:dyDescent="0.15"/>
    <row r="53573" hidden="1" x14ac:dyDescent="0.15"/>
    <row r="53574" hidden="1" x14ac:dyDescent="0.15"/>
    <row r="53575" hidden="1" x14ac:dyDescent="0.15"/>
    <row r="53576" hidden="1" x14ac:dyDescent="0.15"/>
    <row r="53577" hidden="1" x14ac:dyDescent="0.15"/>
    <row r="53578" hidden="1" x14ac:dyDescent="0.15"/>
    <row r="53579" hidden="1" x14ac:dyDescent="0.15"/>
    <row r="53580" hidden="1" x14ac:dyDescent="0.15"/>
    <row r="53581" hidden="1" x14ac:dyDescent="0.15"/>
    <row r="53582" hidden="1" x14ac:dyDescent="0.15"/>
    <row r="53583" hidden="1" x14ac:dyDescent="0.15"/>
    <row r="53584" hidden="1" x14ac:dyDescent="0.15"/>
    <row r="53585" hidden="1" x14ac:dyDescent="0.15"/>
    <row r="53586" hidden="1" x14ac:dyDescent="0.15"/>
    <row r="53587" hidden="1" x14ac:dyDescent="0.15"/>
    <row r="53588" hidden="1" x14ac:dyDescent="0.15"/>
    <row r="53589" hidden="1" x14ac:dyDescent="0.15"/>
    <row r="53590" hidden="1" x14ac:dyDescent="0.15"/>
    <row r="53591" hidden="1" x14ac:dyDescent="0.15"/>
    <row r="53592" hidden="1" x14ac:dyDescent="0.15"/>
    <row r="53593" hidden="1" x14ac:dyDescent="0.15"/>
    <row r="53594" hidden="1" x14ac:dyDescent="0.15"/>
    <row r="53595" hidden="1" x14ac:dyDescent="0.15"/>
    <row r="53596" hidden="1" x14ac:dyDescent="0.15"/>
    <row r="53597" hidden="1" x14ac:dyDescent="0.15"/>
    <row r="53598" hidden="1" x14ac:dyDescent="0.15"/>
    <row r="53599" hidden="1" x14ac:dyDescent="0.15"/>
    <row r="53600" hidden="1" x14ac:dyDescent="0.15"/>
    <row r="53601" hidden="1" x14ac:dyDescent="0.15"/>
    <row r="53602" hidden="1" x14ac:dyDescent="0.15"/>
    <row r="53603" hidden="1" x14ac:dyDescent="0.15"/>
    <row r="53604" hidden="1" x14ac:dyDescent="0.15"/>
    <row r="53605" hidden="1" x14ac:dyDescent="0.15"/>
    <row r="53606" hidden="1" x14ac:dyDescent="0.15"/>
    <row r="53607" hidden="1" x14ac:dyDescent="0.15"/>
    <row r="53608" hidden="1" x14ac:dyDescent="0.15"/>
    <row r="53609" hidden="1" x14ac:dyDescent="0.15"/>
    <row r="53610" hidden="1" x14ac:dyDescent="0.15"/>
    <row r="53611" hidden="1" x14ac:dyDescent="0.15"/>
    <row r="53612" hidden="1" x14ac:dyDescent="0.15"/>
    <row r="53613" hidden="1" x14ac:dyDescent="0.15"/>
    <row r="53614" hidden="1" x14ac:dyDescent="0.15"/>
    <row r="53615" hidden="1" x14ac:dyDescent="0.15"/>
    <row r="53616" hidden="1" x14ac:dyDescent="0.15"/>
    <row r="53617" hidden="1" x14ac:dyDescent="0.15"/>
    <row r="53618" hidden="1" x14ac:dyDescent="0.15"/>
    <row r="53619" hidden="1" x14ac:dyDescent="0.15"/>
    <row r="53620" hidden="1" x14ac:dyDescent="0.15"/>
    <row r="53621" hidden="1" x14ac:dyDescent="0.15"/>
    <row r="53622" hidden="1" x14ac:dyDescent="0.15"/>
    <row r="53623" hidden="1" x14ac:dyDescent="0.15"/>
    <row r="53624" hidden="1" x14ac:dyDescent="0.15"/>
    <row r="53625" hidden="1" x14ac:dyDescent="0.15"/>
    <row r="53626" hidden="1" x14ac:dyDescent="0.15"/>
    <row r="53627" hidden="1" x14ac:dyDescent="0.15"/>
    <row r="53628" hidden="1" x14ac:dyDescent="0.15"/>
    <row r="53629" hidden="1" x14ac:dyDescent="0.15"/>
    <row r="53630" hidden="1" x14ac:dyDescent="0.15"/>
    <row r="53631" hidden="1" x14ac:dyDescent="0.15"/>
    <row r="53632" hidden="1" x14ac:dyDescent="0.15"/>
    <row r="53633" hidden="1" x14ac:dyDescent="0.15"/>
    <row r="53634" hidden="1" x14ac:dyDescent="0.15"/>
    <row r="53635" hidden="1" x14ac:dyDescent="0.15"/>
    <row r="53636" hidden="1" x14ac:dyDescent="0.15"/>
    <row r="53637" hidden="1" x14ac:dyDescent="0.15"/>
    <row r="53638" hidden="1" x14ac:dyDescent="0.15"/>
    <row r="53639" hidden="1" x14ac:dyDescent="0.15"/>
    <row r="53640" hidden="1" x14ac:dyDescent="0.15"/>
    <row r="53641" hidden="1" x14ac:dyDescent="0.15"/>
    <row r="53642" hidden="1" x14ac:dyDescent="0.15"/>
    <row r="53643" hidden="1" x14ac:dyDescent="0.15"/>
    <row r="53644" hidden="1" x14ac:dyDescent="0.15"/>
    <row r="53645" hidden="1" x14ac:dyDescent="0.15"/>
    <row r="53646" hidden="1" x14ac:dyDescent="0.15"/>
    <row r="53647" hidden="1" x14ac:dyDescent="0.15"/>
    <row r="53648" hidden="1" x14ac:dyDescent="0.15"/>
    <row r="53649" hidden="1" x14ac:dyDescent="0.15"/>
    <row r="53650" hidden="1" x14ac:dyDescent="0.15"/>
    <row r="53651" hidden="1" x14ac:dyDescent="0.15"/>
    <row r="53652" hidden="1" x14ac:dyDescent="0.15"/>
    <row r="53653" hidden="1" x14ac:dyDescent="0.15"/>
    <row r="53654" hidden="1" x14ac:dyDescent="0.15"/>
    <row r="53655" hidden="1" x14ac:dyDescent="0.15"/>
    <row r="53656" hidden="1" x14ac:dyDescent="0.15"/>
    <row r="53657" hidden="1" x14ac:dyDescent="0.15"/>
    <row r="53658" hidden="1" x14ac:dyDescent="0.15"/>
    <row r="53659" hidden="1" x14ac:dyDescent="0.15"/>
    <row r="53660" hidden="1" x14ac:dyDescent="0.15"/>
    <row r="53661" hidden="1" x14ac:dyDescent="0.15"/>
    <row r="53662" hidden="1" x14ac:dyDescent="0.15"/>
    <row r="53663" hidden="1" x14ac:dyDescent="0.15"/>
    <row r="53664" hidden="1" x14ac:dyDescent="0.15"/>
    <row r="53665" hidden="1" x14ac:dyDescent="0.15"/>
    <row r="53666" hidden="1" x14ac:dyDescent="0.15"/>
    <row r="53667" hidden="1" x14ac:dyDescent="0.15"/>
    <row r="53668" hidden="1" x14ac:dyDescent="0.15"/>
    <row r="53669" hidden="1" x14ac:dyDescent="0.15"/>
    <row r="53670" hidden="1" x14ac:dyDescent="0.15"/>
    <row r="53671" hidden="1" x14ac:dyDescent="0.15"/>
    <row r="53672" hidden="1" x14ac:dyDescent="0.15"/>
    <row r="53673" hidden="1" x14ac:dyDescent="0.15"/>
    <row r="53674" hidden="1" x14ac:dyDescent="0.15"/>
    <row r="53675" hidden="1" x14ac:dyDescent="0.15"/>
    <row r="53676" hidden="1" x14ac:dyDescent="0.15"/>
    <row r="53677" hidden="1" x14ac:dyDescent="0.15"/>
    <row r="53678" hidden="1" x14ac:dyDescent="0.15"/>
    <row r="53679" hidden="1" x14ac:dyDescent="0.15"/>
    <row r="53680" hidden="1" x14ac:dyDescent="0.15"/>
    <row r="53681" hidden="1" x14ac:dyDescent="0.15"/>
    <row r="53682" hidden="1" x14ac:dyDescent="0.15"/>
    <row r="53683" hidden="1" x14ac:dyDescent="0.15"/>
    <row r="53684" hidden="1" x14ac:dyDescent="0.15"/>
    <row r="53685" hidden="1" x14ac:dyDescent="0.15"/>
    <row r="53686" hidden="1" x14ac:dyDescent="0.15"/>
    <row r="53687" hidden="1" x14ac:dyDescent="0.15"/>
    <row r="53688" hidden="1" x14ac:dyDescent="0.15"/>
    <row r="53689" hidden="1" x14ac:dyDescent="0.15"/>
    <row r="53690" hidden="1" x14ac:dyDescent="0.15"/>
    <row r="53691" hidden="1" x14ac:dyDescent="0.15"/>
    <row r="53692" hidden="1" x14ac:dyDescent="0.15"/>
    <row r="53693" hidden="1" x14ac:dyDescent="0.15"/>
    <row r="53694" hidden="1" x14ac:dyDescent="0.15"/>
    <row r="53695" hidden="1" x14ac:dyDescent="0.15"/>
    <row r="53696" hidden="1" x14ac:dyDescent="0.15"/>
    <row r="53697" hidden="1" x14ac:dyDescent="0.15"/>
    <row r="53698" hidden="1" x14ac:dyDescent="0.15"/>
    <row r="53699" hidden="1" x14ac:dyDescent="0.15"/>
    <row r="53700" hidden="1" x14ac:dyDescent="0.15"/>
    <row r="53701" hidden="1" x14ac:dyDescent="0.15"/>
    <row r="53702" hidden="1" x14ac:dyDescent="0.15"/>
    <row r="53703" hidden="1" x14ac:dyDescent="0.15"/>
    <row r="53704" hidden="1" x14ac:dyDescent="0.15"/>
    <row r="53705" hidden="1" x14ac:dyDescent="0.15"/>
    <row r="53706" hidden="1" x14ac:dyDescent="0.15"/>
    <row r="53707" hidden="1" x14ac:dyDescent="0.15"/>
    <row r="53708" hidden="1" x14ac:dyDescent="0.15"/>
    <row r="53709" hidden="1" x14ac:dyDescent="0.15"/>
    <row r="53710" hidden="1" x14ac:dyDescent="0.15"/>
    <row r="53711" hidden="1" x14ac:dyDescent="0.15"/>
    <row r="53712" hidden="1" x14ac:dyDescent="0.15"/>
    <row r="53713" hidden="1" x14ac:dyDescent="0.15"/>
    <row r="53714" hidden="1" x14ac:dyDescent="0.15"/>
    <row r="53715" hidden="1" x14ac:dyDescent="0.15"/>
    <row r="53716" hidden="1" x14ac:dyDescent="0.15"/>
    <row r="53717" hidden="1" x14ac:dyDescent="0.15"/>
    <row r="53718" hidden="1" x14ac:dyDescent="0.15"/>
    <row r="53719" hidden="1" x14ac:dyDescent="0.15"/>
    <row r="53720" hidden="1" x14ac:dyDescent="0.15"/>
    <row r="53721" hidden="1" x14ac:dyDescent="0.15"/>
    <row r="53722" hidden="1" x14ac:dyDescent="0.15"/>
    <row r="53723" hidden="1" x14ac:dyDescent="0.15"/>
    <row r="53724" hidden="1" x14ac:dyDescent="0.15"/>
    <row r="53725" hidden="1" x14ac:dyDescent="0.15"/>
    <row r="53726" hidden="1" x14ac:dyDescent="0.15"/>
    <row r="53727" hidden="1" x14ac:dyDescent="0.15"/>
    <row r="53728" hidden="1" x14ac:dyDescent="0.15"/>
    <row r="53729" hidden="1" x14ac:dyDescent="0.15"/>
    <row r="53730" hidden="1" x14ac:dyDescent="0.15"/>
    <row r="53731" hidden="1" x14ac:dyDescent="0.15"/>
    <row r="53732" hidden="1" x14ac:dyDescent="0.15"/>
    <row r="53733" hidden="1" x14ac:dyDescent="0.15"/>
    <row r="53734" hidden="1" x14ac:dyDescent="0.15"/>
    <row r="53735" hidden="1" x14ac:dyDescent="0.15"/>
    <row r="53736" hidden="1" x14ac:dyDescent="0.15"/>
    <row r="53737" hidden="1" x14ac:dyDescent="0.15"/>
    <row r="53738" hidden="1" x14ac:dyDescent="0.15"/>
    <row r="53739" hidden="1" x14ac:dyDescent="0.15"/>
    <row r="53740" hidden="1" x14ac:dyDescent="0.15"/>
    <row r="53741" hidden="1" x14ac:dyDescent="0.15"/>
    <row r="53742" hidden="1" x14ac:dyDescent="0.15"/>
    <row r="53743" hidden="1" x14ac:dyDescent="0.15"/>
    <row r="53744" hidden="1" x14ac:dyDescent="0.15"/>
    <row r="53745" hidden="1" x14ac:dyDescent="0.15"/>
    <row r="53746" hidden="1" x14ac:dyDescent="0.15"/>
    <row r="53747" hidden="1" x14ac:dyDescent="0.15"/>
    <row r="53748" hidden="1" x14ac:dyDescent="0.15"/>
    <row r="53749" hidden="1" x14ac:dyDescent="0.15"/>
    <row r="53750" hidden="1" x14ac:dyDescent="0.15"/>
    <row r="53751" hidden="1" x14ac:dyDescent="0.15"/>
    <row r="53752" hidden="1" x14ac:dyDescent="0.15"/>
    <row r="53753" hidden="1" x14ac:dyDescent="0.15"/>
    <row r="53754" hidden="1" x14ac:dyDescent="0.15"/>
    <row r="53755" hidden="1" x14ac:dyDescent="0.15"/>
    <row r="53756" hidden="1" x14ac:dyDescent="0.15"/>
    <row r="53757" hidden="1" x14ac:dyDescent="0.15"/>
    <row r="53758" hidden="1" x14ac:dyDescent="0.15"/>
    <row r="53759" hidden="1" x14ac:dyDescent="0.15"/>
    <row r="53760" hidden="1" x14ac:dyDescent="0.15"/>
    <row r="53761" hidden="1" x14ac:dyDescent="0.15"/>
    <row r="53762" hidden="1" x14ac:dyDescent="0.15"/>
    <row r="53763" hidden="1" x14ac:dyDescent="0.15"/>
    <row r="53764" hidden="1" x14ac:dyDescent="0.15"/>
    <row r="53765" hidden="1" x14ac:dyDescent="0.15"/>
    <row r="53766" hidden="1" x14ac:dyDescent="0.15"/>
    <row r="53767" hidden="1" x14ac:dyDescent="0.15"/>
    <row r="53768" hidden="1" x14ac:dyDescent="0.15"/>
    <row r="53769" hidden="1" x14ac:dyDescent="0.15"/>
    <row r="53770" hidden="1" x14ac:dyDescent="0.15"/>
    <row r="53771" hidden="1" x14ac:dyDescent="0.15"/>
    <row r="53772" hidden="1" x14ac:dyDescent="0.15"/>
    <row r="53773" hidden="1" x14ac:dyDescent="0.15"/>
    <row r="53774" hidden="1" x14ac:dyDescent="0.15"/>
    <row r="53775" hidden="1" x14ac:dyDescent="0.15"/>
    <row r="53776" hidden="1" x14ac:dyDescent="0.15"/>
    <row r="53777" hidden="1" x14ac:dyDescent="0.15"/>
    <row r="53778" hidden="1" x14ac:dyDescent="0.15"/>
    <row r="53779" hidden="1" x14ac:dyDescent="0.15"/>
    <row r="53780" hidden="1" x14ac:dyDescent="0.15"/>
    <row r="53781" hidden="1" x14ac:dyDescent="0.15"/>
    <row r="53782" hidden="1" x14ac:dyDescent="0.15"/>
    <row r="53783" hidden="1" x14ac:dyDescent="0.15"/>
    <row r="53784" hidden="1" x14ac:dyDescent="0.15"/>
    <row r="53785" hidden="1" x14ac:dyDescent="0.15"/>
    <row r="53786" hidden="1" x14ac:dyDescent="0.15"/>
    <row r="53787" hidden="1" x14ac:dyDescent="0.15"/>
    <row r="53788" hidden="1" x14ac:dyDescent="0.15"/>
    <row r="53789" hidden="1" x14ac:dyDescent="0.15"/>
    <row r="53790" hidden="1" x14ac:dyDescent="0.15"/>
    <row r="53791" hidden="1" x14ac:dyDescent="0.15"/>
    <row r="53792" hidden="1" x14ac:dyDescent="0.15"/>
    <row r="53793" hidden="1" x14ac:dyDescent="0.15"/>
    <row r="53794" hidden="1" x14ac:dyDescent="0.15"/>
    <row r="53795" hidden="1" x14ac:dyDescent="0.15"/>
    <row r="53796" hidden="1" x14ac:dyDescent="0.15"/>
    <row r="53797" hidden="1" x14ac:dyDescent="0.15"/>
    <row r="53798" hidden="1" x14ac:dyDescent="0.15"/>
    <row r="53799" hidden="1" x14ac:dyDescent="0.15"/>
    <row r="53800" hidden="1" x14ac:dyDescent="0.15"/>
    <row r="53801" hidden="1" x14ac:dyDescent="0.15"/>
    <row r="53802" hidden="1" x14ac:dyDescent="0.15"/>
    <row r="53803" hidden="1" x14ac:dyDescent="0.15"/>
    <row r="53804" hidden="1" x14ac:dyDescent="0.15"/>
    <row r="53805" hidden="1" x14ac:dyDescent="0.15"/>
    <row r="53806" hidden="1" x14ac:dyDescent="0.15"/>
    <row r="53807" hidden="1" x14ac:dyDescent="0.15"/>
    <row r="53808" hidden="1" x14ac:dyDescent="0.15"/>
    <row r="53809" hidden="1" x14ac:dyDescent="0.15"/>
    <row r="53810" hidden="1" x14ac:dyDescent="0.15"/>
    <row r="53811" hidden="1" x14ac:dyDescent="0.15"/>
    <row r="53812" hidden="1" x14ac:dyDescent="0.15"/>
    <row r="53813" hidden="1" x14ac:dyDescent="0.15"/>
    <row r="53814" hidden="1" x14ac:dyDescent="0.15"/>
    <row r="53815" hidden="1" x14ac:dyDescent="0.15"/>
    <row r="53816" hidden="1" x14ac:dyDescent="0.15"/>
    <row r="53817" hidden="1" x14ac:dyDescent="0.15"/>
    <row r="53818" hidden="1" x14ac:dyDescent="0.15"/>
    <row r="53819" hidden="1" x14ac:dyDescent="0.15"/>
    <row r="53820" hidden="1" x14ac:dyDescent="0.15"/>
    <row r="53821" hidden="1" x14ac:dyDescent="0.15"/>
    <row r="53822" hidden="1" x14ac:dyDescent="0.15"/>
    <row r="53823" hidden="1" x14ac:dyDescent="0.15"/>
    <row r="53824" hidden="1" x14ac:dyDescent="0.15"/>
    <row r="53825" hidden="1" x14ac:dyDescent="0.15"/>
    <row r="53826" hidden="1" x14ac:dyDescent="0.15"/>
    <row r="53827" hidden="1" x14ac:dyDescent="0.15"/>
    <row r="53828" hidden="1" x14ac:dyDescent="0.15"/>
    <row r="53829" hidden="1" x14ac:dyDescent="0.15"/>
    <row r="53830" hidden="1" x14ac:dyDescent="0.15"/>
    <row r="53831" hidden="1" x14ac:dyDescent="0.15"/>
    <row r="53832" hidden="1" x14ac:dyDescent="0.15"/>
    <row r="53833" hidden="1" x14ac:dyDescent="0.15"/>
    <row r="53834" hidden="1" x14ac:dyDescent="0.15"/>
    <row r="53835" hidden="1" x14ac:dyDescent="0.15"/>
    <row r="53836" hidden="1" x14ac:dyDescent="0.15"/>
    <row r="53837" hidden="1" x14ac:dyDescent="0.15"/>
    <row r="53838" hidden="1" x14ac:dyDescent="0.15"/>
    <row r="53839" hidden="1" x14ac:dyDescent="0.15"/>
    <row r="53840" hidden="1" x14ac:dyDescent="0.15"/>
    <row r="53841" hidden="1" x14ac:dyDescent="0.15"/>
    <row r="53842" hidden="1" x14ac:dyDescent="0.15"/>
    <row r="53843" hidden="1" x14ac:dyDescent="0.15"/>
    <row r="53844" hidden="1" x14ac:dyDescent="0.15"/>
    <row r="53845" hidden="1" x14ac:dyDescent="0.15"/>
    <row r="53846" hidden="1" x14ac:dyDescent="0.15"/>
    <row r="53847" hidden="1" x14ac:dyDescent="0.15"/>
    <row r="53848" hidden="1" x14ac:dyDescent="0.15"/>
    <row r="53849" hidden="1" x14ac:dyDescent="0.15"/>
    <row r="53850" hidden="1" x14ac:dyDescent="0.15"/>
    <row r="53851" hidden="1" x14ac:dyDescent="0.15"/>
    <row r="53852" hidden="1" x14ac:dyDescent="0.15"/>
    <row r="53853" hidden="1" x14ac:dyDescent="0.15"/>
    <row r="53854" hidden="1" x14ac:dyDescent="0.15"/>
    <row r="53855" hidden="1" x14ac:dyDescent="0.15"/>
    <row r="53856" hidden="1" x14ac:dyDescent="0.15"/>
    <row r="53857" hidden="1" x14ac:dyDescent="0.15"/>
    <row r="53858" hidden="1" x14ac:dyDescent="0.15"/>
    <row r="53859" hidden="1" x14ac:dyDescent="0.15"/>
    <row r="53860" hidden="1" x14ac:dyDescent="0.15"/>
    <row r="53861" hidden="1" x14ac:dyDescent="0.15"/>
    <row r="53862" hidden="1" x14ac:dyDescent="0.15"/>
    <row r="53863" hidden="1" x14ac:dyDescent="0.15"/>
    <row r="53864" hidden="1" x14ac:dyDescent="0.15"/>
    <row r="53865" hidden="1" x14ac:dyDescent="0.15"/>
    <row r="53866" hidden="1" x14ac:dyDescent="0.15"/>
    <row r="53867" hidden="1" x14ac:dyDescent="0.15"/>
    <row r="53868" hidden="1" x14ac:dyDescent="0.15"/>
    <row r="53869" hidden="1" x14ac:dyDescent="0.15"/>
    <row r="53870" hidden="1" x14ac:dyDescent="0.15"/>
    <row r="53871" hidden="1" x14ac:dyDescent="0.15"/>
    <row r="53872" hidden="1" x14ac:dyDescent="0.15"/>
    <row r="53873" hidden="1" x14ac:dyDescent="0.15"/>
    <row r="53874" hidden="1" x14ac:dyDescent="0.15"/>
    <row r="53875" hidden="1" x14ac:dyDescent="0.15"/>
    <row r="53876" hidden="1" x14ac:dyDescent="0.15"/>
    <row r="53877" hidden="1" x14ac:dyDescent="0.15"/>
    <row r="53878" hidden="1" x14ac:dyDescent="0.15"/>
    <row r="53879" hidden="1" x14ac:dyDescent="0.15"/>
    <row r="53880" hidden="1" x14ac:dyDescent="0.15"/>
    <row r="53881" hidden="1" x14ac:dyDescent="0.15"/>
    <row r="53882" hidden="1" x14ac:dyDescent="0.15"/>
    <row r="53883" hidden="1" x14ac:dyDescent="0.15"/>
    <row r="53884" hidden="1" x14ac:dyDescent="0.15"/>
    <row r="53885" hidden="1" x14ac:dyDescent="0.15"/>
    <row r="53886" hidden="1" x14ac:dyDescent="0.15"/>
    <row r="53887" hidden="1" x14ac:dyDescent="0.15"/>
    <row r="53888" hidden="1" x14ac:dyDescent="0.15"/>
    <row r="53889" hidden="1" x14ac:dyDescent="0.15"/>
    <row r="53890" hidden="1" x14ac:dyDescent="0.15"/>
    <row r="53891" hidden="1" x14ac:dyDescent="0.15"/>
    <row r="53892" hidden="1" x14ac:dyDescent="0.15"/>
    <row r="53893" hidden="1" x14ac:dyDescent="0.15"/>
    <row r="53894" hidden="1" x14ac:dyDescent="0.15"/>
    <row r="53895" hidden="1" x14ac:dyDescent="0.15"/>
    <row r="53896" hidden="1" x14ac:dyDescent="0.15"/>
    <row r="53897" hidden="1" x14ac:dyDescent="0.15"/>
    <row r="53898" hidden="1" x14ac:dyDescent="0.15"/>
    <row r="53899" hidden="1" x14ac:dyDescent="0.15"/>
    <row r="53900" hidden="1" x14ac:dyDescent="0.15"/>
    <row r="53901" hidden="1" x14ac:dyDescent="0.15"/>
    <row r="53902" hidden="1" x14ac:dyDescent="0.15"/>
    <row r="53903" hidden="1" x14ac:dyDescent="0.15"/>
    <row r="53904" hidden="1" x14ac:dyDescent="0.15"/>
    <row r="53905" hidden="1" x14ac:dyDescent="0.15"/>
    <row r="53906" hidden="1" x14ac:dyDescent="0.15"/>
    <row r="53907" hidden="1" x14ac:dyDescent="0.15"/>
    <row r="53908" hidden="1" x14ac:dyDescent="0.15"/>
    <row r="53909" hidden="1" x14ac:dyDescent="0.15"/>
    <row r="53910" hidden="1" x14ac:dyDescent="0.15"/>
    <row r="53911" hidden="1" x14ac:dyDescent="0.15"/>
    <row r="53912" hidden="1" x14ac:dyDescent="0.15"/>
    <row r="53913" hidden="1" x14ac:dyDescent="0.15"/>
    <row r="53914" hidden="1" x14ac:dyDescent="0.15"/>
    <row r="53915" hidden="1" x14ac:dyDescent="0.15"/>
    <row r="53916" hidden="1" x14ac:dyDescent="0.15"/>
    <row r="53917" hidden="1" x14ac:dyDescent="0.15"/>
    <row r="53918" hidden="1" x14ac:dyDescent="0.15"/>
    <row r="53919" hidden="1" x14ac:dyDescent="0.15"/>
    <row r="53920" hidden="1" x14ac:dyDescent="0.15"/>
    <row r="53921" hidden="1" x14ac:dyDescent="0.15"/>
    <row r="53922" hidden="1" x14ac:dyDescent="0.15"/>
    <row r="53923" hidden="1" x14ac:dyDescent="0.15"/>
    <row r="53924" hidden="1" x14ac:dyDescent="0.15"/>
    <row r="53925" hidden="1" x14ac:dyDescent="0.15"/>
    <row r="53926" hidden="1" x14ac:dyDescent="0.15"/>
    <row r="53927" hidden="1" x14ac:dyDescent="0.15"/>
    <row r="53928" hidden="1" x14ac:dyDescent="0.15"/>
    <row r="53929" hidden="1" x14ac:dyDescent="0.15"/>
    <row r="53930" hidden="1" x14ac:dyDescent="0.15"/>
    <row r="53931" hidden="1" x14ac:dyDescent="0.15"/>
    <row r="53932" hidden="1" x14ac:dyDescent="0.15"/>
    <row r="53933" hidden="1" x14ac:dyDescent="0.15"/>
    <row r="53934" hidden="1" x14ac:dyDescent="0.15"/>
    <row r="53935" hidden="1" x14ac:dyDescent="0.15"/>
    <row r="53936" hidden="1" x14ac:dyDescent="0.15"/>
    <row r="53937" hidden="1" x14ac:dyDescent="0.15"/>
    <row r="53938" hidden="1" x14ac:dyDescent="0.15"/>
    <row r="53939" hidden="1" x14ac:dyDescent="0.15"/>
    <row r="53940" hidden="1" x14ac:dyDescent="0.15"/>
    <row r="53941" hidden="1" x14ac:dyDescent="0.15"/>
    <row r="53942" hidden="1" x14ac:dyDescent="0.15"/>
    <row r="53943" hidden="1" x14ac:dyDescent="0.15"/>
    <row r="53944" hidden="1" x14ac:dyDescent="0.15"/>
    <row r="53945" hidden="1" x14ac:dyDescent="0.15"/>
    <row r="53946" hidden="1" x14ac:dyDescent="0.15"/>
    <row r="53947" hidden="1" x14ac:dyDescent="0.15"/>
    <row r="53948" hidden="1" x14ac:dyDescent="0.15"/>
    <row r="53949" hidden="1" x14ac:dyDescent="0.15"/>
    <row r="53950" hidden="1" x14ac:dyDescent="0.15"/>
    <row r="53951" hidden="1" x14ac:dyDescent="0.15"/>
    <row r="53952" hidden="1" x14ac:dyDescent="0.15"/>
    <row r="53953" hidden="1" x14ac:dyDescent="0.15"/>
    <row r="53954" hidden="1" x14ac:dyDescent="0.15"/>
    <row r="53955" hidden="1" x14ac:dyDescent="0.15"/>
    <row r="53956" hidden="1" x14ac:dyDescent="0.15"/>
    <row r="53957" hidden="1" x14ac:dyDescent="0.15"/>
    <row r="53958" hidden="1" x14ac:dyDescent="0.15"/>
    <row r="53959" hidden="1" x14ac:dyDescent="0.15"/>
    <row r="53960" hidden="1" x14ac:dyDescent="0.15"/>
    <row r="53961" hidden="1" x14ac:dyDescent="0.15"/>
    <row r="53962" hidden="1" x14ac:dyDescent="0.15"/>
    <row r="53963" hidden="1" x14ac:dyDescent="0.15"/>
    <row r="53964" hidden="1" x14ac:dyDescent="0.15"/>
    <row r="53965" hidden="1" x14ac:dyDescent="0.15"/>
    <row r="53966" hidden="1" x14ac:dyDescent="0.15"/>
    <row r="53967" hidden="1" x14ac:dyDescent="0.15"/>
    <row r="53968" hidden="1" x14ac:dyDescent="0.15"/>
    <row r="53969" hidden="1" x14ac:dyDescent="0.15"/>
    <row r="53970" hidden="1" x14ac:dyDescent="0.15"/>
    <row r="53971" hidden="1" x14ac:dyDescent="0.15"/>
    <row r="53972" hidden="1" x14ac:dyDescent="0.15"/>
    <row r="53973" hidden="1" x14ac:dyDescent="0.15"/>
    <row r="53974" hidden="1" x14ac:dyDescent="0.15"/>
    <row r="53975" hidden="1" x14ac:dyDescent="0.15"/>
    <row r="53976" hidden="1" x14ac:dyDescent="0.15"/>
    <row r="53977" hidden="1" x14ac:dyDescent="0.15"/>
    <row r="53978" hidden="1" x14ac:dyDescent="0.15"/>
    <row r="53979" hidden="1" x14ac:dyDescent="0.15"/>
    <row r="53980" hidden="1" x14ac:dyDescent="0.15"/>
    <row r="53981" hidden="1" x14ac:dyDescent="0.15"/>
    <row r="53982" hidden="1" x14ac:dyDescent="0.15"/>
    <row r="53983" hidden="1" x14ac:dyDescent="0.15"/>
    <row r="53984" hidden="1" x14ac:dyDescent="0.15"/>
    <row r="53985" hidden="1" x14ac:dyDescent="0.15"/>
    <row r="53986" hidden="1" x14ac:dyDescent="0.15"/>
    <row r="53987" hidden="1" x14ac:dyDescent="0.15"/>
    <row r="53988" hidden="1" x14ac:dyDescent="0.15"/>
    <row r="53989" hidden="1" x14ac:dyDescent="0.15"/>
    <row r="53990" hidden="1" x14ac:dyDescent="0.15"/>
    <row r="53991" hidden="1" x14ac:dyDescent="0.15"/>
    <row r="53992" hidden="1" x14ac:dyDescent="0.15"/>
    <row r="53993" hidden="1" x14ac:dyDescent="0.15"/>
    <row r="53994" hidden="1" x14ac:dyDescent="0.15"/>
    <row r="53995" hidden="1" x14ac:dyDescent="0.15"/>
    <row r="53996" hidden="1" x14ac:dyDescent="0.15"/>
    <row r="53997" hidden="1" x14ac:dyDescent="0.15"/>
    <row r="53998" hidden="1" x14ac:dyDescent="0.15"/>
    <row r="53999" hidden="1" x14ac:dyDescent="0.15"/>
    <row r="54000" hidden="1" x14ac:dyDescent="0.15"/>
    <row r="54001" hidden="1" x14ac:dyDescent="0.15"/>
    <row r="54002" hidden="1" x14ac:dyDescent="0.15"/>
    <row r="54003" hidden="1" x14ac:dyDescent="0.15"/>
    <row r="54004" hidden="1" x14ac:dyDescent="0.15"/>
    <row r="54005" hidden="1" x14ac:dyDescent="0.15"/>
    <row r="54006" hidden="1" x14ac:dyDescent="0.15"/>
    <row r="54007" hidden="1" x14ac:dyDescent="0.15"/>
    <row r="54008" hidden="1" x14ac:dyDescent="0.15"/>
    <row r="54009" hidden="1" x14ac:dyDescent="0.15"/>
    <row r="54010" hidden="1" x14ac:dyDescent="0.15"/>
    <row r="54011" hidden="1" x14ac:dyDescent="0.15"/>
    <row r="54012" hidden="1" x14ac:dyDescent="0.15"/>
    <row r="54013" hidden="1" x14ac:dyDescent="0.15"/>
    <row r="54014" hidden="1" x14ac:dyDescent="0.15"/>
    <row r="54015" hidden="1" x14ac:dyDescent="0.15"/>
    <row r="54016" hidden="1" x14ac:dyDescent="0.15"/>
    <row r="54017" hidden="1" x14ac:dyDescent="0.15"/>
    <row r="54018" hidden="1" x14ac:dyDescent="0.15"/>
    <row r="54019" hidden="1" x14ac:dyDescent="0.15"/>
    <row r="54020" hidden="1" x14ac:dyDescent="0.15"/>
    <row r="54021" hidden="1" x14ac:dyDescent="0.15"/>
    <row r="54022" hidden="1" x14ac:dyDescent="0.15"/>
    <row r="54023" hidden="1" x14ac:dyDescent="0.15"/>
    <row r="54024" hidden="1" x14ac:dyDescent="0.15"/>
    <row r="54025" hidden="1" x14ac:dyDescent="0.15"/>
    <row r="54026" hidden="1" x14ac:dyDescent="0.15"/>
    <row r="54027" hidden="1" x14ac:dyDescent="0.15"/>
    <row r="54028" hidden="1" x14ac:dyDescent="0.15"/>
    <row r="54029" hidden="1" x14ac:dyDescent="0.15"/>
    <row r="54030" hidden="1" x14ac:dyDescent="0.15"/>
    <row r="54031" hidden="1" x14ac:dyDescent="0.15"/>
    <row r="54032" hidden="1" x14ac:dyDescent="0.15"/>
    <row r="54033" hidden="1" x14ac:dyDescent="0.15"/>
    <row r="54034" hidden="1" x14ac:dyDescent="0.15"/>
    <row r="54035" hidden="1" x14ac:dyDescent="0.15"/>
    <row r="54036" hidden="1" x14ac:dyDescent="0.15"/>
    <row r="54037" hidden="1" x14ac:dyDescent="0.15"/>
    <row r="54038" hidden="1" x14ac:dyDescent="0.15"/>
    <row r="54039" hidden="1" x14ac:dyDescent="0.15"/>
    <row r="54040" hidden="1" x14ac:dyDescent="0.15"/>
    <row r="54041" hidden="1" x14ac:dyDescent="0.15"/>
    <row r="54042" hidden="1" x14ac:dyDescent="0.15"/>
    <row r="54043" hidden="1" x14ac:dyDescent="0.15"/>
    <row r="54044" hidden="1" x14ac:dyDescent="0.15"/>
    <row r="54045" hidden="1" x14ac:dyDescent="0.15"/>
    <row r="54046" hidden="1" x14ac:dyDescent="0.15"/>
    <row r="54047" hidden="1" x14ac:dyDescent="0.15"/>
    <row r="54048" hidden="1" x14ac:dyDescent="0.15"/>
    <row r="54049" hidden="1" x14ac:dyDescent="0.15"/>
    <row r="54050" hidden="1" x14ac:dyDescent="0.15"/>
    <row r="54051" hidden="1" x14ac:dyDescent="0.15"/>
    <row r="54052" hidden="1" x14ac:dyDescent="0.15"/>
    <row r="54053" hidden="1" x14ac:dyDescent="0.15"/>
    <row r="54054" hidden="1" x14ac:dyDescent="0.15"/>
    <row r="54055" hidden="1" x14ac:dyDescent="0.15"/>
    <row r="54056" hidden="1" x14ac:dyDescent="0.15"/>
    <row r="54057" hidden="1" x14ac:dyDescent="0.15"/>
    <row r="54058" hidden="1" x14ac:dyDescent="0.15"/>
    <row r="54059" hidden="1" x14ac:dyDescent="0.15"/>
    <row r="54060" hidden="1" x14ac:dyDescent="0.15"/>
    <row r="54061" hidden="1" x14ac:dyDescent="0.15"/>
    <row r="54062" hidden="1" x14ac:dyDescent="0.15"/>
    <row r="54063" hidden="1" x14ac:dyDescent="0.15"/>
    <row r="54064" hidden="1" x14ac:dyDescent="0.15"/>
    <row r="54065" hidden="1" x14ac:dyDescent="0.15"/>
    <row r="54066" hidden="1" x14ac:dyDescent="0.15"/>
    <row r="54067" hidden="1" x14ac:dyDescent="0.15"/>
    <row r="54068" hidden="1" x14ac:dyDescent="0.15"/>
    <row r="54069" hidden="1" x14ac:dyDescent="0.15"/>
    <row r="54070" hidden="1" x14ac:dyDescent="0.15"/>
    <row r="54071" hidden="1" x14ac:dyDescent="0.15"/>
    <row r="54072" hidden="1" x14ac:dyDescent="0.15"/>
    <row r="54073" hidden="1" x14ac:dyDescent="0.15"/>
    <row r="54074" hidden="1" x14ac:dyDescent="0.15"/>
    <row r="54075" hidden="1" x14ac:dyDescent="0.15"/>
    <row r="54076" hidden="1" x14ac:dyDescent="0.15"/>
    <row r="54077" hidden="1" x14ac:dyDescent="0.15"/>
    <row r="54078" hidden="1" x14ac:dyDescent="0.15"/>
    <row r="54079" hidden="1" x14ac:dyDescent="0.15"/>
    <row r="54080" hidden="1" x14ac:dyDescent="0.15"/>
    <row r="54081" hidden="1" x14ac:dyDescent="0.15"/>
    <row r="54082" hidden="1" x14ac:dyDescent="0.15"/>
    <row r="54083" hidden="1" x14ac:dyDescent="0.15"/>
    <row r="54084" hidden="1" x14ac:dyDescent="0.15"/>
    <row r="54085" hidden="1" x14ac:dyDescent="0.15"/>
    <row r="54086" hidden="1" x14ac:dyDescent="0.15"/>
    <row r="54087" hidden="1" x14ac:dyDescent="0.15"/>
    <row r="54088" hidden="1" x14ac:dyDescent="0.15"/>
    <row r="54089" hidden="1" x14ac:dyDescent="0.15"/>
    <row r="54090" hidden="1" x14ac:dyDescent="0.15"/>
    <row r="54091" hidden="1" x14ac:dyDescent="0.15"/>
    <row r="54092" hidden="1" x14ac:dyDescent="0.15"/>
    <row r="54093" hidden="1" x14ac:dyDescent="0.15"/>
    <row r="54094" hidden="1" x14ac:dyDescent="0.15"/>
    <row r="54095" hidden="1" x14ac:dyDescent="0.15"/>
    <row r="54096" hidden="1" x14ac:dyDescent="0.15"/>
    <row r="54097" hidden="1" x14ac:dyDescent="0.15"/>
    <row r="54098" hidden="1" x14ac:dyDescent="0.15"/>
    <row r="54099" hidden="1" x14ac:dyDescent="0.15"/>
    <row r="54100" hidden="1" x14ac:dyDescent="0.15"/>
    <row r="54101" hidden="1" x14ac:dyDescent="0.15"/>
    <row r="54102" hidden="1" x14ac:dyDescent="0.15"/>
    <row r="54103" hidden="1" x14ac:dyDescent="0.15"/>
    <row r="54104" hidden="1" x14ac:dyDescent="0.15"/>
    <row r="54105" hidden="1" x14ac:dyDescent="0.15"/>
    <row r="54106" hidden="1" x14ac:dyDescent="0.15"/>
    <row r="54107" hidden="1" x14ac:dyDescent="0.15"/>
    <row r="54108" hidden="1" x14ac:dyDescent="0.15"/>
    <row r="54109" hidden="1" x14ac:dyDescent="0.15"/>
    <row r="54110" hidden="1" x14ac:dyDescent="0.15"/>
    <row r="54111" hidden="1" x14ac:dyDescent="0.15"/>
    <row r="54112" hidden="1" x14ac:dyDescent="0.15"/>
    <row r="54113" hidden="1" x14ac:dyDescent="0.15"/>
    <row r="54114" hidden="1" x14ac:dyDescent="0.15"/>
    <row r="54115" hidden="1" x14ac:dyDescent="0.15"/>
    <row r="54116" hidden="1" x14ac:dyDescent="0.15"/>
    <row r="54117" hidden="1" x14ac:dyDescent="0.15"/>
    <row r="54118" hidden="1" x14ac:dyDescent="0.15"/>
    <row r="54119" hidden="1" x14ac:dyDescent="0.15"/>
    <row r="54120" hidden="1" x14ac:dyDescent="0.15"/>
    <row r="54121" hidden="1" x14ac:dyDescent="0.15"/>
    <row r="54122" hidden="1" x14ac:dyDescent="0.15"/>
    <row r="54123" hidden="1" x14ac:dyDescent="0.15"/>
    <row r="54124" hidden="1" x14ac:dyDescent="0.15"/>
    <row r="54125" hidden="1" x14ac:dyDescent="0.15"/>
    <row r="54126" hidden="1" x14ac:dyDescent="0.15"/>
    <row r="54127" hidden="1" x14ac:dyDescent="0.15"/>
    <row r="54128" hidden="1" x14ac:dyDescent="0.15"/>
    <row r="54129" hidden="1" x14ac:dyDescent="0.15"/>
    <row r="54130" hidden="1" x14ac:dyDescent="0.15"/>
    <row r="54131" hidden="1" x14ac:dyDescent="0.15"/>
    <row r="54132" hidden="1" x14ac:dyDescent="0.15"/>
    <row r="54133" hidden="1" x14ac:dyDescent="0.15"/>
    <row r="54134" hidden="1" x14ac:dyDescent="0.15"/>
    <row r="54135" hidden="1" x14ac:dyDescent="0.15"/>
    <row r="54136" hidden="1" x14ac:dyDescent="0.15"/>
    <row r="54137" hidden="1" x14ac:dyDescent="0.15"/>
    <row r="54138" hidden="1" x14ac:dyDescent="0.15"/>
    <row r="54139" hidden="1" x14ac:dyDescent="0.15"/>
    <row r="54140" hidden="1" x14ac:dyDescent="0.15"/>
    <row r="54141" hidden="1" x14ac:dyDescent="0.15"/>
    <row r="54142" hidden="1" x14ac:dyDescent="0.15"/>
    <row r="54143" hidden="1" x14ac:dyDescent="0.15"/>
    <row r="54144" hidden="1" x14ac:dyDescent="0.15"/>
    <row r="54145" hidden="1" x14ac:dyDescent="0.15"/>
    <row r="54146" hidden="1" x14ac:dyDescent="0.15"/>
    <row r="54147" hidden="1" x14ac:dyDescent="0.15"/>
    <row r="54148" hidden="1" x14ac:dyDescent="0.15"/>
    <row r="54149" hidden="1" x14ac:dyDescent="0.15"/>
    <row r="54150" hidden="1" x14ac:dyDescent="0.15"/>
    <row r="54151" hidden="1" x14ac:dyDescent="0.15"/>
    <row r="54152" hidden="1" x14ac:dyDescent="0.15"/>
    <row r="54153" hidden="1" x14ac:dyDescent="0.15"/>
    <row r="54154" hidden="1" x14ac:dyDescent="0.15"/>
    <row r="54155" hidden="1" x14ac:dyDescent="0.15"/>
    <row r="54156" hidden="1" x14ac:dyDescent="0.15"/>
    <row r="54157" hidden="1" x14ac:dyDescent="0.15"/>
    <row r="54158" hidden="1" x14ac:dyDescent="0.15"/>
    <row r="54159" hidden="1" x14ac:dyDescent="0.15"/>
    <row r="54160" hidden="1" x14ac:dyDescent="0.15"/>
    <row r="54161" hidden="1" x14ac:dyDescent="0.15"/>
    <row r="54162" hidden="1" x14ac:dyDescent="0.15"/>
    <row r="54163" hidden="1" x14ac:dyDescent="0.15"/>
    <row r="54164" hidden="1" x14ac:dyDescent="0.15"/>
    <row r="54165" hidden="1" x14ac:dyDescent="0.15"/>
    <row r="54166" hidden="1" x14ac:dyDescent="0.15"/>
    <row r="54167" hidden="1" x14ac:dyDescent="0.15"/>
    <row r="54168" hidden="1" x14ac:dyDescent="0.15"/>
    <row r="54169" hidden="1" x14ac:dyDescent="0.15"/>
    <row r="54170" hidden="1" x14ac:dyDescent="0.15"/>
    <row r="54171" hidden="1" x14ac:dyDescent="0.15"/>
    <row r="54172" hidden="1" x14ac:dyDescent="0.15"/>
    <row r="54173" hidden="1" x14ac:dyDescent="0.15"/>
    <row r="54174" hidden="1" x14ac:dyDescent="0.15"/>
    <row r="54175" hidden="1" x14ac:dyDescent="0.15"/>
    <row r="54176" hidden="1" x14ac:dyDescent="0.15"/>
    <row r="54177" hidden="1" x14ac:dyDescent="0.15"/>
    <row r="54178" hidden="1" x14ac:dyDescent="0.15"/>
    <row r="54179" hidden="1" x14ac:dyDescent="0.15"/>
    <row r="54180" hidden="1" x14ac:dyDescent="0.15"/>
    <row r="54181" hidden="1" x14ac:dyDescent="0.15"/>
    <row r="54182" hidden="1" x14ac:dyDescent="0.15"/>
    <row r="54183" hidden="1" x14ac:dyDescent="0.15"/>
    <row r="54184" hidden="1" x14ac:dyDescent="0.15"/>
    <row r="54185" hidden="1" x14ac:dyDescent="0.15"/>
    <row r="54186" hidden="1" x14ac:dyDescent="0.15"/>
    <row r="54187" hidden="1" x14ac:dyDescent="0.15"/>
    <row r="54188" hidden="1" x14ac:dyDescent="0.15"/>
    <row r="54189" hidden="1" x14ac:dyDescent="0.15"/>
    <row r="54190" hidden="1" x14ac:dyDescent="0.15"/>
    <row r="54191" hidden="1" x14ac:dyDescent="0.15"/>
    <row r="54192" hidden="1" x14ac:dyDescent="0.15"/>
    <row r="54193" hidden="1" x14ac:dyDescent="0.15"/>
    <row r="54194" hidden="1" x14ac:dyDescent="0.15"/>
    <row r="54195" hidden="1" x14ac:dyDescent="0.15"/>
    <row r="54196" hidden="1" x14ac:dyDescent="0.15"/>
    <row r="54197" hidden="1" x14ac:dyDescent="0.15"/>
    <row r="54198" hidden="1" x14ac:dyDescent="0.15"/>
    <row r="54199" hidden="1" x14ac:dyDescent="0.15"/>
    <row r="54200" hidden="1" x14ac:dyDescent="0.15"/>
    <row r="54201" hidden="1" x14ac:dyDescent="0.15"/>
    <row r="54202" hidden="1" x14ac:dyDescent="0.15"/>
    <row r="54203" hidden="1" x14ac:dyDescent="0.15"/>
    <row r="54204" hidden="1" x14ac:dyDescent="0.15"/>
    <row r="54205" hidden="1" x14ac:dyDescent="0.15"/>
    <row r="54206" hidden="1" x14ac:dyDescent="0.15"/>
    <row r="54207" hidden="1" x14ac:dyDescent="0.15"/>
    <row r="54208" hidden="1" x14ac:dyDescent="0.15"/>
    <row r="54209" hidden="1" x14ac:dyDescent="0.15"/>
    <row r="54210" hidden="1" x14ac:dyDescent="0.15"/>
    <row r="54211" hidden="1" x14ac:dyDescent="0.15"/>
    <row r="54212" hidden="1" x14ac:dyDescent="0.15"/>
    <row r="54213" hidden="1" x14ac:dyDescent="0.15"/>
    <row r="54214" hidden="1" x14ac:dyDescent="0.15"/>
    <row r="54215" hidden="1" x14ac:dyDescent="0.15"/>
    <row r="54216" hidden="1" x14ac:dyDescent="0.15"/>
    <row r="54217" hidden="1" x14ac:dyDescent="0.15"/>
    <row r="54218" hidden="1" x14ac:dyDescent="0.15"/>
    <row r="54219" hidden="1" x14ac:dyDescent="0.15"/>
    <row r="54220" hidden="1" x14ac:dyDescent="0.15"/>
    <row r="54221" hidden="1" x14ac:dyDescent="0.15"/>
    <row r="54222" hidden="1" x14ac:dyDescent="0.15"/>
    <row r="54223" hidden="1" x14ac:dyDescent="0.15"/>
    <row r="54224" hidden="1" x14ac:dyDescent="0.15"/>
    <row r="54225" hidden="1" x14ac:dyDescent="0.15"/>
    <row r="54226" hidden="1" x14ac:dyDescent="0.15"/>
    <row r="54227" hidden="1" x14ac:dyDescent="0.15"/>
    <row r="54228" hidden="1" x14ac:dyDescent="0.15"/>
    <row r="54229" hidden="1" x14ac:dyDescent="0.15"/>
    <row r="54230" hidden="1" x14ac:dyDescent="0.15"/>
    <row r="54231" hidden="1" x14ac:dyDescent="0.15"/>
    <row r="54232" hidden="1" x14ac:dyDescent="0.15"/>
    <row r="54233" hidden="1" x14ac:dyDescent="0.15"/>
    <row r="54234" hidden="1" x14ac:dyDescent="0.15"/>
    <row r="54235" hidden="1" x14ac:dyDescent="0.15"/>
    <row r="54236" hidden="1" x14ac:dyDescent="0.15"/>
    <row r="54237" hidden="1" x14ac:dyDescent="0.15"/>
    <row r="54238" hidden="1" x14ac:dyDescent="0.15"/>
    <row r="54239" hidden="1" x14ac:dyDescent="0.15"/>
    <row r="54240" hidden="1" x14ac:dyDescent="0.15"/>
    <row r="54241" hidden="1" x14ac:dyDescent="0.15"/>
    <row r="54242" hidden="1" x14ac:dyDescent="0.15"/>
    <row r="54243" hidden="1" x14ac:dyDescent="0.15"/>
    <row r="54244" hidden="1" x14ac:dyDescent="0.15"/>
    <row r="54245" hidden="1" x14ac:dyDescent="0.15"/>
    <row r="54246" hidden="1" x14ac:dyDescent="0.15"/>
    <row r="54247" hidden="1" x14ac:dyDescent="0.15"/>
    <row r="54248" hidden="1" x14ac:dyDescent="0.15"/>
    <row r="54249" hidden="1" x14ac:dyDescent="0.15"/>
    <row r="54250" hidden="1" x14ac:dyDescent="0.15"/>
    <row r="54251" hidden="1" x14ac:dyDescent="0.15"/>
    <row r="54252" hidden="1" x14ac:dyDescent="0.15"/>
    <row r="54253" hidden="1" x14ac:dyDescent="0.15"/>
    <row r="54254" hidden="1" x14ac:dyDescent="0.15"/>
    <row r="54255" hidden="1" x14ac:dyDescent="0.15"/>
    <row r="54256" hidden="1" x14ac:dyDescent="0.15"/>
    <row r="54257" hidden="1" x14ac:dyDescent="0.15"/>
    <row r="54258" hidden="1" x14ac:dyDescent="0.15"/>
    <row r="54259" hidden="1" x14ac:dyDescent="0.15"/>
    <row r="54260" hidden="1" x14ac:dyDescent="0.15"/>
    <row r="54261" hidden="1" x14ac:dyDescent="0.15"/>
    <row r="54262" hidden="1" x14ac:dyDescent="0.15"/>
    <row r="54263" hidden="1" x14ac:dyDescent="0.15"/>
    <row r="54264" hidden="1" x14ac:dyDescent="0.15"/>
    <row r="54265" hidden="1" x14ac:dyDescent="0.15"/>
    <row r="54266" hidden="1" x14ac:dyDescent="0.15"/>
    <row r="54267" hidden="1" x14ac:dyDescent="0.15"/>
    <row r="54268" hidden="1" x14ac:dyDescent="0.15"/>
    <row r="54269" hidden="1" x14ac:dyDescent="0.15"/>
    <row r="54270" hidden="1" x14ac:dyDescent="0.15"/>
    <row r="54271" hidden="1" x14ac:dyDescent="0.15"/>
    <row r="54272" hidden="1" x14ac:dyDescent="0.15"/>
    <row r="54273" hidden="1" x14ac:dyDescent="0.15"/>
    <row r="54274" hidden="1" x14ac:dyDescent="0.15"/>
    <row r="54275" hidden="1" x14ac:dyDescent="0.15"/>
    <row r="54276" hidden="1" x14ac:dyDescent="0.15"/>
    <row r="54277" hidden="1" x14ac:dyDescent="0.15"/>
    <row r="54278" hidden="1" x14ac:dyDescent="0.15"/>
    <row r="54279" hidden="1" x14ac:dyDescent="0.15"/>
    <row r="54280" hidden="1" x14ac:dyDescent="0.15"/>
    <row r="54281" hidden="1" x14ac:dyDescent="0.15"/>
    <row r="54282" hidden="1" x14ac:dyDescent="0.15"/>
    <row r="54283" hidden="1" x14ac:dyDescent="0.15"/>
    <row r="54284" hidden="1" x14ac:dyDescent="0.15"/>
    <row r="54285" hidden="1" x14ac:dyDescent="0.15"/>
    <row r="54286" hidden="1" x14ac:dyDescent="0.15"/>
    <row r="54287" hidden="1" x14ac:dyDescent="0.15"/>
    <row r="54288" hidden="1" x14ac:dyDescent="0.15"/>
    <row r="54289" hidden="1" x14ac:dyDescent="0.15"/>
    <row r="54290" hidden="1" x14ac:dyDescent="0.15"/>
    <row r="54291" hidden="1" x14ac:dyDescent="0.15"/>
    <row r="54292" hidden="1" x14ac:dyDescent="0.15"/>
    <row r="54293" hidden="1" x14ac:dyDescent="0.15"/>
    <row r="54294" hidden="1" x14ac:dyDescent="0.15"/>
    <row r="54295" hidden="1" x14ac:dyDescent="0.15"/>
    <row r="54296" hidden="1" x14ac:dyDescent="0.15"/>
    <row r="54297" hidden="1" x14ac:dyDescent="0.15"/>
    <row r="54298" hidden="1" x14ac:dyDescent="0.15"/>
    <row r="54299" hidden="1" x14ac:dyDescent="0.15"/>
    <row r="54300" hidden="1" x14ac:dyDescent="0.15"/>
    <row r="54301" hidden="1" x14ac:dyDescent="0.15"/>
    <row r="54302" hidden="1" x14ac:dyDescent="0.15"/>
    <row r="54303" hidden="1" x14ac:dyDescent="0.15"/>
    <row r="54304" hidden="1" x14ac:dyDescent="0.15"/>
    <row r="54305" hidden="1" x14ac:dyDescent="0.15"/>
    <row r="54306" hidden="1" x14ac:dyDescent="0.15"/>
    <row r="54307" hidden="1" x14ac:dyDescent="0.15"/>
    <row r="54308" hidden="1" x14ac:dyDescent="0.15"/>
    <row r="54309" hidden="1" x14ac:dyDescent="0.15"/>
    <row r="54310" hidden="1" x14ac:dyDescent="0.15"/>
    <row r="54311" hidden="1" x14ac:dyDescent="0.15"/>
    <row r="54312" hidden="1" x14ac:dyDescent="0.15"/>
    <row r="54313" hidden="1" x14ac:dyDescent="0.15"/>
    <row r="54314" hidden="1" x14ac:dyDescent="0.15"/>
    <row r="54315" hidden="1" x14ac:dyDescent="0.15"/>
    <row r="54316" hidden="1" x14ac:dyDescent="0.15"/>
    <row r="54317" hidden="1" x14ac:dyDescent="0.15"/>
    <row r="54318" hidden="1" x14ac:dyDescent="0.15"/>
    <row r="54319" hidden="1" x14ac:dyDescent="0.15"/>
    <row r="54320" hidden="1" x14ac:dyDescent="0.15"/>
    <row r="54321" hidden="1" x14ac:dyDescent="0.15"/>
    <row r="54322" hidden="1" x14ac:dyDescent="0.15"/>
    <row r="54323" hidden="1" x14ac:dyDescent="0.15"/>
    <row r="54324" hidden="1" x14ac:dyDescent="0.15"/>
    <row r="54325" hidden="1" x14ac:dyDescent="0.15"/>
    <row r="54326" hidden="1" x14ac:dyDescent="0.15"/>
    <row r="54327" hidden="1" x14ac:dyDescent="0.15"/>
    <row r="54328" hidden="1" x14ac:dyDescent="0.15"/>
    <row r="54329" hidden="1" x14ac:dyDescent="0.15"/>
    <row r="54330" hidden="1" x14ac:dyDescent="0.15"/>
    <row r="54331" hidden="1" x14ac:dyDescent="0.15"/>
    <row r="54332" hidden="1" x14ac:dyDescent="0.15"/>
    <row r="54333" hidden="1" x14ac:dyDescent="0.15"/>
    <row r="54334" hidden="1" x14ac:dyDescent="0.15"/>
    <row r="54335" hidden="1" x14ac:dyDescent="0.15"/>
    <row r="54336" hidden="1" x14ac:dyDescent="0.15"/>
    <row r="54337" hidden="1" x14ac:dyDescent="0.15"/>
    <row r="54338" hidden="1" x14ac:dyDescent="0.15"/>
    <row r="54339" hidden="1" x14ac:dyDescent="0.15"/>
    <row r="54340" hidden="1" x14ac:dyDescent="0.15"/>
    <row r="54341" hidden="1" x14ac:dyDescent="0.15"/>
    <row r="54342" hidden="1" x14ac:dyDescent="0.15"/>
    <row r="54343" hidden="1" x14ac:dyDescent="0.15"/>
    <row r="54344" hidden="1" x14ac:dyDescent="0.15"/>
    <row r="54345" hidden="1" x14ac:dyDescent="0.15"/>
    <row r="54346" hidden="1" x14ac:dyDescent="0.15"/>
    <row r="54347" hidden="1" x14ac:dyDescent="0.15"/>
    <row r="54348" hidden="1" x14ac:dyDescent="0.15"/>
    <row r="54349" hidden="1" x14ac:dyDescent="0.15"/>
    <row r="54350" hidden="1" x14ac:dyDescent="0.15"/>
    <row r="54351" hidden="1" x14ac:dyDescent="0.15"/>
    <row r="54352" hidden="1" x14ac:dyDescent="0.15"/>
    <row r="54353" hidden="1" x14ac:dyDescent="0.15"/>
    <row r="54354" hidden="1" x14ac:dyDescent="0.15"/>
    <row r="54355" hidden="1" x14ac:dyDescent="0.15"/>
    <row r="54356" hidden="1" x14ac:dyDescent="0.15"/>
    <row r="54357" hidden="1" x14ac:dyDescent="0.15"/>
    <row r="54358" hidden="1" x14ac:dyDescent="0.15"/>
    <row r="54359" hidden="1" x14ac:dyDescent="0.15"/>
    <row r="54360" hidden="1" x14ac:dyDescent="0.15"/>
    <row r="54361" hidden="1" x14ac:dyDescent="0.15"/>
    <row r="54362" hidden="1" x14ac:dyDescent="0.15"/>
    <row r="54363" hidden="1" x14ac:dyDescent="0.15"/>
    <row r="54364" hidden="1" x14ac:dyDescent="0.15"/>
    <row r="54365" hidden="1" x14ac:dyDescent="0.15"/>
    <row r="54366" hidden="1" x14ac:dyDescent="0.15"/>
    <row r="54367" hidden="1" x14ac:dyDescent="0.15"/>
    <row r="54368" hidden="1" x14ac:dyDescent="0.15"/>
    <row r="54369" hidden="1" x14ac:dyDescent="0.15"/>
    <row r="54370" hidden="1" x14ac:dyDescent="0.15"/>
    <row r="54371" hidden="1" x14ac:dyDescent="0.15"/>
    <row r="54372" hidden="1" x14ac:dyDescent="0.15"/>
    <row r="54373" hidden="1" x14ac:dyDescent="0.15"/>
    <row r="54374" hidden="1" x14ac:dyDescent="0.15"/>
    <row r="54375" hidden="1" x14ac:dyDescent="0.15"/>
    <row r="54376" hidden="1" x14ac:dyDescent="0.15"/>
    <row r="54377" hidden="1" x14ac:dyDescent="0.15"/>
    <row r="54378" hidden="1" x14ac:dyDescent="0.15"/>
    <row r="54379" hidden="1" x14ac:dyDescent="0.15"/>
    <row r="54380" hidden="1" x14ac:dyDescent="0.15"/>
    <row r="54381" hidden="1" x14ac:dyDescent="0.15"/>
    <row r="54382" hidden="1" x14ac:dyDescent="0.15"/>
    <row r="54383" hidden="1" x14ac:dyDescent="0.15"/>
    <row r="54384" hidden="1" x14ac:dyDescent="0.15"/>
    <row r="54385" hidden="1" x14ac:dyDescent="0.15"/>
    <row r="54386" hidden="1" x14ac:dyDescent="0.15"/>
    <row r="54387" hidden="1" x14ac:dyDescent="0.15"/>
    <row r="54388" hidden="1" x14ac:dyDescent="0.15"/>
    <row r="54389" hidden="1" x14ac:dyDescent="0.15"/>
    <row r="54390" hidden="1" x14ac:dyDescent="0.15"/>
    <row r="54391" hidden="1" x14ac:dyDescent="0.15"/>
    <row r="54392" hidden="1" x14ac:dyDescent="0.15"/>
    <row r="54393" hidden="1" x14ac:dyDescent="0.15"/>
    <row r="54394" hidden="1" x14ac:dyDescent="0.15"/>
    <row r="54395" hidden="1" x14ac:dyDescent="0.15"/>
    <row r="54396" hidden="1" x14ac:dyDescent="0.15"/>
    <row r="54397" hidden="1" x14ac:dyDescent="0.15"/>
    <row r="54398" hidden="1" x14ac:dyDescent="0.15"/>
    <row r="54399" hidden="1" x14ac:dyDescent="0.15"/>
    <row r="54400" hidden="1" x14ac:dyDescent="0.15"/>
    <row r="54401" hidden="1" x14ac:dyDescent="0.15"/>
    <row r="54402" hidden="1" x14ac:dyDescent="0.15"/>
    <row r="54403" hidden="1" x14ac:dyDescent="0.15"/>
    <row r="54404" hidden="1" x14ac:dyDescent="0.15"/>
    <row r="54405" hidden="1" x14ac:dyDescent="0.15"/>
    <row r="54406" hidden="1" x14ac:dyDescent="0.15"/>
    <row r="54407" hidden="1" x14ac:dyDescent="0.15"/>
    <row r="54408" hidden="1" x14ac:dyDescent="0.15"/>
    <row r="54409" hidden="1" x14ac:dyDescent="0.15"/>
    <row r="54410" hidden="1" x14ac:dyDescent="0.15"/>
    <row r="54411" hidden="1" x14ac:dyDescent="0.15"/>
    <row r="54412" hidden="1" x14ac:dyDescent="0.15"/>
    <row r="54413" hidden="1" x14ac:dyDescent="0.15"/>
    <row r="54414" hidden="1" x14ac:dyDescent="0.15"/>
    <row r="54415" hidden="1" x14ac:dyDescent="0.15"/>
    <row r="54416" hidden="1" x14ac:dyDescent="0.15"/>
    <row r="54417" hidden="1" x14ac:dyDescent="0.15"/>
    <row r="54418" hidden="1" x14ac:dyDescent="0.15"/>
    <row r="54419" hidden="1" x14ac:dyDescent="0.15"/>
    <row r="54420" hidden="1" x14ac:dyDescent="0.15"/>
    <row r="54421" hidden="1" x14ac:dyDescent="0.15"/>
    <row r="54422" hidden="1" x14ac:dyDescent="0.15"/>
    <row r="54423" hidden="1" x14ac:dyDescent="0.15"/>
    <row r="54424" hidden="1" x14ac:dyDescent="0.15"/>
    <row r="54425" hidden="1" x14ac:dyDescent="0.15"/>
    <row r="54426" hidden="1" x14ac:dyDescent="0.15"/>
    <row r="54427" hidden="1" x14ac:dyDescent="0.15"/>
    <row r="54428" hidden="1" x14ac:dyDescent="0.15"/>
    <row r="54429" hidden="1" x14ac:dyDescent="0.15"/>
    <row r="54430" hidden="1" x14ac:dyDescent="0.15"/>
    <row r="54431" hidden="1" x14ac:dyDescent="0.15"/>
    <row r="54432" hidden="1" x14ac:dyDescent="0.15"/>
    <row r="54433" hidden="1" x14ac:dyDescent="0.15"/>
    <row r="54434" hidden="1" x14ac:dyDescent="0.15"/>
    <row r="54435" hidden="1" x14ac:dyDescent="0.15"/>
    <row r="54436" hidden="1" x14ac:dyDescent="0.15"/>
    <row r="54437" hidden="1" x14ac:dyDescent="0.15"/>
    <row r="54438" hidden="1" x14ac:dyDescent="0.15"/>
    <row r="54439" hidden="1" x14ac:dyDescent="0.15"/>
    <row r="54440" hidden="1" x14ac:dyDescent="0.15"/>
    <row r="54441" hidden="1" x14ac:dyDescent="0.15"/>
    <row r="54442" hidden="1" x14ac:dyDescent="0.15"/>
    <row r="54443" hidden="1" x14ac:dyDescent="0.15"/>
    <row r="54444" hidden="1" x14ac:dyDescent="0.15"/>
    <row r="54445" hidden="1" x14ac:dyDescent="0.15"/>
    <row r="54446" hidden="1" x14ac:dyDescent="0.15"/>
    <row r="54447" hidden="1" x14ac:dyDescent="0.15"/>
    <row r="54448" hidden="1" x14ac:dyDescent="0.15"/>
    <row r="54449" hidden="1" x14ac:dyDescent="0.15"/>
    <row r="54450" hidden="1" x14ac:dyDescent="0.15"/>
    <row r="54451" hidden="1" x14ac:dyDescent="0.15"/>
    <row r="54452" hidden="1" x14ac:dyDescent="0.15"/>
    <row r="54453" hidden="1" x14ac:dyDescent="0.15"/>
    <row r="54454" hidden="1" x14ac:dyDescent="0.15"/>
    <row r="54455" hidden="1" x14ac:dyDescent="0.15"/>
    <row r="54456" hidden="1" x14ac:dyDescent="0.15"/>
    <row r="54457" hidden="1" x14ac:dyDescent="0.15"/>
    <row r="54458" hidden="1" x14ac:dyDescent="0.15"/>
    <row r="54459" hidden="1" x14ac:dyDescent="0.15"/>
    <row r="54460" hidden="1" x14ac:dyDescent="0.15"/>
    <row r="54461" hidden="1" x14ac:dyDescent="0.15"/>
    <row r="54462" hidden="1" x14ac:dyDescent="0.15"/>
    <row r="54463" hidden="1" x14ac:dyDescent="0.15"/>
    <row r="54464" hidden="1" x14ac:dyDescent="0.15"/>
    <row r="54465" hidden="1" x14ac:dyDescent="0.15"/>
    <row r="54466" hidden="1" x14ac:dyDescent="0.15"/>
    <row r="54467" hidden="1" x14ac:dyDescent="0.15"/>
    <row r="54468" hidden="1" x14ac:dyDescent="0.15"/>
    <row r="54469" hidden="1" x14ac:dyDescent="0.15"/>
    <row r="54470" hidden="1" x14ac:dyDescent="0.15"/>
    <row r="54471" hidden="1" x14ac:dyDescent="0.15"/>
    <row r="54472" hidden="1" x14ac:dyDescent="0.15"/>
    <row r="54473" hidden="1" x14ac:dyDescent="0.15"/>
    <row r="54474" hidden="1" x14ac:dyDescent="0.15"/>
    <row r="54475" hidden="1" x14ac:dyDescent="0.15"/>
    <row r="54476" hidden="1" x14ac:dyDescent="0.15"/>
    <row r="54477" hidden="1" x14ac:dyDescent="0.15"/>
    <row r="54478" hidden="1" x14ac:dyDescent="0.15"/>
    <row r="54479" hidden="1" x14ac:dyDescent="0.15"/>
    <row r="54480" hidden="1" x14ac:dyDescent="0.15"/>
    <row r="54481" hidden="1" x14ac:dyDescent="0.15"/>
    <row r="54482" hidden="1" x14ac:dyDescent="0.15"/>
    <row r="54483" hidden="1" x14ac:dyDescent="0.15"/>
    <row r="54484" hidden="1" x14ac:dyDescent="0.15"/>
    <row r="54485" hidden="1" x14ac:dyDescent="0.15"/>
    <row r="54486" hidden="1" x14ac:dyDescent="0.15"/>
    <row r="54487" hidden="1" x14ac:dyDescent="0.15"/>
    <row r="54488" hidden="1" x14ac:dyDescent="0.15"/>
    <row r="54489" hidden="1" x14ac:dyDescent="0.15"/>
    <row r="54490" hidden="1" x14ac:dyDescent="0.15"/>
    <row r="54491" hidden="1" x14ac:dyDescent="0.15"/>
    <row r="54492" hidden="1" x14ac:dyDescent="0.15"/>
    <row r="54493" hidden="1" x14ac:dyDescent="0.15"/>
    <row r="54494" hidden="1" x14ac:dyDescent="0.15"/>
    <row r="54495" hidden="1" x14ac:dyDescent="0.15"/>
    <row r="54496" hidden="1" x14ac:dyDescent="0.15"/>
    <row r="54497" hidden="1" x14ac:dyDescent="0.15"/>
    <row r="54498" hidden="1" x14ac:dyDescent="0.15"/>
    <row r="54499" hidden="1" x14ac:dyDescent="0.15"/>
    <row r="54500" hidden="1" x14ac:dyDescent="0.15"/>
    <row r="54501" hidden="1" x14ac:dyDescent="0.15"/>
    <row r="54502" hidden="1" x14ac:dyDescent="0.15"/>
    <row r="54503" hidden="1" x14ac:dyDescent="0.15"/>
    <row r="54504" hidden="1" x14ac:dyDescent="0.15"/>
    <row r="54505" hidden="1" x14ac:dyDescent="0.15"/>
    <row r="54506" hidden="1" x14ac:dyDescent="0.15"/>
    <row r="54507" hidden="1" x14ac:dyDescent="0.15"/>
    <row r="54508" hidden="1" x14ac:dyDescent="0.15"/>
    <row r="54509" hidden="1" x14ac:dyDescent="0.15"/>
    <row r="54510" hidden="1" x14ac:dyDescent="0.15"/>
    <row r="54511" hidden="1" x14ac:dyDescent="0.15"/>
    <row r="54512" hidden="1" x14ac:dyDescent="0.15"/>
    <row r="54513" hidden="1" x14ac:dyDescent="0.15"/>
    <row r="54514" hidden="1" x14ac:dyDescent="0.15"/>
    <row r="54515" hidden="1" x14ac:dyDescent="0.15"/>
    <row r="54516" hidden="1" x14ac:dyDescent="0.15"/>
    <row r="54517" hidden="1" x14ac:dyDescent="0.15"/>
    <row r="54518" hidden="1" x14ac:dyDescent="0.15"/>
    <row r="54519" hidden="1" x14ac:dyDescent="0.15"/>
    <row r="54520" hidden="1" x14ac:dyDescent="0.15"/>
    <row r="54521" hidden="1" x14ac:dyDescent="0.15"/>
    <row r="54522" hidden="1" x14ac:dyDescent="0.15"/>
    <row r="54523" hidden="1" x14ac:dyDescent="0.15"/>
    <row r="54524" hidden="1" x14ac:dyDescent="0.15"/>
    <row r="54525" hidden="1" x14ac:dyDescent="0.15"/>
    <row r="54526" hidden="1" x14ac:dyDescent="0.15"/>
    <row r="54527" hidden="1" x14ac:dyDescent="0.15"/>
    <row r="54528" hidden="1" x14ac:dyDescent="0.15"/>
    <row r="54529" hidden="1" x14ac:dyDescent="0.15"/>
    <row r="54530" hidden="1" x14ac:dyDescent="0.15"/>
    <row r="54531" hidden="1" x14ac:dyDescent="0.15"/>
    <row r="54532" hidden="1" x14ac:dyDescent="0.15"/>
    <row r="54533" hidden="1" x14ac:dyDescent="0.15"/>
    <row r="54534" hidden="1" x14ac:dyDescent="0.15"/>
    <row r="54535" hidden="1" x14ac:dyDescent="0.15"/>
    <row r="54536" hidden="1" x14ac:dyDescent="0.15"/>
    <row r="54537" hidden="1" x14ac:dyDescent="0.15"/>
    <row r="54538" hidden="1" x14ac:dyDescent="0.15"/>
    <row r="54539" hidden="1" x14ac:dyDescent="0.15"/>
    <row r="54540" hidden="1" x14ac:dyDescent="0.15"/>
    <row r="54541" hidden="1" x14ac:dyDescent="0.15"/>
    <row r="54542" hidden="1" x14ac:dyDescent="0.15"/>
    <row r="54543" hidden="1" x14ac:dyDescent="0.15"/>
    <row r="54544" hidden="1" x14ac:dyDescent="0.15"/>
    <row r="54545" hidden="1" x14ac:dyDescent="0.15"/>
    <row r="54546" hidden="1" x14ac:dyDescent="0.15"/>
    <row r="54547" hidden="1" x14ac:dyDescent="0.15"/>
    <row r="54548" hidden="1" x14ac:dyDescent="0.15"/>
    <row r="54549" hidden="1" x14ac:dyDescent="0.15"/>
    <row r="54550" hidden="1" x14ac:dyDescent="0.15"/>
    <row r="54551" hidden="1" x14ac:dyDescent="0.15"/>
    <row r="54552" hidden="1" x14ac:dyDescent="0.15"/>
    <row r="54553" hidden="1" x14ac:dyDescent="0.15"/>
    <row r="54554" hidden="1" x14ac:dyDescent="0.15"/>
    <row r="54555" hidden="1" x14ac:dyDescent="0.15"/>
    <row r="54556" hidden="1" x14ac:dyDescent="0.15"/>
    <row r="54557" hidden="1" x14ac:dyDescent="0.15"/>
    <row r="54558" hidden="1" x14ac:dyDescent="0.15"/>
    <row r="54559" hidden="1" x14ac:dyDescent="0.15"/>
    <row r="54560" hidden="1" x14ac:dyDescent="0.15"/>
    <row r="54561" hidden="1" x14ac:dyDescent="0.15"/>
    <row r="54562" hidden="1" x14ac:dyDescent="0.15"/>
    <row r="54563" hidden="1" x14ac:dyDescent="0.15"/>
    <row r="54564" hidden="1" x14ac:dyDescent="0.15"/>
    <row r="54565" hidden="1" x14ac:dyDescent="0.15"/>
    <row r="54566" hidden="1" x14ac:dyDescent="0.15"/>
    <row r="54567" hidden="1" x14ac:dyDescent="0.15"/>
    <row r="54568" hidden="1" x14ac:dyDescent="0.15"/>
    <row r="54569" hidden="1" x14ac:dyDescent="0.15"/>
    <row r="54570" hidden="1" x14ac:dyDescent="0.15"/>
    <row r="54571" hidden="1" x14ac:dyDescent="0.15"/>
    <row r="54572" hidden="1" x14ac:dyDescent="0.15"/>
    <row r="54573" hidden="1" x14ac:dyDescent="0.15"/>
    <row r="54574" hidden="1" x14ac:dyDescent="0.15"/>
    <row r="54575" hidden="1" x14ac:dyDescent="0.15"/>
    <row r="54576" hidden="1" x14ac:dyDescent="0.15"/>
    <row r="54577" hidden="1" x14ac:dyDescent="0.15"/>
    <row r="54578" hidden="1" x14ac:dyDescent="0.15"/>
    <row r="54579" hidden="1" x14ac:dyDescent="0.15"/>
    <row r="54580" hidden="1" x14ac:dyDescent="0.15"/>
    <row r="54581" hidden="1" x14ac:dyDescent="0.15"/>
    <row r="54582" hidden="1" x14ac:dyDescent="0.15"/>
    <row r="54583" hidden="1" x14ac:dyDescent="0.15"/>
    <row r="54584" hidden="1" x14ac:dyDescent="0.15"/>
    <row r="54585" hidden="1" x14ac:dyDescent="0.15"/>
    <row r="54586" hidden="1" x14ac:dyDescent="0.15"/>
    <row r="54587" hidden="1" x14ac:dyDescent="0.15"/>
    <row r="54588" hidden="1" x14ac:dyDescent="0.15"/>
    <row r="54589" hidden="1" x14ac:dyDescent="0.15"/>
    <row r="54590" hidden="1" x14ac:dyDescent="0.15"/>
    <row r="54591" hidden="1" x14ac:dyDescent="0.15"/>
    <row r="54592" hidden="1" x14ac:dyDescent="0.15"/>
    <row r="54593" hidden="1" x14ac:dyDescent="0.15"/>
    <row r="54594" hidden="1" x14ac:dyDescent="0.15"/>
    <row r="54595" hidden="1" x14ac:dyDescent="0.15"/>
    <row r="54596" hidden="1" x14ac:dyDescent="0.15"/>
    <row r="54597" hidden="1" x14ac:dyDescent="0.15"/>
    <row r="54598" hidden="1" x14ac:dyDescent="0.15"/>
    <row r="54599" hidden="1" x14ac:dyDescent="0.15"/>
    <row r="54600" hidden="1" x14ac:dyDescent="0.15"/>
    <row r="54601" hidden="1" x14ac:dyDescent="0.15"/>
    <row r="54602" hidden="1" x14ac:dyDescent="0.15"/>
    <row r="54603" hidden="1" x14ac:dyDescent="0.15"/>
    <row r="54604" hidden="1" x14ac:dyDescent="0.15"/>
    <row r="54605" hidden="1" x14ac:dyDescent="0.15"/>
    <row r="54606" hidden="1" x14ac:dyDescent="0.15"/>
    <row r="54607" hidden="1" x14ac:dyDescent="0.15"/>
    <row r="54608" hidden="1" x14ac:dyDescent="0.15"/>
    <row r="54609" hidden="1" x14ac:dyDescent="0.15"/>
    <row r="54610" hidden="1" x14ac:dyDescent="0.15"/>
    <row r="54611" hidden="1" x14ac:dyDescent="0.15"/>
    <row r="54612" hidden="1" x14ac:dyDescent="0.15"/>
    <row r="54613" hidden="1" x14ac:dyDescent="0.15"/>
    <row r="54614" hidden="1" x14ac:dyDescent="0.15"/>
    <row r="54615" hidden="1" x14ac:dyDescent="0.15"/>
    <row r="54616" hidden="1" x14ac:dyDescent="0.15"/>
    <row r="54617" hidden="1" x14ac:dyDescent="0.15"/>
    <row r="54618" hidden="1" x14ac:dyDescent="0.15"/>
    <row r="54619" hidden="1" x14ac:dyDescent="0.15"/>
    <row r="54620" hidden="1" x14ac:dyDescent="0.15"/>
    <row r="54621" hidden="1" x14ac:dyDescent="0.15"/>
    <row r="54622" hidden="1" x14ac:dyDescent="0.15"/>
    <row r="54623" hidden="1" x14ac:dyDescent="0.15"/>
    <row r="54624" hidden="1" x14ac:dyDescent="0.15"/>
    <row r="54625" hidden="1" x14ac:dyDescent="0.15"/>
    <row r="54626" hidden="1" x14ac:dyDescent="0.15"/>
    <row r="54627" hidden="1" x14ac:dyDescent="0.15"/>
    <row r="54628" hidden="1" x14ac:dyDescent="0.15"/>
    <row r="54629" hidden="1" x14ac:dyDescent="0.15"/>
    <row r="54630" hidden="1" x14ac:dyDescent="0.15"/>
    <row r="54631" hidden="1" x14ac:dyDescent="0.15"/>
    <row r="54632" hidden="1" x14ac:dyDescent="0.15"/>
    <row r="54633" hidden="1" x14ac:dyDescent="0.15"/>
    <row r="54634" hidden="1" x14ac:dyDescent="0.15"/>
    <row r="54635" hidden="1" x14ac:dyDescent="0.15"/>
    <row r="54636" hidden="1" x14ac:dyDescent="0.15"/>
    <row r="54637" hidden="1" x14ac:dyDescent="0.15"/>
    <row r="54638" hidden="1" x14ac:dyDescent="0.15"/>
    <row r="54639" hidden="1" x14ac:dyDescent="0.15"/>
    <row r="54640" hidden="1" x14ac:dyDescent="0.15"/>
    <row r="54641" hidden="1" x14ac:dyDescent="0.15"/>
    <row r="54642" hidden="1" x14ac:dyDescent="0.15"/>
    <row r="54643" hidden="1" x14ac:dyDescent="0.15"/>
    <row r="54644" hidden="1" x14ac:dyDescent="0.15"/>
    <row r="54645" hidden="1" x14ac:dyDescent="0.15"/>
    <row r="54646" hidden="1" x14ac:dyDescent="0.15"/>
    <row r="54647" hidden="1" x14ac:dyDescent="0.15"/>
    <row r="54648" hidden="1" x14ac:dyDescent="0.15"/>
    <row r="54649" hidden="1" x14ac:dyDescent="0.15"/>
    <row r="54650" hidden="1" x14ac:dyDescent="0.15"/>
    <row r="54651" hidden="1" x14ac:dyDescent="0.15"/>
    <row r="54652" hidden="1" x14ac:dyDescent="0.15"/>
    <row r="54653" hidden="1" x14ac:dyDescent="0.15"/>
    <row r="54654" hidden="1" x14ac:dyDescent="0.15"/>
    <row r="54655" hidden="1" x14ac:dyDescent="0.15"/>
    <row r="54656" hidden="1" x14ac:dyDescent="0.15"/>
    <row r="54657" hidden="1" x14ac:dyDescent="0.15"/>
    <row r="54658" hidden="1" x14ac:dyDescent="0.15"/>
    <row r="54659" hidden="1" x14ac:dyDescent="0.15"/>
    <row r="54660" hidden="1" x14ac:dyDescent="0.15"/>
    <row r="54661" hidden="1" x14ac:dyDescent="0.15"/>
    <row r="54662" hidden="1" x14ac:dyDescent="0.15"/>
    <row r="54663" hidden="1" x14ac:dyDescent="0.15"/>
    <row r="54664" hidden="1" x14ac:dyDescent="0.15"/>
    <row r="54665" hidden="1" x14ac:dyDescent="0.15"/>
    <row r="54666" hidden="1" x14ac:dyDescent="0.15"/>
    <row r="54667" hidden="1" x14ac:dyDescent="0.15"/>
    <row r="54668" hidden="1" x14ac:dyDescent="0.15"/>
    <row r="54669" hidden="1" x14ac:dyDescent="0.15"/>
    <row r="54670" hidden="1" x14ac:dyDescent="0.15"/>
    <row r="54671" hidden="1" x14ac:dyDescent="0.15"/>
    <row r="54672" hidden="1" x14ac:dyDescent="0.15"/>
    <row r="54673" hidden="1" x14ac:dyDescent="0.15"/>
    <row r="54674" hidden="1" x14ac:dyDescent="0.15"/>
    <row r="54675" hidden="1" x14ac:dyDescent="0.15"/>
    <row r="54676" hidden="1" x14ac:dyDescent="0.15"/>
    <row r="54677" hidden="1" x14ac:dyDescent="0.15"/>
    <row r="54678" hidden="1" x14ac:dyDescent="0.15"/>
    <row r="54679" hidden="1" x14ac:dyDescent="0.15"/>
    <row r="54680" hidden="1" x14ac:dyDescent="0.15"/>
    <row r="54681" hidden="1" x14ac:dyDescent="0.15"/>
    <row r="54682" hidden="1" x14ac:dyDescent="0.15"/>
    <row r="54683" hidden="1" x14ac:dyDescent="0.15"/>
    <row r="54684" hidden="1" x14ac:dyDescent="0.15"/>
    <row r="54685" hidden="1" x14ac:dyDescent="0.15"/>
    <row r="54686" hidden="1" x14ac:dyDescent="0.15"/>
    <row r="54687" hidden="1" x14ac:dyDescent="0.15"/>
    <row r="54688" hidden="1" x14ac:dyDescent="0.15"/>
    <row r="54689" hidden="1" x14ac:dyDescent="0.15"/>
    <row r="54690" hidden="1" x14ac:dyDescent="0.15"/>
    <row r="54691" hidden="1" x14ac:dyDescent="0.15"/>
    <row r="54692" hidden="1" x14ac:dyDescent="0.15"/>
    <row r="54693" hidden="1" x14ac:dyDescent="0.15"/>
    <row r="54694" hidden="1" x14ac:dyDescent="0.15"/>
    <row r="54695" hidden="1" x14ac:dyDescent="0.15"/>
    <row r="54696" hidden="1" x14ac:dyDescent="0.15"/>
    <row r="54697" hidden="1" x14ac:dyDescent="0.15"/>
    <row r="54698" hidden="1" x14ac:dyDescent="0.15"/>
    <row r="54699" hidden="1" x14ac:dyDescent="0.15"/>
    <row r="54700" hidden="1" x14ac:dyDescent="0.15"/>
    <row r="54701" hidden="1" x14ac:dyDescent="0.15"/>
    <row r="54702" hidden="1" x14ac:dyDescent="0.15"/>
    <row r="54703" hidden="1" x14ac:dyDescent="0.15"/>
    <row r="54704" hidden="1" x14ac:dyDescent="0.15"/>
    <row r="54705" hidden="1" x14ac:dyDescent="0.15"/>
    <row r="54706" hidden="1" x14ac:dyDescent="0.15"/>
    <row r="54707" hidden="1" x14ac:dyDescent="0.15"/>
    <row r="54708" hidden="1" x14ac:dyDescent="0.15"/>
    <row r="54709" hidden="1" x14ac:dyDescent="0.15"/>
    <row r="54710" hidden="1" x14ac:dyDescent="0.15"/>
    <row r="54711" hidden="1" x14ac:dyDescent="0.15"/>
    <row r="54712" hidden="1" x14ac:dyDescent="0.15"/>
    <row r="54713" hidden="1" x14ac:dyDescent="0.15"/>
    <row r="54714" hidden="1" x14ac:dyDescent="0.15"/>
    <row r="54715" hidden="1" x14ac:dyDescent="0.15"/>
    <row r="54716" hidden="1" x14ac:dyDescent="0.15"/>
    <row r="54717" hidden="1" x14ac:dyDescent="0.15"/>
    <row r="54718" hidden="1" x14ac:dyDescent="0.15"/>
    <row r="54719" hidden="1" x14ac:dyDescent="0.15"/>
    <row r="54720" hidden="1" x14ac:dyDescent="0.15"/>
    <row r="54721" hidden="1" x14ac:dyDescent="0.15"/>
    <row r="54722" hidden="1" x14ac:dyDescent="0.15"/>
    <row r="54723" hidden="1" x14ac:dyDescent="0.15"/>
    <row r="54724" hidden="1" x14ac:dyDescent="0.15"/>
    <row r="54725" hidden="1" x14ac:dyDescent="0.15"/>
    <row r="54726" hidden="1" x14ac:dyDescent="0.15"/>
    <row r="54727" hidden="1" x14ac:dyDescent="0.15"/>
    <row r="54728" hidden="1" x14ac:dyDescent="0.15"/>
    <row r="54729" hidden="1" x14ac:dyDescent="0.15"/>
    <row r="54730" hidden="1" x14ac:dyDescent="0.15"/>
    <row r="54731" hidden="1" x14ac:dyDescent="0.15"/>
    <row r="54732" hidden="1" x14ac:dyDescent="0.15"/>
    <row r="54733" hidden="1" x14ac:dyDescent="0.15"/>
    <row r="54734" hidden="1" x14ac:dyDescent="0.15"/>
    <row r="54735" hidden="1" x14ac:dyDescent="0.15"/>
    <row r="54736" hidden="1" x14ac:dyDescent="0.15"/>
    <row r="54737" hidden="1" x14ac:dyDescent="0.15"/>
    <row r="54738" hidden="1" x14ac:dyDescent="0.15"/>
    <row r="54739" hidden="1" x14ac:dyDescent="0.15"/>
    <row r="54740" hidden="1" x14ac:dyDescent="0.15"/>
    <row r="54741" hidden="1" x14ac:dyDescent="0.15"/>
    <row r="54742" hidden="1" x14ac:dyDescent="0.15"/>
    <row r="54743" hidden="1" x14ac:dyDescent="0.15"/>
    <row r="54744" hidden="1" x14ac:dyDescent="0.15"/>
    <row r="54745" hidden="1" x14ac:dyDescent="0.15"/>
    <row r="54746" hidden="1" x14ac:dyDescent="0.15"/>
    <row r="54747" hidden="1" x14ac:dyDescent="0.15"/>
    <row r="54748" hidden="1" x14ac:dyDescent="0.15"/>
    <row r="54749" hidden="1" x14ac:dyDescent="0.15"/>
    <row r="54750" hidden="1" x14ac:dyDescent="0.15"/>
    <row r="54751" hidden="1" x14ac:dyDescent="0.15"/>
    <row r="54752" hidden="1" x14ac:dyDescent="0.15"/>
    <row r="54753" hidden="1" x14ac:dyDescent="0.15"/>
    <row r="54754" hidden="1" x14ac:dyDescent="0.15"/>
    <row r="54755" hidden="1" x14ac:dyDescent="0.15"/>
    <row r="54756" hidden="1" x14ac:dyDescent="0.15"/>
    <row r="54757" hidden="1" x14ac:dyDescent="0.15"/>
    <row r="54758" hidden="1" x14ac:dyDescent="0.15"/>
    <row r="54759" hidden="1" x14ac:dyDescent="0.15"/>
    <row r="54760" hidden="1" x14ac:dyDescent="0.15"/>
    <row r="54761" hidden="1" x14ac:dyDescent="0.15"/>
    <row r="54762" hidden="1" x14ac:dyDescent="0.15"/>
    <row r="54763" hidden="1" x14ac:dyDescent="0.15"/>
    <row r="54764" hidden="1" x14ac:dyDescent="0.15"/>
    <row r="54765" hidden="1" x14ac:dyDescent="0.15"/>
    <row r="54766" hidden="1" x14ac:dyDescent="0.15"/>
    <row r="54767" hidden="1" x14ac:dyDescent="0.15"/>
    <row r="54768" hidden="1" x14ac:dyDescent="0.15"/>
    <row r="54769" hidden="1" x14ac:dyDescent="0.15"/>
    <row r="54770" hidden="1" x14ac:dyDescent="0.15"/>
    <row r="54771" hidden="1" x14ac:dyDescent="0.15"/>
    <row r="54772" hidden="1" x14ac:dyDescent="0.15"/>
    <row r="54773" hidden="1" x14ac:dyDescent="0.15"/>
    <row r="54774" hidden="1" x14ac:dyDescent="0.15"/>
    <row r="54775" hidden="1" x14ac:dyDescent="0.15"/>
    <row r="54776" hidden="1" x14ac:dyDescent="0.15"/>
    <row r="54777" hidden="1" x14ac:dyDescent="0.15"/>
    <row r="54778" hidden="1" x14ac:dyDescent="0.15"/>
    <row r="54779" hidden="1" x14ac:dyDescent="0.15"/>
    <row r="54780" hidden="1" x14ac:dyDescent="0.15"/>
    <row r="54781" hidden="1" x14ac:dyDescent="0.15"/>
    <row r="54782" hidden="1" x14ac:dyDescent="0.15"/>
    <row r="54783" hidden="1" x14ac:dyDescent="0.15"/>
    <row r="54784" hidden="1" x14ac:dyDescent="0.15"/>
    <row r="54785" hidden="1" x14ac:dyDescent="0.15"/>
    <row r="54786" hidden="1" x14ac:dyDescent="0.15"/>
    <row r="54787" hidden="1" x14ac:dyDescent="0.15"/>
    <row r="54788" hidden="1" x14ac:dyDescent="0.15"/>
    <row r="54789" hidden="1" x14ac:dyDescent="0.15"/>
    <row r="54790" hidden="1" x14ac:dyDescent="0.15"/>
    <row r="54791" hidden="1" x14ac:dyDescent="0.15"/>
    <row r="54792" hidden="1" x14ac:dyDescent="0.15"/>
    <row r="54793" hidden="1" x14ac:dyDescent="0.15"/>
    <row r="54794" hidden="1" x14ac:dyDescent="0.15"/>
    <row r="54795" hidden="1" x14ac:dyDescent="0.15"/>
    <row r="54796" hidden="1" x14ac:dyDescent="0.15"/>
    <row r="54797" hidden="1" x14ac:dyDescent="0.15"/>
    <row r="54798" hidden="1" x14ac:dyDescent="0.15"/>
    <row r="54799" hidden="1" x14ac:dyDescent="0.15"/>
    <row r="54800" hidden="1" x14ac:dyDescent="0.15"/>
    <row r="54801" hidden="1" x14ac:dyDescent="0.15"/>
    <row r="54802" hidden="1" x14ac:dyDescent="0.15"/>
    <row r="54803" hidden="1" x14ac:dyDescent="0.15"/>
    <row r="54804" hidden="1" x14ac:dyDescent="0.15"/>
    <row r="54805" hidden="1" x14ac:dyDescent="0.15"/>
    <row r="54806" hidden="1" x14ac:dyDescent="0.15"/>
    <row r="54807" hidden="1" x14ac:dyDescent="0.15"/>
    <row r="54808" hidden="1" x14ac:dyDescent="0.15"/>
    <row r="54809" hidden="1" x14ac:dyDescent="0.15"/>
    <row r="54810" hidden="1" x14ac:dyDescent="0.15"/>
    <row r="54811" hidden="1" x14ac:dyDescent="0.15"/>
    <row r="54812" hidden="1" x14ac:dyDescent="0.15"/>
    <row r="54813" hidden="1" x14ac:dyDescent="0.15"/>
    <row r="54814" hidden="1" x14ac:dyDescent="0.15"/>
    <row r="54815" hidden="1" x14ac:dyDescent="0.15"/>
    <row r="54816" hidden="1" x14ac:dyDescent="0.15"/>
    <row r="54817" hidden="1" x14ac:dyDescent="0.15"/>
    <row r="54818" hidden="1" x14ac:dyDescent="0.15"/>
    <row r="54819" hidden="1" x14ac:dyDescent="0.15"/>
    <row r="54820" hidden="1" x14ac:dyDescent="0.15"/>
    <row r="54821" hidden="1" x14ac:dyDescent="0.15"/>
    <row r="54822" hidden="1" x14ac:dyDescent="0.15"/>
    <row r="54823" hidden="1" x14ac:dyDescent="0.15"/>
    <row r="54824" hidden="1" x14ac:dyDescent="0.15"/>
    <row r="54825" hidden="1" x14ac:dyDescent="0.15"/>
    <row r="54826" hidden="1" x14ac:dyDescent="0.15"/>
    <row r="54827" hidden="1" x14ac:dyDescent="0.15"/>
    <row r="54828" hidden="1" x14ac:dyDescent="0.15"/>
    <row r="54829" hidden="1" x14ac:dyDescent="0.15"/>
    <row r="54830" hidden="1" x14ac:dyDescent="0.15"/>
    <row r="54831" hidden="1" x14ac:dyDescent="0.15"/>
    <row r="54832" hidden="1" x14ac:dyDescent="0.15"/>
    <row r="54833" hidden="1" x14ac:dyDescent="0.15"/>
    <row r="54834" hidden="1" x14ac:dyDescent="0.15"/>
    <row r="54835" hidden="1" x14ac:dyDescent="0.15"/>
    <row r="54836" hidden="1" x14ac:dyDescent="0.15"/>
    <row r="54837" hidden="1" x14ac:dyDescent="0.15"/>
    <row r="54838" hidden="1" x14ac:dyDescent="0.15"/>
    <row r="54839" hidden="1" x14ac:dyDescent="0.15"/>
    <row r="54840" hidden="1" x14ac:dyDescent="0.15"/>
    <row r="54841" hidden="1" x14ac:dyDescent="0.15"/>
    <row r="54842" hidden="1" x14ac:dyDescent="0.15"/>
    <row r="54843" hidden="1" x14ac:dyDescent="0.15"/>
    <row r="54844" hidden="1" x14ac:dyDescent="0.15"/>
    <row r="54845" hidden="1" x14ac:dyDescent="0.15"/>
    <row r="54846" hidden="1" x14ac:dyDescent="0.15"/>
    <row r="54847" hidden="1" x14ac:dyDescent="0.15"/>
    <row r="54848" hidden="1" x14ac:dyDescent="0.15"/>
    <row r="54849" hidden="1" x14ac:dyDescent="0.15"/>
    <row r="54850" hidden="1" x14ac:dyDescent="0.15"/>
    <row r="54851" hidden="1" x14ac:dyDescent="0.15"/>
    <row r="54852" hidden="1" x14ac:dyDescent="0.15"/>
    <row r="54853" hidden="1" x14ac:dyDescent="0.15"/>
    <row r="54854" hidden="1" x14ac:dyDescent="0.15"/>
    <row r="54855" hidden="1" x14ac:dyDescent="0.15"/>
    <row r="54856" hidden="1" x14ac:dyDescent="0.15"/>
    <row r="54857" hidden="1" x14ac:dyDescent="0.15"/>
    <row r="54858" hidden="1" x14ac:dyDescent="0.15"/>
    <row r="54859" hidden="1" x14ac:dyDescent="0.15"/>
    <row r="54860" hidden="1" x14ac:dyDescent="0.15"/>
    <row r="54861" hidden="1" x14ac:dyDescent="0.15"/>
    <row r="54862" hidden="1" x14ac:dyDescent="0.15"/>
    <row r="54863" hidden="1" x14ac:dyDescent="0.15"/>
    <row r="54864" hidden="1" x14ac:dyDescent="0.15"/>
    <row r="54865" hidden="1" x14ac:dyDescent="0.15"/>
    <row r="54866" hidden="1" x14ac:dyDescent="0.15"/>
    <row r="54867" hidden="1" x14ac:dyDescent="0.15"/>
    <row r="54868" hidden="1" x14ac:dyDescent="0.15"/>
    <row r="54869" hidden="1" x14ac:dyDescent="0.15"/>
    <row r="54870" hidden="1" x14ac:dyDescent="0.15"/>
    <row r="54871" hidden="1" x14ac:dyDescent="0.15"/>
    <row r="54872" hidden="1" x14ac:dyDescent="0.15"/>
    <row r="54873" hidden="1" x14ac:dyDescent="0.15"/>
    <row r="54874" hidden="1" x14ac:dyDescent="0.15"/>
    <row r="54875" hidden="1" x14ac:dyDescent="0.15"/>
    <row r="54876" hidden="1" x14ac:dyDescent="0.15"/>
    <row r="54877" hidden="1" x14ac:dyDescent="0.15"/>
    <row r="54878" hidden="1" x14ac:dyDescent="0.15"/>
    <row r="54879" hidden="1" x14ac:dyDescent="0.15"/>
    <row r="54880" hidden="1" x14ac:dyDescent="0.15"/>
    <row r="54881" hidden="1" x14ac:dyDescent="0.15"/>
    <row r="54882" hidden="1" x14ac:dyDescent="0.15"/>
    <row r="54883" hidden="1" x14ac:dyDescent="0.15"/>
    <row r="54884" hidden="1" x14ac:dyDescent="0.15"/>
    <row r="54885" hidden="1" x14ac:dyDescent="0.15"/>
    <row r="54886" hidden="1" x14ac:dyDescent="0.15"/>
    <row r="54887" hidden="1" x14ac:dyDescent="0.15"/>
    <row r="54888" hidden="1" x14ac:dyDescent="0.15"/>
    <row r="54889" hidden="1" x14ac:dyDescent="0.15"/>
    <row r="54890" hidden="1" x14ac:dyDescent="0.15"/>
    <row r="54891" hidden="1" x14ac:dyDescent="0.15"/>
    <row r="54892" hidden="1" x14ac:dyDescent="0.15"/>
    <row r="54893" hidden="1" x14ac:dyDescent="0.15"/>
    <row r="54894" hidden="1" x14ac:dyDescent="0.15"/>
    <row r="54895" hidden="1" x14ac:dyDescent="0.15"/>
    <row r="54896" hidden="1" x14ac:dyDescent="0.15"/>
    <row r="54897" hidden="1" x14ac:dyDescent="0.15"/>
    <row r="54898" hidden="1" x14ac:dyDescent="0.15"/>
    <row r="54899" hidden="1" x14ac:dyDescent="0.15"/>
    <row r="54900" hidden="1" x14ac:dyDescent="0.15"/>
    <row r="54901" hidden="1" x14ac:dyDescent="0.15"/>
    <row r="54902" hidden="1" x14ac:dyDescent="0.15"/>
    <row r="54903" hidden="1" x14ac:dyDescent="0.15"/>
    <row r="54904" hidden="1" x14ac:dyDescent="0.15"/>
    <row r="54905" hidden="1" x14ac:dyDescent="0.15"/>
    <row r="54906" hidden="1" x14ac:dyDescent="0.15"/>
    <row r="54907" hidden="1" x14ac:dyDescent="0.15"/>
    <row r="54908" hidden="1" x14ac:dyDescent="0.15"/>
    <row r="54909" hidden="1" x14ac:dyDescent="0.15"/>
    <row r="54910" hidden="1" x14ac:dyDescent="0.15"/>
    <row r="54911" hidden="1" x14ac:dyDescent="0.15"/>
    <row r="54912" hidden="1" x14ac:dyDescent="0.15"/>
    <row r="54913" hidden="1" x14ac:dyDescent="0.15"/>
    <row r="54914" hidden="1" x14ac:dyDescent="0.15"/>
    <row r="54915" hidden="1" x14ac:dyDescent="0.15"/>
    <row r="54916" hidden="1" x14ac:dyDescent="0.15"/>
    <row r="54917" hidden="1" x14ac:dyDescent="0.15"/>
    <row r="54918" hidden="1" x14ac:dyDescent="0.15"/>
    <row r="54919" hidden="1" x14ac:dyDescent="0.15"/>
    <row r="54920" hidden="1" x14ac:dyDescent="0.15"/>
    <row r="54921" hidden="1" x14ac:dyDescent="0.15"/>
    <row r="54922" hidden="1" x14ac:dyDescent="0.15"/>
    <row r="54923" hidden="1" x14ac:dyDescent="0.15"/>
    <row r="54924" hidden="1" x14ac:dyDescent="0.15"/>
    <row r="54925" hidden="1" x14ac:dyDescent="0.15"/>
    <row r="54926" hidden="1" x14ac:dyDescent="0.15"/>
    <row r="54927" hidden="1" x14ac:dyDescent="0.15"/>
    <row r="54928" hidden="1" x14ac:dyDescent="0.15"/>
    <row r="54929" hidden="1" x14ac:dyDescent="0.15"/>
    <row r="54930" hidden="1" x14ac:dyDescent="0.15"/>
    <row r="54931" hidden="1" x14ac:dyDescent="0.15"/>
    <row r="54932" hidden="1" x14ac:dyDescent="0.15"/>
    <row r="54933" hidden="1" x14ac:dyDescent="0.15"/>
    <row r="54934" hidden="1" x14ac:dyDescent="0.15"/>
    <row r="54935" hidden="1" x14ac:dyDescent="0.15"/>
    <row r="54936" hidden="1" x14ac:dyDescent="0.15"/>
    <row r="54937" hidden="1" x14ac:dyDescent="0.15"/>
    <row r="54938" hidden="1" x14ac:dyDescent="0.15"/>
    <row r="54939" hidden="1" x14ac:dyDescent="0.15"/>
    <row r="54940" hidden="1" x14ac:dyDescent="0.15"/>
    <row r="54941" hidden="1" x14ac:dyDescent="0.15"/>
    <row r="54942" hidden="1" x14ac:dyDescent="0.15"/>
    <row r="54943" hidden="1" x14ac:dyDescent="0.15"/>
    <row r="54944" hidden="1" x14ac:dyDescent="0.15"/>
    <row r="54945" hidden="1" x14ac:dyDescent="0.15"/>
    <row r="54946" hidden="1" x14ac:dyDescent="0.15"/>
    <row r="54947" hidden="1" x14ac:dyDescent="0.15"/>
    <row r="54948" hidden="1" x14ac:dyDescent="0.15"/>
    <row r="54949" hidden="1" x14ac:dyDescent="0.15"/>
    <row r="54950" hidden="1" x14ac:dyDescent="0.15"/>
    <row r="54951" hidden="1" x14ac:dyDescent="0.15"/>
    <row r="54952" hidden="1" x14ac:dyDescent="0.15"/>
    <row r="54953" hidden="1" x14ac:dyDescent="0.15"/>
    <row r="54954" hidden="1" x14ac:dyDescent="0.15"/>
    <row r="54955" hidden="1" x14ac:dyDescent="0.15"/>
    <row r="54956" hidden="1" x14ac:dyDescent="0.15"/>
    <row r="54957" hidden="1" x14ac:dyDescent="0.15"/>
    <row r="54958" hidden="1" x14ac:dyDescent="0.15"/>
    <row r="54959" hidden="1" x14ac:dyDescent="0.15"/>
    <row r="54960" hidden="1" x14ac:dyDescent="0.15"/>
    <row r="54961" hidden="1" x14ac:dyDescent="0.15"/>
    <row r="54962" hidden="1" x14ac:dyDescent="0.15"/>
    <row r="54963" hidden="1" x14ac:dyDescent="0.15"/>
    <row r="54964" hidden="1" x14ac:dyDescent="0.15"/>
    <row r="54965" hidden="1" x14ac:dyDescent="0.15"/>
    <row r="54966" hidden="1" x14ac:dyDescent="0.15"/>
    <row r="54967" hidden="1" x14ac:dyDescent="0.15"/>
    <row r="54968" hidden="1" x14ac:dyDescent="0.15"/>
    <row r="54969" hidden="1" x14ac:dyDescent="0.15"/>
    <row r="54970" hidden="1" x14ac:dyDescent="0.15"/>
    <row r="54971" hidden="1" x14ac:dyDescent="0.15"/>
    <row r="54972" hidden="1" x14ac:dyDescent="0.15"/>
    <row r="54973" hidden="1" x14ac:dyDescent="0.15"/>
    <row r="54974" hidden="1" x14ac:dyDescent="0.15"/>
    <row r="54975" hidden="1" x14ac:dyDescent="0.15"/>
    <row r="54976" hidden="1" x14ac:dyDescent="0.15"/>
    <row r="54977" hidden="1" x14ac:dyDescent="0.15"/>
    <row r="54978" hidden="1" x14ac:dyDescent="0.15"/>
    <row r="54979" hidden="1" x14ac:dyDescent="0.15"/>
    <row r="54980" hidden="1" x14ac:dyDescent="0.15"/>
    <row r="54981" hidden="1" x14ac:dyDescent="0.15"/>
    <row r="54982" hidden="1" x14ac:dyDescent="0.15"/>
    <row r="54983" hidden="1" x14ac:dyDescent="0.15"/>
    <row r="54984" hidden="1" x14ac:dyDescent="0.15"/>
    <row r="54985" hidden="1" x14ac:dyDescent="0.15"/>
    <row r="54986" hidden="1" x14ac:dyDescent="0.15"/>
    <row r="54987" hidden="1" x14ac:dyDescent="0.15"/>
    <row r="54988" hidden="1" x14ac:dyDescent="0.15"/>
    <row r="54989" hidden="1" x14ac:dyDescent="0.15"/>
    <row r="54990" hidden="1" x14ac:dyDescent="0.15"/>
    <row r="54991" hidden="1" x14ac:dyDescent="0.15"/>
    <row r="54992" hidden="1" x14ac:dyDescent="0.15"/>
    <row r="54993" hidden="1" x14ac:dyDescent="0.15"/>
    <row r="54994" hidden="1" x14ac:dyDescent="0.15"/>
    <row r="54995" hidden="1" x14ac:dyDescent="0.15"/>
    <row r="54996" hidden="1" x14ac:dyDescent="0.15"/>
    <row r="54997" hidden="1" x14ac:dyDescent="0.15"/>
    <row r="54998" hidden="1" x14ac:dyDescent="0.15"/>
    <row r="54999" hidden="1" x14ac:dyDescent="0.15"/>
    <row r="55000" hidden="1" x14ac:dyDescent="0.15"/>
    <row r="55001" hidden="1" x14ac:dyDescent="0.15"/>
    <row r="55002" hidden="1" x14ac:dyDescent="0.15"/>
    <row r="55003" hidden="1" x14ac:dyDescent="0.15"/>
    <row r="55004" hidden="1" x14ac:dyDescent="0.15"/>
    <row r="55005" hidden="1" x14ac:dyDescent="0.15"/>
    <row r="55006" hidden="1" x14ac:dyDescent="0.15"/>
    <row r="55007" hidden="1" x14ac:dyDescent="0.15"/>
    <row r="55008" hidden="1" x14ac:dyDescent="0.15"/>
    <row r="55009" hidden="1" x14ac:dyDescent="0.15"/>
    <row r="55010" hidden="1" x14ac:dyDescent="0.15"/>
    <row r="55011" hidden="1" x14ac:dyDescent="0.15"/>
    <row r="55012" hidden="1" x14ac:dyDescent="0.15"/>
    <row r="55013" hidden="1" x14ac:dyDescent="0.15"/>
    <row r="55014" hidden="1" x14ac:dyDescent="0.15"/>
    <row r="55015" hidden="1" x14ac:dyDescent="0.15"/>
    <row r="55016" hidden="1" x14ac:dyDescent="0.15"/>
    <row r="55017" hidden="1" x14ac:dyDescent="0.15"/>
    <row r="55018" hidden="1" x14ac:dyDescent="0.15"/>
    <row r="55019" hidden="1" x14ac:dyDescent="0.15"/>
    <row r="55020" hidden="1" x14ac:dyDescent="0.15"/>
    <row r="55021" hidden="1" x14ac:dyDescent="0.15"/>
    <row r="55022" hidden="1" x14ac:dyDescent="0.15"/>
    <row r="55023" hidden="1" x14ac:dyDescent="0.15"/>
    <row r="55024" hidden="1" x14ac:dyDescent="0.15"/>
    <row r="55025" hidden="1" x14ac:dyDescent="0.15"/>
    <row r="55026" hidden="1" x14ac:dyDescent="0.15"/>
    <row r="55027" hidden="1" x14ac:dyDescent="0.15"/>
    <row r="55028" hidden="1" x14ac:dyDescent="0.15"/>
    <row r="55029" hidden="1" x14ac:dyDescent="0.15"/>
    <row r="55030" hidden="1" x14ac:dyDescent="0.15"/>
    <row r="55031" hidden="1" x14ac:dyDescent="0.15"/>
    <row r="55032" hidden="1" x14ac:dyDescent="0.15"/>
    <row r="55033" hidden="1" x14ac:dyDescent="0.15"/>
    <row r="55034" hidden="1" x14ac:dyDescent="0.15"/>
    <row r="55035" hidden="1" x14ac:dyDescent="0.15"/>
    <row r="55036" hidden="1" x14ac:dyDescent="0.15"/>
    <row r="55037" hidden="1" x14ac:dyDescent="0.15"/>
    <row r="55038" hidden="1" x14ac:dyDescent="0.15"/>
    <row r="55039" hidden="1" x14ac:dyDescent="0.15"/>
    <row r="55040" hidden="1" x14ac:dyDescent="0.15"/>
    <row r="55041" hidden="1" x14ac:dyDescent="0.15"/>
    <row r="55042" hidden="1" x14ac:dyDescent="0.15"/>
    <row r="55043" hidden="1" x14ac:dyDescent="0.15"/>
    <row r="55044" hidden="1" x14ac:dyDescent="0.15"/>
    <row r="55045" hidden="1" x14ac:dyDescent="0.15"/>
    <row r="55046" hidden="1" x14ac:dyDescent="0.15"/>
    <row r="55047" hidden="1" x14ac:dyDescent="0.15"/>
    <row r="55048" hidden="1" x14ac:dyDescent="0.15"/>
    <row r="55049" hidden="1" x14ac:dyDescent="0.15"/>
    <row r="55050" hidden="1" x14ac:dyDescent="0.15"/>
    <row r="55051" hidden="1" x14ac:dyDescent="0.15"/>
    <row r="55052" hidden="1" x14ac:dyDescent="0.15"/>
    <row r="55053" hidden="1" x14ac:dyDescent="0.15"/>
    <row r="55054" hidden="1" x14ac:dyDescent="0.15"/>
    <row r="55055" hidden="1" x14ac:dyDescent="0.15"/>
    <row r="55056" hidden="1" x14ac:dyDescent="0.15"/>
    <row r="55057" hidden="1" x14ac:dyDescent="0.15"/>
    <row r="55058" hidden="1" x14ac:dyDescent="0.15"/>
    <row r="55059" hidden="1" x14ac:dyDescent="0.15"/>
    <row r="55060" hidden="1" x14ac:dyDescent="0.15"/>
    <row r="55061" hidden="1" x14ac:dyDescent="0.15"/>
    <row r="55062" hidden="1" x14ac:dyDescent="0.15"/>
    <row r="55063" hidden="1" x14ac:dyDescent="0.15"/>
    <row r="55064" hidden="1" x14ac:dyDescent="0.15"/>
    <row r="55065" hidden="1" x14ac:dyDescent="0.15"/>
    <row r="55066" hidden="1" x14ac:dyDescent="0.15"/>
    <row r="55067" hidden="1" x14ac:dyDescent="0.15"/>
    <row r="55068" hidden="1" x14ac:dyDescent="0.15"/>
    <row r="55069" hidden="1" x14ac:dyDescent="0.15"/>
    <row r="55070" hidden="1" x14ac:dyDescent="0.15"/>
    <row r="55071" hidden="1" x14ac:dyDescent="0.15"/>
    <row r="55072" hidden="1" x14ac:dyDescent="0.15"/>
    <row r="55073" hidden="1" x14ac:dyDescent="0.15"/>
    <row r="55074" hidden="1" x14ac:dyDescent="0.15"/>
    <row r="55075" hidden="1" x14ac:dyDescent="0.15"/>
    <row r="55076" hidden="1" x14ac:dyDescent="0.15"/>
    <row r="55077" hidden="1" x14ac:dyDescent="0.15"/>
    <row r="55078" hidden="1" x14ac:dyDescent="0.15"/>
    <row r="55079" hidden="1" x14ac:dyDescent="0.15"/>
    <row r="55080" hidden="1" x14ac:dyDescent="0.15"/>
    <row r="55081" hidden="1" x14ac:dyDescent="0.15"/>
    <row r="55082" hidden="1" x14ac:dyDescent="0.15"/>
    <row r="55083" hidden="1" x14ac:dyDescent="0.15"/>
    <row r="55084" hidden="1" x14ac:dyDescent="0.15"/>
    <row r="55085" hidden="1" x14ac:dyDescent="0.15"/>
    <row r="55086" hidden="1" x14ac:dyDescent="0.15"/>
    <row r="55087" hidden="1" x14ac:dyDescent="0.15"/>
    <row r="55088" hidden="1" x14ac:dyDescent="0.15"/>
    <row r="55089" hidden="1" x14ac:dyDescent="0.15"/>
    <row r="55090" hidden="1" x14ac:dyDescent="0.15"/>
    <row r="55091" hidden="1" x14ac:dyDescent="0.15"/>
    <row r="55092" hidden="1" x14ac:dyDescent="0.15"/>
    <row r="55093" hidden="1" x14ac:dyDescent="0.15"/>
    <row r="55094" hidden="1" x14ac:dyDescent="0.15"/>
    <row r="55095" hidden="1" x14ac:dyDescent="0.15"/>
    <row r="55096" hidden="1" x14ac:dyDescent="0.15"/>
    <row r="55097" hidden="1" x14ac:dyDescent="0.15"/>
    <row r="55098" hidden="1" x14ac:dyDescent="0.15"/>
    <row r="55099" hidden="1" x14ac:dyDescent="0.15"/>
    <row r="55100" hidden="1" x14ac:dyDescent="0.15"/>
    <row r="55101" hidden="1" x14ac:dyDescent="0.15"/>
    <row r="55102" hidden="1" x14ac:dyDescent="0.15"/>
    <row r="55103" hidden="1" x14ac:dyDescent="0.15"/>
    <row r="55104" hidden="1" x14ac:dyDescent="0.15"/>
    <row r="55105" hidden="1" x14ac:dyDescent="0.15"/>
    <row r="55106" hidden="1" x14ac:dyDescent="0.15"/>
    <row r="55107" hidden="1" x14ac:dyDescent="0.15"/>
    <row r="55108" hidden="1" x14ac:dyDescent="0.15"/>
    <row r="55109" hidden="1" x14ac:dyDescent="0.15"/>
    <row r="55110" hidden="1" x14ac:dyDescent="0.15"/>
    <row r="55111" hidden="1" x14ac:dyDescent="0.15"/>
    <row r="55112" hidden="1" x14ac:dyDescent="0.15"/>
    <row r="55113" hidden="1" x14ac:dyDescent="0.15"/>
    <row r="55114" hidden="1" x14ac:dyDescent="0.15"/>
    <row r="55115" hidden="1" x14ac:dyDescent="0.15"/>
    <row r="55116" hidden="1" x14ac:dyDescent="0.15"/>
    <row r="55117" hidden="1" x14ac:dyDescent="0.15"/>
    <row r="55118" hidden="1" x14ac:dyDescent="0.15"/>
    <row r="55119" hidden="1" x14ac:dyDescent="0.15"/>
    <row r="55120" hidden="1" x14ac:dyDescent="0.15"/>
    <row r="55121" hidden="1" x14ac:dyDescent="0.15"/>
    <row r="55122" hidden="1" x14ac:dyDescent="0.15"/>
    <row r="55123" hidden="1" x14ac:dyDescent="0.15"/>
    <row r="55124" hidden="1" x14ac:dyDescent="0.15"/>
    <row r="55125" hidden="1" x14ac:dyDescent="0.15"/>
    <row r="55126" hidden="1" x14ac:dyDescent="0.15"/>
    <row r="55127" hidden="1" x14ac:dyDescent="0.15"/>
    <row r="55128" hidden="1" x14ac:dyDescent="0.15"/>
    <row r="55129" hidden="1" x14ac:dyDescent="0.15"/>
    <row r="55130" hidden="1" x14ac:dyDescent="0.15"/>
    <row r="55131" hidden="1" x14ac:dyDescent="0.15"/>
    <row r="55132" hidden="1" x14ac:dyDescent="0.15"/>
    <row r="55133" hidden="1" x14ac:dyDescent="0.15"/>
    <row r="55134" hidden="1" x14ac:dyDescent="0.15"/>
    <row r="55135" hidden="1" x14ac:dyDescent="0.15"/>
    <row r="55136" hidden="1" x14ac:dyDescent="0.15"/>
    <row r="55137" hidden="1" x14ac:dyDescent="0.15"/>
    <row r="55138" hidden="1" x14ac:dyDescent="0.15"/>
    <row r="55139" hidden="1" x14ac:dyDescent="0.15"/>
    <row r="55140" hidden="1" x14ac:dyDescent="0.15"/>
    <row r="55141" hidden="1" x14ac:dyDescent="0.15"/>
    <row r="55142" hidden="1" x14ac:dyDescent="0.15"/>
    <row r="55143" hidden="1" x14ac:dyDescent="0.15"/>
    <row r="55144" hidden="1" x14ac:dyDescent="0.15"/>
    <row r="55145" hidden="1" x14ac:dyDescent="0.15"/>
    <row r="55146" hidden="1" x14ac:dyDescent="0.15"/>
    <row r="55147" hidden="1" x14ac:dyDescent="0.15"/>
    <row r="55148" hidden="1" x14ac:dyDescent="0.15"/>
    <row r="55149" hidden="1" x14ac:dyDescent="0.15"/>
    <row r="55150" hidden="1" x14ac:dyDescent="0.15"/>
    <row r="55151" hidden="1" x14ac:dyDescent="0.15"/>
    <row r="55152" hidden="1" x14ac:dyDescent="0.15"/>
    <row r="55153" hidden="1" x14ac:dyDescent="0.15"/>
    <row r="55154" hidden="1" x14ac:dyDescent="0.15"/>
    <row r="55155" hidden="1" x14ac:dyDescent="0.15"/>
    <row r="55156" hidden="1" x14ac:dyDescent="0.15"/>
    <row r="55157" hidden="1" x14ac:dyDescent="0.15"/>
    <row r="55158" hidden="1" x14ac:dyDescent="0.15"/>
    <row r="55159" hidden="1" x14ac:dyDescent="0.15"/>
    <row r="55160" hidden="1" x14ac:dyDescent="0.15"/>
    <row r="55161" hidden="1" x14ac:dyDescent="0.15"/>
    <row r="55162" hidden="1" x14ac:dyDescent="0.15"/>
    <row r="55163" hidden="1" x14ac:dyDescent="0.15"/>
    <row r="55164" hidden="1" x14ac:dyDescent="0.15"/>
    <row r="55165" hidden="1" x14ac:dyDescent="0.15"/>
    <row r="55166" hidden="1" x14ac:dyDescent="0.15"/>
    <row r="55167" hidden="1" x14ac:dyDescent="0.15"/>
    <row r="55168" hidden="1" x14ac:dyDescent="0.15"/>
    <row r="55169" hidden="1" x14ac:dyDescent="0.15"/>
    <row r="55170" hidden="1" x14ac:dyDescent="0.15"/>
    <row r="55171" hidden="1" x14ac:dyDescent="0.15"/>
    <row r="55172" hidden="1" x14ac:dyDescent="0.15"/>
    <row r="55173" hidden="1" x14ac:dyDescent="0.15"/>
    <row r="55174" hidden="1" x14ac:dyDescent="0.15"/>
    <row r="55175" hidden="1" x14ac:dyDescent="0.15"/>
    <row r="55176" hidden="1" x14ac:dyDescent="0.15"/>
    <row r="55177" hidden="1" x14ac:dyDescent="0.15"/>
    <row r="55178" hidden="1" x14ac:dyDescent="0.15"/>
    <row r="55179" hidden="1" x14ac:dyDescent="0.15"/>
    <row r="55180" hidden="1" x14ac:dyDescent="0.15"/>
    <row r="55181" hidden="1" x14ac:dyDescent="0.15"/>
    <row r="55182" hidden="1" x14ac:dyDescent="0.15"/>
    <row r="55183" hidden="1" x14ac:dyDescent="0.15"/>
    <row r="55184" hidden="1" x14ac:dyDescent="0.15"/>
    <row r="55185" hidden="1" x14ac:dyDescent="0.15"/>
    <row r="55186" hidden="1" x14ac:dyDescent="0.15"/>
    <row r="55187" hidden="1" x14ac:dyDescent="0.15"/>
    <row r="55188" hidden="1" x14ac:dyDescent="0.15"/>
    <row r="55189" hidden="1" x14ac:dyDescent="0.15"/>
    <row r="55190" hidden="1" x14ac:dyDescent="0.15"/>
    <row r="55191" hidden="1" x14ac:dyDescent="0.15"/>
    <row r="55192" hidden="1" x14ac:dyDescent="0.15"/>
    <row r="55193" hidden="1" x14ac:dyDescent="0.15"/>
    <row r="55194" hidden="1" x14ac:dyDescent="0.15"/>
    <row r="55195" hidden="1" x14ac:dyDescent="0.15"/>
    <row r="55196" hidden="1" x14ac:dyDescent="0.15"/>
    <row r="55197" hidden="1" x14ac:dyDescent="0.15"/>
    <row r="55198" hidden="1" x14ac:dyDescent="0.15"/>
    <row r="55199" hidden="1" x14ac:dyDescent="0.15"/>
    <row r="55200" hidden="1" x14ac:dyDescent="0.15"/>
    <row r="55201" hidden="1" x14ac:dyDescent="0.15"/>
    <row r="55202" hidden="1" x14ac:dyDescent="0.15"/>
    <row r="55203" hidden="1" x14ac:dyDescent="0.15"/>
    <row r="55204" hidden="1" x14ac:dyDescent="0.15"/>
    <row r="55205" hidden="1" x14ac:dyDescent="0.15"/>
    <row r="55206" hidden="1" x14ac:dyDescent="0.15"/>
    <row r="55207" hidden="1" x14ac:dyDescent="0.15"/>
    <row r="55208" hidden="1" x14ac:dyDescent="0.15"/>
    <row r="55209" hidden="1" x14ac:dyDescent="0.15"/>
    <row r="55210" hidden="1" x14ac:dyDescent="0.15"/>
    <row r="55211" hidden="1" x14ac:dyDescent="0.15"/>
    <row r="55212" hidden="1" x14ac:dyDescent="0.15"/>
    <row r="55213" hidden="1" x14ac:dyDescent="0.15"/>
    <row r="55214" hidden="1" x14ac:dyDescent="0.15"/>
    <row r="55215" hidden="1" x14ac:dyDescent="0.15"/>
    <row r="55216" hidden="1" x14ac:dyDescent="0.15"/>
    <row r="55217" hidden="1" x14ac:dyDescent="0.15"/>
    <row r="55218" hidden="1" x14ac:dyDescent="0.15"/>
    <row r="55219" hidden="1" x14ac:dyDescent="0.15"/>
    <row r="55220" hidden="1" x14ac:dyDescent="0.15"/>
    <row r="55221" hidden="1" x14ac:dyDescent="0.15"/>
    <row r="55222" hidden="1" x14ac:dyDescent="0.15"/>
    <row r="55223" hidden="1" x14ac:dyDescent="0.15"/>
    <row r="55224" hidden="1" x14ac:dyDescent="0.15"/>
    <row r="55225" hidden="1" x14ac:dyDescent="0.15"/>
    <row r="55226" hidden="1" x14ac:dyDescent="0.15"/>
    <row r="55227" hidden="1" x14ac:dyDescent="0.15"/>
    <row r="55228" hidden="1" x14ac:dyDescent="0.15"/>
    <row r="55229" hidden="1" x14ac:dyDescent="0.15"/>
    <row r="55230" hidden="1" x14ac:dyDescent="0.15"/>
    <row r="55231" hidden="1" x14ac:dyDescent="0.15"/>
    <row r="55232" hidden="1" x14ac:dyDescent="0.15"/>
    <row r="55233" hidden="1" x14ac:dyDescent="0.15"/>
    <row r="55234" hidden="1" x14ac:dyDescent="0.15"/>
    <row r="55235" hidden="1" x14ac:dyDescent="0.15"/>
    <row r="55236" hidden="1" x14ac:dyDescent="0.15"/>
    <row r="55237" hidden="1" x14ac:dyDescent="0.15"/>
    <row r="55238" hidden="1" x14ac:dyDescent="0.15"/>
    <row r="55239" hidden="1" x14ac:dyDescent="0.15"/>
    <row r="55240" hidden="1" x14ac:dyDescent="0.15"/>
    <row r="55241" hidden="1" x14ac:dyDescent="0.15"/>
    <row r="55242" hidden="1" x14ac:dyDescent="0.15"/>
    <row r="55243" hidden="1" x14ac:dyDescent="0.15"/>
    <row r="55244" hidden="1" x14ac:dyDescent="0.15"/>
    <row r="55245" hidden="1" x14ac:dyDescent="0.15"/>
    <row r="55246" hidden="1" x14ac:dyDescent="0.15"/>
    <row r="55247" hidden="1" x14ac:dyDescent="0.15"/>
    <row r="55248" hidden="1" x14ac:dyDescent="0.15"/>
    <row r="55249" hidden="1" x14ac:dyDescent="0.15"/>
    <row r="55250" hidden="1" x14ac:dyDescent="0.15"/>
    <row r="55251" hidden="1" x14ac:dyDescent="0.15"/>
    <row r="55252" hidden="1" x14ac:dyDescent="0.15"/>
    <row r="55253" hidden="1" x14ac:dyDescent="0.15"/>
    <row r="55254" hidden="1" x14ac:dyDescent="0.15"/>
    <row r="55255" hidden="1" x14ac:dyDescent="0.15"/>
    <row r="55256" hidden="1" x14ac:dyDescent="0.15"/>
    <row r="55257" hidden="1" x14ac:dyDescent="0.15"/>
    <row r="55258" hidden="1" x14ac:dyDescent="0.15"/>
    <row r="55259" hidden="1" x14ac:dyDescent="0.15"/>
    <row r="55260" hidden="1" x14ac:dyDescent="0.15"/>
    <row r="55261" hidden="1" x14ac:dyDescent="0.15"/>
    <row r="55262" hidden="1" x14ac:dyDescent="0.15"/>
    <row r="55263" hidden="1" x14ac:dyDescent="0.15"/>
    <row r="55264" hidden="1" x14ac:dyDescent="0.15"/>
    <row r="55265" hidden="1" x14ac:dyDescent="0.15"/>
    <row r="55266" hidden="1" x14ac:dyDescent="0.15"/>
    <row r="55267" hidden="1" x14ac:dyDescent="0.15"/>
    <row r="55268" hidden="1" x14ac:dyDescent="0.15"/>
    <row r="55269" hidden="1" x14ac:dyDescent="0.15"/>
    <row r="55270" hidden="1" x14ac:dyDescent="0.15"/>
    <row r="55271" hidden="1" x14ac:dyDescent="0.15"/>
    <row r="55272" hidden="1" x14ac:dyDescent="0.15"/>
    <row r="55273" hidden="1" x14ac:dyDescent="0.15"/>
    <row r="55274" hidden="1" x14ac:dyDescent="0.15"/>
    <row r="55275" hidden="1" x14ac:dyDescent="0.15"/>
    <row r="55276" hidden="1" x14ac:dyDescent="0.15"/>
    <row r="55277" hidden="1" x14ac:dyDescent="0.15"/>
    <row r="55278" hidden="1" x14ac:dyDescent="0.15"/>
    <row r="55279" hidden="1" x14ac:dyDescent="0.15"/>
    <row r="55280" hidden="1" x14ac:dyDescent="0.15"/>
    <row r="55281" hidden="1" x14ac:dyDescent="0.15"/>
    <row r="55282" hidden="1" x14ac:dyDescent="0.15"/>
    <row r="55283" hidden="1" x14ac:dyDescent="0.15"/>
    <row r="55284" hidden="1" x14ac:dyDescent="0.15"/>
    <row r="55285" hidden="1" x14ac:dyDescent="0.15"/>
    <row r="55286" hidden="1" x14ac:dyDescent="0.15"/>
    <row r="55287" hidden="1" x14ac:dyDescent="0.15"/>
    <row r="55288" hidden="1" x14ac:dyDescent="0.15"/>
    <row r="55289" hidden="1" x14ac:dyDescent="0.15"/>
    <row r="55290" hidden="1" x14ac:dyDescent="0.15"/>
    <row r="55291" hidden="1" x14ac:dyDescent="0.15"/>
    <row r="55292" hidden="1" x14ac:dyDescent="0.15"/>
    <row r="55293" hidden="1" x14ac:dyDescent="0.15"/>
    <row r="55294" hidden="1" x14ac:dyDescent="0.15"/>
    <row r="55295" hidden="1" x14ac:dyDescent="0.15"/>
    <row r="55296" hidden="1" x14ac:dyDescent="0.15"/>
    <row r="55297" hidden="1" x14ac:dyDescent="0.15"/>
    <row r="55298" hidden="1" x14ac:dyDescent="0.15"/>
    <row r="55299" hidden="1" x14ac:dyDescent="0.15"/>
    <row r="55300" hidden="1" x14ac:dyDescent="0.15"/>
    <row r="55301" hidden="1" x14ac:dyDescent="0.15"/>
    <row r="55302" hidden="1" x14ac:dyDescent="0.15"/>
    <row r="55303" hidden="1" x14ac:dyDescent="0.15"/>
    <row r="55304" hidden="1" x14ac:dyDescent="0.15"/>
    <row r="55305" hidden="1" x14ac:dyDescent="0.15"/>
    <row r="55306" hidden="1" x14ac:dyDescent="0.15"/>
    <row r="55307" hidden="1" x14ac:dyDescent="0.15"/>
    <row r="55308" hidden="1" x14ac:dyDescent="0.15"/>
    <row r="55309" hidden="1" x14ac:dyDescent="0.15"/>
    <row r="55310" hidden="1" x14ac:dyDescent="0.15"/>
    <row r="55311" hidden="1" x14ac:dyDescent="0.15"/>
    <row r="55312" hidden="1" x14ac:dyDescent="0.15"/>
    <row r="55313" hidden="1" x14ac:dyDescent="0.15"/>
    <row r="55314" hidden="1" x14ac:dyDescent="0.15"/>
    <row r="55315" hidden="1" x14ac:dyDescent="0.15"/>
    <row r="55316" hidden="1" x14ac:dyDescent="0.15"/>
    <row r="55317" hidden="1" x14ac:dyDescent="0.15"/>
    <row r="55318" hidden="1" x14ac:dyDescent="0.15"/>
    <row r="55319" hidden="1" x14ac:dyDescent="0.15"/>
    <row r="55320" hidden="1" x14ac:dyDescent="0.15"/>
    <row r="55321" hidden="1" x14ac:dyDescent="0.15"/>
    <row r="55322" hidden="1" x14ac:dyDescent="0.15"/>
    <row r="55323" hidden="1" x14ac:dyDescent="0.15"/>
    <row r="55324" hidden="1" x14ac:dyDescent="0.15"/>
    <row r="55325" hidden="1" x14ac:dyDescent="0.15"/>
    <row r="55326" hidden="1" x14ac:dyDescent="0.15"/>
    <row r="55327" hidden="1" x14ac:dyDescent="0.15"/>
    <row r="55328" hidden="1" x14ac:dyDescent="0.15"/>
    <row r="55329" hidden="1" x14ac:dyDescent="0.15"/>
    <row r="55330" hidden="1" x14ac:dyDescent="0.15"/>
    <row r="55331" hidden="1" x14ac:dyDescent="0.15"/>
    <row r="55332" hidden="1" x14ac:dyDescent="0.15"/>
    <row r="55333" hidden="1" x14ac:dyDescent="0.15"/>
    <row r="55334" hidden="1" x14ac:dyDescent="0.15"/>
    <row r="55335" hidden="1" x14ac:dyDescent="0.15"/>
    <row r="55336" hidden="1" x14ac:dyDescent="0.15"/>
    <row r="55337" hidden="1" x14ac:dyDescent="0.15"/>
    <row r="55338" hidden="1" x14ac:dyDescent="0.15"/>
    <row r="55339" hidden="1" x14ac:dyDescent="0.15"/>
    <row r="55340" hidden="1" x14ac:dyDescent="0.15"/>
    <row r="55341" hidden="1" x14ac:dyDescent="0.15"/>
    <row r="55342" hidden="1" x14ac:dyDescent="0.15"/>
    <row r="55343" hidden="1" x14ac:dyDescent="0.15"/>
    <row r="55344" hidden="1" x14ac:dyDescent="0.15"/>
    <row r="55345" hidden="1" x14ac:dyDescent="0.15"/>
    <row r="55346" hidden="1" x14ac:dyDescent="0.15"/>
    <row r="55347" hidden="1" x14ac:dyDescent="0.15"/>
    <row r="55348" hidden="1" x14ac:dyDescent="0.15"/>
    <row r="55349" hidden="1" x14ac:dyDescent="0.15"/>
    <row r="55350" hidden="1" x14ac:dyDescent="0.15"/>
    <row r="55351" hidden="1" x14ac:dyDescent="0.15"/>
    <row r="55352" hidden="1" x14ac:dyDescent="0.15"/>
    <row r="55353" hidden="1" x14ac:dyDescent="0.15"/>
    <row r="55354" hidden="1" x14ac:dyDescent="0.15"/>
    <row r="55355" hidden="1" x14ac:dyDescent="0.15"/>
    <row r="55356" hidden="1" x14ac:dyDescent="0.15"/>
    <row r="55357" hidden="1" x14ac:dyDescent="0.15"/>
    <row r="55358" hidden="1" x14ac:dyDescent="0.15"/>
    <row r="55359" hidden="1" x14ac:dyDescent="0.15"/>
    <row r="55360" hidden="1" x14ac:dyDescent="0.15"/>
    <row r="55361" hidden="1" x14ac:dyDescent="0.15"/>
    <row r="55362" hidden="1" x14ac:dyDescent="0.15"/>
    <row r="55363" hidden="1" x14ac:dyDescent="0.15"/>
    <row r="55364" hidden="1" x14ac:dyDescent="0.15"/>
    <row r="55365" hidden="1" x14ac:dyDescent="0.15"/>
    <row r="55366" hidden="1" x14ac:dyDescent="0.15"/>
    <row r="55367" hidden="1" x14ac:dyDescent="0.15"/>
    <row r="55368" hidden="1" x14ac:dyDescent="0.15"/>
    <row r="55369" hidden="1" x14ac:dyDescent="0.15"/>
    <row r="55370" hidden="1" x14ac:dyDescent="0.15"/>
    <row r="55371" hidden="1" x14ac:dyDescent="0.15"/>
    <row r="55372" hidden="1" x14ac:dyDescent="0.15"/>
    <row r="55373" hidden="1" x14ac:dyDescent="0.15"/>
    <row r="55374" hidden="1" x14ac:dyDescent="0.15"/>
    <row r="55375" hidden="1" x14ac:dyDescent="0.15"/>
    <row r="55376" hidden="1" x14ac:dyDescent="0.15"/>
    <row r="55377" hidden="1" x14ac:dyDescent="0.15"/>
    <row r="55378" hidden="1" x14ac:dyDescent="0.15"/>
    <row r="55379" hidden="1" x14ac:dyDescent="0.15"/>
    <row r="55380" hidden="1" x14ac:dyDescent="0.15"/>
    <row r="55381" hidden="1" x14ac:dyDescent="0.15"/>
    <row r="55382" hidden="1" x14ac:dyDescent="0.15"/>
    <row r="55383" hidden="1" x14ac:dyDescent="0.15"/>
    <row r="55384" hidden="1" x14ac:dyDescent="0.15"/>
    <row r="55385" hidden="1" x14ac:dyDescent="0.15"/>
    <row r="55386" hidden="1" x14ac:dyDescent="0.15"/>
    <row r="55387" hidden="1" x14ac:dyDescent="0.15"/>
    <row r="55388" hidden="1" x14ac:dyDescent="0.15"/>
    <row r="55389" hidden="1" x14ac:dyDescent="0.15"/>
    <row r="55390" hidden="1" x14ac:dyDescent="0.15"/>
    <row r="55391" hidden="1" x14ac:dyDescent="0.15"/>
    <row r="55392" hidden="1" x14ac:dyDescent="0.15"/>
    <row r="55393" hidden="1" x14ac:dyDescent="0.15"/>
    <row r="55394" hidden="1" x14ac:dyDescent="0.15"/>
    <row r="55395" hidden="1" x14ac:dyDescent="0.15"/>
    <row r="55396" hidden="1" x14ac:dyDescent="0.15"/>
    <row r="55397" hidden="1" x14ac:dyDescent="0.15"/>
    <row r="55398" hidden="1" x14ac:dyDescent="0.15"/>
    <row r="55399" hidden="1" x14ac:dyDescent="0.15"/>
    <row r="55400" hidden="1" x14ac:dyDescent="0.15"/>
    <row r="55401" hidden="1" x14ac:dyDescent="0.15"/>
    <row r="55402" hidden="1" x14ac:dyDescent="0.15"/>
    <row r="55403" hidden="1" x14ac:dyDescent="0.15"/>
    <row r="55404" hidden="1" x14ac:dyDescent="0.15"/>
    <row r="55405" hidden="1" x14ac:dyDescent="0.15"/>
    <row r="55406" hidden="1" x14ac:dyDescent="0.15"/>
    <row r="55407" hidden="1" x14ac:dyDescent="0.15"/>
    <row r="55408" hidden="1" x14ac:dyDescent="0.15"/>
    <row r="55409" hidden="1" x14ac:dyDescent="0.15"/>
    <row r="55410" hidden="1" x14ac:dyDescent="0.15"/>
    <row r="55411" hidden="1" x14ac:dyDescent="0.15"/>
    <row r="55412" hidden="1" x14ac:dyDescent="0.15"/>
    <row r="55413" hidden="1" x14ac:dyDescent="0.15"/>
    <row r="55414" hidden="1" x14ac:dyDescent="0.15"/>
    <row r="55415" hidden="1" x14ac:dyDescent="0.15"/>
    <row r="55416" hidden="1" x14ac:dyDescent="0.15"/>
    <row r="55417" hidden="1" x14ac:dyDescent="0.15"/>
    <row r="55418" hidden="1" x14ac:dyDescent="0.15"/>
    <row r="55419" hidden="1" x14ac:dyDescent="0.15"/>
    <row r="55420" hidden="1" x14ac:dyDescent="0.15"/>
    <row r="55421" hidden="1" x14ac:dyDescent="0.15"/>
    <row r="55422" hidden="1" x14ac:dyDescent="0.15"/>
    <row r="55423" hidden="1" x14ac:dyDescent="0.15"/>
    <row r="55424" hidden="1" x14ac:dyDescent="0.15"/>
    <row r="55425" hidden="1" x14ac:dyDescent="0.15"/>
    <row r="55426" hidden="1" x14ac:dyDescent="0.15"/>
    <row r="55427" hidden="1" x14ac:dyDescent="0.15"/>
    <row r="55428" hidden="1" x14ac:dyDescent="0.15"/>
    <row r="55429" hidden="1" x14ac:dyDescent="0.15"/>
    <row r="55430" hidden="1" x14ac:dyDescent="0.15"/>
    <row r="55431" hidden="1" x14ac:dyDescent="0.15"/>
    <row r="55432" hidden="1" x14ac:dyDescent="0.15"/>
    <row r="55433" hidden="1" x14ac:dyDescent="0.15"/>
    <row r="55434" hidden="1" x14ac:dyDescent="0.15"/>
    <row r="55435" hidden="1" x14ac:dyDescent="0.15"/>
    <row r="55436" hidden="1" x14ac:dyDescent="0.15"/>
    <row r="55437" hidden="1" x14ac:dyDescent="0.15"/>
    <row r="55438" hidden="1" x14ac:dyDescent="0.15"/>
    <row r="55439" hidden="1" x14ac:dyDescent="0.15"/>
    <row r="55440" hidden="1" x14ac:dyDescent="0.15"/>
    <row r="55441" hidden="1" x14ac:dyDescent="0.15"/>
    <row r="55442" hidden="1" x14ac:dyDescent="0.15"/>
    <row r="55443" hidden="1" x14ac:dyDescent="0.15"/>
    <row r="55444" hidden="1" x14ac:dyDescent="0.15"/>
    <row r="55445" hidden="1" x14ac:dyDescent="0.15"/>
    <row r="55446" hidden="1" x14ac:dyDescent="0.15"/>
    <row r="55447" hidden="1" x14ac:dyDescent="0.15"/>
    <row r="55448" hidden="1" x14ac:dyDescent="0.15"/>
    <row r="55449" hidden="1" x14ac:dyDescent="0.15"/>
    <row r="55450" hidden="1" x14ac:dyDescent="0.15"/>
    <row r="55451" hidden="1" x14ac:dyDescent="0.15"/>
    <row r="55452" hidden="1" x14ac:dyDescent="0.15"/>
    <row r="55453" hidden="1" x14ac:dyDescent="0.15"/>
    <row r="55454" hidden="1" x14ac:dyDescent="0.15"/>
    <row r="55455" hidden="1" x14ac:dyDescent="0.15"/>
    <row r="55456" hidden="1" x14ac:dyDescent="0.15"/>
    <row r="55457" hidden="1" x14ac:dyDescent="0.15"/>
    <row r="55458" hidden="1" x14ac:dyDescent="0.15"/>
    <row r="55459" hidden="1" x14ac:dyDescent="0.15"/>
    <row r="55460" hidden="1" x14ac:dyDescent="0.15"/>
    <row r="55461" hidden="1" x14ac:dyDescent="0.15"/>
    <row r="55462" hidden="1" x14ac:dyDescent="0.15"/>
    <row r="55463" hidden="1" x14ac:dyDescent="0.15"/>
    <row r="55464" hidden="1" x14ac:dyDescent="0.15"/>
    <row r="55465" hidden="1" x14ac:dyDescent="0.15"/>
    <row r="55466" hidden="1" x14ac:dyDescent="0.15"/>
    <row r="55467" hidden="1" x14ac:dyDescent="0.15"/>
    <row r="55468" hidden="1" x14ac:dyDescent="0.15"/>
    <row r="55469" hidden="1" x14ac:dyDescent="0.15"/>
    <row r="55470" hidden="1" x14ac:dyDescent="0.15"/>
    <row r="55471" hidden="1" x14ac:dyDescent="0.15"/>
    <row r="55472" hidden="1" x14ac:dyDescent="0.15"/>
    <row r="55473" hidden="1" x14ac:dyDescent="0.15"/>
    <row r="55474" hidden="1" x14ac:dyDescent="0.15"/>
    <row r="55475" hidden="1" x14ac:dyDescent="0.15"/>
    <row r="55476" hidden="1" x14ac:dyDescent="0.15"/>
    <row r="55477" hidden="1" x14ac:dyDescent="0.15"/>
    <row r="55478" hidden="1" x14ac:dyDescent="0.15"/>
    <row r="55479" hidden="1" x14ac:dyDescent="0.15"/>
    <row r="55480" hidden="1" x14ac:dyDescent="0.15"/>
    <row r="55481" hidden="1" x14ac:dyDescent="0.15"/>
    <row r="55482" hidden="1" x14ac:dyDescent="0.15"/>
    <row r="55483" hidden="1" x14ac:dyDescent="0.15"/>
    <row r="55484" hidden="1" x14ac:dyDescent="0.15"/>
    <row r="55485" hidden="1" x14ac:dyDescent="0.15"/>
    <row r="55486" hidden="1" x14ac:dyDescent="0.15"/>
    <row r="55487" hidden="1" x14ac:dyDescent="0.15"/>
    <row r="55488" hidden="1" x14ac:dyDescent="0.15"/>
    <row r="55489" hidden="1" x14ac:dyDescent="0.15"/>
    <row r="55490" hidden="1" x14ac:dyDescent="0.15"/>
    <row r="55491" hidden="1" x14ac:dyDescent="0.15"/>
    <row r="55492" hidden="1" x14ac:dyDescent="0.15"/>
    <row r="55493" hidden="1" x14ac:dyDescent="0.15"/>
    <row r="55494" hidden="1" x14ac:dyDescent="0.15"/>
    <row r="55495" hidden="1" x14ac:dyDescent="0.15"/>
    <row r="55496" hidden="1" x14ac:dyDescent="0.15"/>
    <row r="55497" hidden="1" x14ac:dyDescent="0.15"/>
    <row r="55498" hidden="1" x14ac:dyDescent="0.15"/>
    <row r="55499" hidden="1" x14ac:dyDescent="0.15"/>
    <row r="55500" hidden="1" x14ac:dyDescent="0.15"/>
    <row r="55501" hidden="1" x14ac:dyDescent="0.15"/>
    <row r="55502" hidden="1" x14ac:dyDescent="0.15"/>
    <row r="55503" hidden="1" x14ac:dyDescent="0.15"/>
    <row r="55504" hidden="1" x14ac:dyDescent="0.15"/>
    <row r="55505" hidden="1" x14ac:dyDescent="0.15"/>
    <row r="55506" hidden="1" x14ac:dyDescent="0.15"/>
    <row r="55507" hidden="1" x14ac:dyDescent="0.15"/>
    <row r="55508" hidden="1" x14ac:dyDescent="0.15"/>
    <row r="55509" hidden="1" x14ac:dyDescent="0.15"/>
    <row r="55510" hidden="1" x14ac:dyDescent="0.15"/>
    <row r="55511" hidden="1" x14ac:dyDescent="0.15"/>
    <row r="55512" hidden="1" x14ac:dyDescent="0.15"/>
    <row r="55513" hidden="1" x14ac:dyDescent="0.15"/>
    <row r="55514" hidden="1" x14ac:dyDescent="0.15"/>
    <row r="55515" hidden="1" x14ac:dyDescent="0.15"/>
    <row r="55516" hidden="1" x14ac:dyDescent="0.15"/>
    <row r="55517" hidden="1" x14ac:dyDescent="0.15"/>
    <row r="55518" hidden="1" x14ac:dyDescent="0.15"/>
    <row r="55519" hidden="1" x14ac:dyDescent="0.15"/>
    <row r="55520" hidden="1" x14ac:dyDescent="0.15"/>
    <row r="55521" hidden="1" x14ac:dyDescent="0.15"/>
    <row r="55522" hidden="1" x14ac:dyDescent="0.15"/>
    <row r="55523" hidden="1" x14ac:dyDescent="0.15"/>
    <row r="55524" hidden="1" x14ac:dyDescent="0.15"/>
    <row r="55525" hidden="1" x14ac:dyDescent="0.15"/>
    <row r="55526" hidden="1" x14ac:dyDescent="0.15"/>
    <row r="55527" hidden="1" x14ac:dyDescent="0.15"/>
    <row r="55528" hidden="1" x14ac:dyDescent="0.15"/>
    <row r="55529" hidden="1" x14ac:dyDescent="0.15"/>
    <row r="55530" hidden="1" x14ac:dyDescent="0.15"/>
    <row r="55531" hidden="1" x14ac:dyDescent="0.15"/>
    <row r="55532" hidden="1" x14ac:dyDescent="0.15"/>
    <row r="55533" hidden="1" x14ac:dyDescent="0.15"/>
    <row r="55534" hidden="1" x14ac:dyDescent="0.15"/>
    <row r="55535" hidden="1" x14ac:dyDescent="0.15"/>
    <row r="55536" hidden="1" x14ac:dyDescent="0.15"/>
    <row r="55537" hidden="1" x14ac:dyDescent="0.15"/>
    <row r="55538" hidden="1" x14ac:dyDescent="0.15"/>
    <row r="55539" hidden="1" x14ac:dyDescent="0.15"/>
    <row r="55540" hidden="1" x14ac:dyDescent="0.15"/>
    <row r="55541" hidden="1" x14ac:dyDescent="0.15"/>
    <row r="55542" hidden="1" x14ac:dyDescent="0.15"/>
    <row r="55543" hidden="1" x14ac:dyDescent="0.15"/>
    <row r="55544" hidden="1" x14ac:dyDescent="0.15"/>
    <row r="55545" hidden="1" x14ac:dyDescent="0.15"/>
    <row r="55546" hidden="1" x14ac:dyDescent="0.15"/>
    <row r="55547" hidden="1" x14ac:dyDescent="0.15"/>
    <row r="55548" hidden="1" x14ac:dyDescent="0.15"/>
    <row r="55549" hidden="1" x14ac:dyDescent="0.15"/>
    <row r="55550" hidden="1" x14ac:dyDescent="0.15"/>
    <row r="55551" hidden="1" x14ac:dyDescent="0.15"/>
    <row r="55552" hidden="1" x14ac:dyDescent="0.15"/>
    <row r="55553" hidden="1" x14ac:dyDescent="0.15"/>
    <row r="55554" hidden="1" x14ac:dyDescent="0.15"/>
    <row r="55555" hidden="1" x14ac:dyDescent="0.15"/>
    <row r="55556" hidden="1" x14ac:dyDescent="0.15"/>
    <row r="55557" hidden="1" x14ac:dyDescent="0.15"/>
    <row r="55558" hidden="1" x14ac:dyDescent="0.15"/>
    <row r="55559" hidden="1" x14ac:dyDescent="0.15"/>
    <row r="55560" hidden="1" x14ac:dyDescent="0.15"/>
    <row r="55561" hidden="1" x14ac:dyDescent="0.15"/>
    <row r="55562" hidden="1" x14ac:dyDescent="0.15"/>
    <row r="55563" hidden="1" x14ac:dyDescent="0.15"/>
    <row r="55564" hidden="1" x14ac:dyDescent="0.15"/>
    <row r="55565" hidden="1" x14ac:dyDescent="0.15"/>
    <row r="55566" hidden="1" x14ac:dyDescent="0.15"/>
    <row r="55567" hidden="1" x14ac:dyDescent="0.15"/>
    <row r="55568" hidden="1" x14ac:dyDescent="0.15"/>
    <row r="55569" hidden="1" x14ac:dyDescent="0.15"/>
    <row r="55570" hidden="1" x14ac:dyDescent="0.15"/>
    <row r="55571" hidden="1" x14ac:dyDescent="0.15"/>
    <row r="55572" hidden="1" x14ac:dyDescent="0.15"/>
    <row r="55573" hidden="1" x14ac:dyDescent="0.15"/>
    <row r="55574" hidden="1" x14ac:dyDescent="0.15"/>
    <row r="55575" hidden="1" x14ac:dyDescent="0.15"/>
    <row r="55576" hidden="1" x14ac:dyDescent="0.15"/>
    <row r="55577" hidden="1" x14ac:dyDescent="0.15"/>
    <row r="55578" hidden="1" x14ac:dyDescent="0.15"/>
    <row r="55579" hidden="1" x14ac:dyDescent="0.15"/>
    <row r="55580" hidden="1" x14ac:dyDescent="0.15"/>
    <row r="55581" hidden="1" x14ac:dyDescent="0.15"/>
    <row r="55582" hidden="1" x14ac:dyDescent="0.15"/>
    <row r="55583" hidden="1" x14ac:dyDescent="0.15"/>
    <row r="55584" hidden="1" x14ac:dyDescent="0.15"/>
    <row r="55585" hidden="1" x14ac:dyDescent="0.15"/>
    <row r="55586" hidden="1" x14ac:dyDescent="0.15"/>
    <row r="55587" hidden="1" x14ac:dyDescent="0.15"/>
    <row r="55588" hidden="1" x14ac:dyDescent="0.15"/>
    <row r="55589" hidden="1" x14ac:dyDescent="0.15"/>
    <row r="55590" hidden="1" x14ac:dyDescent="0.15"/>
    <row r="55591" hidden="1" x14ac:dyDescent="0.15"/>
    <row r="55592" hidden="1" x14ac:dyDescent="0.15"/>
    <row r="55593" hidden="1" x14ac:dyDescent="0.15"/>
    <row r="55594" hidden="1" x14ac:dyDescent="0.15"/>
    <row r="55595" hidden="1" x14ac:dyDescent="0.15"/>
    <row r="55596" hidden="1" x14ac:dyDescent="0.15"/>
    <row r="55597" hidden="1" x14ac:dyDescent="0.15"/>
    <row r="55598" hidden="1" x14ac:dyDescent="0.15"/>
    <row r="55599" hidden="1" x14ac:dyDescent="0.15"/>
    <row r="55600" hidden="1" x14ac:dyDescent="0.15"/>
    <row r="55601" hidden="1" x14ac:dyDescent="0.15"/>
    <row r="55602" hidden="1" x14ac:dyDescent="0.15"/>
    <row r="55603" hidden="1" x14ac:dyDescent="0.15"/>
    <row r="55604" hidden="1" x14ac:dyDescent="0.15"/>
    <row r="55605" hidden="1" x14ac:dyDescent="0.15"/>
    <row r="55606" hidden="1" x14ac:dyDescent="0.15"/>
    <row r="55607" hidden="1" x14ac:dyDescent="0.15"/>
    <row r="55608" hidden="1" x14ac:dyDescent="0.15"/>
    <row r="55609" hidden="1" x14ac:dyDescent="0.15"/>
    <row r="55610" hidden="1" x14ac:dyDescent="0.15"/>
    <row r="55611" hidden="1" x14ac:dyDescent="0.15"/>
    <row r="55612" hidden="1" x14ac:dyDescent="0.15"/>
    <row r="55613" hidden="1" x14ac:dyDescent="0.15"/>
    <row r="55614" hidden="1" x14ac:dyDescent="0.15"/>
    <row r="55615" hidden="1" x14ac:dyDescent="0.15"/>
    <row r="55616" hidden="1" x14ac:dyDescent="0.15"/>
    <row r="55617" hidden="1" x14ac:dyDescent="0.15"/>
    <row r="55618" hidden="1" x14ac:dyDescent="0.15"/>
    <row r="55619" hidden="1" x14ac:dyDescent="0.15"/>
    <row r="55620" hidden="1" x14ac:dyDescent="0.15"/>
    <row r="55621" hidden="1" x14ac:dyDescent="0.15"/>
    <row r="55622" hidden="1" x14ac:dyDescent="0.15"/>
    <row r="55623" hidden="1" x14ac:dyDescent="0.15"/>
    <row r="55624" hidden="1" x14ac:dyDescent="0.15"/>
    <row r="55625" hidden="1" x14ac:dyDescent="0.15"/>
    <row r="55626" hidden="1" x14ac:dyDescent="0.15"/>
    <row r="55627" hidden="1" x14ac:dyDescent="0.15"/>
    <row r="55628" hidden="1" x14ac:dyDescent="0.15"/>
    <row r="55629" hidden="1" x14ac:dyDescent="0.15"/>
    <row r="55630" hidden="1" x14ac:dyDescent="0.15"/>
    <row r="55631" hidden="1" x14ac:dyDescent="0.15"/>
    <row r="55632" hidden="1" x14ac:dyDescent="0.15"/>
    <row r="55633" hidden="1" x14ac:dyDescent="0.15"/>
    <row r="55634" hidden="1" x14ac:dyDescent="0.15"/>
    <row r="55635" hidden="1" x14ac:dyDescent="0.15"/>
    <row r="55636" hidden="1" x14ac:dyDescent="0.15"/>
    <row r="55637" hidden="1" x14ac:dyDescent="0.15"/>
    <row r="55638" hidden="1" x14ac:dyDescent="0.15"/>
    <row r="55639" hidden="1" x14ac:dyDescent="0.15"/>
    <row r="55640" hidden="1" x14ac:dyDescent="0.15"/>
    <row r="55641" hidden="1" x14ac:dyDescent="0.15"/>
    <row r="55642" hidden="1" x14ac:dyDescent="0.15"/>
    <row r="55643" hidden="1" x14ac:dyDescent="0.15"/>
    <row r="55644" hidden="1" x14ac:dyDescent="0.15"/>
    <row r="55645" hidden="1" x14ac:dyDescent="0.15"/>
    <row r="55646" hidden="1" x14ac:dyDescent="0.15"/>
    <row r="55647" hidden="1" x14ac:dyDescent="0.15"/>
    <row r="55648" hidden="1" x14ac:dyDescent="0.15"/>
    <row r="55649" hidden="1" x14ac:dyDescent="0.15"/>
    <row r="55650" hidden="1" x14ac:dyDescent="0.15"/>
    <row r="55651" hidden="1" x14ac:dyDescent="0.15"/>
    <row r="55652" hidden="1" x14ac:dyDescent="0.15"/>
    <row r="55653" hidden="1" x14ac:dyDescent="0.15"/>
    <row r="55654" hidden="1" x14ac:dyDescent="0.15"/>
    <row r="55655" hidden="1" x14ac:dyDescent="0.15"/>
    <row r="55656" hidden="1" x14ac:dyDescent="0.15"/>
    <row r="55657" hidden="1" x14ac:dyDescent="0.15"/>
    <row r="55658" hidden="1" x14ac:dyDescent="0.15"/>
    <row r="55659" hidden="1" x14ac:dyDescent="0.15"/>
    <row r="55660" hidden="1" x14ac:dyDescent="0.15"/>
    <row r="55661" hidden="1" x14ac:dyDescent="0.15"/>
    <row r="55662" hidden="1" x14ac:dyDescent="0.15"/>
    <row r="55663" hidden="1" x14ac:dyDescent="0.15"/>
    <row r="55664" hidden="1" x14ac:dyDescent="0.15"/>
    <row r="55665" hidden="1" x14ac:dyDescent="0.15"/>
    <row r="55666" hidden="1" x14ac:dyDescent="0.15"/>
    <row r="55667" hidden="1" x14ac:dyDescent="0.15"/>
    <row r="55668" hidden="1" x14ac:dyDescent="0.15"/>
    <row r="55669" hidden="1" x14ac:dyDescent="0.15"/>
    <row r="55670" hidden="1" x14ac:dyDescent="0.15"/>
    <row r="55671" hidden="1" x14ac:dyDescent="0.15"/>
    <row r="55672" hidden="1" x14ac:dyDescent="0.15"/>
    <row r="55673" hidden="1" x14ac:dyDescent="0.15"/>
    <row r="55674" hidden="1" x14ac:dyDescent="0.15"/>
    <row r="55675" hidden="1" x14ac:dyDescent="0.15"/>
    <row r="55676" hidden="1" x14ac:dyDescent="0.15"/>
    <row r="55677" hidden="1" x14ac:dyDescent="0.15"/>
    <row r="55678" hidden="1" x14ac:dyDescent="0.15"/>
    <row r="55679" hidden="1" x14ac:dyDescent="0.15"/>
    <row r="55680" hidden="1" x14ac:dyDescent="0.15"/>
    <row r="55681" hidden="1" x14ac:dyDescent="0.15"/>
    <row r="55682" hidden="1" x14ac:dyDescent="0.15"/>
    <row r="55683" hidden="1" x14ac:dyDescent="0.15"/>
    <row r="55684" hidden="1" x14ac:dyDescent="0.15"/>
    <row r="55685" hidden="1" x14ac:dyDescent="0.15"/>
    <row r="55686" hidden="1" x14ac:dyDescent="0.15"/>
    <row r="55687" hidden="1" x14ac:dyDescent="0.15"/>
    <row r="55688" hidden="1" x14ac:dyDescent="0.15"/>
    <row r="55689" hidden="1" x14ac:dyDescent="0.15"/>
    <row r="55690" hidden="1" x14ac:dyDescent="0.15"/>
    <row r="55691" hidden="1" x14ac:dyDescent="0.15"/>
    <row r="55692" hidden="1" x14ac:dyDescent="0.15"/>
    <row r="55693" hidden="1" x14ac:dyDescent="0.15"/>
    <row r="55694" hidden="1" x14ac:dyDescent="0.15"/>
    <row r="55695" hidden="1" x14ac:dyDescent="0.15"/>
    <row r="55696" hidden="1" x14ac:dyDescent="0.15"/>
    <row r="55697" hidden="1" x14ac:dyDescent="0.15"/>
    <row r="55698" hidden="1" x14ac:dyDescent="0.15"/>
    <row r="55699" hidden="1" x14ac:dyDescent="0.15"/>
    <row r="55700" hidden="1" x14ac:dyDescent="0.15"/>
    <row r="55701" hidden="1" x14ac:dyDescent="0.15"/>
    <row r="55702" hidden="1" x14ac:dyDescent="0.15"/>
    <row r="55703" hidden="1" x14ac:dyDescent="0.15"/>
    <row r="55704" hidden="1" x14ac:dyDescent="0.15"/>
    <row r="55705" hidden="1" x14ac:dyDescent="0.15"/>
    <row r="55706" hidden="1" x14ac:dyDescent="0.15"/>
    <row r="55707" hidden="1" x14ac:dyDescent="0.15"/>
    <row r="55708" hidden="1" x14ac:dyDescent="0.15"/>
    <row r="55709" hidden="1" x14ac:dyDescent="0.15"/>
    <row r="55710" hidden="1" x14ac:dyDescent="0.15"/>
    <row r="55711" hidden="1" x14ac:dyDescent="0.15"/>
    <row r="55712" hidden="1" x14ac:dyDescent="0.15"/>
    <row r="55713" hidden="1" x14ac:dyDescent="0.15"/>
    <row r="55714" hidden="1" x14ac:dyDescent="0.15"/>
    <row r="55715" hidden="1" x14ac:dyDescent="0.15"/>
    <row r="55716" hidden="1" x14ac:dyDescent="0.15"/>
    <row r="55717" hidden="1" x14ac:dyDescent="0.15"/>
    <row r="55718" hidden="1" x14ac:dyDescent="0.15"/>
    <row r="55719" hidden="1" x14ac:dyDescent="0.15"/>
    <row r="55720" hidden="1" x14ac:dyDescent="0.15"/>
    <row r="55721" hidden="1" x14ac:dyDescent="0.15"/>
    <row r="55722" hidden="1" x14ac:dyDescent="0.15"/>
    <row r="55723" hidden="1" x14ac:dyDescent="0.15"/>
    <row r="55724" hidden="1" x14ac:dyDescent="0.15"/>
    <row r="55725" hidden="1" x14ac:dyDescent="0.15"/>
    <row r="55726" hidden="1" x14ac:dyDescent="0.15"/>
    <row r="55727" hidden="1" x14ac:dyDescent="0.15"/>
    <row r="55728" hidden="1" x14ac:dyDescent="0.15"/>
    <row r="55729" hidden="1" x14ac:dyDescent="0.15"/>
    <row r="55730" hidden="1" x14ac:dyDescent="0.15"/>
    <row r="55731" hidden="1" x14ac:dyDescent="0.15"/>
    <row r="55732" hidden="1" x14ac:dyDescent="0.15"/>
    <row r="55733" hidden="1" x14ac:dyDescent="0.15"/>
    <row r="55734" hidden="1" x14ac:dyDescent="0.15"/>
    <row r="55735" hidden="1" x14ac:dyDescent="0.15"/>
    <row r="55736" hidden="1" x14ac:dyDescent="0.15"/>
    <row r="55737" hidden="1" x14ac:dyDescent="0.15"/>
    <row r="55738" hidden="1" x14ac:dyDescent="0.15"/>
    <row r="55739" hidden="1" x14ac:dyDescent="0.15"/>
    <row r="55740" hidden="1" x14ac:dyDescent="0.15"/>
    <row r="55741" hidden="1" x14ac:dyDescent="0.15"/>
    <row r="55742" hidden="1" x14ac:dyDescent="0.15"/>
    <row r="55743" hidden="1" x14ac:dyDescent="0.15"/>
    <row r="55744" hidden="1" x14ac:dyDescent="0.15"/>
    <row r="55745" hidden="1" x14ac:dyDescent="0.15"/>
    <row r="55746" hidden="1" x14ac:dyDescent="0.15"/>
    <row r="55747" hidden="1" x14ac:dyDescent="0.15"/>
    <row r="55748" hidden="1" x14ac:dyDescent="0.15"/>
    <row r="55749" hidden="1" x14ac:dyDescent="0.15"/>
    <row r="55750" hidden="1" x14ac:dyDescent="0.15"/>
    <row r="55751" hidden="1" x14ac:dyDescent="0.15"/>
    <row r="55752" hidden="1" x14ac:dyDescent="0.15"/>
    <row r="55753" hidden="1" x14ac:dyDescent="0.15"/>
    <row r="55754" hidden="1" x14ac:dyDescent="0.15"/>
    <row r="55755" hidden="1" x14ac:dyDescent="0.15"/>
    <row r="55756" hidden="1" x14ac:dyDescent="0.15"/>
    <row r="55757" hidden="1" x14ac:dyDescent="0.15"/>
    <row r="55758" hidden="1" x14ac:dyDescent="0.15"/>
    <row r="55759" hidden="1" x14ac:dyDescent="0.15"/>
    <row r="55760" hidden="1" x14ac:dyDescent="0.15"/>
    <row r="55761" hidden="1" x14ac:dyDescent="0.15"/>
    <row r="55762" hidden="1" x14ac:dyDescent="0.15"/>
    <row r="55763" hidden="1" x14ac:dyDescent="0.15"/>
    <row r="55764" hidden="1" x14ac:dyDescent="0.15"/>
    <row r="55765" hidden="1" x14ac:dyDescent="0.15"/>
    <row r="55766" hidden="1" x14ac:dyDescent="0.15"/>
    <row r="55767" hidden="1" x14ac:dyDescent="0.15"/>
    <row r="55768" hidden="1" x14ac:dyDescent="0.15"/>
    <row r="55769" hidden="1" x14ac:dyDescent="0.15"/>
    <row r="55770" hidden="1" x14ac:dyDescent="0.15"/>
    <row r="55771" hidden="1" x14ac:dyDescent="0.15"/>
    <row r="55772" hidden="1" x14ac:dyDescent="0.15"/>
    <row r="55773" hidden="1" x14ac:dyDescent="0.15"/>
    <row r="55774" hidden="1" x14ac:dyDescent="0.15"/>
    <row r="55775" hidden="1" x14ac:dyDescent="0.15"/>
    <row r="55776" hidden="1" x14ac:dyDescent="0.15"/>
    <row r="55777" hidden="1" x14ac:dyDescent="0.15"/>
    <row r="55778" hidden="1" x14ac:dyDescent="0.15"/>
    <row r="55779" hidden="1" x14ac:dyDescent="0.15"/>
    <row r="55780" hidden="1" x14ac:dyDescent="0.15"/>
    <row r="55781" hidden="1" x14ac:dyDescent="0.15"/>
    <row r="55782" hidden="1" x14ac:dyDescent="0.15"/>
    <row r="55783" hidden="1" x14ac:dyDescent="0.15"/>
    <row r="55784" hidden="1" x14ac:dyDescent="0.15"/>
    <row r="55785" hidden="1" x14ac:dyDescent="0.15"/>
    <row r="55786" hidden="1" x14ac:dyDescent="0.15"/>
    <row r="55787" hidden="1" x14ac:dyDescent="0.15"/>
    <row r="55788" hidden="1" x14ac:dyDescent="0.15"/>
    <row r="55789" hidden="1" x14ac:dyDescent="0.15"/>
    <row r="55790" hidden="1" x14ac:dyDescent="0.15"/>
    <row r="55791" hidden="1" x14ac:dyDescent="0.15"/>
    <row r="55792" hidden="1" x14ac:dyDescent="0.15"/>
    <row r="55793" hidden="1" x14ac:dyDescent="0.15"/>
    <row r="55794" hidden="1" x14ac:dyDescent="0.15"/>
    <row r="55795" hidden="1" x14ac:dyDescent="0.15"/>
    <row r="55796" hidden="1" x14ac:dyDescent="0.15"/>
    <row r="55797" hidden="1" x14ac:dyDescent="0.15"/>
    <row r="55798" hidden="1" x14ac:dyDescent="0.15"/>
    <row r="55799" hidden="1" x14ac:dyDescent="0.15"/>
    <row r="55800" hidden="1" x14ac:dyDescent="0.15"/>
    <row r="55801" hidden="1" x14ac:dyDescent="0.15"/>
    <row r="55802" hidden="1" x14ac:dyDescent="0.15"/>
    <row r="55803" hidden="1" x14ac:dyDescent="0.15"/>
    <row r="55804" hidden="1" x14ac:dyDescent="0.15"/>
    <row r="55805" hidden="1" x14ac:dyDescent="0.15"/>
    <row r="55806" hidden="1" x14ac:dyDescent="0.15"/>
    <row r="55807" hidden="1" x14ac:dyDescent="0.15"/>
    <row r="55808" hidden="1" x14ac:dyDescent="0.15"/>
    <row r="55809" hidden="1" x14ac:dyDescent="0.15"/>
    <row r="55810" hidden="1" x14ac:dyDescent="0.15"/>
    <row r="55811" hidden="1" x14ac:dyDescent="0.15"/>
    <row r="55812" hidden="1" x14ac:dyDescent="0.15"/>
    <row r="55813" hidden="1" x14ac:dyDescent="0.15"/>
    <row r="55814" hidden="1" x14ac:dyDescent="0.15"/>
    <row r="55815" hidden="1" x14ac:dyDescent="0.15"/>
    <row r="55816" hidden="1" x14ac:dyDescent="0.15"/>
    <row r="55817" hidden="1" x14ac:dyDescent="0.15"/>
    <row r="55818" hidden="1" x14ac:dyDescent="0.15"/>
    <row r="55819" hidden="1" x14ac:dyDescent="0.15"/>
    <row r="55820" hidden="1" x14ac:dyDescent="0.15"/>
    <row r="55821" hidden="1" x14ac:dyDescent="0.15"/>
    <row r="55822" hidden="1" x14ac:dyDescent="0.15"/>
    <row r="55823" hidden="1" x14ac:dyDescent="0.15"/>
    <row r="55824" hidden="1" x14ac:dyDescent="0.15"/>
    <row r="55825" hidden="1" x14ac:dyDescent="0.15"/>
    <row r="55826" hidden="1" x14ac:dyDescent="0.15"/>
    <row r="55827" hidden="1" x14ac:dyDescent="0.15"/>
    <row r="55828" hidden="1" x14ac:dyDescent="0.15"/>
    <row r="55829" hidden="1" x14ac:dyDescent="0.15"/>
    <row r="55830" hidden="1" x14ac:dyDescent="0.15"/>
    <row r="55831" hidden="1" x14ac:dyDescent="0.15"/>
    <row r="55832" hidden="1" x14ac:dyDescent="0.15"/>
    <row r="55833" hidden="1" x14ac:dyDescent="0.15"/>
    <row r="55834" hidden="1" x14ac:dyDescent="0.15"/>
    <row r="55835" hidden="1" x14ac:dyDescent="0.15"/>
    <row r="55836" hidden="1" x14ac:dyDescent="0.15"/>
    <row r="55837" hidden="1" x14ac:dyDescent="0.15"/>
    <row r="55838" hidden="1" x14ac:dyDescent="0.15"/>
    <row r="55839" hidden="1" x14ac:dyDescent="0.15"/>
    <row r="55840" hidden="1" x14ac:dyDescent="0.15"/>
    <row r="55841" hidden="1" x14ac:dyDescent="0.15"/>
    <row r="55842" hidden="1" x14ac:dyDescent="0.15"/>
    <row r="55843" hidden="1" x14ac:dyDescent="0.15"/>
    <row r="55844" hidden="1" x14ac:dyDescent="0.15"/>
    <row r="55845" hidden="1" x14ac:dyDescent="0.15"/>
    <row r="55846" hidden="1" x14ac:dyDescent="0.15"/>
    <row r="55847" hidden="1" x14ac:dyDescent="0.15"/>
    <row r="55848" hidden="1" x14ac:dyDescent="0.15"/>
    <row r="55849" hidden="1" x14ac:dyDescent="0.15"/>
    <row r="55850" hidden="1" x14ac:dyDescent="0.15"/>
    <row r="55851" hidden="1" x14ac:dyDescent="0.15"/>
    <row r="55852" hidden="1" x14ac:dyDescent="0.15"/>
    <row r="55853" hidden="1" x14ac:dyDescent="0.15"/>
    <row r="55854" hidden="1" x14ac:dyDescent="0.15"/>
    <row r="55855" hidden="1" x14ac:dyDescent="0.15"/>
    <row r="55856" hidden="1" x14ac:dyDescent="0.15"/>
    <row r="55857" hidden="1" x14ac:dyDescent="0.15"/>
    <row r="55858" hidden="1" x14ac:dyDescent="0.15"/>
    <row r="55859" hidden="1" x14ac:dyDescent="0.15"/>
    <row r="55860" hidden="1" x14ac:dyDescent="0.15"/>
    <row r="55861" hidden="1" x14ac:dyDescent="0.15"/>
    <row r="55862" hidden="1" x14ac:dyDescent="0.15"/>
    <row r="55863" hidden="1" x14ac:dyDescent="0.15"/>
    <row r="55864" hidden="1" x14ac:dyDescent="0.15"/>
    <row r="55865" hidden="1" x14ac:dyDescent="0.15"/>
    <row r="55866" hidden="1" x14ac:dyDescent="0.15"/>
    <row r="55867" hidden="1" x14ac:dyDescent="0.15"/>
    <row r="55868" hidden="1" x14ac:dyDescent="0.15"/>
    <row r="55869" hidden="1" x14ac:dyDescent="0.15"/>
    <row r="55870" hidden="1" x14ac:dyDescent="0.15"/>
    <row r="55871" hidden="1" x14ac:dyDescent="0.15"/>
    <row r="55872" hidden="1" x14ac:dyDescent="0.15"/>
    <row r="55873" hidden="1" x14ac:dyDescent="0.15"/>
    <row r="55874" hidden="1" x14ac:dyDescent="0.15"/>
    <row r="55875" hidden="1" x14ac:dyDescent="0.15"/>
    <row r="55876" hidden="1" x14ac:dyDescent="0.15"/>
    <row r="55877" hidden="1" x14ac:dyDescent="0.15"/>
    <row r="55878" hidden="1" x14ac:dyDescent="0.15"/>
    <row r="55879" hidden="1" x14ac:dyDescent="0.15"/>
    <row r="55880" hidden="1" x14ac:dyDescent="0.15"/>
    <row r="55881" hidden="1" x14ac:dyDescent="0.15"/>
    <row r="55882" hidden="1" x14ac:dyDescent="0.15"/>
    <row r="55883" hidden="1" x14ac:dyDescent="0.15"/>
    <row r="55884" hidden="1" x14ac:dyDescent="0.15"/>
    <row r="55885" hidden="1" x14ac:dyDescent="0.15"/>
    <row r="55886" hidden="1" x14ac:dyDescent="0.15"/>
    <row r="55887" hidden="1" x14ac:dyDescent="0.15"/>
    <row r="55888" hidden="1" x14ac:dyDescent="0.15"/>
    <row r="55889" hidden="1" x14ac:dyDescent="0.15"/>
    <row r="55890" hidden="1" x14ac:dyDescent="0.15"/>
    <row r="55891" hidden="1" x14ac:dyDescent="0.15"/>
    <row r="55892" hidden="1" x14ac:dyDescent="0.15"/>
    <row r="55893" hidden="1" x14ac:dyDescent="0.15"/>
    <row r="55894" hidden="1" x14ac:dyDescent="0.15"/>
    <row r="55895" hidden="1" x14ac:dyDescent="0.15"/>
    <row r="55896" hidden="1" x14ac:dyDescent="0.15"/>
    <row r="55897" hidden="1" x14ac:dyDescent="0.15"/>
    <row r="55898" hidden="1" x14ac:dyDescent="0.15"/>
    <row r="55899" hidden="1" x14ac:dyDescent="0.15"/>
    <row r="55900" hidden="1" x14ac:dyDescent="0.15"/>
    <row r="55901" hidden="1" x14ac:dyDescent="0.15"/>
    <row r="55902" hidden="1" x14ac:dyDescent="0.15"/>
    <row r="55903" hidden="1" x14ac:dyDescent="0.15"/>
    <row r="55904" hidden="1" x14ac:dyDescent="0.15"/>
    <row r="55905" hidden="1" x14ac:dyDescent="0.15"/>
    <row r="55906" hidden="1" x14ac:dyDescent="0.15"/>
    <row r="55907" hidden="1" x14ac:dyDescent="0.15"/>
    <row r="55908" hidden="1" x14ac:dyDescent="0.15"/>
    <row r="55909" hidden="1" x14ac:dyDescent="0.15"/>
    <row r="55910" hidden="1" x14ac:dyDescent="0.15"/>
    <row r="55911" hidden="1" x14ac:dyDescent="0.15"/>
    <row r="55912" hidden="1" x14ac:dyDescent="0.15"/>
    <row r="55913" hidden="1" x14ac:dyDescent="0.15"/>
    <row r="55914" hidden="1" x14ac:dyDescent="0.15"/>
    <row r="55915" hidden="1" x14ac:dyDescent="0.15"/>
    <row r="55916" hidden="1" x14ac:dyDescent="0.15"/>
    <row r="55917" hidden="1" x14ac:dyDescent="0.15"/>
    <row r="55918" hidden="1" x14ac:dyDescent="0.15"/>
    <row r="55919" hidden="1" x14ac:dyDescent="0.15"/>
    <row r="55920" hidden="1" x14ac:dyDescent="0.15"/>
    <row r="55921" hidden="1" x14ac:dyDescent="0.15"/>
    <row r="55922" hidden="1" x14ac:dyDescent="0.15"/>
    <row r="55923" hidden="1" x14ac:dyDescent="0.15"/>
    <row r="55924" hidden="1" x14ac:dyDescent="0.15"/>
    <row r="55925" hidden="1" x14ac:dyDescent="0.15"/>
    <row r="55926" hidden="1" x14ac:dyDescent="0.15"/>
    <row r="55927" hidden="1" x14ac:dyDescent="0.15"/>
    <row r="55928" hidden="1" x14ac:dyDescent="0.15"/>
    <row r="55929" hidden="1" x14ac:dyDescent="0.15"/>
    <row r="55930" hidden="1" x14ac:dyDescent="0.15"/>
    <row r="55931" hidden="1" x14ac:dyDescent="0.15"/>
    <row r="55932" hidden="1" x14ac:dyDescent="0.15"/>
    <row r="55933" hidden="1" x14ac:dyDescent="0.15"/>
    <row r="55934" hidden="1" x14ac:dyDescent="0.15"/>
    <row r="55935" hidden="1" x14ac:dyDescent="0.15"/>
    <row r="55936" hidden="1" x14ac:dyDescent="0.15"/>
    <row r="55937" hidden="1" x14ac:dyDescent="0.15"/>
    <row r="55938" hidden="1" x14ac:dyDescent="0.15"/>
    <row r="55939" hidden="1" x14ac:dyDescent="0.15"/>
    <row r="55940" hidden="1" x14ac:dyDescent="0.15"/>
    <row r="55941" hidden="1" x14ac:dyDescent="0.15"/>
    <row r="55942" hidden="1" x14ac:dyDescent="0.15"/>
    <row r="55943" hidden="1" x14ac:dyDescent="0.15"/>
    <row r="55944" hidden="1" x14ac:dyDescent="0.15"/>
    <row r="55945" hidden="1" x14ac:dyDescent="0.15"/>
    <row r="55946" hidden="1" x14ac:dyDescent="0.15"/>
    <row r="55947" hidden="1" x14ac:dyDescent="0.15"/>
    <row r="55948" hidden="1" x14ac:dyDescent="0.15"/>
    <row r="55949" hidden="1" x14ac:dyDescent="0.15"/>
    <row r="55950" hidden="1" x14ac:dyDescent="0.15"/>
    <row r="55951" hidden="1" x14ac:dyDescent="0.15"/>
    <row r="55952" hidden="1" x14ac:dyDescent="0.15"/>
    <row r="55953" hidden="1" x14ac:dyDescent="0.15"/>
    <row r="55954" hidden="1" x14ac:dyDescent="0.15"/>
    <row r="55955" hidden="1" x14ac:dyDescent="0.15"/>
    <row r="55956" hidden="1" x14ac:dyDescent="0.15"/>
    <row r="55957" hidden="1" x14ac:dyDescent="0.15"/>
    <row r="55958" hidden="1" x14ac:dyDescent="0.15"/>
    <row r="55959" hidden="1" x14ac:dyDescent="0.15"/>
    <row r="55960" hidden="1" x14ac:dyDescent="0.15"/>
    <row r="55961" hidden="1" x14ac:dyDescent="0.15"/>
    <row r="55962" hidden="1" x14ac:dyDescent="0.15"/>
    <row r="55963" hidden="1" x14ac:dyDescent="0.15"/>
    <row r="55964" hidden="1" x14ac:dyDescent="0.15"/>
    <row r="55965" hidden="1" x14ac:dyDescent="0.15"/>
    <row r="55966" hidden="1" x14ac:dyDescent="0.15"/>
    <row r="55967" hidden="1" x14ac:dyDescent="0.15"/>
    <row r="55968" hidden="1" x14ac:dyDescent="0.15"/>
    <row r="55969" hidden="1" x14ac:dyDescent="0.15"/>
    <row r="55970" hidden="1" x14ac:dyDescent="0.15"/>
    <row r="55971" hidden="1" x14ac:dyDescent="0.15"/>
    <row r="55972" hidden="1" x14ac:dyDescent="0.15"/>
    <row r="55973" hidden="1" x14ac:dyDescent="0.15"/>
    <row r="55974" hidden="1" x14ac:dyDescent="0.15"/>
    <row r="55975" hidden="1" x14ac:dyDescent="0.15"/>
    <row r="55976" hidden="1" x14ac:dyDescent="0.15"/>
    <row r="55977" hidden="1" x14ac:dyDescent="0.15"/>
    <row r="55978" hidden="1" x14ac:dyDescent="0.15"/>
    <row r="55979" hidden="1" x14ac:dyDescent="0.15"/>
    <row r="55980" hidden="1" x14ac:dyDescent="0.15"/>
    <row r="55981" hidden="1" x14ac:dyDescent="0.15"/>
    <row r="55982" hidden="1" x14ac:dyDescent="0.15"/>
    <row r="55983" hidden="1" x14ac:dyDescent="0.15"/>
    <row r="55984" hidden="1" x14ac:dyDescent="0.15"/>
    <row r="55985" hidden="1" x14ac:dyDescent="0.15"/>
    <row r="55986" hidden="1" x14ac:dyDescent="0.15"/>
    <row r="55987" hidden="1" x14ac:dyDescent="0.15"/>
    <row r="55988" hidden="1" x14ac:dyDescent="0.15"/>
    <row r="55989" hidden="1" x14ac:dyDescent="0.15"/>
    <row r="55990" hidden="1" x14ac:dyDescent="0.15"/>
    <row r="55991" hidden="1" x14ac:dyDescent="0.15"/>
    <row r="55992" hidden="1" x14ac:dyDescent="0.15"/>
    <row r="55993" hidden="1" x14ac:dyDescent="0.15"/>
    <row r="55994" hidden="1" x14ac:dyDescent="0.15"/>
    <row r="55995" hidden="1" x14ac:dyDescent="0.15"/>
    <row r="55996" hidden="1" x14ac:dyDescent="0.15"/>
    <row r="55997" hidden="1" x14ac:dyDescent="0.15"/>
    <row r="55998" hidden="1" x14ac:dyDescent="0.15"/>
    <row r="55999" hidden="1" x14ac:dyDescent="0.15"/>
    <row r="56000" hidden="1" x14ac:dyDescent="0.15"/>
    <row r="56001" hidden="1" x14ac:dyDescent="0.15"/>
    <row r="56002" hidden="1" x14ac:dyDescent="0.15"/>
    <row r="56003" hidden="1" x14ac:dyDescent="0.15"/>
    <row r="56004" hidden="1" x14ac:dyDescent="0.15"/>
    <row r="56005" hidden="1" x14ac:dyDescent="0.15"/>
    <row r="56006" hidden="1" x14ac:dyDescent="0.15"/>
    <row r="56007" hidden="1" x14ac:dyDescent="0.15"/>
    <row r="56008" hidden="1" x14ac:dyDescent="0.15"/>
    <row r="56009" hidden="1" x14ac:dyDescent="0.15"/>
    <row r="56010" hidden="1" x14ac:dyDescent="0.15"/>
    <row r="56011" hidden="1" x14ac:dyDescent="0.15"/>
    <row r="56012" hidden="1" x14ac:dyDescent="0.15"/>
    <row r="56013" hidden="1" x14ac:dyDescent="0.15"/>
    <row r="56014" hidden="1" x14ac:dyDescent="0.15"/>
    <row r="56015" hidden="1" x14ac:dyDescent="0.15"/>
    <row r="56016" hidden="1" x14ac:dyDescent="0.15"/>
    <row r="56017" hidden="1" x14ac:dyDescent="0.15"/>
    <row r="56018" hidden="1" x14ac:dyDescent="0.15"/>
    <row r="56019" hidden="1" x14ac:dyDescent="0.15"/>
    <row r="56020" hidden="1" x14ac:dyDescent="0.15"/>
    <row r="56021" hidden="1" x14ac:dyDescent="0.15"/>
    <row r="56022" hidden="1" x14ac:dyDescent="0.15"/>
    <row r="56023" hidden="1" x14ac:dyDescent="0.15"/>
    <row r="56024" hidden="1" x14ac:dyDescent="0.15"/>
    <row r="56025" hidden="1" x14ac:dyDescent="0.15"/>
    <row r="56026" hidden="1" x14ac:dyDescent="0.15"/>
    <row r="56027" hidden="1" x14ac:dyDescent="0.15"/>
    <row r="56028" hidden="1" x14ac:dyDescent="0.15"/>
    <row r="56029" hidden="1" x14ac:dyDescent="0.15"/>
    <row r="56030" hidden="1" x14ac:dyDescent="0.15"/>
    <row r="56031" hidden="1" x14ac:dyDescent="0.15"/>
    <row r="56032" hidden="1" x14ac:dyDescent="0.15"/>
    <row r="56033" hidden="1" x14ac:dyDescent="0.15"/>
    <row r="56034" hidden="1" x14ac:dyDescent="0.15"/>
    <row r="56035" hidden="1" x14ac:dyDescent="0.15"/>
    <row r="56036" hidden="1" x14ac:dyDescent="0.15"/>
    <row r="56037" hidden="1" x14ac:dyDescent="0.15"/>
    <row r="56038" hidden="1" x14ac:dyDescent="0.15"/>
    <row r="56039" hidden="1" x14ac:dyDescent="0.15"/>
    <row r="56040" hidden="1" x14ac:dyDescent="0.15"/>
    <row r="56041" hidden="1" x14ac:dyDescent="0.15"/>
    <row r="56042" hidden="1" x14ac:dyDescent="0.15"/>
    <row r="56043" hidden="1" x14ac:dyDescent="0.15"/>
    <row r="56044" hidden="1" x14ac:dyDescent="0.15"/>
    <row r="56045" hidden="1" x14ac:dyDescent="0.15"/>
    <row r="56046" hidden="1" x14ac:dyDescent="0.15"/>
    <row r="56047" hidden="1" x14ac:dyDescent="0.15"/>
    <row r="56048" hidden="1" x14ac:dyDescent="0.15"/>
    <row r="56049" hidden="1" x14ac:dyDescent="0.15"/>
    <row r="56050" hidden="1" x14ac:dyDescent="0.15"/>
    <row r="56051" hidden="1" x14ac:dyDescent="0.15"/>
    <row r="56052" hidden="1" x14ac:dyDescent="0.15"/>
    <row r="56053" hidden="1" x14ac:dyDescent="0.15"/>
    <row r="56054" hidden="1" x14ac:dyDescent="0.15"/>
    <row r="56055" hidden="1" x14ac:dyDescent="0.15"/>
    <row r="56056" hidden="1" x14ac:dyDescent="0.15"/>
    <row r="56057" hidden="1" x14ac:dyDescent="0.15"/>
    <row r="56058" hidden="1" x14ac:dyDescent="0.15"/>
    <row r="56059" hidden="1" x14ac:dyDescent="0.15"/>
    <row r="56060" hidden="1" x14ac:dyDescent="0.15"/>
    <row r="56061" hidden="1" x14ac:dyDescent="0.15"/>
    <row r="56062" hidden="1" x14ac:dyDescent="0.15"/>
    <row r="56063" hidden="1" x14ac:dyDescent="0.15"/>
    <row r="56064" hidden="1" x14ac:dyDescent="0.15"/>
    <row r="56065" hidden="1" x14ac:dyDescent="0.15"/>
    <row r="56066" hidden="1" x14ac:dyDescent="0.15"/>
    <row r="56067" hidden="1" x14ac:dyDescent="0.15"/>
    <row r="56068" hidden="1" x14ac:dyDescent="0.15"/>
    <row r="56069" hidden="1" x14ac:dyDescent="0.15"/>
    <row r="56070" hidden="1" x14ac:dyDescent="0.15"/>
    <row r="56071" hidden="1" x14ac:dyDescent="0.15"/>
    <row r="56072" hidden="1" x14ac:dyDescent="0.15"/>
    <row r="56073" hidden="1" x14ac:dyDescent="0.15"/>
    <row r="56074" hidden="1" x14ac:dyDescent="0.15"/>
    <row r="56075" hidden="1" x14ac:dyDescent="0.15"/>
    <row r="56076" hidden="1" x14ac:dyDescent="0.15"/>
    <row r="56077" hidden="1" x14ac:dyDescent="0.15"/>
    <row r="56078" hidden="1" x14ac:dyDescent="0.15"/>
    <row r="56079" hidden="1" x14ac:dyDescent="0.15"/>
    <row r="56080" hidden="1" x14ac:dyDescent="0.15"/>
    <row r="56081" hidden="1" x14ac:dyDescent="0.15"/>
    <row r="56082" hidden="1" x14ac:dyDescent="0.15"/>
    <row r="56083" hidden="1" x14ac:dyDescent="0.15"/>
    <row r="56084" hidden="1" x14ac:dyDescent="0.15"/>
    <row r="56085" hidden="1" x14ac:dyDescent="0.15"/>
    <row r="56086" hidden="1" x14ac:dyDescent="0.15"/>
    <row r="56087" hidden="1" x14ac:dyDescent="0.15"/>
    <row r="56088" hidden="1" x14ac:dyDescent="0.15"/>
    <row r="56089" hidden="1" x14ac:dyDescent="0.15"/>
    <row r="56090" hidden="1" x14ac:dyDescent="0.15"/>
    <row r="56091" hidden="1" x14ac:dyDescent="0.15"/>
    <row r="56092" hidden="1" x14ac:dyDescent="0.15"/>
    <row r="56093" hidden="1" x14ac:dyDescent="0.15"/>
    <row r="56094" hidden="1" x14ac:dyDescent="0.15"/>
    <row r="56095" hidden="1" x14ac:dyDescent="0.15"/>
    <row r="56096" hidden="1" x14ac:dyDescent="0.15"/>
    <row r="56097" hidden="1" x14ac:dyDescent="0.15"/>
    <row r="56098" hidden="1" x14ac:dyDescent="0.15"/>
    <row r="56099" hidden="1" x14ac:dyDescent="0.15"/>
    <row r="56100" hidden="1" x14ac:dyDescent="0.15"/>
    <row r="56101" hidden="1" x14ac:dyDescent="0.15"/>
    <row r="56102" hidden="1" x14ac:dyDescent="0.15"/>
    <row r="56103" hidden="1" x14ac:dyDescent="0.15"/>
    <row r="56104" hidden="1" x14ac:dyDescent="0.15"/>
    <row r="56105" hidden="1" x14ac:dyDescent="0.15"/>
    <row r="56106" hidden="1" x14ac:dyDescent="0.15"/>
    <row r="56107" hidden="1" x14ac:dyDescent="0.15"/>
    <row r="56108" hidden="1" x14ac:dyDescent="0.15"/>
    <row r="56109" hidden="1" x14ac:dyDescent="0.15"/>
    <row r="56110" hidden="1" x14ac:dyDescent="0.15"/>
    <row r="56111" hidden="1" x14ac:dyDescent="0.15"/>
    <row r="56112" hidden="1" x14ac:dyDescent="0.15"/>
    <row r="56113" hidden="1" x14ac:dyDescent="0.15"/>
    <row r="56114" hidden="1" x14ac:dyDescent="0.15"/>
    <row r="56115" hidden="1" x14ac:dyDescent="0.15"/>
    <row r="56116" hidden="1" x14ac:dyDescent="0.15"/>
    <row r="56117" hidden="1" x14ac:dyDescent="0.15"/>
    <row r="56118" hidden="1" x14ac:dyDescent="0.15"/>
    <row r="56119" hidden="1" x14ac:dyDescent="0.15"/>
    <row r="56120" hidden="1" x14ac:dyDescent="0.15"/>
    <row r="56121" hidden="1" x14ac:dyDescent="0.15"/>
    <row r="56122" hidden="1" x14ac:dyDescent="0.15"/>
    <row r="56123" hidden="1" x14ac:dyDescent="0.15"/>
    <row r="56124" hidden="1" x14ac:dyDescent="0.15"/>
    <row r="56125" hidden="1" x14ac:dyDescent="0.15"/>
    <row r="56126" hidden="1" x14ac:dyDescent="0.15"/>
    <row r="56127" hidden="1" x14ac:dyDescent="0.15"/>
    <row r="56128" hidden="1" x14ac:dyDescent="0.15"/>
    <row r="56129" hidden="1" x14ac:dyDescent="0.15"/>
    <row r="56130" hidden="1" x14ac:dyDescent="0.15"/>
    <row r="56131" hidden="1" x14ac:dyDescent="0.15"/>
    <row r="56132" hidden="1" x14ac:dyDescent="0.15"/>
    <row r="56133" hidden="1" x14ac:dyDescent="0.15"/>
    <row r="56134" hidden="1" x14ac:dyDescent="0.15"/>
    <row r="56135" hidden="1" x14ac:dyDescent="0.15"/>
    <row r="56136" hidden="1" x14ac:dyDescent="0.15"/>
    <row r="56137" hidden="1" x14ac:dyDescent="0.15"/>
    <row r="56138" hidden="1" x14ac:dyDescent="0.15"/>
    <row r="56139" hidden="1" x14ac:dyDescent="0.15"/>
    <row r="56140" hidden="1" x14ac:dyDescent="0.15"/>
    <row r="56141" hidden="1" x14ac:dyDescent="0.15"/>
    <row r="56142" hidden="1" x14ac:dyDescent="0.15"/>
    <row r="56143" hidden="1" x14ac:dyDescent="0.15"/>
    <row r="56144" hidden="1" x14ac:dyDescent="0.15"/>
    <row r="56145" hidden="1" x14ac:dyDescent="0.15"/>
    <row r="56146" hidden="1" x14ac:dyDescent="0.15"/>
    <row r="56147" hidden="1" x14ac:dyDescent="0.15"/>
    <row r="56148" hidden="1" x14ac:dyDescent="0.15"/>
    <row r="56149" hidden="1" x14ac:dyDescent="0.15"/>
    <row r="56150" hidden="1" x14ac:dyDescent="0.15"/>
    <row r="56151" hidden="1" x14ac:dyDescent="0.15"/>
    <row r="56152" hidden="1" x14ac:dyDescent="0.15"/>
    <row r="56153" hidden="1" x14ac:dyDescent="0.15"/>
    <row r="56154" hidden="1" x14ac:dyDescent="0.15"/>
    <row r="56155" hidden="1" x14ac:dyDescent="0.15"/>
    <row r="56156" hidden="1" x14ac:dyDescent="0.15"/>
    <row r="56157" hidden="1" x14ac:dyDescent="0.15"/>
    <row r="56158" hidden="1" x14ac:dyDescent="0.15"/>
    <row r="56159" hidden="1" x14ac:dyDescent="0.15"/>
    <row r="56160" hidden="1" x14ac:dyDescent="0.15"/>
    <row r="56161" hidden="1" x14ac:dyDescent="0.15"/>
    <row r="56162" hidden="1" x14ac:dyDescent="0.15"/>
    <row r="56163" hidden="1" x14ac:dyDescent="0.15"/>
    <row r="56164" hidden="1" x14ac:dyDescent="0.15"/>
    <row r="56165" hidden="1" x14ac:dyDescent="0.15"/>
    <row r="56166" hidden="1" x14ac:dyDescent="0.15"/>
    <row r="56167" hidden="1" x14ac:dyDescent="0.15"/>
    <row r="56168" hidden="1" x14ac:dyDescent="0.15"/>
    <row r="56169" hidden="1" x14ac:dyDescent="0.15"/>
    <row r="56170" hidden="1" x14ac:dyDescent="0.15"/>
    <row r="56171" hidden="1" x14ac:dyDescent="0.15"/>
    <row r="56172" hidden="1" x14ac:dyDescent="0.15"/>
    <row r="56173" hidden="1" x14ac:dyDescent="0.15"/>
    <row r="56174" hidden="1" x14ac:dyDescent="0.15"/>
    <row r="56175" hidden="1" x14ac:dyDescent="0.15"/>
    <row r="56176" hidden="1" x14ac:dyDescent="0.15"/>
    <row r="56177" hidden="1" x14ac:dyDescent="0.15"/>
    <row r="56178" hidden="1" x14ac:dyDescent="0.15"/>
    <row r="56179" hidden="1" x14ac:dyDescent="0.15"/>
    <row r="56180" hidden="1" x14ac:dyDescent="0.15"/>
    <row r="56181" hidden="1" x14ac:dyDescent="0.15"/>
    <row r="56182" hidden="1" x14ac:dyDescent="0.15"/>
    <row r="56183" hidden="1" x14ac:dyDescent="0.15"/>
    <row r="56184" hidden="1" x14ac:dyDescent="0.15"/>
    <row r="56185" hidden="1" x14ac:dyDescent="0.15"/>
    <row r="56186" hidden="1" x14ac:dyDescent="0.15"/>
    <row r="56187" hidden="1" x14ac:dyDescent="0.15"/>
    <row r="56188" hidden="1" x14ac:dyDescent="0.15"/>
    <row r="56189" hidden="1" x14ac:dyDescent="0.15"/>
    <row r="56190" hidden="1" x14ac:dyDescent="0.15"/>
    <row r="56191" hidden="1" x14ac:dyDescent="0.15"/>
    <row r="56192" hidden="1" x14ac:dyDescent="0.15"/>
    <row r="56193" hidden="1" x14ac:dyDescent="0.15"/>
    <row r="56194" hidden="1" x14ac:dyDescent="0.15"/>
    <row r="56195" hidden="1" x14ac:dyDescent="0.15"/>
    <row r="56196" hidden="1" x14ac:dyDescent="0.15"/>
    <row r="56197" hidden="1" x14ac:dyDescent="0.15"/>
    <row r="56198" hidden="1" x14ac:dyDescent="0.15"/>
    <row r="56199" hidden="1" x14ac:dyDescent="0.15"/>
    <row r="56200" hidden="1" x14ac:dyDescent="0.15"/>
    <row r="56201" hidden="1" x14ac:dyDescent="0.15"/>
    <row r="56202" hidden="1" x14ac:dyDescent="0.15"/>
    <row r="56203" hidden="1" x14ac:dyDescent="0.15"/>
    <row r="56204" hidden="1" x14ac:dyDescent="0.15"/>
    <row r="56205" hidden="1" x14ac:dyDescent="0.15"/>
    <row r="56206" hidden="1" x14ac:dyDescent="0.15"/>
    <row r="56207" hidden="1" x14ac:dyDescent="0.15"/>
    <row r="56208" hidden="1" x14ac:dyDescent="0.15"/>
    <row r="56209" hidden="1" x14ac:dyDescent="0.15"/>
    <row r="56210" hidden="1" x14ac:dyDescent="0.15"/>
    <row r="56211" hidden="1" x14ac:dyDescent="0.15"/>
    <row r="56212" hidden="1" x14ac:dyDescent="0.15"/>
    <row r="56213" hidden="1" x14ac:dyDescent="0.15"/>
    <row r="56214" hidden="1" x14ac:dyDescent="0.15"/>
    <row r="56215" hidden="1" x14ac:dyDescent="0.15"/>
    <row r="56216" hidden="1" x14ac:dyDescent="0.15"/>
    <row r="56217" hidden="1" x14ac:dyDescent="0.15"/>
    <row r="56218" hidden="1" x14ac:dyDescent="0.15"/>
    <row r="56219" hidden="1" x14ac:dyDescent="0.15"/>
    <row r="56220" hidden="1" x14ac:dyDescent="0.15"/>
    <row r="56221" hidden="1" x14ac:dyDescent="0.15"/>
    <row r="56222" hidden="1" x14ac:dyDescent="0.15"/>
    <row r="56223" hidden="1" x14ac:dyDescent="0.15"/>
    <row r="56224" hidden="1" x14ac:dyDescent="0.15"/>
    <row r="56225" hidden="1" x14ac:dyDescent="0.15"/>
    <row r="56226" hidden="1" x14ac:dyDescent="0.15"/>
    <row r="56227" hidden="1" x14ac:dyDescent="0.15"/>
    <row r="56228" hidden="1" x14ac:dyDescent="0.15"/>
    <row r="56229" hidden="1" x14ac:dyDescent="0.15"/>
    <row r="56230" hidden="1" x14ac:dyDescent="0.15"/>
    <row r="56231" hidden="1" x14ac:dyDescent="0.15"/>
    <row r="56232" hidden="1" x14ac:dyDescent="0.15"/>
    <row r="56233" hidden="1" x14ac:dyDescent="0.15"/>
    <row r="56234" hidden="1" x14ac:dyDescent="0.15"/>
    <row r="56235" hidden="1" x14ac:dyDescent="0.15"/>
    <row r="56236" hidden="1" x14ac:dyDescent="0.15"/>
    <row r="56237" hidden="1" x14ac:dyDescent="0.15"/>
    <row r="56238" hidden="1" x14ac:dyDescent="0.15"/>
    <row r="56239" hidden="1" x14ac:dyDescent="0.15"/>
    <row r="56240" hidden="1" x14ac:dyDescent="0.15"/>
    <row r="56241" hidden="1" x14ac:dyDescent="0.15"/>
    <row r="56242" hidden="1" x14ac:dyDescent="0.15"/>
    <row r="56243" hidden="1" x14ac:dyDescent="0.15"/>
    <row r="56244" hidden="1" x14ac:dyDescent="0.15"/>
    <row r="56245" hidden="1" x14ac:dyDescent="0.15"/>
    <row r="56246" hidden="1" x14ac:dyDescent="0.15"/>
    <row r="56247" hidden="1" x14ac:dyDescent="0.15"/>
    <row r="56248" hidden="1" x14ac:dyDescent="0.15"/>
    <row r="56249" hidden="1" x14ac:dyDescent="0.15"/>
    <row r="56250" hidden="1" x14ac:dyDescent="0.15"/>
    <row r="56251" hidden="1" x14ac:dyDescent="0.15"/>
    <row r="56252" hidden="1" x14ac:dyDescent="0.15"/>
    <row r="56253" hidden="1" x14ac:dyDescent="0.15"/>
    <row r="56254" hidden="1" x14ac:dyDescent="0.15"/>
    <row r="56255" hidden="1" x14ac:dyDescent="0.15"/>
    <row r="56256" hidden="1" x14ac:dyDescent="0.15"/>
    <row r="56257" hidden="1" x14ac:dyDescent="0.15"/>
    <row r="56258" hidden="1" x14ac:dyDescent="0.15"/>
    <row r="56259" hidden="1" x14ac:dyDescent="0.15"/>
    <row r="56260" hidden="1" x14ac:dyDescent="0.15"/>
    <row r="56261" hidden="1" x14ac:dyDescent="0.15"/>
    <row r="56262" hidden="1" x14ac:dyDescent="0.15"/>
    <row r="56263" hidden="1" x14ac:dyDescent="0.15"/>
    <row r="56264" hidden="1" x14ac:dyDescent="0.15"/>
    <row r="56265" hidden="1" x14ac:dyDescent="0.15"/>
    <row r="56266" hidden="1" x14ac:dyDescent="0.15"/>
    <row r="56267" hidden="1" x14ac:dyDescent="0.15"/>
    <row r="56268" hidden="1" x14ac:dyDescent="0.15"/>
    <row r="56269" hidden="1" x14ac:dyDescent="0.15"/>
    <row r="56270" hidden="1" x14ac:dyDescent="0.15"/>
    <row r="56271" hidden="1" x14ac:dyDescent="0.15"/>
    <row r="56272" hidden="1" x14ac:dyDescent="0.15"/>
    <row r="56273" hidden="1" x14ac:dyDescent="0.15"/>
    <row r="56274" hidden="1" x14ac:dyDescent="0.15"/>
    <row r="56275" hidden="1" x14ac:dyDescent="0.15"/>
    <row r="56276" hidden="1" x14ac:dyDescent="0.15"/>
    <row r="56277" hidden="1" x14ac:dyDescent="0.15"/>
    <row r="56278" hidden="1" x14ac:dyDescent="0.15"/>
    <row r="56279" hidden="1" x14ac:dyDescent="0.15"/>
    <row r="56280" hidden="1" x14ac:dyDescent="0.15"/>
    <row r="56281" hidden="1" x14ac:dyDescent="0.15"/>
    <row r="56282" hidden="1" x14ac:dyDescent="0.15"/>
    <row r="56283" hidden="1" x14ac:dyDescent="0.15"/>
    <row r="56284" hidden="1" x14ac:dyDescent="0.15"/>
    <row r="56285" hidden="1" x14ac:dyDescent="0.15"/>
    <row r="56286" hidden="1" x14ac:dyDescent="0.15"/>
    <row r="56287" hidden="1" x14ac:dyDescent="0.15"/>
    <row r="56288" hidden="1" x14ac:dyDescent="0.15"/>
    <row r="56289" hidden="1" x14ac:dyDescent="0.15"/>
    <row r="56290" hidden="1" x14ac:dyDescent="0.15"/>
    <row r="56291" hidden="1" x14ac:dyDescent="0.15"/>
    <row r="56292" hidden="1" x14ac:dyDescent="0.15"/>
    <row r="56293" hidden="1" x14ac:dyDescent="0.15"/>
    <row r="56294" hidden="1" x14ac:dyDescent="0.15"/>
    <row r="56295" hidden="1" x14ac:dyDescent="0.15"/>
    <row r="56296" hidden="1" x14ac:dyDescent="0.15"/>
    <row r="56297" hidden="1" x14ac:dyDescent="0.15"/>
    <row r="56298" hidden="1" x14ac:dyDescent="0.15"/>
    <row r="56299" hidden="1" x14ac:dyDescent="0.15"/>
    <row r="56300" hidden="1" x14ac:dyDescent="0.15"/>
    <row r="56301" hidden="1" x14ac:dyDescent="0.15"/>
    <row r="56302" hidden="1" x14ac:dyDescent="0.15"/>
    <row r="56303" hidden="1" x14ac:dyDescent="0.15"/>
    <row r="56304" hidden="1" x14ac:dyDescent="0.15"/>
    <row r="56305" hidden="1" x14ac:dyDescent="0.15"/>
    <row r="56306" hidden="1" x14ac:dyDescent="0.15"/>
    <row r="56307" hidden="1" x14ac:dyDescent="0.15"/>
    <row r="56308" hidden="1" x14ac:dyDescent="0.15"/>
    <row r="56309" hidden="1" x14ac:dyDescent="0.15"/>
    <row r="56310" hidden="1" x14ac:dyDescent="0.15"/>
    <row r="56311" hidden="1" x14ac:dyDescent="0.15"/>
    <row r="56312" hidden="1" x14ac:dyDescent="0.15"/>
    <row r="56313" hidden="1" x14ac:dyDescent="0.15"/>
    <row r="56314" hidden="1" x14ac:dyDescent="0.15"/>
    <row r="56315" hidden="1" x14ac:dyDescent="0.15"/>
    <row r="56316" hidden="1" x14ac:dyDescent="0.15"/>
    <row r="56317" hidden="1" x14ac:dyDescent="0.15"/>
    <row r="56318" hidden="1" x14ac:dyDescent="0.15"/>
    <row r="56319" hidden="1" x14ac:dyDescent="0.15"/>
    <row r="56320" hidden="1" x14ac:dyDescent="0.15"/>
    <row r="56321" hidden="1" x14ac:dyDescent="0.15"/>
    <row r="56322" hidden="1" x14ac:dyDescent="0.15"/>
    <row r="56323" hidden="1" x14ac:dyDescent="0.15"/>
    <row r="56324" hidden="1" x14ac:dyDescent="0.15"/>
    <row r="56325" hidden="1" x14ac:dyDescent="0.15"/>
    <row r="56326" hidden="1" x14ac:dyDescent="0.15"/>
    <row r="56327" hidden="1" x14ac:dyDescent="0.15"/>
    <row r="56328" hidden="1" x14ac:dyDescent="0.15"/>
    <row r="56329" hidden="1" x14ac:dyDescent="0.15"/>
    <row r="56330" hidden="1" x14ac:dyDescent="0.15"/>
    <row r="56331" hidden="1" x14ac:dyDescent="0.15"/>
    <row r="56332" hidden="1" x14ac:dyDescent="0.15"/>
    <row r="56333" hidden="1" x14ac:dyDescent="0.15"/>
    <row r="56334" hidden="1" x14ac:dyDescent="0.15"/>
    <row r="56335" hidden="1" x14ac:dyDescent="0.15"/>
    <row r="56336" hidden="1" x14ac:dyDescent="0.15"/>
    <row r="56337" hidden="1" x14ac:dyDescent="0.15"/>
    <row r="56338" hidden="1" x14ac:dyDescent="0.15"/>
    <row r="56339" hidden="1" x14ac:dyDescent="0.15"/>
    <row r="56340" hidden="1" x14ac:dyDescent="0.15"/>
    <row r="56341" hidden="1" x14ac:dyDescent="0.15"/>
    <row r="56342" hidden="1" x14ac:dyDescent="0.15"/>
    <row r="56343" hidden="1" x14ac:dyDescent="0.15"/>
    <row r="56344" hidden="1" x14ac:dyDescent="0.15"/>
    <row r="56345" hidden="1" x14ac:dyDescent="0.15"/>
    <row r="56346" hidden="1" x14ac:dyDescent="0.15"/>
    <row r="56347" hidden="1" x14ac:dyDescent="0.15"/>
    <row r="56348" hidden="1" x14ac:dyDescent="0.15"/>
    <row r="56349" hidden="1" x14ac:dyDescent="0.15"/>
    <row r="56350" hidden="1" x14ac:dyDescent="0.15"/>
    <row r="56351" hidden="1" x14ac:dyDescent="0.15"/>
    <row r="56352" hidden="1" x14ac:dyDescent="0.15"/>
    <row r="56353" hidden="1" x14ac:dyDescent="0.15"/>
    <row r="56354" hidden="1" x14ac:dyDescent="0.15"/>
    <row r="56355" hidden="1" x14ac:dyDescent="0.15"/>
    <row r="56356" hidden="1" x14ac:dyDescent="0.15"/>
    <row r="56357" hidden="1" x14ac:dyDescent="0.15"/>
    <row r="56358" hidden="1" x14ac:dyDescent="0.15"/>
    <row r="56359" hidden="1" x14ac:dyDescent="0.15"/>
    <row r="56360" hidden="1" x14ac:dyDescent="0.15"/>
    <row r="56361" hidden="1" x14ac:dyDescent="0.15"/>
    <row r="56362" hidden="1" x14ac:dyDescent="0.15"/>
    <row r="56363" hidden="1" x14ac:dyDescent="0.15"/>
    <row r="56364" hidden="1" x14ac:dyDescent="0.15"/>
    <row r="56365" hidden="1" x14ac:dyDescent="0.15"/>
    <row r="56366" hidden="1" x14ac:dyDescent="0.15"/>
    <row r="56367" hidden="1" x14ac:dyDescent="0.15"/>
    <row r="56368" hidden="1" x14ac:dyDescent="0.15"/>
    <row r="56369" hidden="1" x14ac:dyDescent="0.15"/>
    <row r="56370" hidden="1" x14ac:dyDescent="0.15"/>
    <row r="56371" hidden="1" x14ac:dyDescent="0.15"/>
    <row r="56372" hidden="1" x14ac:dyDescent="0.15"/>
    <row r="56373" hidden="1" x14ac:dyDescent="0.15"/>
    <row r="56374" hidden="1" x14ac:dyDescent="0.15"/>
    <row r="56375" hidden="1" x14ac:dyDescent="0.15"/>
    <row r="56376" hidden="1" x14ac:dyDescent="0.15"/>
    <row r="56377" hidden="1" x14ac:dyDescent="0.15"/>
    <row r="56378" hidden="1" x14ac:dyDescent="0.15"/>
    <row r="56379" hidden="1" x14ac:dyDescent="0.15"/>
    <row r="56380" hidden="1" x14ac:dyDescent="0.15"/>
    <row r="56381" hidden="1" x14ac:dyDescent="0.15"/>
    <row r="56382" hidden="1" x14ac:dyDescent="0.15"/>
    <row r="56383" hidden="1" x14ac:dyDescent="0.15"/>
    <row r="56384" hidden="1" x14ac:dyDescent="0.15"/>
    <row r="56385" hidden="1" x14ac:dyDescent="0.15"/>
    <row r="56386" hidden="1" x14ac:dyDescent="0.15"/>
    <row r="56387" hidden="1" x14ac:dyDescent="0.15"/>
    <row r="56388" hidden="1" x14ac:dyDescent="0.15"/>
    <row r="56389" hidden="1" x14ac:dyDescent="0.15"/>
    <row r="56390" hidden="1" x14ac:dyDescent="0.15"/>
    <row r="56391" hidden="1" x14ac:dyDescent="0.15"/>
    <row r="56392" hidden="1" x14ac:dyDescent="0.15"/>
    <row r="56393" hidden="1" x14ac:dyDescent="0.15"/>
    <row r="56394" hidden="1" x14ac:dyDescent="0.15"/>
    <row r="56395" hidden="1" x14ac:dyDescent="0.15"/>
    <row r="56396" hidden="1" x14ac:dyDescent="0.15"/>
    <row r="56397" hidden="1" x14ac:dyDescent="0.15"/>
    <row r="56398" hidden="1" x14ac:dyDescent="0.15"/>
    <row r="56399" hidden="1" x14ac:dyDescent="0.15"/>
    <row r="56400" hidden="1" x14ac:dyDescent="0.15"/>
    <row r="56401" hidden="1" x14ac:dyDescent="0.15"/>
    <row r="56402" hidden="1" x14ac:dyDescent="0.15"/>
    <row r="56403" hidden="1" x14ac:dyDescent="0.15"/>
    <row r="56404" hidden="1" x14ac:dyDescent="0.15"/>
    <row r="56405" hidden="1" x14ac:dyDescent="0.15"/>
    <row r="56406" hidden="1" x14ac:dyDescent="0.15"/>
    <row r="56407" hidden="1" x14ac:dyDescent="0.15"/>
    <row r="56408" hidden="1" x14ac:dyDescent="0.15"/>
    <row r="56409" hidden="1" x14ac:dyDescent="0.15"/>
    <row r="56410" hidden="1" x14ac:dyDescent="0.15"/>
    <row r="56411" hidden="1" x14ac:dyDescent="0.15"/>
    <row r="56412" hidden="1" x14ac:dyDescent="0.15"/>
    <row r="56413" hidden="1" x14ac:dyDescent="0.15"/>
    <row r="56414" hidden="1" x14ac:dyDescent="0.15"/>
    <row r="56415" hidden="1" x14ac:dyDescent="0.15"/>
    <row r="56416" hidden="1" x14ac:dyDescent="0.15"/>
    <row r="56417" hidden="1" x14ac:dyDescent="0.15"/>
    <row r="56418" hidden="1" x14ac:dyDescent="0.15"/>
    <row r="56419" hidden="1" x14ac:dyDescent="0.15"/>
    <row r="56420" hidden="1" x14ac:dyDescent="0.15"/>
    <row r="56421" hidden="1" x14ac:dyDescent="0.15"/>
    <row r="56422" hidden="1" x14ac:dyDescent="0.15"/>
    <row r="56423" hidden="1" x14ac:dyDescent="0.15"/>
    <row r="56424" hidden="1" x14ac:dyDescent="0.15"/>
    <row r="56425" hidden="1" x14ac:dyDescent="0.15"/>
    <row r="56426" hidden="1" x14ac:dyDescent="0.15"/>
    <row r="56427" hidden="1" x14ac:dyDescent="0.15"/>
    <row r="56428" hidden="1" x14ac:dyDescent="0.15"/>
    <row r="56429" hidden="1" x14ac:dyDescent="0.15"/>
    <row r="56430" hidden="1" x14ac:dyDescent="0.15"/>
    <row r="56431" hidden="1" x14ac:dyDescent="0.15"/>
    <row r="56432" hidden="1" x14ac:dyDescent="0.15"/>
    <row r="56433" hidden="1" x14ac:dyDescent="0.15"/>
    <row r="56434" hidden="1" x14ac:dyDescent="0.15"/>
    <row r="56435" hidden="1" x14ac:dyDescent="0.15"/>
    <row r="56436" hidden="1" x14ac:dyDescent="0.15"/>
    <row r="56437" hidden="1" x14ac:dyDescent="0.15"/>
    <row r="56438" hidden="1" x14ac:dyDescent="0.15"/>
    <row r="56439" hidden="1" x14ac:dyDescent="0.15"/>
    <row r="56440" hidden="1" x14ac:dyDescent="0.15"/>
    <row r="56441" hidden="1" x14ac:dyDescent="0.15"/>
    <row r="56442" hidden="1" x14ac:dyDescent="0.15"/>
    <row r="56443" hidden="1" x14ac:dyDescent="0.15"/>
    <row r="56444" hidden="1" x14ac:dyDescent="0.15"/>
    <row r="56445" hidden="1" x14ac:dyDescent="0.15"/>
    <row r="56446" hidden="1" x14ac:dyDescent="0.15"/>
    <row r="56447" hidden="1" x14ac:dyDescent="0.15"/>
    <row r="56448" hidden="1" x14ac:dyDescent="0.15"/>
    <row r="56449" hidden="1" x14ac:dyDescent="0.15"/>
    <row r="56450" hidden="1" x14ac:dyDescent="0.15"/>
    <row r="56451" hidden="1" x14ac:dyDescent="0.15"/>
    <row r="56452" hidden="1" x14ac:dyDescent="0.15"/>
    <row r="56453" hidden="1" x14ac:dyDescent="0.15"/>
    <row r="56454" hidden="1" x14ac:dyDescent="0.15"/>
    <row r="56455" hidden="1" x14ac:dyDescent="0.15"/>
    <row r="56456" hidden="1" x14ac:dyDescent="0.15"/>
    <row r="56457" hidden="1" x14ac:dyDescent="0.15"/>
    <row r="56458" hidden="1" x14ac:dyDescent="0.15"/>
    <row r="56459" hidden="1" x14ac:dyDescent="0.15"/>
    <row r="56460" hidden="1" x14ac:dyDescent="0.15"/>
    <row r="56461" hidden="1" x14ac:dyDescent="0.15"/>
    <row r="56462" hidden="1" x14ac:dyDescent="0.15"/>
    <row r="56463" hidden="1" x14ac:dyDescent="0.15"/>
    <row r="56464" hidden="1" x14ac:dyDescent="0.15"/>
    <row r="56465" hidden="1" x14ac:dyDescent="0.15"/>
    <row r="56466" hidden="1" x14ac:dyDescent="0.15"/>
    <row r="56467" hidden="1" x14ac:dyDescent="0.15"/>
    <row r="56468" hidden="1" x14ac:dyDescent="0.15"/>
    <row r="56469" hidden="1" x14ac:dyDescent="0.15"/>
    <row r="56470" hidden="1" x14ac:dyDescent="0.15"/>
    <row r="56471" hidden="1" x14ac:dyDescent="0.15"/>
    <row r="56472" hidden="1" x14ac:dyDescent="0.15"/>
    <row r="56473" hidden="1" x14ac:dyDescent="0.15"/>
    <row r="56474" hidden="1" x14ac:dyDescent="0.15"/>
    <row r="56475" hidden="1" x14ac:dyDescent="0.15"/>
    <row r="56476" hidden="1" x14ac:dyDescent="0.15"/>
    <row r="56477" hidden="1" x14ac:dyDescent="0.15"/>
    <row r="56478" hidden="1" x14ac:dyDescent="0.15"/>
    <row r="56479" hidden="1" x14ac:dyDescent="0.15"/>
    <row r="56480" hidden="1" x14ac:dyDescent="0.15"/>
    <row r="56481" hidden="1" x14ac:dyDescent="0.15"/>
    <row r="56482" hidden="1" x14ac:dyDescent="0.15"/>
    <row r="56483" hidden="1" x14ac:dyDescent="0.15"/>
    <row r="56484" hidden="1" x14ac:dyDescent="0.15"/>
    <row r="56485" hidden="1" x14ac:dyDescent="0.15"/>
    <row r="56486" hidden="1" x14ac:dyDescent="0.15"/>
    <row r="56487" hidden="1" x14ac:dyDescent="0.15"/>
    <row r="56488" hidden="1" x14ac:dyDescent="0.15"/>
    <row r="56489" hidden="1" x14ac:dyDescent="0.15"/>
    <row r="56490" hidden="1" x14ac:dyDescent="0.15"/>
    <row r="56491" hidden="1" x14ac:dyDescent="0.15"/>
    <row r="56492" hidden="1" x14ac:dyDescent="0.15"/>
    <row r="56493" hidden="1" x14ac:dyDescent="0.15"/>
    <row r="56494" hidden="1" x14ac:dyDescent="0.15"/>
    <row r="56495" hidden="1" x14ac:dyDescent="0.15"/>
    <row r="56496" hidden="1" x14ac:dyDescent="0.15"/>
    <row r="56497" hidden="1" x14ac:dyDescent="0.15"/>
    <row r="56498" hidden="1" x14ac:dyDescent="0.15"/>
    <row r="56499" hidden="1" x14ac:dyDescent="0.15"/>
    <row r="56500" hidden="1" x14ac:dyDescent="0.15"/>
    <row r="56501" hidden="1" x14ac:dyDescent="0.15"/>
    <row r="56502" hidden="1" x14ac:dyDescent="0.15"/>
    <row r="56503" hidden="1" x14ac:dyDescent="0.15"/>
    <row r="56504" hidden="1" x14ac:dyDescent="0.15"/>
    <row r="56505" hidden="1" x14ac:dyDescent="0.15"/>
    <row r="56506" hidden="1" x14ac:dyDescent="0.15"/>
    <row r="56507" hidden="1" x14ac:dyDescent="0.15"/>
    <row r="56508" hidden="1" x14ac:dyDescent="0.15"/>
    <row r="56509" hidden="1" x14ac:dyDescent="0.15"/>
    <row r="56510" hidden="1" x14ac:dyDescent="0.15"/>
    <row r="56511" hidden="1" x14ac:dyDescent="0.15"/>
    <row r="56512" hidden="1" x14ac:dyDescent="0.15"/>
    <row r="56513" hidden="1" x14ac:dyDescent="0.15"/>
    <row r="56514" hidden="1" x14ac:dyDescent="0.15"/>
    <row r="56515" hidden="1" x14ac:dyDescent="0.15"/>
    <row r="56516" hidden="1" x14ac:dyDescent="0.15"/>
    <row r="56517" hidden="1" x14ac:dyDescent="0.15"/>
    <row r="56518" hidden="1" x14ac:dyDescent="0.15"/>
    <row r="56519" hidden="1" x14ac:dyDescent="0.15"/>
    <row r="56520" hidden="1" x14ac:dyDescent="0.15"/>
    <row r="56521" hidden="1" x14ac:dyDescent="0.15"/>
    <row r="56522" hidden="1" x14ac:dyDescent="0.15"/>
    <row r="56523" hidden="1" x14ac:dyDescent="0.15"/>
    <row r="56524" hidden="1" x14ac:dyDescent="0.15"/>
    <row r="56525" hidden="1" x14ac:dyDescent="0.15"/>
    <row r="56526" hidden="1" x14ac:dyDescent="0.15"/>
    <row r="56527" hidden="1" x14ac:dyDescent="0.15"/>
    <row r="56528" hidden="1" x14ac:dyDescent="0.15"/>
    <row r="56529" hidden="1" x14ac:dyDescent="0.15"/>
    <row r="56530" hidden="1" x14ac:dyDescent="0.15"/>
    <row r="56531" hidden="1" x14ac:dyDescent="0.15"/>
    <row r="56532" hidden="1" x14ac:dyDescent="0.15"/>
    <row r="56533" hidden="1" x14ac:dyDescent="0.15"/>
    <row r="56534" hidden="1" x14ac:dyDescent="0.15"/>
    <row r="56535" hidden="1" x14ac:dyDescent="0.15"/>
    <row r="56536" hidden="1" x14ac:dyDescent="0.15"/>
    <row r="56537" hidden="1" x14ac:dyDescent="0.15"/>
    <row r="56538" hidden="1" x14ac:dyDescent="0.15"/>
    <row r="56539" hidden="1" x14ac:dyDescent="0.15"/>
    <row r="56540" hidden="1" x14ac:dyDescent="0.15"/>
    <row r="56541" hidden="1" x14ac:dyDescent="0.15"/>
    <row r="56542" hidden="1" x14ac:dyDescent="0.15"/>
    <row r="56543" hidden="1" x14ac:dyDescent="0.15"/>
    <row r="56544" hidden="1" x14ac:dyDescent="0.15"/>
    <row r="56545" hidden="1" x14ac:dyDescent="0.15"/>
    <row r="56546" hidden="1" x14ac:dyDescent="0.15"/>
    <row r="56547" hidden="1" x14ac:dyDescent="0.15"/>
    <row r="56548" hidden="1" x14ac:dyDescent="0.15"/>
    <row r="56549" hidden="1" x14ac:dyDescent="0.15"/>
    <row r="56550" hidden="1" x14ac:dyDescent="0.15"/>
    <row r="56551" hidden="1" x14ac:dyDescent="0.15"/>
    <row r="56552" hidden="1" x14ac:dyDescent="0.15"/>
    <row r="56553" hidden="1" x14ac:dyDescent="0.15"/>
    <row r="56554" hidden="1" x14ac:dyDescent="0.15"/>
    <row r="56555" hidden="1" x14ac:dyDescent="0.15"/>
    <row r="56556" hidden="1" x14ac:dyDescent="0.15"/>
    <row r="56557" hidden="1" x14ac:dyDescent="0.15"/>
    <row r="56558" hidden="1" x14ac:dyDescent="0.15"/>
    <row r="56559" hidden="1" x14ac:dyDescent="0.15"/>
    <row r="56560" hidden="1" x14ac:dyDescent="0.15"/>
    <row r="56561" hidden="1" x14ac:dyDescent="0.15"/>
    <row r="56562" hidden="1" x14ac:dyDescent="0.15"/>
    <row r="56563" hidden="1" x14ac:dyDescent="0.15"/>
    <row r="56564" hidden="1" x14ac:dyDescent="0.15"/>
    <row r="56565" hidden="1" x14ac:dyDescent="0.15"/>
    <row r="56566" hidden="1" x14ac:dyDescent="0.15"/>
    <row r="56567" hidden="1" x14ac:dyDescent="0.15"/>
    <row r="56568" hidden="1" x14ac:dyDescent="0.15"/>
    <row r="56569" hidden="1" x14ac:dyDescent="0.15"/>
    <row r="56570" hidden="1" x14ac:dyDescent="0.15"/>
    <row r="56571" hidden="1" x14ac:dyDescent="0.15"/>
    <row r="56572" hidden="1" x14ac:dyDescent="0.15"/>
    <row r="56573" hidden="1" x14ac:dyDescent="0.15"/>
    <row r="56574" hidden="1" x14ac:dyDescent="0.15"/>
    <row r="56575" hidden="1" x14ac:dyDescent="0.15"/>
    <row r="56576" hidden="1" x14ac:dyDescent="0.15"/>
    <row r="56577" hidden="1" x14ac:dyDescent="0.15"/>
    <row r="56578" hidden="1" x14ac:dyDescent="0.15"/>
    <row r="56579" hidden="1" x14ac:dyDescent="0.15"/>
    <row r="56580" hidden="1" x14ac:dyDescent="0.15"/>
    <row r="56581" hidden="1" x14ac:dyDescent="0.15"/>
    <row r="56582" hidden="1" x14ac:dyDescent="0.15"/>
    <row r="56583" hidden="1" x14ac:dyDescent="0.15"/>
    <row r="56584" hidden="1" x14ac:dyDescent="0.15"/>
    <row r="56585" hidden="1" x14ac:dyDescent="0.15"/>
    <row r="56586" hidden="1" x14ac:dyDescent="0.15"/>
    <row r="56587" hidden="1" x14ac:dyDescent="0.15"/>
    <row r="56588" hidden="1" x14ac:dyDescent="0.15"/>
    <row r="56589" hidden="1" x14ac:dyDescent="0.15"/>
    <row r="56590" hidden="1" x14ac:dyDescent="0.15"/>
    <row r="56591" hidden="1" x14ac:dyDescent="0.15"/>
    <row r="56592" hidden="1" x14ac:dyDescent="0.15"/>
    <row r="56593" hidden="1" x14ac:dyDescent="0.15"/>
    <row r="56594" hidden="1" x14ac:dyDescent="0.15"/>
    <row r="56595" hidden="1" x14ac:dyDescent="0.15"/>
    <row r="56596" hidden="1" x14ac:dyDescent="0.15"/>
    <row r="56597" hidden="1" x14ac:dyDescent="0.15"/>
    <row r="56598" hidden="1" x14ac:dyDescent="0.15"/>
    <row r="56599" hidden="1" x14ac:dyDescent="0.15"/>
    <row r="56600" hidden="1" x14ac:dyDescent="0.15"/>
    <row r="56601" hidden="1" x14ac:dyDescent="0.15"/>
    <row r="56602" hidden="1" x14ac:dyDescent="0.15"/>
    <row r="56603" hidden="1" x14ac:dyDescent="0.15"/>
    <row r="56604" hidden="1" x14ac:dyDescent="0.15"/>
    <row r="56605" hidden="1" x14ac:dyDescent="0.15"/>
    <row r="56606" hidden="1" x14ac:dyDescent="0.15"/>
    <row r="56607" hidden="1" x14ac:dyDescent="0.15"/>
    <row r="56608" hidden="1" x14ac:dyDescent="0.15"/>
    <row r="56609" hidden="1" x14ac:dyDescent="0.15"/>
    <row r="56610" hidden="1" x14ac:dyDescent="0.15"/>
    <row r="56611" hidden="1" x14ac:dyDescent="0.15"/>
    <row r="56612" hidden="1" x14ac:dyDescent="0.15"/>
    <row r="56613" hidden="1" x14ac:dyDescent="0.15"/>
    <row r="56614" hidden="1" x14ac:dyDescent="0.15"/>
    <row r="56615" hidden="1" x14ac:dyDescent="0.15"/>
    <row r="56616" hidden="1" x14ac:dyDescent="0.15"/>
    <row r="56617" hidden="1" x14ac:dyDescent="0.15"/>
    <row r="56618" hidden="1" x14ac:dyDescent="0.15"/>
    <row r="56619" hidden="1" x14ac:dyDescent="0.15"/>
    <row r="56620" hidden="1" x14ac:dyDescent="0.15"/>
    <row r="56621" hidden="1" x14ac:dyDescent="0.15"/>
    <row r="56622" hidden="1" x14ac:dyDescent="0.15"/>
    <row r="56623" hidden="1" x14ac:dyDescent="0.15"/>
    <row r="56624" hidden="1" x14ac:dyDescent="0.15"/>
    <row r="56625" hidden="1" x14ac:dyDescent="0.15"/>
    <row r="56626" hidden="1" x14ac:dyDescent="0.15"/>
    <row r="56627" hidden="1" x14ac:dyDescent="0.15"/>
    <row r="56628" hidden="1" x14ac:dyDescent="0.15"/>
    <row r="56629" hidden="1" x14ac:dyDescent="0.15"/>
    <row r="56630" hidden="1" x14ac:dyDescent="0.15"/>
    <row r="56631" hidden="1" x14ac:dyDescent="0.15"/>
    <row r="56632" hidden="1" x14ac:dyDescent="0.15"/>
    <row r="56633" hidden="1" x14ac:dyDescent="0.15"/>
    <row r="56634" hidden="1" x14ac:dyDescent="0.15"/>
    <row r="56635" hidden="1" x14ac:dyDescent="0.15"/>
    <row r="56636" hidden="1" x14ac:dyDescent="0.15"/>
    <row r="56637" hidden="1" x14ac:dyDescent="0.15"/>
    <row r="56638" hidden="1" x14ac:dyDescent="0.15"/>
    <row r="56639" hidden="1" x14ac:dyDescent="0.15"/>
    <row r="56640" hidden="1" x14ac:dyDescent="0.15"/>
    <row r="56641" hidden="1" x14ac:dyDescent="0.15"/>
    <row r="56642" hidden="1" x14ac:dyDescent="0.15"/>
    <row r="56643" hidden="1" x14ac:dyDescent="0.15"/>
    <row r="56644" hidden="1" x14ac:dyDescent="0.15"/>
    <row r="56645" hidden="1" x14ac:dyDescent="0.15"/>
    <row r="56646" hidden="1" x14ac:dyDescent="0.15"/>
    <row r="56647" hidden="1" x14ac:dyDescent="0.15"/>
    <row r="56648" hidden="1" x14ac:dyDescent="0.15"/>
    <row r="56649" hidden="1" x14ac:dyDescent="0.15"/>
    <row r="56650" hidden="1" x14ac:dyDescent="0.15"/>
    <row r="56651" hidden="1" x14ac:dyDescent="0.15"/>
    <row r="56652" hidden="1" x14ac:dyDescent="0.15"/>
    <row r="56653" hidden="1" x14ac:dyDescent="0.15"/>
    <row r="56654" hidden="1" x14ac:dyDescent="0.15"/>
    <row r="56655" hidden="1" x14ac:dyDescent="0.15"/>
    <row r="56656" hidden="1" x14ac:dyDescent="0.15"/>
    <row r="56657" hidden="1" x14ac:dyDescent="0.15"/>
    <row r="56658" hidden="1" x14ac:dyDescent="0.15"/>
    <row r="56659" hidden="1" x14ac:dyDescent="0.15"/>
    <row r="56660" hidden="1" x14ac:dyDescent="0.15"/>
    <row r="56661" hidden="1" x14ac:dyDescent="0.15"/>
    <row r="56662" hidden="1" x14ac:dyDescent="0.15"/>
    <row r="56663" hidden="1" x14ac:dyDescent="0.15"/>
    <row r="56664" hidden="1" x14ac:dyDescent="0.15"/>
    <row r="56665" hidden="1" x14ac:dyDescent="0.15"/>
    <row r="56666" hidden="1" x14ac:dyDescent="0.15"/>
    <row r="56667" hidden="1" x14ac:dyDescent="0.15"/>
    <row r="56668" hidden="1" x14ac:dyDescent="0.15"/>
    <row r="56669" hidden="1" x14ac:dyDescent="0.15"/>
    <row r="56670" hidden="1" x14ac:dyDescent="0.15"/>
    <row r="56671" hidden="1" x14ac:dyDescent="0.15"/>
    <row r="56672" hidden="1" x14ac:dyDescent="0.15"/>
    <row r="56673" hidden="1" x14ac:dyDescent="0.15"/>
    <row r="56674" hidden="1" x14ac:dyDescent="0.15"/>
    <row r="56675" hidden="1" x14ac:dyDescent="0.15"/>
    <row r="56676" hidden="1" x14ac:dyDescent="0.15"/>
    <row r="56677" hidden="1" x14ac:dyDescent="0.15"/>
    <row r="56678" hidden="1" x14ac:dyDescent="0.15"/>
    <row r="56679" hidden="1" x14ac:dyDescent="0.15"/>
    <row r="56680" hidden="1" x14ac:dyDescent="0.15"/>
    <row r="56681" hidden="1" x14ac:dyDescent="0.15"/>
    <row r="56682" hidden="1" x14ac:dyDescent="0.15"/>
    <row r="56683" hidden="1" x14ac:dyDescent="0.15"/>
    <row r="56684" hidden="1" x14ac:dyDescent="0.15"/>
    <row r="56685" hidden="1" x14ac:dyDescent="0.15"/>
    <row r="56686" hidden="1" x14ac:dyDescent="0.15"/>
    <row r="56687" hidden="1" x14ac:dyDescent="0.15"/>
    <row r="56688" hidden="1" x14ac:dyDescent="0.15"/>
    <row r="56689" hidden="1" x14ac:dyDescent="0.15"/>
    <row r="56690" hidden="1" x14ac:dyDescent="0.15"/>
    <row r="56691" hidden="1" x14ac:dyDescent="0.15"/>
    <row r="56692" hidden="1" x14ac:dyDescent="0.15"/>
    <row r="56693" hidden="1" x14ac:dyDescent="0.15"/>
    <row r="56694" hidden="1" x14ac:dyDescent="0.15"/>
    <row r="56695" hidden="1" x14ac:dyDescent="0.15"/>
    <row r="56696" hidden="1" x14ac:dyDescent="0.15"/>
    <row r="56697" hidden="1" x14ac:dyDescent="0.15"/>
    <row r="56698" hidden="1" x14ac:dyDescent="0.15"/>
    <row r="56699" hidden="1" x14ac:dyDescent="0.15"/>
    <row r="56700" hidden="1" x14ac:dyDescent="0.15"/>
    <row r="56701" hidden="1" x14ac:dyDescent="0.15"/>
    <row r="56702" hidden="1" x14ac:dyDescent="0.15"/>
    <row r="56703" hidden="1" x14ac:dyDescent="0.15"/>
    <row r="56704" hidden="1" x14ac:dyDescent="0.15"/>
    <row r="56705" hidden="1" x14ac:dyDescent="0.15"/>
    <row r="56706" hidden="1" x14ac:dyDescent="0.15"/>
    <row r="56707" hidden="1" x14ac:dyDescent="0.15"/>
    <row r="56708" hidden="1" x14ac:dyDescent="0.15"/>
    <row r="56709" hidden="1" x14ac:dyDescent="0.15"/>
    <row r="56710" hidden="1" x14ac:dyDescent="0.15"/>
    <row r="56711" hidden="1" x14ac:dyDescent="0.15"/>
    <row r="56712" hidden="1" x14ac:dyDescent="0.15"/>
    <row r="56713" hidden="1" x14ac:dyDescent="0.15"/>
    <row r="56714" hidden="1" x14ac:dyDescent="0.15"/>
    <row r="56715" hidden="1" x14ac:dyDescent="0.15"/>
    <row r="56716" hidden="1" x14ac:dyDescent="0.15"/>
    <row r="56717" hidden="1" x14ac:dyDescent="0.15"/>
    <row r="56718" hidden="1" x14ac:dyDescent="0.15"/>
    <row r="56719" hidden="1" x14ac:dyDescent="0.15"/>
    <row r="56720" hidden="1" x14ac:dyDescent="0.15"/>
    <row r="56721" hidden="1" x14ac:dyDescent="0.15"/>
    <row r="56722" hidden="1" x14ac:dyDescent="0.15"/>
    <row r="56723" hidden="1" x14ac:dyDescent="0.15"/>
    <row r="56724" hidden="1" x14ac:dyDescent="0.15"/>
    <row r="56725" hidden="1" x14ac:dyDescent="0.15"/>
    <row r="56726" hidden="1" x14ac:dyDescent="0.15"/>
    <row r="56727" hidden="1" x14ac:dyDescent="0.15"/>
    <row r="56728" hidden="1" x14ac:dyDescent="0.15"/>
    <row r="56729" hidden="1" x14ac:dyDescent="0.15"/>
    <row r="56730" hidden="1" x14ac:dyDescent="0.15"/>
    <row r="56731" hidden="1" x14ac:dyDescent="0.15"/>
    <row r="56732" hidden="1" x14ac:dyDescent="0.15"/>
    <row r="56733" hidden="1" x14ac:dyDescent="0.15"/>
    <row r="56734" hidden="1" x14ac:dyDescent="0.15"/>
    <row r="56735" hidden="1" x14ac:dyDescent="0.15"/>
    <row r="56736" hidden="1" x14ac:dyDescent="0.15"/>
    <row r="56737" hidden="1" x14ac:dyDescent="0.15"/>
    <row r="56738" hidden="1" x14ac:dyDescent="0.15"/>
    <row r="56739" hidden="1" x14ac:dyDescent="0.15"/>
    <row r="56740" hidden="1" x14ac:dyDescent="0.15"/>
    <row r="56741" hidden="1" x14ac:dyDescent="0.15"/>
    <row r="56742" hidden="1" x14ac:dyDescent="0.15"/>
    <row r="56743" hidden="1" x14ac:dyDescent="0.15"/>
    <row r="56744" hidden="1" x14ac:dyDescent="0.15"/>
    <row r="56745" hidden="1" x14ac:dyDescent="0.15"/>
    <row r="56746" hidden="1" x14ac:dyDescent="0.15"/>
    <row r="56747" hidden="1" x14ac:dyDescent="0.15"/>
    <row r="56748" hidden="1" x14ac:dyDescent="0.15"/>
    <row r="56749" hidden="1" x14ac:dyDescent="0.15"/>
    <row r="56750" hidden="1" x14ac:dyDescent="0.15"/>
    <row r="56751" hidden="1" x14ac:dyDescent="0.15"/>
    <row r="56752" hidden="1" x14ac:dyDescent="0.15"/>
    <row r="56753" hidden="1" x14ac:dyDescent="0.15"/>
    <row r="56754" hidden="1" x14ac:dyDescent="0.15"/>
    <row r="56755" hidden="1" x14ac:dyDescent="0.15"/>
    <row r="56756" hidden="1" x14ac:dyDescent="0.15"/>
    <row r="56757" hidden="1" x14ac:dyDescent="0.15"/>
    <row r="56758" hidden="1" x14ac:dyDescent="0.15"/>
    <row r="56759" hidden="1" x14ac:dyDescent="0.15"/>
    <row r="56760" hidden="1" x14ac:dyDescent="0.15"/>
    <row r="56761" hidden="1" x14ac:dyDescent="0.15"/>
    <row r="56762" hidden="1" x14ac:dyDescent="0.15"/>
    <row r="56763" hidden="1" x14ac:dyDescent="0.15"/>
    <row r="56764" hidden="1" x14ac:dyDescent="0.15"/>
    <row r="56765" hidden="1" x14ac:dyDescent="0.15"/>
    <row r="56766" hidden="1" x14ac:dyDescent="0.15"/>
    <row r="56767" hidden="1" x14ac:dyDescent="0.15"/>
    <row r="56768" hidden="1" x14ac:dyDescent="0.15"/>
    <row r="56769" hidden="1" x14ac:dyDescent="0.15"/>
    <row r="56770" hidden="1" x14ac:dyDescent="0.15"/>
    <row r="56771" hidden="1" x14ac:dyDescent="0.15"/>
    <row r="56772" hidden="1" x14ac:dyDescent="0.15"/>
    <row r="56773" hidden="1" x14ac:dyDescent="0.15"/>
    <row r="56774" hidden="1" x14ac:dyDescent="0.15"/>
    <row r="56775" hidden="1" x14ac:dyDescent="0.15"/>
    <row r="56776" hidden="1" x14ac:dyDescent="0.15"/>
    <row r="56777" hidden="1" x14ac:dyDescent="0.15"/>
    <row r="56778" hidden="1" x14ac:dyDescent="0.15"/>
    <row r="56779" hidden="1" x14ac:dyDescent="0.15"/>
    <row r="56780" hidden="1" x14ac:dyDescent="0.15"/>
    <row r="56781" hidden="1" x14ac:dyDescent="0.15"/>
    <row r="56782" hidden="1" x14ac:dyDescent="0.15"/>
    <row r="56783" hidden="1" x14ac:dyDescent="0.15"/>
    <row r="56784" hidden="1" x14ac:dyDescent="0.15"/>
    <row r="56785" hidden="1" x14ac:dyDescent="0.15"/>
    <row r="56786" hidden="1" x14ac:dyDescent="0.15"/>
    <row r="56787" hidden="1" x14ac:dyDescent="0.15"/>
    <row r="56788" hidden="1" x14ac:dyDescent="0.15"/>
    <row r="56789" hidden="1" x14ac:dyDescent="0.15"/>
    <row r="56790" hidden="1" x14ac:dyDescent="0.15"/>
    <row r="56791" hidden="1" x14ac:dyDescent="0.15"/>
    <row r="56792" hidden="1" x14ac:dyDescent="0.15"/>
    <row r="56793" hidden="1" x14ac:dyDescent="0.15"/>
    <row r="56794" hidden="1" x14ac:dyDescent="0.15"/>
    <row r="56795" hidden="1" x14ac:dyDescent="0.15"/>
    <row r="56796" hidden="1" x14ac:dyDescent="0.15"/>
    <row r="56797" hidden="1" x14ac:dyDescent="0.15"/>
    <row r="56798" hidden="1" x14ac:dyDescent="0.15"/>
    <row r="56799" hidden="1" x14ac:dyDescent="0.15"/>
    <row r="56800" hidden="1" x14ac:dyDescent="0.15"/>
    <row r="56801" hidden="1" x14ac:dyDescent="0.15"/>
    <row r="56802" hidden="1" x14ac:dyDescent="0.15"/>
    <row r="56803" hidden="1" x14ac:dyDescent="0.15"/>
    <row r="56804" hidden="1" x14ac:dyDescent="0.15"/>
    <row r="56805" hidden="1" x14ac:dyDescent="0.15"/>
    <row r="56806" hidden="1" x14ac:dyDescent="0.15"/>
    <row r="56807" hidden="1" x14ac:dyDescent="0.15"/>
    <row r="56808" hidden="1" x14ac:dyDescent="0.15"/>
    <row r="56809" hidden="1" x14ac:dyDescent="0.15"/>
    <row r="56810" hidden="1" x14ac:dyDescent="0.15"/>
    <row r="56811" hidden="1" x14ac:dyDescent="0.15"/>
    <row r="56812" hidden="1" x14ac:dyDescent="0.15"/>
    <row r="56813" hidden="1" x14ac:dyDescent="0.15"/>
    <row r="56814" hidden="1" x14ac:dyDescent="0.15"/>
    <row r="56815" hidden="1" x14ac:dyDescent="0.15"/>
    <row r="56816" hidden="1" x14ac:dyDescent="0.15"/>
    <row r="56817" hidden="1" x14ac:dyDescent="0.15"/>
    <row r="56818" hidden="1" x14ac:dyDescent="0.15"/>
    <row r="56819" hidden="1" x14ac:dyDescent="0.15"/>
    <row r="56820" hidden="1" x14ac:dyDescent="0.15"/>
    <row r="56821" hidden="1" x14ac:dyDescent="0.15"/>
    <row r="56822" hidden="1" x14ac:dyDescent="0.15"/>
    <row r="56823" hidden="1" x14ac:dyDescent="0.15"/>
    <row r="56824" hidden="1" x14ac:dyDescent="0.15"/>
    <row r="56825" hidden="1" x14ac:dyDescent="0.15"/>
    <row r="56826" hidden="1" x14ac:dyDescent="0.15"/>
    <row r="56827" hidden="1" x14ac:dyDescent="0.15"/>
    <row r="56828" hidden="1" x14ac:dyDescent="0.15"/>
    <row r="56829" hidden="1" x14ac:dyDescent="0.15"/>
    <row r="56830" hidden="1" x14ac:dyDescent="0.15"/>
    <row r="56831" hidden="1" x14ac:dyDescent="0.15"/>
    <row r="56832" hidden="1" x14ac:dyDescent="0.15"/>
    <row r="56833" hidden="1" x14ac:dyDescent="0.15"/>
    <row r="56834" hidden="1" x14ac:dyDescent="0.15"/>
    <row r="56835" hidden="1" x14ac:dyDescent="0.15"/>
    <row r="56836" hidden="1" x14ac:dyDescent="0.15"/>
    <row r="56837" hidden="1" x14ac:dyDescent="0.15"/>
    <row r="56838" hidden="1" x14ac:dyDescent="0.15"/>
    <row r="56839" hidden="1" x14ac:dyDescent="0.15"/>
    <row r="56840" hidden="1" x14ac:dyDescent="0.15"/>
    <row r="56841" hidden="1" x14ac:dyDescent="0.15"/>
    <row r="56842" hidden="1" x14ac:dyDescent="0.15"/>
    <row r="56843" hidden="1" x14ac:dyDescent="0.15"/>
    <row r="56844" hidden="1" x14ac:dyDescent="0.15"/>
    <row r="56845" hidden="1" x14ac:dyDescent="0.15"/>
    <row r="56846" hidden="1" x14ac:dyDescent="0.15"/>
    <row r="56847" hidden="1" x14ac:dyDescent="0.15"/>
    <row r="56848" hidden="1" x14ac:dyDescent="0.15"/>
    <row r="56849" hidden="1" x14ac:dyDescent="0.15"/>
    <row r="56850" hidden="1" x14ac:dyDescent="0.15"/>
    <row r="56851" hidden="1" x14ac:dyDescent="0.15"/>
    <row r="56852" hidden="1" x14ac:dyDescent="0.15"/>
    <row r="56853" hidden="1" x14ac:dyDescent="0.15"/>
    <row r="56854" hidden="1" x14ac:dyDescent="0.15"/>
    <row r="56855" hidden="1" x14ac:dyDescent="0.15"/>
    <row r="56856" hidden="1" x14ac:dyDescent="0.15"/>
    <row r="56857" hidden="1" x14ac:dyDescent="0.15"/>
    <row r="56858" hidden="1" x14ac:dyDescent="0.15"/>
    <row r="56859" hidden="1" x14ac:dyDescent="0.15"/>
    <row r="56860" hidden="1" x14ac:dyDescent="0.15"/>
    <row r="56861" hidden="1" x14ac:dyDescent="0.15"/>
    <row r="56862" hidden="1" x14ac:dyDescent="0.15"/>
    <row r="56863" hidden="1" x14ac:dyDescent="0.15"/>
    <row r="56864" hidden="1" x14ac:dyDescent="0.15"/>
    <row r="56865" hidden="1" x14ac:dyDescent="0.15"/>
    <row r="56866" hidden="1" x14ac:dyDescent="0.15"/>
    <row r="56867" hidden="1" x14ac:dyDescent="0.15"/>
    <row r="56868" hidden="1" x14ac:dyDescent="0.15"/>
    <row r="56869" hidden="1" x14ac:dyDescent="0.15"/>
    <row r="56870" hidden="1" x14ac:dyDescent="0.15"/>
    <row r="56871" hidden="1" x14ac:dyDescent="0.15"/>
    <row r="56872" hidden="1" x14ac:dyDescent="0.15"/>
    <row r="56873" hidden="1" x14ac:dyDescent="0.15"/>
    <row r="56874" hidden="1" x14ac:dyDescent="0.15"/>
    <row r="56875" hidden="1" x14ac:dyDescent="0.15"/>
    <row r="56876" hidden="1" x14ac:dyDescent="0.15"/>
    <row r="56877" hidden="1" x14ac:dyDescent="0.15"/>
    <row r="56878" hidden="1" x14ac:dyDescent="0.15"/>
    <row r="56879" hidden="1" x14ac:dyDescent="0.15"/>
    <row r="56880" hidden="1" x14ac:dyDescent="0.15"/>
    <row r="56881" hidden="1" x14ac:dyDescent="0.15"/>
    <row r="56882" hidden="1" x14ac:dyDescent="0.15"/>
    <row r="56883" hidden="1" x14ac:dyDescent="0.15"/>
    <row r="56884" hidden="1" x14ac:dyDescent="0.15"/>
    <row r="56885" hidden="1" x14ac:dyDescent="0.15"/>
    <row r="56886" hidden="1" x14ac:dyDescent="0.15"/>
    <row r="56887" hidden="1" x14ac:dyDescent="0.15"/>
    <row r="56888" hidden="1" x14ac:dyDescent="0.15"/>
    <row r="56889" hidden="1" x14ac:dyDescent="0.15"/>
    <row r="56890" hidden="1" x14ac:dyDescent="0.15"/>
    <row r="56891" hidden="1" x14ac:dyDescent="0.15"/>
    <row r="56892" hidden="1" x14ac:dyDescent="0.15"/>
    <row r="56893" hidden="1" x14ac:dyDescent="0.15"/>
    <row r="56894" hidden="1" x14ac:dyDescent="0.15"/>
    <row r="56895" hidden="1" x14ac:dyDescent="0.15"/>
    <row r="56896" hidden="1" x14ac:dyDescent="0.15"/>
    <row r="56897" hidden="1" x14ac:dyDescent="0.15"/>
    <row r="56898" hidden="1" x14ac:dyDescent="0.15"/>
    <row r="56899" hidden="1" x14ac:dyDescent="0.15"/>
    <row r="56900" hidden="1" x14ac:dyDescent="0.15"/>
    <row r="56901" hidden="1" x14ac:dyDescent="0.15"/>
    <row r="56902" hidden="1" x14ac:dyDescent="0.15"/>
    <row r="56903" hidden="1" x14ac:dyDescent="0.15"/>
    <row r="56904" hidden="1" x14ac:dyDescent="0.15"/>
    <row r="56905" hidden="1" x14ac:dyDescent="0.15"/>
    <row r="56906" hidden="1" x14ac:dyDescent="0.15"/>
    <row r="56907" hidden="1" x14ac:dyDescent="0.15"/>
    <row r="56908" hidden="1" x14ac:dyDescent="0.15"/>
    <row r="56909" hidden="1" x14ac:dyDescent="0.15"/>
    <row r="56910" hidden="1" x14ac:dyDescent="0.15"/>
    <row r="56911" hidden="1" x14ac:dyDescent="0.15"/>
    <row r="56912" hidden="1" x14ac:dyDescent="0.15"/>
    <row r="56913" hidden="1" x14ac:dyDescent="0.15"/>
    <row r="56914" hidden="1" x14ac:dyDescent="0.15"/>
    <row r="56915" hidden="1" x14ac:dyDescent="0.15"/>
    <row r="56916" hidden="1" x14ac:dyDescent="0.15"/>
    <row r="56917" hidden="1" x14ac:dyDescent="0.15"/>
    <row r="56918" hidden="1" x14ac:dyDescent="0.15"/>
    <row r="56919" hidden="1" x14ac:dyDescent="0.15"/>
    <row r="56920" hidden="1" x14ac:dyDescent="0.15"/>
    <row r="56921" hidden="1" x14ac:dyDescent="0.15"/>
    <row r="56922" hidden="1" x14ac:dyDescent="0.15"/>
    <row r="56923" hidden="1" x14ac:dyDescent="0.15"/>
    <row r="56924" hidden="1" x14ac:dyDescent="0.15"/>
    <row r="56925" hidden="1" x14ac:dyDescent="0.15"/>
    <row r="56926" hidden="1" x14ac:dyDescent="0.15"/>
    <row r="56927" hidden="1" x14ac:dyDescent="0.15"/>
    <row r="56928" hidden="1" x14ac:dyDescent="0.15"/>
    <row r="56929" hidden="1" x14ac:dyDescent="0.15"/>
    <row r="56930" hidden="1" x14ac:dyDescent="0.15"/>
    <row r="56931" hidden="1" x14ac:dyDescent="0.15"/>
    <row r="56932" hidden="1" x14ac:dyDescent="0.15"/>
    <row r="56933" hidden="1" x14ac:dyDescent="0.15"/>
    <row r="56934" hidden="1" x14ac:dyDescent="0.15"/>
    <row r="56935" hidden="1" x14ac:dyDescent="0.15"/>
    <row r="56936" hidden="1" x14ac:dyDescent="0.15"/>
    <row r="56937" hidden="1" x14ac:dyDescent="0.15"/>
    <row r="56938" hidden="1" x14ac:dyDescent="0.15"/>
    <row r="56939" hidden="1" x14ac:dyDescent="0.15"/>
    <row r="56940" hidden="1" x14ac:dyDescent="0.15"/>
    <row r="56941" hidden="1" x14ac:dyDescent="0.15"/>
    <row r="56942" hidden="1" x14ac:dyDescent="0.15"/>
    <row r="56943" hidden="1" x14ac:dyDescent="0.15"/>
    <row r="56944" hidden="1" x14ac:dyDescent="0.15"/>
    <row r="56945" hidden="1" x14ac:dyDescent="0.15"/>
    <row r="56946" hidden="1" x14ac:dyDescent="0.15"/>
    <row r="56947" hidden="1" x14ac:dyDescent="0.15"/>
    <row r="56948" hidden="1" x14ac:dyDescent="0.15"/>
    <row r="56949" hidden="1" x14ac:dyDescent="0.15"/>
    <row r="56950" hidden="1" x14ac:dyDescent="0.15"/>
    <row r="56951" hidden="1" x14ac:dyDescent="0.15"/>
    <row r="56952" hidden="1" x14ac:dyDescent="0.15"/>
    <row r="56953" hidden="1" x14ac:dyDescent="0.15"/>
    <row r="56954" hidden="1" x14ac:dyDescent="0.15"/>
    <row r="56955" hidden="1" x14ac:dyDescent="0.15"/>
    <row r="56956" hidden="1" x14ac:dyDescent="0.15"/>
    <row r="56957" hidden="1" x14ac:dyDescent="0.15"/>
    <row r="56958" hidden="1" x14ac:dyDescent="0.15"/>
    <row r="56959" hidden="1" x14ac:dyDescent="0.15"/>
    <row r="56960" hidden="1" x14ac:dyDescent="0.15"/>
    <row r="56961" hidden="1" x14ac:dyDescent="0.15"/>
    <row r="56962" hidden="1" x14ac:dyDescent="0.15"/>
    <row r="56963" hidden="1" x14ac:dyDescent="0.15"/>
    <row r="56964" hidden="1" x14ac:dyDescent="0.15"/>
    <row r="56965" hidden="1" x14ac:dyDescent="0.15"/>
    <row r="56966" hidden="1" x14ac:dyDescent="0.15"/>
    <row r="56967" hidden="1" x14ac:dyDescent="0.15"/>
    <row r="56968" hidden="1" x14ac:dyDescent="0.15"/>
    <row r="56969" hidden="1" x14ac:dyDescent="0.15"/>
    <row r="56970" hidden="1" x14ac:dyDescent="0.15"/>
    <row r="56971" hidden="1" x14ac:dyDescent="0.15"/>
    <row r="56972" hidden="1" x14ac:dyDescent="0.15"/>
    <row r="56973" hidden="1" x14ac:dyDescent="0.15"/>
    <row r="56974" hidden="1" x14ac:dyDescent="0.15"/>
    <row r="56975" hidden="1" x14ac:dyDescent="0.15"/>
    <row r="56976" hidden="1" x14ac:dyDescent="0.15"/>
    <row r="56977" hidden="1" x14ac:dyDescent="0.15"/>
    <row r="56978" hidden="1" x14ac:dyDescent="0.15"/>
    <row r="56979" hidden="1" x14ac:dyDescent="0.15"/>
    <row r="56980" hidden="1" x14ac:dyDescent="0.15"/>
    <row r="56981" hidden="1" x14ac:dyDescent="0.15"/>
    <row r="56982" hidden="1" x14ac:dyDescent="0.15"/>
    <row r="56983" hidden="1" x14ac:dyDescent="0.15"/>
    <row r="56984" hidden="1" x14ac:dyDescent="0.15"/>
    <row r="56985" hidden="1" x14ac:dyDescent="0.15"/>
    <row r="56986" hidden="1" x14ac:dyDescent="0.15"/>
    <row r="56987" hidden="1" x14ac:dyDescent="0.15"/>
    <row r="56988" hidden="1" x14ac:dyDescent="0.15"/>
    <row r="56989" hidden="1" x14ac:dyDescent="0.15"/>
    <row r="56990" hidden="1" x14ac:dyDescent="0.15"/>
    <row r="56991" hidden="1" x14ac:dyDescent="0.15"/>
    <row r="56992" hidden="1" x14ac:dyDescent="0.15"/>
    <row r="56993" hidden="1" x14ac:dyDescent="0.15"/>
    <row r="56994" hidden="1" x14ac:dyDescent="0.15"/>
    <row r="56995" hidden="1" x14ac:dyDescent="0.15"/>
    <row r="56996" hidden="1" x14ac:dyDescent="0.15"/>
    <row r="56997" hidden="1" x14ac:dyDescent="0.15"/>
    <row r="56998" hidden="1" x14ac:dyDescent="0.15"/>
    <row r="56999" hidden="1" x14ac:dyDescent="0.15"/>
    <row r="57000" hidden="1" x14ac:dyDescent="0.15"/>
    <row r="57001" hidden="1" x14ac:dyDescent="0.15"/>
    <row r="57002" hidden="1" x14ac:dyDescent="0.15"/>
    <row r="57003" hidden="1" x14ac:dyDescent="0.15"/>
    <row r="57004" hidden="1" x14ac:dyDescent="0.15"/>
    <row r="57005" hidden="1" x14ac:dyDescent="0.15"/>
    <row r="57006" hidden="1" x14ac:dyDescent="0.15"/>
    <row r="57007" hidden="1" x14ac:dyDescent="0.15"/>
    <row r="57008" hidden="1" x14ac:dyDescent="0.15"/>
    <row r="57009" hidden="1" x14ac:dyDescent="0.15"/>
    <row r="57010" hidden="1" x14ac:dyDescent="0.15"/>
    <row r="57011" hidden="1" x14ac:dyDescent="0.15"/>
    <row r="57012" hidden="1" x14ac:dyDescent="0.15"/>
    <row r="57013" hidden="1" x14ac:dyDescent="0.15"/>
    <row r="57014" hidden="1" x14ac:dyDescent="0.15"/>
    <row r="57015" hidden="1" x14ac:dyDescent="0.15"/>
    <row r="57016" hidden="1" x14ac:dyDescent="0.15"/>
    <row r="57017" hidden="1" x14ac:dyDescent="0.15"/>
    <row r="57018" hidden="1" x14ac:dyDescent="0.15"/>
    <row r="57019" hidden="1" x14ac:dyDescent="0.15"/>
    <row r="57020" hidden="1" x14ac:dyDescent="0.15"/>
    <row r="57021" hidden="1" x14ac:dyDescent="0.15"/>
    <row r="57022" hidden="1" x14ac:dyDescent="0.15"/>
    <row r="57023" hidden="1" x14ac:dyDescent="0.15"/>
    <row r="57024" hidden="1" x14ac:dyDescent="0.15"/>
    <row r="57025" hidden="1" x14ac:dyDescent="0.15"/>
    <row r="57026" hidden="1" x14ac:dyDescent="0.15"/>
    <row r="57027" hidden="1" x14ac:dyDescent="0.15"/>
    <row r="57028" hidden="1" x14ac:dyDescent="0.15"/>
    <row r="57029" hidden="1" x14ac:dyDescent="0.15"/>
    <row r="57030" hidden="1" x14ac:dyDescent="0.15"/>
    <row r="57031" hidden="1" x14ac:dyDescent="0.15"/>
    <row r="57032" hidden="1" x14ac:dyDescent="0.15"/>
    <row r="57033" hidden="1" x14ac:dyDescent="0.15"/>
    <row r="57034" hidden="1" x14ac:dyDescent="0.15"/>
    <row r="57035" hidden="1" x14ac:dyDescent="0.15"/>
    <row r="57036" hidden="1" x14ac:dyDescent="0.15"/>
    <row r="57037" hidden="1" x14ac:dyDescent="0.15"/>
    <row r="57038" hidden="1" x14ac:dyDescent="0.15"/>
    <row r="57039" hidden="1" x14ac:dyDescent="0.15"/>
    <row r="57040" hidden="1" x14ac:dyDescent="0.15"/>
    <row r="57041" hidden="1" x14ac:dyDescent="0.15"/>
    <row r="57042" hidden="1" x14ac:dyDescent="0.15"/>
    <row r="57043" hidden="1" x14ac:dyDescent="0.15"/>
    <row r="57044" hidden="1" x14ac:dyDescent="0.15"/>
    <row r="57045" hidden="1" x14ac:dyDescent="0.15"/>
    <row r="57046" hidden="1" x14ac:dyDescent="0.15"/>
    <row r="57047" hidden="1" x14ac:dyDescent="0.15"/>
    <row r="57048" hidden="1" x14ac:dyDescent="0.15"/>
    <row r="57049" hidden="1" x14ac:dyDescent="0.15"/>
    <row r="57050" hidden="1" x14ac:dyDescent="0.15"/>
    <row r="57051" hidden="1" x14ac:dyDescent="0.15"/>
    <row r="57052" hidden="1" x14ac:dyDescent="0.15"/>
    <row r="57053" hidden="1" x14ac:dyDescent="0.15"/>
    <row r="57054" hidden="1" x14ac:dyDescent="0.15"/>
    <row r="57055" hidden="1" x14ac:dyDescent="0.15"/>
    <row r="57056" hidden="1" x14ac:dyDescent="0.15"/>
    <row r="57057" hidden="1" x14ac:dyDescent="0.15"/>
    <row r="57058" hidden="1" x14ac:dyDescent="0.15"/>
    <row r="57059" hidden="1" x14ac:dyDescent="0.15"/>
    <row r="57060" hidden="1" x14ac:dyDescent="0.15"/>
    <row r="57061" hidden="1" x14ac:dyDescent="0.15"/>
    <row r="57062" hidden="1" x14ac:dyDescent="0.15"/>
    <row r="57063" hidden="1" x14ac:dyDescent="0.15"/>
    <row r="57064" hidden="1" x14ac:dyDescent="0.15"/>
    <row r="57065" hidden="1" x14ac:dyDescent="0.15"/>
    <row r="57066" hidden="1" x14ac:dyDescent="0.15"/>
    <row r="57067" hidden="1" x14ac:dyDescent="0.15"/>
    <row r="57068" hidden="1" x14ac:dyDescent="0.15"/>
    <row r="57069" hidden="1" x14ac:dyDescent="0.15"/>
    <row r="57070" hidden="1" x14ac:dyDescent="0.15"/>
    <row r="57071" hidden="1" x14ac:dyDescent="0.15"/>
    <row r="57072" hidden="1" x14ac:dyDescent="0.15"/>
    <row r="57073" hidden="1" x14ac:dyDescent="0.15"/>
    <row r="57074" hidden="1" x14ac:dyDescent="0.15"/>
    <row r="57075" hidden="1" x14ac:dyDescent="0.15"/>
    <row r="57076" hidden="1" x14ac:dyDescent="0.15"/>
    <row r="57077" hidden="1" x14ac:dyDescent="0.15"/>
    <row r="57078" hidden="1" x14ac:dyDescent="0.15"/>
    <row r="57079" hidden="1" x14ac:dyDescent="0.15"/>
    <row r="57080" hidden="1" x14ac:dyDescent="0.15"/>
    <row r="57081" hidden="1" x14ac:dyDescent="0.15"/>
    <row r="57082" hidden="1" x14ac:dyDescent="0.15"/>
    <row r="57083" hidden="1" x14ac:dyDescent="0.15"/>
    <row r="57084" hidden="1" x14ac:dyDescent="0.15"/>
    <row r="57085" hidden="1" x14ac:dyDescent="0.15"/>
    <row r="57086" hidden="1" x14ac:dyDescent="0.15"/>
    <row r="57087" hidden="1" x14ac:dyDescent="0.15"/>
    <row r="57088" hidden="1" x14ac:dyDescent="0.15"/>
    <row r="57089" hidden="1" x14ac:dyDescent="0.15"/>
    <row r="57090" hidden="1" x14ac:dyDescent="0.15"/>
    <row r="57091" hidden="1" x14ac:dyDescent="0.15"/>
    <row r="57092" hidden="1" x14ac:dyDescent="0.15"/>
    <row r="57093" hidden="1" x14ac:dyDescent="0.15"/>
    <row r="57094" hidden="1" x14ac:dyDescent="0.15"/>
    <row r="57095" hidden="1" x14ac:dyDescent="0.15"/>
    <row r="57096" hidden="1" x14ac:dyDescent="0.15"/>
    <row r="57097" hidden="1" x14ac:dyDescent="0.15"/>
    <row r="57098" hidden="1" x14ac:dyDescent="0.15"/>
    <row r="57099" hidden="1" x14ac:dyDescent="0.15"/>
    <row r="57100" hidden="1" x14ac:dyDescent="0.15"/>
    <row r="57101" hidden="1" x14ac:dyDescent="0.15"/>
    <row r="57102" hidden="1" x14ac:dyDescent="0.15"/>
    <row r="57103" hidden="1" x14ac:dyDescent="0.15"/>
    <row r="57104" hidden="1" x14ac:dyDescent="0.15"/>
    <row r="57105" hidden="1" x14ac:dyDescent="0.15"/>
    <row r="57106" hidden="1" x14ac:dyDescent="0.15"/>
    <row r="57107" hidden="1" x14ac:dyDescent="0.15"/>
    <row r="57108" hidden="1" x14ac:dyDescent="0.15"/>
    <row r="57109" hidden="1" x14ac:dyDescent="0.15"/>
    <row r="57110" hidden="1" x14ac:dyDescent="0.15"/>
    <row r="57111" hidden="1" x14ac:dyDescent="0.15"/>
    <row r="57112" hidden="1" x14ac:dyDescent="0.15"/>
    <row r="57113" hidden="1" x14ac:dyDescent="0.15"/>
    <row r="57114" hidden="1" x14ac:dyDescent="0.15"/>
    <row r="57115" hidden="1" x14ac:dyDescent="0.15"/>
    <row r="57116" hidden="1" x14ac:dyDescent="0.15"/>
    <row r="57117" hidden="1" x14ac:dyDescent="0.15"/>
    <row r="57118" hidden="1" x14ac:dyDescent="0.15"/>
    <row r="57119" hidden="1" x14ac:dyDescent="0.15"/>
    <row r="57120" hidden="1" x14ac:dyDescent="0.15"/>
    <row r="57121" hidden="1" x14ac:dyDescent="0.15"/>
    <row r="57122" hidden="1" x14ac:dyDescent="0.15"/>
    <row r="57123" hidden="1" x14ac:dyDescent="0.15"/>
    <row r="57124" hidden="1" x14ac:dyDescent="0.15"/>
    <row r="57125" hidden="1" x14ac:dyDescent="0.15"/>
    <row r="57126" hidden="1" x14ac:dyDescent="0.15"/>
    <row r="57127" hidden="1" x14ac:dyDescent="0.15"/>
    <row r="57128" hidden="1" x14ac:dyDescent="0.15"/>
    <row r="57129" hidden="1" x14ac:dyDescent="0.15"/>
    <row r="57130" hidden="1" x14ac:dyDescent="0.15"/>
    <row r="57131" hidden="1" x14ac:dyDescent="0.15"/>
    <row r="57132" hidden="1" x14ac:dyDescent="0.15"/>
    <row r="57133" hidden="1" x14ac:dyDescent="0.15"/>
    <row r="57134" hidden="1" x14ac:dyDescent="0.15"/>
    <row r="57135" hidden="1" x14ac:dyDescent="0.15"/>
    <row r="57136" hidden="1" x14ac:dyDescent="0.15"/>
    <row r="57137" hidden="1" x14ac:dyDescent="0.15"/>
    <row r="57138" hidden="1" x14ac:dyDescent="0.15"/>
    <row r="57139" hidden="1" x14ac:dyDescent="0.15"/>
    <row r="57140" hidden="1" x14ac:dyDescent="0.15"/>
    <row r="57141" hidden="1" x14ac:dyDescent="0.15"/>
    <row r="57142" hidden="1" x14ac:dyDescent="0.15"/>
    <row r="57143" hidden="1" x14ac:dyDescent="0.15"/>
    <row r="57144" hidden="1" x14ac:dyDescent="0.15"/>
    <row r="57145" hidden="1" x14ac:dyDescent="0.15"/>
    <row r="57146" hidden="1" x14ac:dyDescent="0.15"/>
    <row r="57147" hidden="1" x14ac:dyDescent="0.15"/>
    <row r="57148" hidden="1" x14ac:dyDescent="0.15"/>
    <row r="57149" hidden="1" x14ac:dyDescent="0.15"/>
    <row r="57150" hidden="1" x14ac:dyDescent="0.15"/>
    <row r="57151" hidden="1" x14ac:dyDescent="0.15"/>
    <row r="57152" hidden="1" x14ac:dyDescent="0.15"/>
    <row r="57153" hidden="1" x14ac:dyDescent="0.15"/>
    <row r="57154" hidden="1" x14ac:dyDescent="0.15"/>
    <row r="57155" hidden="1" x14ac:dyDescent="0.15"/>
    <row r="57156" hidden="1" x14ac:dyDescent="0.15"/>
    <row r="57157" hidden="1" x14ac:dyDescent="0.15"/>
    <row r="57158" hidden="1" x14ac:dyDescent="0.15"/>
    <row r="57159" hidden="1" x14ac:dyDescent="0.15"/>
    <row r="57160" hidden="1" x14ac:dyDescent="0.15"/>
    <row r="57161" hidden="1" x14ac:dyDescent="0.15"/>
    <row r="57162" hidden="1" x14ac:dyDescent="0.15"/>
    <row r="57163" hidden="1" x14ac:dyDescent="0.15"/>
    <row r="57164" hidden="1" x14ac:dyDescent="0.15"/>
    <row r="57165" hidden="1" x14ac:dyDescent="0.15"/>
    <row r="57166" hidden="1" x14ac:dyDescent="0.15"/>
    <row r="57167" hidden="1" x14ac:dyDescent="0.15"/>
    <row r="57168" hidden="1" x14ac:dyDescent="0.15"/>
    <row r="57169" hidden="1" x14ac:dyDescent="0.15"/>
    <row r="57170" hidden="1" x14ac:dyDescent="0.15"/>
    <row r="57171" hidden="1" x14ac:dyDescent="0.15"/>
    <row r="57172" hidden="1" x14ac:dyDescent="0.15"/>
    <row r="57173" hidden="1" x14ac:dyDescent="0.15"/>
    <row r="57174" hidden="1" x14ac:dyDescent="0.15"/>
    <row r="57175" hidden="1" x14ac:dyDescent="0.15"/>
    <row r="57176" hidden="1" x14ac:dyDescent="0.15"/>
    <row r="57177" hidden="1" x14ac:dyDescent="0.15"/>
    <row r="57178" hidden="1" x14ac:dyDescent="0.15"/>
    <row r="57179" hidden="1" x14ac:dyDescent="0.15"/>
    <row r="57180" hidden="1" x14ac:dyDescent="0.15"/>
    <row r="57181" hidden="1" x14ac:dyDescent="0.15"/>
    <row r="57182" hidden="1" x14ac:dyDescent="0.15"/>
    <row r="57183" hidden="1" x14ac:dyDescent="0.15"/>
    <row r="57184" hidden="1" x14ac:dyDescent="0.15"/>
    <row r="57185" hidden="1" x14ac:dyDescent="0.15"/>
    <row r="57186" hidden="1" x14ac:dyDescent="0.15"/>
    <row r="57187" hidden="1" x14ac:dyDescent="0.15"/>
    <row r="57188" hidden="1" x14ac:dyDescent="0.15"/>
    <row r="57189" hidden="1" x14ac:dyDescent="0.15"/>
    <row r="57190" hidden="1" x14ac:dyDescent="0.15"/>
    <row r="57191" hidden="1" x14ac:dyDescent="0.15"/>
    <row r="57192" hidden="1" x14ac:dyDescent="0.15"/>
    <row r="57193" hidden="1" x14ac:dyDescent="0.15"/>
    <row r="57194" hidden="1" x14ac:dyDescent="0.15"/>
    <row r="57195" hidden="1" x14ac:dyDescent="0.15"/>
    <row r="57196" hidden="1" x14ac:dyDescent="0.15"/>
    <row r="57197" hidden="1" x14ac:dyDescent="0.15"/>
    <row r="57198" hidden="1" x14ac:dyDescent="0.15"/>
    <row r="57199" hidden="1" x14ac:dyDescent="0.15"/>
    <row r="57200" hidden="1" x14ac:dyDescent="0.15"/>
    <row r="57201" hidden="1" x14ac:dyDescent="0.15"/>
    <row r="57202" hidden="1" x14ac:dyDescent="0.15"/>
    <row r="57203" hidden="1" x14ac:dyDescent="0.15"/>
    <row r="57204" hidden="1" x14ac:dyDescent="0.15"/>
    <row r="57205" hidden="1" x14ac:dyDescent="0.15"/>
    <row r="57206" hidden="1" x14ac:dyDescent="0.15"/>
    <row r="57207" hidden="1" x14ac:dyDescent="0.15"/>
    <row r="57208" hidden="1" x14ac:dyDescent="0.15"/>
    <row r="57209" hidden="1" x14ac:dyDescent="0.15"/>
    <row r="57210" hidden="1" x14ac:dyDescent="0.15"/>
    <row r="57211" hidden="1" x14ac:dyDescent="0.15"/>
    <row r="57212" hidden="1" x14ac:dyDescent="0.15"/>
    <row r="57213" hidden="1" x14ac:dyDescent="0.15"/>
    <row r="57214" hidden="1" x14ac:dyDescent="0.15"/>
    <row r="57215" hidden="1" x14ac:dyDescent="0.15"/>
    <row r="57216" hidden="1" x14ac:dyDescent="0.15"/>
    <row r="57217" hidden="1" x14ac:dyDescent="0.15"/>
    <row r="57218" hidden="1" x14ac:dyDescent="0.15"/>
    <row r="57219" hidden="1" x14ac:dyDescent="0.15"/>
    <row r="57220" hidden="1" x14ac:dyDescent="0.15"/>
    <row r="57221" hidden="1" x14ac:dyDescent="0.15"/>
    <row r="57222" hidden="1" x14ac:dyDescent="0.15"/>
    <row r="57223" hidden="1" x14ac:dyDescent="0.15"/>
    <row r="57224" hidden="1" x14ac:dyDescent="0.15"/>
    <row r="57225" hidden="1" x14ac:dyDescent="0.15"/>
    <row r="57226" hidden="1" x14ac:dyDescent="0.15"/>
    <row r="57227" hidden="1" x14ac:dyDescent="0.15"/>
    <row r="57228" hidden="1" x14ac:dyDescent="0.15"/>
    <row r="57229" hidden="1" x14ac:dyDescent="0.15"/>
    <row r="57230" hidden="1" x14ac:dyDescent="0.15"/>
    <row r="57231" hidden="1" x14ac:dyDescent="0.15"/>
    <row r="57232" hidden="1" x14ac:dyDescent="0.15"/>
    <row r="57233" hidden="1" x14ac:dyDescent="0.15"/>
    <row r="57234" hidden="1" x14ac:dyDescent="0.15"/>
    <row r="57235" hidden="1" x14ac:dyDescent="0.15"/>
    <row r="57236" hidden="1" x14ac:dyDescent="0.15"/>
    <row r="57237" hidden="1" x14ac:dyDescent="0.15"/>
    <row r="57238" hidden="1" x14ac:dyDescent="0.15"/>
    <row r="57239" hidden="1" x14ac:dyDescent="0.15"/>
    <row r="57240" hidden="1" x14ac:dyDescent="0.15"/>
    <row r="57241" hidden="1" x14ac:dyDescent="0.15"/>
    <row r="57242" hidden="1" x14ac:dyDescent="0.15"/>
    <row r="57243" hidden="1" x14ac:dyDescent="0.15"/>
    <row r="57244" hidden="1" x14ac:dyDescent="0.15"/>
    <row r="57245" hidden="1" x14ac:dyDescent="0.15"/>
    <row r="57246" hidden="1" x14ac:dyDescent="0.15"/>
    <row r="57247" hidden="1" x14ac:dyDescent="0.15"/>
    <row r="57248" hidden="1" x14ac:dyDescent="0.15"/>
    <row r="57249" hidden="1" x14ac:dyDescent="0.15"/>
    <row r="57250" hidden="1" x14ac:dyDescent="0.15"/>
    <row r="57251" hidden="1" x14ac:dyDescent="0.15"/>
    <row r="57252" hidden="1" x14ac:dyDescent="0.15"/>
    <row r="57253" hidden="1" x14ac:dyDescent="0.15"/>
    <row r="57254" hidden="1" x14ac:dyDescent="0.15"/>
    <row r="57255" hidden="1" x14ac:dyDescent="0.15"/>
    <row r="57256" hidden="1" x14ac:dyDescent="0.15"/>
    <row r="57257" hidden="1" x14ac:dyDescent="0.15"/>
    <row r="57258" hidden="1" x14ac:dyDescent="0.15"/>
    <row r="57259" hidden="1" x14ac:dyDescent="0.15"/>
    <row r="57260" hidden="1" x14ac:dyDescent="0.15"/>
    <row r="57261" hidden="1" x14ac:dyDescent="0.15"/>
    <row r="57262" hidden="1" x14ac:dyDescent="0.15"/>
    <row r="57263" hidden="1" x14ac:dyDescent="0.15"/>
    <row r="57264" hidden="1" x14ac:dyDescent="0.15"/>
    <row r="57265" hidden="1" x14ac:dyDescent="0.15"/>
    <row r="57266" hidden="1" x14ac:dyDescent="0.15"/>
    <row r="57267" hidden="1" x14ac:dyDescent="0.15"/>
    <row r="57268" hidden="1" x14ac:dyDescent="0.15"/>
    <row r="57269" hidden="1" x14ac:dyDescent="0.15"/>
    <row r="57270" hidden="1" x14ac:dyDescent="0.15"/>
    <row r="57271" hidden="1" x14ac:dyDescent="0.15"/>
    <row r="57272" hidden="1" x14ac:dyDescent="0.15"/>
    <row r="57273" hidden="1" x14ac:dyDescent="0.15"/>
    <row r="57274" hidden="1" x14ac:dyDescent="0.15"/>
    <row r="57275" hidden="1" x14ac:dyDescent="0.15"/>
    <row r="57276" hidden="1" x14ac:dyDescent="0.15"/>
    <row r="57277" hidden="1" x14ac:dyDescent="0.15"/>
    <row r="57278" hidden="1" x14ac:dyDescent="0.15"/>
    <row r="57279" hidden="1" x14ac:dyDescent="0.15"/>
    <row r="57280" hidden="1" x14ac:dyDescent="0.15"/>
    <row r="57281" hidden="1" x14ac:dyDescent="0.15"/>
    <row r="57282" hidden="1" x14ac:dyDescent="0.15"/>
    <row r="57283" hidden="1" x14ac:dyDescent="0.15"/>
    <row r="57284" hidden="1" x14ac:dyDescent="0.15"/>
    <row r="57285" hidden="1" x14ac:dyDescent="0.15"/>
    <row r="57286" hidden="1" x14ac:dyDescent="0.15"/>
    <row r="57287" hidden="1" x14ac:dyDescent="0.15"/>
    <row r="57288" hidden="1" x14ac:dyDescent="0.15"/>
    <row r="57289" hidden="1" x14ac:dyDescent="0.15"/>
    <row r="57290" hidden="1" x14ac:dyDescent="0.15"/>
    <row r="57291" hidden="1" x14ac:dyDescent="0.15"/>
    <row r="57292" hidden="1" x14ac:dyDescent="0.15"/>
    <row r="57293" hidden="1" x14ac:dyDescent="0.15"/>
    <row r="57294" hidden="1" x14ac:dyDescent="0.15"/>
    <row r="57295" hidden="1" x14ac:dyDescent="0.15"/>
    <row r="57296" hidden="1" x14ac:dyDescent="0.15"/>
    <row r="57297" hidden="1" x14ac:dyDescent="0.15"/>
    <row r="57298" hidden="1" x14ac:dyDescent="0.15"/>
    <row r="57299" hidden="1" x14ac:dyDescent="0.15"/>
    <row r="57300" hidden="1" x14ac:dyDescent="0.15"/>
    <row r="57301" hidden="1" x14ac:dyDescent="0.15"/>
    <row r="57302" hidden="1" x14ac:dyDescent="0.15"/>
    <row r="57303" hidden="1" x14ac:dyDescent="0.15"/>
    <row r="57304" hidden="1" x14ac:dyDescent="0.15"/>
    <row r="57305" hidden="1" x14ac:dyDescent="0.15"/>
    <row r="57306" hidden="1" x14ac:dyDescent="0.15"/>
    <row r="57307" hidden="1" x14ac:dyDescent="0.15"/>
    <row r="57308" hidden="1" x14ac:dyDescent="0.15"/>
    <row r="57309" hidden="1" x14ac:dyDescent="0.15"/>
    <row r="57310" hidden="1" x14ac:dyDescent="0.15"/>
    <row r="57311" hidden="1" x14ac:dyDescent="0.15"/>
    <row r="57312" hidden="1" x14ac:dyDescent="0.15"/>
    <row r="57313" hidden="1" x14ac:dyDescent="0.15"/>
    <row r="57314" hidden="1" x14ac:dyDescent="0.15"/>
    <row r="57315" hidden="1" x14ac:dyDescent="0.15"/>
    <row r="57316" hidden="1" x14ac:dyDescent="0.15"/>
    <row r="57317" hidden="1" x14ac:dyDescent="0.15"/>
    <row r="57318" hidden="1" x14ac:dyDescent="0.15"/>
    <row r="57319" hidden="1" x14ac:dyDescent="0.15"/>
    <row r="57320" hidden="1" x14ac:dyDescent="0.15"/>
    <row r="57321" hidden="1" x14ac:dyDescent="0.15"/>
    <row r="57322" hidden="1" x14ac:dyDescent="0.15"/>
    <row r="57323" hidden="1" x14ac:dyDescent="0.15"/>
    <row r="57324" hidden="1" x14ac:dyDescent="0.15"/>
    <row r="57325" hidden="1" x14ac:dyDescent="0.15"/>
    <row r="57326" hidden="1" x14ac:dyDescent="0.15"/>
    <row r="57327" hidden="1" x14ac:dyDescent="0.15"/>
    <row r="57328" hidden="1" x14ac:dyDescent="0.15"/>
    <row r="57329" hidden="1" x14ac:dyDescent="0.15"/>
    <row r="57330" hidden="1" x14ac:dyDescent="0.15"/>
    <row r="57331" hidden="1" x14ac:dyDescent="0.15"/>
    <row r="57332" hidden="1" x14ac:dyDescent="0.15"/>
    <row r="57333" hidden="1" x14ac:dyDescent="0.15"/>
    <row r="57334" hidden="1" x14ac:dyDescent="0.15"/>
    <row r="57335" hidden="1" x14ac:dyDescent="0.15"/>
    <row r="57336" hidden="1" x14ac:dyDescent="0.15"/>
    <row r="57337" hidden="1" x14ac:dyDescent="0.15"/>
    <row r="57338" hidden="1" x14ac:dyDescent="0.15"/>
    <row r="57339" hidden="1" x14ac:dyDescent="0.15"/>
    <row r="57340" hidden="1" x14ac:dyDescent="0.15"/>
    <row r="57341" hidden="1" x14ac:dyDescent="0.15"/>
    <row r="57342" hidden="1" x14ac:dyDescent="0.15"/>
    <row r="57343" hidden="1" x14ac:dyDescent="0.15"/>
    <row r="57344" hidden="1" x14ac:dyDescent="0.15"/>
    <row r="57345" hidden="1" x14ac:dyDescent="0.15"/>
    <row r="57346" hidden="1" x14ac:dyDescent="0.15"/>
    <row r="57347" hidden="1" x14ac:dyDescent="0.15"/>
    <row r="57348" hidden="1" x14ac:dyDescent="0.15"/>
    <row r="57349" hidden="1" x14ac:dyDescent="0.15"/>
    <row r="57350" hidden="1" x14ac:dyDescent="0.15"/>
    <row r="57351" hidden="1" x14ac:dyDescent="0.15"/>
    <row r="57352" hidden="1" x14ac:dyDescent="0.15"/>
    <row r="57353" hidden="1" x14ac:dyDescent="0.15"/>
    <row r="57354" hidden="1" x14ac:dyDescent="0.15"/>
    <row r="57355" hidden="1" x14ac:dyDescent="0.15"/>
    <row r="57356" hidden="1" x14ac:dyDescent="0.15"/>
    <row r="57357" hidden="1" x14ac:dyDescent="0.15"/>
    <row r="57358" hidden="1" x14ac:dyDescent="0.15"/>
    <row r="57359" hidden="1" x14ac:dyDescent="0.15"/>
    <row r="57360" hidden="1" x14ac:dyDescent="0.15"/>
    <row r="57361" hidden="1" x14ac:dyDescent="0.15"/>
    <row r="57362" hidden="1" x14ac:dyDescent="0.15"/>
    <row r="57363" hidden="1" x14ac:dyDescent="0.15"/>
    <row r="57364" hidden="1" x14ac:dyDescent="0.15"/>
    <row r="57365" hidden="1" x14ac:dyDescent="0.15"/>
    <row r="57366" hidden="1" x14ac:dyDescent="0.15"/>
    <row r="57367" hidden="1" x14ac:dyDescent="0.15"/>
    <row r="57368" hidden="1" x14ac:dyDescent="0.15"/>
    <row r="57369" hidden="1" x14ac:dyDescent="0.15"/>
    <row r="57370" hidden="1" x14ac:dyDescent="0.15"/>
    <row r="57371" hidden="1" x14ac:dyDescent="0.15"/>
    <row r="57372" hidden="1" x14ac:dyDescent="0.15"/>
    <row r="57373" hidden="1" x14ac:dyDescent="0.15"/>
    <row r="57374" hidden="1" x14ac:dyDescent="0.15"/>
    <row r="57375" hidden="1" x14ac:dyDescent="0.15"/>
    <row r="57376" hidden="1" x14ac:dyDescent="0.15"/>
    <row r="57377" hidden="1" x14ac:dyDescent="0.15"/>
    <row r="57378" hidden="1" x14ac:dyDescent="0.15"/>
    <row r="57379" hidden="1" x14ac:dyDescent="0.15"/>
    <row r="57380" hidden="1" x14ac:dyDescent="0.15"/>
    <row r="57381" hidden="1" x14ac:dyDescent="0.15"/>
    <row r="57382" hidden="1" x14ac:dyDescent="0.15"/>
    <row r="57383" hidden="1" x14ac:dyDescent="0.15"/>
    <row r="57384" hidden="1" x14ac:dyDescent="0.15"/>
    <row r="57385" hidden="1" x14ac:dyDescent="0.15"/>
    <row r="57386" hidden="1" x14ac:dyDescent="0.15"/>
    <row r="57387" hidden="1" x14ac:dyDescent="0.15"/>
    <row r="57388" hidden="1" x14ac:dyDescent="0.15"/>
    <row r="57389" hidden="1" x14ac:dyDescent="0.15"/>
    <row r="57390" hidden="1" x14ac:dyDescent="0.15"/>
    <row r="57391" hidden="1" x14ac:dyDescent="0.15"/>
    <row r="57392" hidden="1" x14ac:dyDescent="0.15"/>
    <row r="57393" hidden="1" x14ac:dyDescent="0.15"/>
    <row r="57394" hidden="1" x14ac:dyDescent="0.15"/>
    <row r="57395" hidden="1" x14ac:dyDescent="0.15"/>
    <row r="57396" hidden="1" x14ac:dyDescent="0.15"/>
    <row r="57397" hidden="1" x14ac:dyDescent="0.15"/>
    <row r="57398" hidden="1" x14ac:dyDescent="0.15"/>
    <row r="57399" hidden="1" x14ac:dyDescent="0.15"/>
    <row r="57400" hidden="1" x14ac:dyDescent="0.15"/>
    <row r="57401" hidden="1" x14ac:dyDescent="0.15"/>
    <row r="57402" hidden="1" x14ac:dyDescent="0.15"/>
    <row r="57403" hidden="1" x14ac:dyDescent="0.15"/>
    <row r="57404" hidden="1" x14ac:dyDescent="0.15"/>
    <row r="57405" hidden="1" x14ac:dyDescent="0.15"/>
    <row r="57406" hidden="1" x14ac:dyDescent="0.15"/>
    <row r="57407" hidden="1" x14ac:dyDescent="0.15"/>
    <row r="57408" hidden="1" x14ac:dyDescent="0.15"/>
    <row r="57409" hidden="1" x14ac:dyDescent="0.15"/>
    <row r="57410" hidden="1" x14ac:dyDescent="0.15"/>
    <row r="57411" hidden="1" x14ac:dyDescent="0.15"/>
    <row r="57412" hidden="1" x14ac:dyDescent="0.15"/>
    <row r="57413" hidden="1" x14ac:dyDescent="0.15"/>
    <row r="57414" hidden="1" x14ac:dyDescent="0.15"/>
    <row r="57415" hidden="1" x14ac:dyDescent="0.15"/>
    <row r="57416" hidden="1" x14ac:dyDescent="0.15"/>
    <row r="57417" hidden="1" x14ac:dyDescent="0.15"/>
    <row r="57418" hidden="1" x14ac:dyDescent="0.15"/>
    <row r="57419" hidden="1" x14ac:dyDescent="0.15"/>
    <row r="57420" hidden="1" x14ac:dyDescent="0.15"/>
    <row r="57421" hidden="1" x14ac:dyDescent="0.15"/>
    <row r="57422" hidden="1" x14ac:dyDescent="0.15"/>
    <row r="57423" hidden="1" x14ac:dyDescent="0.15"/>
    <row r="57424" hidden="1" x14ac:dyDescent="0.15"/>
    <row r="57425" hidden="1" x14ac:dyDescent="0.15"/>
    <row r="57426" hidden="1" x14ac:dyDescent="0.15"/>
    <row r="57427" hidden="1" x14ac:dyDescent="0.15"/>
    <row r="57428" hidden="1" x14ac:dyDescent="0.15"/>
    <row r="57429" hidden="1" x14ac:dyDescent="0.15"/>
    <row r="57430" hidden="1" x14ac:dyDescent="0.15"/>
    <row r="57431" hidden="1" x14ac:dyDescent="0.15"/>
    <row r="57432" hidden="1" x14ac:dyDescent="0.15"/>
    <row r="57433" hidden="1" x14ac:dyDescent="0.15"/>
    <row r="57434" hidden="1" x14ac:dyDescent="0.15"/>
    <row r="57435" hidden="1" x14ac:dyDescent="0.15"/>
    <row r="57436" hidden="1" x14ac:dyDescent="0.15"/>
    <row r="57437" hidden="1" x14ac:dyDescent="0.15"/>
    <row r="57438" hidden="1" x14ac:dyDescent="0.15"/>
    <row r="57439" hidden="1" x14ac:dyDescent="0.15"/>
    <row r="57440" hidden="1" x14ac:dyDescent="0.15"/>
    <row r="57441" hidden="1" x14ac:dyDescent="0.15"/>
    <row r="57442" hidden="1" x14ac:dyDescent="0.15"/>
    <row r="57443" hidden="1" x14ac:dyDescent="0.15"/>
    <row r="57444" hidden="1" x14ac:dyDescent="0.15"/>
    <row r="57445" hidden="1" x14ac:dyDescent="0.15"/>
    <row r="57446" hidden="1" x14ac:dyDescent="0.15"/>
    <row r="57447" hidden="1" x14ac:dyDescent="0.15"/>
    <row r="57448" hidden="1" x14ac:dyDescent="0.15"/>
    <row r="57449" hidden="1" x14ac:dyDescent="0.15"/>
    <row r="57450" hidden="1" x14ac:dyDescent="0.15"/>
    <row r="57451" hidden="1" x14ac:dyDescent="0.15"/>
    <row r="57452" hidden="1" x14ac:dyDescent="0.15"/>
    <row r="57453" hidden="1" x14ac:dyDescent="0.15"/>
    <row r="57454" hidden="1" x14ac:dyDescent="0.15"/>
    <row r="57455" hidden="1" x14ac:dyDescent="0.15"/>
    <row r="57456" hidden="1" x14ac:dyDescent="0.15"/>
    <row r="57457" hidden="1" x14ac:dyDescent="0.15"/>
    <row r="57458" hidden="1" x14ac:dyDescent="0.15"/>
    <row r="57459" hidden="1" x14ac:dyDescent="0.15"/>
    <row r="57460" hidden="1" x14ac:dyDescent="0.15"/>
    <row r="57461" hidden="1" x14ac:dyDescent="0.15"/>
    <row r="57462" hidden="1" x14ac:dyDescent="0.15"/>
    <row r="57463" hidden="1" x14ac:dyDescent="0.15"/>
    <row r="57464" hidden="1" x14ac:dyDescent="0.15"/>
    <row r="57465" hidden="1" x14ac:dyDescent="0.15"/>
    <row r="57466" hidden="1" x14ac:dyDescent="0.15"/>
    <row r="57467" hidden="1" x14ac:dyDescent="0.15"/>
    <row r="57468" hidden="1" x14ac:dyDescent="0.15"/>
    <row r="57469" hidden="1" x14ac:dyDescent="0.15"/>
    <row r="57470" hidden="1" x14ac:dyDescent="0.15"/>
    <row r="57471" hidden="1" x14ac:dyDescent="0.15"/>
    <row r="57472" hidden="1" x14ac:dyDescent="0.15"/>
    <row r="57473" hidden="1" x14ac:dyDescent="0.15"/>
    <row r="57474" hidden="1" x14ac:dyDescent="0.15"/>
    <row r="57475" hidden="1" x14ac:dyDescent="0.15"/>
    <row r="57476" hidden="1" x14ac:dyDescent="0.15"/>
    <row r="57477" hidden="1" x14ac:dyDescent="0.15"/>
    <row r="57478" hidden="1" x14ac:dyDescent="0.15"/>
    <row r="57479" hidden="1" x14ac:dyDescent="0.15"/>
    <row r="57480" hidden="1" x14ac:dyDescent="0.15"/>
    <row r="57481" hidden="1" x14ac:dyDescent="0.15"/>
    <row r="57482" hidden="1" x14ac:dyDescent="0.15"/>
    <row r="57483" hidden="1" x14ac:dyDescent="0.15"/>
    <row r="57484" hidden="1" x14ac:dyDescent="0.15"/>
    <row r="57485" hidden="1" x14ac:dyDescent="0.15"/>
    <row r="57486" hidden="1" x14ac:dyDescent="0.15"/>
    <row r="57487" hidden="1" x14ac:dyDescent="0.15"/>
    <row r="57488" hidden="1" x14ac:dyDescent="0.15"/>
    <row r="57489" hidden="1" x14ac:dyDescent="0.15"/>
    <row r="57490" hidden="1" x14ac:dyDescent="0.15"/>
    <row r="57491" hidden="1" x14ac:dyDescent="0.15"/>
    <row r="57492" hidden="1" x14ac:dyDescent="0.15"/>
    <row r="57493" hidden="1" x14ac:dyDescent="0.15"/>
    <row r="57494" hidden="1" x14ac:dyDescent="0.15"/>
    <row r="57495" hidden="1" x14ac:dyDescent="0.15"/>
    <row r="57496" hidden="1" x14ac:dyDescent="0.15"/>
    <row r="57497" hidden="1" x14ac:dyDescent="0.15"/>
    <row r="57498" hidden="1" x14ac:dyDescent="0.15"/>
    <row r="57499" hidden="1" x14ac:dyDescent="0.15"/>
    <row r="57500" hidden="1" x14ac:dyDescent="0.15"/>
    <row r="57501" hidden="1" x14ac:dyDescent="0.15"/>
    <row r="57502" hidden="1" x14ac:dyDescent="0.15"/>
    <row r="57503" hidden="1" x14ac:dyDescent="0.15"/>
    <row r="57504" hidden="1" x14ac:dyDescent="0.15"/>
    <row r="57505" hidden="1" x14ac:dyDescent="0.15"/>
    <row r="57506" hidden="1" x14ac:dyDescent="0.15"/>
    <row r="57507" hidden="1" x14ac:dyDescent="0.15"/>
    <row r="57508" hidden="1" x14ac:dyDescent="0.15"/>
    <row r="57509" hidden="1" x14ac:dyDescent="0.15"/>
    <row r="57510" hidden="1" x14ac:dyDescent="0.15"/>
    <row r="57511" hidden="1" x14ac:dyDescent="0.15"/>
    <row r="57512" hidden="1" x14ac:dyDescent="0.15"/>
    <row r="57513" hidden="1" x14ac:dyDescent="0.15"/>
    <row r="57514" hidden="1" x14ac:dyDescent="0.15"/>
    <row r="57515" hidden="1" x14ac:dyDescent="0.15"/>
    <row r="57516" hidden="1" x14ac:dyDescent="0.15"/>
    <row r="57517" hidden="1" x14ac:dyDescent="0.15"/>
    <row r="57518" hidden="1" x14ac:dyDescent="0.15"/>
    <row r="57519" hidden="1" x14ac:dyDescent="0.15"/>
    <row r="57520" hidden="1" x14ac:dyDescent="0.15"/>
    <row r="57521" hidden="1" x14ac:dyDescent="0.15"/>
    <row r="57522" hidden="1" x14ac:dyDescent="0.15"/>
    <row r="57523" hidden="1" x14ac:dyDescent="0.15"/>
    <row r="57524" hidden="1" x14ac:dyDescent="0.15"/>
    <row r="57525" hidden="1" x14ac:dyDescent="0.15"/>
    <row r="57526" hidden="1" x14ac:dyDescent="0.15"/>
    <row r="57527" hidden="1" x14ac:dyDescent="0.15"/>
    <row r="57528" hidden="1" x14ac:dyDescent="0.15"/>
    <row r="57529" hidden="1" x14ac:dyDescent="0.15"/>
    <row r="57530" hidden="1" x14ac:dyDescent="0.15"/>
    <row r="57531" hidden="1" x14ac:dyDescent="0.15"/>
    <row r="57532" hidden="1" x14ac:dyDescent="0.15"/>
    <row r="57533" hidden="1" x14ac:dyDescent="0.15"/>
    <row r="57534" hidden="1" x14ac:dyDescent="0.15"/>
    <row r="57535" hidden="1" x14ac:dyDescent="0.15"/>
    <row r="57536" hidden="1" x14ac:dyDescent="0.15"/>
    <row r="57537" hidden="1" x14ac:dyDescent="0.15"/>
    <row r="57538" hidden="1" x14ac:dyDescent="0.15"/>
    <row r="57539" hidden="1" x14ac:dyDescent="0.15"/>
    <row r="57540" hidden="1" x14ac:dyDescent="0.15"/>
    <row r="57541" hidden="1" x14ac:dyDescent="0.15"/>
    <row r="57542" hidden="1" x14ac:dyDescent="0.15"/>
    <row r="57543" hidden="1" x14ac:dyDescent="0.15"/>
    <row r="57544" hidden="1" x14ac:dyDescent="0.15"/>
    <row r="57545" hidden="1" x14ac:dyDescent="0.15"/>
    <row r="57546" hidden="1" x14ac:dyDescent="0.15"/>
    <row r="57547" hidden="1" x14ac:dyDescent="0.15"/>
    <row r="57548" hidden="1" x14ac:dyDescent="0.15"/>
    <row r="57549" hidden="1" x14ac:dyDescent="0.15"/>
    <row r="57550" hidden="1" x14ac:dyDescent="0.15"/>
    <row r="57551" hidden="1" x14ac:dyDescent="0.15"/>
    <row r="57552" hidden="1" x14ac:dyDescent="0.15"/>
    <row r="57553" hidden="1" x14ac:dyDescent="0.15"/>
    <row r="57554" hidden="1" x14ac:dyDescent="0.15"/>
    <row r="57555" hidden="1" x14ac:dyDescent="0.15"/>
    <row r="57556" hidden="1" x14ac:dyDescent="0.15"/>
    <row r="57557" hidden="1" x14ac:dyDescent="0.15"/>
    <row r="57558" hidden="1" x14ac:dyDescent="0.15"/>
    <row r="57559" hidden="1" x14ac:dyDescent="0.15"/>
    <row r="57560" hidden="1" x14ac:dyDescent="0.15"/>
    <row r="57561" hidden="1" x14ac:dyDescent="0.15"/>
    <row r="57562" hidden="1" x14ac:dyDescent="0.15"/>
    <row r="57563" hidden="1" x14ac:dyDescent="0.15"/>
    <row r="57564" hidden="1" x14ac:dyDescent="0.15"/>
    <row r="57565" hidden="1" x14ac:dyDescent="0.15"/>
    <row r="57566" hidden="1" x14ac:dyDescent="0.15"/>
    <row r="57567" hidden="1" x14ac:dyDescent="0.15"/>
    <row r="57568" hidden="1" x14ac:dyDescent="0.15"/>
    <row r="57569" hidden="1" x14ac:dyDescent="0.15"/>
    <row r="57570" hidden="1" x14ac:dyDescent="0.15"/>
    <row r="57571" hidden="1" x14ac:dyDescent="0.15"/>
    <row r="57572" hidden="1" x14ac:dyDescent="0.15"/>
    <row r="57573" hidden="1" x14ac:dyDescent="0.15"/>
    <row r="57574" hidden="1" x14ac:dyDescent="0.15"/>
    <row r="57575" hidden="1" x14ac:dyDescent="0.15"/>
    <row r="57576" hidden="1" x14ac:dyDescent="0.15"/>
    <row r="57577" hidden="1" x14ac:dyDescent="0.15"/>
    <row r="57578" hidden="1" x14ac:dyDescent="0.15"/>
    <row r="57579" hidden="1" x14ac:dyDescent="0.15"/>
    <row r="57580" hidden="1" x14ac:dyDescent="0.15"/>
    <row r="57581" hidden="1" x14ac:dyDescent="0.15"/>
    <row r="57582" hidden="1" x14ac:dyDescent="0.15"/>
    <row r="57583" hidden="1" x14ac:dyDescent="0.15"/>
    <row r="57584" hidden="1" x14ac:dyDescent="0.15"/>
    <row r="57585" hidden="1" x14ac:dyDescent="0.15"/>
    <row r="57586" hidden="1" x14ac:dyDescent="0.15"/>
    <row r="57587" hidden="1" x14ac:dyDescent="0.15"/>
    <row r="57588" hidden="1" x14ac:dyDescent="0.15"/>
    <row r="57589" hidden="1" x14ac:dyDescent="0.15"/>
    <row r="57590" hidden="1" x14ac:dyDescent="0.15"/>
    <row r="57591" hidden="1" x14ac:dyDescent="0.15"/>
    <row r="57592" hidden="1" x14ac:dyDescent="0.15"/>
    <row r="57593" hidden="1" x14ac:dyDescent="0.15"/>
    <row r="57594" hidden="1" x14ac:dyDescent="0.15"/>
    <row r="57595" hidden="1" x14ac:dyDescent="0.15"/>
    <row r="57596" hidden="1" x14ac:dyDescent="0.15"/>
    <row r="57597" hidden="1" x14ac:dyDescent="0.15"/>
    <row r="57598" hidden="1" x14ac:dyDescent="0.15"/>
    <row r="57599" hidden="1" x14ac:dyDescent="0.15"/>
    <row r="57600" hidden="1" x14ac:dyDescent="0.15"/>
    <row r="57601" hidden="1" x14ac:dyDescent="0.15"/>
    <row r="57602" hidden="1" x14ac:dyDescent="0.15"/>
    <row r="57603" hidden="1" x14ac:dyDescent="0.15"/>
    <row r="57604" hidden="1" x14ac:dyDescent="0.15"/>
    <row r="57605" hidden="1" x14ac:dyDescent="0.15"/>
    <row r="57606" hidden="1" x14ac:dyDescent="0.15"/>
    <row r="57607" hidden="1" x14ac:dyDescent="0.15"/>
    <row r="57608" hidden="1" x14ac:dyDescent="0.15"/>
    <row r="57609" hidden="1" x14ac:dyDescent="0.15"/>
    <row r="57610" hidden="1" x14ac:dyDescent="0.15"/>
    <row r="57611" hidden="1" x14ac:dyDescent="0.15"/>
    <row r="57612" hidden="1" x14ac:dyDescent="0.15"/>
    <row r="57613" hidden="1" x14ac:dyDescent="0.15"/>
    <row r="57614" hidden="1" x14ac:dyDescent="0.15"/>
    <row r="57615" hidden="1" x14ac:dyDescent="0.15"/>
    <row r="57616" hidden="1" x14ac:dyDescent="0.15"/>
    <row r="57617" hidden="1" x14ac:dyDescent="0.15"/>
    <row r="57618" hidden="1" x14ac:dyDescent="0.15"/>
    <row r="57619" hidden="1" x14ac:dyDescent="0.15"/>
    <row r="57620" hidden="1" x14ac:dyDescent="0.15"/>
    <row r="57621" hidden="1" x14ac:dyDescent="0.15"/>
    <row r="57622" hidden="1" x14ac:dyDescent="0.15"/>
    <row r="57623" hidden="1" x14ac:dyDescent="0.15"/>
    <row r="57624" hidden="1" x14ac:dyDescent="0.15"/>
    <row r="57625" hidden="1" x14ac:dyDescent="0.15"/>
    <row r="57626" hidden="1" x14ac:dyDescent="0.15"/>
    <row r="57627" hidden="1" x14ac:dyDescent="0.15"/>
    <row r="57628" hidden="1" x14ac:dyDescent="0.15"/>
    <row r="57629" hidden="1" x14ac:dyDescent="0.15"/>
    <row r="57630" hidden="1" x14ac:dyDescent="0.15"/>
    <row r="57631" hidden="1" x14ac:dyDescent="0.15"/>
    <row r="57632" hidden="1" x14ac:dyDescent="0.15"/>
    <row r="57633" hidden="1" x14ac:dyDescent="0.15"/>
    <row r="57634" hidden="1" x14ac:dyDescent="0.15"/>
    <row r="57635" hidden="1" x14ac:dyDescent="0.15"/>
    <row r="57636" hidden="1" x14ac:dyDescent="0.15"/>
    <row r="57637" hidden="1" x14ac:dyDescent="0.15"/>
    <row r="57638" hidden="1" x14ac:dyDescent="0.15"/>
    <row r="57639" hidden="1" x14ac:dyDescent="0.15"/>
    <row r="57640" hidden="1" x14ac:dyDescent="0.15"/>
    <row r="57641" hidden="1" x14ac:dyDescent="0.15"/>
    <row r="57642" hidden="1" x14ac:dyDescent="0.15"/>
    <row r="57643" hidden="1" x14ac:dyDescent="0.15"/>
    <row r="57644" hidden="1" x14ac:dyDescent="0.15"/>
    <row r="57645" hidden="1" x14ac:dyDescent="0.15"/>
    <row r="57646" hidden="1" x14ac:dyDescent="0.15"/>
    <row r="57647" hidden="1" x14ac:dyDescent="0.15"/>
    <row r="57648" hidden="1" x14ac:dyDescent="0.15"/>
    <row r="57649" hidden="1" x14ac:dyDescent="0.15"/>
    <row r="57650" hidden="1" x14ac:dyDescent="0.15"/>
    <row r="57651" hidden="1" x14ac:dyDescent="0.15"/>
    <row r="57652" hidden="1" x14ac:dyDescent="0.15"/>
    <row r="57653" hidden="1" x14ac:dyDescent="0.15"/>
    <row r="57654" hidden="1" x14ac:dyDescent="0.15"/>
    <row r="57655" hidden="1" x14ac:dyDescent="0.15"/>
    <row r="57656" hidden="1" x14ac:dyDescent="0.15"/>
    <row r="57657" hidden="1" x14ac:dyDescent="0.15"/>
    <row r="57658" hidden="1" x14ac:dyDescent="0.15"/>
    <row r="57659" hidden="1" x14ac:dyDescent="0.15"/>
    <row r="57660" hidden="1" x14ac:dyDescent="0.15"/>
    <row r="57661" hidden="1" x14ac:dyDescent="0.15"/>
    <row r="57662" hidden="1" x14ac:dyDescent="0.15"/>
    <row r="57663" hidden="1" x14ac:dyDescent="0.15"/>
    <row r="57664" hidden="1" x14ac:dyDescent="0.15"/>
    <row r="57665" hidden="1" x14ac:dyDescent="0.15"/>
    <row r="57666" hidden="1" x14ac:dyDescent="0.15"/>
    <row r="57667" hidden="1" x14ac:dyDescent="0.15"/>
    <row r="57668" hidden="1" x14ac:dyDescent="0.15"/>
    <row r="57669" hidden="1" x14ac:dyDescent="0.15"/>
    <row r="57670" hidden="1" x14ac:dyDescent="0.15"/>
    <row r="57671" hidden="1" x14ac:dyDescent="0.15"/>
    <row r="57672" hidden="1" x14ac:dyDescent="0.15"/>
    <row r="57673" hidden="1" x14ac:dyDescent="0.15"/>
    <row r="57674" hidden="1" x14ac:dyDescent="0.15"/>
    <row r="57675" hidden="1" x14ac:dyDescent="0.15"/>
    <row r="57676" hidden="1" x14ac:dyDescent="0.15"/>
    <row r="57677" hidden="1" x14ac:dyDescent="0.15"/>
    <row r="57678" hidden="1" x14ac:dyDescent="0.15"/>
    <row r="57679" hidden="1" x14ac:dyDescent="0.15"/>
    <row r="57680" hidden="1" x14ac:dyDescent="0.15"/>
    <row r="57681" hidden="1" x14ac:dyDescent="0.15"/>
    <row r="57682" hidden="1" x14ac:dyDescent="0.15"/>
    <row r="57683" hidden="1" x14ac:dyDescent="0.15"/>
    <row r="57684" hidden="1" x14ac:dyDescent="0.15"/>
    <row r="57685" hidden="1" x14ac:dyDescent="0.15"/>
    <row r="57686" hidden="1" x14ac:dyDescent="0.15"/>
    <row r="57687" hidden="1" x14ac:dyDescent="0.15"/>
    <row r="57688" hidden="1" x14ac:dyDescent="0.15"/>
    <row r="57689" hidden="1" x14ac:dyDescent="0.15"/>
    <row r="57690" hidden="1" x14ac:dyDescent="0.15"/>
    <row r="57691" hidden="1" x14ac:dyDescent="0.15"/>
    <row r="57692" hidden="1" x14ac:dyDescent="0.15"/>
    <row r="57693" hidden="1" x14ac:dyDescent="0.15"/>
    <row r="57694" hidden="1" x14ac:dyDescent="0.15"/>
    <row r="57695" hidden="1" x14ac:dyDescent="0.15"/>
    <row r="57696" hidden="1" x14ac:dyDescent="0.15"/>
    <row r="57697" hidden="1" x14ac:dyDescent="0.15"/>
    <row r="57698" hidden="1" x14ac:dyDescent="0.15"/>
    <row r="57699" hidden="1" x14ac:dyDescent="0.15"/>
    <row r="57700" hidden="1" x14ac:dyDescent="0.15"/>
    <row r="57701" hidden="1" x14ac:dyDescent="0.15"/>
    <row r="57702" hidden="1" x14ac:dyDescent="0.15"/>
    <row r="57703" hidden="1" x14ac:dyDescent="0.15"/>
    <row r="57704" hidden="1" x14ac:dyDescent="0.15"/>
    <row r="57705" hidden="1" x14ac:dyDescent="0.15"/>
    <row r="57706" hidden="1" x14ac:dyDescent="0.15"/>
    <row r="57707" hidden="1" x14ac:dyDescent="0.15"/>
    <row r="57708" hidden="1" x14ac:dyDescent="0.15"/>
    <row r="57709" hidden="1" x14ac:dyDescent="0.15"/>
    <row r="57710" hidden="1" x14ac:dyDescent="0.15"/>
    <row r="57711" hidden="1" x14ac:dyDescent="0.15"/>
    <row r="57712" hidden="1" x14ac:dyDescent="0.15"/>
    <row r="57713" hidden="1" x14ac:dyDescent="0.15"/>
    <row r="57714" hidden="1" x14ac:dyDescent="0.15"/>
    <row r="57715" hidden="1" x14ac:dyDescent="0.15"/>
    <row r="57716" hidden="1" x14ac:dyDescent="0.15"/>
    <row r="57717" hidden="1" x14ac:dyDescent="0.15"/>
    <row r="57718" hidden="1" x14ac:dyDescent="0.15"/>
    <row r="57719" hidden="1" x14ac:dyDescent="0.15"/>
    <row r="57720" hidden="1" x14ac:dyDescent="0.15"/>
    <row r="57721" hidden="1" x14ac:dyDescent="0.15"/>
    <row r="57722" hidden="1" x14ac:dyDescent="0.15"/>
    <row r="57723" hidden="1" x14ac:dyDescent="0.15"/>
    <row r="57724" hidden="1" x14ac:dyDescent="0.15"/>
    <row r="57725" hidden="1" x14ac:dyDescent="0.15"/>
    <row r="57726" hidden="1" x14ac:dyDescent="0.15"/>
    <row r="57727" hidden="1" x14ac:dyDescent="0.15"/>
    <row r="57728" hidden="1" x14ac:dyDescent="0.15"/>
    <row r="57729" hidden="1" x14ac:dyDescent="0.15"/>
    <row r="57730" hidden="1" x14ac:dyDescent="0.15"/>
    <row r="57731" hidden="1" x14ac:dyDescent="0.15"/>
    <row r="57732" hidden="1" x14ac:dyDescent="0.15"/>
    <row r="57733" hidden="1" x14ac:dyDescent="0.15"/>
    <row r="57734" hidden="1" x14ac:dyDescent="0.15"/>
    <row r="57735" hidden="1" x14ac:dyDescent="0.15"/>
    <row r="57736" hidden="1" x14ac:dyDescent="0.15"/>
    <row r="57737" hidden="1" x14ac:dyDescent="0.15"/>
    <row r="57738" hidden="1" x14ac:dyDescent="0.15"/>
    <row r="57739" hidden="1" x14ac:dyDescent="0.15"/>
    <row r="57740" hidden="1" x14ac:dyDescent="0.15"/>
    <row r="57741" hidden="1" x14ac:dyDescent="0.15"/>
    <row r="57742" hidden="1" x14ac:dyDescent="0.15"/>
    <row r="57743" hidden="1" x14ac:dyDescent="0.15"/>
    <row r="57744" hidden="1" x14ac:dyDescent="0.15"/>
    <row r="57745" hidden="1" x14ac:dyDescent="0.15"/>
    <row r="57746" hidden="1" x14ac:dyDescent="0.15"/>
    <row r="57747" hidden="1" x14ac:dyDescent="0.15"/>
    <row r="57748" hidden="1" x14ac:dyDescent="0.15"/>
    <row r="57749" hidden="1" x14ac:dyDescent="0.15"/>
    <row r="57750" hidden="1" x14ac:dyDescent="0.15"/>
    <row r="57751" hidden="1" x14ac:dyDescent="0.15"/>
    <row r="57752" hidden="1" x14ac:dyDescent="0.15"/>
    <row r="57753" hidden="1" x14ac:dyDescent="0.15"/>
    <row r="57754" hidden="1" x14ac:dyDescent="0.15"/>
    <row r="57755" hidden="1" x14ac:dyDescent="0.15"/>
    <row r="57756" hidden="1" x14ac:dyDescent="0.15"/>
    <row r="57757" hidden="1" x14ac:dyDescent="0.15"/>
    <row r="57758" hidden="1" x14ac:dyDescent="0.15"/>
    <row r="57759" hidden="1" x14ac:dyDescent="0.15"/>
    <row r="57760" hidden="1" x14ac:dyDescent="0.15"/>
    <row r="57761" hidden="1" x14ac:dyDescent="0.15"/>
    <row r="57762" hidden="1" x14ac:dyDescent="0.15"/>
    <row r="57763" hidden="1" x14ac:dyDescent="0.15"/>
    <row r="57764" hidden="1" x14ac:dyDescent="0.15"/>
    <row r="57765" hidden="1" x14ac:dyDescent="0.15"/>
    <row r="57766" hidden="1" x14ac:dyDescent="0.15"/>
    <row r="57767" hidden="1" x14ac:dyDescent="0.15"/>
    <row r="57768" hidden="1" x14ac:dyDescent="0.15"/>
    <row r="57769" hidden="1" x14ac:dyDescent="0.15"/>
    <row r="57770" hidden="1" x14ac:dyDescent="0.15"/>
    <row r="57771" hidden="1" x14ac:dyDescent="0.15"/>
    <row r="57772" hidden="1" x14ac:dyDescent="0.15"/>
    <row r="57773" hidden="1" x14ac:dyDescent="0.15"/>
    <row r="57774" hidden="1" x14ac:dyDescent="0.15"/>
    <row r="57775" hidden="1" x14ac:dyDescent="0.15"/>
    <row r="57776" hidden="1" x14ac:dyDescent="0.15"/>
    <row r="57777" hidden="1" x14ac:dyDescent="0.15"/>
    <row r="57778" hidden="1" x14ac:dyDescent="0.15"/>
    <row r="57779" hidden="1" x14ac:dyDescent="0.15"/>
    <row r="57780" hidden="1" x14ac:dyDescent="0.15"/>
    <row r="57781" hidden="1" x14ac:dyDescent="0.15"/>
    <row r="57782" hidden="1" x14ac:dyDescent="0.15"/>
    <row r="57783" hidden="1" x14ac:dyDescent="0.15"/>
    <row r="57784" hidden="1" x14ac:dyDescent="0.15"/>
    <row r="57785" hidden="1" x14ac:dyDescent="0.15"/>
    <row r="57786" hidden="1" x14ac:dyDescent="0.15"/>
    <row r="57787" hidden="1" x14ac:dyDescent="0.15"/>
    <row r="57788" hidden="1" x14ac:dyDescent="0.15"/>
    <row r="57789" hidden="1" x14ac:dyDescent="0.15"/>
    <row r="57790" hidden="1" x14ac:dyDescent="0.15"/>
    <row r="57791" hidden="1" x14ac:dyDescent="0.15"/>
    <row r="57792" hidden="1" x14ac:dyDescent="0.15"/>
    <row r="57793" hidden="1" x14ac:dyDescent="0.15"/>
    <row r="57794" hidden="1" x14ac:dyDescent="0.15"/>
    <row r="57795" hidden="1" x14ac:dyDescent="0.15"/>
    <row r="57796" hidden="1" x14ac:dyDescent="0.15"/>
    <row r="57797" hidden="1" x14ac:dyDescent="0.15"/>
    <row r="57798" hidden="1" x14ac:dyDescent="0.15"/>
    <row r="57799" hidden="1" x14ac:dyDescent="0.15"/>
    <row r="57800" hidden="1" x14ac:dyDescent="0.15"/>
    <row r="57801" hidden="1" x14ac:dyDescent="0.15"/>
    <row r="57802" hidden="1" x14ac:dyDescent="0.15"/>
    <row r="57803" hidden="1" x14ac:dyDescent="0.15"/>
    <row r="57804" hidden="1" x14ac:dyDescent="0.15"/>
    <row r="57805" hidden="1" x14ac:dyDescent="0.15"/>
    <row r="57806" hidden="1" x14ac:dyDescent="0.15"/>
    <row r="57807" hidden="1" x14ac:dyDescent="0.15"/>
    <row r="57808" hidden="1" x14ac:dyDescent="0.15"/>
    <row r="57809" hidden="1" x14ac:dyDescent="0.15"/>
    <row r="57810" hidden="1" x14ac:dyDescent="0.15"/>
    <row r="57811" hidden="1" x14ac:dyDescent="0.15"/>
    <row r="57812" hidden="1" x14ac:dyDescent="0.15"/>
    <row r="57813" hidden="1" x14ac:dyDescent="0.15"/>
    <row r="57814" hidden="1" x14ac:dyDescent="0.15"/>
    <row r="57815" hidden="1" x14ac:dyDescent="0.15"/>
    <row r="57816" hidden="1" x14ac:dyDescent="0.15"/>
    <row r="57817" hidden="1" x14ac:dyDescent="0.15"/>
    <row r="57818" hidden="1" x14ac:dyDescent="0.15"/>
    <row r="57819" hidden="1" x14ac:dyDescent="0.15"/>
    <row r="57820" hidden="1" x14ac:dyDescent="0.15"/>
    <row r="57821" hidden="1" x14ac:dyDescent="0.15"/>
    <row r="57822" hidden="1" x14ac:dyDescent="0.15"/>
    <row r="57823" hidden="1" x14ac:dyDescent="0.15"/>
    <row r="57824" hidden="1" x14ac:dyDescent="0.15"/>
    <row r="57825" hidden="1" x14ac:dyDescent="0.15"/>
    <row r="57826" hidden="1" x14ac:dyDescent="0.15"/>
    <row r="57827" hidden="1" x14ac:dyDescent="0.15"/>
    <row r="57828" hidden="1" x14ac:dyDescent="0.15"/>
    <row r="57829" hidden="1" x14ac:dyDescent="0.15"/>
    <row r="57830" hidden="1" x14ac:dyDescent="0.15"/>
    <row r="57831" hidden="1" x14ac:dyDescent="0.15"/>
    <row r="57832" hidden="1" x14ac:dyDescent="0.15"/>
    <row r="57833" hidden="1" x14ac:dyDescent="0.15"/>
    <row r="57834" hidden="1" x14ac:dyDescent="0.15"/>
    <row r="57835" hidden="1" x14ac:dyDescent="0.15"/>
    <row r="57836" hidden="1" x14ac:dyDescent="0.15"/>
    <row r="57837" hidden="1" x14ac:dyDescent="0.15"/>
    <row r="57838" hidden="1" x14ac:dyDescent="0.15"/>
    <row r="57839" hidden="1" x14ac:dyDescent="0.15"/>
    <row r="57840" hidden="1" x14ac:dyDescent="0.15"/>
    <row r="57841" hidden="1" x14ac:dyDescent="0.15"/>
    <row r="57842" hidden="1" x14ac:dyDescent="0.15"/>
    <row r="57843" hidden="1" x14ac:dyDescent="0.15"/>
    <row r="57844" hidden="1" x14ac:dyDescent="0.15"/>
    <row r="57845" hidden="1" x14ac:dyDescent="0.15"/>
    <row r="57846" hidden="1" x14ac:dyDescent="0.15"/>
    <row r="57847" hidden="1" x14ac:dyDescent="0.15"/>
    <row r="57848" hidden="1" x14ac:dyDescent="0.15"/>
    <row r="57849" hidden="1" x14ac:dyDescent="0.15"/>
    <row r="57850" hidden="1" x14ac:dyDescent="0.15"/>
    <row r="57851" hidden="1" x14ac:dyDescent="0.15"/>
    <row r="57852" hidden="1" x14ac:dyDescent="0.15"/>
    <row r="57853" hidden="1" x14ac:dyDescent="0.15"/>
    <row r="57854" hidden="1" x14ac:dyDescent="0.15"/>
    <row r="57855" hidden="1" x14ac:dyDescent="0.15"/>
    <row r="57856" hidden="1" x14ac:dyDescent="0.15"/>
    <row r="57857" hidden="1" x14ac:dyDescent="0.15"/>
    <row r="57858" hidden="1" x14ac:dyDescent="0.15"/>
    <row r="57859" hidden="1" x14ac:dyDescent="0.15"/>
    <row r="57860" hidden="1" x14ac:dyDescent="0.15"/>
    <row r="57861" hidden="1" x14ac:dyDescent="0.15"/>
    <row r="57862" hidden="1" x14ac:dyDescent="0.15"/>
    <row r="57863" hidden="1" x14ac:dyDescent="0.15"/>
    <row r="57864" hidden="1" x14ac:dyDescent="0.15"/>
    <row r="57865" hidden="1" x14ac:dyDescent="0.15"/>
    <row r="57866" hidden="1" x14ac:dyDescent="0.15"/>
    <row r="57867" hidden="1" x14ac:dyDescent="0.15"/>
    <row r="57868" hidden="1" x14ac:dyDescent="0.15"/>
    <row r="57869" hidden="1" x14ac:dyDescent="0.15"/>
    <row r="57870" hidden="1" x14ac:dyDescent="0.15"/>
    <row r="57871" hidden="1" x14ac:dyDescent="0.15"/>
    <row r="57872" hidden="1" x14ac:dyDescent="0.15"/>
    <row r="57873" hidden="1" x14ac:dyDescent="0.15"/>
    <row r="57874" hidden="1" x14ac:dyDescent="0.15"/>
    <row r="57875" hidden="1" x14ac:dyDescent="0.15"/>
    <row r="57876" hidden="1" x14ac:dyDescent="0.15"/>
    <row r="57877" hidden="1" x14ac:dyDescent="0.15"/>
    <row r="57878" hidden="1" x14ac:dyDescent="0.15"/>
    <row r="57879" hidden="1" x14ac:dyDescent="0.15"/>
    <row r="57880" hidden="1" x14ac:dyDescent="0.15"/>
    <row r="57881" hidden="1" x14ac:dyDescent="0.15"/>
    <row r="57882" hidden="1" x14ac:dyDescent="0.15"/>
    <row r="57883" hidden="1" x14ac:dyDescent="0.15"/>
    <row r="57884" hidden="1" x14ac:dyDescent="0.15"/>
    <row r="57885" hidden="1" x14ac:dyDescent="0.15"/>
    <row r="57886" hidden="1" x14ac:dyDescent="0.15"/>
    <row r="57887" hidden="1" x14ac:dyDescent="0.15"/>
    <row r="57888" hidden="1" x14ac:dyDescent="0.15"/>
    <row r="57889" hidden="1" x14ac:dyDescent="0.15"/>
    <row r="57890" hidden="1" x14ac:dyDescent="0.15"/>
    <row r="57891" hidden="1" x14ac:dyDescent="0.15"/>
    <row r="57892" hidden="1" x14ac:dyDescent="0.15"/>
    <row r="57893" hidden="1" x14ac:dyDescent="0.15"/>
    <row r="57894" hidden="1" x14ac:dyDescent="0.15"/>
    <row r="57895" hidden="1" x14ac:dyDescent="0.15"/>
    <row r="57896" hidden="1" x14ac:dyDescent="0.15"/>
    <row r="57897" hidden="1" x14ac:dyDescent="0.15"/>
    <row r="57898" hidden="1" x14ac:dyDescent="0.15"/>
    <row r="57899" hidden="1" x14ac:dyDescent="0.15"/>
    <row r="57900" hidden="1" x14ac:dyDescent="0.15"/>
    <row r="57901" hidden="1" x14ac:dyDescent="0.15"/>
    <row r="57902" hidden="1" x14ac:dyDescent="0.15"/>
    <row r="57903" hidden="1" x14ac:dyDescent="0.15"/>
    <row r="57904" hidden="1" x14ac:dyDescent="0.15"/>
    <row r="57905" hidden="1" x14ac:dyDescent="0.15"/>
    <row r="57906" hidden="1" x14ac:dyDescent="0.15"/>
    <row r="57907" hidden="1" x14ac:dyDescent="0.15"/>
    <row r="57908" hidden="1" x14ac:dyDescent="0.15"/>
    <row r="57909" hidden="1" x14ac:dyDescent="0.15"/>
    <row r="57910" hidden="1" x14ac:dyDescent="0.15"/>
    <row r="57911" hidden="1" x14ac:dyDescent="0.15"/>
    <row r="57912" hidden="1" x14ac:dyDescent="0.15"/>
    <row r="57913" hidden="1" x14ac:dyDescent="0.15"/>
    <row r="57914" hidden="1" x14ac:dyDescent="0.15"/>
    <row r="57915" hidden="1" x14ac:dyDescent="0.15"/>
    <row r="57916" hidden="1" x14ac:dyDescent="0.15"/>
    <row r="57917" hidden="1" x14ac:dyDescent="0.15"/>
    <row r="57918" hidden="1" x14ac:dyDescent="0.15"/>
    <row r="57919" hidden="1" x14ac:dyDescent="0.15"/>
    <row r="57920" hidden="1" x14ac:dyDescent="0.15"/>
    <row r="57921" hidden="1" x14ac:dyDescent="0.15"/>
    <row r="57922" hidden="1" x14ac:dyDescent="0.15"/>
    <row r="57923" hidden="1" x14ac:dyDescent="0.15"/>
    <row r="57924" hidden="1" x14ac:dyDescent="0.15"/>
    <row r="57925" hidden="1" x14ac:dyDescent="0.15"/>
    <row r="57926" hidden="1" x14ac:dyDescent="0.15"/>
    <row r="57927" hidden="1" x14ac:dyDescent="0.15"/>
    <row r="57928" hidden="1" x14ac:dyDescent="0.15"/>
    <row r="57929" hidden="1" x14ac:dyDescent="0.15"/>
    <row r="57930" hidden="1" x14ac:dyDescent="0.15"/>
    <row r="57931" hidden="1" x14ac:dyDescent="0.15"/>
    <row r="57932" hidden="1" x14ac:dyDescent="0.15"/>
    <row r="57933" hidden="1" x14ac:dyDescent="0.15"/>
    <row r="57934" hidden="1" x14ac:dyDescent="0.15"/>
    <row r="57935" hidden="1" x14ac:dyDescent="0.15"/>
    <row r="57936" hidden="1" x14ac:dyDescent="0.15"/>
    <row r="57937" hidden="1" x14ac:dyDescent="0.15"/>
    <row r="57938" hidden="1" x14ac:dyDescent="0.15"/>
    <row r="57939" hidden="1" x14ac:dyDescent="0.15"/>
    <row r="57940" hidden="1" x14ac:dyDescent="0.15"/>
    <row r="57941" hidden="1" x14ac:dyDescent="0.15"/>
    <row r="57942" hidden="1" x14ac:dyDescent="0.15"/>
    <row r="57943" hidden="1" x14ac:dyDescent="0.15"/>
    <row r="57944" hidden="1" x14ac:dyDescent="0.15"/>
    <row r="57945" hidden="1" x14ac:dyDescent="0.15"/>
    <row r="57946" hidden="1" x14ac:dyDescent="0.15"/>
    <row r="57947" hidden="1" x14ac:dyDescent="0.15"/>
    <row r="57948" hidden="1" x14ac:dyDescent="0.15"/>
    <row r="57949" hidden="1" x14ac:dyDescent="0.15"/>
    <row r="57950" hidden="1" x14ac:dyDescent="0.15"/>
    <row r="57951" hidden="1" x14ac:dyDescent="0.15"/>
    <row r="57952" hidden="1" x14ac:dyDescent="0.15"/>
    <row r="57953" hidden="1" x14ac:dyDescent="0.15"/>
    <row r="57954" hidden="1" x14ac:dyDescent="0.15"/>
    <row r="57955" hidden="1" x14ac:dyDescent="0.15"/>
    <row r="57956" hidden="1" x14ac:dyDescent="0.15"/>
    <row r="57957" hidden="1" x14ac:dyDescent="0.15"/>
    <row r="57958" hidden="1" x14ac:dyDescent="0.15"/>
    <row r="57959" hidden="1" x14ac:dyDescent="0.15"/>
    <row r="57960" hidden="1" x14ac:dyDescent="0.15"/>
    <row r="57961" hidden="1" x14ac:dyDescent="0.15"/>
    <row r="57962" hidden="1" x14ac:dyDescent="0.15"/>
    <row r="57963" hidden="1" x14ac:dyDescent="0.15"/>
    <row r="57964" hidden="1" x14ac:dyDescent="0.15"/>
    <row r="57965" hidden="1" x14ac:dyDescent="0.15"/>
    <row r="57966" hidden="1" x14ac:dyDescent="0.15"/>
    <row r="57967" hidden="1" x14ac:dyDescent="0.15"/>
    <row r="57968" hidden="1" x14ac:dyDescent="0.15"/>
    <row r="57969" hidden="1" x14ac:dyDescent="0.15"/>
    <row r="57970" hidden="1" x14ac:dyDescent="0.15"/>
    <row r="57971" hidden="1" x14ac:dyDescent="0.15"/>
    <row r="57972" hidden="1" x14ac:dyDescent="0.15"/>
    <row r="57973" hidden="1" x14ac:dyDescent="0.15"/>
    <row r="57974" hidden="1" x14ac:dyDescent="0.15"/>
    <row r="57975" hidden="1" x14ac:dyDescent="0.15"/>
    <row r="57976" hidden="1" x14ac:dyDescent="0.15"/>
    <row r="57977" hidden="1" x14ac:dyDescent="0.15"/>
    <row r="57978" hidden="1" x14ac:dyDescent="0.15"/>
    <row r="57979" hidden="1" x14ac:dyDescent="0.15"/>
    <row r="57980" hidden="1" x14ac:dyDescent="0.15"/>
    <row r="57981" hidden="1" x14ac:dyDescent="0.15"/>
    <row r="57982" hidden="1" x14ac:dyDescent="0.15"/>
    <row r="57983" hidden="1" x14ac:dyDescent="0.15"/>
    <row r="57984" hidden="1" x14ac:dyDescent="0.15"/>
    <row r="57985" hidden="1" x14ac:dyDescent="0.15"/>
    <row r="57986" hidden="1" x14ac:dyDescent="0.15"/>
    <row r="57987" hidden="1" x14ac:dyDescent="0.15"/>
    <row r="57988" hidden="1" x14ac:dyDescent="0.15"/>
    <row r="57989" hidden="1" x14ac:dyDescent="0.15"/>
    <row r="57990" hidden="1" x14ac:dyDescent="0.15"/>
    <row r="57991" hidden="1" x14ac:dyDescent="0.15"/>
    <row r="57992" hidden="1" x14ac:dyDescent="0.15"/>
    <row r="57993" hidden="1" x14ac:dyDescent="0.15"/>
    <row r="57994" hidden="1" x14ac:dyDescent="0.15"/>
    <row r="57995" hidden="1" x14ac:dyDescent="0.15"/>
    <row r="57996" hidden="1" x14ac:dyDescent="0.15"/>
    <row r="57997" hidden="1" x14ac:dyDescent="0.15"/>
    <row r="57998" hidden="1" x14ac:dyDescent="0.15"/>
    <row r="57999" hidden="1" x14ac:dyDescent="0.15"/>
    <row r="58000" hidden="1" x14ac:dyDescent="0.15"/>
    <row r="58001" hidden="1" x14ac:dyDescent="0.15"/>
    <row r="58002" hidden="1" x14ac:dyDescent="0.15"/>
    <row r="58003" hidden="1" x14ac:dyDescent="0.15"/>
    <row r="58004" hidden="1" x14ac:dyDescent="0.15"/>
    <row r="58005" hidden="1" x14ac:dyDescent="0.15"/>
    <row r="58006" hidden="1" x14ac:dyDescent="0.15"/>
    <row r="58007" hidden="1" x14ac:dyDescent="0.15"/>
    <row r="58008" hidden="1" x14ac:dyDescent="0.15"/>
    <row r="58009" hidden="1" x14ac:dyDescent="0.15"/>
    <row r="58010" hidden="1" x14ac:dyDescent="0.15"/>
    <row r="58011" hidden="1" x14ac:dyDescent="0.15"/>
    <row r="58012" hidden="1" x14ac:dyDescent="0.15"/>
    <row r="58013" hidden="1" x14ac:dyDescent="0.15"/>
    <row r="58014" hidden="1" x14ac:dyDescent="0.15"/>
    <row r="58015" hidden="1" x14ac:dyDescent="0.15"/>
    <row r="58016" hidden="1" x14ac:dyDescent="0.15"/>
    <row r="58017" hidden="1" x14ac:dyDescent="0.15"/>
    <row r="58018" hidden="1" x14ac:dyDescent="0.15"/>
    <row r="58019" hidden="1" x14ac:dyDescent="0.15"/>
    <row r="58020" hidden="1" x14ac:dyDescent="0.15"/>
    <row r="58021" hidden="1" x14ac:dyDescent="0.15"/>
    <row r="58022" hidden="1" x14ac:dyDescent="0.15"/>
    <row r="58023" hidden="1" x14ac:dyDescent="0.15"/>
    <row r="58024" hidden="1" x14ac:dyDescent="0.15"/>
    <row r="58025" hidden="1" x14ac:dyDescent="0.15"/>
    <row r="58026" hidden="1" x14ac:dyDescent="0.15"/>
    <row r="58027" hidden="1" x14ac:dyDescent="0.15"/>
    <row r="58028" hidden="1" x14ac:dyDescent="0.15"/>
    <row r="58029" hidden="1" x14ac:dyDescent="0.15"/>
    <row r="58030" hidden="1" x14ac:dyDescent="0.15"/>
    <row r="58031" hidden="1" x14ac:dyDescent="0.15"/>
    <row r="58032" hidden="1" x14ac:dyDescent="0.15"/>
    <row r="58033" hidden="1" x14ac:dyDescent="0.15"/>
    <row r="58034" hidden="1" x14ac:dyDescent="0.15"/>
    <row r="58035" hidden="1" x14ac:dyDescent="0.15"/>
    <row r="58036" hidden="1" x14ac:dyDescent="0.15"/>
    <row r="58037" hidden="1" x14ac:dyDescent="0.15"/>
    <row r="58038" hidden="1" x14ac:dyDescent="0.15"/>
    <row r="58039" hidden="1" x14ac:dyDescent="0.15"/>
    <row r="58040" hidden="1" x14ac:dyDescent="0.15"/>
    <row r="58041" hidden="1" x14ac:dyDescent="0.15"/>
    <row r="58042" hidden="1" x14ac:dyDescent="0.15"/>
    <row r="58043" hidden="1" x14ac:dyDescent="0.15"/>
    <row r="58044" hidden="1" x14ac:dyDescent="0.15"/>
    <row r="58045" hidden="1" x14ac:dyDescent="0.15"/>
    <row r="58046" hidden="1" x14ac:dyDescent="0.15"/>
    <row r="58047" hidden="1" x14ac:dyDescent="0.15"/>
    <row r="58048" hidden="1" x14ac:dyDescent="0.15"/>
    <row r="58049" hidden="1" x14ac:dyDescent="0.15"/>
    <row r="58050" hidden="1" x14ac:dyDescent="0.15"/>
    <row r="58051" hidden="1" x14ac:dyDescent="0.15"/>
    <row r="58052" hidden="1" x14ac:dyDescent="0.15"/>
    <row r="58053" hidden="1" x14ac:dyDescent="0.15"/>
    <row r="58054" hidden="1" x14ac:dyDescent="0.15"/>
    <row r="58055" hidden="1" x14ac:dyDescent="0.15"/>
    <row r="58056" hidden="1" x14ac:dyDescent="0.15"/>
    <row r="58057" hidden="1" x14ac:dyDescent="0.15"/>
    <row r="58058" hidden="1" x14ac:dyDescent="0.15"/>
    <row r="58059" hidden="1" x14ac:dyDescent="0.15"/>
    <row r="58060" hidden="1" x14ac:dyDescent="0.15"/>
    <row r="58061" hidden="1" x14ac:dyDescent="0.15"/>
    <row r="58062" hidden="1" x14ac:dyDescent="0.15"/>
    <row r="58063" hidden="1" x14ac:dyDescent="0.15"/>
    <row r="58064" hidden="1" x14ac:dyDescent="0.15"/>
    <row r="58065" hidden="1" x14ac:dyDescent="0.15"/>
    <row r="58066" hidden="1" x14ac:dyDescent="0.15"/>
    <row r="58067" hidden="1" x14ac:dyDescent="0.15"/>
    <row r="58068" hidden="1" x14ac:dyDescent="0.15"/>
    <row r="58069" hidden="1" x14ac:dyDescent="0.15"/>
    <row r="58070" hidden="1" x14ac:dyDescent="0.15"/>
    <row r="58071" hidden="1" x14ac:dyDescent="0.15"/>
    <row r="58072" hidden="1" x14ac:dyDescent="0.15"/>
    <row r="58073" hidden="1" x14ac:dyDescent="0.15"/>
    <row r="58074" hidden="1" x14ac:dyDescent="0.15"/>
    <row r="58075" hidden="1" x14ac:dyDescent="0.15"/>
    <row r="58076" hidden="1" x14ac:dyDescent="0.15"/>
    <row r="58077" hidden="1" x14ac:dyDescent="0.15"/>
    <row r="58078" hidden="1" x14ac:dyDescent="0.15"/>
    <row r="58079" hidden="1" x14ac:dyDescent="0.15"/>
    <row r="58080" hidden="1" x14ac:dyDescent="0.15"/>
    <row r="58081" hidden="1" x14ac:dyDescent="0.15"/>
    <row r="58082" hidden="1" x14ac:dyDescent="0.15"/>
    <row r="58083" hidden="1" x14ac:dyDescent="0.15"/>
    <row r="58084" hidden="1" x14ac:dyDescent="0.15"/>
    <row r="58085" hidden="1" x14ac:dyDescent="0.15"/>
    <row r="58086" hidden="1" x14ac:dyDescent="0.15"/>
    <row r="58087" hidden="1" x14ac:dyDescent="0.15"/>
    <row r="58088" hidden="1" x14ac:dyDescent="0.15"/>
    <row r="58089" hidden="1" x14ac:dyDescent="0.15"/>
    <row r="58090" hidden="1" x14ac:dyDescent="0.15"/>
    <row r="58091" hidden="1" x14ac:dyDescent="0.15"/>
    <row r="58092" hidden="1" x14ac:dyDescent="0.15"/>
    <row r="58093" hidden="1" x14ac:dyDescent="0.15"/>
    <row r="58094" hidden="1" x14ac:dyDescent="0.15"/>
    <row r="58095" hidden="1" x14ac:dyDescent="0.15"/>
    <row r="58096" hidden="1" x14ac:dyDescent="0.15"/>
    <row r="58097" hidden="1" x14ac:dyDescent="0.15"/>
    <row r="58098" hidden="1" x14ac:dyDescent="0.15"/>
    <row r="58099" hidden="1" x14ac:dyDescent="0.15"/>
    <row r="58100" hidden="1" x14ac:dyDescent="0.15"/>
    <row r="58101" hidden="1" x14ac:dyDescent="0.15"/>
    <row r="58102" hidden="1" x14ac:dyDescent="0.15"/>
    <row r="58103" hidden="1" x14ac:dyDescent="0.15"/>
    <row r="58104" hidden="1" x14ac:dyDescent="0.15"/>
    <row r="58105" hidden="1" x14ac:dyDescent="0.15"/>
    <row r="58106" hidden="1" x14ac:dyDescent="0.15"/>
    <row r="58107" hidden="1" x14ac:dyDescent="0.15"/>
    <row r="58108" hidden="1" x14ac:dyDescent="0.15"/>
    <row r="58109" hidden="1" x14ac:dyDescent="0.15"/>
    <row r="58110" hidden="1" x14ac:dyDescent="0.15"/>
    <row r="58111" hidden="1" x14ac:dyDescent="0.15"/>
    <row r="58112" hidden="1" x14ac:dyDescent="0.15"/>
    <row r="58113" hidden="1" x14ac:dyDescent="0.15"/>
    <row r="58114" hidden="1" x14ac:dyDescent="0.15"/>
    <row r="58115" hidden="1" x14ac:dyDescent="0.15"/>
    <row r="58116" hidden="1" x14ac:dyDescent="0.15"/>
    <row r="58117" hidden="1" x14ac:dyDescent="0.15"/>
    <row r="58118" hidden="1" x14ac:dyDescent="0.15"/>
    <row r="58119" hidden="1" x14ac:dyDescent="0.15"/>
    <row r="58120" hidden="1" x14ac:dyDescent="0.15"/>
    <row r="58121" hidden="1" x14ac:dyDescent="0.15"/>
    <row r="58122" hidden="1" x14ac:dyDescent="0.15"/>
    <row r="58123" hidden="1" x14ac:dyDescent="0.15"/>
    <row r="58124" hidden="1" x14ac:dyDescent="0.15"/>
    <row r="58125" hidden="1" x14ac:dyDescent="0.15"/>
    <row r="58126" hidden="1" x14ac:dyDescent="0.15"/>
    <row r="58127" hidden="1" x14ac:dyDescent="0.15"/>
    <row r="58128" hidden="1" x14ac:dyDescent="0.15"/>
    <row r="58129" hidden="1" x14ac:dyDescent="0.15"/>
    <row r="58130" hidden="1" x14ac:dyDescent="0.15"/>
    <row r="58131" hidden="1" x14ac:dyDescent="0.15"/>
    <row r="58132" hidden="1" x14ac:dyDescent="0.15"/>
    <row r="58133" hidden="1" x14ac:dyDescent="0.15"/>
    <row r="58134" hidden="1" x14ac:dyDescent="0.15"/>
    <row r="58135" hidden="1" x14ac:dyDescent="0.15"/>
    <row r="58136" hidden="1" x14ac:dyDescent="0.15"/>
    <row r="58137" hidden="1" x14ac:dyDescent="0.15"/>
    <row r="58138" hidden="1" x14ac:dyDescent="0.15"/>
    <row r="58139" hidden="1" x14ac:dyDescent="0.15"/>
    <row r="58140" hidden="1" x14ac:dyDescent="0.15"/>
    <row r="58141" hidden="1" x14ac:dyDescent="0.15"/>
    <row r="58142" hidden="1" x14ac:dyDescent="0.15"/>
    <row r="58143" hidden="1" x14ac:dyDescent="0.15"/>
    <row r="58144" hidden="1" x14ac:dyDescent="0.15"/>
    <row r="58145" hidden="1" x14ac:dyDescent="0.15"/>
    <row r="58146" hidden="1" x14ac:dyDescent="0.15"/>
    <row r="58147" hidden="1" x14ac:dyDescent="0.15"/>
    <row r="58148" hidden="1" x14ac:dyDescent="0.15"/>
    <row r="58149" hidden="1" x14ac:dyDescent="0.15"/>
    <row r="58150" hidden="1" x14ac:dyDescent="0.15"/>
    <row r="58151" hidden="1" x14ac:dyDescent="0.15"/>
    <row r="58152" hidden="1" x14ac:dyDescent="0.15"/>
    <row r="58153" hidden="1" x14ac:dyDescent="0.15"/>
    <row r="58154" hidden="1" x14ac:dyDescent="0.15"/>
    <row r="58155" hidden="1" x14ac:dyDescent="0.15"/>
    <row r="58156" hidden="1" x14ac:dyDescent="0.15"/>
    <row r="58157" hidden="1" x14ac:dyDescent="0.15"/>
    <row r="58158" hidden="1" x14ac:dyDescent="0.15"/>
    <row r="58159" hidden="1" x14ac:dyDescent="0.15"/>
    <row r="58160" hidden="1" x14ac:dyDescent="0.15"/>
    <row r="58161" hidden="1" x14ac:dyDescent="0.15"/>
    <row r="58162" hidden="1" x14ac:dyDescent="0.15"/>
    <row r="58163" hidden="1" x14ac:dyDescent="0.15"/>
    <row r="58164" hidden="1" x14ac:dyDescent="0.15"/>
    <row r="58165" hidden="1" x14ac:dyDescent="0.15"/>
    <row r="58166" hidden="1" x14ac:dyDescent="0.15"/>
    <row r="58167" hidden="1" x14ac:dyDescent="0.15"/>
    <row r="58168" hidden="1" x14ac:dyDescent="0.15"/>
    <row r="58169" hidden="1" x14ac:dyDescent="0.15"/>
    <row r="58170" hidden="1" x14ac:dyDescent="0.15"/>
    <row r="58171" hidden="1" x14ac:dyDescent="0.15"/>
    <row r="58172" hidden="1" x14ac:dyDescent="0.15"/>
    <row r="58173" hidden="1" x14ac:dyDescent="0.15"/>
    <row r="58174" hidden="1" x14ac:dyDescent="0.15"/>
    <row r="58175" hidden="1" x14ac:dyDescent="0.15"/>
    <row r="58176" hidden="1" x14ac:dyDescent="0.15"/>
    <row r="58177" hidden="1" x14ac:dyDescent="0.15"/>
    <row r="58178" hidden="1" x14ac:dyDescent="0.15"/>
    <row r="58179" hidden="1" x14ac:dyDescent="0.15"/>
    <row r="58180" hidden="1" x14ac:dyDescent="0.15"/>
    <row r="58181" hidden="1" x14ac:dyDescent="0.15"/>
    <row r="58182" hidden="1" x14ac:dyDescent="0.15"/>
    <row r="58183" hidden="1" x14ac:dyDescent="0.15"/>
    <row r="58184" hidden="1" x14ac:dyDescent="0.15"/>
    <row r="58185" hidden="1" x14ac:dyDescent="0.15"/>
    <row r="58186" hidden="1" x14ac:dyDescent="0.15"/>
    <row r="58187" hidden="1" x14ac:dyDescent="0.15"/>
    <row r="58188" hidden="1" x14ac:dyDescent="0.15"/>
    <row r="58189" hidden="1" x14ac:dyDescent="0.15"/>
    <row r="58190" hidden="1" x14ac:dyDescent="0.15"/>
    <row r="58191" hidden="1" x14ac:dyDescent="0.15"/>
    <row r="58192" hidden="1" x14ac:dyDescent="0.15"/>
    <row r="58193" hidden="1" x14ac:dyDescent="0.15"/>
    <row r="58194" hidden="1" x14ac:dyDescent="0.15"/>
    <row r="58195" hidden="1" x14ac:dyDescent="0.15"/>
    <row r="58196" hidden="1" x14ac:dyDescent="0.15"/>
    <row r="58197" hidden="1" x14ac:dyDescent="0.15"/>
    <row r="58198" hidden="1" x14ac:dyDescent="0.15"/>
    <row r="58199" hidden="1" x14ac:dyDescent="0.15"/>
    <row r="58200" hidden="1" x14ac:dyDescent="0.15"/>
    <row r="58201" hidden="1" x14ac:dyDescent="0.15"/>
    <row r="58202" hidden="1" x14ac:dyDescent="0.15"/>
    <row r="58203" hidden="1" x14ac:dyDescent="0.15"/>
    <row r="58204" hidden="1" x14ac:dyDescent="0.15"/>
    <row r="58205" hidden="1" x14ac:dyDescent="0.15"/>
    <row r="58206" hidden="1" x14ac:dyDescent="0.15"/>
    <row r="58207" hidden="1" x14ac:dyDescent="0.15"/>
    <row r="58208" hidden="1" x14ac:dyDescent="0.15"/>
    <row r="58209" hidden="1" x14ac:dyDescent="0.15"/>
    <row r="58210" hidden="1" x14ac:dyDescent="0.15"/>
    <row r="58211" hidden="1" x14ac:dyDescent="0.15"/>
    <row r="58212" hidden="1" x14ac:dyDescent="0.15"/>
    <row r="58213" hidden="1" x14ac:dyDescent="0.15"/>
    <row r="58214" hidden="1" x14ac:dyDescent="0.15"/>
    <row r="58215" hidden="1" x14ac:dyDescent="0.15"/>
    <row r="58216" hidden="1" x14ac:dyDescent="0.15"/>
    <row r="58217" hidden="1" x14ac:dyDescent="0.15"/>
    <row r="58218" hidden="1" x14ac:dyDescent="0.15"/>
    <row r="58219" hidden="1" x14ac:dyDescent="0.15"/>
    <row r="58220" hidden="1" x14ac:dyDescent="0.15"/>
    <row r="58221" hidden="1" x14ac:dyDescent="0.15"/>
    <row r="58222" hidden="1" x14ac:dyDescent="0.15"/>
    <row r="58223" hidden="1" x14ac:dyDescent="0.15"/>
    <row r="58224" hidden="1" x14ac:dyDescent="0.15"/>
    <row r="58225" hidden="1" x14ac:dyDescent="0.15"/>
    <row r="58226" hidden="1" x14ac:dyDescent="0.15"/>
    <row r="58227" hidden="1" x14ac:dyDescent="0.15"/>
    <row r="58228" hidden="1" x14ac:dyDescent="0.15"/>
    <row r="58229" hidden="1" x14ac:dyDescent="0.15"/>
    <row r="58230" hidden="1" x14ac:dyDescent="0.15"/>
    <row r="58231" hidden="1" x14ac:dyDescent="0.15"/>
    <row r="58232" hidden="1" x14ac:dyDescent="0.15"/>
    <row r="58233" hidden="1" x14ac:dyDescent="0.15"/>
    <row r="58234" hidden="1" x14ac:dyDescent="0.15"/>
    <row r="58235" hidden="1" x14ac:dyDescent="0.15"/>
    <row r="58236" hidden="1" x14ac:dyDescent="0.15"/>
    <row r="58237" hidden="1" x14ac:dyDescent="0.15"/>
    <row r="58238" hidden="1" x14ac:dyDescent="0.15"/>
    <row r="58239" hidden="1" x14ac:dyDescent="0.15"/>
    <row r="58240" hidden="1" x14ac:dyDescent="0.15"/>
    <row r="58241" hidden="1" x14ac:dyDescent="0.15"/>
    <row r="58242" hidden="1" x14ac:dyDescent="0.15"/>
    <row r="58243" hidden="1" x14ac:dyDescent="0.15"/>
    <row r="58244" hidden="1" x14ac:dyDescent="0.15"/>
    <row r="58245" hidden="1" x14ac:dyDescent="0.15"/>
    <row r="58246" hidden="1" x14ac:dyDescent="0.15"/>
    <row r="58247" hidden="1" x14ac:dyDescent="0.15"/>
    <row r="58248" hidden="1" x14ac:dyDescent="0.15"/>
    <row r="58249" hidden="1" x14ac:dyDescent="0.15"/>
    <row r="58250" hidden="1" x14ac:dyDescent="0.15"/>
    <row r="58251" hidden="1" x14ac:dyDescent="0.15"/>
    <row r="58252" hidden="1" x14ac:dyDescent="0.15"/>
    <row r="58253" hidden="1" x14ac:dyDescent="0.15"/>
    <row r="58254" hidden="1" x14ac:dyDescent="0.15"/>
    <row r="58255" hidden="1" x14ac:dyDescent="0.15"/>
    <row r="58256" hidden="1" x14ac:dyDescent="0.15"/>
    <row r="58257" hidden="1" x14ac:dyDescent="0.15"/>
    <row r="58258" hidden="1" x14ac:dyDescent="0.15"/>
    <row r="58259" hidden="1" x14ac:dyDescent="0.15"/>
    <row r="58260" hidden="1" x14ac:dyDescent="0.15"/>
    <row r="58261" hidden="1" x14ac:dyDescent="0.15"/>
    <row r="58262" hidden="1" x14ac:dyDescent="0.15"/>
    <row r="58263" hidden="1" x14ac:dyDescent="0.15"/>
    <row r="58264" hidden="1" x14ac:dyDescent="0.15"/>
    <row r="58265" hidden="1" x14ac:dyDescent="0.15"/>
    <row r="58266" hidden="1" x14ac:dyDescent="0.15"/>
    <row r="58267" hidden="1" x14ac:dyDescent="0.15"/>
    <row r="58268" hidden="1" x14ac:dyDescent="0.15"/>
    <row r="58269" hidden="1" x14ac:dyDescent="0.15"/>
    <row r="58270" hidden="1" x14ac:dyDescent="0.15"/>
    <row r="58271" hidden="1" x14ac:dyDescent="0.15"/>
    <row r="58272" hidden="1" x14ac:dyDescent="0.15"/>
    <row r="58273" hidden="1" x14ac:dyDescent="0.15"/>
    <row r="58274" hidden="1" x14ac:dyDescent="0.15"/>
    <row r="58275" hidden="1" x14ac:dyDescent="0.15"/>
    <row r="58276" hidden="1" x14ac:dyDescent="0.15"/>
    <row r="58277" hidden="1" x14ac:dyDescent="0.15"/>
    <row r="58278" hidden="1" x14ac:dyDescent="0.15"/>
    <row r="58279" hidden="1" x14ac:dyDescent="0.15"/>
    <row r="58280" hidden="1" x14ac:dyDescent="0.15"/>
    <row r="58281" hidden="1" x14ac:dyDescent="0.15"/>
    <row r="58282" hidden="1" x14ac:dyDescent="0.15"/>
    <row r="58283" hidden="1" x14ac:dyDescent="0.15"/>
    <row r="58284" hidden="1" x14ac:dyDescent="0.15"/>
    <row r="58285" hidden="1" x14ac:dyDescent="0.15"/>
    <row r="58286" hidden="1" x14ac:dyDescent="0.15"/>
    <row r="58287" hidden="1" x14ac:dyDescent="0.15"/>
    <row r="58288" hidden="1" x14ac:dyDescent="0.15"/>
    <row r="58289" hidden="1" x14ac:dyDescent="0.15"/>
    <row r="58290" hidden="1" x14ac:dyDescent="0.15"/>
    <row r="58291" hidden="1" x14ac:dyDescent="0.15"/>
    <row r="58292" hidden="1" x14ac:dyDescent="0.15"/>
    <row r="58293" hidden="1" x14ac:dyDescent="0.15"/>
    <row r="58294" hidden="1" x14ac:dyDescent="0.15"/>
    <row r="58295" hidden="1" x14ac:dyDescent="0.15"/>
    <row r="58296" hidden="1" x14ac:dyDescent="0.15"/>
    <row r="58297" hidden="1" x14ac:dyDescent="0.15"/>
    <row r="58298" hidden="1" x14ac:dyDescent="0.15"/>
    <row r="58299" hidden="1" x14ac:dyDescent="0.15"/>
    <row r="58300" hidden="1" x14ac:dyDescent="0.15"/>
    <row r="58301" hidden="1" x14ac:dyDescent="0.15"/>
    <row r="58302" hidden="1" x14ac:dyDescent="0.15"/>
    <row r="58303" hidden="1" x14ac:dyDescent="0.15"/>
    <row r="58304" hidden="1" x14ac:dyDescent="0.15"/>
    <row r="58305" hidden="1" x14ac:dyDescent="0.15"/>
    <row r="58306" hidden="1" x14ac:dyDescent="0.15"/>
    <row r="58307" hidden="1" x14ac:dyDescent="0.15"/>
    <row r="58308" hidden="1" x14ac:dyDescent="0.15"/>
    <row r="58309" hidden="1" x14ac:dyDescent="0.15"/>
    <row r="58310" hidden="1" x14ac:dyDescent="0.15"/>
    <row r="58311" hidden="1" x14ac:dyDescent="0.15"/>
    <row r="58312" hidden="1" x14ac:dyDescent="0.15"/>
    <row r="58313" hidden="1" x14ac:dyDescent="0.15"/>
    <row r="58314" hidden="1" x14ac:dyDescent="0.15"/>
    <row r="58315" hidden="1" x14ac:dyDescent="0.15"/>
    <row r="58316" hidden="1" x14ac:dyDescent="0.15"/>
    <row r="58317" hidden="1" x14ac:dyDescent="0.15"/>
    <row r="58318" hidden="1" x14ac:dyDescent="0.15"/>
    <row r="58319" hidden="1" x14ac:dyDescent="0.15"/>
    <row r="58320" hidden="1" x14ac:dyDescent="0.15"/>
    <row r="58321" hidden="1" x14ac:dyDescent="0.15"/>
    <row r="58322" hidden="1" x14ac:dyDescent="0.15"/>
    <row r="58323" hidden="1" x14ac:dyDescent="0.15"/>
    <row r="58324" hidden="1" x14ac:dyDescent="0.15"/>
    <row r="58325" hidden="1" x14ac:dyDescent="0.15"/>
    <row r="58326" hidden="1" x14ac:dyDescent="0.15"/>
    <row r="58327" hidden="1" x14ac:dyDescent="0.15"/>
    <row r="58328" hidden="1" x14ac:dyDescent="0.15"/>
    <row r="58329" hidden="1" x14ac:dyDescent="0.15"/>
    <row r="58330" hidden="1" x14ac:dyDescent="0.15"/>
    <row r="58331" hidden="1" x14ac:dyDescent="0.15"/>
    <row r="58332" hidden="1" x14ac:dyDescent="0.15"/>
    <row r="58333" hidden="1" x14ac:dyDescent="0.15"/>
    <row r="58334" hidden="1" x14ac:dyDescent="0.15"/>
    <row r="58335" hidden="1" x14ac:dyDescent="0.15"/>
    <row r="58336" hidden="1" x14ac:dyDescent="0.15"/>
    <row r="58337" hidden="1" x14ac:dyDescent="0.15"/>
    <row r="58338" hidden="1" x14ac:dyDescent="0.15"/>
    <row r="58339" hidden="1" x14ac:dyDescent="0.15"/>
    <row r="58340" hidden="1" x14ac:dyDescent="0.15"/>
    <row r="58341" hidden="1" x14ac:dyDescent="0.15"/>
    <row r="58342" hidden="1" x14ac:dyDescent="0.15"/>
    <row r="58343" hidden="1" x14ac:dyDescent="0.15"/>
    <row r="58344" hidden="1" x14ac:dyDescent="0.15"/>
    <row r="58345" hidden="1" x14ac:dyDescent="0.15"/>
    <row r="58346" hidden="1" x14ac:dyDescent="0.15"/>
    <row r="58347" hidden="1" x14ac:dyDescent="0.15"/>
    <row r="58348" hidden="1" x14ac:dyDescent="0.15"/>
    <row r="58349" hidden="1" x14ac:dyDescent="0.15"/>
    <row r="58350" hidden="1" x14ac:dyDescent="0.15"/>
    <row r="58351" hidden="1" x14ac:dyDescent="0.15"/>
    <row r="58352" hidden="1" x14ac:dyDescent="0.15"/>
    <row r="58353" hidden="1" x14ac:dyDescent="0.15"/>
    <row r="58354" hidden="1" x14ac:dyDescent="0.15"/>
    <row r="58355" hidden="1" x14ac:dyDescent="0.15"/>
    <row r="58356" hidden="1" x14ac:dyDescent="0.15"/>
    <row r="58357" hidden="1" x14ac:dyDescent="0.15"/>
    <row r="58358" hidden="1" x14ac:dyDescent="0.15"/>
    <row r="58359" hidden="1" x14ac:dyDescent="0.15"/>
    <row r="58360" hidden="1" x14ac:dyDescent="0.15"/>
    <row r="58361" hidden="1" x14ac:dyDescent="0.15"/>
    <row r="58362" hidden="1" x14ac:dyDescent="0.15"/>
    <row r="58363" hidden="1" x14ac:dyDescent="0.15"/>
    <row r="58364" hidden="1" x14ac:dyDescent="0.15"/>
    <row r="58365" hidden="1" x14ac:dyDescent="0.15"/>
    <row r="58366" hidden="1" x14ac:dyDescent="0.15"/>
    <row r="58367" hidden="1" x14ac:dyDescent="0.15"/>
    <row r="58368" hidden="1" x14ac:dyDescent="0.15"/>
    <row r="58369" hidden="1" x14ac:dyDescent="0.15"/>
    <row r="58370" hidden="1" x14ac:dyDescent="0.15"/>
    <row r="58371" hidden="1" x14ac:dyDescent="0.15"/>
    <row r="58372" hidden="1" x14ac:dyDescent="0.15"/>
    <row r="58373" hidden="1" x14ac:dyDescent="0.15"/>
    <row r="58374" hidden="1" x14ac:dyDescent="0.15"/>
    <row r="58375" hidden="1" x14ac:dyDescent="0.15"/>
    <row r="58376" hidden="1" x14ac:dyDescent="0.15"/>
    <row r="58377" hidden="1" x14ac:dyDescent="0.15"/>
    <row r="58378" hidden="1" x14ac:dyDescent="0.15"/>
    <row r="58379" hidden="1" x14ac:dyDescent="0.15"/>
    <row r="58380" hidden="1" x14ac:dyDescent="0.15"/>
    <row r="58381" hidden="1" x14ac:dyDescent="0.15"/>
    <row r="58382" hidden="1" x14ac:dyDescent="0.15"/>
    <row r="58383" hidden="1" x14ac:dyDescent="0.15"/>
    <row r="58384" hidden="1" x14ac:dyDescent="0.15"/>
    <row r="58385" hidden="1" x14ac:dyDescent="0.15"/>
    <row r="58386" hidden="1" x14ac:dyDescent="0.15"/>
    <row r="58387" hidden="1" x14ac:dyDescent="0.15"/>
    <row r="58388" hidden="1" x14ac:dyDescent="0.15"/>
    <row r="58389" hidden="1" x14ac:dyDescent="0.15"/>
    <row r="58390" hidden="1" x14ac:dyDescent="0.15"/>
    <row r="58391" hidden="1" x14ac:dyDescent="0.15"/>
    <row r="58392" hidden="1" x14ac:dyDescent="0.15"/>
    <row r="58393" hidden="1" x14ac:dyDescent="0.15"/>
    <row r="58394" hidden="1" x14ac:dyDescent="0.15"/>
    <row r="58395" hidden="1" x14ac:dyDescent="0.15"/>
    <row r="58396" hidden="1" x14ac:dyDescent="0.15"/>
    <row r="58397" hidden="1" x14ac:dyDescent="0.15"/>
    <row r="58398" hidden="1" x14ac:dyDescent="0.15"/>
    <row r="58399" hidden="1" x14ac:dyDescent="0.15"/>
    <row r="58400" hidden="1" x14ac:dyDescent="0.15"/>
    <row r="58401" hidden="1" x14ac:dyDescent="0.15"/>
    <row r="58402" hidden="1" x14ac:dyDescent="0.15"/>
    <row r="58403" hidden="1" x14ac:dyDescent="0.15"/>
    <row r="58404" hidden="1" x14ac:dyDescent="0.15"/>
    <row r="58405" hidden="1" x14ac:dyDescent="0.15"/>
    <row r="58406" hidden="1" x14ac:dyDescent="0.15"/>
    <row r="58407" hidden="1" x14ac:dyDescent="0.15"/>
    <row r="58408" hidden="1" x14ac:dyDescent="0.15"/>
    <row r="58409" hidden="1" x14ac:dyDescent="0.15"/>
    <row r="58410" hidden="1" x14ac:dyDescent="0.15"/>
    <row r="58411" hidden="1" x14ac:dyDescent="0.15"/>
    <row r="58412" hidden="1" x14ac:dyDescent="0.15"/>
    <row r="58413" hidden="1" x14ac:dyDescent="0.15"/>
    <row r="58414" hidden="1" x14ac:dyDescent="0.15"/>
    <row r="58415" hidden="1" x14ac:dyDescent="0.15"/>
    <row r="58416" hidden="1" x14ac:dyDescent="0.15"/>
    <row r="58417" hidden="1" x14ac:dyDescent="0.15"/>
    <row r="58418" hidden="1" x14ac:dyDescent="0.15"/>
    <row r="58419" hidden="1" x14ac:dyDescent="0.15"/>
    <row r="58420" hidden="1" x14ac:dyDescent="0.15"/>
    <row r="58421" hidden="1" x14ac:dyDescent="0.15"/>
    <row r="58422" hidden="1" x14ac:dyDescent="0.15"/>
    <row r="58423" hidden="1" x14ac:dyDescent="0.15"/>
    <row r="58424" hidden="1" x14ac:dyDescent="0.15"/>
    <row r="58425" hidden="1" x14ac:dyDescent="0.15"/>
    <row r="58426" hidden="1" x14ac:dyDescent="0.15"/>
    <row r="58427" hidden="1" x14ac:dyDescent="0.15"/>
    <row r="58428" hidden="1" x14ac:dyDescent="0.15"/>
    <row r="58429" hidden="1" x14ac:dyDescent="0.15"/>
    <row r="58430" hidden="1" x14ac:dyDescent="0.15"/>
    <row r="58431" hidden="1" x14ac:dyDescent="0.15"/>
    <row r="58432" hidden="1" x14ac:dyDescent="0.15"/>
    <row r="58433" hidden="1" x14ac:dyDescent="0.15"/>
    <row r="58434" hidden="1" x14ac:dyDescent="0.15"/>
    <row r="58435" hidden="1" x14ac:dyDescent="0.15"/>
    <row r="58436" hidden="1" x14ac:dyDescent="0.15"/>
    <row r="58437" hidden="1" x14ac:dyDescent="0.15"/>
    <row r="58438" hidden="1" x14ac:dyDescent="0.15"/>
    <row r="58439" hidden="1" x14ac:dyDescent="0.15"/>
    <row r="58440" hidden="1" x14ac:dyDescent="0.15"/>
    <row r="58441" hidden="1" x14ac:dyDescent="0.15"/>
    <row r="58442" hidden="1" x14ac:dyDescent="0.15"/>
    <row r="58443" hidden="1" x14ac:dyDescent="0.15"/>
    <row r="58444" hidden="1" x14ac:dyDescent="0.15"/>
    <row r="58445" hidden="1" x14ac:dyDescent="0.15"/>
    <row r="58446" hidden="1" x14ac:dyDescent="0.15"/>
    <row r="58447" hidden="1" x14ac:dyDescent="0.15"/>
    <row r="58448" hidden="1" x14ac:dyDescent="0.15"/>
    <row r="58449" hidden="1" x14ac:dyDescent="0.15"/>
    <row r="58450" hidden="1" x14ac:dyDescent="0.15"/>
    <row r="58451" hidden="1" x14ac:dyDescent="0.15"/>
    <row r="58452" hidden="1" x14ac:dyDescent="0.15"/>
    <row r="58453" hidden="1" x14ac:dyDescent="0.15"/>
    <row r="58454" hidden="1" x14ac:dyDescent="0.15"/>
    <row r="58455" hidden="1" x14ac:dyDescent="0.15"/>
    <row r="58456" hidden="1" x14ac:dyDescent="0.15"/>
    <row r="58457" hidden="1" x14ac:dyDescent="0.15"/>
    <row r="58458" hidden="1" x14ac:dyDescent="0.15"/>
    <row r="58459" hidden="1" x14ac:dyDescent="0.15"/>
    <row r="58460" hidden="1" x14ac:dyDescent="0.15"/>
    <row r="58461" hidden="1" x14ac:dyDescent="0.15"/>
    <row r="58462" hidden="1" x14ac:dyDescent="0.15"/>
    <row r="58463" hidden="1" x14ac:dyDescent="0.15"/>
    <row r="58464" hidden="1" x14ac:dyDescent="0.15"/>
    <row r="58465" hidden="1" x14ac:dyDescent="0.15"/>
    <row r="58466" hidden="1" x14ac:dyDescent="0.15"/>
    <row r="58467" hidden="1" x14ac:dyDescent="0.15"/>
    <row r="58468" hidden="1" x14ac:dyDescent="0.15"/>
    <row r="58469" hidden="1" x14ac:dyDescent="0.15"/>
    <row r="58470" hidden="1" x14ac:dyDescent="0.15"/>
    <row r="58471" hidden="1" x14ac:dyDescent="0.15"/>
    <row r="58472" hidden="1" x14ac:dyDescent="0.15"/>
    <row r="58473" hidden="1" x14ac:dyDescent="0.15"/>
    <row r="58474" hidden="1" x14ac:dyDescent="0.15"/>
    <row r="58475" hidden="1" x14ac:dyDescent="0.15"/>
    <row r="58476" hidden="1" x14ac:dyDescent="0.15"/>
    <row r="58477" hidden="1" x14ac:dyDescent="0.15"/>
    <row r="58478" hidden="1" x14ac:dyDescent="0.15"/>
    <row r="58479" hidden="1" x14ac:dyDescent="0.15"/>
    <row r="58480" hidden="1" x14ac:dyDescent="0.15"/>
    <row r="58481" hidden="1" x14ac:dyDescent="0.15"/>
    <row r="58482" hidden="1" x14ac:dyDescent="0.15"/>
    <row r="58483" hidden="1" x14ac:dyDescent="0.15"/>
    <row r="58484" hidden="1" x14ac:dyDescent="0.15"/>
    <row r="58485" hidden="1" x14ac:dyDescent="0.15"/>
    <row r="58486" hidden="1" x14ac:dyDescent="0.15"/>
    <row r="58487" hidden="1" x14ac:dyDescent="0.15"/>
    <row r="58488" hidden="1" x14ac:dyDescent="0.15"/>
    <row r="58489" hidden="1" x14ac:dyDescent="0.15"/>
    <row r="58490" hidden="1" x14ac:dyDescent="0.15"/>
    <row r="58491" hidden="1" x14ac:dyDescent="0.15"/>
    <row r="58492" hidden="1" x14ac:dyDescent="0.15"/>
    <row r="58493" hidden="1" x14ac:dyDescent="0.15"/>
    <row r="58494" hidden="1" x14ac:dyDescent="0.15"/>
    <row r="58495" hidden="1" x14ac:dyDescent="0.15"/>
    <row r="58496" hidden="1" x14ac:dyDescent="0.15"/>
    <row r="58497" hidden="1" x14ac:dyDescent="0.15"/>
    <row r="58498" hidden="1" x14ac:dyDescent="0.15"/>
    <row r="58499" hidden="1" x14ac:dyDescent="0.15"/>
    <row r="58500" hidden="1" x14ac:dyDescent="0.15"/>
    <row r="58501" hidden="1" x14ac:dyDescent="0.15"/>
    <row r="58502" hidden="1" x14ac:dyDescent="0.15"/>
    <row r="58503" hidden="1" x14ac:dyDescent="0.15"/>
    <row r="58504" hidden="1" x14ac:dyDescent="0.15"/>
    <row r="58505" hidden="1" x14ac:dyDescent="0.15"/>
    <row r="58506" hidden="1" x14ac:dyDescent="0.15"/>
    <row r="58507" hidden="1" x14ac:dyDescent="0.15"/>
    <row r="58508" hidden="1" x14ac:dyDescent="0.15"/>
    <row r="58509" hidden="1" x14ac:dyDescent="0.15"/>
    <row r="58510" hidden="1" x14ac:dyDescent="0.15"/>
    <row r="58511" hidden="1" x14ac:dyDescent="0.15"/>
    <row r="58512" hidden="1" x14ac:dyDescent="0.15"/>
    <row r="58513" hidden="1" x14ac:dyDescent="0.15"/>
    <row r="58514" hidden="1" x14ac:dyDescent="0.15"/>
    <row r="58515" hidden="1" x14ac:dyDescent="0.15"/>
    <row r="58516" hidden="1" x14ac:dyDescent="0.15"/>
    <row r="58517" hidden="1" x14ac:dyDescent="0.15"/>
    <row r="58518" hidden="1" x14ac:dyDescent="0.15"/>
    <row r="58519" hidden="1" x14ac:dyDescent="0.15"/>
    <row r="58520" hidden="1" x14ac:dyDescent="0.15"/>
    <row r="58521" hidden="1" x14ac:dyDescent="0.15"/>
    <row r="58522" hidden="1" x14ac:dyDescent="0.15"/>
    <row r="58523" hidden="1" x14ac:dyDescent="0.15"/>
    <row r="58524" hidden="1" x14ac:dyDescent="0.15"/>
    <row r="58525" hidden="1" x14ac:dyDescent="0.15"/>
    <row r="58526" hidden="1" x14ac:dyDescent="0.15"/>
    <row r="58527" hidden="1" x14ac:dyDescent="0.15"/>
    <row r="58528" hidden="1" x14ac:dyDescent="0.15"/>
    <row r="58529" hidden="1" x14ac:dyDescent="0.15"/>
    <row r="58530" hidden="1" x14ac:dyDescent="0.15"/>
    <row r="58531" hidden="1" x14ac:dyDescent="0.15"/>
    <row r="58532" hidden="1" x14ac:dyDescent="0.15"/>
    <row r="58533" hidden="1" x14ac:dyDescent="0.15"/>
    <row r="58534" hidden="1" x14ac:dyDescent="0.15"/>
    <row r="58535" hidden="1" x14ac:dyDescent="0.15"/>
    <row r="58536" hidden="1" x14ac:dyDescent="0.15"/>
    <row r="58537" hidden="1" x14ac:dyDescent="0.15"/>
    <row r="58538" hidden="1" x14ac:dyDescent="0.15"/>
    <row r="58539" hidden="1" x14ac:dyDescent="0.15"/>
    <row r="58540" hidden="1" x14ac:dyDescent="0.15"/>
    <row r="58541" hidden="1" x14ac:dyDescent="0.15"/>
    <row r="58542" hidden="1" x14ac:dyDescent="0.15"/>
    <row r="58543" hidden="1" x14ac:dyDescent="0.15"/>
    <row r="58544" hidden="1" x14ac:dyDescent="0.15"/>
    <row r="58545" hidden="1" x14ac:dyDescent="0.15"/>
    <row r="58546" hidden="1" x14ac:dyDescent="0.15"/>
    <row r="58547" hidden="1" x14ac:dyDescent="0.15"/>
    <row r="58548" hidden="1" x14ac:dyDescent="0.15"/>
    <row r="58549" hidden="1" x14ac:dyDescent="0.15"/>
    <row r="58550" hidden="1" x14ac:dyDescent="0.15"/>
    <row r="58551" hidden="1" x14ac:dyDescent="0.15"/>
    <row r="58552" hidden="1" x14ac:dyDescent="0.15"/>
    <row r="58553" hidden="1" x14ac:dyDescent="0.15"/>
    <row r="58554" hidden="1" x14ac:dyDescent="0.15"/>
    <row r="58555" hidden="1" x14ac:dyDescent="0.15"/>
    <row r="58556" hidden="1" x14ac:dyDescent="0.15"/>
    <row r="58557" hidden="1" x14ac:dyDescent="0.15"/>
    <row r="58558" hidden="1" x14ac:dyDescent="0.15"/>
    <row r="58559" hidden="1" x14ac:dyDescent="0.15"/>
    <row r="58560" hidden="1" x14ac:dyDescent="0.15"/>
    <row r="58561" hidden="1" x14ac:dyDescent="0.15"/>
    <row r="58562" hidden="1" x14ac:dyDescent="0.15"/>
    <row r="58563" hidden="1" x14ac:dyDescent="0.15"/>
    <row r="58564" hidden="1" x14ac:dyDescent="0.15"/>
    <row r="58565" hidden="1" x14ac:dyDescent="0.15"/>
    <row r="58566" hidden="1" x14ac:dyDescent="0.15"/>
    <row r="58567" hidden="1" x14ac:dyDescent="0.15"/>
    <row r="58568" hidden="1" x14ac:dyDescent="0.15"/>
    <row r="58569" hidden="1" x14ac:dyDescent="0.15"/>
    <row r="58570" hidden="1" x14ac:dyDescent="0.15"/>
    <row r="58571" hidden="1" x14ac:dyDescent="0.15"/>
    <row r="58572" hidden="1" x14ac:dyDescent="0.15"/>
    <row r="58573" hidden="1" x14ac:dyDescent="0.15"/>
    <row r="58574" hidden="1" x14ac:dyDescent="0.15"/>
    <row r="58575" hidden="1" x14ac:dyDescent="0.15"/>
    <row r="58576" hidden="1" x14ac:dyDescent="0.15"/>
    <row r="58577" hidden="1" x14ac:dyDescent="0.15"/>
    <row r="58578" hidden="1" x14ac:dyDescent="0.15"/>
    <row r="58579" hidden="1" x14ac:dyDescent="0.15"/>
    <row r="58580" hidden="1" x14ac:dyDescent="0.15"/>
    <row r="58581" hidden="1" x14ac:dyDescent="0.15"/>
    <row r="58582" hidden="1" x14ac:dyDescent="0.15"/>
    <row r="58583" hidden="1" x14ac:dyDescent="0.15"/>
    <row r="58584" hidden="1" x14ac:dyDescent="0.15"/>
    <row r="58585" hidden="1" x14ac:dyDescent="0.15"/>
    <row r="58586" hidden="1" x14ac:dyDescent="0.15"/>
    <row r="58587" hidden="1" x14ac:dyDescent="0.15"/>
    <row r="58588" hidden="1" x14ac:dyDescent="0.15"/>
    <row r="58589" hidden="1" x14ac:dyDescent="0.15"/>
    <row r="58590" hidden="1" x14ac:dyDescent="0.15"/>
    <row r="58591" hidden="1" x14ac:dyDescent="0.15"/>
    <row r="58592" hidden="1" x14ac:dyDescent="0.15"/>
    <row r="58593" hidden="1" x14ac:dyDescent="0.15"/>
    <row r="58594" hidden="1" x14ac:dyDescent="0.15"/>
    <row r="58595" hidden="1" x14ac:dyDescent="0.15"/>
    <row r="58596" hidden="1" x14ac:dyDescent="0.15"/>
    <row r="58597" hidden="1" x14ac:dyDescent="0.15"/>
    <row r="58598" hidden="1" x14ac:dyDescent="0.15"/>
    <row r="58599" hidden="1" x14ac:dyDescent="0.15"/>
    <row r="58600" hidden="1" x14ac:dyDescent="0.15"/>
    <row r="58601" hidden="1" x14ac:dyDescent="0.15"/>
    <row r="58602" hidden="1" x14ac:dyDescent="0.15"/>
    <row r="58603" hidden="1" x14ac:dyDescent="0.15"/>
    <row r="58604" hidden="1" x14ac:dyDescent="0.15"/>
    <row r="58605" hidden="1" x14ac:dyDescent="0.15"/>
    <row r="58606" hidden="1" x14ac:dyDescent="0.15"/>
    <row r="58607" hidden="1" x14ac:dyDescent="0.15"/>
    <row r="58608" hidden="1" x14ac:dyDescent="0.15"/>
    <row r="58609" hidden="1" x14ac:dyDescent="0.15"/>
    <row r="58610" hidden="1" x14ac:dyDescent="0.15"/>
    <row r="58611" hidden="1" x14ac:dyDescent="0.15"/>
    <row r="58612" hidden="1" x14ac:dyDescent="0.15"/>
    <row r="58613" hidden="1" x14ac:dyDescent="0.15"/>
    <row r="58614" hidden="1" x14ac:dyDescent="0.15"/>
    <row r="58615" hidden="1" x14ac:dyDescent="0.15"/>
    <row r="58616" hidden="1" x14ac:dyDescent="0.15"/>
    <row r="58617" hidden="1" x14ac:dyDescent="0.15"/>
    <row r="58618" hidden="1" x14ac:dyDescent="0.15"/>
    <row r="58619" hidden="1" x14ac:dyDescent="0.15"/>
    <row r="58620" hidden="1" x14ac:dyDescent="0.15"/>
    <row r="58621" hidden="1" x14ac:dyDescent="0.15"/>
    <row r="58622" hidden="1" x14ac:dyDescent="0.15"/>
    <row r="58623" hidden="1" x14ac:dyDescent="0.15"/>
    <row r="58624" hidden="1" x14ac:dyDescent="0.15"/>
    <row r="58625" hidden="1" x14ac:dyDescent="0.15"/>
    <row r="58626" hidden="1" x14ac:dyDescent="0.15"/>
    <row r="58627" hidden="1" x14ac:dyDescent="0.15"/>
    <row r="58628" hidden="1" x14ac:dyDescent="0.15"/>
    <row r="58629" hidden="1" x14ac:dyDescent="0.15"/>
    <row r="58630" hidden="1" x14ac:dyDescent="0.15"/>
    <row r="58631" hidden="1" x14ac:dyDescent="0.15"/>
    <row r="58632" hidden="1" x14ac:dyDescent="0.15"/>
    <row r="58633" hidden="1" x14ac:dyDescent="0.15"/>
    <row r="58634" hidden="1" x14ac:dyDescent="0.15"/>
    <row r="58635" hidden="1" x14ac:dyDescent="0.15"/>
    <row r="58636" hidden="1" x14ac:dyDescent="0.15"/>
    <row r="58637" hidden="1" x14ac:dyDescent="0.15"/>
    <row r="58638" hidden="1" x14ac:dyDescent="0.15"/>
    <row r="58639" hidden="1" x14ac:dyDescent="0.15"/>
    <row r="58640" hidden="1" x14ac:dyDescent="0.15"/>
    <row r="58641" hidden="1" x14ac:dyDescent="0.15"/>
    <row r="58642" hidden="1" x14ac:dyDescent="0.15"/>
    <row r="58643" hidden="1" x14ac:dyDescent="0.15"/>
    <row r="58644" hidden="1" x14ac:dyDescent="0.15"/>
    <row r="58645" hidden="1" x14ac:dyDescent="0.15"/>
    <row r="58646" hidden="1" x14ac:dyDescent="0.15"/>
    <row r="58647" hidden="1" x14ac:dyDescent="0.15"/>
    <row r="58648" hidden="1" x14ac:dyDescent="0.15"/>
    <row r="58649" hidden="1" x14ac:dyDescent="0.15"/>
    <row r="58650" hidden="1" x14ac:dyDescent="0.15"/>
    <row r="58651" hidden="1" x14ac:dyDescent="0.15"/>
    <row r="58652" hidden="1" x14ac:dyDescent="0.15"/>
    <row r="58653" hidden="1" x14ac:dyDescent="0.15"/>
    <row r="58654" hidden="1" x14ac:dyDescent="0.15"/>
    <row r="58655" hidden="1" x14ac:dyDescent="0.15"/>
    <row r="58656" hidden="1" x14ac:dyDescent="0.15"/>
    <row r="58657" hidden="1" x14ac:dyDescent="0.15"/>
    <row r="58658" hidden="1" x14ac:dyDescent="0.15"/>
    <row r="58659" hidden="1" x14ac:dyDescent="0.15"/>
    <row r="58660" hidden="1" x14ac:dyDescent="0.15"/>
    <row r="58661" hidden="1" x14ac:dyDescent="0.15"/>
    <row r="58662" hidden="1" x14ac:dyDescent="0.15"/>
    <row r="58663" hidden="1" x14ac:dyDescent="0.15"/>
    <row r="58664" hidden="1" x14ac:dyDescent="0.15"/>
    <row r="58665" hidden="1" x14ac:dyDescent="0.15"/>
    <row r="58666" hidden="1" x14ac:dyDescent="0.15"/>
    <row r="58667" hidden="1" x14ac:dyDescent="0.15"/>
    <row r="58668" hidden="1" x14ac:dyDescent="0.15"/>
    <row r="58669" hidden="1" x14ac:dyDescent="0.15"/>
    <row r="58670" hidden="1" x14ac:dyDescent="0.15"/>
    <row r="58671" hidden="1" x14ac:dyDescent="0.15"/>
    <row r="58672" hidden="1" x14ac:dyDescent="0.15"/>
    <row r="58673" hidden="1" x14ac:dyDescent="0.15"/>
    <row r="58674" hidden="1" x14ac:dyDescent="0.15"/>
    <row r="58675" hidden="1" x14ac:dyDescent="0.15"/>
    <row r="58676" hidden="1" x14ac:dyDescent="0.15"/>
    <row r="58677" hidden="1" x14ac:dyDescent="0.15"/>
    <row r="58678" hidden="1" x14ac:dyDescent="0.15"/>
    <row r="58679" hidden="1" x14ac:dyDescent="0.15"/>
    <row r="58680" hidden="1" x14ac:dyDescent="0.15"/>
    <row r="58681" hidden="1" x14ac:dyDescent="0.15"/>
    <row r="58682" hidden="1" x14ac:dyDescent="0.15"/>
    <row r="58683" hidden="1" x14ac:dyDescent="0.15"/>
    <row r="58684" hidden="1" x14ac:dyDescent="0.15"/>
    <row r="58685" hidden="1" x14ac:dyDescent="0.15"/>
    <row r="58686" hidden="1" x14ac:dyDescent="0.15"/>
    <row r="58687" hidden="1" x14ac:dyDescent="0.15"/>
    <row r="58688" hidden="1" x14ac:dyDescent="0.15"/>
    <row r="58689" hidden="1" x14ac:dyDescent="0.15"/>
    <row r="58690" hidden="1" x14ac:dyDescent="0.15"/>
    <row r="58691" hidden="1" x14ac:dyDescent="0.15"/>
    <row r="58692" hidden="1" x14ac:dyDescent="0.15"/>
    <row r="58693" hidden="1" x14ac:dyDescent="0.15"/>
    <row r="58694" hidden="1" x14ac:dyDescent="0.15"/>
    <row r="58695" hidden="1" x14ac:dyDescent="0.15"/>
    <row r="58696" hidden="1" x14ac:dyDescent="0.15"/>
    <row r="58697" hidden="1" x14ac:dyDescent="0.15"/>
    <row r="58698" hidden="1" x14ac:dyDescent="0.15"/>
    <row r="58699" hidden="1" x14ac:dyDescent="0.15"/>
    <row r="58700" hidden="1" x14ac:dyDescent="0.15"/>
    <row r="58701" hidden="1" x14ac:dyDescent="0.15"/>
    <row r="58702" hidden="1" x14ac:dyDescent="0.15"/>
    <row r="58703" hidden="1" x14ac:dyDescent="0.15"/>
    <row r="58704" hidden="1" x14ac:dyDescent="0.15"/>
    <row r="58705" hidden="1" x14ac:dyDescent="0.15"/>
    <row r="58706" hidden="1" x14ac:dyDescent="0.15"/>
    <row r="58707" hidden="1" x14ac:dyDescent="0.15"/>
    <row r="58708" hidden="1" x14ac:dyDescent="0.15"/>
    <row r="58709" hidden="1" x14ac:dyDescent="0.15"/>
    <row r="58710" hidden="1" x14ac:dyDescent="0.15"/>
    <row r="58711" hidden="1" x14ac:dyDescent="0.15"/>
    <row r="58712" hidden="1" x14ac:dyDescent="0.15"/>
    <row r="58713" hidden="1" x14ac:dyDescent="0.15"/>
    <row r="58714" hidden="1" x14ac:dyDescent="0.15"/>
    <row r="58715" hidden="1" x14ac:dyDescent="0.15"/>
    <row r="58716" hidden="1" x14ac:dyDescent="0.15"/>
    <row r="58717" hidden="1" x14ac:dyDescent="0.15"/>
    <row r="58718" hidden="1" x14ac:dyDescent="0.15"/>
    <row r="58719" hidden="1" x14ac:dyDescent="0.15"/>
    <row r="58720" hidden="1" x14ac:dyDescent="0.15"/>
    <row r="58721" hidden="1" x14ac:dyDescent="0.15"/>
    <row r="58722" hidden="1" x14ac:dyDescent="0.15"/>
    <row r="58723" hidden="1" x14ac:dyDescent="0.15"/>
    <row r="58724" hidden="1" x14ac:dyDescent="0.15"/>
    <row r="58725" hidden="1" x14ac:dyDescent="0.15"/>
    <row r="58726" hidden="1" x14ac:dyDescent="0.15"/>
    <row r="58727" hidden="1" x14ac:dyDescent="0.15"/>
    <row r="58728" hidden="1" x14ac:dyDescent="0.15"/>
    <row r="58729" hidden="1" x14ac:dyDescent="0.15"/>
    <row r="58730" hidden="1" x14ac:dyDescent="0.15"/>
    <row r="58731" hidden="1" x14ac:dyDescent="0.15"/>
    <row r="58732" hidden="1" x14ac:dyDescent="0.15"/>
    <row r="58733" hidden="1" x14ac:dyDescent="0.15"/>
    <row r="58734" hidden="1" x14ac:dyDescent="0.15"/>
    <row r="58735" hidden="1" x14ac:dyDescent="0.15"/>
    <row r="58736" hidden="1" x14ac:dyDescent="0.15"/>
    <row r="58737" hidden="1" x14ac:dyDescent="0.15"/>
    <row r="58738" hidden="1" x14ac:dyDescent="0.15"/>
    <row r="58739" hidden="1" x14ac:dyDescent="0.15"/>
    <row r="58740" hidden="1" x14ac:dyDescent="0.15"/>
    <row r="58741" hidden="1" x14ac:dyDescent="0.15"/>
    <row r="58742" hidden="1" x14ac:dyDescent="0.15"/>
    <row r="58743" hidden="1" x14ac:dyDescent="0.15"/>
    <row r="58744" hidden="1" x14ac:dyDescent="0.15"/>
    <row r="58745" hidden="1" x14ac:dyDescent="0.15"/>
    <row r="58746" hidden="1" x14ac:dyDescent="0.15"/>
    <row r="58747" hidden="1" x14ac:dyDescent="0.15"/>
    <row r="58748" hidden="1" x14ac:dyDescent="0.15"/>
    <row r="58749" hidden="1" x14ac:dyDescent="0.15"/>
    <row r="58750" hidden="1" x14ac:dyDescent="0.15"/>
    <row r="58751" hidden="1" x14ac:dyDescent="0.15"/>
    <row r="58752" hidden="1" x14ac:dyDescent="0.15"/>
    <row r="58753" hidden="1" x14ac:dyDescent="0.15"/>
    <row r="58754" hidden="1" x14ac:dyDescent="0.15"/>
    <row r="58755" hidden="1" x14ac:dyDescent="0.15"/>
    <row r="58756" hidden="1" x14ac:dyDescent="0.15"/>
    <row r="58757" hidden="1" x14ac:dyDescent="0.15"/>
    <row r="58758" hidden="1" x14ac:dyDescent="0.15"/>
    <row r="58759" hidden="1" x14ac:dyDescent="0.15"/>
    <row r="58760" hidden="1" x14ac:dyDescent="0.15"/>
    <row r="58761" hidden="1" x14ac:dyDescent="0.15"/>
    <row r="58762" hidden="1" x14ac:dyDescent="0.15"/>
    <row r="58763" hidden="1" x14ac:dyDescent="0.15"/>
    <row r="58764" hidden="1" x14ac:dyDescent="0.15"/>
    <row r="58765" hidden="1" x14ac:dyDescent="0.15"/>
    <row r="58766" hidden="1" x14ac:dyDescent="0.15"/>
    <row r="58767" hidden="1" x14ac:dyDescent="0.15"/>
    <row r="58768" hidden="1" x14ac:dyDescent="0.15"/>
    <row r="58769" hidden="1" x14ac:dyDescent="0.15"/>
    <row r="58770" hidden="1" x14ac:dyDescent="0.15"/>
    <row r="58771" hidden="1" x14ac:dyDescent="0.15"/>
    <row r="58772" hidden="1" x14ac:dyDescent="0.15"/>
    <row r="58773" hidden="1" x14ac:dyDescent="0.15"/>
    <row r="58774" hidden="1" x14ac:dyDescent="0.15"/>
    <row r="58775" hidden="1" x14ac:dyDescent="0.15"/>
    <row r="58776" hidden="1" x14ac:dyDescent="0.15"/>
    <row r="58777" hidden="1" x14ac:dyDescent="0.15"/>
    <row r="58778" hidden="1" x14ac:dyDescent="0.15"/>
    <row r="58779" hidden="1" x14ac:dyDescent="0.15"/>
    <row r="58780" hidden="1" x14ac:dyDescent="0.15"/>
    <row r="58781" hidden="1" x14ac:dyDescent="0.15"/>
    <row r="58782" hidden="1" x14ac:dyDescent="0.15"/>
    <row r="58783" hidden="1" x14ac:dyDescent="0.15"/>
    <row r="58784" hidden="1" x14ac:dyDescent="0.15"/>
    <row r="58785" hidden="1" x14ac:dyDescent="0.15"/>
    <row r="58786" hidden="1" x14ac:dyDescent="0.15"/>
    <row r="58787" hidden="1" x14ac:dyDescent="0.15"/>
    <row r="58788" hidden="1" x14ac:dyDescent="0.15"/>
    <row r="58789" hidden="1" x14ac:dyDescent="0.15"/>
    <row r="58790" hidden="1" x14ac:dyDescent="0.15"/>
    <row r="58791" hidden="1" x14ac:dyDescent="0.15"/>
    <row r="58792" hidden="1" x14ac:dyDescent="0.15"/>
    <row r="58793" hidden="1" x14ac:dyDescent="0.15"/>
    <row r="58794" hidden="1" x14ac:dyDescent="0.15"/>
    <row r="58795" hidden="1" x14ac:dyDescent="0.15"/>
    <row r="58796" hidden="1" x14ac:dyDescent="0.15"/>
    <row r="58797" hidden="1" x14ac:dyDescent="0.15"/>
    <row r="58798" hidden="1" x14ac:dyDescent="0.15"/>
    <row r="58799" hidden="1" x14ac:dyDescent="0.15"/>
    <row r="58800" hidden="1" x14ac:dyDescent="0.15"/>
    <row r="58801" hidden="1" x14ac:dyDescent="0.15"/>
    <row r="58802" hidden="1" x14ac:dyDescent="0.15"/>
    <row r="58803" hidden="1" x14ac:dyDescent="0.15"/>
    <row r="58804" hidden="1" x14ac:dyDescent="0.15"/>
    <row r="58805" hidden="1" x14ac:dyDescent="0.15"/>
    <row r="58806" hidden="1" x14ac:dyDescent="0.15"/>
    <row r="58807" hidden="1" x14ac:dyDescent="0.15"/>
    <row r="58808" hidden="1" x14ac:dyDescent="0.15"/>
    <row r="58809" hidden="1" x14ac:dyDescent="0.15"/>
    <row r="58810" hidden="1" x14ac:dyDescent="0.15"/>
    <row r="58811" hidden="1" x14ac:dyDescent="0.15"/>
    <row r="58812" hidden="1" x14ac:dyDescent="0.15"/>
    <row r="58813" hidden="1" x14ac:dyDescent="0.15"/>
    <row r="58814" hidden="1" x14ac:dyDescent="0.15"/>
    <row r="58815" hidden="1" x14ac:dyDescent="0.15"/>
    <row r="58816" hidden="1" x14ac:dyDescent="0.15"/>
    <row r="58817" hidden="1" x14ac:dyDescent="0.15"/>
    <row r="58818" hidden="1" x14ac:dyDescent="0.15"/>
    <row r="58819" hidden="1" x14ac:dyDescent="0.15"/>
    <row r="58820" hidden="1" x14ac:dyDescent="0.15"/>
    <row r="58821" hidden="1" x14ac:dyDescent="0.15"/>
    <row r="58822" hidden="1" x14ac:dyDescent="0.15"/>
    <row r="58823" hidden="1" x14ac:dyDescent="0.15"/>
    <row r="58824" hidden="1" x14ac:dyDescent="0.15"/>
    <row r="58825" hidden="1" x14ac:dyDescent="0.15"/>
    <row r="58826" hidden="1" x14ac:dyDescent="0.15"/>
    <row r="58827" hidden="1" x14ac:dyDescent="0.15"/>
    <row r="58828" hidden="1" x14ac:dyDescent="0.15"/>
    <row r="58829" hidden="1" x14ac:dyDescent="0.15"/>
    <row r="58830" hidden="1" x14ac:dyDescent="0.15"/>
    <row r="58831" hidden="1" x14ac:dyDescent="0.15"/>
    <row r="58832" hidden="1" x14ac:dyDescent="0.15"/>
    <row r="58833" hidden="1" x14ac:dyDescent="0.15"/>
    <row r="58834" hidden="1" x14ac:dyDescent="0.15"/>
    <row r="58835" hidden="1" x14ac:dyDescent="0.15"/>
    <row r="58836" hidden="1" x14ac:dyDescent="0.15"/>
    <row r="58837" hidden="1" x14ac:dyDescent="0.15"/>
    <row r="58838" hidden="1" x14ac:dyDescent="0.15"/>
    <row r="58839" hidden="1" x14ac:dyDescent="0.15"/>
    <row r="58840" hidden="1" x14ac:dyDescent="0.15"/>
    <row r="58841" hidden="1" x14ac:dyDescent="0.15"/>
    <row r="58842" hidden="1" x14ac:dyDescent="0.15"/>
    <row r="58843" hidden="1" x14ac:dyDescent="0.15"/>
    <row r="58844" hidden="1" x14ac:dyDescent="0.15"/>
    <row r="58845" hidden="1" x14ac:dyDescent="0.15"/>
    <row r="58846" hidden="1" x14ac:dyDescent="0.15"/>
    <row r="58847" hidden="1" x14ac:dyDescent="0.15"/>
    <row r="58848" hidden="1" x14ac:dyDescent="0.15"/>
    <row r="58849" hidden="1" x14ac:dyDescent="0.15"/>
    <row r="58850" hidden="1" x14ac:dyDescent="0.15"/>
    <row r="58851" hidden="1" x14ac:dyDescent="0.15"/>
    <row r="58852" hidden="1" x14ac:dyDescent="0.15"/>
    <row r="58853" hidden="1" x14ac:dyDescent="0.15"/>
    <row r="58854" hidden="1" x14ac:dyDescent="0.15"/>
    <row r="58855" hidden="1" x14ac:dyDescent="0.15"/>
    <row r="58856" hidden="1" x14ac:dyDescent="0.15"/>
    <row r="58857" hidden="1" x14ac:dyDescent="0.15"/>
    <row r="58858" hidden="1" x14ac:dyDescent="0.15"/>
    <row r="58859" hidden="1" x14ac:dyDescent="0.15"/>
    <row r="58860" hidden="1" x14ac:dyDescent="0.15"/>
    <row r="58861" hidden="1" x14ac:dyDescent="0.15"/>
    <row r="58862" hidden="1" x14ac:dyDescent="0.15"/>
    <row r="58863" hidden="1" x14ac:dyDescent="0.15"/>
    <row r="58864" hidden="1" x14ac:dyDescent="0.15"/>
    <row r="58865" hidden="1" x14ac:dyDescent="0.15"/>
    <row r="58866" hidden="1" x14ac:dyDescent="0.15"/>
    <row r="58867" hidden="1" x14ac:dyDescent="0.15"/>
    <row r="58868" hidden="1" x14ac:dyDescent="0.15"/>
    <row r="58869" hidden="1" x14ac:dyDescent="0.15"/>
    <row r="58870" hidden="1" x14ac:dyDescent="0.15"/>
    <row r="58871" hidden="1" x14ac:dyDescent="0.15"/>
    <row r="58872" hidden="1" x14ac:dyDescent="0.15"/>
    <row r="58873" hidden="1" x14ac:dyDescent="0.15"/>
    <row r="58874" hidden="1" x14ac:dyDescent="0.15"/>
    <row r="58875" hidden="1" x14ac:dyDescent="0.15"/>
    <row r="58876" hidden="1" x14ac:dyDescent="0.15"/>
    <row r="58877" hidden="1" x14ac:dyDescent="0.15"/>
    <row r="58878" hidden="1" x14ac:dyDescent="0.15"/>
    <row r="58879" hidden="1" x14ac:dyDescent="0.15"/>
    <row r="58880" hidden="1" x14ac:dyDescent="0.15"/>
    <row r="58881" hidden="1" x14ac:dyDescent="0.15"/>
    <row r="58882" hidden="1" x14ac:dyDescent="0.15"/>
    <row r="58883" hidden="1" x14ac:dyDescent="0.15"/>
    <row r="58884" hidden="1" x14ac:dyDescent="0.15"/>
    <row r="58885" hidden="1" x14ac:dyDescent="0.15"/>
    <row r="58886" hidden="1" x14ac:dyDescent="0.15"/>
    <row r="58887" hidden="1" x14ac:dyDescent="0.15"/>
    <row r="58888" hidden="1" x14ac:dyDescent="0.15"/>
    <row r="58889" hidden="1" x14ac:dyDescent="0.15"/>
    <row r="58890" hidden="1" x14ac:dyDescent="0.15"/>
    <row r="58891" hidden="1" x14ac:dyDescent="0.15"/>
    <row r="58892" hidden="1" x14ac:dyDescent="0.15"/>
    <row r="58893" hidden="1" x14ac:dyDescent="0.15"/>
    <row r="58894" hidden="1" x14ac:dyDescent="0.15"/>
    <row r="58895" hidden="1" x14ac:dyDescent="0.15"/>
    <row r="58896" hidden="1" x14ac:dyDescent="0.15"/>
    <row r="58897" hidden="1" x14ac:dyDescent="0.15"/>
    <row r="58898" hidden="1" x14ac:dyDescent="0.15"/>
    <row r="58899" hidden="1" x14ac:dyDescent="0.15"/>
    <row r="58900" hidden="1" x14ac:dyDescent="0.15"/>
    <row r="58901" hidden="1" x14ac:dyDescent="0.15"/>
    <row r="58902" hidden="1" x14ac:dyDescent="0.15"/>
    <row r="58903" hidden="1" x14ac:dyDescent="0.15"/>
    <row r="58904" hidden="1" x14ac:dyDescent="0.15"/>
    <row r="58905" hidden="1" x14ac:dyDescent="0.15"/>
    <row r="58906" hidden="1" x14ac:dyDescent="0.15"/>
    <row r="58907" hidden="1" x14ac:dyDescent="0.15"/>
    <row r="58908" hidden="1" x14ac:dyDescent="0.15"/>
    <row r="58909" hidden="1" x14ac:dyDescent="0.15"/>
    <row r="58910" hidden="1" x14ac:dyDescent="0.15"/>
    <row r="58911" hidden="1" x14ac:dyDescent="0.15"/>
    <row r="58912" hidden="1" x14ac:dyDescent="0.15"/>
    <row r="58913" hidden="1" x14ac:dyDescent="0.15"/>
    <row r="58914" hidden="1" x14ac:dyDescent="0.15"/>
    <row r="58915" hidden="1" x14ac:dyDescent="0.15"/>
    <row r="58916" hidden="1" x14ac:dyDescent="0.15"/>
    <row r="58917" hidden="1" x14ac:dyDescent="0.15"/>
    <row r="58918" hidden="1" x14ac:dyDescent="0.15"/>
    <row r="58919" hidden="1" x14ac:dyDescent="0.15"/>
    <row r="58920" hidden="1" x14ac:dyDescent="0.15"/>
    <row r="58921" hidden="1" x14ac:dyDescent="0.15"/>
    <row r="58922" hidden="1" x14ac:dyDescent="0.15"/>
    <row r="58923" hidden="1" x14ac:dyDescent="0.15"/>
    <row r="58924" hidden="1" x14ac:dyDescent="0.15"/>
    <row r="58925" hidden="1" x14ac:dyDescent="0.15"/>
    <row r="58926" hidden="1" x14ac:dyDescent="0.15"/>
    <row r="58927" hidden="1" x14ac:dyDescent="0.15"/>
    <row r="58928" hidden="1" x14ac:dyDescent="0.15"/>
    <row r="58929" hidden="1" x14ac:dyDescent="0.15"/>
    <row r="58930" hidden="1" x14ac:dyDescent="0.15"/>
    <row r="58931" hidden="1" x14ac:dyDescent="0.15"/>
    <row r="58932" hidden="1" x14ac:dyDescent="0.15"/>
    <row r="58933" hidden="1" x14ac:dyDescent="0.15"/>
    <row r="58934" hidden="1" x14ac:dyDescent="0.15"/>
    <row r="58935" hidden="1" x14ac:dyDescent="0.15"/>
    <row r="58936" hidden="1" x14ac:dyDescent="0.15"/>
    <row r="58937" hidden="1" x14ac:dyDescent="0.15"/>
    <row r="58938" hidden="1" x14ac:dyDescent="0.15"/>
    <row r="58939" hidden="1" x14ac:dyDescent="0.15"/>
    <row r="58940" hidden="1" x14ac:dyDescent="0.15"/>
    <row r="58941" hidden="1" x14ac:dyDescent="0.15"/>
    <row r="58942" hidden="1" x14ac:dyDescent="0.15"/>
    <row r="58943" hidden="1" x14ac:dyDescent="0.15"/>
    <row r="58944" hidden="1" x14ac:dyDescent="0.15"/>
    <row r="58945" hidden="1" x14ac:dyDescent="0.15"/>
    <row r="58946" hidden="1" x14ac:dyDescent="0.15"/>
    <row r="58947" hidden="1" x14ac:dyDescent="0.15"/>
    <row r="58948" hidden="1" x14ac:dyDescent="0.15"/>
    <row r="58949" hidden="1" x14ac:dyDescent="0.15"/>
    <row r="58950" hidden="1" x14ac:dyDescent="0.15"/>
    <row r="58951" hidden="1" x14ac:dyDescent="0.15"/>
    <row r="58952" hidden="1" x14ac:dyDescent="0.15"/>
    <row r="58953" hidden="1" x14ac:dyDescent="0.15"/>
    <row r="58954" hidden="1" x14ac:dyDescent="0.15"/>
    <row r="58955" hidden="1" x14ac:dyDescent="0.15"/>
    <row r="58956" hidden="1" x14ac:dyDescent="0.15"/>
    <row r="58957" hidden="1" x14ac:dyDescent="0.15"/>
    <row r="58958" hidden="1" x14ac:dyDescent="0.15"/>
    <row r="58959" hidden="1" x14ac:dyDescent="0.15"/>
    <row r="58960" hidden="1" x14ac:dyDescent="0.15"/>
    <row r="58961" hidden="1" x14ac:dyDescent="0.15"/>
    <row r="58962" hidden="1" x14ac:dyDescent="0.15"/>
    <row r="58963" hidden="1" x14ac:dyDescent="0.15"/>
    <row r="58964" hidden="1" x14ac:dyDescent="0.15"/>
    <row r="58965" hidden="1" x14ac:dyDescent="0.15"/>
    <row r="58966" hidden="1" x14ac:dyDescent="0.15"/>
    <row r="58967" hidden="1" x14ac:dyDescent="0.15"/>
    <row r="58968" hidden="1" x14ac:dyDescent="0.15"/>
    <row r="58969" hidden="1" x14ac:dyDescent="0.15"/>
    <row r="58970" hidden="1" x14ac:dyDescent="0.15"/>
    <row r="58971" hidden="1" x14ac:dyDescent="0.15"/>
    <row r="58972" hidden="1" x14ac:dyDescent="0.15"/>
    <row r="58973" hidden="1" x14ac:dyDescent="0.15"/>
    <row r="58974" hidden="1" x14ac:dyDescent="0.15"/>
    <row r="58975" hidden="1" x14ac:dyDescent="0.15"/>
    <row r="58976" hidden="1" x14ac:dyDescent="0.15"/>
    <row r="58977" hidden="1" x14ac:dyDescent="0.15"/>
    <row r="58978" hidden="1" x14ac:dyDescent="0.15"/>
    <row r="58979" hidden="1" x14ac:dyDescent="0.15"/>
    <row r="58980" hidden="1" x14ac:dyDescent="0.15"/>
    <row r="58981" hidden="1" x14ac:dyDescent="0.15"/>
    <row r="58982" hidden="1" x14ac:dyDescent="0.15"/>
    <row r="58983" hidden="1" x14ac:dyDescent="0.15"/>
    <row r="58984" hidden="1" x14ac:dyDescent="0.15"/>
    <row r="58985" hidden="1" x14ac:dyDescent="0.15"/>
    <row r="58986" hidden="1" x14ac:dyDescent="0.15"/>
    <row r="58987" hidden="1" x14ac:dyDescent="0.15"/>
    <row r="58988" hidden="1" x14ac:dyDescent="0.15"/>
    <row r="58989" hidden="1" x14ac:dyDescent="0.15"/>
    <row r="58990" hidden="1" x14ac:dyDescent="0.15"/>
    <row r="58991" hidden="1" x14ac:dyDescent="0.15"/>
    <row r="58992" hidden="1" x14ac:dyDescent="0.15"/>
    <row r="58993" hidden="1" x14ac:dyDescent="0.15"/>
    <row r="58994" hidden="1" x14ac:dyDescent="0.15"/>
    <row r="58995" hidden="1" x14ac:dyDescent="0.15"/>
    <row r="58996" hidden="1" x14ac:dyDescent="0.15"/>
    <row r="58997" hidden="1" x14ac:dyDescent="0.15"/>
    <row r="58998" hidden="1" x14ac:dyDescent="0.15"/>
    <row r="58999" hidden="1" x14ac:dyDescent="0.15"/>
    <row r="59000" hidden="1" x14ac:dyDescent="0.15"/>
    <row r="59001" hidden="1" x14ac:dyDescent="0.15"/>
    <row r="59002" hidden="1" x14ac:dyDescent="0.15"/>
    <row r="59003" hidden="1" x14ac:dyDescent="0.15"/>
    <row r="59004" hidden="1" x14ac:dyDescent="0.15"/>
    <row r="59005" hidden="1" x14ac:dyDescent="0.15"/>
    <row r="59006" hidden="1" x14ac:dyDescent="0.15"/>
    <row r="59007" hidden="1" x14ac:dyDescent="0.15"/>
    <row r="59008" hidden="1" x14ac:dyDescent="0.15"/>
    <row r="59009" hidden="1" x14ac:dyDescent="0.15"/>
    <row r="59010" hidden="1" x14ac:dyDescent="0.15"/>
    <row r="59011" hidden="1" x14ac:dyDescent="0.15"/>
    <row r="59012" hidden="1" x14ac:dyDescent="0.15"/>
    <row r="59013" hidden="1" x14ac:dyDescent="0.15"/>
    <row r="59014" hidden="1" x14ac:dyDescent="0.15"/>
    <row r="59015" hidden="1" x14ac:dyDescent="0.15"/>
    <row r="59016" hidden="1" x14ac:dyDescent="0.15"/>
    <row r="59017" hidden="1" x14ac:dyDescent="0.15"/>
    <row r="59018" hidden="1" x14ac:dyDescent="0.15"/>
    <row r="59019" hidden="1" x14ac:dyDescent="0.15"/>
    <row r="59020" hidden="1" x14ac:dyDescent="0.15"/>
    <row r="59021" hidden="1" x14ac:dyDescent="0.15"/>
    <row r="59022" hidden="1" x14ac:dyDescent="0.15"/>
    <row r="59023" hidden="1" x14ac:dyDescent="0.15"/>
    <row r="59024" hidden="1" x14ac:dyDescent="0.15"/>
    <row r="59025" hidden="1" x14ac:dyDescent="0.15"/>
    <row r="59026" hidden="1" x14ac:dyDescent="0.15"/>
    <row r="59027" hidden="1" x14ac:dyDescent="0.15"/>
    <row r="59028" hidden="1" x14ac:dyDescent="0.15"/>
    <row r="59029" hidden="1" x14ac:dyDescent="0.15"/>
    <row r="59030" hidden="1" x14ac:dyDescent="0.15"/>
    <row r="59031" hidden="1" x14ac:dyDescent="0.15"/>
    <row r="59032" hidden="1" x14ac:dyDescent="0.15"/>
    <row r="59033" hidden="1" x14ac:dyDescent="0.15"/>
    <row r="59034" hidden="1" x14ac:dyDescent="0.15"/>
    <row r="59035" hidden="1" x14ac:dyDescent="0.15"/>
    <row r="59036" hidden="1" x14ac:dyDescent="0.15"/>
    <row r="59037" hidden="1" x14ac:dyDescent="0.15"/>
    <row r="59038" hidden="1" x14ac:dyDescent="0.15"/>
    <row r="59039" hidden="1" x14ac:dyDescent="0.15"/>
    <row r="59040" hidden="1" x14ac:dyDescent="0.15"/>
    <row r="59041" hidden="1" x14ac:dyDescent="0.15"/>
    <row r="59042" hidden="1" x14ac:dyDescent="0.15"/>
    <row r="59043" hidden="1" x14ac:dyDescent="0.15"/>
    <row r="59044" hidden="1" x14ac:dyDescent="0.15"/>
    <row r="59045" hidden="1" x14ac:dyDescent="0.15"/>
    <row r="59046" hidden="1" x14ac:dyDescent="0.15"/>
    <row r="59047" hidden="1" x14ac:dyDescent="0.15"/>
    <row r="59048" hidden="1" x14ac:dyDescent="0.15"/>
    <row r="59049" hidden="1" x14ac:dyDescent="0.15"/>
    <row r="59050" hidden="1" x14ac:dyDescent="0.15"/>
    <row r="59051" hidden="1" x14ac:dyDescent="0.15"/>
    <row r="59052" hidden="1" x14ac:dyDescent="0.15"/>
    <row r="59053" hidden="1" x14ac:dyDescent="0.15"/>
    <row r="59054" hidden="1" x14ac:dyDescent="0.15"/>
    <row r="59055" hidden="1" x14ac:dyDescent="0.15"/>
    <row r="59056" hidden="1" x14ac:dyDescent="0.15"/>
    <row r="59057" hidden="1" x14ac:dyDescent="0.15"/>
    <row r="59058" hidden="1" x14ac:dyDescent="0.15"/>
    <row r="59059" hidden="1" x14ac:dyDescent="0.15"/>
    <row r="59060" hidden="1" x14ac:dyDescent="0.15"/>
    <row r="59061" hidden="1" x14ac:dyDescent="0.15"/>
    <row r="59062" hidden="1" x14ac:dyDescent="0.15"/>
    <row r="59063" hidden="1" x14ac:dyDescent="0.15"/>
    <row r="59064" hidden="1" x14ac:dyDescent="0.15"/>
    <row r="59065" hidden="1" x14ac:dyDescent="0.15"/>
    <row r="59066" hidden="1" x14ac:dyDescent="0.15"/>
    <row r="59067" hidden="1" x14ac:dyDescent="0.15"/>
    <row r="59068" hidden="1" x14ac:dyDescent="0.15"/>
    <row r="59069" hidden="1" x14ac:dyDescent="0.15"/>
    <row r="59070" hidden="1" x14ac:dyDescent="0.15"/>
    <row r="59071" hidden="1" x14ac:dyDescent="0.15"/>
    <row r="59072" hidden="1" x14ac:dyDescent="0.15"/>
    <row r="59073" hidden="1" x14ac:dyDescent="0.15"/>
    <row r="59074" hidden="1" x14ac:dyDescent="0.15"/>
    <row r="59075" hidden="1" x14ac:dyDescent="0.15"/>
    <row r="59076" hidden="1" x14ac:dyDescent="0.15"/>
    <row r="59077" hidden="1" x14ac:dyDescent="0.15"/>
    <row r="59078" hidden="1" x14ac:dyDescent="0.15"/>
    <row r="59079" hidden="1" x14ac:dyDescent="0.15"/>
    <row r="59080" hidden="1" x14ac:dyDescent="0.15"/>
    <row r="59081" hidden="1" x14ac:dyDescent="0.15"/>
    <row r="59082" hidden="1" x14ac:dyDescent="0.15"/>
    <row r="59083" hidden="1" x14ac:dyDescent="0.15"/>
    <row r="59084" hidden="1" x14ac:dyDescent="0.15"/>
    <row r="59085" hidden="1" x14ac:dyDescent="0.15"/>
    <row r="59086" hidden="1" x14ac:dyDescent="0.15"/>
    <row r="59087" hidden="1" x14ac:dyDescent="0.15"/>
    <row r="59088" hidden="1" x14ac:dyDescent="0.15"/>
    <row r="59089" hidden="1" x14ac:dyDescent="0.15"/>
    <row r="59090" hidden="1" x14ac:dyDescent="0.15"/>
    <row r="59091" hidden="1" x14ac:dyDescent="0.15"/>
    <row r="59092" hidden="1" x14ac:dyDescent="0.15"/>
    <row r="59093" hidden="1" x14ac:dyDescent="0.15"/>
    <row r="59094" hidden="1" x14ac:dyDescent="0.15"/>
    <row r="59095" hidden="1" x14ac:dyDescent="0.15"/>
    <row r="59096" hidden="1" x14ac:dyDescent="0.15"/>
    <row r="59097" hidden="1" x14ac:dyDescent="0.15"/>
    <row r="59098" hidden="1" x14ac:dyDescent="0.15"/>
    <row r="59099" hidden="1" x14ac:dyDescent="0.15"/>
    <row r="59100" hidden="1" x14ac:dyDescent="0.15"/>
    <row r="59101" hidden="1" x14ac:dyDescent="0.15"/>
    <row r="59102" hidden="1" x14ac:dyDescent="0.15"/>
    <row r="59103" hidden="1" x14ac:dyDescent="0.15"/>
    <row r="59104" hidden="1" x14ac:dyDescent="0.15"/>
    <row r="59105" hidden="1" x14ac:dyDescent="0.15"/>
    <row r="59106" hidden="1" x14ac:dyDescent="0.15"/>
    <row r="59107" hidden="1" x14ac:dyDescent="0.15"/>
    <row r="59108" hidden="1" x14ac:dyDescent="0.15"/>
    <row r="59109" hidden="1" x14ac:dyDescent="0.15"/>
    <row r="59110" hidden="1" x14ac:dyDescent="0.15"/>
    <row r="59111" hidden="1" x14ac:dyDescent="0.15"/>
    <row r="59112" hidden="1" x14ac:dyDescent="0.15"/>
    <row r="59113" hidden="1" x14ac:dyDescent="0.15"/>
    <row r="59114" hidden="1" x14ac:dyDescent="0.15"/>
    <row r="59115" hidden="1" x14ac:dyDescent="0.15"/>
    <row r="59116" hidden="1" x14ac:dyDescent="0.15"/>
    <row r="59117" hidden="1" x14ac:dyDescent="0.15"/>
    <row r="59118" hidden="1" x14ac:dyDescent="0.15"/>
    <row r="59119" hidden="1" x14ac:dyDescent="0.15"/>
    <row r="59120" hidden="1" x14ac:dyDescent="0.15"/>
    <row r="59121" hidden="1" x14ac:dyDescent="0.15"/>
    <row r="59122" hidden="1" x14ac:dyDescent="0.15"/>
    <row r="59123" hidden="1" x14ac:dyDescent="0.15"/>
    <row r="59124" hidden="1" x14ac:dyDescent="0.15"/>
    <row r="59125" hidden="1" x14ac:dyDescent="0.15"/>
    <row r="59126" hidden="1" x14ac:dyDescent="0.15"/>
    <row r="59127" hidden="1" x14ac:dyDescent="0.15"/>
    <row r="59128" hidden="1" x14ac:dyDescent="0.15"/>
    <row r="59129" hidden="1" x14ac:dyDescent="0.15"/>
    <row r="59130" hidden="1" x14ac:dyDescent="0.15"/>
    <row r="59131" hidden="1" x14ac:dyDescent="0.15"/>
    <row r="59132" hidden="1" x14ac:dyDescent="0.15"/>
    <row r="59133" hidden="1" x14ac:dyDescent="0.15"/>
    <row r="59134" hidden="1" x14ac:dyDescent="0.15"/>
    <row r="59135" hidden="1" x14ac:dyDescent="0.15"/>
    <row r="59136" hidden="1" x14ac:dyDescent="0.15"/>
    <row r="59137" hidden="1" x14ac:dyDescent="0.15"/>
    <row r="59138" hidden="1" x14ac:dyDescent="0.15"/>
    <row r="59139" hidden="1" x14ac:dyDescent="0.15"/>
    <row r="59140" hidden="1" x14ac:dyDescent="0.15"/>
    <row r="59141" hidden="1" x14ac:dyDescent="0.15"/>
    <row r="59142" hidden="1" x14ac:dyDescent="0.15"/>
    <row r="59143" hidden="1" x14ac:dyDescent="0.15"/>
    <row r="59144" hidden="1" x14ac:dyDescent="0.15"/>
    <row r="59145" hidden="1" x14ac:dyDescent="0.15"/>
    <row r="59146" hidden="1" x14ac:dyDescent="0.15"/>
    <row r="59147" hidden="1" x14ac:dyDescent="0.15"/>
    <row r="59148" hidden="1" x14ac:dyDescent="0.15"/>
    <row r="59149" hidden="1" x14ac:dyDescent="0.15"/>
    <row r="59150" hidden="1" x14ac:dyDescent="0.15"/>
    <row r="59151" hidden="1" x14ac:dyDescent="0.15"/>
    <row r="59152" hidden="1" x14ac:dyDescent="0.15"/>
    <row r="59153" hidden="1" x14ac:dyDescent="0.15"/>
    <row r="59154" hidden="1" x14ac:dyDescent="0.15"/>
    <row r="59155" hidden="1" x14ac:dyDescent="0.15"/>
    <row r="59156" hidden="1" x14ac:dyDescent="0.15"/>
    <row r="59157" hidden="1" x14ac:dyDescent="0.15"/>
    <row r="59158" hidden="1" x14ac:dyDescent="0.15"/>
    <row r="59159" hidden="1" x14ac:dyDescent="0.15"/>
    <row r="59160" hidden="1" x14ac:dyDescent="0.15"/>
    <row r="59161" hidden="1" x14ac:dyDescent="0.15"/>
    <row r="59162" hidden="1" x14ac:dyDescent="0.15"/>
    <row r="59163" hidden="1" x14ac:dyDescent="0.15"/>
    <row r="59164" hidden="1" x14ac:dyDescent="0.15"/>
    <row r="59165" hidden="1" x14ac:dyDescent="0.15"/>
    <row r="59166" hidden="1" x14ac:dyDescent="0.15"/>
    <row r="59167" hidden="1" x14ac:dyDescent="0.15"/>
    <row r="59168" hidden="1" x14ac:dyDescent="0.15"/>
    <row r="59169" hidden="1" x14ac:dyDescent="0.15"/>
    <row r="59170" hidden="1" x14ac:dyDescent="0.15"/>
    <row r="59171" hidden="1" x14ac:dyDescent="0.15"/>
    <row r="59172" hidden="1" x14ac:dyDescent="0.15"/>
    <row r="59173" hidden="1" x14ac:dyDescent="0.15"/>
    <row r="59174" hidden="1" x14ac:dyDescent="0.15"/>
    <row r="59175" hidden="1" x14ac:dyDescent="0.15"/>
    <row r="59176" hidden="1" x14ac:dyDescent="0.15"/>
    <row r="59177" hidden="1" x14ac:dyDescent="0.15"/>
    <row r="59178" hidden="1" x14ac:dyDescent="0.15"/>
    <row r="59179" hidden="1" x14ac:dyDescent="0.15"/>
    <row r="59180" hidden="1" x14ac:dyDescent="0.15"/>
    <row r="59181" hidden="1" x14ac:dyDescent="0.15"/>
    <row r="59182" hidden="1" x14ac:dyDescent="0.15"/>
    <row r="59183" hidden="1" x14ac:dyDescent="0.15"/>
    <row r="59184" hidden="1" x14ac:dyDescent="0.15"/>
    <row r="59185" hidden="1" x14ac:dyDescent="0.15"/>
    <row r="59186" hidden="1" x14ac:dyDescent="0.15"/>
    <row r="59187" hidden="1" x14ac:dyDescent="0.15"/>
    <row r="59188" hidden="1" x14ac:dyDescent="0.15"/>
    <row r="59189" hidden="1" x14ac:dyDescent="0.15"/>
    <row r="59190" hidden="1" x14ac:dyDescent="0.15"/>
    <row r="59191" hidden="1" x14ac:dyDescent="0.15"/>
    <row r="59192" hidden="1" x14ac:dyDescent="0.15"/>
    <row r="59193" hidden="1" x14ac:dyDescent="0.15"/>
    <row r="59194" hidden="1" x14ac:dyDescent="0.15"/>
    <row r="59195" hidden="1" x14ac:dyDescent="0.15"/>
    <row r="59196" hidden="1" x14ac:dyDescent="0.15"/>
    <row r="59197" hidden="1" x14ac:dyDescent="0.15"/>
    <row r="59198" hidden="1" x14ac:dyDescent="0.15"/>
    <row r="59199" hidden="1" x14ac:dyDescent="0.15"/>
    <row r="59200" hidden="1" x14ac:dyDescent="0.15"/>
    <row r="59201" hidden="1" x14ac:dyDescent="0.15"/>
    <row r="59202" hidden="1" x14ac:dyDescent="0.15"/>
    <row r="59203" hidden="1" x14ac:dyDescent="0.15"/>
    <row r="59204" hidden="1" x14ac:dyDescent="0.15"/>
    <row r="59205" hidden="1" x14ac:dyDescent="0.15"/>
    <row r="59206" hidden="1" x14ac:dyDescent="0.15"/>
    <row r="59207" hidden="1" x14ac:dyDescent="0.15"/>
    <row r="59208" hidden="1" x14ac:dyDescent="0.15"/>
    <row r="59209" hidden="1" x14ac:dyDescent="0.15"/>
    <row r="59210" hidden="1" x14ac:dyDescent="0.15"/>
    <row r="59211" hidden="1" x14ac:dyDescent="0.15"/>
    <row r="59212" hidden="1" x14ac:dyDescent="0.15"/>
    <row r="59213" hidden="1" x14ac:dyDescent="0.15"/>
    <row r="59214" hidden="1" x14ac:dyDescent="0.15"/>
    <row r="59215" hidden="1" x14ac:dyDescent="0.15"/>
    <row r="59216" hidden="1" x14ac:dyDescent="0.15"/>
    <row r="59217" hidden="1" x14ac:dyDescent="0.15"/>
    <row r="59218" hidden="1" x14ac:dyDescent="0.15"/>
    <row r="59219" hidden="1" x14ac:dyDescent="0.15"/>
    <row r="59220" hidden="1" x14ac:dyDescent="0.15"/>
    <row r="59221" hidden="1" x14ac:dyDescent="0.15"/>
    <row r="59222" hidden="1" x14ac:dyDescent="0.15"/>
    <row r="59223" hidden="1" x14ac:dyDescent="0.15"/>
    <row r="59224" hidden="1" x14ac:dyDescent="0.15"/>
    <row r="59225" hidden="1" x14ac:dyDescent="0.15"/>
    <row r="59226" hidden="1" x14ac:dyDescent="0.15"/>
    <row r="59227" hidden="1" x14ac:dyDescent="0.15"/>
    <row r="59228" hidden="1" x14ac:dyDescent="0.15"/>
    <row r="59229" hidden="1" x14ac:dyDescent="0.15"/>
    <row r="59230" hidden="1" x14ac:dyDescent="0.15"/>
    <row r="59231" hidden="1" x14ac:dyDescent="0.15"/>
    <row r="59232" hidden="1" x14ac:dyDescent="0.15"/>
    <row r="59233" hidden="1" x14ac:dyDescent="0.15"/>
    <row r="59234" hidden="1" x14ac:dyDescent="0.15"/>
    <row r="59235" hidden="1" x14ac:dyDescent="0.15"/>
    <row r="59236" hidden="1" x14ac:dyDescent="0.15"/>
    <row r="59237" hidden="1" x14ac:dyDescent="0.15"/>
    <row r="59238" hidden="1" x14ac:dyDescent="0.15"/>
    <row r="59239" hidden="1" x14ac:dyDescent="0.15"/>
    <row r="59240" hidden="1" x14ac:dyDescent="0.15"/>
    <row r="59241" hidden="1" x14ac:dyDescent="0.15"/>
    <row r="59242" hidden="1" x14ac:dyDescent="0.15"/>
    <row r="59243" hidden="1" x14ac:dyDescent="0.15"/>
    <row r="59244" hidden="1" x14ac:dyDescent="0.15"/>
    <row r="59245" hidden="1" x14ac:dyDescent="0.15"/>
    <row r="59246" hidden="1" x14ac:dyDescent="0.15"/>
    <row r="59247" hidden="1" x14ac:dyDescent="0.15"/>
    <row r="59248" hidden="1" x14ac:dyDescent="0.15"/>
    <row r="59249" hidden="1" x14ac:dyDescent="0.15"/>
    <row r="59250" hidden="1" x14ac:dyDescent="0.15"/>
    <row r="59251" hidden="1" x14ac:dyDescent="0.15"/>
    <row r="59252" hidden="1" x14ac:dyDescent="0.15"/>
    <row r="59253" hidden="1" x14ac:dyDescent="0.15"/>
    <row r="59254" hidden="1" x14ac:dyDescent="0.15"/>
    <row r="59255" hidden="1" x14ac:dyDescent="0.15"/>
    <row r="59256" hidden="1" x14ac:dyDescent="0.15"/>
    <row r="59257" hidden="1" x14ac:dyDescent="0.15"/>
    <row r="59258" hidden="1" x14ac:dyDescent="0.15"/>
    <row r="59259" hidden="1" x14ac:dyDescent="0.15"/>
    <row r="59260" hidden="1" x14ac:dyDescent="0.15"/>
    <row r="59261" hidden="1" x14ac:dyDescent="0.15"/>
    <row r="59262" hidden="1" x14ac:dyDescent="0.15"/>
    <row r="59263" hidden="1" x14ac:dyDescent="0.15"/>
    <row r="59264" hidden="1" x14ac:dyDescent="0.15"/>
    <row r="59265" hidden="1" x14ac:dyDescent="0.15"/>
    <row r="59266" hidden="1" x14ac:dyDescent="0.15"/>
    <row r="59267" hidden="1" x14ac:dyDescent="0.15"/>
    <row r="59268" hidden="1" x14ac:dyDescent="0.15"/>
    <row r="59269" hidden="1" x14ac:dyDescent="0.15"/>
    <row r="59270" hidden="1" x14ac:dyDescent="0.15"/>
    <row r="59271" hidden="1" x14ac:dyDescent="0.15"/>
    <row r="59272" hidden="1" x14ac:dyDescent="0.15"/>
    <row r="59273" hidden="1" x14ac:dyDescent="0.15"/>
    <row r="59274" hidden="1" x14ac:dyDescent="0.15"/>
    <row r="59275" hidden="1" x14ac:dyDescent="0.15"/>
    <row r="59276" hidden="1" x14ac:dyDescent="0.15"/>
    <row r="59277" hidden="1" x14ac:dyDescent="0.15"/>
    <row r="59278" hidden="1" x14ac:dyDescent="0.15"/>
    <row r="59279" hidden="1" x14ac:dyDescent="0.15"/>
    <row r="59280" hidden="1" x14ac:dyDescent="0.15"/>
    <row r="59281" hidden="1" x14ac:dyDescent="0.15"/>
    <row r="59282" hidden="1" x14ac:dyDescent="0.15"/>
    <row r="59283" hidden="1" x14ac:dyDescent="0.15"/>
    <row r="59284" hidden="1" x14ac:dyDescent="0.15"/>
    <row r="59285" hidden="1" x14ac:dyDescent="0.15"/>
    <row r="59286" hidden="1" x14ac:dyDescent="0.15"/>
    <row r="59287" hidden="1" x14ac:dyDescent="0.15"/>
    <row r="59288" hidden="1" x14ac:dyDescent="0.15"/>
    <row r="59289" hidden="1" x14ac:dyDescent="0.15"/>
    <row r="59290" hidden="1" x14ac:dyDescent="0.15"/>
    <row r="59291" hidden="1" x14ac:dyDescent="0.15"/>
    <row r="59292" hidden="1" x14ac:dyDescent="0.15"/>
    <row r="59293" hidden="1" x14ac:dyDescent="0.15"/>
    <row r="59294" hidden="1" x14ac:dyDescent="0.15"/>
    <row r="59295" hidden="1" x14ac:dyDescent="0.15"/>
    <row r="59296" hidden="1" x14ac:dyDescent="0.15"/>
    <row r="59297" hidden="1" x14ac:dyDescent="0.15"/>
    <row r="59298" hidden="1" x14ac:dyDescent="0.15"/>
    <row r="59299" hidden="1" x14ac:dyDescent="0.15"/>
    <row r="59300" hidden="1" x14ac:dyDescent="0.15"/>
    <row r="59301" hidden="1" x14ac:dyDescent="0.15"/>
    <row r="59302" hidden="1" x14ac:dyDescent="0.15"/>
    <row r="59303" hidden="1" x14ac:dyDescent="0.15"/>
    <row r="59304" hidden="1" x14ac:dyDescent="0.15"/>
    <row r="59305" hidden="1" x14ac:dyDescent="0.15"/>
    <row r="59306" hidden="1" x14ac:dyDescent="0.15"/>
    <row r="59307" hidden="1" x14ac:dyDescent="0.15"/>
    <row r="59308" hidden="1" x14ac:dyDescent="0.15"/>
    <row r="59309" hidden="1" x14ac:dyDescent="0.15"/>
    <row r="59310" hidden="1" x14ac:dyDescent="0.15"/>
    <row r="59311" hidden="1" x14ac:dyDescent="0.15"/>
    <row r="59312" hidden="1" x14ac:dyDescent="0.15"/>
    <row r="59313" hidden="1" x14ac:dyDescent="0.15"/>
    <row r="59314" hidden="1" x14ac:dyDescent="0.15"/>
    <row r="59315" hidden="1" x14ac:dyDescent="0.15"/>
    <row r="59316" hidden="1" x14ac:dyDescent="0.15"/>
    <row r="59317" hidden="1" x14ac:dyDescent="0.15"/>
    <row r="59318" hidden="1" x14ac:dyDescent="0.15"/>
    <row r="59319" hidden="1" x14ac:dyDescent="0.15"/>
    <row r="59320" hidden="1" x14ac:dyDescent="0.15"/>
    <row r="59321" hidden="1" x14ac:dyDescent="0.15"/>
    <row r="59322" hidden="1" x14ac:dyDescent="0.15"/>
    <row r="59323" hidden="1" x14ac:dyDescent="0.15"/>
    <row r="59324" hidden="1" x14ac:dyDescent="0.15"/>
    <row r="59325" hidden="1" x14ac:dyDescent="0.15"/>
    <row r="59326" hidden="1" x14ac:dyDescent="0.15"/>
    <row r="59327" hidden="1" x14ac:dyDescent="0.15"/>
    <row r="59328" hidden="1" x14ac:dyDescent="0.15"/>
    <row r="59329" hidden="1" x14ac:dyDescent="0.15"/>
    <row r="59330" hidden="1" x14ac:dyDescent="0.15"/>
    <row r="59331" hidden="1" x14ac:dyDescent="0.15"/>
    <row r="59332" hidden="1" x14ac:dyDescent="0.15"/>
    <row r="59333" hidden="1" x14ac:dyDescent="0.15"/>
    <row r="59334" hidden="1" x14ac:dyDescent="0.15"/>
    <row r="59335" hidden="1" x14ac:dyDescent="0.15"/>
    <row r="59336" hidden="1" x14ac:dyDescent="0.15"/>
    <row r="59337" hidden="1" x14ac:dyDescent="0.15"/>
    <row r="59338" hidden="1" x14ac:dyDescent="0.15"/>
    <row r="59339" hidden="1" x14ac:dyDescent="0.15"/>
    <row r="59340" hidden="1" x14ac:dyDescent="0.15"/>
    <row r="59341" hidden="1" x14ac:dyDescent="0.15"/>
    <row r="59342" hidden="1" x14ac:dyDescent="0.15"/>
    <row r="59343" hidden="1" x14ac:dyDescent="0.15"/>
    <row r="59344" hidden="1" x14ac:dyDescent="0.15"/>
    <row r="59345" hidden="1" x14ac:dyDescent="0.15"/>
    <row r="59346" hidden="1" x14ac:dyDescent="0.15"/>
    <row r="59347" hidden="1" x14ac:dyDescent="0.15"/>
    <row r="59348" hidden="1" x14ac:dyDescent="0.15"/>
    <row r="59349" hidden="1" x14ac:dyDescent="0.15"/>
    <row r="59350" hidden="1" x14ac:dyDescent="0.15"/>
    <row r="59351" hidden="1" x14ac:dyDescent="0.15"/>
    <row r="59352" hidden="1" x14ac:dyDescent="0.15"/>
    <row r="59353" hidden="1" x14ac:dyDescent="0.15"/>
    <row r="59354" hidden="1" x14ac:dyDescent="0.15"/>
    <row r="59355" hidden="1" x14ac:dyDescent="0.15"/>
    <row r="59356" hidden="1" x14ac:dyDescent="0.15"/>
    <row r="59357" hidden="1" x14ac:dyDescent="0.15"/>
    <row r="59358" hidden="1" x14ac:dyDescent="0.15"/>
    <row r="59359" hidden="1" x14ac:dyDescent="0.15"/>
    <row r="59360" hidden="1" x14ac:dyDescent="0.15"/>
    <row r="59361" hidden="1" x14ac:dyDescent="0.15"/>
    <row r="59362" hidden="1" x14ac:dyDescent="0.15"/>
    <row r="59363" hidden="1" x14ac:dyDescent="0.15"/>
    <row r="59364" hidden="1" x14ac:dyDescent="0.15"/>
    <row r="59365" hidden="1" x14ac:dyDescent="0.15"/>
    <row r="59366" hidden="1" x14ac:dyDescent="0.15"/>
    <row r="59367" hidden="1" x14ac:dyDescent="0.15"/>
    <row r="59368" hidden="1" x14ac:dyDescent="0.15"/>
    <row r="59369" hidden="1" x14ac:dyDescent="0.15"/>
    <row r="59370" hidden="1" x14ac:dyDescent="0.15"/>
    <row r="59371" hidden="1" x14ac:dyDescent="0.15"/>
    <row r="59372" hidden="1" x14ac:dyDescent="0.15"/>
    <row r="59373" hidden="1" x14ac:dyDescent="0.15"/>
    <row r="59374" hidden="1" x14ac:dyDescent="0.15"/>
    <row r="59375" hidden="1" x14ac:dyDescent="0.15"/>
    <row r="59376" hidden="1" x14ac:dyDescent="0.15"/>
    <row r="59377" hidden="1" x14ac:dyDescent="0.15"/>
    <row r="59378" hidden="1" x14ac:dyDescent="0.15"/>
    <row r="59379" hidden="1" x14ac:dyDescent="0.15"/>
    <row r="59380" hidden="1" x14ac:dyDescent="0.15"/>
    <row r="59381" hidden="1" x14ac:dyDescent="0.15"/>
    <row r="59382" hidden="1" x14ac:dyDescent="0.15"/>
    <row r="59383" hidden="1" x14ac:dyDescent="0.15"/>
    <row r="59384" hidden="1" x14ac:dyDescent="0.15"/>
    <row r="59385" hidden="1" x14ac:dyDescent="0.15"/>
    <row r="59386" hidden="1" x14ac:dyDescent="0.15"/>
    <row r="59387" hidden="1" x14ac:dyDescent="0.15"/>
    <row r="59388" hidden="1" x14ac:dyDescent="0.15"/>
    <row r="59389" hidden="1" x14ac:dyDescent="0.15"/>
    <row r="59390" hidden="1" x14ac:dyDescent="0.15"/>
    <row r="59391" hidden="1" x14ac:dyDescent="0.15"/>
    <row r="59392" hidden="1" x14ac:dyDescent="0.15"/>
    <row r="59393" hidden="1" x14ac:dyDescent="0.15"/>
    <row r="59394" hidden="1" x14ac:dyDescent="0.15"/>
    <row r="59395" hidden="1" x14ac:dyDescent="0.15"/>
    <row r="59396" hidden="1" x14ac:dyDescent="0.15"/>
    <row r="59397" hidden="1" x14ac:dyDescent="0.15"/>
    <row r="59398" hidden="1" x14ac:dyDescent="0.15"/>
    <row r="59399" hidden="1" x14ac:dyDescent="0.15"/>
    <row r="59400" hidden="1" x14ac:dyDescent="0.15"/>
    <row r="59401" hidden="1" x14ac:dyDescent="0.15"/>
    <row r="59402" hidden="1" x14ac:dyDescent="0.15"/>
    <row r="59403" hidden="1" x14ac:dyDescent="0.15"/>
    <row r="59404" hidden="1" x14ac:dyDescent="0.15"/>
    <row r="59405" hidden="1" x14ac:dyDescent="0.15"/>
    <row r="59406" hidden="1" x14ac:dyDescent="0.15"/>
    <row r="59407" hidden="1" x14ac:dyDescent="0.15"/>
    <row r="59408" hidden="1" x14ac:dyDescent="0.15"/>
    <row r="59409" hidden="1" x14ac:dyDescent="0.15"/>
    <row r="59410" hidden="1" x14ac:dyDescent="0.15"/>
    <row r="59411" hidden="1" x14ac:dyDescent="0.15"/>
    <row r="59412" hidden="1" x14ac:dyDescent="0.15"/>
    <row r="59413" hidden="1" x14ac:dyDescent="0.15"/>
    <row r="59414" hidden="1" x14ac:dyDescent="0.15"/>
    <row r="59415" hidden="1" x14ac:dyDescent="0.15"/>
    <row r="59416" hidden="1" x14ac:dyDescent="0.15"/>
    <row r="59417" hidden="1" x14ac:dyDescent="0.15"/>
    <row r="59418" hidden="1" x14ac:dyDescent="0.15"/>
    <row r="59419" hidden="1" x14ac:dyDescent="0.15"/>
    <row r="59420" hidden="1" x14ac:dyDescent="0.15"/>
    <row r="59421" hidden="1" x14ac:dyDescent="0.15"/>
    <row r="59422" hidden="1" x14ac:dyDescent="0.15"/>
    <row r="59423" hidden="1" x14ac:dyDescent="0.15"/>
    <row r="59424" hidden="1" x14ac:dyDescent="0.15"/>
    <row r="59425" hidden="1" x14ac:dyDescent="0.15"/>
    <row r="59426" hidden="1" x14ac:dyDescent="0.15"/>
    <row r="59427" hidden="1" x14ac:dyDescent="0.15"/>
    <row r="59428" hidden="1" x14ac:dyDescent="0.15"/>
    <row r="59429" hidden="1" x14ac:dyDescent="0.15"/>
    <row r="59430" hidden="1" x14ac:dyDescent="0.15"/>
    <row r="59431" hidden="1" x14ac:dyDescent="0.15"/>
    <row r="59432" hidden="1" x14ac:dyDescent="0.15"/>
    <row r="59433" hidden="1" x14ac:dyDescent="0.15"/>
    <row r="59434" hidden="1" x14ac:dyDescent="0.15"/>
    <row r="59435" hidden="1" x14ac:dyDescent="0.15"/>
    <row r="59436" hidden="1" x14ac:dyDescent="0.15"/>
    <row r="59437" hidden="1" x14ac:dyDescent="0.15"/>
    <row r="59438" hidden="1" x14ac:dyDescent="0.15"/>
    <row r="59439" hidden="1" x14ac:dyDescent="0.15"/>
    <row r="59440" hidden="1" x14ac:dyDescent="0.15"/>
    <row r="59441" hidden="1" x14ac:dyDescent="0.15"/>
    <row r="59442" hidden="1" x14ac:dyDescent="0.15"/>
    <row r="59443" hidden="1" x14ac:dyDescent="0.15"/>
    <row r="59444" hidden="1" x14ac:dyDescent="0.15"/>
    <row r="59445" hidden="1" x14ac:dyDescent="0.15"/>
    <row r="59446" hidden="1" x14ac:dyDescent="0.15"/>
    <row r="59447" hidden="1" x14ac:dyDescent="0.15"/>
    <row r="59448" hidden="1" x14ac:dyDescent="0.15"/>
    <row r="59449" hidden="1" x14ac:dyDescent="0.15"/>
    <row r="59450" hidden="1" x14ac:dyDescent="0.15"/>
    <row r="59451" hidden="1" x14ac:dyDescent="0.15"/>
    <row r="59452" hidden="1" x14ac:dyDescent="0.15"/>
    <row r="59453" hidden="1" x14ac:dyDescent="0.15"/>
    <row r="59454" hidden="1" x14ac:dyDescent="0.15"/>
    <row r="59455" hidden="1" x14ac:dyDescent="0.15"/>
    <row r="59456" hidden="1" x14ac:dyDescent="0.15"/>
    <row r="59457" hidden="1" x14ac:dyDescent="0.15"/>
    <row r="59458" hidden="1" x14ac:dyDescent="0.15"/>
    <row r="59459" hidden="1" x14ac:dyDescent="0.15"/>
    <row r="59460" hidden="1" x14ac:dyDescent="0.15"/>
    <row r="59461" hidden="1" x14ac:dyDescent="0.15"/>
    <row r="59462" hidden="1" x14ac:dyDescent="0.15"/>
    <row r="59463" hidden="1" x14ac:dyDescent="0.15"/>
    <row r="59464" hidden="1" x14ac:dyDescent="0.15"/>
    <row r="59465" hidden="1" x14ac:dyDescent="0.15"/>
    <row r="59466" hidden="1" x14ac:dyDescent="0.15"/>
    <row r="59467" hidden="1" x14ac:dyDescent="0.15"/>
    <row r="59468" hidden="1" x14ac:dyDescent="0.15"/>
    <row r="59469" hidden="1" x14ac:dyDescent="0.15"/>
    <row r="59470" hidden="1" x14ac:dyDescent="0.15"/>
    <row r="59471" hidden="1" x14ac:dyDescent="0.15"/>
    <row r="59472" hidden="1" x14ac:dyDescent="0.15"/>
    <row r="59473" hidden="1" x14ac:dyDescent="0.15"/>
    <row r="59474" hidden="1" x14ac:dyDescent="0.15"/>
    <row r="59475" hidden="1" x14ac:dyDescent="0.15"/>
    <row r="59476" hidden="1" x14ac:dyDescent="0.15"/>
    <row r="59477" hidden="1" x14ac:dyDescent="0.15"/>
    <row r="59478" hidden="1" x14ac:dyDescent="0.15"/>
    <row r="59479" hidden="1" x14ac:dyDescent="0.15"/>
    <row r="59480" hidden="1" x14ac:dyDescent="0.15"/>
    <row r="59481" hidden="1" x14ac:dyDescent="0.15"/>
    <row r="59482" hidden="1" x14ac:dyDescent="0.15"/>
    <row r="59483" hidden="1" x14ac:dyDescent="0.15"/>
    <row r="59484" hidden="1" x14ac:dyDescent="0.15"/>
    <row r="59485" hidden="1" x14ac:dyDescent="0.15"/>
    <row r="59486" hidden="1" x14ac:dyDescent="0.15"/>
    <row r="59487" hidden="1" x14ac:dyDescent="0.15"/>
    <row r="59488" hidden="1" x14ac:dyDescent="0.15"/>
    <row r="59489" hidden="1" x14ac:dyDescent="0.15"/>
    <row r="59490" hidden="1" x14ac:dyDescent="0.15"/>
    <row r="59491" hidden="1" x14ac:dyDescent="0.15"/>
    <row r="59492" hidden="1" x14ac:dyDescent="0.15"/>
    <row r="59493" hidden="1" x14ac:dyDescent="0.15"/>
    <row r="59494" hidden="1" x14ac:dyDescent="0.15"/>
    <row r="59495" hidden="1" x14ac:dyDescent="0.15"/>
    <row r="59496" hidden="1" x14ac:dyDescent="0.15"/>
    <row r="59497" hidden="1" x14ac:dyDescent="0.15"/>
    <row r="59498" hidden="1" x14ac:dyDescent="0.15"/>
    <row r="59499" hidden="1" x14ac:dyDescent="0.15"/>
    <row r="59500" hidden="1" x14ac:dyDescent="0.15"/>
    <row r="59501" hidden="1" x14ac:dyDescent="0.15"/>
    <row r="59502" hidden="1" x14ac:dyDescent="0.15"/>
    <row r="59503" hidden="1" x14ac:dyDescent="0.15"/>
    <row r="59504" hidden="1" x14ac:dyDescent="0.15"/>
    <row r="59505" hidden="1" x14ac:dyDescent="0.15"/>
    <row r="59506" hidden="1" x14ac:dyDescent="0.15"/>
    <row r="59507" hidden="1" x14ac:dyDescent="0.15"/>
    <row r="59508" hidden="1" x14ac:dyDescent="0.15"/>
    <row r="59509" hidden="1" x14ac:dyDescent="0.15"/>
    <row r="59510" hidden="1" x14ac:dyDescent="0.15"/>
    <row r="59511" hidden="1" x14ac:dyDescent="0.15"/>
    <row r="59512" hidden="1" x14ac:dyDescent="0.15"/>
    <row r="59513" hidden="1" x14ac:dyDescent="0.15"/>
    <row r="59514" hidden="1" x14ac:dyDescent="0.15"/>
    <row r="59515" hidden="1" x14ac:dyDescent="0.15"/>
    <row r="59516" hidden="1" x14ac:dyDescent="0.15"/>
    <row r="59517" hidden="1" x14ac:dyDescent="0.15"/>
    <row r="59518" hidden="1" x14ac:dyDescent="0.15"/>
    <row r="59519" hidden="1" x14ac:dyDescent="0.15"/>
    <row r="59520" hidden="1" x14ac:dyDescent="0.15"/>
    <row r="59521" hidden="1" x14ac:dyDescent="0.15"/>
    <row r="59522" hidden="1" x14ac:dyDescent="0.15"/>
    <row r="59523" hidden="1" x14ac:dyDescent="0.15"/>
    <row r="59524" hidden="1" x14ac:dyDescent="0.15"/>
    <row r="59525" hidden="1" x14ac:dyDescent="0.15"/>
    <row r="59526" hidden="1" x14ac:dyDescent="0.15"/>
    <row r="59527" hidden="1" x14ac:dyDescent="0.15"/>
    <row r="59528" hidden="1" x14ac:dyDescent="0.15"/>
    <row r="59529" hidden="1" x14ac:dyDescent="0.15"/>
    <row r="59530" hidden="1" x14ac:dyDescent="0.15"/>
    <row r="59531" hidden="1" x14ac:dyDescent="0.15"/>
    <row r="59532" hidden="1" x14ac:dyDescent="0.15"/>
    <row r="59533" hidden="1" x14ac:dyDescent="0.15"/>
    <row r="59534" hidden="1" x14ac:dyDescent="0.15"/>
    <row r="59535" hidden="1" x14ac:dyDescent="0.15"/>
    <row r="59536" hidden="1" x14ac:dyDescent="0.15"/>
    <row r="59537" hidden="1" x14ac:dyDescent="0.15"/>
    <row r="59538" hidden="1" x14ac:dyDescent="0.15"/>
    <row r="59539" hidden="1" x14ac:dyDescent="0.15"/>
    <row r="59540" hidden="1" x14ac:dyDescent="0.15"/>
    <row r="59541" hidden="1" x14ac:dyDescent="0.15"/>
    <row r="59542" hidden="1" x14ac:dyDescent="0.15"/>
    <row r="59543" hidden="1" x14ac:dyDescent="0.15"/>
    <row r="59544" hidden="1" x14ac:dyDescent="0.15"/>
    <row r="59545" hidden="1" x14ac:dyDescent="0.15"/>
    <row r="59546" hidden="1" x14ac:dyDescent="0.15"/>
    <row r="59547" hidden="1" x14ac:dyDescent="0.15"/>
    <row r="59548" hidden="1" x14ac:dyDescent="0.15"/>
    <row r="59549" hidden="1" x14ac:dyDescent="0.15"/>
    <row r="59550" hidden="1" x14ac:dyDescent="0.15"/>
    <row r="59551" hidden="1" x14ac:dyDescent="0.15"/>
    <row r="59552" hidden="1" x14ac:dyDescent="0.15"/>
    <row r="59553" hidden="1" x14ac:dyDescent="0.15"/>
    <row r="59554" hidden="1" x14ac:dyDescent="0.15"/>
    <row r="59555" hidden="1" x14ac:dyDescent="0.15"/>
    <row r="59556" hidden="1" x14ac:dyDescent="0.15"/>
    <row r="59557" hidden="1" x14ac:dyDescent="0.15"/>
    <row r="59558" hidden="1" x14ac:dyDescent="0.15"/>
    <row r="59559" hidden="1" x14ac:dyDescent="0.15"/>
    <row r="59560" hidden="1" x14ac:dyDescent="0.15"/>
    <row r="59561" hidden="1" x14ac:dyDescent="0.15"/>
    <row r="59562" hidden="1" x14ac:dyDescent="0.15"/>
    <row r="59563" hidden="1" x14ac:dyDescent="0.15"/>
    <row r="59564" hidden="1" x14ac:dyDescent="0.15"/>
    <row r="59565" hidden="1" x14ac:dyDescent="0.15"/>
    <row r="59566" hidden="1" x14ac:dyDescent="0.15"/>
    <row r="59567" hidden="1" x14ac:dyDescent="0.15"/>
    <row r="59568" hidden="1" x14ac:dyDescent="0.15"/>
    <row r="59569" hidden="1" x14ac:dyDescent="0.15"/>
    <row r="59570" hidden="1" x14ac:dyDescent="0.15"/>
    <row r="59571" hidden="1" x14ac:dyDescent="0.15"/>
    <row r="59572" hidden="1" x14ac:dyDescent="0.15"/>
    <row r="59573" hidden="1" x14ac:dyDescent="0.15"/>
    <row r="59574" hidden="1" x14ac:dyDescent="0.15"/>
    <row r="59575" hidden="1" x14ac:dyDescent="0.15"/>
    <row r="59576" hidden="1" x14ac:dyDescent="0.15"/>
    <row r="59577" hidden="1" x14ac:dyDescent="0.15"/>
    <row r="59578" hidden="1" x14ac:dyDescent="0.15"/>
    <row r="59579" hidden="1" x14ac:dyDescent="0.15"/>
    <row r="59580" hidden="1" x14ac:dyDescent="0.15"/>
    <row r="59581" hidden="1" x14ac:dyDescent="0.15"/>
    <row r="59582" hidden="1" x14ac:dyDescent="0.15"/>
    <row r="59583" hidden="1" x14ac:dyDescent="0.15"/>
    <row r="59584" hidden="1" x14ac:dyDescent="0.15"/>
    <row r="59585" hidden="1" x14ac:dyDescent="0.15"/>
    <row r="59586" hidden="1" x14ac:dyDescent="0.15"/>
    <row r="59587" hidden="1" x14ac:dyDescent="0.15"/>
    <row r="59588" hidden="1" x14ac:dyDescent="0.15"/>
    <row r="59589" hidden="1" x14ac:dyDescent="0.15"/>
    <row r="59590" hidden="1" x14ac:dyDescent="0.15"/>
    <row r="59591" hidden="1" x14ac:dyDescent="0.15"/>
    <row r="59592" hidden="1" x14ac:dyDescent="0.15"/>
    <row r="59593" hidden="1" x14ac:dyDescent="0.15"/>
    <row r="59594" hidden="1" x14ac:dyDescent="0.15"/>
    <row r="59595" hidden="1" x14ac:dyDescent="0.15"/>
    <row r="59596" hidden="1" x14ac:dyDescent="0.15"/>
    <row r="59597" hidden="1" x14ac:dyDescent="0.15"/>
    <row r="59598" hidden="1" x14ac:dyDescent="0.15"/>
    <row r="59599" hidden="1" x14ac:dyDescent="0.15"/>
    <row r="59600" hidden="1" x14ac:dyDescent="0.15"/>
    <row r="59601" hidden="1" x14ac:dyDescent="0.15"/>
    <row r="59602" hidden="1" x14ac:dyDescent="0.15"/>
    <row r="59603" hidden="1" x14ac:dyDescent="0.15"/>
    <row r="59604" hidden="1" x14ac:dyDescent="0.15"/>
    <row r="59605" hidden="1" x14ac:dyDescent="0.15"/>
    <row r="59606" hidden="1" x14ac:dyDescent="0.15"/>
    <row r="59607" hidden="1" x14ac:dyDescent="0.15"/>
    <row r="59608" hidden="1" x14ac:dyDescent="0.15"/>
    <row r="59609" hidden="1" x14ac:dyDescent="0.15"/>
    <row r="59610" hidden="1" x14ac:dyDescent="0.15"/>
    <row r="59611" hidden="1" x14ac:dyDescent="0.15"/>
    <row r="59612" hidden="1" x14ac:dyDescent="0.15"/>
    <row r="59613" hidden="1" x14ac:dyDescent="0.15"/>
    <row r="59614" hidden="1" x14ac:dyDescent="0.15"/>
    <row r="59615" hidden="1" x14ac:dyDescent="0.15"/>
    <row r="59616" hidden="1" x14ac:dyDescent="0.15"/>
    <row r="59617" hidden="1" x14ac:dyDescent="0.15"/>
    <row r="59618" hidden="1" x14ac:dyDescent="0.15"/>
    <row r="59619" hidden="1" x14ac:dyDescent="0.15"/>
    <row r="59620" hidden="1" x14ac:dyDescent="0.15"/>
    <row r="59621" hidden="1" x14ac:dyDescent="0.15"/>
    <row r="59622" hidden="1" x14ac:dyDescent="0.15"/>
    <row r="59623" hidden="1" x14ac:dyDescent="0.15"/>
    <row r="59624" hidden="1" x14ac:dyDescent="0.15"/>
    <row r="59625" hidden="1" x14ac:dyDescent="0.15"/>
    <row r="59626" hidden="1" x14ac:dyDescent="0.15"/>
    <row r="59627" hidden="1" x14ac:dyDescent="0.15"/>
    <row r="59628" hidden="1" x14ac:dyDescent="0.15"/>
    <row r="59629" hidden="1" x14ac:dyDescent="0.15"/>
    <row r="59630" hidden="1" x14ac:dyDescent="0.15"/>
    <row r="59631" hidden="1" x14ac:dyDescent="0.15"/>
    <row r="59632" hidden="1" x14ac:dyDescent="0.15"/>
    <row r="59633" hidden="1" x14ac:dyDescent="0.15"/>
    <row r="59634" hidden="1" x14ac:dyDescent="0.15"/>
    <row r="59635" hidden="1" x14ac:dyDescent="0.15"/>
    <row r="59636" hidden="1" x14ac:dyDescent="0.15"/>
    <row r="59637" hidden="1" x14ac:dyDescent="0.15"/>
    <row r="59638" hidden="1" x14ac:dyDescent="0.15"/>
    <row r="59639" hidden="1" x14ac:dyDescent="0.15"/>
    <row r="59640" hidden="1" x14ac:dyDescent="0.15"/>
    <row r="59641" hidden="1" x14ac:dyDescent="0.15"/>
    <row r="59642" hidden="1" x14ac:dyDescent="0.15"/>
    <row r="59643" hidden="1" x14ac:dyDescent="0.15"/>
    <row r="59644" hidden="1" x14ac:dyDescent="0.15"/>
    <row r="59645" hidden="1" x14ac:dyDescent="0.15"/>
    <row r="59646" hidden="1" x14ac:dyDescent="0.15"/>
    <row r="59647" hidden="1" x14ac:dyDescent="0.15"/>
    <row r="59648" hidden="1" x14ac:dyDescent="0.15"/>
    <row r="59649" hidden="1" x14ac:dyDescent="0.15"/>
    <row r="59650" hidden="1" x14ac:dyDescent="0.15"/>
    <row r="59651" hidden="1" x14ac:dyDescent="0.15"/>
    <row r="59652" hidden="1" x14ac:dyDescent="0.15"/>
    <row r="59653" hidden="1" x14ac:dyDescent="0.15"/>
    <row r="59654" hidden="1" x14ac:dyDescent="0.15"/>
    <row r="59655" hidden="1" x14ac:dyDescent="0.15"/>
    <row r="59656" hidden="1" x14ac:dyDescent="0.15"/>
    <row r="59657" hidden="1" x14ac:dyDescent="0.15"/>
    <row r="59658" hidden="1" x14ac:dyDescent="0.15"/>
    <row r="59659" hidden="1" x14ac:dyDescent="0.15"/>
    <row r="59660" hidden="1" x14ac:dyDescent="0.15"/>
    <row r="59661" hidden="1" x14ac:dyDescent="0.15"/>
    <row r="59662" hidden="1" x14ac:dyDescent="0.15"/>
    <row r="59663" hidden="1" x14ac:dyDescent="0.15"/>
    <row r="59664" hidden="1" x14ac:dyDescent="0.15"/>
    <row r="59665" hidden="1" x14ac:dyDescent="0.15"/>
    <row r="59666" hidden="1" x14ac:dyDescent="0.15"/>
    <row r="59667" hidden="1" x14ac:dyDescent="0.15"/>
    <row r="59668" hidden="1" x14ac:dyDescent="0.15"/>
    <row r="59669" hidden="1" x14ac:dyDescent="0.15"/>
    <row r="59670" hidden="1" x14ac:dyDescent="0.15"/>
    <row r="59671" hidden="1" x14ac:dyDescent="0.15"/>
    <row r="59672" hidden="1" x14ac:dyDescent="0.15"/>
    <row r="59673" hidden="1" x14ac:dyDescent="0.15"/>
    <row r="59674" hidden="1" x14ac:dyDescent="0.15"/>
    <row r="59675" hidden="1" x14ac:dyDescent="0.15"/>
    <row r="59676" hidden="1" x14ac:dyDescent="0.15"/>
    <row r="59677" hidden="1" x14ac:dyDescent="0.15"/>
    <row r="59678" hidden="1" x14ac:dyDescent="0.15"/>
    <row r="59679" hidden="1" x14ac:dyDescent="0.15"/>
    <row r="59680" hidden="1" x14ac:dyDescent="0.15"/>
    <row r="59681" hidden="1" x14ac:dyDescent="0.15"/>
    <row r="59682" hidden="1" x14ac:dyDescent="0.15"/>
    <row r="59683" hidden="1" x14ac:dyDescent="0.15"/>
    <row r="59684" hidden="1" x14ac:dyDescent="0.15"/>
    <row r="59685" hidden="1" x14ac:dyDescent="0.15"/>
    <row r="59686" hidden="1" x14ac:dyDescent="0.15"/>
    <row r="59687" hidden="1" x14ac:dyDescent="0.15"/>
    <row r="59688" hidden="1" x14ac:dyDescent="0.15"/>
    <row r="59689" hidden="1" x14ac:dyDescent="0.15"/>
    <row r="59690" hidden="1" x14ac:dyDescent="0.15"/>
    <row r="59691" hidden="1" x14ac:dyDescent="0.15"/>
    <row r="59692" hidden="1" x14ac:dyDescent="0.15"/>
    <row r="59693" hidden="1" x14ac:dyDescent="0.15"/>
    <row r="59694" hidden="1" x14ac:dyDescent="0.15"/>
    <row r="59695" hidden="1" x14ac:dyDescent="0.15"/>
    <row r="59696" hidden="1" x14ac:dyDescent="0.15"/>
    <row r="59697" hidden="1" x14ac:dyDescent="0.15"/>
    <row r="59698" hidden="1" x14ac:dyDescent="0.15"/>
    <row r="59699" hidden="1" x14ac:dyDescent="0.15"/>
    <row r="59700" hidden="1" x14ac:dyDescent="0.15"/>
    <row r="59701" hidden="1" x14ac:dyDescent="0.15"/>
    <row r="59702" hidden="1" x14ac:dyDescent="0.15"/>
    <row r="59703" hidden="1" x14ac:dyDescent="0.15"/>
    <row r="59704" hidden="1" x14ac:dyDescent="0.15"/>
    <row r="59705" hidden="1" x14ac:dyDescent="0.15"/>
    <row r="59706" hidden="1" x14ac:dyDescent="0.15"/>
    <row r="59707" hidden="1" x14ac:dyDescent="0.15"/>
    <row r="59708" hidden="1" x14ac:dyDescent="0.15"/>
    <row r="59709" hidden="1" x14ac:dyDescent="0.15"/>
    <row r="59710" hidden="1" x14ac:dyDescent="0.15"/>
    <row r="59711" hidden="1" x14ac:dyDescent="0.15"/>
    <row r="59712" hidden="1" x14ac:dyDescent="0.15"/>
    <row r="59713" hidden="1" x14ac:dyDescent="0.15"/>
    <row r="59714" hidden="1" x14ac:dyDescent="0.15"/>
    <row r="59715" hidden="1" x14ac:dyDescent="0.15"/>
    <row r="59716" hidden="1" x14ac:dyDescent="0.15"/>
    <row r="59717" hidden="1" x14ac:dyDescent="0.15"/>
    <row r="59718" hidden="1" x14ac:dyDescent="0.15"/>
    <row r="59719" hidden="1" x14ac:dyDescent="0.15"/>
    <row r="59720" hidden="1" x14ac:dyDescent="0.15"/>
    <row r="59721" hidden="1" x14ac:dyDescent="0.15"/>
    <row r="59722" hidden="1" x14ac:dyDescent="0.15"/>
    <row r="59723" hidden="1" x14ac:dyDescent="0.15"/>
    <row r="59724" hidden="1" x14ac:dyDescent="0.15"/>
    <row r="59725" hidden="1" x14ac:dyDescent="0.15"/>
    <row r="59726" hidden="1" x14ac:dyDescent="0.15"/>
    <row r="59727" hidden="1" x14ac:dyDescent="0.15"/>
    <row r="59728" hidden="1" x14ac:dyDescent="0.15"/>
    <row r="59729" hidden="1" x14ac:dyDescent="0.15"/>
    <row r="59730" hidden="1" x14ac:dyDescent="0.15"/>
    <row r="59731" hidden="1" x14ac:dyDescent="0.15"/>
    <row r="59732" hidden="1" x14ac:dyDescent="0.15"/>
    <row r="59733" hidden="1" x14ac:dyDescent="0.15"/>
    <row r="59734" hidden="1" x14ac:dyDescent="0.15"/>
    <row r="59735" hidden="1" x14ac:dyDescent="0.15"/>
    <row r="59736" hidden="1" x14ac:dyDescent="0.15"/>
    <row r="59737" hidden="1" x14ac:dyDescent="0.15"/>
    <row r="59738" hidden="1" x14ac:dyDescent="0.15"/>
    <row r="59739" hidden="1" x14ac:dyDescent="0.15"/>
    <row r="59740" hidden="1" x14ac:dyDescent="0.15"/>
    <row r="59741" hidden="1" x14ac:dyDescent="0.15"/>
    <row r="59742" hidden="1" x14ac:dyDescent="0.15"/>
    <row r="59743" hidden="1" x14ac:dyDescent="0.15"/>
    <row r="59744" hidden="1" x14ac:dyDescent="0.15"/>
    <row r="59745" hidden="1" x14ac:dyDescent="0.15"/>
    <row r="59746" hidden="1" x14ac:dyDescent="0.15"/>
    <row r="59747" hidden="1" x14ac:dyDescent="0.15"/>
    <row r="59748" hidden="1" x14ac:dyDescent="0.15"/>
    <row r="59749" hidden="1" x14ac:dyDescent="0.15"/>
    <row r="59750" hidden="1" x14ac:dyDescent="0.15"/>
    <row r="59751" hidden="1" x14ac:dyDescent="0.15"/>
    <row r="59752" hidden="1" x14ac:dyDescent="0.15"/>
    <row r="59753" hidden="1" x14ac:dyDescent="0.15"/>
    <row r="59754" hidden="1" x14ac:dyDescent="0.15"/>
    <row r="59755" hidden="1" x14ac:dyDescent="0.15"/>
    <row r="59756" hidden="1" x14ac:dyDescent="0.15"/>
    <row r="59757" hidden="1" x14ac:dyDescent="0.15"/>
    <row r="59758" hidden="1" x14ac:dyDescent="0.15"/>
    <row r="59759" hidden="1" x14ac:dyDescent="0.15"/>
    <row r="59760" hidden="1" x14ac:dyDescent="0.15"/>
    <row r="59761" hidden="1" x14ac:dyDescent="0.15"/>
    <row r="59762" hidden="1" x14ac:dyDescent="0.15"/>
    <row r="59763" hidden="1" x14ac:dyDescent="0.15"/>
    <row r="59764" hidden="1" x14ac:dyDescent="0.15"/>
    <row r="59765" hidden="1" x14ac:dyDescent="0.15"/>
    <row r="59766" hidden="1" x14ac:dyDescent="0.15"/>
    <row r="59767" hidden="1" x14ac:dyDescent="0.15"/>
    <row r="59768" hidden="1" x14ac:dyDescent="0.15"/>
    <row r="59769" hidden="1" x14ac:dyDescent="0.15"/>
    <row r="59770" hidden="1" x14ac:dyDescent="0.15"/>
    <row r="59771" hidden="1" x14ac:dyDescent="0.15"/>
    <row r="59772" hidden="1" x14ac:dyDescent="0.15"/>
    <row r="59773" hidden="1" x14ac:dyDescent="0.15"/>
    <row r="59774" hidden="1" x14ac:dyDescent="0.15"/>
    <row r="59775" hidden="1" x14ac:dyDescent="0.15"/>
    <row r="59776" hidden="1" x14ac:dyDescent="0.15"/>
    <row r="59777" hidden="1" x14ac:dyDescent="0.15"/>
    <row r="59778" hidden="1" x14ac:dyDescent="0.15"/>
    <row r="59779" hidden="1" x14ac:dyDescent="0.15"/>
    <row r="59780" hidden="1" x14ac:dyDescent="0.15"/>
    <row r="59781" hidden="1" x14ac:dyDescent="0.15"/>
    <row r="59782" hidden="1" x14ac:dyDescent="0.15"/>
    <row r="59783" hidden="1" x14ac:dyDescent="0.15"/>
    <row r="59784" hidden="1" x14ac:dyDescent="0.15"/>
    <row r="59785" hidden="1" x14ac:dyDescent="0.15"/>
    <row r="59786" hidden="1" x14ac:dyDescent="0.15"/>
    <row r="59787" hidden="1" x14ac:dyDescent="0.15"/>
    <row r="59788" hidden="1" x14ac:dyDescent="0.15"/>
    <row r="59789" hidden="1" x14ac:dyDescent="0.15"/>
    <row r="59790" hidden="1" x14ac:dyDescent="0.15"/>
    <row r="59791" hidden="1" x14ac:dyDescent="0.15"/>
    <row r="59792" hidden="1" x14ac:dyDescent="0.15"/>
    <row r="59793" hidden="1" x14ac:dyDescent="0.15"/>
    <row r="59794" hidden="1" x14ac:dyDescent="0.15"/>
    <row r="59795" hidden="1" x14ac:dyDescent="0.15"/>
    <row r="59796" hidden="1" x14ac:dyDescent="0.15"/>
    <row r="59797" hidden="1" x14ac:dyDescent="0.15"/>
    <row r="59798" hidden="1" x14ac:dyDescent="0.15"/>
    <row r="59799" hidden="1" x14ac:dyDescent="0.15"/>
    <row r="59800" hidden="1" x14ac:dyDescent="0.15"/>
    <row r="59801" hidden="1" x14ac:dyDescent="0.15"/>
    <row r="59802" hidden="1" x14ac:dyDescent="0.15"/>
    <row r="59803" hidden="1" x14ac:dyDescent="0.15"/>
    <row r="59804" hidden="1" x14ac:dyDescent="0.15"/>
    <row r="59805" hidden="1" x14ac:dyDescent="0.15"/>
    <row r="59806" hidden="1" x14ac:dyDescent="0.15"/>
    <row r="59807" hidden="1" x14ac:dyDescent="0.15"/>
    <row r="59808" hidden="1" x14ac:dyDescent="0.15"/>
    <row r="59809" hidden="1" x14ac:dyDescent="0.15"/>
    <row r="59810" hidden="1" x14ac:dyDescent="0.15"/>
    <row r="59811" hidden="1" x14ac:dyDescent="0.15"/>
    <row r="59812" hidden="1" x14ac:dyDescent="0.15"/>
    <row r="59813" hidden="1" x14ac:dyDescent="0.15"/>
    <row r="59814" hidden="1" x14ac:dyDescent="0.15"/>
    <row r="59815" hidden="1" x14ac:dyDescent="0.15"/>
    <row r="59816" hidden="1" x14ac:dyDescent="0.15"/>
    <row r="59817" hidden="1" x14ac:dyDescent="0.15"/>
    <row r="59818" hidden="1" x14ac:dyDescent="0.15"/>
    <row r="59819" hidden="1" x14ac:dyDescent="0.15"/>
    <row r="59820" hidden="1" x14ac:dyDescent="0.15"/>
    <row r="59821" hidden="1" x14ac:dyDescent="0.15"/>
    <row r="59822" hidden="1" x14ac:dyDescent="0.15"/>
    <row r="59823" hidden="1" x14ac:dyDescent="0.15"/>
    <row r="59824" hidden="1" x14ac:dyDescent="0.15"/>
    <row r="59825" hidden="1" x14ac:dyDescent="0.15"/>
    <row r="59826" hidden="1" x14ac:dyDescent="0.15"/>
    <row r="59827" hidden="1" x14ac:dyDescent="0.15"/>
    <row r="59828" hidden="1" x14ac:dyDescent="0.15"/>
    <row r="59829" hidden="1" x14ac:dyDescent="0.15"/>
    <row r="59830" hidden="1" x14ac:dyDescent="0.15"/>
    <row r="59831" hidden="1" x14ac:dyDescent="0.15"/>
    <row r="59832" hidden="1" x14ac:dyDescent="0.15"/>
    <row r="59833" hidden="1" x14ac:dyDescent="0.15"/>
    <row r="59834" hidden="1" x14ac:dyDescent="0.15"/>
    <row r="59835" hidden="1" x14ac:dyDescent="0.15"/>
    <row r="59836" hidden="1" x14ac:dyDescent="0.15"/>
    <row r="59837" hidden="1" x14ac:dyDescent="0.15"/>
    <row r="59838" hidden="1" x14ac:dyDescent="0.15"/>
    <row r="59839" hidden="1" x14ac:dyDescent="0.15"/>
    <row r="59840" hidden="1" x14ac:dyDescent="0.15"/>
    <row r="59841" hidden="1" x14ac:dyDescent="0.15"/>
    <row r="59842" hidden="1" x14ac:dyDescent="0.15"/>
    <row r="59843" hidden="1" x14ac:dyDescent="0.15"/>
    <row r="59844" hidden="1" x14ac:dyDescent="0.15"/>
    <row r="59845" hidden="1" x14ac:dyDescent="0.15"/>
    <row r="59846" hidden="1" x14ac:dyDescent="0.15"/>
    <row r="59847" hidden="1" x14ac:dyDescent="0.15"/>
    <row r="59848" hidden="1" x14ac:dyDescent="0.15"/>
    <row r="59849" hidden="1" x14ac:dyDescent="0.15"/>
    <row r="59850" hidden="1" x14ac:dyDescent="0.15"/>
    <row r="59851" hidden="1" x14ac:dyDescent="0.15"/>
    <row r="59852" hidden="1" x14ac:dyDescent="0.15"/>
    <row r="59853" hidden="1" x14ac:dyDescent="0.15"/>
    <row r="59854" hidden="1" x14ac:dyDescent="0.15"/>
    <row r="59855" hidden="1" x14ac:dyDescent="0.15"/>
    <row r="59856" hidden="1" x14ac:dyDescent="0.15"/>
    <row r="59857" hidden="1" x14ac:dyDescent="0.15"/>
    <row r="59858" hidden="1" x14ac:dyDescent="0.15"/>
    <row r="59859" hidden="1" x14ac:dyDescent="0.15"/>
    <row r="59860" hidden="1" x14ac:dyDescent="0.15"/>
    <row r="59861" hidden="1" x14ac:dyDescent="0.15"/>
    <row r="59862" hidden="1" x14ac:dyDescent="0.15"/>
    <row r="59863" hidden="1" x14ac:dyDescent="0.15"/>
    <row r="59864" hidden="1" x14ac:dyDescent="0.15"/>
    <row r="59865" hidden="1" x14ac:dyDescent="0.15"/>
    <row r="59866" hidden="1" x14ac:dyDescent="0.15"/>
    <row r="59867" hidden="1" x14ac:dyDescent="0.15"/>
    <row r="59868" hidden="1" x14ac:dyDescent="0.15"/>
    <row r="59869" hidden="1" x14ac:dyDescent="0.15"/>
    <row r="59870" hidden="1" x14ac:dyDescent="0.15"/>
    <row r="59871" hidden="1" x14ac:dyDescent="0.15"/>
    <row r="59872" hidden="1" x14ac:dyDescent="0.15"/>
    <row r="59873" hidden="1" x14ac:dyDescent="0.15"/>
    <row r="59874" hidden="1" x14ac:dyDescent="0.15"/>
    <row r="59875" hidden="1" x14ac:dyDescent="0.15"/>
    <row r="59876" hidden="1" x14ac:dyDescent="0.15"/>
    <row r="59877" hidden="1" x14ac:dyDescent="0.15"/>
    <row r="59878" hidden="1" x14ac:dyDescent="0.15"/>
    <row r="59879" hidden="1" x14ac:dyDescent="0.15"/>
    <row r="59880" hidden="1" x14ac:dyDescent="0.15"/>
    <row r="59881" hidden="1" x14ac:dyDescent="0.15"/>
    <row r="59882" hidden="1" x14ac:dyDescent="0.15"/>
    <row r="59883" hidden="1" x14ac:dyDescent="0.15"/>
    <row r="59884" hidden="1" x14ac:dyDescent="0.15"/>
    <row r="59885" hidden="1" x14ac:dyDescent="0.15"/>
    <row r="59886" hidden="1" x14ac:dyDescent="0.15"/>
    <row r="59887" hidden="1" x14ac:dyDescent="0.15"/>
    <row r="59888" hidden="1" x14ac:dyDescent="0.15"/>
    <row r="59889" hidden="1" x14ac:dyDescent="0.15"/>
    <row r="59890" hidden="1" x14ac:dyDescent="0.15"/>
    <row r="59891" hidden="1" x14ac:dyDescent="0.15"/>
    <row r="59892" hidden="1" x14ac:dyDescent="0.15"/>
    <row r="59893" hidden="1" x14ac:dyDescent="0.15"/>
    <row r="59894" hidden="1" x14ac:dyDescent="0.15"/>
    <row r="59895" hidden="1" x14ac:dyDescent="0.15"/>
    <row r="59896" hidden="1" x14ac:dyDescent="0.15"/>
    <row r="59897" hidden="1" x14ac:dyDescent="0.15"/>
    <row r="59898" hidden="1" x14ac:dyDescent="0.15"/>
    <row r="59899" hidden="1" x14ac:dyDescent="0.15"/>
    <row r="59900" hidden="1" x14ac:dyDescent="0.15"/>
    <row r="59901" hidden="1" x14ac:dyDescent="0.15"/>
    <row r="59902" hidden="1" x14ac:dyDescent="0.15"/>
    <row r="59903" hidden="1" x14ac:dyDescent="0.15"/>
    <row r="59904" hidden="1" x14ac:dyDescent="0.15"/>
    <row r="59905" hidden="1" x14ac:dyDescent="0.15"/>
    <row r="59906" hidden="1" x14ac:dyDescent="0.15"/>
    <row r="59907" hidden="1" x14ac:dyDescent="0.15"/>
    <row r="59908" hidden="1" x14ac:dyDescent="0.15"/>
    <row r="59909" hidden="1" x14ac:dyDescent="0.15"/>
    <row r="59910" hidden="1" x14ac:dyDescent="0.15"/>
    <row r="59911" hidden="1" x14ac:dyDescent="0.15"/>
    <row r="59912" hidden="1" x14ac:dyDescent="0.15"/>
    <row r="59913" hidden="1" x14ac:dyDescent="0.15"/>
    <row r="59914" hidden="1" x14ac:dyDescent="0.15"/>
    <row r="59915" hidden="1" x14ac:dyDescent="0.15"/>
    <row r="59916" hidden="1" x14ac:dyDescent="0.15"/>
    <row r="59917" hidden="1" x14ac:dyDescent="0.15"/>
    <row r="59918" hidden="1" x14ac:dyDescent="0.15"/>
    <row r="59919" hidden="1" x14ac:dyDescent="0.15"/>
    <row r="59920" hidden="1" x14ac:dyDescent="0.15"/>
    <row r="59921" hidden="1" x14ac:dyDescent="0.15"/>
    <row r="59922" hidden="1" x14ac:dyDescent="0.15"/>
    <row r="59923" hidden="1" x14ac:dyDescent="0.15"/>
    <row r="59924" hidden="1" x14ac:dyDescent="0.15"/>
    <row r="59925" hidden="1" x14ac:dyDescent="0.15"/>
    <row r="59926" hidden="1" x14ac:dyDescent="0.15"/>
    <row r="59927" hidden="1" x14ac:dyDescent="0.15"/>
    <row r="59928" hidden="1" x14ac:dyDescent="0.15"/>
    <row r="59929" hidden="1" x14ac:dyDescent="0.15"/>
    <row r="59930" hidden="1" x14ac:dyDescent="0.15"/>
    <row r="59931" hidden="1" x14ac:dyDescent="0.15"/>
    <row r="59932" hidden="1" x14ac:dyDescent="0.15"/>
    <row r="59933" hidden="1" x14ac:dyDescent="0.15"/>
    <row r="59934" hidden="1" x14ac:dyDescent="0.15"/>
    <row r="59935" hidden="1" x14ac:dyDescent="0.15"/>
    <row r="59936" hidden="1" x14ac:dyDescent="0.15"/>
    <row r="59937" hidden="1" x14ac:dyDescent="0.15"/>
    <row r="59938" hidden="1" x14ac:dyDescent="0.15"/>
    <row r="59939" hidden="1" x14ac:dyDescent="0.15"/>
    <row r="59940" hidden="1" x14ac:dyDescent="0.15"/>
    <row r="59941" hidden="1" x14ac:dyDescent="0.15"/>
    <row r="59942" hidden="1" x14ac:dyDescent="0.15"/>
    <row r="59943" hidden="1" x14ac:dyDescent="0.15"/>
    <row r="59944" hidden="1" x14ac:dyDescent="0.15"/>
    <row r="59945" hidden="1" x14ac:dyDescent="0.15"/>
    <row r="59946" hidden="1" x14ac:dyDescent="0.15"/>
    <row r="59947" hidden="1" x14ac:dyDescent="0.15"/>
    <row r="59948" hidden="1" x14ac:dyDescent="0.15"/>
    <row r="59949" hidden="1" x14ac:dyDescent="0.15"/>
    <row r="59950" hidden="1" x14ac:dyDescent="0.15"/>
    <row r="59951" hidden="1" x14ac:dyDescent="0.15"/>
    <row r="59952" hidden="1" x14ac:dyDescent="0.15"/>
    <row r="59953" hidden="1" x14ac:dyDescent="0.15"/>
    <row r="59954" hidden="1" x14ac:dyDescent="0.15"/>
    <row r="59955" hidden="1" x14ac:dyDescent="0.15"/>
    <row r="59956" hidden="1" x14ac:dyDescent="0.15"/>
    <row r="59957" hidden="1" x14ac:dyDescent="0.15"/>
    <row r="59958" hidden="1" x14ac:dyDescent="0.15"/>
    <row r="59959" hidden="1" x14ac:dyDescent="0.15"/>
    <row r="59960" hidden="1" x14ac:dyDescent="0.15"/>
    <row r="59961" hidden="1" x14ac:dyDescent="0.15"/>
    <row r="59962" hidden="1" x14ac:dyDescent="0.15"/>
    <row r="59963" hidden="1" x14ac:dyDescent="0.15"/>
    <row r="59964" hidden="1" x14ac:dyDescent="0.15"/>
    <row r="59965" hidden="1" x14ac:dyDescent="0.15"/>
    <row r="59966" hidden="1" x14ac:dyDescent="0.15"/>
    <row r="59967" hidden="1" x14ac:dyDescent="0.15"/>
    <row r="59968" hidden="1" x14ac:dyDescent="0.15"/>
    <row r="59969" hidden="1" x14ac:dyDescent="0.15"/>
    <row r="59970" hidden="1" x14ac:dyDescent="0.15"/>
    <row r="59971" hidden="1" x14ac:dyDescent="0.15"/>
    <row r="59972" hidden="1" x14ac:dyDescent="0.15"/>
    <row r="59973" hidden="1" x14ac:dyDescent="0.15"/>
    <row r="59974" hidden="1" x14ac:dyDescent="0.15"/>
    <row r="59975" hidden="1" x14ac:dyDescent="0.15"/>
    <row r="59976" hidden="1" x14ac:dyDescent="0.15"/>
    <row r="59977" hidden="1" x14ac:dyDescent="0.15"/>
    <row r="59978" hidden="1" x14ac:dyDescent="0.15"/>
    <row r="59979" hidden="1" x14ac:dyDescent="0.15"/>
    <row r="59980" hidden="1" x14ac:dyDescent="0.15"/>
    <row r="59981" hidden="1" x14ac:dyDescent="0.15"/>
    <row r="59982" hidden="1" x14ac:dyDescent="0.15"/>
    <row r="59983" hidden="1" x14ac:dyDescent="0.15"/>
    <row r="59984" hidden="1" x14ac:dyDescent="0.15"/>
    <row r="59985" hidden="1" x14ac:dyDescent="0.15"/>
    <row r="59986" hidden="1" x14ac:dyDescent="0.15"/>
    <row r="59987" hidden="1" x14ac:dyDescent="0.15"/>
    <row r="59988" hidden="1" x14ac:dyDescent="0.15"/>
    <row r="59989" hidden="1" x14ac:dyDescent="0.15"/>
    <row r="59990" hidden="1" x14ac:dyDescent="0.15"/>
    <row r="59991" hidden="1" x14ac:dyDescent="0.15"/>
    <row r="59992" hidden="1" x14ac:dyDescent="0.15"/>
    <row r="59993" hidden="1" x14ac:dyDescent="0.15"/>
    <row r="59994" hidden="1" x14ac:dyDescent="0.15"/>
    <row r="59995" hidden="1" x14ac:dyDescent="0.15"/>
    <row r="59996" hidden="1" x14ac:dyDescent="0.15"/>
    <row r="59997" hidden="1" x14ac:dyDescent="0.15"/>
    <row r="59998" hidden="1" x14ac:dyDescent="0.15"/>
    <row r="59999" hidden="1" x14ac:dyDescent="0.15"/>
    <row r="60000" hidden="1" x14ac:dyDescent="0.15"/>
    <row r="60001" hidden="1" x14ac:dyDescent="0.15"/>
    <row r="60002" hidden="1" x14ac:dyDescent="0.15"/>
    <row r="60003" hidden="1" x14ac:dyDescent="0.15"/>
    <row r="60004" hidden="1" x14ac:dyDescent="0.15"/>
    <row r="60005" hidden="1" x14ac:dyDescent="0.15"/>
    <row r="60006" hidden="1" x14ac:dyDescent="0.15"/>
    <row r="60007" hidden="1" x14ac:dyDescent="0.15"/>
    <row r="60008" hidden="1" x14ac:dyDescent="0.15"/>
    <row r="60009" hidden="1" x14ac:dyDescent="0.15"/>
    <row r="60010" hidden="1" x14ac:dyDescent="0.15"/>
    <row r="60011" hidden="1" x14ac:dyDescent="0.15"/>
    <row r="60012" hidden="1" x14ac:dyDescent="0.15"/>
    <row r="60013" hidden="1" x14ac:dyDescent="0.15"/>
    <row r="60014" hidden="1" x14ac:dyDescent="0.15"/>
    <row r="60015" hidden="1" x14ac:dyDescent="0.15"/>
    <row r="60016" hidden="1" x14ac:dyDescent="0.15"/>
    <row r="60017" hidden="1" x14ac:dyDescent="0.15"/>
    <row r="60018" hidden="1" x14ac:dyDescent="0.15"/>
    <row r="60019" hidden="1" x14ac:dyDescent="0.15"/>
    <row r="60020" hidden="1" x14ac:dyDescent="0.15"/>
    <row r="60021" hidden="1" x14ac:dyDescent="0.15"/>
    <row r="60022" hidden="1" x14ac:dyDescent="0.15"/>
    <row r="60023" hidden="1" x14ac:dyDescent="0.15"/>
    <row r="60024" hidden="1" x14ac:dyDescent="0.15"/>
    <row r="60025" hidden="1" x14ac:dyDescent="0.15"/>
    <row r="60026" hidden="1" x14ac:dyDescent="0.15"/>
    <row r="60027" hidden="1" x14ac:dyDescent="0.15"/>
    <row r="60028" hidden="1" x14ac:dyDescent="0.15"/>
    <row r="60029" hidden="1" x14ac:dyDescent="0.15"/>
    <row r="60030" hidden="1" x14ac:dyDescent="0.15"/>
    <row r="60031" hidden="1" x14ac:dyDescent="0.15"/>
    <row r="60032" hidden="1" x14ac:dyDescent="0.15"/>
    <row r="60033" hidden="1" x14ac:dyDescent="0.15"/>
    <row r="60034" hidden="1" x14ac:dyDescent="0.15"/>
    <row r="60035" hidden="1" x14ac:dyDescent="0.15"/>
    <row r="60036" hidden="1" x14ac:dyDescent="0.15"/>
    <row r="60037" hidden="1" x14ac:dyDescent="0.15"/>
    <row r="60038" hidden="1" x14ac:dyDescent="0.15"/>
    <row r="60039" hidden="1" x14ac:dyDescent="0.15"/>
    <row r="60040" hidden="1" x14ac:dyDescent="0.15"/>
    <row r="60041" hidden="1" x14ac:dyDescent="0.15"/>
    <row r="60042" hidden="1" x14ac:dyDescent="0.15"/>
    <row r="60043" hidden="1" x14ac:dyDescent="0.15"/>
    <row r="60044" hidden="1" x14ac:dyDescent="0.15"/>
    <row r="60045" hidden="1" x14ac:dyDescent="0.15"/>
    <row r="60046" hidden="1" x14ac:dyDescent="0.15"/>
    <row r="60047" hidden="1" x14ac:dyDescent="0.15"/>
    <row r="60048" hidden="1" x14ac:dyDescent="0.15"/>
    <row r="60049" hidden="1" x14ac:dyDescent="0.15"/>
    <row r="60050" hidden="1" x14ac:dyDescent="0.15"/>
    <row r="60051" hidden="1" x14ac:dyDescent="0.15"/>
    <row r="60052" hidden="1" x14ac:dyDescent="0.15"/>
    <row r="60053" hidden="1" x14ac:dyDescent="0.15"/>
    <row r="60054" hidden="1" x14ac:dyDescent="0.15"/>
    <row r="60055" hidden="1" x14ac:dyDescent="0.15"/>
    <row r="60056" hidden="1" x14ac:dyDescent="0.15"/>
    <row r="60057" hidden="1" x14ac:dyDescent="0.15"/>
    <row r="60058" hidden="1" x14ac:dyDescent="0.15"/>
    <row r="60059" hidden="1" x14ac:dyDescent="0.15"/>
    <row r="60060" hidden="1" x14ac:dyDescent="0.15"/>
    <row r="60061" hidden="1" x14ac:dyDescent="0.15"/>
    <row r="60062" hidden="1" x14ac:dyDescent="0.15"/>
    <row r="60063" hidden="1" x14ac:dyDescent="0.15"/>
    <row r="60064" hidden="1" x14ac:dyDescent="0.15"/>
    <row r="60065" hidden="1" x14ac:dyDescent="0.15"/>
    <row r="60066" hidden="1" x14ac:dyDescent="0.15"/>
    <row r="60067" hidden="1" x14ac:dyDescent="0.15"/>
    <row r="60068" hidden="1" x14ac:dyDescent="0.15"/>
    <row r="60069" hidden="1" x14ac:dyDescent="0.15"/>
    <row r="60070" hidden="1" x14ac:dyDescent="0.15"/>
    <row r="60071" hidden="1" x14ac:dyDescent="0.15"/>
    <row r="60072" hidden="1" x14ac:dyDescent="0.15"/>
    <row r="60073" hidden="1" x14ac:dyDescent="0.15"/>
    <row r="60074" hidden="1" x14ac:dyDescent="0.15"/>
    <row r="60075" hidden="1" x14ac:dyDescent="0.15"/>
    <row r="60076" hidden="1" x14ac:dyDescent="0.15"/>
    <row r="60077" hidden="1" x14ac:dyDescent="0.15"/>
    <row r="60078" hidden="1" x14ac:dyDescent="0.15"/>
    <row r="60079" hidden="1" x14ac:dyDescent="0.15"/>
    <row r="60080" hidden="1" x14ac:dyDescent="0.15"/>
    <row r="60081" hidden="1" x14ac:dyDescent="0.15"/>
    <row r="60082" hidden="1" x14ac:dyDescent="0.15"/>
    <row r="60083" hidden="1" x14ac:dyDescent="0.15"/>
    <row r="60084" hidden="1" x14ac:dyDescent="0.15"/>
    <row r="60085" hidden="1" x14ac:dyDescent="0.15"/>
    <row r="60086" hidden="1" x14ac:dyDescent="0.15"/>
    <row r="60087" hidden="1" x14ac:dyDescent="0.15"/>
    <row r="60088" hidden="1" x14ac:dyDescent="0.15"/>
    <row r="60089" hidden="1" x14ac:dyDescent="0.15"/>
    <row r="60090" hidden="1" x14ac:dyDescent="0.15"/>
    <row r="60091" hidden="1" x14ac:dyDescent="0.15"/>
    <row r="60092" hidden="1" x14ac:dyDescent="0.15"/>
    <row r="60093" hidden="1" x14ac:dyDescent="0.15"/>
    <row r="60094" hidden="1" x14ac:dyDescent="0.15"/>
    <row r="60095" hidden="1" x14ac:dyDescent="0.15"/>
    <row r="60096" hidden="1" x14ac:dyDescent="0.15"/>
    <row r="60097" hidden="1" x14ac:dyDescent="0.15"/>
    <row r="60098" hidden="1" x14ac:dyDescent="0.15"/>
    <row r="60099" hidden="1" x14ac:dyDescent="0.15"/>
    <row r="60100" hidden="1" x14ac:dyDescent="0.15"/>
    <row r="60101" hidden="1" x14ac:dyDescent="0.15"/>
    <row r="60102" hidden="1" x14ac:dyDescent="0.15"/>
    <row r="60103" hidden="1" x14ac:dyDescent="0.15"/>
    <row r="60104" hidden="1" x14ac:dyDescent="0.15"/>
    <row r="60105" hidden="1" x14ac:dyDescent="0.15"/>
    <row r="60106" hidden="1" x14ac:dyDescent="0.15"/>
    <row r="60107" hidden="1" x14ac:dyDescent="0.15"/>
    <row r="60108" hidden="1" x14ac:dyDescent="0.15"/>
    <row r="60109" hidden="1" x14ac:dyDescent="0.15"/>
    <row r="60110" hidden="1" x14ac:dyDescent="0.15"/>
    <row r="60111" hidden="1" x14ac:dyDescent="0.15"/>
    <row r="60112" hidden="1" x14ac:dyDescent="0.15"/>
    <row r="60113" hidden="1" x14ac:dyDescent="0.15"/>
    <row r="60114" hidden="1" x14ac:dyDescent="0.15"/>
    <row r="60115" hidden="1" x14ac:dyDescent="0.15"/>
    <row r="60116" hidden="1" x14ac:dyDescent="0.15"/>
    <row r="60117" hidden="1" x14ac:dyDescent="0.15"/>
    <row r="60118" hidden="1" x14ac:dyDescent="0.15"/>
    <row r="60119" hidden="1" x14ac:dyDescent="0.15"/>
    <row r="60120" hidden="1" x14ac:dyDescent="0.15"/>
    <row r="60121" hidden="1" x14ac:dyDescent="0.15"/>
    <row r="60122" hidden="1" x14ac:dyDescent="0.15"/>
    <row r="60123" hidden="1" x14ac:dyDescent="0.15"/>
    <row r="60124" hidden="1" x14ac:dyDescent="0.15"/>
    <row r="60125" hidden="1" x14ac:dyDescent="0.15"/>
    <row r="60126" hidden="1" x14ac:dyDescent="0.15"/>
    <row r="60127" hidden="1" x14ac:dyDescent="0.15"/>
    <row r="60128" hidden="1" x14ac:dyDescent="0.15"/>
    <row r="60129" hidden="1" x14ac:dyDescent="0.15"/>
    <row r="60130" hidden="1" x14ac:dyDescent="0.15"/>
    <row r="60131" hidden="1" x14ac:dyDescent="0.15"/>
    <row r="60132" hidden="1" x14ac:dyDescent="0.15"/>
    <row r="60133" hidden="1" x14ac:dyDescent="0.15"/>
    <row r="60134" hidden="1" x14ac:dyDescent="0.15"/>
    <row r="60135" hidden="1" x14ac:dyDescent="0.15"/>
    <row r="60136" hidden="1" x14ac:dyDescent="0.15"/>
    <row r="60137" hidden="1" x14ac:dyDescent="0.15"/>
    <row r="60138" hidden="1" x14ac:dyDescent="0.15"/>
    <row r="60139" hidden="1" x14ac:dyDescent="0.15"/>
    <row r="60140" hidden="1" x14ac:dyDescent="0.15"/>
    <row r="60141" hidden="1" x14ac:dyDescent="0.15"/>
    <row r="60142" hidden="1" x14ac:dyDescent="0.15"/>
    <row r="60143" hidden="1" x14ac:dyDescent="0.15"/>
    <row r="60144" hidden="1" x14ac:dyDescent="0.15"/>
    <row r="60145" hidden="1" x14ac:dyDescent="0.15"/>
    <row r="60146" hidden="1" x14ac:dyDescent="0.15"/>
    <row r="60147" hidden="1" x14ac:dyDescent="0.15"/>
    <row r="60148" hidden="1" x14ac:dyDescent="0.15"/>
    <row r="60149" hidden="1" x14ac:dyDescent="0.15"/>
    <row r="60150" hidden="1" x14ac:dyDescent="0.15"/>
    <row r="60151" hidden="1" x14ac:dyDescent="0.15"/>
    <row r="60152" hidden="1" x14ac:dyDescent="0.15"/>
    <row r="60153" hidden="1" x14ac:dyDescent="0.15"/>
    <row r="60154" hidden="1" x14ac:dyDescent="0.15"/>
    <row r="60155" hidden="1" x14ac:dyDescent="0.15"/>
    <row r="60156" hidden="1" x14ac:dyDescent="0.15"/>
    <row r="60157" hidden="1" x14ac:dyDescent="0.15"/>
    <row r="60158" hidden="1" x14ac:dyDescent="0.15"/>
    <row r="60159" hidden="1" x14ac:dyDescent="0.15"/>
    <row r="60160" hidden="1" x14ac:dyDescent="0.15"/>
    <row r="60161" hidden="1" x14ac:dyDescent="0.15"/>
    <row r="60162" hidden="1" x14ac:dyDescent="0.15"/>
    <row r="60163" hidden="1" x14ac:dyDescent="0.15"/>
    <row r="60164" hidden="1" x14ac:dyDescent="0.15"/>
    <row r="60165" hidden="1" x14ac:dyDescent="0.15"/>
    <row r="60166" hidden="1" x14ac:dyDescent="0.15"/>
    <row r="60167" hidden="1" x14ac:dyDescent="0.15"/>
    <row r="60168" hidden="1" x14ac:dyDescent="0.15"/>
    <row r="60169" hidden="1" x14ac:dyDescent="0.15"/>
    <row r="60170" hidden="1" x14ac:dyDescent="0.15"/>
    <row r="60171" hidden="1" x14ac:dyDescent="0.15"/>
    <row r="60172" hidden="1" x14ac:dyDescent="0.15"/>
    <row r="60173" hidden="1" x14ac:dyDescent="0.15"/>
    <row r="60174" hidden="1" x14ac:dyDescent="0.15"/>
    <row r="60175" hidden="1" x14ac:dyDescent="0.15"/>
    <row r="60176" hidden="1" x14ac:dyDescent="0.15"/>
    <row r="60177" hidden="1" x14ac:dyDescent="0.15"/>
    <row r="60178" hidden="1" x14ac:dyDescent="0.15"/>
    <row r="60179" hidden="1" x14ac:dyDescent="0.15"/>
    <row r="60180" hidden="1" x14ac:dyDescent="0.15"/>
    <row r="60181" hidden="1" x14ac:dyDescent="0.15"/>
    <row r="60182" hidden="1" x14ac:dyDescent="0.15"/>
    <row r="60183" hidden="1" x14ac:dyDescent="0.15"/>
    <row r="60184" hidden="1" x14ac:dyDescent="0.15"/>
    <row r="60185" hidden="1" x14ac:dyDescent="0.15"/>
    <row r="60186" hidden="1" x14ac:dyDescent="0.15"/>
    <row r="60187" hidden="1" x14ac:dyDescent="0.15"/>
    <row r="60188" hidden="1" x14ac:dyDescent="0.15"/>
    <row r="60189" hidden="1" x14ac:dyDescent="0.15"/>
    <row r="60190" hidden="1" x14ac:dyDescent="0.15"/>
    <row r="60191" hidden="1" x14ac:dyDescent="0.15"/>
    <row r="60192" hidden="1" x14ac:dyDescent="0.15"/>
    <row r="60193" hidden="1" x14ac:dyDescent="0.15"/>
    <row r="60194" hidden="1" x14ac:dyDescent="0.15"/>
    <row r="60195" hidden="1" x14ac:dyDescent="0.15"/>
    <row r="60196" hidden="1" x14ac:dyDescent="0.15"/>
    <row r="60197" hidden="1" x14ac:dyDescent="0.15"/>
    <row r="60198" hidden="1" x14ac:dyDescent="0.15"/>
    <row r="60199" hidden="1" x14ac:dyDescent="0.15"/>
    <row r="60200" hidden="1" x14ac:dyDescent="0.15"/>
    <row r="60201" hidden="1" x14ac:dyDescent="0.15"/>
    <row r="60202" hidden="1" x14ac:dyDescent="0.15"/>
    <row r="60203" hidden="1" x14ac:dyDescent="0.15"/>
    <row r="60204" hidden="1" x14ac:dyDescent="0.15"/>
    <row r="60205" hidden="1" x14ac:dyDescent="0.15"/>
    <row r="60206" hidden="1" x14ac:dyDescent="0.15"/>
    <row r="60207" hidden="1" x14ac:dyDescent="0.15"/>
    <row r="60208" hidden="1" x14ac:dyDescent="0.15"/>
    <row r="60209" hidden="1" x14ac:dyDescent="0.15"/>
    <row r="60210" hidden="1" x14ac:dyDescent="0.15"/>
    <row r="60211" hidden="1" x14ac:dyDescent="0.15"/>
    <row r="60212" hidden="1" x14ac:dyDescent="0.15"/>
    <row r="60213" hidden="1" x14ac:dyDescent="0.15"/>
    <row r="60214" hidden="1" x14ac:dyDescent="0.15"/>
    <row r="60215" hidden="1" x14ac:dyDescent="0.15"/>
    <row r="60216" hidden="1" x14ac:dyDescent="0.15"/>
    <row r="60217" hidden="1" x14ac:dyDescent="0.15"/>
    <row r="60218" hidden="1" x14ac:dyDescent="0.15"/>
    <row r="60219" hidden="1" x14ac:dyDescent="0.15"/>
    <row r="60220" hidden="1" x14ac:dyDescent="0.15"/>
    <row r="60221" hidden="1" x14ac:dyDescent="0.15"/>
    <row r="60222" hidden="1" x14ac:dyDescent="0.15"/>
    <row r="60223" hidden="1" x14ac:dyDescent="0.15"/>
    <row r="60224" hidden="1" x14ac:dyDescent="0.15"/>
    <row r="60225" hidden="1" x14ac:dyDescent="0.15"/>
    <row r="60226" hidden="1" x14ac:dyDescent="0.15"/>
    <row r="60227" hidden="1" x14ac:dyDescent="0.15"/>
    <row r="60228" hidden="1" x14ac:dyDescent="0.15"/>
    <row r="60229" hidden="1" x14ac:dyDescent="0.15"/>
    <row r="60230" hidden="1" x14ac:dyDescent="0.15"/>
    <row r="60231" hidden="1" x14ac:dyDescent="0.15"/>
    <row r="60232" hidden="1" x14ac:dyDescent="0.15"/>
    <row r="60233" hidden="1" x14ac:dyDescent="0.15"/>
    <row r="60234" hidden="1" x14ac:dyDescent="0.15"/>
    <row r="60235" hidden="1" x14ac:dyDescent="0.15"/>
    <row r="60236" hidden="1" x14ac:dyDescent="0.15"/>
    <row r="60237" hidden="1" x14ac:dyDescent="0.15"/>
    <row r="60238" hidden="1" x14ac:dyDescent="0.15"/>
    <row r="60239" hidden="1" x14ac:dyDescent="0.15"/>
    <row r="60240" hidden="1" x14ac:dyDescent="0.15"/>
    <row r="60241" hidden="1" x14ac:dyDescent="0.15"/>
    <row r="60242" hidden="1" x14ac:dyDescent="0.15"/>
    <row r="60243" hidden="1" x14ac:dyDescent="0.15"/>
    <row r="60244" hidden="1" x14ac:dyDescent="0.15"/>
    <row r="60245" hidden="1" x14ac:dyDescent="0.15"/>
    <row r="60246" hidden="1" x14ac:dyDescent="0.15"/>
    <row r="60247" hidden="1" x14ac:dyDescent="0.15"/>
    <row r="60248" hidden="1" x14ac:dyDescent="0.15"/>
    <row r="60249" hidden="1" x14ac:dyDescent="0.15"/>
    <row r="60250" hidden="1" x14ac:dyDescent="0.15"/>
    <row r="60251" hidden="1" x14ac:dyDescent="0.15"/>
    <row r="60252" hidden="1" x14ac:dyDescent="0.15"/>
    <row r="60253" hidden="1" x14ac:dyDescent="0.15"/>
    <row r="60254" hidden="1" x14ac:dyDescent="0.15"/>
    <row r="60255" hidden="1" x14ac:dyDescent="0.15"/>
    <row r="60256" hidden="1" x14ac:dyDescent="0.15"/>
    <row r="60257" hidden="1" x14ac:dyDescent="0.15"/>
    <row r="60258" hidden="1" x14ac:dyDescent="0.15"/>
    <row r="60259" hidden="1" x14ac:dyDescent="0.15"/>
    <row r="60260" hidden="1" x14ac:dyDescent="0.15"/>
    <row r="60261" hidden="1" x14ac:dyDescent="0.15"/>
    <row r="60262" hidden="1" x14ac:dyDescent="0.15"/>
    <row r="60263" hidden="1" x14ac:dyDescent="0.15"/>
    <row r="60264" hidden="1" x14ac:dyDescent="0.15"/>
    <row r="60265" hidden="1" x14ac:dyDescent="0.15"/>
    <row r="60266" hidden="1" x14ac:dyDescent="0.15"/>
    <row r="60267" hidden="1" x14ac:dyDescent="0.15"/>
    <row r="60268" hidden="1" x14ac:dyDescent="0.15"/>
    <row r="60269" hidden="1" x14ac:dyDescent="0.15"/>
    <row r="60270" hidden="1" x14ac:dyDescent="0.15"/>
    <row r="60271" hidden="1" x14ac:dyDescent="0.15"/>
    <row r="60272" hidden="1" x14ac:dyDescent="0.15"/>
    <row r="60273" hidden="1" x14ac:dyDescent="0.15"/>
    <row r="60274" hidden="1" x14ac:dyDescent="0.15"/>
    <row r="60275" hidden="1" x14ac:dyDescent="0.15"/>
    <row r="60276" hidden="1" x14ac:dyDescent="0.15"/>
    <row r="60277" hidden="1" x14ac:dyDescent="0.15"/>
    <row r="60278" hidden="1" x14ac:dyDescent="0.15"/>
    <row r="60279" hidden="1" x14ac:dyDescent="0.15"/>
    <row r="60280" hidden="1" x14ac:dyDescent="0.15"/>
    <row r="60281" hidden="1" x14ac:dyDescent="0.15"/>
    <row r="60282" hidden="1" x14ac:dyDescent="0.15"/>
    <row r="60283" hidden="1" x14ac:dyDescent="0.15"/>
    <row r="60284" hidden="1" x14ac:dyDescent="0.15"/>
    <row r="60285" hidden="1" x14ac:dyDescent="0.15"/>
    <row r="60286" hidden="1" x14ac:dyDescent="0.15"/>
    <row r="60287" hidden="1" x14ac:dyDescent="0.15"/>
    <row r="60288" hidden="1" x14ac:dyDescent="0.15"/>
    <row r="60289" hidden="1" x14ac:dyDescent="0.15"/>
    <row r="60290" hidden="1" x14ac:dyDescent="0.15"/>
    <row r="60291" hidden="1" x14ac:dyDescent="0.15"/>
    <row r="60292" hidden="1" x14ac:dyDescent="0.15"/>
    <row r="60293" hidden="1" x14ac:dyDescent="0.15"/>
    <row r="60294" hidden="1" x14ac:dyDescent="0.15"/>
    <row r="60295" hidden="1" x14ac:dyDescent="0.15"/>
    <row r="60296" hidden="1" x14ac:dyDescent="0.15"/>
    <row r="60297" hidden="1" x14ac:dyDescent="0.15"/>
    <row r="60298" hidden="1" x14ac:dyDescent="0.15"/>
    <row r="60299" hidden="1" x14ac:dyDescent="0.15"/>
    <row r="60300" hidden="1" x14ac:dyDescent="0.15"/>
    <row r="60301" hidden="1" x14ac:dyDescent="0.15"/>
    <row r="60302" hidden="1" x14ac:dyDescent="0.15"/>
    <row r="60303" hidden="1" x14ac:dyDescent="0.15"/>
    <row r="60304" hidden="1" x14ac:dyDescent="0.15"/>
    <row r="60305" hidden="1" x14ac:dyDescent="0.15"/>
    <row r="60306" hidden="1" x14ac:dyDescent="0.15"/>
    <row r="60307" hidden="1" x14ac:dyDescent="0.15"/>
    <row r="60308" hidden="1" x14ac:dyDescent="0.15"/>
    <row r="60309" hidden="1" x14ac:dyDescent="0.15"/>
    <row r="60310" hidden="1" x14ac:dyDescent="0.15"/>
    <row r="60311" hidden="1" x14ac:dyDescent="0.15"/>
    <row r="60312" hidden="1" x14ac:dyDescent="0.15"/>
    <row r="60313" hidden="1" x14ac:dyDescent="0.15"/>
    <row r="60314" hidden="1" x14ac:dyDescent="0.15"/>
    <row r="60315" hidden="1" x14ac:dyDescent="0.15"/>
    <row r="60316" hidden="1" x14ac:dyDescent="0.15"/>
    <row r="60317" hidden="1" x14ac:dyDescent="0.15"/>
    <row r="60318" hidden="1" x14ac:dyDescent="0.15"/>
    <row r="60319" hidden="1" x14ac:dyDescent="0.15"/>
    <row r="60320" hidden="1" x14ac:dyDescent="0.15"/>
    <row r="60321" hidden="1" x14ac:dyDescent="0.15"/>
    <row r="60322" hidden="1" x14ac:dyDescent="0.15"/>
    <row r="60323" hidden="1" x14ac:dyDescent="0.15"/>
    <row r="60324" hidden="1" x14ac:dyDescent="0.15"/>
    <row r="60325" hidden="1" x14ac:dyDescent="0.15"/>
    <row r="60326" hidden="1" x14ac:dyDescent="0.15"/>
    <row r="60327" hidden="1" x14ac:dyDescent="0.15"/>
    <row r="60328" hidden="1" x14ac:dyDescent="0.15"/>
    <row r="60329" hidden="1" x14ac:dyDescent="0.15"/>
    <row r="60330" hidden="1" x14ac:dyDescent="0.15"/>
    <row r="60331" hidden="1" x14ac:dyDescent="0.15"/>
    <row r="60332" hidden="1" x14ac:dyDescent="0.15"/>
    <row r="60333" hidden="1" x14ac:dyDescent="0.15"/>
    <row r="60334" hidden="1" x14ac:dyDescent="0.15"/>
    <row r="60335" hidden="1" x14ac:dyDescent="0.15"/>
    <row r="60336" hidden="1" x14ac:dyDescent="0.15"/>
    <row r="60337" hidden="1" x14ac:dyDescent="0.15"/>
    <row r="60338" hidden="1" x14ac:dyDescent="0.15"/>
    <row r="60339" hidden="1" x14ac:dyDescent="0.15"/>
    <row r="60340" hidden="1" x14ac:dyDescent="0.15"/>
    <row r="60341" hidden="1" x14ac:dyDescent="0.15"/>
    <row r="60342" hidden="1" x14ac:dyDescent="0.15"/>
    <row r="60343" hidden="1" x14ac:dyDescent="0.15"/>
    <row r="60344" hidden="1" x14ac:dyDescent="0.15"/>
    <row r="60345" hidden="1" x14ac:dyDescent="0.15"/>
    <row r="60346" hidden="1" x14ac:dyDescent="0.15"/>
    <row r="60347" hidden="1" x14ac:dyDescent="0.15"/>
    <row r="60348" hidden="1" x14ac:dyDescent="0.15"/>
    <row r="60349" hidden="1" x14ac:dyDescent="0.15"/>
    <row r="60350" hidden="1" x14ac:dyDescent="0.15"/>
    <row r="60351" hidden="1" x14ac:dyDescent="0.15"/>
    <row r="60352" hidden="1" x14ac:dyDescent="0.15"/>
    <row r="60353" hidden="1" x14ac:dyDescent="0.15"/>
    <row r="60354" hidden="1" x14ac:dyDescent="0.15"/>
    <row r="60355" hidden="1" x14ac:dyDescent="0.15"/>
    <row r="60356" hidden="1" x14ac:dyDescent="0.15"/>
    <row r="60357" hidden="1" x14ac:dyDescent="0.15"/>
    <row r="60358" hidden="1" x14ac:dyDescent="0.15"/>
    <row r="60359" hidden="1" x14ac:dyDescent="0.15"/>
    <row r="60360" hidden="1" x14ac:dyDescent="0.15"/>
    <row r="60361" hidden="1" x14ac:dyDescent="0.15"/>
    <row r="60362" hidden="1" x14ac:dyDescent="0.15"/>
    <row r="60363" hidden="1" x14ac:dyDescent="0.15"/>
    <row r="60364" hidden="1" x14ac:dyDescent="0.15"/>
    <row r="60365" hidden="1" x14ac:dyDescent="0.15"/>
    <row r="60366" hidden="1" x14ac:dyDescent="0.15"/>
    <row r="60367" hidden="1" x14ac:dyDescent="0.15"/>
    <row r="60368" hidden="1" x14ac:dyDescent="0.15"/>
    <row r="60369" hidden="1" x14ac:dyDescent="0.15"/>
    <row r="60370" hidden="1" x14ac:dyDescent="0.15"/>
    <row r="60371" hidden="1" x14ac:dyDescent="0.15"/>
    <row r="60372" hidden="1" x14ac:dyDescent="0.15"/>
    <row r="60373" hidden="1" x14ac:dyDescent="0.15"/>
    <row r="60374" hidden="1" x14ac:dyDescent="0.15"/>
    <row r="60375" hidden="1" x14ac:dyDescent="0.15"/>
    <row r="60376" hidden="1" x14ac:dyDescent="0.15"/>
    <row r="60377" hidden="1" x14ac:dyDescent="0.15"/>
    <row r="60378" hidden="1" x14ac:dyDescent="0.15"/>
    <row r="60379" hidden="1" x14ac:dyDescent="0.15"/>
    <row r="60380" hidden="1" x14ac:dyDescent="0.15"/>
    <row r="60381" hidden="1" x14ac:dyDescent="0.15"/>
    <row r="60382" hidden="1" x14ac:dyDescent="0.15"/>
    <row r="60383" hidden="1" x14ac:dyDescent="0.15"/>
    <row r="60384" hidden="1" x14ac:dyDescent="0.15"/>
    <row r="60385" hidden="1" x14ac:dyDescent="0.15"/>
    <row r="60386" hidden="1" x14ac:dyDescent="0.15"/>
    <row r="60387" hidden="1" x14ac:dyDescent="0.15"/>
    <row r="60388" hidden="1" x14ac:dyDescent="0.15"/>
    <row r="60389" hidden="1" x14ac:dyDescent="0.15"/>
    <row r="60390" hidden="1" x14ac:dyDescent="0.15"/>
    <row r="60391" hidden="1" x14ac:dyDescent="0.15"/>
    <row r="60392" hidden="1" x14ac:dyDescent="0.15"/>
    <row r="60393" hidden="1" x14ac:dyDescent="0.15"/>
    <row r="60394" hidden="1" x14ac:dyDescent="0.15"/>
    <row r="60395" hidden="1" x14ac:dyDescent="0.15"/>
    <row r="60396" hidden="1" x14ac:dyDescent="0.15"/>
    <row r="60397" hidden="1" x14ac:dyDescent="0.15"/>
    <row r="60398" hidden="1" x14ac:dyDescent="0.15"/>
    <row r="60399" hidden="1" x14ac:dyDescent="0.15"/>
    <row r="60400" hidden="1" x14ac:dyDescent="0.15"/>
    <row r="60401" hidden="1" x14ac:dyDescent="0.15"/>
    <row r="60402" hidden="1" x14ac:dyDescent="0.15"/>
    <row r="60403" hidden="1" x14ac:dyDescent="0.15"/>
    <row r="60404" hidden="1" x14ac:dyDescent="0.15"/>
    <row r="60405" hidden="1" x14ac:dyDescent="0.15"/>
    <row r="60406" hidden="1" x14ac:dyDescent="0.15"/>
    <row r="60407" hidden="1" x14ac:dyDescent="0.15"/>
    <row r="60408" hidden="1" x14ac:dyDescent="0.15"/>
    <row r="60409" hidden="1" x14ac:dyDescent="0.15"/>
    <row r="60410" hidden="1" x14ac:dyDescent="0.15"/>
    <row r="60411" hidden="1" x14ac:dyDescent="0.15"/>
    <row r="60412" hidden="1" x14ac:dyDescent="0.15"/>
    <row r="60413" hidden="1" x14ac:dyDescent="0.15"/>
    <row r="60414" hidden="1" x14ac:dyDescent="0.15"/>
    <row r="60415" hidden="1" x14ac:dyDescent="0.15"/>
    <row r="60416" hidden="1" x14ac:dyDescent="0.15"/>
    <row r="60417" hidden="1" x14ac:dyDescent="0.15"/>
    <row r="60418" hidden="1" x14ac:dyDescent="0.15"/>
    <row r="60419" hidden="1" x14ac:dyDescent="0.15"/>
    <row r="60420" hidden="1" x14ac:dyDescent="0.15"/>
    <row r="60421" hidden="1" x14ac:dyDescent="0.15"/>
    <row r="60422" hidden="1" x14ac:dyDescent="0.15"/>
    <row r="60423" hidden="1" x14ac:dyDescent="0.15"/>
    <row r="60424" hidden="1" x14ac:dyDescent="0.15"/>
    <row r="60425" hidden="1" x14ac:dyDescent="0.15"/>
    <row r="60426" hidden="1" x14ac:dyDescent="0.15"/>
    <row r="60427" hidden="1" x14ac:dyDescent="0.15"/>
    <row r="60428" hidden="1" x14ac:dyDescent="0.15"/>
    <row r="60429" hidden="1" x14ac:dyDescent="0.15"/>
    <row r="60430" hidden="1" x14ac:dyDescent="0.15"/>
    <row r="60431" hidden="1" x14ac:dyDescent="0.15"/>
    <row r="60432" hidden="1" x14ac:dyDescent="0.15"/>
    <row r="60433" hidden="1" x14ac:dyDescent="0.15"/>
    <row r="60434" hidden="1" x14ac:dyDescent="0.15"/>
    <row r="60435" hidden="1" x14ac:dyDescent="0.15"/>
    <row r="60436" hidden="1" x14ac:dyDescent="0.15"/>
    <row r="60437" hidden="1" x14ac:dyDescent="0.15"/>
    <row r="60438" hidden="1" x14ac:dyDescent="0.15"/>
    <row r="60439" hidden="1" x14ac:dyDescent="0.15"/>
    <row r="60440" hidden="1" x14ac:dyDescent="0.15"/>
    <row r="60441" hidden="1" x14ac:dyDescent="0.15"/>
    <row r="60442" hidden="1" x14ac:dyDescent="0.15"/>
    <row r="60443" hidden="1" x14ac:dyDescent="0.15"/>
    <row r="60444" hidden="1" x14ac:dyDescent="0.15"/>
    <row r="60445" hidden="1" x14ac:dyDescent="0.15"/>
    <row r="60446" hidden="1" x14ac:dyDescent="0.15"/>
    <row r="60447" hidden="1" x14ac:dyDescent="0.15"/>
    <row r="60448" hidden="1" x14ac:dyDescent="0.15"/>
    <row r="60449" hidden="1" x14ac:dyDescent="0.15"/>
    <row r="60450" hidden="1" x14ac:dyDescent="0.15"/>
    <row r="60451" hidden="1" x14ac:dyDescent="0.15"/>
    <row r="60452" hidden="1" x14ac:dyDescent="0.15"/>
    <row r="60453" hidden="1" x14ac:dyDescent="0.15"/>
    <row r="60454" hidden="1" x14ac:dyDescent="0.15"/>
    <row r="60455" hidden="1" x14ac:dyDescent="0.15"/>
    <row r="60456" hidden="1" x14ac:dyDescent="0.15"/>
    <row r="60457" hidden="1" x14ac:dyDescent="0.15"/>
    <row r="60458" hidden="1" x14ac:dyDescent="0.15"/>
    <row r="60459" hidden="1" x14ac:dyDescent="0.15"/>
    <row r="60460" hidden="1" x14ac:dyDescent="0.15"/>
    <row r="60461" hidden="1" x14ac:dyDescent="0.15"/>
    <row r="60462" hidden="1" x14ac:dyDescent="0.15"/>
    <row r="60463" hidden="1" x14ac:dyDescent="0.15"/>
    <row r="60464" hidden="1" x14ac:dyDescent="0.15"/>
    <row r="60465" hidden="1" x14ac:dyDescent="0.15"/>
    <row r="60466" hidden="1" x14ac:dyDescent="0.15"/>
    <row r="60467" hidden="1" x14ac:dyDescent="0.15"/>
    <row r="60468" hidden="1" x14ac:dyDescent="0.15"/>
    <row r="60469" hidden="1" x14ac:dyDescent="0.15"/>
    <row r="60470" hidden="1" x14ac:dyDescent="0.15"/>
    <row r="60471" hidden="1" x14ac:dyDescent="0.15"/>
    <row r="60472" hidden="1" x14ac:dyDescent="0.15"/>
    <row r="60473" hidden="1" x14ac:dyDescent="0.15"/>
    <row r="60474" hidden="1" x14ac:dyDescent="0.15"/>
    <row r="60475" hidden="1" x14ac:dyDescent="0.15"/>
    <row r="60476" hidden="1" x14ac:dyDescent="0.15"/>
    <row r="60477" hidden="1" x14ac:dyDescent="0.15"/>
    <row r="60478" hidden="1" x14ac:dyDescent="0.15"/>
    <row r="60479" hidden="1" x14ac:dyDescent="0.15"/>
    <row r="60480" hidden="1" x14ac:dyDescent="0.15"/>
    <row r="60481" hidden="1" x14ac:dyDescent="0.15"/>
    <row r="60482" hidden="1" x14ac:dyDescent="0.15"/>
    <row r="60483" hidden="1" x14ac:dyDescent="0.15"/>
    <row r="60484" hidden="1" x14ac:dyDescent="0.15"/>
    <row r="60485" hidden="1" x14ac:dyDescent="0.15"/>
    <row r="60486" hidden="1" x14ac:dyDescent="0.15"/>
    <row r="60487" hidden="1" x14ac:dyDescent="0.15"/>
    <row r="60488" hidden="1" x14ac:dyDescent="0.15"/>
    <row r="60489" hidden="1" x14ac:dyDescent="0.15"/>
    <row r="60490" hidden="1" x14ac:dyDescent="0.15"/>
    <row r="60491" hidden="1" x14ac:dyDescent="0.15"/>
    <row r="60492" hidden="1" x14ac:dyDescent="0.15"/>
    <row r="60493" hidden="1" x14ac:dyDescent="0.15"/>
    <row r="60494" hidden="1" x14ac:dyDescent="0.15"/>
    <row r="60495" hidden="1" x14ac:dyDescent="0.15"/>
    <row r="60496" hidden="1" x14ac:dyDescent="0.15"/>
    <row r="60497" hidden="1" x14ac:dyDescent="0.15"/>
    <row r="60498" hidden="1" x14ac:dyDescent="0.15"/>
    <row r="60499" hidden="1" x14ac:dyDescent="0.15"/>
    <row r="60500" hidden="1" x14ac:dyDescent="0.15"/>
    <row r="60501" hidden="1" x14ac:dyDescent="0.15"/>
    <row r="60502" hidden="1" x14ac:dyDescent="0.15"/>
    <row r="60503" hidden="1" x14ac:dyDescent="0.15"/>
    <row r="60504" hidden="1" x14ac:dyDescent="0.15"/>
    <row r="60505" hidden="1" x14ac:dyDescent="0.15"/>
    <row r="60506" hidden="1" x14ac:dyDescent="0.15"/>
    <row r="60507" hidden="1" x14ac:dyDescent="0.15"/>
    <row r="60508" hidden="1" x14ac:dyDescent="0.15"/>
    <row r="60509" hidden="1" x14ac:dyDescent="0.15"/>
    <row r="60510" hidden="1" x14ac:dyDescent="0.15"/>
    <row r="60511" hidden="1" x14ac:dyDescent="0.15"/>
    <row r="60512" hidden="1" x14ac:dyDescent="0.15"/>
    <row r="60513" hidden="1" x14ac:dyDescent="0.15"/>
    <row r="60514" hidden="1" x14ac:dyDescent="0.15"/>
    <row r="60515" hidden="1" x14ac:dyDescent="0.15"/>
    <row r="60516" hidden="1" x14ac:dyDescent="0.15"/>
    <row r="60517" hidden="1" x14ac:dyDescent="0.15"/>
    <row r="60518" hidden="1" x14ac:dyDescent="0.15"/>
    <row r="60519" hidden="1" x14ac:dyDescent="0.15"/>
    <row r="60520" hidden="1" x14ac:dyDescent="0.15"/>
    <row r="60521" hidden="1" x14ac:dyDescent="0.15"/>
    <row r="60522" hidden="1" x14ac:dyDescent="0.15"/>
    <row r="60523" hidden="1" x14ac:dyDescent="0.15"/>
    <row r="60524" hidden="1" x14ac:dyDescent="0.15"/>
    <row r="60525" hidden="1" x14ac:dyDescent="0.15"/>
    <row r="60526" hidden="1" x14ac:dyDescent="0.15"/>
    <row r="60527" hidden="1" x14ac:dyDescent="0.15"/>
    <row r="60528" hidden="1" x14ac:dyDescent="0.15"/>
    <row r="60529" hidden="1" x14ac:dyDescent="0.15"/>
    <row r="60530" hidden="1" x14ac:dyDescent="0.15"/>
    <row r="60531" hidden="1" x14ac:dyDescent="0.15"/>
    <row r="60532" hidden="1" x14ac:dyDescent="0.15"/>
    <row r="60533" hidden="1" x14ac:dyDescent="0.15"/>
    <row r="60534" hidden="1" x14ac:dyDescent="0.15"/>
    <row r="60535" hidden="1" x14ac:dyDescent="0.15"/>
    <row r="60536" hidden="1" x14ac:dyDescent="0.15"/>
    <row r="60537" hidden="1" x14ac:dyDescent="0.15"/>
    <row r="60538" hidden="1" x14ac:dyDescent="0.15"/>
    <row r="60539" hidden="1" x14ac:dyDescent="0.15"/>
    <row r="60540" hidden="1" x14ac:dyDescent="0.15"/>
    <row r="60541" hidden="1" x14ac:dyDescent="0.15"/>
    <row r="60542" hidden="1" x14ac:dyDescent="0.15"/>
    <row r="60543" hidden="1" x14ac:dyDescent="0.15"/>
    <row r="60544" hidden="1" x14ac:dyDescent="0.15"/>
    <row r="60545" hidden="1" x14ac:dyDescent="0.15"/>
    <row r="60546" hidden="1" x14ac:dyDescent="0.15"/>
    <row r="60547" hidden="1" x14ac:dyDescent="0.15"/>
    <row r="60548" hidden="1" x14ac:dyDescent="0.15"/>
    <row r="60549" hidden="1" x14ac:dyDescent="0.15"/>
    <row r="60550" hidden="1" x14ac:dyDescent="0.15"/>
    <row r="60551" hidden="1" x14ac:dyDescent="0.15"/>
    <row r="60552" hidden="1" x14ac:dyDescent="0.15"/>
    <row r="60553" hidden="1" x14ac:dyDescent="0.15"/>
    <row r="60554" hidden="1" x14ac:dyDescent="0.15"/>
    <row r="60555" hidden="1" x14ac:dyDescent="0.15"/>
    <row r="60556" hidden="1" x14ac:dyDescent="0.15"/>
    <row r="60557" hidden="1" x14ac:dyDescent="0.15"/>
    <row r="60558" hidden="1" x14ac:dyDescent="0.15"/>
    <row r="60559" hidden="1" x14ac:dyDescent="0.15"/>
    <row r="60560" hidden="1" x14ac:dyDescent="0.15"/>
    <row r="60561" hidden="1" x14ac:dyDescent="0.15"/>
    <row r="60562" hidden="1" x14ac:dyDescent="0.15"/>
    <row r="60563" hidden="1" x14ac:dyDescent="0.15"/>
    <row r="60564" hidden="1" x14ac:dyDescent="0.15"/>
    <row r="60565" hidden="1" x14ac:dyDescent="0.15"/>
    <row r="60566" hidden="1" x14ac:dyDescent="0.15"/>
    <row r="60567" hidden="1" x14ac:dyDescent="0.15"/>
    <row r="60568" hidden="1" x14ac:dyDescent="0.15"/>
    <row r="60569" hidden="1" x14ac:dyDescent="0.15"/>
    <row r="60570" hidden="1" x14ac:dyDescent="0.15"/>
    <row r="60571" hidden="1" x14ac:dyDescent="0.15"/>
    <row r="60572" hidden="1" x14ac:dyDescent="0.15"/>
    <row r="60573" hidden="1" x14ac:dyDescent="0.15"/>
    <row r="60574" hidden="1" x14ac:dyDescent="0.15"/>
    <row r="60575" hidden="1" x14ac:dyDescent="0.15"/>
    <row r="60576" hidden="1" x14ac:dyDescent="0.15"/>
    <row r="60577" hidden="1" x14ac:dyDescent="0.15"/>
    <row r="60578" hidden="1" x14ac:dyDescent="0.15"/>
    <row r="60579" hidden="1" x14ac:dyDescent="0.15"/>
    <row r="60580" hidden="1" x14ac:dyDescent="0.15"/>
    <row r="60581" hidden="1" x14ac:dyDescent="0.15"/>
    <row r="60582" hidden="1" x14ac:dyDescent="0.15"/>
    <row r="60583" hidden="1" x14ac:dyDescent="0.15"/>
    <row r="60584" hidden="1" x14ac:dyDescent="0.15"/>
    <row r="60585" hidden="1" x14ac:dyDescent="0.15"/>
    <row r="60586" hidden="1" x14ac:dyDescent="0.15"/>
    <row r="60587" hidden="1" x14ac:dyDescent="0.15"/>
    <row r="60588" hidden="1" x14ac:dyDescent="0.15"/>
    <row r="60589" hidden="1" x14ac:dyDescent="0.15"/>
    <row r="60590" hidden="1" x14ac:dyDescent="0.15"/>
    <row r="60591" hidden="1" x14ac:dyDescent="0.15"/>
    <row r="60592" hidden="1" x14ac:dyDescent="0.15"/>
    <row r="60593" hidden="1" x14ac:dyDescent="0.15"/>
    <row r="60594" hidden="1" x14ac:dyDescent="0.15"/>
    <row r="60595" hidden="1" x14ac:dyDescent="0.15"/>
    <row r="60596" hidden="1" x14ac:dyDescent="0.15"/>
    <row r="60597" hidden="1" x14ac:dyDescent="0.15"/>
    <row r="60598" hidden="1" x14ac:dyDescent="0.15"/>
    <row r="60599" hidden="1" x14ac:dyDescent="0.15"/>
    <row r="60600" hidden="1" x14ac:dyDescent="0.15"/>
    <row r="60601" hidden="1" x14ac:dyDescent="0.15"/>
    <row r="60602" hidden="1" x14ac:dyDescent="0.15"/>
    <row r="60603" hidden="1" x14ac:dyDescent="0.15"/>
    <row r="60604" hidden="1" x14ac:dyDescent="0.15"/>
    <row r="60605" hidden="1" x14ac:dyDescent="0.15"/>
    <row r="60606" hidden="1" x14ac:dyDescent="0.15"/>
    <row r="60607" hidden="1" x14ac:dyDescent="0.15"/>
    <row r="60608" hidden="1" x14ac:dyDescent="0.15"/>
    <row r="60609" hidden="1" x14ac:dyDescent="0.15"/>
    <row r="60610" hidden="1" x14ac:dyDescent="0.15"/>
    <row r="60611" hidden="1" x14ac:dyDescent="0.15"/>
    <row r="60612" hidden="1" x14ac:dyDescent="0.15"/>
    <row r="60613" hidden="1" x14ac:dyDescent="0.15"/>
    <row r="60614" hidden="1" x14ac:dyDescent="0.15"/>
    <row r="60615" hidden="1" x14ac:dyDescent="0.15"/>
    <row r="60616" hidden="1" x14ac:dyDescent="0.15"/>
    <row r="60617" hidden="1" x14ac:dyDescent="0.15"/>
    <row r="60618" hidden="1" x14ac:dyDescent="0.15"/>
    <row r="60619" hidden="1" x14ac:dyDescent="0.15"/>
    <row r="60620" hidden="1" x14ac:dyDescent="0.15"/>
    <row r="60621" hidden="1" x14ac:dyDescent="0.15"/>
    <row r="60622" hidden="1" x14ac:dyDescent="0.15"/>
    <row r="60623" hidden="1" x14ac:dyDescent="0.15"/>
    <row r="60624" hidden="1" x14ac:dyDescent="0.15"/>
    <row r="60625" hidden="1" x14ac:dyDescent="0.15"/>
    <row r="60626" hidden="1" x14ac:dyDescent="0.15"/>
    <row r="60627" hidden="1" x14ac:dyDescent="0.15"/>
    <row r="60628" hidden="1" x14ac:dyDescent="0.15"/>
    <row r="60629" hidden="1" x14ac:dyDescent="0.15"/>
    <row r="60630" hidden="1" x14ac:dyDescent="0.15"/>
    <row r="60631" hidden="1" x14ac:dyDescent="0.15"/>
    <row r="60632" hidden="1" x14ac:dyDescent="0.15"/>
    <row r="60633" hidden="1" x14ac:dyDescent="0.15"/>
    <row r="60634" hidden="1" x14ac:dyDescent="0.15"/>
    <row r="60635" hidden="1" x14ac:dyDescent="0.15"/>
    <row r="60636" hidden="1" x14ac:dyDescent="0.15"/>
    <row r="60637" hidden="1" x14ac:dyDescent="0.15"/>
    <row r="60638" hidden="1" x14ac:dyDescent="0.15"/>
    <row r="60639" hidden="1" x14ac:dyDescent="0.15"/>
    <row r="60640" hidden="1" x14ac:dyDescent="0.15"/>
    <row r="60641" hidden="1" x14ac:dyDescent="0.15"/>
    <row r="60642" hidden="1" x14ac:dyDescent="0.15"/>
    <row r="60643" hidden="1" x14ac:dyDescent="0.15"/>
    <row r="60644" hidden="1" x14ac:dyDescent="0.15"/>
    <row r="60645" hidden="1" x14ac:dyDescent="0.15"/>
    <row r="60646" hidden="1" x14ac:dyDescent="0.15"/>
    <row r="60647" hidden="1" x14ac:dyDescent="0.15"/>
    <row r="60648" hidden="1" x14ac:dyDescent="0.15"/>
    <row r="60649" hidden="1" x14ac:dyDescent="0.15"/>
    <row r="60650" hidden="1" x14ac:dyDescent="0.15"/>
    <row r="60651" hidden="1" x14ac:dyDescent="0.15"/>
    <row r="60652" hidden="1" x14ac:dyDescent="0.15"/>
    <row r="60653" hidden="1" x14ac:dyDescent="0.15"/>
    <row r="60654" hidden="1" x14ac:dyDescent="0.15"/>
    <row r="60655" hidden="1" x14ac:dyDescent="0.15"/>
    <row r="60656" hidden="1" x14ac:dyDescent="0.15"/>
    <row r="60657" hidden="1" x14ac:dyDescent="0.15"/>
    <row r="60658" hidden="1" x14ac:dyDescent="0.15"/>
    <row r="60659" hidden="1" x14ac:dyDescent="0.15"/>
    <row r="60660" hidden="1" x14ac:dyDescent="0.15"/>
    <row r="60661" hidden="1" x14ac:dyDescent="0.15"/>
    <row r="60662" hidden="1" x14ac:dyDescent="0.15"/>
    <row r="60663" hidden="1" x14ac:dyDescent="0.15"/>
    <row r="60664" hidden="1" x14ac:dyDescent="0.15"/>
    <row r="60665" hidden="1" x14ac:dyDescent="0.15"/>
    <row r="60666" hidden="1" x14ac:dyDescent="0.15"/>
    <row r="60667" hidden="1" x14ac:dyDescent="0.15"/>
    <row r="60668" hidden="1" x14ac:dyDescent="0.15"/>
    <row r="60669" hidden="1" x14ac:dyDescent="0.15"/>
    <row r="60670" hidden="1" x14ac:dyDescent="0.15"/>
    <row r="60671" hidden="1" x14ac:dyDescent="0.15"/>
    <row r="60672" hidden="1" x14ac:dyDescent="0.15"/>
    <row r="60673" hidden="1" x14ac:dyDescent="0.15"/>
    <row r="60674" hidden="1" x14ac:dyDescent="0.15"/>
    <row r="60675" hidden="1" x14ac:dyDescent="0.15"/>
    <row r="60676" hidden="1" x14ac:dyDescent="0.15"/>
    <row r="60677" hidden="1" x14ac:dyDescent="0.15"/>
    <row r="60678" hidden="1" x14ac:dyDescent="0.15"/>
    <row r="60679" hidden="1" x14ac:dyDescent="0.15"/>
    <row r="60680" hidden="1" x14ac:dyDescent="0.15"/>
    <row r="60681" hidden="1" x14ac:dyDescent="0.15"/>
    <row r="60682" hidden="1" x14ac:dyDescent="0.15"/>
    <row r="60683" hidden="1" x14ac:dyDescent="0.15"/>
    <row r="60684" hidden="1" x14ac:dyDescent="0.15"/>
    <row r="60685" hidden="1" x14ac:dyDescent="0.15"/>
    <row r="60686" hidden="1" x14ac:dyDescent="0.15"/>
    <row r="60687" hidden="1" x14ac:dyDescent="0.15"/>
    <row r="60688" hidden="1" x14ac:dyDescent="0.15"/>
    <row r="60689" hidden="1" x14ac:dyDescent="0.15"/>
    <row r="60690" hidden="1" x14ac:dyDescent="0.15"/>
    <row r="60691" hidden="1" x14ac:dyDescent="0.15"/>
    <row r="60692" hidden="1" x14ac:dyDescent="0.15"/>
    <row r="60693" hidden="1" x14ac:dyDescent="0.15"/>
    <row r="60694" hidden="1" x14ac:dyDescent="0.15"/>
    <row r="60695" hidden="1" x14ac:dyDescent="0.15"/>
    <row r="60696" hidden="1" x14ac:dyDescent="0.15"/>
    <row r="60697" hidden="1" x14ac:dyDescent="0.15"/>
    <row r="60698" hidden="1" x14ac:dyDescent="0.15"/>
    <row r="60699" hidden="1" x14ac:dyDescent="0.15"/>
    <row r="60700" hidden="1" x14ac:dyDescent="0.15"/>
    <row r="60701" hidden="1" x14ac:dyDescent="0.15"/>
    <row r="60702" hidden="1" x14ac:dyDescent="0.15"/>
    <row r="60703" hidden="1" x14ac:dyDescent="0.15"/>
    <row r="60704" hidden="1" x14ac:dyDescent="0.15"/>
    <row r="60705" hidden="1" x14ac:dyDescent="0.15"/>
    <row r="60706" hidden="1" x14ac:dyDescent="0.15"/>
    <row r="60707" hidden="1" x14ac:dyDescent="0.15"/>
    <row r="60708" hidden="1" x14ac:dyDescent="0.15"/>
    <row r="60709" hidden="1" x14ac:dyDescent="0.15"/>
    <row r="60710" hidden="1" x14ac:dyDescent="0.15"/>
    <row r="60711" hidden="1" x14ac:dyDescent="0.15"/>
    <row r="60712" hidden="1" x14ac:dyDescent="0.15"/>
    <row r="60713" hidden="1" x14ac:dyDescent="0.15"/>
    <row r="60714" hidden="1" x14ac:dyDescent="0.15"/>
    <row r="60715" hidden="1" x14ac:dyDescent="0.15"/>
    <row r="60716" hidden="1" x14ac:dyDescent="0.15"/>
    <row r="60717" hidden="1" x14ac:dyDescent="0.15"/>
    <row r="60718" hidden="1" x14ac:dyDescent="0.15"/>
    <row r="60719" hidden="1" x14ac:dyDescent="0.15"/>
    <row r="60720" hidden="1" x14ac:dyDescent="0.15"/>
    <row r="60721" hidden="1" x14ac:dyDescent="0.15"/>
    <row r="60722" hidden="1" x14ac:dyDescent="0.15"/>
    <row r="60723" hidden="1" x14ac:dyDescent="0.15"/>
    <row r="60724" hidden="1" x14ac:dyDescent="0.15"/>
    <row r="60725" hidden="1" x14ac:dyDescent="0.15"/>
    <row r="60726" hidden="1" x14ac:dyDescent="0.15"/>
    <row r="60727" hidden="1" x14ac:dyDescent="0.15"/>
    <row r="60728" hidden="1" x14ac:dyDescent="0.15"/>
    <row r="60729" hidden="1" x14ac:dyDescent="0.15"/>
    <row r="60730" hidden="1" x14ac:dyDescent="0.15"/>
    <row r="60731" hidden="1" x14ac:dyDescent="0.15"/>
    <row r="60732" hidden="1" x14ac:dyDescent="0.15"/>
    <row r="60733" hidden="1" x14ac:dyDescent="0.15"/>
    <row r="60734" hidden="1" x14ac:dyDescent="0.15"/>
    <row r="60735" hidden="1" x14ac:dyDescent="0.15"/>
    <row r="60736" hidden="1" x14ac:dyDescent="0.15"/>
    <row r="60737" hidden="1" x14ac:dyDescent="0.15"/>
    <row r="60738" hidden="1" x14ac:dyDescent="0.15"/>
    <row r="60739" hidden="1" x14ac:dyDescent="0.15"/>
    <row r="60740" hidden="1" x14ac:dyDescent="0.15"/>
    <row r="60741" hidden="1" x14ac:dyDescent="0.15"/>
    <row r="60742" hidden="1" x14ac:dyDescent="0.15"/>
    <row r="60743" hidden="1" x14ac:dyDescent="0.15"/>
    <row r="60744" hidden="1" x14ac:dyDescent="0.15"/>
    <row r="60745" hidden="1" x14ac:dyDescent="0.15"/>
    <row r="60746" hidden="1" x14ac:dyDescent="0.15"/>
    <row r="60747" hidden="1" x14ac:dyDescent="0.15"/>
    <row r="60748" hidden="1" x14ac:dyDescent="0.15"/>
    <row r="60749" hidden="1" x14ac:dyDescent="0.15"/>
    <row r="60750" hidden="1" x14ac:dyDescent="0.15"/>
    <row r="60751" hidden="1" x14ac:dyDescent="0.15"/>
    <row r="60752" hidden="1" x14ac:dyDescent="0.15"/>
    <row r="60753" hidden="1" x14ac:dyDescent="0.15"/>
    <row r="60754" hidden="1" x14ac:dyDescent="0.15"/>
    <row r="60755" hidden="1" x14ac:dyDescent="0.15"/>
    <row r="60756" hidden="1" x14ac:dyDescent="0.15"/>
    <row r="60757" hidden="1" x14ac:dyDescent="0.15"/>
    <row r="60758" hidden="1" x14ac:dyDescent="0.15"/>
    <row r="60759" hidden="1" x14ac:dyDescent="0.15"/>
    <row r="60760" hidden="1" x14ac:dyDescent="0.15"/>
    <row r="60761" hidden="1" x14ac:dyDescent="0.15"/>
    <row r="60762" hidden="1" x14ac:dyDescent="0.15"/>
    <row r="60763" hidden="1" x14ac:dyDescent="0.15"/>
    <row r="60764" hidden="1" x14ac:dyDescent="0.15"/>
    <row r="60765" hidden="1" x14ac:dyDescent="0.15"/>
    <row r="60766" hidden="1" x14ac:dyDescent="0.15"/>
    <row r="60767" hidden="1" x14ac:dyDescent="0.15"/>
    <row r="60768" hidden="1" x14ac:dyDescent="0.15"/>
    <row r="60769" hidden="1" x14ac:dyDescent="0.15"/>
    <row r="60770" hidden="1" x14ac:dyDescent="0.15"/>
    <row r="60771" hidden="1" x14ac:dyDescent="0.15"/>
    <row r="60772" hidden="1" x14ac:dyDescent="0.15"/>
    <row r="60773" hidden="1" x14ac:dyDescent="0.15"/>
    <row r="60774" hidden="1" x14ac:dyDescent="0.15"/>
    <row r="60775" hidden="1" x14ac:dyDescent="0.15"/>
    <row r="60776" hidden="1" x14ac:dyDescent="0.15"/>
    <row r="60777" hidden="1" x14ac:dyDescent="0.15"/>
    <row r="60778" hidden="1" x14ac:dyDescent="0.15"/>
    <row r="60779" hidden="1" x14ac:dyDescent="0.15"/>
    <row r="60780" hidden="1" x14ac:dyDescent="0.15"/>
    <row r="60781" hidden="1" x14ac:dyDescent="0.15"/>
    <row r="60782" hidden="1" x14ac:dyDescent="0.15"/>
    <row r="60783" hidden="1" x14ac:dyDescent="0.15"/>
    <row r="60784" hidden="1" x14ac:dyDescent="0.15"/>
    <row r="60785" hidden="1" x14ac:dyDescent="0.15"/>
    <row r="60786" hidden="1" x14ac:dyDescent="0.15"/>
    <row r="60787" hidden="1" x14ac:dyDescent="0.15"/>
    <row r="60788" hidden="1" x14ac:dyDescent="0.15"/>
    <row r="60789" hidden="1" x14ac:dyDescent="0.15"/>
    <row r="60790" hidden="1" x14ac:dyDescent="0.15"/>
    <row r="60791" hidden="1" x14ac:dyDescent="0.15"/>
    <row r="60792" hidden="1" x14ac:dyDescent="0.15"/>
    <row r="60793" hidden="1" x14ac:dyDescent="0.15"/>
    <row r="60794" hidden="1" x14ac:dyDescent="0.15"/>
    <row r="60795" hidden="1" x14ac:dyDescent="0.15"/>
    <row r="60796" hidden="1" x14ac:dyDescent="0.15"/>
    <row r="60797" hidden="1" x14ac:dyDescent="0.15"/>
    <row r="60798" hidden="1" x14ac:dyDescent="0.15"/>
    <row r="60799" hidden="1" x14ac:dyDescent="0.15"/>
    <row r="60800" hidden="1" x14ac:dyDescent="0.15"/>
    <row r="60801" hidden="1" x14ac:dyDescent="0.15"/>
    <row r="60802" hidden="1" x14ac:dyDescent="0.15"/>
    <row r="60803" hidden="1" x14ac:dyDescent="0.15"/>
    <row r="60804" hidden="1" x14ac:dyDescent="0.15"/>
    <row r="60805" hidden="1" x14ac:dyDescent="0.15"/>
    <row r="60806" hidden="1" x14ac:dyDescent="0.15"/>
    <row r="60807" hidden="1" x14ac:dyDescent="0.15"/>
    <row r="60808" hidden="1" x14ac:dyDescent="0.15"/>
    <row r="60809" hidden="1" x14ac:dyDescent="0.15"/>
    <row r="60810" hidden="1" x14ac:dyDescent="0.15"/>
    <row r="60811" hidden="1" x14ac:dyDescent="0.15"/>
    <row r="60812" hidden="1" x14ac:dyDescent="0.15"/>
    <row r="60813" hidden="1" x14ac:dyDescent="0.15"/>
    <row r="60814" hidden="1" x14ac:dyDescent="0.15"/>
    <row r="60815" hidden="1" x14ac:dyDescent="0.15"/>
    <row r="60816" hidden="1" x14ac:dyDescent="0.15"/>
    <row r="60817" hidden="1" x14ac:dyDescent="0.15"/>
    <row r="60818" hidden="1" x14ac:dyDescent="0.15"/>
    <row r="60819" hidden="1" x14ac:dyDescent="0.15"/>
    <row r="60820" hidden="1" x14ac:dyDescent="0.15"/>
    <row r="60821" hidden="1" x14ac:dyDescent="0.15"/>
    <row r="60822" hidden="1" x14ac:dyDescent="0.15"/>
    <row r="60823" hidden="1" x14ac:dyDescent="0.15"/>
    <row r="60824" hidden="1" x14ac:dyDescent="0.15"/>
    <row r="60825" hidden="1" x14ac:dyDescent="0.15"/>
    <row r="60826" hidden="1" x14ac:dyDescent="0.15"/>
    <row r="60827" hidden="1" x14ac:dyDescent="0.15"/>
    <row r="60828" hidden="1" x14ac:dyDescent="0.15"/>
    <row r="60829" hidden="1" x14ac:dyDescent="0.15"/>
    <row r="60830" hidden="1" x14ac:dyDescent="0.15"/>
    <row r="60831" hidden="1" x14ac:dyDescent="0.15"/>
    <row r="60832" hidden="1" x14ac:dyDescent="0.15"/>
    <row r="60833" hidden="1" x14ac:dyDescent="0.15"/>
    <row r="60834" hidden="1" x14ac:dyDescent="0.15"/>
    <row r="60835" hidden="1" x14ac:dyDescent="0.15"/>
    <row r="60836" hidden="1" x14ac:dyDescent="0.15"/>
    <row r="60837" hidden="1" x14ac:dyDescent="0.15"/>
    <row r="60838" hidden="1" x14ac:dyDescent="0.15"/>
    <row r="60839" hidden="1" x14ac:dyDescent="0.15"/>
    <row r="60840" hidden="1" x14ac:dyDescent="0.15"/>
    <row r="60841" hidden="1" x14ac:dyDescent="0.15"/>
    <row r="60842" hidden="1" x14ac:dyDescent="0.15"/>
    <row r="60843" hidden="1" x14ac:dyDescent="0.15"/>
    <row r="60844" hidden="1" x14ac:dyDescent="0.15"/>
    <row r="60845" hidden="1" x14ac:dyDescent="0.15"/>
    <row r="60846" hidden="1" x14ac:dyDescent="0.15"/>
    <row r="60847" hidden="1" x14ac:dyDescent="0.15"/>
    <row r="60848" hidden="1" x14ac:dyDescent="0.15"/>
    <row r="60849" hidden="1" x14ac:dyDescent="0.15"/>
    <row r="60850" hidden="1" x14ac:dyDescent="0.15"/>
    <row r="60851" hidden="1" x14ac:dyDescent="0.15"/>
    <row r="60852" hidden="1" x14ac:dyDescent="0.15"/>
    <row r="60853" hidden="1" x14ac:dyDescent="0.15"/>
    <row r="60854" hidden="1" x14ac:dyDescent="0.15"/>
    <row r="60855" hidden="1" x14ac:dyDescent="0.15"/>
    <row r="60856" hidden="1" x14ac:dyDescent="0.15"/>
    <row r="60857" hidden="1" x14ac:dyDescent="0.15"/>
    <row r="60858" hidden="1" x14ac:dyDescent="0.15"/>
    <row r="60859" hidden="1" x14ac:dyDescent="0.15"/>
    <row r="60860" hidden="1" x14ac:dyDescent="0.15"/>
    <row r="60861" hidden="1" x14ac:dyDescent="0.15"/>
    <row r="60862" hidden="1" x14ac:dyDescent="0.15"/>
    <row r="60863" hidden="1" x14ac:dyDescent="0.15"/>
    <row r="60864" hidden="1" x14ac:dyDescent="0.15"/>
    <row r="60865" hidden="1" x14ac:dyDescent="0.15"/>
    <row r="60866" hidden="1" x14ac:dyDescent="0.15"/>
    <row r="60867" hidden="1" x14ac:dyDescent="0.15"/>
    <row r="60868" hidden="1" x14ac:dyDescent="0.15"/>
    <row r="60869" hidden="1" x14ac:dyDescent="0.15"/>
    <row r="60870" hidden="1" x14ac:dyDescent="0.15"/>
    <row r="60871" hidden="1" x14ac:dyDescent="0.15"/>
    <row r="60872" hidden="1" x14ac:dyDescent="0.15"/>
    <row r="60873" hidden="1" x14ac:dyDescent="0.15"/>
    <row r="60874" hidden="1" x14ac:dyDescent="0.15"/>
    <row r="60875" hidden="1" x14ac:dyDescent="0.15"/>
    <row r="60876" hidden="1" x14ac:dyDescent="0.15"/>
    <row r="60877" hidden="1" x14ac:dyDescent="0.15"/>
    <row r="60878" hidden="1" x14ac:dyDescent="0.15"/>
    <row r="60879" hidden="1" x14ac:dyDescent="0.15"/>
    <row r="60880" hidden="1" x14ac:dyDescent="0.15"/>
    <row r="60881" hidden="1" x14ac:dyDescent="0.15"/>
    <row r="60882" hidden="1" x14ac:dyDescent="0.15"/>
    <row r="60883" hidden="1" x14ac:dyDescent="0.15"/>
    <row r="60884" hidden="1" x14ac:dyDescent="0.15"/>
    <row r="60885" hidden="1" x14ac:dyDescent="0.15"/>
    <row r="60886" hidden="1" x14ac:dyDescent="0.15"/>
    <row r="60887" hidden="1" x14ac:dyDescent="0.15"/>
    <row r="60888" hidden="1" x14ac:dyDescent="0.15"/>
    <row r="60889" hidden="1" x14ac:dyDescent="0.15"/>
    <row r="60890" hidden="1" x14ac:dyDescent="0.15"/>
    <row r="60891" hidden="1" x14ac:dyDescent="0.15"/>
    <row r="60892" hidden="1" x14ac:dyDescent="0.15"/>
    <row r="60893" hidden="1" x14ac:dyDescent="0.15"/>
    <row r="60894" hidden="1" x14ac:dyDescent="0.15"/>
    <row r="60895" hidden="1" x14ac:dyDescent="0.15"/>
    <row r="60896" hidden="1" x14ac:dyDescent="0.15"/>
    <row r="60897" hidden="1" x14ac:dyDescent="0.15"/>
    <row r="60898" hidden="1" x14ac:dyDescent="0.15"/>
    <row r="60899" hidden="1" x14ac:dyDescent="0.15"/>
    <row r="60900" hidden="1" x14ac:dyDescent="0.15"/>
    <row r="60901" hidden="1" x14ac:dyDescent="0.15"/>
    <row r="60902" hidden="1" x14ac:dyDescent="0.15"/>
    <row r="60903" hidden="1" x14ac:dyDescent="0.15"/>
    <row r="60904" hidden="1" x14ac:dyDescent="0.15"/>
    <row r="60905" hidden="1" x14ac:dyDescent="0.15"/>
    <row r="60906" hidden="1" x14ac:dyDescent="0.15"/>
    <row r="60907" hidden="1" x14ac:dyDescent="0.15"/>
    <row r="60908" hidden="1" x14ac:dyDescent="0.15"/>
    <row r="60909" hidden="1" x14ac:dyDescent="0.15"/>
    <row r="60910" hidden="1" x14ac:dyDescent="0.15"/>
    <row r="60911" hidden="1" x14ac:dyDescent="0.15"/>
    <row r="60912" hidden="1" x14ac:dyDescent="0.15"/>
    <row r="60913" hidden="1" x14ac:dyDescent="0.15"/>
    <row r="60914" hidden="1" x14ac:dyDescent="0.15"/>
    <row r="60915" hidden="1" x14ac:dyDescent="0.15"/>
    <row r="60916" hidden="1" x14ac:dyDescent="0.15"/>
    <row r="60917" hidden="1" x14ac:dyDescent="0.15"/>
    <row r="60918" hidden="1" x14ac:dyDescent="0.15"/>
    <row r="60919" hidden="1" x14ac:dyDescent="0.15"/>
    <row r="60920" hidden="1" x14ac:dyDescent="0.15"/>
    <row r="60921" hidden="1" x14ac:dyDescent="0.15"/>
    <row r="60922" hidden="1" x14ac:dyDescent="0.15"/>
    <row r="60923" hidden="1" x14ac:dyDescent="0.15"/>
    <row r="60924" hidden="1" x14ac:dyDescent="0.15"/>
    <row r="60925" hidden="1" x14ac:dyDescent="0.15"/>
    <row r="60926" hidden="1" x14ac:dyDescent="0.15"/>
    <row r="60927" hidden="1" x14ac:dyDescent="0.15"/>
    <row r="60928" hidden="1" x14ac:dyDescent="0.15"/>
    <row r="60929" hidden="1" x14ac:dyDescent="0.15"/>
    <row r="60930" hidden="1" x14ac:dyDescent="0.15"/>
    <row r="60931" hidden="1" x14ac:dyDescent="0.15"/>
    <row r="60932" hidden="1" x14ac:dyDescent="0.15"/>
    <row r="60933" hidden="1" x14ac:dyDescent="0.15"/>
    <row r="60934" hidden="1" x14ac:dyDescent="0.15"/>
    <row r="60935" hidden="1" x14ac:dyDescent="0.15"/>
    <row r="60936" hidden="1" x14ac:dyDescent="0.15"/>
    <row r="60937" hidden="1" x14ac:dyDescent="0.15"/>
    <row r="60938" hidden="1" x14ac:dyDescent="0.15"/>
    <row r="60939" hidden="1" x14ac:dyDescent="0.15"/>
    <row r="60940" hidden="1" x14ac:dyDescent="0.15"/>
    <row r="60941" hidden="1" x14ac:dyDescent="0.15"/>
    <row r="60942" hidden="1" x14ac:dyDescent="0.15"/>
    <row r="60943" hidden="1" x14ac:dyDescent="0.15"/>
    <row r="60944" hidden="1" x14ac:dyDescent="0.15"/>
    <row r="60945" hidden="1" x14ac:dyDescent="0.15"/>
    <row r="60946" hidden="1" x14ac:dyDescent="0.15"/>
    <row r="60947" hidden="1" x14ac:dyDescent="0.15"/>
    <row r="60948" hidden="1" x14ac:dyDescent="0.15"/>
    <row r="60949" hidden="1" x14ac:dyDescent="0.15"/>
    <row r="60950" hidden="1" x14ac:dyDescent="0.15"/>
    <row r="60951" hidden="1" x14ac:dyDescent="0.15"/>
    <row r="60952" hidden="1" x14ac:dyDescent="0.15"/>
    <row r="60953" hidden="1" x14ac:dyDescent="0.15"/>
    <row r="60954" hidden="1" x14ac:dyDescent="0.15"/>
    <row r="60955" hidden="1" x14ac:dyDescent="0.15"/>
    <row r="60956" hidden="1" x14ac:dyDescent="0.15"/>
    <row r="60957" hidden="1" x14ac:dyDescent="0.15"/>
    <row r="60958" hidden="1" x14ac:dyDescent="0.15"/>
    <row r="60959" hidden="1" x14ac:dyDescent="0.15"/>
    <row r="60960" hidden="1" x14ac:dyDescent="0.15"/>
    <row r="60961" hidden="1" x14ac:dyDescent="0.15"/>
    <row r="60962" hidden="1" x14ac:dyDescent="0.15"/>
    <row r="60963" hidden="1" x14ac:dyDescent="0.15"/>
    <row r="60964" hidden="1" x14ac:dyDescent="0.15"/>
    <row r="60965" hidden="1" x14ac:dyDescent="0.15"/>
    <row r="60966" hidden="1" x14ac:dyDescent="0.15"/>
    <row r="60967" hidden="1" x14ac:dyDescent="0.15"/>
    <row r="60968" hidden="1" x14ac:dyDescent="0.15"/>
    <row r="60969" hidden="1" x14ac:dyDescent="0.15"/>
    <row r="60970" hidden="1" x14ac:dyDescent="0.15"/>
    <row r="60971" hidden="1" x14ac:dyDescent="0.15"/>
    <row r="60972" hidden="1" x14ac:dyDescent="0.15"/>
    <row r="60973" hidden="1" x14ac:dyDescent="0.15"/>
    <row r="60974" hidden="1" x14ac:dyDescent="0.15"/>
    <row r="60975" hidden="1" x14ac:dyDescent="0.15"/>
    <row r="60976" hidden="1" x14ac:dyDescent="0.15"/>
    <row r="60977" hidden="1" x14ac:dyDescent="0.15"/>
    <row r="60978" hidden="1" x14ac:dyDescent="0.15"/>
    <row r="60979" hidden="1" x14ac:dyDescent="0.15"/>
    <row r="60980" hidden="1" x14ac:dyDescent="0.15"/>
    <row r="60981" hidden="1" x14ac:dyDescent="0.15"/>
    <row r="60982" hidden="1" x14ac:dyDescent="0.15"/>
    <row r="60983" hidden="1" x14ac:dyDescent="0.15"/>
    <row r="60984" hidden="1" x14ac:dyDescent="0.15"/>
    <row r="60985" hidden="1" x14ac:dyDescent="0.15"/>
    <row r="60986" hidden="1" x14ac:dyDescent="0.15"/>
    <row r="60987" hidden="1" x14ac:dyDescent="0.15"/>
    <row r="60988" hidden="1" x14ac:dyDescent="0.15"/>
    <row r="60989" hidden="1" x14ac:dyDescent="0.15"/>
    <row r="60990" hidden="1" x14ac:dyDescent="0.15"/>
    <row r="60991" hidden="1" x14ac:dyDescent="0.15"/>
    <row r="60992" hidden="1" x14ac:dyDescent="0.15"/>
    <row r="60993" hidden="1" x14ac:dyDescent="0.15"/>
    <row r="60994" hidden="1" x14ac:dyDescent="0.15"/>
    <row r="60995" hidden="1" x14ac:dyDescent="0.15"/>
    <row r="60996" hidden="1" x14ac:dyDescent="0.15"/>
    <row r="60997" hidden="1" x14ac:dyDescent="0.15"/>
    <row r="60998" hidden="1" x14ac:dyDescent="0.15"/>
    <row r="60999" hidden="1" x14ac:dyDescent="0.15"/>
    <row r="61000" hidden="1" x14ac:dyDescent="0.15"/>
    <row r="61001" hidden="1" x14ac:dyDescent="0.15"/>
    <row r="61002" hidden="1" x14ac:dyDescent="0.15"/>
    <row r="61003" hidden="1" x14ac:dyDescent="0.15"/>
    <row r="61004" hidden="1" x14ac:dyDescent="0.15"/>
    <row r="61005" hidden="1" x14ac:dyDescent="0.15"/>
    <row r="61006" hidden="1" x14ac:dyDescent="0.15"/>
    <row r="61007" hidden="1" x14ac:dyDescent="0.15"/>
    <row r="61008" hidden="1" x14ac:dyDescent="0.15"/>
    <row r="61009" hidden="1" x14ac:dyDescent="0.15"/>
    <row r="61010" hidden="1" x14ac:dyDescent="0.15"/>
    <row r="61011" hidden="1" x14ac:dyDescent="0.15"/>
    <row r="61012" hidden="1" x14ac:dyDescent="0.15"/>
    <row r="61013" hidden="1" x14ac:dyDescent="0.15"/>
    <row r="61014" hidden="1" x14ac:dyDescent="0.15"/>
    <row r="61015" hidden="1" x14ac:dyDescent="0.15"/>
    <row r="61016" hidden="1" x14ac:dyDescent="0.15"/>
    <row r="61017" hidden="1" x14ac:dyDescent="0.15"/>
    <row r="61018" hidden="1" x14ac:dyDescent="0.15"/>
    <row r="61019" hidden="1" x14ac:dyDescent="0.15"/>
    <row r="61020" hidden="1" x14ac:dyDescent="0.15"/>
    <row r="61021" hidden="1" x14ac:dyDescent="0.15"/>
    <row r="61022" hidden="1" x14ac:dyDescent="0.15"/>
    <row r="61023" hidden="1" x14ac:dyDescent="0.15"/>
    <row r="61024" hidden="1" x14ac:dyDescent="0.15"/>
    <row r="61025" hidden="1" x14ac:dyDescent="0.15"/>
    <row r="61026" hidden="1" x14ac:dyDescent="0.15"/>
    <row r="61027" hidden="1" x14ac:dyDescent="0.15"/>
    <row r="61028" hidden="1" x14ac:dyDescent="0.15"/>
    <row r="61029" hidden="1" x14ac:dyDescent="0.15"/>
    <row r="61030" hidden="1" x14ac:dyDescent="0.15"/>
    <row r="61031" hidden="1" x14ac:dyDescent="0.15"/>
    <row r="61032" hidden="1" x14ac:dyDescent="0.15"/>
    <row r="61033" hidden="1" x14ac:dyDescent="0.15"/>
    <row r="61034" hidden="1" x14ac:dyDescent="0.15"/>
    <row r="61035" hidden="1" x14ac:dyDescent="0.15"/>
    <row r="61036" hidden="1" x14ac:dyDescent="0.15"/>
    <row r="61037" hidden="1" x14ac:dyDescent="0.15"/>
    <row r="61038" hidden="1" x14ac:dyDescent="0.15"/>
    <row r="61039" hidden="1" x14ac:dyDescent="0.15"/>
    <row r="61040" hidden="1" x14ac:dyDescent="0.15"/>
    <row r="61041" hidden="1" x14ac:dyDescent="0.15"/>
    <row r="61042" hidden="1" x14ac:dyDescent="0.15"/>
    <row r="61043" hidden="1" x14ac:dyDescent="0.15"/>
    <row r="61044" hidden="1" x14ac:dyDescent="0.15"/>
    <row r="61045" hidden="1" x14ac:dyDescent="0.15"/>
    <row r="61046" hidden="1" x14ac:dyDescent="0.15"/>
    <row r="61047" hidden="1" x14ac:dyDescent="0.15"/>
    <row r="61048" hidden="1" x14ac:dyDescent="0.15"/>
    <row r="61049" hidden="1" x14ac:dyDescent="0.15"/>
    <row r="61050" hidden="1" x14ac:dyDescent="0.15"/>
    <row r="61051" hidden="1" x14ac:dyDescent="0.15"/>
    <row r="61052" hidden="1" x14ac:dyDescent="0.15"/>
    <row r="61053" hidden="1" x14ac:dyDescent="0.15"/>
    <row r="61054" hidden="1" x14ac:dyDescent="0.15"/>
    <row r="61055" hidden="1" x14ac:dyDescent="0.15"/>
    <row r="61056" hidden="1" x14ac:dyDescent="0.15"/>
    <row r="61057" hidden="1" x14ac:dyDescent="0.15"/>
    <row r="61058" hidden="1" x14ac:dyDescent="0.15"/>
    <row r="61059" hidden="1" x14ac:dyDescent="0.15"/>
    <row r="61060" hidden="1" x14ac:dyDescent="0.15"/>
    <row r="61061" hidden="1" x14ac:dyDescent="0.15"/>
    <row r="61062" hidden="1" x14ac:dyDescent="0.15"/>
    <row r="61063" hidden="1" x14ac:dyDescent="0.15"/>
    <row r="61064" hidden="1" x14ac:dyDescent="0.15"/>
    <row r="61065" hidden="1" x14ac:dyDescent="0.15"/>
    <row r="61066" hidden="1" x14ac:dyDescent="0.15"/>
    <row r="61067" hidden="1" x14ac:dyDescent="0.15"/>
    <row r="61068" hidden="1" x14ac:dyDescent="0.15"/>
    <row r="61069" hidden="1" x14ac:dyDescent="0.15"/>
    <row r="61070" hidden="1" x14ac:dyDescent="0.15"/>
    <row r="61071" hidden="1" x14ac:dyDescent="0.15"/>
    <row r="61072" hidden="1" x14ac:dyDescent="0.15"/>
    <row r="61073" hidden="1" x14ac:dyDescent="0.15"/>
    <row r="61074" hidden="1" x14ac:dyDescent="0.15"/>
    <row r="61075" hidden="1" x14ac:dyDescent="0.15"/>
    <row r="61076" hidden="1" x14ac:dyDescent="0.15"/>
    <row r="61077" hidden="1" x14ac:dyDescent="0.15"/>
    <row r="61078" hidden="1" x14ac:dyDescent="0.15"/>
    <row r="61079" hidden="1" x14ac:dyDescent="0.15"/>
    <row r="61080" hidden="1" x14ac:dyDescent="0.15"/>
    <row r="61081" hidden="1" x14ac:dyDescent="0.15"/>
    <row r="61082" hidden="1" x14ac:dyDescent="0.15"/>
    <row r="61083" hidden="1" x14ac:dyDescent="0.15"/>
    <row r="61084" hidden="1" x14ac:dyDescent="0.15"/>
    <row r="61085" hidden="1" x14ac:dyDescent="0.15"/>
    <row r="61086" hidden="1" x14ac:dyDescent="0.15"/>
    <row r="61087" hidden="1" x14ac:dyDescent="0.15"/>
    <row r="61088" hidden="1" x14ac:dyDescent="0.15"/>
    <row r="61089" hidden="1" x14ac:dyDescent="0.15"/>
    <row r="61090" hidden="1" x14ac:dyDescent="0.15"/>
    <row r="61091" hidden="1" x14ac:dyDescent="0.15"/>
    <row r="61092" hidden="1" x14ac:dyDescent="0.15"/>
    <row r="61093" hidden="1" x14ac:dyDescent="0.15"/>
    <row r="61094" hidden="1" x14ac:dyDescent="0.15"/>
    <row r="61095" hidden="1" x14ac:dyDescent="0.15"/>
    <row r="61096" hidden="1" x14ac:dyDescent="0.15"/>
    <row r="61097" hidden="1" x14ac:dyDescent="0.15"/>
    <row r="61098" hidden="1" x14ac:dyDescent="0.15"/>
    <row r="61099" hidden="1" x14ac:dyDescent="0.15"/>
    <row r="61100" hidden="1" x14ac:dyDescent="0.15"/>
    <row r="61101" hidden="1" x14ac:dyDescent="0.15"/>
    <row r="61102" hidden="1" x14ac:dyDescent="0.15"/>
    <row r="61103" hidden="1" x14ac:dyDescent="0.15"/>
    <row r="61104" hidden="1" x14ac:dyDescent="0.15"/>
    <row r="61105" hidden="1" x14ac:dyDescent="0.15"/>
    <row r="61106" hidden="1" x14ac:dyDescent="0.15"/>
    <row r="61107" hidden="1" x14ac:dyDescent="0.15"/>
    <row r="61108" hidden="1" x14ac:dyDescent="0.15"/>
    <row r="61109" hidden="1" x14ac:dyDescent="0.15"/>
    <row r="61110" hidden="1" x14ac:dyDescent="0.15"/>
    <row r="61111" hidden="1" x14ac:dyDescent="0.15"/>
    <row r="61112" hidden="1" x14ac:dyDescent="0.15"/>
    <row r="61113" hidden="1" x14ac:dyDescent="0.15"/>
    <row r="61114" hidden="1" x14ac:dyDescent="0.15"/>
    <row r="61115" hidden="1" x14ac:dyDescent="0.15"/>
    <row r="61116" hidden="1" x14ac:dyDescent="0.15"/>
    <row r="61117" hidden="1" x14ac:dyDescent="0.15"/>
    <row r="61118" hidden="1" x14ac:dyDescent="0.15"/>
    <row r="61119" hidden="1" x14ac:dyDescent="0.15"/>
    <row r="61120" hidden="1" x14ac:dyDescent="0.15"/>
    <row r="61121" hidden="1" x14ac:dyDescent="0.15"/>
    <row r="61122" hidden="1" x14ac:dyDescent="0.15"/>
    <row r="61123" hidden="1" x14ac:dyDescent="0.15"/>
    <row r="61124" hidden="1" x14ac:dyDescent="0.15"/>
    <row r="61125" hidden="1" x14ac:dyDescent="0.15"/>
    <row r="61126" hidden="1" x14ac:dyDescent="0.15"/>
    <row r="61127" hidden="1" x14ac:dyDescent="0.15"/>
    <row r="61128" hidden="1" x14ac:dyDescent="0.15"/>
    <row r="61129" hidden="1" x14ac:dyDescent="0.15"/>
    <row r="61130" hidden="1" x14ac:dyDescent="0.15"/>
    <row r="61131" hidden="1" x14ac:dyDescent="0.15"/>
    <row r="61132" hidden="1" x14ac:dyDescent="0.15"/>
    <row r="61133" hidden="1" x14ac:dyDescent="0.15"/>
    <row r="61134" hidden="1" x14ac:dyDescent="0.15"/>
    <row r="61135" hidden="1" x14ac:dyDescent="0.15"/>
    <row r="61136" hidden="1" x14ac:dyDescent="0.15"/>
    <row r="61137" hidden="1" x14ac:dyDescent="0.15"/>
    <row r="61138" hidden="1" x14ac:dyDescent="0.15"/>
    <row r="61139" hidden="1" x14ac:dyDescent="0.15"/>
    <row r="61140" hidden="1" x14ac:dyDescent="0.15"/>
    <row r="61141" hidden="1" x14ac:dyDescent="0.15"/>
    <row r="61142" hidden="1" x14ac:dyDescent="0.15"/>
    <row r="61143" hidden="1" x14ac:dyDescent="0.15"/>
    <row r="61144" hidden="1" x14ac:dyDescent="0.15"/>
    <row r="61145" hidden="1" x14ac:dyDescent="0.15"/>
    <row r="61146" hidden="1" x14ac:dyDescent="0.15"/>
    <row r="61147" hidden="1" x14ac:dyDescent="0.15"/>
    <row r="61148" hidden="1" x14ac:dyDescent="0.15"/>
    <row r="61149" hidden="1" x14ac:dyDescent="0.15"/>
    <row r="61150" hidden="1" x14ac:dyDescent="0.15"/>
    <row r="61151" hidden="1" x14ac:dyDescent="0.15"/>
    <row r="61152" hidden="1" x14ac:dyDescent="0.15"/>
    <row r="61153" hidden="1" x14ac:dyDescent="0.15"/>
    <row r="61154" hidden="1" x14ac:dyDescent="0.15"/>
    <row r="61155" hidden="1" x14ac:dyDescent="0.15"/>
    <row r="61156" hidden="1" x14ac:dyDescent="0.15"/>
    <row r="61157" hidden="1" x14ac:dyDescent="0.15"/>
    <row r="61158" hidden="1" x14ac:dyDescent="0.15"/>
    <row r="61159" hidden="1" x14ac:dyDescent="0.15"/>
    <row r="61160" hidden="1" x14ac:dyDescent="0.15"/>
    <row r="61161" hidden="1" x14ac:dyDescent="0.15"/>
    <row r="61162" hidden="1" x14ac:dyDescent="0.15"/>
    <row r="61163" hidden="1" x14ac:dyDescent="0.15"/>
    <row r="61164" hidden="1" x14ac:dyDescent="0.15"/>
    <row r="61165" hidden="1" x14ac:dyDescent="0.15"/>
    <row r="61166" hidden="1" x14ac:dyDescent="0.15"/>
    <row r="61167" hidden="1" x14ac:dyDescent="0.15"/>
    <row r="61168" hidden="1" x14ac:dyDescent="0.15"/>
    <row r="61169" hidden="1" x14ac:dyDescent="0.15"/>
    <row r="61170" hidden="1" x14ac:dyDescent="0.15"/>
    <row r="61171" hidden="1" x14ac:dyDescent="0.15"/>
    <row r="61172" hidden="1" x14ac:dyDescent="0.15"/>
    <row r="61173" hidden="1" x14ac:dyDescent="0.15"/>
    <row r="61174" hidden="1" x14ac:dyDescent="0.15"/>
    <row r="61175" hidden="1" x14ac:dyDescent="0.15"/>
    <row r="61176" hidden="1" x14ac:dyDescent="0.15"/>
    <row r="61177" hidden="1" x14ac:dyDescent="0.15"/>
    <row r="61178" hidden="1" x14ac:dyDescent="0.15"/>
    <row r="61179" hidden="1" x14ac:dyDescent="0.15"/>
    <row r="61180" hidden="1" x14ac:dyDescent="0.15"/>
    <row r="61181" hidden="1" x14ac:dyDescent="0.15"/>
    <row r="61182" hidden="1" x14ac:dyDescent="0.15"/>
    <row r="61183" hidden="1" x14ac:dyDescent="0.15"/>
    <row r="61184" hidden="1" x14ac:dyDescent="0.15"/>
    <row r="61185" hidden="1" x14ac:dyDescent="0.15"/>
    <row r="61186" hidden="1" x14ac:dyDescent="0.15"/>
    <row r="61187" hidden="1" x14ac:dyDescent="0.15"/>
    <row r="61188" hidden="1" x14ac:dyDescent="0.15"/>
    <row r="61189" hidden="1" x14ac:dyDescent="0.15"/>
    <row r="61190" hidden="1" x14ac:dyDescent="0.15"/>
    <row r="61191" hidden="1" x14ac:dyDescent="0.15"/>
    <row r="61192" hidden="1" x14ac:dyDescent="0.15"/>
    <row r="61193" hidden="1" x14ac:dyDescent="0.15"/>
    <row r="61194" hidden="1" x14ac:dyDescent="0.15"/>
    <row r="61195" hidden="1" x14ac:dyDescent="0.15"/>
    <row r="61196" hidden="1" x14ac:dyDescent="0.15"/>
    <row r="61197" hidden="1" x14ac:dyDescent="0.15"/>
    <row r="61198" hidden="1" x14ac:dyDescent="0.15"/>
    <row r="61199" hidden="1" x14ac:dyDescent="0.15"/>
    <row r="61200" hidden="1" x14ac:dyDescent="0.15"/>
    <row r="61201" hidden="1" x14ac:dyDescent="0.15"/>
    <row r="61202" hidden="1" x14ac:dyDescent="0.15"/>
    <row r="61203" hidden="1" x14ac:dyDescent="0.15"/>
    <row r="61204" hidden="1" x14ac:dyDescent="0.15"/>
    <row r="61205" hidden="1" x14ac:dyDescent="0.15"/>
    <row r="61206" hidden="1" x14ac:dyDescent="0.15"/>
    <row r="61207" hidden="1" x14ac:dyDescent="0.15"/>
    <row r="61208" hidden="1" x14ac:dyDescent="0.15"/>
    <row r="61209" hidden="1" x14ac:dyDescent="0.15"/>
    <row r="61210" hidden="1" x14ac:dyDescent="0.15"/>
    <row r="61211" hidden="1" x14ac:dyDescent="0.15"/>
    <row r="61212" hidden="1" x14ac:dyDescent="0.15"/>
    <row r="61213" hidden="1" x14ac:dyDescent="0.15"/>
    <row r="61214" hidden="1" x14ac:dyDescent="0.15"/>
    <row r="61215" hidden="1" x14ac:dyDescent="0.15"/>
    <row r="61216" hidden="1" x14ac:dyDescent="0.15"/>
    <row r="61217" hidden="1" x14ac:dyDescent="0.15"/>
    <row r="61218" hidden="1" x14ac:dyDescent="0.15"/>
    <row r="61219" hidden="1" x14ac:dyDescent="0.15"/>
    <row r="61220" hidden="1" x14ac:dyDescent="0.15"/>
    <row r="61221" hidden="1" x14ac:dyDescent="0.15"/>
    <row r="61222" hidden="1" x14ac:dyDescent="0.15"/>
    <row r="61223" hidden="1" x14ac:dyDescent="0.15"/>
    <row r="61224" hidden="1" x14ac:dyDescent="0.15"/>
    <row r="61225" hidden="1" x14ac:dyDescent="0.15"/>
    <row r="61226" hidden="1" x14ac:dyDescent="0.15"/>
    <row r="61227" hidden="1" x14ac:dyDescent="0.15"/>
    <row r="61228" hidden="1" x14ac:dyDescent="0.15"/>
    <row r="61229" hidden="1" x14ac:dyDescent="0.15"/>
    <row r="61230" hidden="1" x14ac:dyDescent="0.15"/>
    <row r="61231" hidden="1" x14ac:dyDescent="0.15"/>
    <row r="61232" hidden="1" x14ac:dyDescent="0.15"/>
    <row r="61233" hidden="1" x14ac:dyDescent="0.15"/>
    <row r="61234" hidden="1" x14ac:dyDescent="0.15"/>
    <row r="61235" hidden="1" x14ac:dyDescent="0.15"/>
    <row r="61236" hidden="1" x14ac:dyDescent="0.15"/>
    <row r="61237" hidden="1" x14ac:dyDescent="0.15"/>
    <row r="61238" hidden="1" x14ac:dyDescent="0.15"/>
    <row r="61239" hidden="1" x14ac:dyDescent="0.15"/>
    <row r="61240" hidden="1" x14ac:dyDescent="0.15"/>
    <row r="61241" hidden="1" x14ac:dyDescent="0.15"/>
    <row r="61242" hidden="1" x14ac:dyDescent="0.15"/>
    <row r="61243" hidden="1" x14ac:dyDescent="0.15"/>
    <row r="61244" hidden="1" x14ac:dyDescent="0.15"/>
    <row r="61245" hidden="1" x14ac:dyDescent="0.15"/>
    <row r="61246" hidden="1" x14ac:dyDescent="0.15"/>
    <row r="61247" hidden="1" x14ac:dyDescent="0.15"/>
    <row r="61248" hidden="1" x14ac:dyDescent="0.15"/>
    <row r="61249" hidden="1" x14ac:dyDescent="0.15"/>
    <row r="61250" hidden="1" x14ac:dyDescent="0.15"/>
    <row r="61251" hidden="1" x14ac:dyDescent="0.15"/>
    <row r="61252" hidden="1" x14ac:dyDescent="0.15"/>
    <row r="61253" hidden="1" x14ac:dyDescent="0.15"/>
    <row r="61254" hidden="1" x14ac:dyDescent="0.15"/>
    <row r="61255" hidden="1" x14ac:dyDescent="0.15"/>
    <row r="61256" hidden="1" x14ac:dyDescent="0.15"/>
    <row r="61257" hidden="1" x14ac:dyDescent="0.15"/>
    <row r="61258" hidden="1" x14ac:dyDescent="0.15"/>
    <row r="61259" hidden="1" x14ac:dyDescent="0.15"/>
    <row r="61260" hidden="1" x14ac:dyDescent="0.15"/>
    <row r="61261" hidden="1" x14ac:dyDescent="0.15"/>
    <row r="61262" hidden="1" x14ac:dyDescent="0.15"/>
    <row r="61263" hidden="1" x14ac:dyDescent="0.15"/>
    <row r="61264" hidden="1" x14ac:dyDescent="0.15"/>
    <row r="61265" hidden="1" x14ac:dyDescent="0.15"/>
    <row r="61266" hidden="1" x14ac:dyDescent="0.15"/>
    <row r="61267" hidden="1" x14ac:dyDescent="0.15"/>
    <row r="61268" hidden="1" x14ac:dyDescent="0.15"/>
    <row r="61269" hidden="1" x14ac:dyDescent="0.15"/>
    <row r="61270" hidden="1" x14ac:dyDescent="0.15"/>
    <row r="61271" hidden="1" x14ac:dyDescent="0.15"/>
    <row r="61272" hidden="1" x14ac:dyDescent="0.15"/>
    <row r="61273" hidden="1" x14ac:dyDescent="0.15"/>
    <row r="61274" hidden="1" x14ac:dyDescent="0.15"/>
    <row r="61275" hidden="1" x14ac:dyDescent="0.15"/>
    <row r="61276" hidden="1" x14ac:dyDescent="0.15"/>
    <row r="61277" hidden="1" x14ac:dyDescent="0.15"/>
    <row r="61278" hidden="1" x14ac:dyDescent="0.15"/>
    <row r="61279" hidden="1" x14ac:dyDescent="0.15"/>
    <row r="61280" hidden="1" x14ac:dyDescent="0.15"/>
    <row r="61281" hidden="1" x14ac:dyDescent="0.15"/>
    <row r="61282" hidden="1" x14ac:dyDescent="0.15"/>
    <row r="61283" hidden="1" x14ac:dyDescent="0.15"/>
    <row r="61284" hidden="1" x14ac:dyDescent="0.15"/>
    <row r="61285" hidden="1" x14ac:dyDescent="0.15"/>
    <row r="61286" hidden="1" x14ac:dyDescent="0.15"/>
    <row r="61287" hidden="1" x14ac:dyDescent="0.15"/>
    <row r="61288" hidden="1" x14ac:dyDescent="0.15"/>
    <row r="61289" hidden="1" x14ac:dyDescent="0.15"/>
    <row r="61290" hidden="1" x14ac:dyDescent="0.15"/>
    <row r="61291" hidden="1" x14ac:dyDescent="0.15"/>
    <row r="61292" hidden="1" x14ac:dyDescent="0.15"/>
    <row r="61293" hidden="1" x14ac:dyDescent="0.15"/>
    <row r="61294" hidden="1" x14ac:dyDescent="0.15"/>
    <row r="61295" hidden="1" x14ac:dyDescent="0.15"/>
    <row r="61296" hidden="1" x14ac:dyDescent="0.15"/>
    <row r="61297" hidden="1" x14ac:dyDescent="0.15"/>
    <row r="61298" hidden="1" x14ac:dyDescent="0.15"/>
    <row r="61299" hidden="1" x14ac:dyDescent="0.15"/>
    <row r="61300" hidden="1" x14ac:dyDescent="0.15"/>
    <row r="61301" hidden="1" x14ac:dyDescent="0.15"/>
    <row r="61302" hidden="1" x14ac:dyDescent="0.15"/>
    <row r="61303" hidden="1" x14ac:dyDescent="0.15"/>
    <row r="61304" hidden="1" x14ac:dyDescent="0.15"/>
    <row r="61305" hidden="1" x14ac:dyDescent="0.15"/>
    <row r="61306" hidden="1" x14ac:dyDescent="0.15"/>
    <row r="61307" hidden="1" x14ac:dyDescent="0.15"/>
    <row r="61308" hidden="1" x14ac:dyDescent="0.15"/>
    <row r="61309" hidden="1" x14ac:dyDescent="0.15"/>
    <row r="61310" hidden="1" x14ac:dyDescent="0.15"/>
    <row r="61311" hidden="1" x14ac:dyDescent="0.15"/>
    <row r="61312" hidden="1" x14ac:dyDescent="0.15"/>
    <row r="61313" hidden="1" x14ac:dyDescent="0.15"/>
    <row r="61314" hidden="1" x14ac:dyDescent="0.15"/>
    <row r="61315" hidden="1" x14ac:dyDescent="0.15"/>
    <row r="61316" hidden="1" x14ac:dyDescent="0.15"/>
    <row r="61317" hidden="1" x14ac:dyDescent="0.15"/>
    <row r="61318" hidden="1" x14ac:dyDescent="0.15"/>
    <row r="61319" hidden="1" x14ac:dyDescent="0.15"/>
    <row r="61320" hidden="1" x14ac:dyDescent="0.15"/>
    <row r="61321" hidden="1" x14ac:dyDescent="0.15"/>
    <row r="61322" hidden="1" x14ac:dyDescent="0.15"/>
    <row r="61323" hidden="1" x14ac:dyDescent="0.15"/>
    <row r="61324" hidden="1" x14ac:dyDescent="0.15"/>
    <row r="61325" hidden="1" x14ac:dyDescent="0.15"/>
    <row r="61326" hidden="1" x14ac:dyDescent="0.15"/>
    <row r="61327" hidden="1" x14ac:dyDescent="0.15"/>
    <row r="61328" hidden="1" x14ac:dyDescent="0.15"/>
    <row r="61329" hidden="1" x14ac:dyDescent="0.15"/>
    <row r="61330" hidden="1" x14ac:dyDescent="0.15"/>
    <row r="61331" hidden="1" x14ac:dyDescent="0.15"/>
    <row r="61332" hidden="1" x14ac:dyDescent="0.15"/>
    <row r="61333" hidden="1" x14ac:dyDescent="0.15"/>
    <row r="61334" hidden="1" x14ac:dyDescent="0.15"/>
    <row r="61335" hidden="1" x14ac:dyDescent="0.15"/>
    <row r="61336" hidden="1" x14ac:dyDescent="0.15"/>
    <row r="61337" hidden="1" x14ac:dyDescent="0.15"/>
    <row r="61338" hidden="1" x14ac:dyDescent="0.15"/>
    <row r="61339" hidden="1" x14ac:dyDescent="0.15"/>
    <row r="61340" hidden="1" x14ac:dyDescent="0.15"/>
    <row r="61341" hidden="1" x14ac:dyDescent="0.15"/>
    <row r="61342" hidden="1" x14ac:dyDescent="0.15"/>
    <row r="61343" hidden="1" x14ac:dyDescent="0.15"/>
    <row r="61344" hidden="1" x14ac:dyDescent="0.15"/>
    <row r="61345" hidden="1" x14ac:dyDescent="0.15"/>
    <row r="61346" hidden="1" x14ac:dyDescent="0.15"/>
    <row r="61347" hidden="1" x14ac:dyDescent="0.15"/>
    <row r="61348" hidden="1" x14ac:dyDescent="0.15"/>
    <row r="61349" hidden="1" x14ac:dyDescent="0.15"/>
    <row r="61350" hidden="1" x14ac:dyDescent="0.15"/>
    <row r="61351" hidden="1" x14ac:dyDescent="0.15"/>
    <row r="61352" hidden="1" x14ac:dyDescent="0.15"/>
    <row r="61353" hidden="1" x14ac:dyDescent="0.15"/>
    <row r="61354" hidden="1" x14ac:dyDescent="0.15"/>
    <row r="61355" hidden="1" x14ac:dyDescent="0.15"/>
    <row r="61356" hidden="1" x14ac:dyDescent="0.15"/>
    <row r="61357" hidden="1" x14ac:dyDescent="0.15"/>
    <row r="61358" hidden="1" x14ac:dyDescent="0.15"/>
    <row r="61359" hidden="1" x14ac:dyDescent="0.15"/>
    <row r="61360" hidden="1" x14ac:dyDescent="0.15"/>
    <row r="61361" hidden="1" x14ac:dyDescent="0.15"/>
    <row r="61362" hidden="1" x14ac:dyDescent="0.15"/>
    <row r="61363" hidden="1" x14ac:dyDescent="0.15"/>
    <row r="61364" hidden="1" x14ac:dyDescent="0.15"/>
    <row r="61365" hidden="1" x14ac:dyDescent="0.15"/>
    <row r="61366" hidden="1" x14ac:dyDescent="0.15"/>
    <row r="61367" hidden="1" x14ac:dyDescent="0.15"/>
    <row r="61368" hidden="1" x14ac:dyDescent="0.15"/>
    <row r="61369" hidden="1" x14ac:dyDescent="0.15"/>
    <row r="61370" hidden="1" x14ac:dyDescent="0.15"/>
    <row r="61371" hidden="1" x14ac:dyDescent="0.15"/>
    <row r="61372" hidden="1" x14ac:dyDescent="0.15"/>
    <row r="61373" hidden="1" x14ac:dyDescent="0.15"/>
    <row r="61374" hidden="1" x14ac:dyDescent="0.15"/>
    <row r="61375" hidden="1" x14ac:dyDescent="0.15"/>
    <row r="61376" hidden="1" x14ac:dyDescent="0.15"/>
    <row r="61377" hidden="1" x14ac:dyDescent="0.15"/>
    <row r="61378" hidden="1" x14ac:dyDescent="0.15"/>
    <row r="61379" hidden="1" x14ac:dyDescent="0.15"/>
    <row r="61380" hidden="1" x14ac:dyDescent="0.15"/>
    <row r="61381" hidden="1" x14ac:dyDescent="0.15"/>
    <row r="61382" hidden="1" x14ac:dyDescent="0.15"/>
    <row r="61383" hidden="1" x14ac:dyDescent="0.15"/>
    <row r="61384" hidden="1" x14ac:dyDescent="0.15"/>
    <row r="61385" hidden="1" x14ac:dyDescent="0.15"/>
    <row r="61386" hidden="1" x14ac:dyDescent="0.15"/>
    <row r="61387" hidden="1" x14ac:dyDescent="0.15"/>
    <row r="61388" hidden="1" x14ac:dyDescent="0.15"/>
    <row r="61389" hidden="1" x14ac:dyDescent="0.15"/>
    <row r="61390" hidden="1" x14ac:dyDescent="0.15"/>
    <row r="61391" hidden="1" x14ac:dyDescent="0.15"/>
    <row r="61392" hidden="1" x14ac:dyDescent="0.15"/>
    <row r="61393" hidden="1" x14ac:dyDescent="0.15"/>
    <row r="61394" hidden="1" x14ac:dyDescent="0.15"/>
    <row r="61395" hidden="1" x14ac:dyDescent="0.15"/>
    <row r="61396" hidden="1" x14ac:dyDescent="0.15"/>
    <row r="61397" hidden="1" x14ac:dyDescent="0.15"/>
    <row r="61398" hidden="1" x14ac:dyDescent="0.15"/>
    <row r="61399" hidden="1" x14ac:dyDescent="0.15"/>
    <row r="61400" hidden="1" x14ac:dyDescent="0.15"/>
    <row r="61401" hidden="1" x14ac:dyDescent="0.15"/>
    <row r="61402" hidden="1" x14ac:dyDescent="0.15"/>
    <row r="61403" hidden="1" x14ac:dyDescent="0.15"/>
    <row r="61404" hidden="1" x14ac:dyDescent="0.15"/>
    <row r="61405" hidden="1" x14ac:dyDescent="0.15"/>
    <row r="61406" hidden="1" x14ac:dyDescent="0.15"/>
    <row r="61407" hidden="1" x14ac:dyDescent="0.15"/>
    <row r="61408" hidden="1" x14ac:dyDescent="0.15"/>
    <row r="61409" hidden="1" x14ac:dyDescent="0.15"/>
    <row r="61410" hidden="1" x14ac:dyDescent="0.15"/>
    <row r="61411" hidden="1" x14ac:dyDescent="0.15"/>
    <row r="61412" hidden="1" x14ac:dyDescent="0.15"/>
    <row r="61413" hidden="1" x14ac:dyDescent="0.15"/>
    <row r="61414" hidden="1" x14ac:dyDescent="0.15"/>
    <row r="61415" hidden="1" x14ac:dyDescent="0.15"/>
    <row r="61416" hidden="1" x14ac:dyDescent="0.15"/>
    <row r="61417" hidden="1" x14ac:dyDescent="0.15"/>
    <row r="61418" hidden="1" x14ac:dyDescent="0.15"/>
    <row r="61419" hidden="1" x14ac:dyDescent="0.15"/>
    <row r="61420" hidden="1" x14ac:dyDescent="0.15"/>
    <row r="61421" hidden="1" x14ac:dyDescent="0.15"/>
    <row r="61422" hidden="1" x14ac:dyDescent="0.15"/>
    <row r="61423" hidden="1" x14ac:dyDescent="0.15"/>
    <row r="61424" hidden="1" x14ac:dyDescent="0.15"/>
    <row r="61425" hidden="1" x14ac:dyDescent="0.15"/>
    <row r="61426" hidden="1" x14ac:dyDescent="0.15"/>
    <row r="61427" hidden="1" x14ac:dyDescent="0.15"/>
    <row r="61428" hidden="1" x14ac:dyDescent="0.15"/>
    <row r="61429" hidden="1" x14ac:dyDescent="0.15"/>
    <row r="61430" hidden="1" x14ac:dyDescent="0.15"/>
    <row r="61431" hidden="1" x14ac:dyDescent="0.15"/>
    <row r="61432" hidden="1" x14ac:dyDescent="0.15"/>
    <row r="61433" hidden="1" x14ac:dyDescent="0.15"/>
    <row r="61434" hidden="1" x14ac:dyDescent="0.15"/>
    <row r="61435" hidden="1" x14ac:dyDescent="0.15"/>
    <row r="61436" hidden="1" x14ac:dyDescent="0.15"/>
    <row r="61437" hidden="1" x14ac:dyDescent="0.15"/>
    <row r="61438" hidden="1" x14ac:dyDescent="0.15"/>
    <row r="61439" hidden="1" x14ac:dyDescent="0.15"/>
    <row r="61440" hidden="1" x14ac:dyDescent="0.15"/>
    <row r="61441" hidden="1" x14ac:dyDescent="0.15"/>
    <row r="61442" hidden="1" x14ac:dyDescent="0.15"/>
    <row r="61443" hidden="1" x14ac:dyDescent="0.15"/>
    <row r="61444" hidden="1" x14ac:dyDescent="0.15"/>
    <row r="61445" hidden="1" x14ac:dyDescent="0.15"/>
    <row r="61446" hidden="1" x14ac:dyDescent="0.15"/>
    <row r="61447" hidden="1" x14ac:dyDescent="0.15"/>
    <row r="61448" hidden="1" x14ac:dyDescent="0.15"/>
    <row r="61449" hidden="1" x14ac:dyDescent="0.15"/>
    <row r="61450" hidden="1" x14ac:dyDescent="0.15"/>
    <row r="61451" hidden="1" x14ac:dyDescent="0.15"/>
    <row r="61452" hidden="1" x14ac:dyDescent="0.15"/>
    <row r="61453" hidden="1" x14ac:dyDescent="0.15"/>
    <row r="61454" hidden="1" x14ac:dyDescent="0.15"/>
    <row r="61455" hidden="1" x14ac:dyDescent="0.15"/>
    <row r="61456" hidden="1" x14ac:dyDescent="0.15"/>
    <row r="61457" hidden="1" x14ac:dyDescent="0.15"/>
    <row r="61458" hidden="1" x14ac:dyDescent="0.15"/>
    <row r="61459" hidden="1" x14ac:dyDescent="0.15"/>
    <row r="61460" hidden="1" x14ac:dyDescent="0.15"/>
    <row r="61461" hidden="1" x14ac:dyDescent="0.15"/>
    <row r="61462" hidden="1" x14ac:dyDescent="0.15"/>
    <row r="61463" hidden="1" x14ac:dyDescent="0.15"/>
    <row r="61464" hidden="1" x14ac:dyDescent="0.15"/>
    <row r="61465" hidden="1" x14ac:dyDescent="0.15"/>
    <row r="61466" hidden="1" x14ac:dyDescent="0.15"/>
    <row r="61467" hidden="1" x14ac:dyDescent="0.15"/>
    <row r="61468" hidden="1" x14ac:dyDescent="0.15"/>
    <row r="61469" hidden="1" x14ac:dyDescent="0.15"/>
    <row r="61470" hidden="1" x14ac:dyDescent="0.15"/>
    <row r="61471" hidden="1" x14ac:dyDescent="0.15"/>
    <row r="61472" hidden="1" x14ac:dyDescent="0.15"/>
    <row r="61473" hidden="1" x14ac:dyDescent="0.15"/>
    <row r="61474" hidden="1" x14ac:dyDescent="0.15"/>
    <row r="61475" hidden="1" x14ac:dyDescent="0.15"/>
    <row r="61476" hidden="1" x14ac:dyDescent="0.15"/>
    <row r="61477" hidden="1" x14ac:dyDescent="0.15"/>
    <row r="61478" hidden="1" x14ac:dyDescent="0.15"/>
    <row r="61479" hidden="1" x14ac:dyDescent="0.15"/>
    <row r="61480" hidden="1" x14ac:dyDescent="0.15"/>
    <row r="61481" hidden="1" x14ac:dyDescent="0.15"/>
    <row r="61482" hidden="1" x14ac:dyDescent="0.15"/>
    <row r="61483" hidden="1" x14ac:dyDescent="0.15"/>
    <row r="61484" hidden="1" x14ac:dyDescent="0.15"/>
    <row r="61485" hidden="1" x14ac:dyDescent="0.15"/>
    <row r="61486" hidden="1" x14ac:dyDescent="0.15"/>
    <row r="61487" hidden="1" x14ac:dyDescent="0.15"/>
    <row r="61488" hidden="1" x14ac:dyDescent="0.15"/>
    <row r="61489" hidden="1" x14ac:dyDescent="0.15"/>
    <row r="61490" hidden="1" x14ac:dyDescent="0.15"/>
    <row r="61491" hidden="1" x14ac:dyDescent="0.15"/>
    <row r="61492" hidden="1" x14ac:dyDescent="0.15"/>
    <row r="61493" hidden="1" x14ac:dyDescent="0.15"/>
    <row r="61494" hidden="1" x14ac:dyDescent="0.15"/>
    <row r="61495" hidden="1" x14ac:dyDescent="0.15"/>
    <row r="61496" hidden="1" x14ac:dyDescent="0.15"/>
    <row r="61497" hidden="1" x14ac:dyDescent="0.15"/>
    <row r="61498" hidden="1" x14ac:dyDescent="0.15"/>
    <row r="61499" hidden="1" x14ac:dyDescent="0.15"/>
    <row r="61500" hidden="1" x14ac:dyDescent="0.15"/>
    <row r="61501" hidden="1" x14ac:dyDescent="0.15"/>
    <row r="61502" hidden="1" x14ac:dyDescent="0.15"/>
    <row r="61503" hidden="1" x14ac:dyDescent="0.15"/>
    <row r="61504" hidden="1" x14ac:dyDescent="0.15"/>
    <row r="61505" hidden="1" x14ac:dyDescent="0.15"/>
    <row r="61506" hidden="1" x14ac:dyDescent="0.15"/>
    <row r="61507" hidden="1" x14ac:dyDescent="0.15"/>
    <row r="61508" hidden="1" x14ac:dyDescent="0.15"/>
    <row r="61509" hidden="1" x14ac:dyDescent="0.15"/>
    <row r="61510" hidden="1" x14ac:dyDescent="0.15"/>
    <row r="61511" hidden="1" x14ac:dyDescent="0.15"/>
    <row r="61512" hidden="1" x14ac:dyDescent="0.15"/>
    <row r="61513" hidden="1" x14ac:dyDescent="0.15"/>
    <row r="61514" hidden="1" x14ac:dyDescent="0.15"/>
    <row r="61515" hidden="1" x14ac:dyDescent="0.15"/>
    <row r="61516" hidden="1" x14ac:dyDescent="0.15"/>
    <row r="61517" hidden="1" x14ac:dyDescent="0.15"/>
    <row r="61518" hidden="1" x14ac:dyDescent="0.15"/>
    <row r="61519" hidden="1" x14ac:dyDescent="0.15"/>
    <row r="61520" hidden="1" x14ac:dyDescent="0.15"/>
    <row r="61521" hidden="1" x14ac:dyDescent="0.15"/>
    <row r="61522" hidden="1" x14ac:dyDescent="0.15"/>
    <row r="61523" hidden="1" x14ac:dyDescent="0.15"/>
    <row r="61524" hidden="1" x14ac:dyDescent="0.15"/>
    <row r="61525" hidden="1" x14ac:dyDescent="0.15"/>
    <row r="61526" hidden="1" x14ac:dyDescent="0.15"/>
    <row r="61527" hidden="1" x14ac:dyDescent="0.15"/>
    <row r="61528" hidden="1" x14ac:dyDescent="0.15"/>
    <row r="61529" hidden="1" x14ac:dyDescent="0.15"/>
    <row r="61530" hidden="1" x14ac:dyDescent="0.15"/>
    <row r="61531" hidden="1" x14ac:dyDescent="0.15"/>
    <row r="61532" hidden="1" x14ac:dyDescent="0.15"/>
    <row r="61533" hidden="1" x14ac:dyDescent="0.15"/>
    <row r="61534" hidden="1" x14ac:dyDescent="0.15"/>
    <row r="61535" hidden="1" x14ac:dyDescent="0.15"/>
    <row r="61536" hidden="1" x14ac:dyDescent="0.15"/>
    <row r="61537" hidden="1" x14ac:dyDescent="0.15"/>
    <row r="61538" hidden="1" x14ac:dyDescent="0.15"/>
    <row r="61539" hidden="1" x14ac:dyDescent="0.15"/>
    <row r="61540" hidden="1" x14ac:dyDescent="0.15"/>
    <row r="61541" hidden="1" x14ac:dyDescent="0.15"/>
    <row r="61542" hidden="1" x14ac:dyDescent="0.15"/>
    <row r="61543" hidden="1" x14ac:dyDescent="0.15"/>
    <row r="61544" hidden="1" x14ac:dyDescent="0.15"/>
    <row r="61545" hidden="1" x14ac:dyDescent="0.15"/>
    <row r="61546" hidden="1" x14ac:dyDescent="0.15"/>
    <row r="61547" hidden="1" x14ac:dyDescent="0.15"/>
    <row r="61548" hidden="1" x14ac:dyDescent="0.15"/>
    <row r="61549" hidden="1" x14ac:dyDescent="0.15"/>
    <row r="61550" hidden="1" x14ac:dyDescent="0.15"/>
    <row r="61551" hidden="1" x14ac:dyDescent="0.15"/>
    <row r="61552" hidden="1" x14ac:dyDescent="0.15"/>
    <row r="61553" hidden="1" x14ac:dyDescent="0.15"/>
    <row r="61554" hidden="1" x14ac:dyDescent="0.15"/>
    <row r="61555" hidden="1" x14ac:dyDescent="0.15"/>
    <row r="61556" hidden="1" x14ac:dyDescent="0.15"/>
    <row r="61557" hidden="1" x14ac:dyDescent="0.15"/>
    <row r="61558" hidden="1" x14ac:dyDescent="0.15"/>
    <row r="61559" hidden="1" x14ac:dyDescent="0.15"/>
    <row r="61560" hidden="1" x14ac:dyDescent="0.15"/>
    <row r="61561" hidden="1" x14ac:dyDescent="0.15"/>
    <row r="61562" hidden="1" x14ac:dyDescent="0.15"/>
    <row r="61563" hidden="1" x14ac:dyDescent="0.15"/>
    <row r="61564" hidden="1" x14ac:dyDescent="0.15"/>
    <row r="61565" hidden="1" x14ac:dyDescent="0.15"/>
    <row r="61566" hidden="1" x14ac:dyDescent="0.15"/>
    <row r="61567" hidden="1" x14ac:dyDescent="0.15"/>
    <row r="61568" hidden="1" x14ac:dyDescent="0.15"/>
    <row r="61569" hidden="1" x14ac:dyDescent="0.15"/>
    <row r="61570" hidden="1" x14ac:dyDescent="0.15"/>
    <row r="61571" hidden="1" x14ac:dyDescent="0.15"/>
    <row r="61572" hidden="1" x14ac:dyDescent="0.15"/>
    <row r="61573" hidden="1" x14ac:dyDescent="0.15"/>
    <row r="61574" hidden="1" x14ac:dyDescent="0.15"/>
    <row r="61575" hidden="1" x14ac:dyDescent="0.15"/>
    <row r="61576" hidden="1" x14ac:dyDescent="0.15"/>
    <row r="61577" hidden="1" x14ac:dyDescent="0.15"/>
    <row r="61578" hidden="1" x14ac:dyDescent="0.15"/>
    <row r="61579" hidden="1" x14ac:dyDescent="0.15"/>
    <row r="61580" hidden="1" x14ac:dyDescent="0.15"/>
    <row r="61581" hidden="1" x14ac:dyDescent="0.15"/>
    <row r="61582" hidden="1" x14ac:dyDescent="0.15"/>
    <row r="61583" hidden="1" x14ac:dyDescent="0.15"/>
    <row r="61584" hidden="1" x14ac:dyDescent="0.15"/>
    <row r="61585" hidden="1" x14ac:dyDescent="0.15"/>
    <row r="61586" hidden="1" x14ac:dyDescent="0.15"/>
    <row r="61587" hidden="1" x14ac:dyDescent="0.15"/>
    <row r="61588" hidden="1" x14ac:dyDescent="0.15"/>
    <row r="61589" hidden="1" x14ac:dyDescent="0.15"/>
    <row r="61590" hidden="1" x14ac:dyDescent="0.15"/>
    <row r="61591" hidden="1" x14ac:dyDescent="0.15"/>
    <row r="61592" hidden="1" x14ac:dyDescent="0.15"/>
    <row r="61593" hidden="1" x14ac:dyDescent="0.15"/>
    <row r="61594" hidden="1" x14ac:dyDescent="0.15"/>
    <row r="61595" hidden="1" x14ac:dyDescent="0.15"/>
    <row r="61596" hidden="1" x14ac:dyDescent="0.15"/>
    <row r="61597" hidden="1" x14ac:dyDescent="0.15"/>
    <row r="61598" hidden="1" x14ac:dyDescent="0.15"/>
    <row r="61599" hidden="1" x14ac:dyDescent="0.15"/>
    <row r="61600" hidden="1" x14ac:dyDescent="0.15"/>
    <row r="61601" hidden="1" x14ac:dyDescent="0.15"/>
    <row r="61602" hidden="1" x14ac:dyDescent="0.15"/>
    <row r="61603" hidden="1" x14ac:dyDescent="0.15"/>
    <row r="61604" hidden="1" x14ac:dyDescent="0.15"/>
    <row r="61605" hidden="1" x14ac:dyDescent="0.15"/>
    <row r="61606" hidden="1" x14ac:dyDescent="0.15"/>
    <row r="61607" hidden="1" x14ac:dyDescent="0.15"/>
    <row r="61608" hidden="1" x14ac:dyDescent="0.15"/>
    <row r="61609" hidden="1" x14ac:dyDescent="0.15"/>
    <row r="61610" hidden="1" x14ac:dyDescent="0.15"/>
    <row r="61611" hidden="1" x14ac:dyDescent="0.15"/>
    <row r="61612" hidden="1" x14ac:dyDescent="0.15"/>
    <row r="61613" hidden="1" x14ac:dyDescent="0.15"/>
    <row r="61614" hidden="1" x14ac:dyDescent="0.15"/>
    <row r="61615" hidden="1" x14ac:dyDescent="0.15"/>
    <row r="61616" hidden="1" x14ac:dyDescent="0.15"/>
    <row r="61617" hidden="1" x14ac:dyDescent="0.15"/>
    <row r="61618" hidden="1" x14ac:dyDescent="0.15"/>
    <row r="61619" hidden="1" x14ac:dyDescent="0.15"/>
    <row r="61620" hidden="1" x14ac:dyDescent="0.15"/>
    <row r="61621" hidden="1" x14ac:dyDescent="0.15"/>
    <row r="61622" hidden="1" x14ac:dyDescent="0.15"/>
    <row r="61623" hidden="1" x14ac:dyDescent="0.15"/>
    <row r="61624" hidden="1" x14ac:dyDescent="0.15"/>
    <row r="61625" hidden="1" x14ac:dyDescent="0.15"/>
    <row r="61626" hidden="1" x14ac:dyDescent="0.15"/>
    <row r="61627" hidden="1" x14ac:dyDescent="0.15"/>
    <row r="61628" hidden="1" x14ac:dyDescent="0.15"/>
    <row r="61629" hidden="1" x14ac:dyDescent="0.15"/>
    <row r="61630" hidden="1" x14ac:dyDescent="0.15"/>
    <row r="61631" hidden="1" x14ac:dyDescent="0.15"/>
    <row r="61632" hidden="1" x14ac:dyDescent="0.15"/>
    <row r="61633" hidden="1" x14ac:dyDescent="0.15"/>
    <row r="61634" hidden="1" x14ac:dyDescent="0.15"/>
    <row r="61635" hidden="1" x14ac:dyDescent="0.15"/>
    <row r="61636" hidden="1" x14ac:dyDescent="0.15"/>
    <row r="61637" hidden="1" x14ac:dyDescent="0.15"/>
    <row r="61638" hidden="1" x14ac:dyDescent="0.15"/>
    <row r="61639" hidden="1" x14ac:dyDescent="0.15"/>
    <row r="61640" hidden="1" x14ac:dyDescent="0.15"/>
    <row r="61641" hidden="1" x14ac:dyDescent="0.15"/>
    <row r="61642" hidden="1" x14ac:dyDescent="0.15"/>
    <row r="61643" hidden="1" x14ac:dyDescent="0.15"/>
    <row r="61644" hidden="1" x14ac:dyDescent="0.15"/>
    <row r="61645" hidden="1" x14ac:dyDescent="0.15"/>
    <row r="61646" hidden="1" x14ac:dyDescent="0.15"/>
    <row r="61647" hidden="1" x14ac:dyDescent="0.15"/>
    <row r="61648" hidden="1" x14ac:dyDescent="0.15"/>
    <row r="61649" hidden="1" x14ac:dyDescent="0.15"/>
    <row r="61650" hidden="1" x14ac:dyDescent="0.15"/>
    <row r="61651" hidden="1" x14ac:dyDescent="0.15"/>
    <row r="61652" hidden="1" x14ac:dyDescent="0.15"/>
    <row r="61653" hidden="1" x14ac:dyDescent="0.15"/>
    <row r="61654" hidden="1" x14ac:dyDescent="0.15"/>
    <row r="61655" hidden="1" x14ac:dyDescent="0.15"/>
    <row r="61656" hidden="1" x14ac:dyDescent="0.15"/>
    <row r="61657" hidden="1" x14ac:dyDescent="0.15"/>
    <row r="61658" hidden="1" x14ac:dyDescent="0.15"/>
    <row r="61659" hidden="1" x14ac:dyDescent="0.15"/>
    <row r="61660" hidden="1" x14ac:dyDescent="0.15"/>
    <row r="61661" hidden="1" x14ac:dyDescent="0.15"/>
    <row r="61662" hidden="1" x14ac:dyDescent="0.15"/>
    <row r="61663" hidden="1" x14ac:dyDescent="0.15"/>
    <row r="61664" hidden="1" x14ac:dyDescent="0.15"/>
    <row r="61665" hidden="1" x14ac:dyDescent="0.15"/>
    <row r="61666" hidden="1" x14ac:dyDescent="0.15"/>
    <row r="61667" hidden="1" x14ac:dyDescent="0.15"/>
    <row r="61668" hidden="1" x14ac:dyDescent="0.15"/>
    <row r="61669" hidden="1" x14ac:dyDescent="0.15"/>
    <row r="61670" hidden="1" x14ac:dyDescent="0.15"/>
    <row r="61671" hidden="1" x14ac:dyDescent="0.15"/>
    <row r="61672" hidden="1" x14ac:dyDescent="0.15"/>
    <row r="61673" hidden="1" x14ac:dyDescent="0.15"/>
    <row r="61674" hidden="1" x14ac:dyDescent="0.15"/>
    <row r="61675" hidden="1" x14ac:dyDescent="0.15"/>
    <row r="61676" hidden="1" x14ac:dyDescent="0.15"/>
    <row r="61677" hidden="1" x14ac:dyDescent="0.15"/>
    <row r="61678" hidden="1" x14ac:dyDescent="0.15"/>
    <row r="61679" hidden="1" x14ac:dyDescent="0.15"/>
    <row r="61680" hidden="1" x14ac:dyDescent="0.15"/>
    <row r="61681" hidden="1" x14ac:dyDescent="0.15"/>
    <row r="61682" hidden="1" x14ac:dyDescent="0.15"/>
    <row r="61683" hidden="1" x14ac:dyDescent="0.15"/>
    <row r="61684" hidden="1" x14ac:dyDescent="0.15"/>
    <row r="61685" hidden="1" x14ac:dyDescent="0.15"/>
    <row r="61686" hidden="1" x14ac:dyDescent="0.15"/>
    <row r="61687" hidden="1" x14ac:dyDescent="0.15"/>
    <row r="61688" hidden="1" x14ac:dyDescent="0.15"/>
    <row r="61689" hidden="1" x14ac:dyDescent="0.15"/>
    <row r="61690" hidden="1" x14ac:dyDescent="0.15"/>
    <row r="61691" hidden="1" x14ac:dyDescent="0.15"/>
    <row r="61692" hidden="1" x14ac:dyDescent="0.15"/>
    <row r="61693" hidden="1" x14ac:dyDescent="0.15"/>
    <row r="61694" hidden="1" x14ac:dyDescent="0.15"/>
    <row r="61695" hidden="1" x14ac:dyDescent="0.15"/>
    <row r="61696" hidden="1" x14ac:dyDescent="0.15"/>
    <row r="61697" hidden="1" x14ac:dyDescent="0.15"/>
    <row r="61698" hidden="1" x14ac:dyDescent="0.15"/>
    <row r="61699" hidden="1" x14ac:dyDescent="0.15"/>
    <row r="61700" hidden="1" x14ac:dyDescent="0.15"/>
    <row r="61701" hidden="1" x14ac:dyDescent="0.15"/>
    <row r="61702" hidden="1" x14ac:dyDescent="0.15"/>
    <row r="61703" hidden="1" x14ac:dyDescent="0.15"/>
    <row r="61704" hidden="1" x14ac:dyDescent="0.15"/>
    <row r="61705" hidden="1" x14ac:dyDescent="0.15"/>
    <row r="61706" hidden="1" x14ac:dyDescent="0.15"/>
    <row r="61707" hidden="1" x14ac:dyDescent="0.15"/>
    <row r="61708" hidden="1" x14ac:dyDescent="0.15"/>
    <row r="61709" hidden="1" x14ac:dyDescent="0.15"/>
    <row r="61710" hidden="1" x14ac:dyDescent="0.15"/>
    <row r="61711" hidden="1" x14ac:dyDescent="0.15"/>
    <row r="61712" hidden="1" x14ac:dyDescent="0.15"/>
    <row r="61713" hidden="1" x14ac:dyDescent="0.15"/>
    <row r="61714" hidden="1" x14ac:dyDescent="0.15"/>
    <row r="61715" hidden="1" x14ac:dyDescent="0.15"/>
    <row r="61716" hidden="1" x14ac:dyDescent="0.15"/>
    <row r="61717" hidden="1" x14ac:dyDescent="0.15"/>
    <row r="61718" hidden="1" x14ac:dyDescent="0.15"/>
    <row r="61719" hidden="1" x14ac:dyDescent="0.15"/>
    <row r="61720" hidden="1" x14ac:dyDescent="0.15"/>
    <row r="61721" hidden="1" x14ac:dyDescent="0.15"/>
    <row r="61722" hidden="1" x14ac:dyDescent="0.15"/>
    <row r="61723" hidden="1" x14ac:dyDescent="0.15"/>
    <row r="61724" hidden="1" x14ac:dyDescent="0.15"/>
    <row r="61725" hidden="1" x14ac:dyDescent="0.15"/>
    <row r="61726" hidden="1" x14ac:dyDescent="0.15"/>
    <row r="61727" hidden="1" x14ac:dyDescent="0.15"/>
    <row r="61728" hidden="1" x14ac:dyDescent="0.15"/>
    <row r="61729" hidden="1" x14ac:dyDescent="0.15"/>
    <row r="61730" hidden="1" x14ac:dyDescent="0.15"/>
    <row r="61731" hidden="1" x14ac:dyDescent="0.15"/>
    <row r="61732" hidden="1" x14ac:dyDescent="0.15"/>
    <row r="61733" hidden="1" x14ac:dyDescent="0.15"/>
    <row r="61734" hidden="1" x14ac:dyDescent="0.15"/>
    <row r="61735" hidden="1" x14ac:dyDescent="0.15"/>
    <row r="61736" hidden="1" x14ac:dyDescent="0.15"/>
    <row r="61737" hidden="1" x14ac:dyDescent="0.15"/>
    <row r="61738" hidden="1" x14ac:dyDescent="0.15"/>
    <row r="61739" hidden="1" x14ac:dyDescent="0.15"/>
    <row r="61740" hidden="1" x14ac:dyDescent="0.15"/>
    <row r="61741" hidden="1" x14ac:dyDescent="0.15"/>
    <row r="61742" hidden="1" x14ac:dyDescent="0.15"/>
    <row r="61743" hidden="1" x14ac:dyDescent="0.15"/>
    <row r="61744" hidden="1" x14ac:dyDescent="0.15"/>
    <row r="61745" hidden="1" x14ac:dyDescent="0.15"/>
    <row r="61746" hidden="1" x14ac:dyDescent="0.15"/>
    <row r="61747" hidden="1" x14ac:dyDescent="0.15"/>
    <row r="61748" hidden="1" x14ac:dyDescent="0.15"/>
    <row r="61749" hidden="1" x14ac:dyDescent="0.15"/>
    <row r="61750" hidden="1" x14ac:dyDescent="0.15"/>
    <row r="61751" hidden="1" x14ac:dyDescent="0.15"/>
    <row r="61752" hidden="1" x14ac:dyDescent="0.15"/>
    <row r="61753" hidden="1" x14ac:dyDescent="0.15"/>
    <row r="61754" hidden="1" x14ac:dyDescent="0.15"/>
    <row r="61755" hidden="1" x14ac:dyDescent="0.15"/>
    <row r="61756" hidden="1" x14ac:dyDescent="0.15"/>
    <row r="61757" hidden="1" x14ac:dyDescent="0.15"/>
    <row r="61758" hidden="1" x14ac:dyDescent="0.15"/>
    <row r="61759" hidden="1" x14ac:dyDescent="0.15"/>
    <row r="61760" hidden="1" x14ac:dyDescent="0.15"/>
    <row r="61761" hidden="1" x14ac:dyDescent="0.15"/>
    <row r="61762" hidden="1" x14ac:dyDescent="0.15"/>
    <row r="61763" hidden="1" x14ac:dyDescent="0.15"/>
    <row r="61764" hidden="1" x14ac:dyDescent="0.15"/>
    <row r="61765" hidden="1" x14ac:dyDescent="0.15"/>
    <row r="61766" hidden="1" x14ac:dyDescent="0.15"/>
    <row r="61767" hidden="1" x14ac:dyDescent="0.15"/>
    <row r="61768" hidden="1" x14ac:dyDescent="0.15"/>
    <row r="61769" hidden="1" x14ac:dyDescent="0.15"/>
    <row r="61770" hidden="1" x14ac:dyDescent="0.15"/>
    <row r="61771" hidden="1" x14ac:dyDescent="0.15"/>
    <row r="61772" hidden="1" x14ac:dyDescent="0.15"/>
    <row r="61773" hidden="1" x14ac:dyDescent="0.15"/>
    <row r="61774" hidden="1" x14ac:dyDescent="0.15"/>
    <row r="61775" hidden="1" x14ac:dyDescent="0.15"/>
    <row r="61776" hidden="1" x14ac:dyDescent="0.15"/>
    <row r="61777" hidden="1" x14ac:dyDescent="0.15"/>
    <row r="61778" hidden="1" x14ac:dyDescent="0.15"/>
    <row r="61779" hidden="1" x14ac:dyDescent="0.15"/>
    <row r="61780" hidden="1" x14ac:dyDescent="0.15"/>
    <row r="61781" hidden="1" x14ac:dyDescent="0.15"/>
    <row r="61782" hidden="1" x14ac:dyDescent="0.15"/>
    <row r="61783" hidden="1" x14ac:dyDescent="0.15"/>
    <row r="61784" hidden="1" x14ac:dyDescent="0.15"/>
    <row r="61785" hidden="1" x14ac:dyDescent="0.15"/>
    <row r="61786" hidden="1" x14ac:dyDescent="0.15"/>
    <row r="61787" hidden="1" x14ac:dyDescent="0.15"/>
    <row r="61788" hidden="1" x14ac:dyDescent="0.15"/>
    <row r="61789" hidden="1" x14ac:dyDescent="0.15"/>
    <row r="61790" hidden="1" x14ac:dyDescent="0.15"/>
    <row r="61791" hidden="1" x14ac:dyDescent="0.15"/>
    <row r="61792" hidden="1" x14ac:dyDescent="0.15"/>
    <row r="61793" hidden="1" x14ac:dyDescent="0.15"/>
    <row r="61794" hidden="1" x14ac:dyDescent="0.15"/>
    <row r="61795" hidden="1" x14ac:dyDescent="0.15"/>
    <row r="61796" hidden="1" x14ac:dyDescent="0.15"/>
    <row r="61797" hidden="1" x14ac:dyDescent="0.15"/>
    <row r="61798" hidden="1" x14ac:dyDescent="0.15"/>
    <row r="61799" hidden="1" x14ac:dyDescent="0.15"/>
    <row r="61800" hidden="1" x14ac:dyDescent="0.15"/>
    <row r="61801" hidden="1" x14ac:dyDescent="0.15"/>
    <row r="61802" hidden="1" x14ac:dyDescent="0.15"/>
    <row r="61803" hidden="1" x14ac:dyDescent="0.15"/>
    <row r="61804" hidden="1" x14ac:dyDescent="0.15"/>
    <row r="61805" hidden="1" x14ac:dyDescent="0.15"/>
    <row r="61806" hidden="1" x14ac:dyDescent="0.15"/>
    <row r="61807" hidden="1" x14ac:dyDescent="0.15"/>
    <row r="61808" hidden="1" x14ac:dyDescent="0.15"/>
    <row r="61809" hidden="1" x14ac:dyDescent="0.15"/>
    <row r="61810" hidden="1" x14ac:dyDescent="0.15"/>
    <row r="61811" hidden="1" x14ac:dyDescent="0.15"/>
    <row r="61812" hidden="1" x14ac:dyDescent="0.15"/>
    <row r="61813" hidden="1" x14ac:dyDescent="0.15"/>
    <row r="61814" hidden="1" x14ac:dyDescent="0.15"/>
    <row r="61815" hidden="1" x14ac:dyDescent="0.15"/>
    <row r="61816" hidden="1" x14ac:dyDescent="0.15"/>
    <row r="61817" hidden="1" x14ac:dyDescent="0.15"/>
    <row r="61818" hidden="1" x14ac:dyDescent="0.15"/>
    <row r="61819" hidden="1" x14ac:dyDescent="0.15"/>
    <row r="61820" hidden="1" x14ac:dyDescent="0.15"/>
    <row r="61821" hidden="1" x14ac:dyDescent="0.15"/>
    <row r="61822" hidden="1" x14ac:dyDescent="0.15"/>
    <row r="61823" hidden="1" x14ac:dyDescent="0.15"/>
    <row r="61824" hidden="1" x14ac:dyDescent="0.15"/>
    <row r="61825" hidden="1" x14ac:dyDescent="0.15"/>
    <row r="61826" hidden="1" x14ac:dyDescent="0.15"/>
    <row r="61827" hidden="1" x14ac:dyDescent="0.15"/>
    <row r="61828" hidden="1" x14ac:dyDescent="0.15"/>
    <row r="61829" hidden="1" x14ac:dyDescent="0.15"/>
    <row r="61830" hidden="1" x14ac:dyDescent="0.15"/>
    <row r="61831" hidden="1" x14ac:dyDescent="0.15"/>
    <row r="61832" hidden="1" x14ac:dyDescent="0.15"/>
    <row r="61833" hidden="1" x14ac:dyDescent="0.15"/>
    <row r="61834" hidden="1" x14ac:dyDescent="0.15"/>
    <row r="61835" hidden="1" x14ac:dyDescent="0.15"/>
    <row r="61836" hidden="1" x14ac:dyDescent="0.15"/>
    <row r="61837" hidden="1" x14ac:dyDescent="0.15"/>
    <row r="61838" hidden="1" x14ac:dyDescent="0.15"/>
    <row r="61839" hidden="1" x14ac:dyDescent="0.15"/>
    <row r="61840" hidden="1" x14ac:dyDescent="0.15"/>
    <row r="61841" hidden="1" x14ac:dyDescent="0.15"/>
    <row r="61842" hidden="1" x14ac:dyDescent="0.15"/>
    <row r="61843" hidden="1" x14ac:dyDescent="0.15"/>
    <row r="61844" hidden="1" x14ac:dyDescent="0.15"/>
    <row r="61845" hidden="1" x14ac:dyDescent="0.15"/>
    <row r="61846" hidden="1" x14ac:dyDescent="0.15"/>
    <row r="61847" hidden="1" x14ac:dyDescent="0.15"/>
    <row r="61848" hidden="1" x14ac:dyDescent="0.15"/>
    <row r="61849" hidden="1" x14ac:dyDescent="0.15"/>
    <row r="61850" hidden="1" x14ac:dyDescent="0.15"/>
    <row r="61851" hidden="1" x14ac:dyDescent="0.15"/>
    <row r="61852" hidden="1" x14ac:dyDescent="0.15"/>
    <row r="61853" hidden="1" x14ac:dyDescent="0.15"/>
    <row r="61854" hidden="1" x14ac:dyDescent="0.15"/>
    <row r="61855" hidden="1" x14ac:dyDescent="0.15"/>
    <row r="61856" hidden="1" x14ac:dyDescent="0.15"/>
    <row r="61857" hidden="1" x14ac:dyDescent="0.15"/>
    <row r="61858" hidden="1" x14ac:dyDescent="0.15"/>
    <row r="61859" hidden="1" x14ac:dyDescent="0.15"/>
    <row r="61860" hidden="1" x14ac:dyDescent="0.15"/>
    <row r="61861" hidden="1" x14ac:dyDescent="0.15"/>
    <row r="61862" hidden="1" x14ac:dyDescent="0.15"/>
    <row r="61863" hidden="1" x14ac:dyDescent="0.15"/>
    <row r="61864" hidden="1" x14ac:dyDescent="0.15"/>
    <row r="61865" hidden="1" x14ac:dyDescent="0.15"/>
    <row r="61866" hidden="1" x14ac:dyDescent="0.15"/>
    <row r="61867" hidden="1" x14ac:dyDescent="0.15"/>
    <row r="61868" hidden="1" x14ac:dyDescent="0.15"/>
    <row r="61869" hidden="1" x14ac:dyDescent="0.15"/>
    <row r="61870" hidden="1" x14ac:dyDescent="0.15"/>
    <row r="61871" hidden="1" x14ac:dyDescent="0.15"/>
    <row r="61872" hidden="1" x14ac:dyDescent="0.15"/>
    <row r="61873" hidden="1" x14ac:dyDescent="0.15"/>
    <row r="61874" hidden="1" x14ac:dyDescent="0.15"/>
    <row r="61875" hidden="1" x14ac:dyDescent="0.15"/>
    <row r="61876" hidden="1" x14ac:dyDescent="0.15"/>
    <row r="61877" hidden="1" x14ac:dyDescent="0.15"/>
    <row r="61878" hidden="1" x14ac:dyDescent="0.15"/>
    <row r="61879" hidden="1" x14ac:dyDescent="0.15"/>
    <row r="61880" hidden="1" x14ac:dyDescent="0.15"/>
    <row r="61881" hidden="1" x14ac:dyDescent="0.15"/>
    <row r="61882" hidden="1" x14ac:dyDescent="0.15"/>
    <row r="61883" hidden="1" x14ac:dyDescent="0.15"/>
    <row r="61884" hidden="1" x14ac:dyDescent="0.15"/>
    <row r="61885" hidden="1" x14ac:dyDescent="0.15"/>
    <row r="61886" hidden="1" x14ac:dyDescent="0.15"/>
    <row r="61887" hidden="1" x14ac:dyDescent="0.15"/>
    <row r="61888" hidden="1" x14ac:dyDescent="0.15"/>
    <row r="61889" hidden="1" x14ac:dyDescent="0.15"/>
    <row r="61890" hidden="1" x14ac:dyDescent="0.15"/>
    <row r="61891" hidden="1" x14ac:dyDescent="0.15"/>
    <row r="61892" hidden="1" x14ac:dyDescent="0.15"/>
    <row r="61893" hidden="1" x14ac:dyDescent="0.15"/>
    <row r="61894" hidden="1" x14ac:dyDescent="0.15"/>
    <row r="61895" hidden="1" x14ac:dyDescent="0.15"/>
    <row r="61896" hidden="1" x14ac:dyDescent="0.15"/>
    <row r="61897" hidden="1" x14ac:dyDescent="0.15"/>
    <row r="61898" hidden="1" x14ac:dyDescent="0.15"/>
    <row r="61899" hidden="1" x14ac:dyDescent="0.15"/>
    <row r="61900" hidden="1" x14ac:dyDescent="0.15"/>
    <row r="61901" hidden="1" x14ac:dyDescent="0.15"/>
    <row r="61902" hidden="1" x14ac:dyDescent="0.15"/>
    <row r="61903" hidden="1" x14ac:dyDescent="0.15"/>
    <row r="61904" hidden="1" x14ac:dyDescent="0.15"/>
    <row r="61905" hidden="1" x14ac:dyDescent="0.15"/>
    <row r="61906" hidden="1" x14ac:dyDescent="0.15"/>
    <row r="61907" hidden="1" x14ac:dyDescent="0.15"/>
    <row r="61908" hidden="1" x14ac:dyDescent="0.15"/>
    <row r="61909" hidden="1" x14ac:dyDescent="0.15"/>
    <row r="61910" hidden="1" x14ac:dyDescent="0.15"/>
    <row r="61911" hidden="1" x14ac:dyDescent="0.15"/>
    <row r="61912" hidden="1" x14ac:dyDescent="0.15"/>
    <row r="61913" hidden="1" x14ac:dyDescent="0.15"/>
    <row r="61914" hidden="1" x14ac:dyDescent="0.15"/>
    <row r="61915" hidden="1" x14ac:dyDescent="0.15"/>
    <row r="61916" hidden="1" x14ac:dyDescent="0.15"/>
    <row r="61917" hidden="1" x14ac:dyDescent="0.15"/>
    <row r="61918" hidden="1" x14ac:dyDescent="0.15"/>
    <row r="61919" hidden="1" x14ac:dyDescent="0.15"/>
    <row r="61920" hidden="1" x14ac:dyDescent="0.15"/>
    <row r="61921" hidden="1" x14ac:dyDescent="0.15"/>
    <row r="61922" hidden="1" x14ac:dyDescent="0.15"/>
    <row r="61923" hidden="1" x14ac:dyDescent="0.15"/>
    <row r="61924" hidden="1" x14ac:dyDescent="0.15"/>
    <row r="61925" hidden="1" x14ac:dyDescent="0.15"/>
    <row r="61926" hidden="1" x14ac:dyDescent="0.15"/>
    <row r="61927" hidden="1" x14ac:dyDescent="0.15"/>
    <row r="61928" hidden="1" x14ac:dyDescent="0.15"/>
    <row r="61929" hidden="1" x14ac:dyDescent="0.15"/>
    <row r="61930" hidden="1" x14ac:dyDescent="0.15"/>
    <row r="61931" hidden="1" x14ac:dyDescent="0.15"/>
    <row r="61932" hidden="1" x14ac:dyDescent="0.15"/>
    <row r="61933" hidden="1" x14ac:dyDescent="0.15"/>
    <row r="61934" hidden="1" x14ac:dyDescent="0.15"/>
    <row r="61935" hidden="1" x14ac:dyDescent="0.15"/>
    <row r="61936" hidden="1" x14ac:dyDescent="0.15"/>
    <row r="61937" hidden="1" x14ac:dyDescent="0.15"/>
    <row r="61938" hidden="1" x14ac:dyDescent="0.15"/>
    <row r="61939" hidden="1" x14ac:dyDescent="0.15"/>
    <row r="61940" hidden="1" x14ac:dyDescent="0.15"/>
    <row r="61941" hidden="1" x14ac:dyDescent="0.15"/>
    <row r="61942" hidden="1" x14ac:dyDescent="0.15"/>
    <row r="61943" hidden="1" x14ac:dyDescent="0.15"/>
    <row r="61944" hidden="1" x14ac:dyDescent="0.15"/>
    <row r="61945" hidden="1" x14ac:dyDescent="0.15"/>
    <row r="61946" hidden="1" x14ac:dyDescent="0.15"/>
    <row r="61947" hidden="1" x14ac:dyDescent="0.15"/>
    <row r="61948" hidden="1" x14ac:dyDescent="0.15"/>
    <row r="61949" hidden="1" x14ac:dyDescent="0.15"/>
    <row r="61950" hidden="1" x14ac:dyDescent="0.15"/>
    <row r="61951" hidden="1" x14ac:dyDescent="0.15"/>
    <row r="61952" hidden="1" x14ac:dyDescent="0.15"/>
    <row r="61953" hidden="1" x14ac:dyDescent="0.15"/>
    <row r="61954" hidden="1" x14ac:dyDescent="0.15"/>
    <row r="61955" hidden="1" x14ac:dyDescent="0.15"/>
    <row r="61956" hidden="1" x14ac:dyDescent="0.15"/>
    <row r="61957" hidden="1" x14ac:dyDescent="0.15"/>
    <row r="61958" hidden="1" x14ac:dyDescent="0.15"/>
    <row r="61959" hidden="1" x14ac:dyDescent="0.15"/>
    <row r="61960" hidden="1" x14ac:dyDescent="0.15"/>
    <row r="61961" hidden="1" x14ac:dyDescent="0.15"/>
    <row r="61962" hidden="1" x14ac:dyDescent="0.15"/>
    <row r="61963" hidden="1" x14ac:dyDescent="0.15"/>
    <row r="61964" hidden="1" x14ac:dyDescent="0.15"/>
    <row r="61965" hidden="1" x14ac:dyDescent="0.15"/>
    <row r="61966" hidden="1" x14ac:dyDescent="0.15"/>
    <row r="61967" hidden="1" x14ac:dyDescent="0.15"/>
    <row r="61968" hidden="1" x14ac:dyDescent="0.15"/>
    <row r="61969" hidden="1" x14ac:dyDescent="0.15"/>
    <row r="61970" hidden="1" x14ac:dyDescent="0.15"/>
    <row r="61971" hidden="1" x14ac:dyDescent="0.15"/>
    <row r="61972" hidden="1" x14ac:dyDescent="0.15"/>
    <row r="61973" hidden="1" x14ac:dyDescent="0.15"/>
    <row r="61974" hidden="1" x14ac:dyDescent="0.15"/>
    <row r="61975" hidden="1" x14ac:dyDescent="0.15"/>
    <row r="61976" hidden="1" x14ac:dyDescent="0.15"/>
    <row r="61977" hidden="1" x14ac:dyDescent="0.15"/>
    <row r="61978" hidden="1" x14ac:dyDescent="0.15"/>
    <row r="61979" hidden="1" x14ac:dyDescent="0.15"/>
    <row r="61980" hidden="1" x14ac:dyDescent="0.15"/>
    <row r="61981" hidden="1" x14ac:dyDescent="0.15"/>
    <row r="61982" hidden="1" x14ac:dyDescent="0.15"/>
    <row r="61983" hidden="1" x14ac:dyDescent="0.15"/>
    <row r="61984" hidden="1" x14ac:dyDescent="0.15"/>
    <row r="61985" hidden="1" x14ac:dyDescent="0.15"/>
    <row r="61986" hidden="1" x14ac:dyDescent="0.15"/>
    <row r="61987" hidden="1" x14ac:dyDescent="0.15"/>
    <row r="61988" hidden="1" x14ac:dyDescent="0.15"/>
    <row r="61989" hidden="1" x14ac:dyDescent="0.15"/>
    <row r="61990" hidden="1" x14ac:dyDescent="0.15"/>
    <row r="61991" hidden="1" x14ac:dyDescent="0.15"/>
    <row r="61992" hidden="1" x14ac:dyDescent="0.15"/>
    <row r="61993" hidden="1" x14ac:dyDescent="0.15"/>
    <row r="61994" hidden="1" x14ac:dyDescent="0.15"/>
    <row r="61995" hidden="1" x14ac:dyDescent="0.15"/>
    <row r="61996" hidden="1" x14ac:dyDescent="0.15"/>
    <row r="61997" hidden="1" x14ac:dyDescent="0.15"/>
    <row r="61998" hidden="1" x14ac:dyDescent="0.15"/>
    <row r="61999" hidden="1" x14ac:dyDescent="0.15"/>
    <row r="62000" hidden="1" x14ac:dyDescent="0.15"/>
    <row r="62001" hidden="1" x14ac:dyDescent="0.15"/>
    <row r="62002" hidden="1" x14ac:dyDescent="0.15"/>
    <row r="62003" hidden="1" x14ac:dyDescent="0.15"/>
    <row r="62004" hidden="1" x14ac:dyDescent="0.15"/>
    <row r="62005" hidden="1" x14ac:dyDescent="0.15"/>
    <row r="62006" hidden="1" x14ac:dyDescent="0.15"/>
    <row r="62007" hidden="1" x14ac:dyDescent="0.15"/>
    <row r="62008" hidden="1" x14ac:dyDescent="0.15"/>
    <row r="62009" hidden="1" x14ac:dyDescent="0.15"/>
    <row r="62010" hidden="1" x14ac:dyDescent="0.15"/>
    <row r="62011" hidden="1" x14ac:dyDescent="0.15"/>
    <row r="62012" hidden="1" x14ac:dyDescent="0.15"/>
    <row r="62013" hidden="1" x14ac:dyDescent="0.15"/>
    <row r="62014" hidden="1" x14ac:dyDescent="0.15"/>
    <row r="62015" hidden="1" x14ac:dyDescent="0.15"/>
    <row r="62016" hidden="1" x14ac:dyDescent="0.15"/>
    <row r="62017" hidden="1" x14ac:dyDescent="0.15"/>
    <row r="62018" hidden="1" x14ac:dyDescent="0.15"/>
    <row r="62019" hidden="1" x14ac:dyDescent="0.15"/>
    <row r="62020" hidden="1" x14ac:dyDescent="0.15"/>
    <row r="62021" hidden="1" x14ac:dyDescent="0.15"/>
    <row r="62022" hidden="1" x14ac:dyDescent="0.15"/>
    <row r="62023" hidden="1" x14ac:dyDescent="0.15"/>
    <row r="62024" hidden="1" x14ac:dyDescent="0.15"/>
    <row r="62025" hidden="1" x14ac:dyDescent="0.15"/>
    <row r="62026" hidden="1" x14ac:dyDescent="0.15"/>
    <row r="62027" hidden="1" x14ac:dyDescent="0.15"/>
    <row r="62028" hidden="1" x14ac:dyDescent="0.15"/>
    <row r="62029" hidden="1" x14ac:dyDescent="0.15"/>
    <row r="62030" hidden="1" x14ac:dyDescent="0.15"/>
    <row r="62031" hidden="1" x14ac:dyDescent="0.15"/>
    <row r="62032" hidden="1" x14ac:dyDescent="0.15"/>
    <row r="62033" hidden="1" x14ac:dyDescent="0.15"/>
    <row r="62034" hidden="1" x14ac:dyDescent="0.15"/>
    <row r="62035" hidden="1" x14ac:dyDescent="0.15"/>
    <row r="62036" hidden="1" x14ac:dyDescent="0.15"/>
    <row r="62037" hidden="1" x14ac:dyDescent="0.15"/>
    <row r="62038" hidden="1" x14ac:dyDescent="0.15"/>
    <row r="62039" hidden="1" x14ac:dyDescent="0.15"/>
    <row r="62040" hidden="1" x14ac:dyDescent="0.15"/>
    <row r="62041" hidden="1" x14ac:dyDescent="0.15"/>
    <row r="62042" hidden="1" x14ac:dyDescent="0.15"/>
    <row r="62043" hidden="1" x14ac:dyDescent="0.15"/>
    <row r="62044" hidden="1" x14ac:dyDescent="0.15"/>
    <row r="62045" hidden="1" x14ac:dyDescent="0.15"/>
    <row r="62046" hidden="1" x14ac:dyDescent="0.15"/>
    <row r="62047" hidden="1" x14ac:dyDescent="0.15"/>
    <row r="62048" hidden="1" x14ac:dyDescent="0.15"/>
    <row r="62049" hidden="1" x14ac:dyDescent="0.15"/>
    <row r="62050" hidden="1" x14ac:dyDescent="0.15"/>
    <row r="62051" hidden="1" x14ac:dyDescent="0.15"/>
    <row r="62052" hidden="1" x14ac:dyDescent="0.15"/>
    <row r="62053" hidden="1" x14ac:dyDescent="0.15"/>
    <row r="62054" hidden="1" x14ac:dyDescent="0.15"/>
    <row r="62055" hidden="1" x14ac:dyDescent="0.15"/>
    <row r="62056" hidden="1" x14ac:dyDescent="0.15"/>
    <row r="62057" hidden="1" x14ac:dyDescent="0.15"/>
    <row r="62058" hidden="1" x14ac:dyDescent="0.15"/>
    <row r="62059" hidden="1" x14ac:dyDescent="0.15"/>
    <row r="62060" hidden="1" x14ac:dyDescent="0.15"/>
    <row r="62061" hidden="1" x14ac:dyDescent="0.15"/>
    <row r="62062" hidden="1" x14ac:dyDescent="0.15"/>
    <row r="62063" hidden="1" x14ac:dyDescent="0.15"/>
    <row r="62064" hidden="1" x14ac:dyDescent="0.15"/>
    <row r="62065" hidden="1" x14ac:dyDescent="0.15"/>
    <row r="62066" hidden="1" x14ac:dyDescent="0.15"/>
    <row r="62067" hidden="1" x14ac:dyDescent="0.15"/>
    <row r="62068" hidden="1" x14ac:dyDescent="0.15"/>
    <row r="62069" hidden="1" x14ac:dyDescent="0.15"/>
    <row r="62070" hidden="1" x14ac:dyDescent="0.15"/>
    <row r="62071" hidden="1" x14ac:dyDescent="0.15"/>
    <row r="62072" hidden="1" x14ac:dyDescent="0.15"/>
    <row r="62073" hidden="1" x14ac:dyDescent="0.15"/>
    <row r="62074" hidden="1" x14ac:dyDescent="0.15"/>
    <row r="62075" hidden="1" x14ac:dyDescent="0.15"/>
    <row r="62076" hidden="1" x14ac:dyDescent="0.15"/>
    <row r="62077" hidden="1" x14ac:dyDescent="0.15"/>
    <row r="62078" hidden="1" x14ac:dyDescent="0.15"/>
    <row r="62079" hidden="1" x14ac:dyDescent="0.15"/>
    <row r="62080" hidden="1" x14ac:dyDescent="0.15"/>
    <row r="62081" hidden="1" x14ac:dyDescent="0.15"/>
    <row r="62082" hidden="1" x14ac:dyDescent="0.15"/>
    <row r="62083" hidden="1" x14ac:dyDescent="0.15"/>
    <row r="62084" hidden="1" x14ac:dyDescent="0.15"/>
    <row r="62085" hidden="1" x14ac:dyDescent="0.15"/>
    <row r="62086" hidden="1" x14ac:dyDescent="0.15"/>
    <row r="62087" hidden="1" x14ac:dyDescent="0.15"/>
    <row r="62088" hidden="1" x14ac:dyDescent="0.15"/>
    <row r="62089" hidden="1" x14ac:dyDescent="0.15"/>
    <row r="62090" hidden="1" x14ac:dyDescent="0.15"/>
    <row r="62091" hidden="1" x14ac:dyDescent="0.15"/>
    <row r="62092" hidden="1" x14ac:dyDescent="0.15"/>
    <row r="62093" hidden="1" x14ac:dyDescent="0.15"/>
    <row r="62094" hidden="1" x14ac:dyDescent="0.15"/>
    <row r="62095" hidden="1" x14ac:dyDescent="0.15"/>
    <row r="62096" hidden="1" x14ac:dyDescent="0.15"/>
    <row r="62097" hidden="1" x14ac:dyDescent="0.15"/>
    <row r="62098" hidden="1" x14ac:dyDescent="0.15"/>
    <row r="62099" hidden="1" x14ac:dyDescent="0.15"/>
    <row r="62100" hidden="1" x14ac:dyDescent="0.15"/>
    <row r="62101" hidden="1" x14ac:dyDescent="0.15"/>
    <row r="62102" hidden="1" x14ac:dyDescent="0.15"/>
    <row r="62103" hidden="1" x14ac:dyDescent="0.15"/>
    <row r="62104" hidden="1" x14ac:dyDescent="0.15"/>
    <row r="62105" hidden="1" x14ac:dyDescent="0.15"/>
    <row r="62106" hidden="1" x14ac:dyDescent="0.15"/>
    <row r="62107" hidden="1" x14ac:dyDescent="0.15"/>
    <row r="62108" hidden="1" x14ac:dyDescent="0.15"/>
    <row r="62109" hidden="1" x14ac:dyDescent="0.15"/>
    <row r="62110" hidden="1" x14ac:dyDescent="0.15"/>
    <row r="62111" hidden="1" x14ac:dyDescent="0.15"/>
    <row r="62112" hidden="1" x14ac:dyDescent="0.15"/>
    <row r="62113" hidden="1" x14ac:dyDescent="0.15"/>
    <row r="62114" hidden="1" x14ac:dyDescent="0.15"/>
    <row r="62115" hidden="1" x14ac:dyDescent="0.15"/>
    <row r="62116" hidden="1" x14ac:dyDescent="0.15"/>
    <row r="62117" hidden="1" x14ac:dyDescent="0.15"/>
    <row r="62118" hidden="1" x14ac:dyDescent="0.15"/>
    <row r="62119" hidden="1" x14ac:dyDescent="0.15"/>
    <row r="62120" hidden="1" x14ac:dyDescent="0.15"/>
    <row r="62121" hidden="1" x14ac:dyDescent="0.15"/>
    <row r="62122" hidden="1" x14ac:dyDescent="0.15"/>
    <row r="62123" hidden="1" x14ac:dyDescent="0.15"/>
    <row r="62124" hidden="1" x14ac:dyDescent="0.15"/>
    <row r="62125" hidden="1" x14ac:dyDescent="0.15"/>
    <row r="62126" hidden="1" x14ac:dyDescent="0.15"/>
    <row r="62127" hidden="1" x14ac:dyDescent="0.15"/>
    <row r="62128" hidden="1" x14ac:dyDescent="0.15"/>
    <row r="62129" hidden="1" x14ac:dyDescent="0.15"/>
    <row r="62130" hidden="1" x14ac:dyDescent="0.15"/>
    <row r="62131" hidden="1" x14ac:dyDescent="0.15"/>
    <row r="62132" hidden="1" x14ac:dyDescent="0.15"/>
    <row r="62133" hidden="1" x14ac:dyDescent="0.15"/>
    <row r="62134" hidden="1" x14ac:dyDescent="0.15"/>
    <row r="62135" hidden="1" x14ac:dyDescent="0.15"/>
    <row r="62136" hidden="1" x14ac:dyDescent="0.15"/>
    <row r="62137" hidden="1" x14ac:dyDescent="0.15"/>
    <row r="62138" hidden="1" x14ac:dyDescent="0.15"/>
    <row r="62139" hidden="1" x14ac:dyDescent="0.15"/>
    <row r="62140" hidden="1" x14ac:dyDescent="0.15"/>
    <row r="62141" hidden="1" x14ac:dyDescent="0.15"/>
    <row r="62142" hidden="1" x14ac:dyDescent="0.15"/>
    <row r="62143" hidden="1" x14ac:dyDescent="0.15"/>
    <row r="62144" hidden="1" x14ac:dyDescent="0.15"/>
    <row r="62145" hidden="1" x14ac:dyDescent="0.15"/>
    <row r="62146" hidden="1" x14ac:dyDescent="0.15"/>
    <row r="62147" hidden="1" x14ac:dyDescent="0.15"/>
    <row r="62148" hidden="1" x14ac:dyDescent="0.15"/>
    <row r="62149" hidden="1" x14ac:dyDescent="0.15"/>
    <row r="62150" hidden="1" x14ac:dyDescent="0.15"/>
    <row r="62151" hidden="1" x14ac:dyDescent="0.15"/>
    <row r="62152" hidden="1" x14ac:dyDescent="0.15"/>
    <row r="62153" hidden="1" x14ac:dyDescent="0.15"/>
    <row r="62154" hidden="1" x14ac:dyDescent="0.15"/>
    <row r="62155" hidden="1" x14ac:dyDescent="0.15"/>
    <row r="62156" hidden="1" x14ac:dyDescent="0.15"/>
    <row r="62157" hidden="1" x14ac:dyDescent="0.15"/>
    <row r="62158" hidden="1" x14ac:dyDescent="0.15"/>
    <row r="62159" hidden="1" x14ac:dyDescent="0.15"/>
    <row r="62160" hidden="1" x14ac:dyDescent="0.15"/>
    <row r="62161" hidden="1" x14ac:dyDescent="0.15"/>
    <row r="62162" hidden="1" x14ac:dyDescent="0.15"/>
    <row r="62163" hidden="1" x14ac:dyDescent="0.15"/>
    <row r="62164" hidden="1" x14ac:dyDescent="0.15"/>
    <row r="62165" hidden="1" x14ac:dyDescent="0.15"/>
    <row r="62166" hidden="1" x14ac:dyDescent="0.15"/>
    <row r="62167" hidden="1" x14ac:dyDescent="0.15"/>
    <row r="62168" hidden="1" x14ac:dyDescent="0.15"/>
    <row r="62169" hidden="1" x14ac:dyDescent="0.15"/>
    <row r="62170" hidden="1" x14ac:dyDescent="0.15"/>
    <row r="62171" hidden="1" x14ac:dyDescent="0.15"/>
    <row r="62172" hidden="1" x14ac:dyDescent="0.15"/>
    <row r="62173" hidden="1" x14ac:dyDescent="0.15"/>
    <row r="62174" hidden="1" x14ac:dyDescent="0.15"/>
    <row r="62175" hidden="1" x14ac:dyDescent="0.15"/>
    <row r="62176" hidden="1" x14ac:dyDescent="0.15"/>
    <row r="62177" hidden="1" x14ac:dyDescent="0.15"/>
    <row r="62178" hidden="1" x14ac:dyDescent="0.15"/>
    <row r="62179" hidden="1" x14ac:dyDescent="0.15"/>
    <row r="62180" hidden="1" x14ac:dyDescent="0.15"/>
    <row r="62181" hidden="1" x14ac:dyDescent="0.15"/>
    <row r="62182" hidden="1" x14ac:dyDescent="0.15"/>
    <row r="62183" hidden="1" x14ac:dyDescent="0.15"/>
    <row r="62184" hidden="1" x14ac:dyDescent="0.15"/>
    <row r="62185" hidden="1" x14ac:dyDescent="0.15"/>
    <row r="62186" hidden="1" x14ac:dyDescent="0.15"/>
    <row r="62187" hidden="1" x14ac:dyDescent="0.15"/>
    <row r="62188" hidden="1" x14ac:dyDescent="0.15"/>
    <row r="62189" hidden="1" x14ac:dyDescent="0.15"/>
    <row r="62190" hidden="1" x14ac:dyDescent="0.15"/>
    <row r="62191" hidden="1" x14ac:dyDescent="0.15"/>
    <row r="62192" hidden="1" x14ac:dyDescent="0.15"/>
    <row r="62193" hidden="1" x14ac:dyDescent="0.15"/>
    <row r="62194" hidden="1" x14ac:dyDescent="0.15"/>
    <row r="62195" hidden="1" x14ac:dyDescent="0.15"/>
    <row r="62196" hidden="1" x14ac:dyDescent="0.15"/>
    <row r="62197" hidden="1" x14ac:dyDescent="0.15"/>
    <row r="62198" hidden="1" x14ac:dyDescent="0.15"/>
    <row r="62199" hidden="1" x14ac:dyDescent="0.15"/>
    <row r="62200" hidden="1" x14ac:dyDescent="0.15"/>
    <row r="62201" hidden="1" x14ac:dyDescent="0.15"/>
    <row r="62202" hidden="1" x14ac:dyDescent="0.15"/>
    <row r="62203" hidden="1" x14ac:dyDescent="0.15"/>
    <row r="62204" hidden="1" x14ac:dyDescent="0.15"/>
    <row r="62205" hidden="1" x14ac:dyDescent="0.15"/>
    <row r="62206" hidden="1" x14ac:dyDescent="0.15"/>
    <row r="62207" hidden="1" x14ac:dyDescent="0.15"/>
    <row r="62208" hidden="1" x14ac:dyDescent="0.15"/>
    <row r="62209" hidden="1" x14ac:dyDescent="0.15"/>
    <row r="62210" hidden="1" x14ac:dyDescent="0.15"/>
    <row r="62211" hidden="1" x14ac:dyDescent="0.15"/>
    <row r="62212" hidden="1" x14ac:dyDescent="0.15"/>
    <row r="62213" hidden="1" x14ac:dyDescent="0.15"/>
    <row r="62214" hidden="1" x14ac:dyDescent="0.15"/>
    <row r="62215" hidden="1" x14ac:dyDescent="0.15"/>
    <row r="62216" hidden="1" x14ac:dyDescent="0.15"/>
    <row r="62217" hidden="1" x14ac:dyDescent="0.15"/>
    <row r="62218" hidden="1" x14ac:dyDescent="0.15"/>
    <row r="62219" hidden="1" x14ac:dyDescent="0.15"/>
    <row r="62220" hidden="1" x14ac:dyDescent="0.15"/>
    <row r="62221" hidden="1" x14ac:dyDescent="0.15"/>
    <row r="62222" hidden="1" x14ac:dyDescent="0.15"/>
    <row r="62223" hidden="1" x14ac:dyDescent="0.15"/>
    <row r="62224" hidden="1" x14ac:dyDescent="0.15"/>
    <row r="62225" hidden="1" x14ac:dyDescent="0.15"/>
    <row r="62226" hidden="1" x14ac:dyDescent="0.15"/>
    <row r="62227" hidden="1" x14ac:dyDescent="0.15"/>
    <row r="62228" hidden="1" x14ac:dyDescent="0.15"/>
    <row r="62229" hidden="1" x14ac:dyDescent="0.15"/>
    <row r="62230" hidden="1" x14ac:dyDescent="0.15"/>
    <row r="62231" hidden="1" x14ac:dyDescent="0.15"/>
    <row r="62232" hidden="1" x14ac:dyDescent="0.15"/>
    <row r="62233" hidden="1" x14ac:dyDescent="0.15"/>
    <row r="62234" hidden="1" x14ac:dyDescent="0.15"/>
    <row r="62235" hidden="1" x14ac:dyDescent="0.15"/>
    <row r="62236" hidden="1" x14ac:dyDescent="0.15"/>
    <row r="62237" hidden="1" x14ac:dyDescent="0.15"/>
    <row r="62238" hidden="1" x14ac:dyDescent="0.15"/>
    <row r="62239" hidden="1" x14ac:dyDescent="0.15"/>
    <row r="62240" hidden="1" x14ac:dyDescent="0.15"/>
    <row r="62241" hidden="1" x14ac:dyDescent="0.15"/>
    <row r="62242" hidden="1" x14ac:dyDescent="0.15"/>
    <row r="62243" hidden="1" x14ac:dyDescent="0.15"/>
    <row r="62244" hidden="1" x14ac:dyDescent="0.15"/>
    <row r="62245" hidden="1" x14ac:dyDescent="0.15"/>
    <row r="62246" hidden="1" x14ac:dyDescent="0.15"/>
    <row r="62247" hidden="1" x14ac:dyDescent="0.15"/>
    <row r="62248" hidden="1" x14ac:dyDescent="0.15"/>
    <row r="62249" hidden="1" x14ac:dyDescent="0.15"/>
    <row r="62250" hidden="1" x14ac:dyDescent="0.15"/>
    <row r="62251" hidden="1" x14ac:dyDescent="0.15"/>
    <row r="62252" hidden="1" x14ac:dyDescent="0.15"/>
    <row r="62253" hidden="1" x14ac:dyDescent="0.15"/>
    <row r="62254" hidden="1" x14ac:dyDescent="0.15"/>
    <row r="62255" hidden="1" x14ac:dyDescent="0.15"/>
    <row r="62256" hidden="1" x14ac:dyDescent="0.15"/>
    <row r="62257" hidden="1" x14ac:dyDescent="0.15"/>
    <row r="62258" hidden="1" x14ac:dyDescent="0.15"/>
    <row r="62259" hidden="1" x14ac:dyDescent="0.15"/>
    <row r="62260" hidden="1" x14ac:dyDescent="0.15"/>
    <row r="62261" hidden="1" x14ac:dyDescent="0.15"/>
    <row r="62262" hidden="1" x14ac:dyDescent="0.15"/>
    <row r="62263" hidden="1" x14ac:dyDescent="0.15"/>
    <row r="62264" hidden="1" x14ac:dyDescent="0.15"/>
    <row r="62265" hidden="1" x14ac:dyDescent="0.15"/>
    <row r="62266" hidden="1" x14ac:dyDescent="0.15"/>
    <row r="62267" hidden="1" x14ac:dyDescent="0.15"/>
    <row r="62268" hidden="1" x14ac:dyDescent="0.15"/>
    <row r="62269" hidden="1" x14ac:dyDescent="0.15"/>
    <row r="62270" hidden="1" x14ac:dyDescent="0.15"/>
    <row r="62271" hidden="1" x14ac:dyDescent="0.15"/>
    <row r="62272" hidden="1" x14ac:dyDescent="0.15"/>
    <row r="62273" hidden="1" x14ac:dyDescent="0.15"/>
    <row r="62274" hidden="1" x14ac:dyDescent="0.15"/>
    <row r="62275" hidden="1" x14ac:dyDescent="0.15"/>
    <row r="62276" hidden="1" x14ac:dyDescent="0.15"/>
    <row r="62277" hidden="1" x14ac:dyDescent="0.15"/>
    <row r="62278" hidden="1" x14ac:dyDescent="0.15"/>
    <row r="62279" hidden="1" x14ac:dyDescent="0.15"/>
    <row r="62280" hidden="1" x14ac:dyDescent="0.15"/>
    <row r="62281" hidden="1" x14ac:dyDescent="0.15"/>
    <row r="62282" hidden="1" x14ac:dyDescent="0.15"/>
    <row r="62283" hidden="1" x14ac:dyDescent="0.15"/>
    <row r="62284" hidden="1" x14ac:dyDescent="0.15"/>
    <row r="62285" hidden="1" x14ac:dyDescent="0.15"/>
    <row r="62286" hidden="1" x14ac:dyDescent="0.15"/>
    <row r="62287" hidden="1" x14ac:dyDescent="0.15"/>
    <row r="62288" hidden="1" x14ac:dyDescent="0.15"/>
    <row r="62289" hidden="1" x14ac:dyDescent="0.15"/>
    <row r="62290" hidden="1" x14ac:dyDescent="0.15"/>
    <row r="62291" hidden="1" x14ac:dyDescent="0.15"/>
    <row r="62292" hidden="1" x14ac:dyDescent="0.15"/>
    <row r="62293" hidden="1" x14ac:dyDescent="0.15"/>
    <row r="62294" hidden="1" x14ac:dyDescent="0.15"/>
    <row r="62295" hidden="1" x14ac:dyDescent="0.15"/>
    <row r="62296" hidden="1" x14ac:dyDescent="0.15"/>
    <row r="62297" hidden="1" x14ac:dyDescent="0.15"/>
    <row r="62298" hidden="1" x14ac:dyDescent="0.15"/>
    <row r="62299" hidden="1" x14ac:dyDescent="0.15"/>
    <row r="62300" hidden="1" x14ac:dyDescent="0.15"/>
    <row r="62301" hidden="1" x14ac:dyDescent="0.15"/>
    <row r="62302" hidden="1" x14ac:dyDescent="0.15"/>
    <row r="62303" hidden="1" x14ac:dyDescent="0.15"/>
    <row r="62304" hidden="1" x14ac:dyDescent="0.15"/>
    <row r="62305" hidden="1" x14ac:dyDescent="0.15"/>
    <row r="62306" hidden="1" x14ac:dyDescent="0.15"/>
    <row r="62307" hidden="1" x14ac:dyDescent="0.15"/>
    <row r="62308" hidden="1" x14ac:dyDescent="0.15"/>
    <row r="62309" hidden="1" x14ac:dyDescent="0.15"/>
    <row r="62310" hidden="1" x14ac:dyDescent="0.15"/>
    <row r="62311" hidden="1" x14ac:dyDescent="0.15"/>
    <row r="62312" hidden="1" x14ac:dyDescent="0.15"/>
    <row r="62313" hidden="1" x14ac:dyDescent="0.15"/>
    <row r="62314" hidden="1" x14ac:dyDescent="0.15"/>
    <row r="62315" hidden="1" x14ac:dyDescent="0.15"/>
    <row r="62316" hidden="1" x14ac:dyDescent="0.15"/>
    <row r="62317" hidden="1" x14ac:dyDescent="0.15"/>
    <row r="62318" hidden="1" x14ac:dyDescent="0.15"/>
    <row r="62319" hidden="1" x14ac:dyDescent="0.15"/>
    <row r="62320" hidden="1" x14ac:dyDescent="0.15"/>
    <row r="62321" hidden="1" x14ac:dyDescent="0.15"/>
    <row r="62322" hidden="1" x14ac:dyDescent="0.15"/>
    <row r="62323" hidden="1" x14ac:dyDescent="0.15"/>
    <row r="62324" hidden="1" x14ac:dyDescent="0.15"/>
    <row r="62325" hidden="1" x14ac:dyDescent="0.15"/>
    <row r="62326" hidden="1" x14ac:dyDescent="0.15"/>
    <row r="62327" hidden="1" x14ac:dyDescent="0.15"/>
    <row r="62328" hidden="1" x14ac:dyDescent="0.15"/>
    <row r="62329" hidden="1" x14ac:dyDescent="0.15"/>
    <row r="62330" hidden="1" x14ac:dyDescent="0.15"/>
    <row r="62331" hidden="1" x14ac:dyDescent="0.15"/>
    <row r="62332" hidden="1" x14ac:dyDescent="0.15"/>
    <row r="62333" hidden="1" x14ac:dyDescent="0.15"/>
    <row r="62334" hidden="1" x14ac:dyDescent="0.15"/>
    <row r="62335" hidden="1" x14ac:dyDescent="0.15"/>
    <row r="62336" hidden="1" x14ac:dyDescent="0.15"/>
    <row r="62337" hidden="1" x14ac:dyDescent="0.15"/>
    <row r="62338" hidden="1" x14ac:dyDescent="0.15"/>
    <row r="62339" hidden="1" x14ac:dyDescent="0.15"/>
    <row r="62340" hidden="1" x14ac:dyDescent="0.15"/>
    <row r="62341" hidden="1" x14ac:dyDescent="0.15"/>
    <row r="62342" hidden="1" x14ac:dyDescent="0.15"/>
    <row r="62343" hidden="1" x14ac:dyDescent="0.15"/>
    <row r="62344" hidden="1" x14ac:dyDescent="0.15"/>
    <row r="62345" hidden="1" x14ac:dyDescent="0.15"/>
    <row r="62346" hidden="1" x14ac:dyDescent="0.15"/>
    <row r="62347" hidden="1" x14ac:dyDescent="0.15"/>
    <row r="62348" hidden="1" x14ac:dyDescent="0.15"/>
    <row r="62349" hidden="1" x14ac:dyDescent="0.15"/>
    <row r="62350" hidden="1" x14ac:dyDescent="0.15"/>
    <row r="62351" hidden="1" x14ac:dyDescent="0.15"/>
    <row r="62352" hidden="1" x14ac:dyDescent="0.15"/>
    <row r="62353" hidden="1" x14ac:dyDescent="0.15"/>
    <row r="62354" hidden="1" x14ac:dyDescent="0.15"/>
    <row r="62355" hidden="1" x14ac:dyDescent="0.15"/>
    <row r="62356" hidden="1" x14ac:dyDescent="0.15"/>
    <row r="62357" hidden="1" x14ac:dyDescent="0.15"/>
    <row r="62358" hidden="1" x14ac:dyDescent="0.15"/>
    <row r="62359" hidden="1" x14ac:dyDescent="0.15"/>
    <row r="62360" hidden="1" x14ac:dyDescent="0.15"/>
    <row r="62361" hidden="1" x14ac:dyDescent="0.15"/>
    <row r="62362" hidden="1" x14ac:dyDescent="0.15"/>
    <row r="62363" hidden="1" x14ac:dyDescent="0.15"/>
    <row r="62364" hidden="1" x14ac:dyDescent="0.15"/>
    <row r="62365" hidden="1" x14ac:dyDescent="0.15"/>
    <row r="62366" hidden="1" x14ac:dyDescent="0.15"/>
    <row r="62367" hidden="1" x14ac:dyDescent="0.15"/>
    <row r="62368" hidden="1" x14ac:dyDescent="0.15"/>
    <row r="62369" hidden="1" x14ac:dyDescent="0.15"/>
    <row r="62370" hidden="1" x14ac:dyDescent="0.15"/>
    <row r="62371" hidden="1" x14ac:dyDescent="0.15"/>
    <row r="62372" hidden="1" x14ac:dyDescent="0.15"/>
    <row r="62373" hidden="1" x14ac:dyDescent="0.15"/>
    <row r="62374" hidden="1" x14ac:dyDescent="0.15"/>
    <row r="62375" hidden="1" x14ac:dyDescent="0.15"/>
    <row r="62376" hidden="1" x14ac:dyDescent="0.15"/>
    <row r="62377" hidden="1" x14ac:dyDescent="0.15"/>
    <row r="62378" hidden="1" x14ac:dyDescent="0.15"/>
    <row r="62379" hidden="1" x14ac:dyDescent="0.15"/>
    <row r="62380" hidden="1" x14ac:dyDescent="0.15"/>
    <row r="62381" hidden="1" x14ac:dyDescent="0.15"/>
    <row r="62382" hidden="1" x14ac:dyDescent="0.15"/>
    <row r="62383" hidden="1" x14ac:dyDescent="0.15"/>
    <row r="62384" hidden="1" x14ac:dyDescent="0.15"/>
    <row r="62385" hidden="1" x14ac:dyDescent="0.15"/>
    <row r="62386" hidden="1" x14ac:dyDescent="0.15"/>
    <row r="62387" hidden="1" x14ac:dyDescent="0.15"/>
    <row r="62388" hidden="1" x14ac:dyDescent="0.15"/>
    <row r="62389" hidden="1" x14ac:dyDescent="0.15"/>
    <row r="62390" hidden="1" x14ac:dyDescent="0.15"/>
    <row r="62391" hidden="1" x14ac:dyDescent="0.15"/>
    <row r="62392" hidden="1" x14ac:dyDescent="0.15"/>
    <row r="62393" hidden="1" x14ac:dyDescent="0.15"/>
    <row r="62394" hidden="1" x14ac:dyDescent="0.15"/>
    <row r="62395" hidden="1" x14ac:dyDescent="0.15"/>
    <row r="62396" hidden="1" x14ac:dyDescent="0.15"/>
    <row r="62397" hidden="1" x14ac:dyDescent="0.15"/>
    <row r="62398" hidden="1" x14ac:dyDescent="0.15"/>
    <row r="62399" hidden="1" x14ac:dyDescent="0.15"/>
    <row r="62400" hidden="1" x14ac:dyDescent="0.15"/>
    <row r="62401" hidden="1" x14ac:dyDescent="0.15"/>
    <row r="62402" hidden="1" x14ac:dyDescent="0.15"/>
    <row r="62403" hidden="1" x14ac:dyDescent="0.15"/>
    <row r="62404" hidden="1" x14ac:dyDescent="0.15"/>
    <row r="62405" hidden="1" x14ac:dyDescent="0.15"/>
    <row r="62406" hidden="1" x14ac:dyDescent="0.15"/>
    <row r="62407" hidden="1" x14ac:dyDescent="0.15"/>
    <row r="62408" hidden="1" x14ac:dyDescent="0.15"/>
    <row r="62409" hidden="1" x14ac:dyDescent="0.15"/>
    <row r="62410" hidden="1" x14ac:dyDescent="0.15"/>
    <row r="62411" hidden="1" x14ac:dyDescent="0.15"/>
    <row r="62412" hidden="1" x14ac:dyDescent="0.15"/>
    <row r="62413" hidden="1" x14ac:dyDescent="0.15"/>
    <row r="62414" hidden="1" x14ac:dyDescent="0.15"/>
    <row r="62415" hidden="1" x14ac:dyDescent="0.15"/>
    <row r="62416" hidden="1" x14ac:dyDescent="0.15"/>
    <row r="62417" hidden="1" x14ac:dyDescent="0.15"/>
    <row r="62418" hidden="1" x14ac:dyDescent="0.15"/>
    <row r="62419" hidden="1" x14ac:dyDescent="0.15"/>
    <row r="62420" hidden="1" x14ac:dyDescent="0.15"/>
    <row r="62421" hidden="1" x14ac:dyDescent="0.15"/>
    <row r="62422" hidden="1" x14ac:dyDescent="0.15"/>
    <row r="62423" hidden="1" x14ac:dyDescent="0.15"/>
    <row r="62424" hidden="1" x14ac:dyDescent="0.15"/>
    <row r="62425" hidden="1" x14ac:dyDescent="0.15"/>
    <row r="62426" hidden="1" x14ac:dyDescent="0.15"/>
    <row r="62427" hidden="1" x14ac:dyDescent="0.15"/>
    <row r="62428" hidden="1" x14ac:dyDescent="0.15"/>
    <row r="62429" hidden="1" x14ac:dyDescent="0.15"/>
    <row r="62430" hidden="1" x14ac:dyDescent="0.15"/>
    <row r="62431" hidden="1" x14ac:dyDescent="0.15"/>
    <row r="62432" hidden="1" x14ac:dyDescent="0.15"/>
    <row r="62433" hidden="1" x14ac:dyDescent="0.15"/>
    <row r="62434" hidden="1" x14ac:dyDescent="0.15"/>
    <row r="62435" hidden="1" x14ac:dyDescent="0.15"/>
    <row r="62436" hidden="1" x14ac:dyDescent="0.15"/>
    <row r="62437" hidden="1" x14ac:dyDescent="0.15"/>
    <row r="62438" hidden="1" x14ac:dyDescent="0.15"/>
    <row r="62439" hidden="1" x14ac:dyDescent="0.15"/>
    <row r="62440" hidden="1" x14ac:dyDescent="0.15"/>
    <row r="62441" hidden="1" x14ac:dyDescent="0.15"/>
    <row r="62442" hidden="1" x14ac:dyDescent="0.15"/>
    <row r="62443" hidden="1" x14ac:dyDescent="0.15"/>
    <row r="62444" hidden="1" x14ac:dyDescent="0.15"/>
    <row r="62445" hidden="1" x14ac:dyDescent="0.15"/>
    <row r="62446" hidden="1" x14ac:dyDescent="0.15"/>
    <row r="62447" hidden="1" x14ac:dyDescent="0.15"/>
    <row r="62448" hidden="1" x14ac:dyDescent="0.15"/>
    <row r="62449" hidden="1" x14ac:dyDescent="0.15"/>
    <row r="62450" hidden="1" x14ac:dyDescent="0.15"/>
    <row r="62451" hidden="1" x14ac:dyDescent="0.15"/>
    <row r="62452" hidden="1" x14ac:dyDescent="0.15"/>
    <row r="62453" hidden="1" x14ac:dyDescent="0.15"/>
    <row r="62454" hidden="1" x14ac:dyDescent="0.15"/>
    <row r="62455" hidden="1" x14ac:dyDescent="0.15"/>
    <row r="62456" hidden="1" x14ac:dyDescent="0.15"/>
    <row r="62457" hidden="1" x14ac:dyDescent="0.15"/>
    <row r="62458" hidden="1" x14ac:dyDescent="0.15"/>
    <row r="62459" hidden="1" x14ac:dyDescent="0.15"/>
    <row r="62460" hidden="1" x14ac:dyDescent="0.15"/>
    <row r="62461" hidden="1" x14ac:dyDescent="0.15"/>
    <row r="62462" hidden="1" x14ac:dyDescent="0.15"/>
    <row r="62463" hidden="1" x14ac:dyDescent="0.15"/>
    <row r="62464" hidden="1" x14ac:dyDescent="0.15"/>
    <row r="62465" hidden="1" x14ac:dyDescent="0.15"/>
    <row r="62466" hidden="1" x14ac:dyDescent="0.15"/>
    <row r="62467" hidden="1" x14ac:dyDescent="0.15"/>
    <row r="62468" hidden="1" x14ac:dyDescent="0.15"/>
    <row r="62469" hidden="1" x14ac:dyDescent="0.15"/>
    <row r="62470" hidden="1" x14ac:dyDescent="0.15"/>
    <row r="62471" hidden="1" x14ac:dyDescent="0.15"/>
    <row r="62472" hidden="1" x14ac:dyDescent="0.15"/>
    <row r="62473" hidden="1" x14ac:dyDescent="0.15"/>
    <row r="62474" hidden="1" x14ac:dyDescent="0.15"/>
    <row r="62475" hidden="1" x14ac:dyDescent="0.15"/>
    <row r="62476" hidden="1" x14ac:dyDescent="0.15"/>
    <row r="62477" hidden="1" x14ac:dyDescent="0.15"/>
    <row r="62478" hidden="1" x14ac:dyDescent="0.15"/>
    <row r="62479" hidden="1" x14ac:dyDescent="0.15"/>
    <row r="62480" hidden="1" x14ac:dyDescent="0.15"/>
    <row r="62481" hidden="1" x14ac:dyDescent="0.15"/>
    <row r="62482" hidden="1" x14ac:dyDescent="0.15"/>
    <row r="62483" hidden="1" x14ac:dyDescent="0.15"/>
    <row r="62484" hidden="1" x14ac:dyDescent="0.15"/>
    <row r="62485" hidden="1" x14ac:dyDescent="0.15"/>
    <row r="62486" hidden="1" x14ac:dyDescent="0.15"/>
    <row r="62487" hidden="1" x14ac:dyDescent="0.15"/>
    <row r="62488" hidden="1" x14ac:dyDescent="0.15"/>
    <row r="62489" hidden="1" x14ac:dyDescent="0.15"/>
    <row r="62490" hidden="1" x14ac:dyDescent="0.15"/>
    <row r="62491" hidden="1" x14ac:dyDescent="0.15"/>
    <row r="62492" hidden="1" x14ac:dyDescent="0.15"/>
    <row r="62493" hidden="1" x14ac:dyDescent="0.15"/>
    <row r="62494" hidden="1" x14ac:dyDescent="0.15"/>
    <row r="62495" hidden="1" x14ac:dyDescent="0.15"/>
    <row r="62496" hidden="1" x14ac:dyDescent="0.15"/>
    <row r="62497" hidden="1" x14ac:dyDescent="0.15"/>
    <row r="62498" hidden="1" x14ac:dyDescent="0.15"/>
    <row r="62499" hidden="1" x14ac:dyDescent="0.15"/>
    <row r="62500" hidden="1" x14ac:dyDescent="0.15"/>
    <row r="62501" hidden="1" x14ac:dyDescent="0.15"/>
    <row r="62502" hidden="1" x14ac:dyDescent="0.15"/>
    <row r="62503" hidden="1" x14ac:dyDescent="0.15"/>
    <row r="62504" hidden="1" x14ac:dyDescent="0.15"/>
    <row r="62505" hidden="1" x14ac:dyDescent="0.15"/>
    <row r="62506" hidden="1" x14ac:dyDescent="0.15"/>
    <row r="62507" hidden="1" x14ac:dyDescent="0.15"/>
    <row r="62508" hidden="1" x14ac:dyDescent="0.15"/>
    <row r="62509" hidden="1" x14ac:dyDescent="0.15"/>
    <row r="62510" hidden="1" x14ac:dyDescent="0.15"/>
    <row r="62511" hidden="1" x14ac:dyDescent="0.15"/>
    <row r="62512" hidden="1" x14ac:dyDescent="0.15"/>
    <row r="62513" hidden="1" x14ac:dyDescent="0.15"/>
    <row r="62514" hidden="1" x14ac:dyDescent="0.15"/>
    <row r="62515" hidden="1" x14ac:dyDescent="0.15"/>
    <row r="62516" hidden="1" x14ac:dyDescent="0.15"/>
    <row r="62517" hidden="1" x14ac:dyDescent="0.15"/>
    <row r="62518" hidden="1" x14ac:dyDescent="0.15"/>
    <row r="62519" hidden="1" x14ac:dyDescent="0.15"/>
    <row r="62520" hidden="1" x14ac:dyDescent="0.15"/>
    <row r="62521" hidden="1" x14ac:dyDescent="0.15"/>
    <row r="62522" hidden="1" x14ac:dyDescent="0.15"/>
    <row r="62523" hidden="1" x14ac:dyDescent="0.15"/>
    <row r="62524" hidden="1" x14ac:dyDescent="0.15"/>
    <row r="62525" hidden="1" x14ac:dyDescent="0.15"/>
    <row r="62526" hidden="1" x14ac:dyDescent="0.15"/>
    <row r="62527" hidden="1" x14ac:dyDescent="0.15"/>
    <row r="62528" hidden="1" x14ac:dyDescent="0.15"/>
    <row r="62529" hidden="1" x14ac:dyDescent="0.15"/>
    <row r="62530" hidden="1" x14ac:dyDescent="0.15"/>
    <row r="62531" hidden="1" x14ac:dyDescent="0.15"/>
    <row r="62532" hidden="1" x14ac:dyDescent="0.15"/>
    <row r="62533" hidden="1" x14ac:dyDescent="0.15"/>
    <row r="62534" hidden="1" x14ac:dyDescent="0.15"/>
    <row r="62535" hidden="1" x14ac:dyDescent="0.15"/>
    <row r="62536" hidden="1" x14ac:dyDescent="0.15"/>
    <row r="62537" hidden="1" x14ac:dyDescent="0.15"/>
    <row r="62538" hidden="1" x14ac:dyDescent="0.15"/>
    <row r="62539" hidden="1" x14ac:dyDescent="0.15"/>
    <row r="62540" hidden="1" x14ac:dyDescent="0.15"/>
    <row r="62541" hidden="1" x14ac:dyDescent="0.15"/>
    <row r="62542" hidden="1" x14ac:dyDescent="0.15"/>
    <row r="62543" hidden="1" x14ac:dyDescent="0.15"/>
    <row r="62544" hidden="1" x14ac:dyDescent="0.15"/>
    <row r="62545" hidden="1" x14ac:dyDescent="0.15"/>
    <row r="62546" hidden="1" x14ac:dyDescent="0.15"/>
    <row r="62547" hidden="1" x14ac:dyDescent="0.15"/>
    <row r="62548" hidden="1" x14ac:dyDescent="0.15"/>
    <row r="62549" hidden="1" x14ac:dyDescent="0.15"/>
    <row r="62550" hidden="1" x14ac:dyDescent="0.15"/>
    <row r="62551" hidden="1" x14ac:dyDescent="0.15"/>
    <row r="62552" hidden="1" x14ac:dyDescent="0.15"/>
    <row r="62553" hidden="1" x14ac:dyDescent="0.15"/>
    <row r="62554" hidden="1" x14ac:dyDescent="0.15"/>
    <row r="62555" hidden="1" x14ac:dyDescent="0.15"/>
    <row r="62556" hidden="1" x14ac:dyDescent="0.15"/>
    <row r="62557" hidden="1" x14ac:dyDescent="0.15"/>
    <row r="62558" hidden="1" x14ac:dyDescent="0.15"/>
    <row r="62559" hidden="1" x14ac:dyDescent="0.15"/>
    <row r="62560" hidden="1" x14ac:dyDescent="0.15"/>
    <row r="62561" hidden="1" x14ac:dyDescent="0.15"/>
    <row r="62562" hidden="1" x14ac:dyDescent="0.15"/>
    <row r="62563" hidden="1" x14ac:dyDescent="0.15"/>
    <row r="62564" hidden="1" x14ac:dyDescent="0.15"/>
    <row r="62565" hidden="1" x14ac:dyDescent="0.15"/>
    <row r="62566" hidden="1" x14ac:dyDescent="0.15"/>
    <row r="62567" hidden="1" x14ac:dyDescent="0.15"/>
    <row r="62568" hidden="1" x14ac:dyDescent="0.15"/>
    <row r="62569" hidden="1" x14ac:dyDescent="0.15"/>
    <row r="62570" hidden="1" x14ac:dyDescent="0.15"/>
    <row r="62571" hidden="1" x14ac:dyDescent="0.15"/>
    <row r="62572" hidden="1" x14ac:dyDescent="0.15"/>
    <row r="62573" hidden="1" x14ac:dyDescent="0.15"/>
    <row r="62574" hidden="1" x14ac:dyDescent="0.15"/>
    <row r="62575" hidden="1" x14ac:dyDescent="0.15"/>
    <row r="62576" hidden="1" x14ac:dyDescent="0.15"/>
    <row r="62577" hidden="1" x14ac:dyDescent="0.15"/>
    <row r="62578" hidden="1" x14ac:dyDescent="0.15"/>
    <row r="62579" hidden="1" x14ac:dyDescent="0.15"/>
    <row r="62580" hidden="1" x14ac:dyDescent="0.15"/>
    <row r="62581" hidden="1" x14ac:dyDescent="0.15"/>
    <row r="62582" hidden="1" x14ac:dyDescent="0.15"/>
    <row r="62583" hidden="1" x14ac:dyDescent="0.15"/>
    <row r="62584" hidden="1" x14ac:dyDescent="0.15"/>
    <row r="62585" hidden="1" x14ac:dyDescent="0.15"/>
    <row r="62586" hidden="1" x14ac:dyDescent="0.15"/>
    <row r="62587" hidden="1" x14ac:dyDescent="0.15"/>
    <row r="62588" hidden="1" x14ac:dyDescent="0.15"/>
    <row r="62589" hidden="1" x14ac:dyDescent="0.15"/>
    <row r="62590" hidden="1" x14ac:dyDescent="0.15"/>
    <row r="62591" hidden="1" x14ac:dyDescent="0.15"/>
    <row r="62592" hidden="1" x14ac:dyDescent="0.15"/>
    <row r="62593" hidden="1" x14ac:dyDescent="0.15"/>
    <row r="62594" hidden="1" x14ac:dyDescent="0.15"/>
    <row r="62595" hidden="1" x14ac:dyDescent="0.15"/>
    <row r="62596" hidden="1" x14ac:dyDescent="0.15"/>
    <row r="62597" hidden="1" x14ac:dyDescent="0.15"/>
    <row r="62598" hidden="1" x14ac:dyDescent="0.15"/>
    <row r="62599" hidden="1" x14ac:dyDescent="0.15"/>
    <row r="62600" hidden="1" x14ac:dyDescent="0.15"/>
    <row r="62601" hidden="1" x14ac:dyDescent="0.15"/>
    <row r="62602" hidden="1" x14ac:dyDescent="0.15"/>
    <row r="62603" hidden="1" x14ac:dyDescent="0.15"/>
    <row r="62604" hidden="1" x14ac:dyDescent="0.15"/>
    <row r="62605" hidden="1" x14ac:dyDescent="0.15"/>
    <row r="62606" hidden="1" x14ac:dyDescent="0.15"/>
    <row r="62607" hidden="1" x14ac:dyDescent="0.15"/>
    <row r="62608" hidden="1" x14ac:dyDescent="0.15"/>
    <row r="62609" hidden="1" x14ac:dyDescent="0.15"/>
    <row r="62610" hidden="1" x14ac:dyDescent="0.15"/>
    <row r="62611" hidden="1" x14ac:dyDescent="0.15"/>
    <row r="62612" hidden="1" x14ac:dyDescent="0.15"/>
    <row r="62613" hidden="1" x14ac:dyDescent="0.15"/>
    <row r="62614" hidden="1" x14ac:dyDescent="0.15"/>
    <row r="62615" hidden="1" x14ac:dyDescent="0.15"/>
    <row r="62616" hidden="1" x14ac:dyDescent="0.15"/>
    <row r="62617" hidden="1" x14ac:dyDescent="0.15"/>
    <row r="62618" hidden="1" x14ac:dyDescent="0.15"/>
    <row r="62619" hidden="1" x14ac:dyDescent="0.15"/>
    <row r="62620" hidden="1" x14ac:dyDescent="0.15"/>
    <row r="62621" hidden="1" x14ac:dyDescent="0.15"/>
    <row r="62622" hidden="1" x14ac:dyDescent="0.15"/>
    <row r="62623" hidden="1" x14ac:dyDescent="0.15"/>
    <row r="62624" hidden="1" x14ac:dyDescent="0.15"/>
    <row r="62625" hidden="1" x14ac:dyDescent="0.15"/>
    <row r="62626" hidden="1" x14ac:dyDescent="0.15"/>
    <row r="62627" hidden="1" x14ac:dyDescent="0.15"/>
    <row r="62628" hidden="1" x14ac:dyDescent="0.15"/>
    <row r="62629" hidden="1" x14ac:dyDescent="0.15"/>
    <row r="62630" hidden="1" x14ac:dyDescent="0.15"/>
    <row r="62631" hidden="1" x14ac:dyDescent="0.15"/>
    <row r="62632" hidden="1" x14ac:dyDescent="0.15"/>
    <row r="62633" hidden="1" x14ac:dyDescent="0.15"/>
    <row r="62634" hidden="1" x14ac:dyDescent="0.15"/>
    <row r="62635" hidden="1" x14ac:dyDescent="0.15"/>
    <row r="62636" hidden="1" x14ac:dyDescent="0.15"/>
    <row r="62637" hidden="1" x14ac:dyDescent="0.15"/>
    <row r="62638" hidden="1" x14ac:dyDescent="0.15"/>
    <row r="62639" hidden="1" x14ac:dyDescent="0.15"/>
    <row r="62640" hidden="1" x14ac:dyDescent="0.15"/>
    <row r="62641" hidden="1" x14ac:dyDescent="0.15"/>
    <row r="62642" hidden="1" x14ac:dyDescent="0.15"/>
    <row r="62643" hidden="1" x14ac:dyDescent="0.15"/>
    <row r="62644" hidden="1" x14ac:dyDescent="0.15"/>
    <row r="62645" hidden="1" x14ac:dyDescent="0.15"/>
    <row r="62646" hidden="1" x14ac:dyDescent="0.15"/>
    <row r="62647" hidden="1" x14ac:dyDescent="0.15"/>
    <row r="62648" hidden="1" x14ac:dyDescent="0.15"/>
    <row r="62649" hidden="1" x14ac:dyDescent="0.15"/>
    <row r="62650" hidden="1" x14ac:dyDescent="0.15"/>
    <row r="62651" hidden="1" x14ac:dyDescent="0.15"/>
    <row r="62652" hidden="1" x14ac:dyDescent="0.15"/>
    <row r="62653" hidden="1" x14ac:dyDescent="0.15"/>
    <row r="62654" hidden="1" x14ac:dyDescent="0.15"/>
    <row r="62655" hidden="1" x14ac:dyDescent="0.15"/>
    <row r="62656" hidden="1" x14ac:dyDescent="0.15"/>
    <row r="62657" hidden="1" x14ac:dyDescent="0.15"/>
    <row r="62658" hidden="1" x14ac:dyDescent="0.15"/>
    <row r="62659" hidden="1" x14ac:dyDescent="0.15"/>
    <row r="62660" hidden="1" x14ac:dyDescent="0.15"/>
    <row r="62661" hidden="1" x14ac:dyDescent="0.15"/>
    <row r="62662" hidden="1" x14ac:dyDescent="0.15"/>
    <row r="62663" hidden="1" x14ac:dyDescent="0.15"/>
    <row r="62664" hidden="1" x14ac:dyDescent="0.15"/>
    <row r="62665" hidden="1" x14ac:dyDescent="0.15"/>
    <row r="62666" hidden="1" x14ac:dyDescent="0.15"/>
    <row r="62667" hidden="1" x14ac:dyDescent="0.15"/>
    <row r="62668" hidden="1" x14ac:dyDescent="0.15"/>
    <row r="62669" hidden="1" x14ac:dyDescent="0.15"/>
    <row r="62670" hidden="1" x14ac:dyDescent="0.15"/>
    <row r="62671" hidden="1" x14ac:dyDescent="0.15"/>
    <row r="62672" hidden="1" x14ac:dyDescent="0.15"/>
    <row r="62673" hidden="1" x14ac:dyDescent="0.15"/>
    <row r="62674" hidden="1" x14ac:dyDescent="0.15"/>
    <row r="62675" hidden="1" x14ac:dyDescent="0.15"/>
    <row r="62676" hidden="1" x14ac:dyDescent="0.15"/>
    <row r="62677" hidden="1" x14ac:dyDescent="0.15"/>
    <row r="62678" hidden="1" x14ac:dyDescent="0.15"/>
    <row r="62679" hidden="1" x14ac:dyDescent="0.15"/>
    <row r="62680" hidden="1" x14ac:dyDescent="0.15"/>
    <row r="62681" hidden="1" x14ac:dyDescent="0.15"/>
    <row r="62682" hidden="1" x14ac:dyDescent="0.15"/>
    <row r="62683" hidden="1" x14ac:dyDescent="0.15"/>
    <row r="62684" hidden="1" x14ac:dyDescent="0.15"/>
    <row r="62685" hidden="1" x14ac:dyDescent="0.15"/>
    <row r="62686" hidden="1" x14ac:dyDescent="0.15"/>
    <row r="62687" hidden="1" x14ac:dyDescent="0.15"/>
    <row r="62688" hidden="1" x14ac:dyDescent="0.15"/>
    <row r="62689" hidden="1" x14ac:dyDescent="0.15"/>
    <row r="62690" hidden="1" x14ac:dyDescent="0.15"/>
    <row r="62691" hidden="1" x14ac:dyDescent="0.15"/>
    <row r="62692" hidden="1" x14ac:dyDescent="0.15"/>
    <row r="62693" hidden="1" x14ac:dyDescent="0.15"/>
    <row r="62694" hidden="1" x14ac:dyDescent="0.15"/>
    <row r="62695" hidden="1" x14ac:dyDescent="0.15"/>
    <row r="62696" hidden="1" x14ac:dyDescent="0.15"/>
    <row r="62697" hidden="1" x14ac:dyDescent="0.15"/>
    <row r="62698" hidden="1" x14ac:dyDescent="0.15"/>
    <row r="62699" hidden="1" x14ac:dyDescent="0.15"/>
    <row r="62700" hidden="1" x14ac:dyDescent="0.15"/>
    <row r="62701" hidden="1" x14ac:dyDescent="0.15"/>
    <row r="62702" hidden="1" x14ac:dyDescent="0.15"/>
    <row r="62703" hidden="1" x14ac:dyDescent="0.15"/>
    <row r="62704" hidden="1" x14ac:dyDescent="0.15"/>
    <row r="62705" hidden="1" x14ac:dyDescent="0.15"/>
    <row r="62706" hidden="1" x14ac:dyDescent="0.15"/>
    <row r="62707" hidden="1" x14ac:dyDescent="0.15"/>
    <row r="62708" hidden="1" x14ac:dyDescent="0.15"/>
    <row r="62709" hidden="1" x14ac:dyDescent="0.15"/>
    <row r="62710" hidden="1" x14ac:dyDescent="0.15"/>
    <row r="62711" hidden="1" x14ac:dyDescent="0.15"/>
    <row r="62712" hidden="1" x14ac:dyDescent="0.15"/>
    <row r="62713" hidden="1" x14ac:dyDescent="0.15"/>
    <row r="62714" hidden="1" x14ac:dyDescent="0.15"/>
    <row r="62715" hidden="1" x14ac:dyDescent="0.15"/>
    <row r="62716" hidden="1" x14ac:dyDescent="0.15"/>
    <row r="62717" hidden="1" x14ac:dyDescent="0.15"/>
    <row r="62718" hidden="1" x14ac:dyDescent="0.15"/>
    <row r="62719" hidden="1" x14ac:dyDescent="0.15"/>
    <row r="62720" hidden="1" x14ac:dyDescent="0.15"/>
    <row r="62721" hidden="1" x14ac:dyDescent="0.15"/>
    <row r="62722" hidden="1" x14ac:dyDescent="0.15"/>
    <row r="62723" hidden="1" x14ac:dyDescent="0.15"/>
    <row r="62724" hidden="1" x14ac:dyDescent="0.15"/>
    <row r="62725" hidden="1" x14ac:dyDescent="0.15"/>
    <row r="62726" hidden="1" x14ac:dyDescent="0.15"/>
    <row r="62727" hidden="1" x14ac:dyDescent="0.15"/>
    <row r="62728" hidden="1" x14ac:dyDescent="0.15"/>
    <row r="62729" hidden="1" x14ac:dyDescent="0.15"/>
    <row r="62730" hidden="1" x14ac:dyDescent="0.15"/>
    <row r="62731" hidden="1" x14ac:dyDescent="0.15"/>
    <row r="62732" hidden="1" x14ac:dyDescent="0.15"/>
    <row r="62733" hidden="1" x14ac:dyDescent="0.15"/>
    <row r="62734" hidden="1" x14ac:dyDescent="0.15"/>
    <row r="62735" hidden="1" x14ac:dyDescent="0.15"/>
    <row r="62736" hidden="1" x14ac:dyDescent="0.15"/>
    <row r="62737" hidden="1" x14ac:dyDescent="0.15"/>
    <row r="62738" hidden="1" x14ac:dyDescent="0.15"/>
    <row r="62739" hidden="1" x14ac:dyDescent="0.15"/>
    <row r="62740" hidden="1" x14ac:dyDescent="0.15"/>
    <row r="62741" hidden="1" x14ac:dyDescent="0.15"/>
    <row r="62742" hidden="1" x14ac:dyDescent="0.15"/>
    <row r="62743" hidden="1" x14ac:dyDescent="0.15"/>
    <row r="62744" hidden="1" x14ac:dyDescent="0.15"/>
    <row r="62745" hidden="1" x14ac:dyDescent="0.15"/>
    <row r="62746" hidden="1" x14ac:dyDescent="0.15"/>
    <row r="62747" hidden="1" x14ac:dyDescent="0.15"/>
    <row r="62748" hidden="1" x14ac:dyDescent="0.15"/>
    <row r="62749" hidden="1" x14ac:dyDescent="0.15"/>
    <row r="62750" hidden="1" x14ac:dyDescent="0.15"/>
    <row r="62751" hidden="1" x14ac:dyDescent="0.15"/>
    <row r="62752" hidden="1" x14ac:dyDescent="0.15"/>
    <row r="62753" hidden="1" x14ac:dyDescent="0.15"/>
    <row r="62754" hidden="1" x14ac:dyDescent="0.15"/>
    <row r="62755" hidden="1" x14ac:dyDescent="0.15"/>
    <row r="62756" hidden="1" x14ac:dyDescent="0.15"/>
    <row r="62757" hidden="1" x14ac:dyDescent="0.15"/>
    <row r="62758" hidden="1" x14ac:dyDescent="0.15"/>
    <row r="62759" hidden="1" x14ac:dyDescent="0.15"/>
    <row r="62760" hidden="1" x14ac:dyDescent="0.15"/>
    <row r="62761" hidden="1" x14ac:dyDescent="0.15"/>
    <row r="62762" hidden="1" x14ac:dyDescent="0.15"/>
    <row r="62763" hidden="1" x14ac:dyDescent="0.15"/>
    <row r="62764" hidden="1" x14ac:dyDescent="0.15"/>
    <row r="62765" hidden="1" x14ac:dyDescent="0.15"/>
    <row r="62766" hidden="1" x14ac:dyDescent="0.15"/>
    <row r="62767" hidden="1" x14ac:dyDescent="0.15"/>
    <row r="62768" hidden="1" x14ac:dyDescent="0.15"/>
    <row r="62769" hidden="1" x14ac:dyDescent="0.15"/>
    <row r="62770" hidden="1" x14ac:dyDescent="0.15"/>
    <row r="62771" hidden="1" x14ac:dyDescent="0.15"/>
    <row r="62772" hidden="1" x14ac:dyDescent="0.15"/>
    <row r="62773" hidden="1" x14ac:dyDescent="0.15"/>
    <row r="62774" hidden="1" x14ac:dyDescent="0.15"/>
    <row r="62775" hidden="1" x14ac:dyDescent="0.15"/>
    <row r="62776" hidden="1" x14ac:dyDescent="0.15"/>
    <row r="62777" hidden="1" x14ac:dyDescent="0.15"/>
    <row r="62778" hidden="1" x14ac:dyDescent="0.15"/>
    <row r="62779" hidden="1" x14ac:dyDescent="0.15"/>
    <row r="62780" hidden="1" x14ac:dyDescent="0.15"/>
    <row r="62781" hidden="1" x14ac:dyDescent="0.15"/>
    <row r="62782" hidden="1" x14ac:dyDescent="0.15"/>
    <row r="62783" hidden="1" x14ac:dyDescent="0.15"/>
    <row r="62784" hidden="1" x14ac:dyDescent="0.15"/>
    <row r="62785" hidden="1" x14ac:dyDescent="0.15"/>
    <row r="62786" hidden="1" x14ac:dyDescent="0.15"/>
    <row r="62787" hidden="1" x14ac:dyDescent="0.15"/>
    <row r="62788" hidden="1" x14ac:dyDescent="0.15"/>
    <row r="62789" hidden="1" x14ac:dyDescent="0.15"/>
    <row r="62790" hidden="1" x14ac:dyDescent="0.15"/>
    <row r="62791" hidden="1" x14ac:dyDescent="0.15"/>
    <row r="62792" hidden="1" x14ac:dyDescent="0.15"/>
    <row r="62793" hidden="1" x14ac:dyDescent="0.15"/>
    <row r="62794" hidden="1" x14ac:dyDescent="0.15"/>
    <row r="62795" hidden="1" x14ac:dyDescent="0.15"/>
    <row r="62796" hidden="1" x14ac:dyDescent="0.15"/>
    <row r="62797" hidden="1" x14ac:dyDescent="0.15"/>
    <row r="62798" hidden="1" x14ac:dyDescent="0.15"/>
    <row r="62799" hidden="1" x14ac:dyDescent="0.15"/>
    <row r="62800" hidden="1" x14ac:dyDescent="0.15"/>
    <row r="62801" hidden="1" x14ac:dyDescent="0.15"/>
    <row r="62802" hidden="1" x14ac:dyDescent="0.15"/>
    <row r="62803" hidden="1" x14ac:dyDescent="0.15"/>
    <row r="62804" hidden="1" x14ac:dyDescent="0.15"/>
    <row r="62805" hidden="1" x14ac:dyDescent="0.15"/>
    <row r="62806" hidden="1" x14ac:dyDescent="0.15"/>
    <row r="62807" hidden="1" x14ac:dyDescent="0.15"/>
    <row r="62808" hidden="1" x14ac:dyDescent="0.15"/>
    <row r="62809" hidden="1" x14ac:dyDescent="0.15"/>
    <row r="62810" hidden="1" x14ac:dyDescent="0.15"/>
    <row r="62811" hidden="1" x14ac:dyDescent="0.15"/>
    <row r="62812" hidden="1" x14ac:dyDescent="0.15"/>
    <row r="62813" hidden="1" x14ac:dyDescent="0.15"/>
    <row r="62814" hidden="1" x14ac:dyDescent="0.15"/>
    <row r="62815" hidden="1" x14ac:dyDescent="0.15"/>
    <row r="62816" hidden="1" x14ac:dyDescent="0.15"/>
    <row r="62817" hidden="1" x14ac:dyDescent="0.15"/>
    <row r="62818" hidden="1" x14ac:dyDescent="0.15"/>
    <row r="62819" hidden="1" x14ac:dyDescent="0.15"/>
    <row r="62820" hidden="1" x14ac:dyDescent="0.15"/>
    <row r="62821" hidden="1" x14ac:dyDescent="0.15"/>
    <row r="62822" hidden="1" x14ac:dyDescent="0.15"/>
    <row r="62823" hidden="1" x14ac:dyDescent="0.15"/>
    <row r="62824" hidden="1" x14ac:dyDescent="0.15"/>
    <row r="62825" hidden="1" x14ac:dyDescent="0.15"/>
    <row r="62826" hidden="1" x14ac:dyDescent="0.15"/>
    <row r="62827" hidden="1" x14ac:dyDescent="0.15"/>
    <row r="62828" hidden="1" x14ac:dyDescent="0.15"/>
    <row r="62829" hidden="1" x14ac:dyDescent="0.15"/>
    <row r="62830" hidden="1" x14ac:dyDescent="0.15"/>
    <row r="62831" hidden="1" x14ac:dyDescent="0.15"/>
    <row r="62832" hidden="1" x14ac:dyDescent="0.15"/>
    <row r="62833" hidden="1" x14ac:dyDescent="0.15"/>
    <row r="62834" hidden="1" x14ac:dyDescent="0.15"/>
    <row r="62835" hidden="1" x14ac:dyDescent="0.15"/>
    <row r="62836" hidden="1" x14ac:dyDescent="0.15"/>
    <row r="62837" hidden="1" x14ac:dyDescent="0.15"/>
    <row r="62838" hidden="1" x14ac:dyDescent="0.15"/>
    <row r="62839" hidden="1" x14ac:dyDescent="0.15"/>
    <row r="62840" hidden="1" x14ac:dyDescent="0.15"/>
    <row r="62841" hidden="1" x14ac:dyDescent="0.15"/>
    <row r="62842" hidden="1" x14ac:dyDescent="0.15"/>
    <row r="62843" hidden="1" x14ac:dyDescent="0.15"/>
    <row r="62844" hidden="1" x14ac:dyDescent="0.15"/>
    <row r="62845" hidden="1" x14ac:dyDescent="0.15"/>
    <row r="62846" hidden="1" x14ac:dyDescent="0.15"/>
    <row r="62847" hidden="1" x14ac:dyDescent="0.15"/>
    <row r="62848" hidden="1" x14ac:dyDescent="0.15"/>
    <row r="62849" hidden="1" x14ac:dyDescent="0.15"/>
    <row r="62850" hidden="1" x14ac:dyDescent="0.15"/>
    <row r="62851" hidden="1" x14ac:dyDescent="0.15"/>
    <row r="62852" hidden="1" x14ac:dyDescent="0.15"/>
    <row r="62853" hidden="1" x14ac:dyDescent="0.15"/>
    <row r="62854" hidden="1" x14ac:dyDescent="0.15"/>
    <row r="62855" hidden="1" x14ac:dyDescent="0.15"/>
    <row r="62856" hidden="1" x14ac:dyDescent="0.15"/>
    <row r="62857" hidden="1" x14ac:dyDescent="0.15"/>
    <row r="62858" hidden="1" x14ac:dyDescent="0.15"/>
    <row r="62859" hidden="1" x14ac:dyDescent="0.15"/>
    <row r="62860" hidden="1" x14ac:dyDescent="0.15"/>
    <row r="62861" hidden="1" x14ac:dyDescent="0.15"/>
    <row r="62862" hidden="1" x14ac:dyDescent="0.15"/>
    <row r="62863" hidden="1" x14ac:dyDescent="0.15"/>
    <row r="62864" hidden="1" x14ac:dyDescent="0.15"/>
    <row r="62865" hidden="1" x14ac:dyDescent="0.15"/>
    <row r="62866" hidden="1" x14ac:dyDescent="0.15"/>
    <row r="62867" hidden="1" x14ac:dyDescent="0.15"/>
    <row r="62868" hidden="1" x14ac:dyDescent="0.15"/>
    <row r="62869" hidden="1" x14ac:dyDescent="0.15"/>
    <row r="62870" hidden="1" x14ac:dyDescent="0.15"/>
    <row r="62871" hidden="1" x14ac:dyDescent="0.15"/>
    <row r="62872" hidden="1" x14ac:dyDescent="0.15"/>
    <row r="62873" hidden="1" x14ac:dyDescent="0.15"/>
    <row r="62874" hidden="1" x14ac:dyDescent="0.15"/>
    <row r="62875" hidden="1" x14ac:dyDescent="0.15"/>
    <row r="62876" hidden="1" x14ac:dyDescent="0.15"/>
    <row r="62877" hidden="1" x14ac:dyDescent="0.15"/>
    <row r="62878" hidden="1" x14ac:dyDescent="0.15"/>
    <row r="62879" hidden="1" x14ac:dyDescent="0.15"/>
    <row r="62880" hidden="1" x14ac:dyDescent="0.15"/>
    <row r="62881" hidden="1" x14ac:dyDescent="0.15"/>
    <row r="62882" hidden="1" x14ac:dyDescent="0.15"/>
    <row r="62883" hidden="1" x14ac:dyDescent="0.15"/>
    <row r="62884" hidden="1" x14ac:dyDescent="0.15"/>
    <row r="62885" hidden="1" x14ac:dyDescent="0.15"/>
    <row r="62886" hidden="1" x14ac:dyDescent="0.15"/>
    <row r="62887" hidden="1" x14ac:dyDescent="0.15"/>
    <row r="62888" hidden="1" x14ac:dyDescent="0.15"/>
    <row r="62889" hidden="1" x14ac:dyDescent="0.15"/>
    <row r="62890" hidden="1" x14ac:dyDescent="0.15"/>
    <row r="62891" hidden="1" x14ac:dyDescent="0.15"/>
    <row r="62892" hidden="1" x14ac:dyDescent="0.15"/>
    <row r="62893" hidden="1" x14ac:dyDescent="0.15"/>
    <row r="62894" hidden="1" x14ac:dyDescent="0.15"/>
    <row r="62895" hidden="1" x14ac:dyDescent="0.15"/>
    <row r="62896" hidden="1" x14ac:dyDescent="0.15"/>
    <row r="62897" hidden="1" x14ac:dyDescent="0.15"/>
    <row r="62898" hidden="1" x14ac:dyDescent="0.15"/>
    <row r="62899" hidden="1" x14ac:dyDescent="0.15"/>
    <row r="62900" hidden="1" x14ac:dyDescent="0.15"/>
    <row r="62901" hidden="1" x14ac:dyDescent="0.15"/>
    <row r="62902" hidden="1" x14ac:dyDescent="0.15"/>
    <row r="62903" hidden="1" x14ac:dyDescent="0.15"/>
    <row r="62904" hidden="1" x14ac:dyDescent="0.15"/>
    <row r="62905" hidden="1" x14ac:dyDescent="0.15"/>
    <row r="62906" hidden="1" x14ac:dyDescent="0.15"/>
    <row r="62907" hidden="1" x14ac:dyDescent="0.15"/>
    <row r="62908" hidden="1" x14ac:dyDescent="0.15"/>
    <row r="62909" hidden="1" x14ac:dyDescent="0.15"/>
    <row r="62910" hidden="1" x14ac:dyDescent="0.15"/>
    <row r="62911" hidden="1" x14ac:dyDescent="0.15"/>
    <row r="62912" hidden="1" x14ac:dyDescent="0.15"/>
    <row r="62913" hidden="1" x14ac:dyDescent="0.15"/>
    <row r="62914" hidden="1" x14ac:dyDescent="0.15"/>
    <row r="62915" hidden="1" x14ac:dyDescent="0.15"/>
    <row r="62916" hidden="1" x14ac:dyDescent="0.15"/>
    <row r="62917" hidden="1" x14ac:dyDescent="0.15"/>
    <row r="62918" hidden="1" x14ac:dyDescent="0.15"/>
    <row r="62919" hidden="1" x14ac:dyDescent="0.15"/>
    <row r="62920" hidden="1" x14ac:dyDescent="0.15"/>
    <row r="62921" hidden="1" x14ac:dyDescent="0.15"/>
    <row r="62922" hidden="1" x14ac:dyDescent="0.15"/>
    <row r="62923" hidden="1" x14ac:dyDescent="0.15"/>
    <row r="62924" hidden="1" x14ac:dyDescent="0.15"/>
    <row r="62925" hidden="1" x14ac:dyDescent="0.15"/>
    <row r="62926" hidden="1" x14ac:dyDescent="0.15"/>
    <row r="62927" hidden="1" x14ac:dyDescent="0.15"/>
    <row r="62928" hidden="1" x14ac:dyDescent="0.15"/>
    <row r="62929" hidden="1" x14ac:dyDescent="0.15"/>
    <row r="62930" hidden="1" x14ac:dyDescent="0.15"/>
    <row r="62931" hidden="1" x14ac:dyDescent="0.15"/>
    <row r="62932" hidden="1" x14ac:dyDescent="0.15"/>
    <row r="62933" hidden="1" x14ac:dyDescent="0.15"/>
    <row r="62934" hidden="1" x14ac:dyDescent="0.15"/>
    <row r="62935" hidden="1" x14ac:dyDescent="0.15"/>
    <row r="62936" hidden="1" x14ac:dyDescent="0.15"/>
    <row r="62937" hidden="1" x14ac:dyDescent="0.15"/>
    <row r="62938" hidden="1" x14ac:dyDescent="0.15"/>
    <row r="62939" hidden="1" x14ac:dyDescent="0.15"/>
    <row r="62940" hidden="1" x14ac:dyDescent="0.15"/>
    <row r="62941" hidden="1" x14ac:dyDescent="0.15"/>
    <row r="62942" hidden="1" x14ac:dyDescent="0.15"/>
    <row r="62943" hidden="1" x14ac:dyDescent="0.15"/>
    <row r="62944" hidden="1" x14ac:dyDescent="0.15"/>
    <row r="62945" hidden="1" x14ac:dyDescent="0.15"/>
    <row r="62946" hidden="1" x14ac:dyDescent="0.15"/>
    <row r="62947" hidden="1" x14ac:dyDescent="0.15"/>
    <row r="62948" hidden="1" x14ac:dyDescent="0.15"/>
    <row r="62949" hidden="1" x14ac:dyDescent="0.15"/>
    <row r="62950" hidden="1" x14ac:dyDescent="0.15"/>
    <row r="62951" hidden="1" x14ac:dyDescent="0.15"/>
    <row r="62952" hidden="1" x14ac:dyDescent="0.15"/>
    <row r="62953" hidden="1" x14ac:dyDescent="0.15"/>
    <row r="62954" hidden="1" x14ac:dyDescent="0.15"/>
    <row r="62955" hidden="1" x14ac:dyDescent="0.15"/>
    <row r="62956" hidden="1" x14ac:dyDescent="0.15"/>
    <row r="62957" hidden="1" x14ac:dyDescent="0.15"/>
    <row r="62958" hidden="1" x14ac:dyDescent="0.15"/>
    <row r="62959" hidden="1" x14ac:dyDescent="0.15"/>
    <row r="62960" hidden="1" x14ac:dyDescent="0.15"/>
    <row r="62961" hidden="1" x14ac:dyDescent="0.15"/>
    <row r="62962" hidden="1" x14ac:dyDescent="0.15"/>
    <row r="62963" hidden="1" x14ac:dyDescent="0.15"/>
    <row r="62964" hidden="1" x14ac:dyDescent="0.15"/>
    <row r="62965" hidden="1" x14ac:dyDescent="0.15"/>
    <row r="62966" hidden="1" x14ac:dyDescent="0.15"/>
    <row r="62967" hidden="1" x14ac:dyDescent="0.15"/>
    <row r="62968" hidden="1" x14ac:dyDescent="0.15"/>
    <row r="62969" hidden="1" x14ac:dyDescent="0.15"/>
    <row r="62970" hidden="1" x14ac:dyDescent="0.15"/>
    <row r="62971" hidden="1" x14ac:dyDescent="0.15"/>
    <row r="62972" hidden="1" x14ac:dyDescent="0.15"/>
    <row r="62973" hidden="1" x14ac:dyDescent="0.15"/>
    <row r="62974" hidden="1" x14ac:dyDescent="0.15"/>
    <row r="62975" hidden="1" x14ac:dyDescent="0.15"/>
    <row r="62976" hidden="1" x14ac:dyDescent="0.15"/>
    <row r="62977" hidden="1" x14ac:dyDescent="0.15"/>
    <row r="62978" hidden="1" x14ac:dyDescent="0.15"/>
    <row r="62979" hidden="1" x14ac:dyDescent="0.15"/>
    <row r="62980" hidden="1" x14ac:dyDescent="0.15"/>
    <row r="62981" hidden="1" x14ac:dyDescent="0.15"/>
    <row r="62982" hidden="1" x14ac:dyDescent="0.15"/>
    <row r="62983" hidden="1" x14ac:dyDescent="0.15"/>
    <row r="62984" hidden="1" x14ac:dyDescent="0.15"/>
    <row r="62985" hidden="1" x14ac:dyDescent="0.15"/>
    <row r="62986" hidden="1" x14ac:dyDescent="0.15"/>
    <row r="62987" hidden="1" x14ac:dyDescent="0.15"/>
    <row r="62988" hidden="1" x14ac:dyDescent="0.15"/>
    <row r="62989" hidden="1" x14ac:dyDescent="0.15"/>
    <row r="62990" hidden="1" x14ac:dyDescent="0.15"/>
    <row r="62991" hidden="1" x14ac:dyDescent="0.15"/>
    <row r="62992" hidden="1" x14ac:dyDescent="0.15"/>
    <row r="62993" hidden="1" x14ac:dyDescent="0.15"/>
    <row r="62994" hidden="1" x14ac:dyDescent="0.15"/>
    <row r="62995" hidden="1" x14ac:dyDescent="0.15"/>
    <row r="62996" hidden="1" x14ac:dyDescent="0.15"/>
    <row r="62997" hidden="1" x14ac:dyDescent="0.15"/>
    <row r="62998" hidden="1" x14ac:dyDescent="0.15"/>
    <row r="62999" hidden="1" x14ac:dyDescent="0.15"/>
    <row r="63000" hidden="1" x14ac:dyDescent="0.15"/>
    <row r="63001" hidden="1" x14ac:dyDescent="0.15"/>
    <row r="63002" hidden="1" x14ac:dyDescent="0.15"/>
    <row r="63003" hidden="1" x14ac:dyDescent="0.15"/>
    <row r="63004" hidden="1" x14ac:dyDescent="0.15"/>
    <row r="63005" hidden="1" x14ac:dyDescent="0.15"/>
    <row r="63006" hidden="1" x14ac:dyDescent="0.15"/>
    <row r="63007" hidden="1" x14ac:dyDescent="0.15"/>
    <row r="63008" hidden="1" x14ac:dyDescent="0.15"/>
    <row r="63009" hidden="1" x14ac:dyDescent="0.15"/>
    <row r="63010" hidden="1" x14ac:dyDescent="0.15"/>
    <row r="63011" hidden="1" x14ac:dyDescent="0.15"/>
    <row r="63012" hidden="1" x14ac:dyDescent="0.15"/>
    <row r="63013" hidden="1" x14ac:dyDescent="0.15"/>
    <row r="63014" hidden="1" x14ac:dyDescent="0.15"/>
    <row r="63015" hidden="1" x14ac:dyDescent="0.15"/>
    <row r="63016" hidden="1" x14ac:dyDescent="0.15"/>
    <row r="63017" hidden="1" x14ac:dyDescent="0.15"/>
    <row r="63018" hidden="1" x14ac:dyDescent="0.15"/>
    <row r="63019" hidden="1" x14ac:dyDescent="0.15"/>
    <row r="63020" hidden="1" x14ac:dyDescent="0.15"/>
    <row r="63021" hidden="1" x14ac:dyDescent="0.15"/>
    <row r="63022" hidden="1" x14ac:dyDescent="0.15"/>
    <row r="63023" hidden="1" x14ac:dyDescent="0.15"/>
    <row r="63024" hidden="1" x14ac:dyDescent="0.15"/>
    <row r="63025" hidden="1" x14ac:dyDescent="0.15"/>
    <row r="63026" hidden="1" x14ac:dyDescent="0.15"/>
    <row r="63027" hidden="1" x14ac:dyDescent="0.15"/>
    <row r="63028" hidden="1" x14ac:dyDescent="0.15"/>
    <row r="63029" hidden="1" x14ac:dyDescent="0.15"/>
    <row r="63030" hidden="1" x14ac:dyDescent="0.15"/>
    <row r="63031" hidden="1" x14ac:dyDescent="0.15"/>
    <row r="63032" hidden="1" x14ac:dyDescent="0.15"/>
    <row r="63033" hidden="1" x14ac:dyDescent="0.15"/>
    <row r="63034" hidden="1" x14ac:dyDescent="0.15"/>
    <row r="63035" hidden="1" x14ac:dyDescent="0.15"/>
    <row r="63036" hidden="1" x14ac:dyDescent="0.15"/>
    <row r="63037" hidden="1" x14ac:dyDescent="0.15"/>
    <row r="63038" hidden="1" x14ac:dyDescent="0.15"/>
    <row r="63039" hidden="1" x14ac:dyDescent="0.15"/>
    <row r="63040" hidden="1" x14ac:dyDescent="0.15"/>
    <row r="63041" hidden="1" x14ac:dyDescent="0.15"/>
    <row r="63042" hidden="1" x14ac:dyDescent="0.15"/>
    <row r="63043" hidden="1" x14ac:dyDescent="0.15"/>
    <row r="63044" hidden="1" x14ac:dyDescent="0.15"/>
    <row r="63045" hidden="1" x14ac:dyDescent="0.15"/>
    <row r="63046" hidden="1" x14ac:dyDescent="0.15"/>
    <row r="63047" hidden="1" x14ac:dyDescent="0.15"/>
    <row r="63048" hidden="1" x14ac:dyDescent="0.15"/>
    <row r="63049" hidden="1" x14ac:dyDescent="0.15"/>
    <row r="63050" hidden="1" x14ac:dyDescent="0.15"/>
    <row r="63051" hidden="1" x14ac:dyDescent="0.15"/>
    <row r="63052" hidden="1" x14ac:dyDescent="0.15"/>
    <row r="63053" hidden="1" x14ac:dyDescent="0.15"/>
    <row r="63054" hidden="1" x14ac:dyDescent="0.15"/>
    <row r="63055" hidden="1" x14ac:dyDescent="0.15"/>
    <row r="63056" hidden="1" x14ac:dyDescent="0.15"/>
    <row r="63057" hidden="1" x14ac:dyDescent="0.15"/>
    <row r="63058" hidden="1" x14ac:dyDescent="0.15"/>
    <row r="63059" hidden="1" x14ac:dyDescent="0.15"/>
    <row r="63060" hidden="1" x14ac:dyDescent="0.15"/>
    <row r="63061" hidden="1" x14ac:dyDescent="0.15"/>
    <row r="63062" hidden="1" x14ac:dyDescent="0.15"/>
    <row r="63063" hidden="1" x14ac:dyDescent="0.15"/>
    <row r="63064" hidden="1" x14ac:dyDescent="0.15"/>
    <row r="63065" hidden="1" x14ac:dyDescent="0.15"/>
    <row r="63066" hidden="1" x14ac:dyDescent="0.15"/>
    <row r="63067" hidden="1" x14ac:dyDescent="0.15"/>
    <row r="63068" hidden="1" x14ac:dyDescent="0.15"/>
    <row r="63069" hidden="1" x14ac:dyDescent="0.15"/>
    <row r="63070" hidden="1" x14ac:dyDescent="0.15"/>
    <row r="63071" hidden="1" x14ac:dyDescent="0.15"/>
    <row r="63072" hidden="1" x14ac:dyDescent="0.15"/>
    <row r="63073" hidden="1" x14ac:dyDescent="0.15"/>
    <row r="63074" hidden="1" x14ac:dyDescent="0.15"/>
    <row r="63075" hidden="1" x14ac:dyDescent="0.15"/>
    <row r="63076" hidden="1" x14ac:dyDescent="0.15"/>
    <row r="63077" hidden="1" x14ac:dyDescent="0.15"/>
    <row r="63078" hidden="1" x14ac:dyDescent="0.15"/>
    <row r="63079" hidden="1" x14ac:dyDescent="0.15"/>
    <row r="63080" hidden="1" x14ac:dyDescent="0.15"/>
    <row r="63081" hidden="1" x14ac:dyDescent="0.15"/>
    <row r="63082" hidden="1" x14ac:dyDescent="0.15"/>
    <row r="63083" hidden="1" x14ac:dyDescent="0.15"/>
    <row r="63084" hidden="1" x14ac:dyDescent="0.15"/>
    <row r="63085" hidden="1" x14ac:dyDescent="0.15"/>
    <row r="63086" hidden="1" x14ac:dyDescent="0.15"/>
    <row r="63087" hidden="1" x14ac:dyDescent="0.15"/>
    <row r="63088" hidden="1" x14ac:dyDescent="0.15"/>
    <row r="63089" hidden="1" x14ac:dyDescent="0.15"/>
    <row r="63090" hidden="1" x14ac:dyDescent="0.15"/>
    <row r="63091" hidden="1" x14ac:dyDescent="0.15"/>
    <row r="63092" hidden="1" x14ac:dyDescent="0.15"/>
    <row r="63093" hidden="1" x14ac:dyDescent="0.15"/>
    <row r="63094" hidden="1" x14ac:dyDescent="0.15"/>
    <row r="63095" hidden="1" x14ac:dyDescent="0.15"/>
    <row r="63096" hidden="1" x14ac:dyDescent="0.15"/>
    <row r="63097" hidden="1" x14ac:dyDescent="0.15"/>
    <row r="63098" hidden="1" x14ac:dyDescent="0.15"/>
    <row r="63099" hidden="1" x14ac:dyDescent="0.15"/>
    <row r="63100" hidden="1" x14ac:dyDescent="0.15"/>
    <row r="63101" hidden="1" x14ac:dyDescent="0.15"/>
    <row r="63102" hidden="1" x14ac:dyDescent="0.15"/>
    <row r="63103" hidden="1" x14ac:dyDescent="0.15"/>
    <row r="63104" hidden="1" x14ac:dyDescent="0.15"/>
    <row r="63105" hidden="1" x14ac:dyDescent="0.15"/>
    <row r="63106" hidden="1" x14ac:dyDescent="0.15"/>
    <row r="63107" hidden="1" x14ac:dyDescent="0.15"/>
    <row r="63108" hidden="1" x14ac:dyDescent="0.15"/>
    <row r="63109" hidden="1" x14ac:dyDescent="0.15"/>
    <row r="63110" hidden="1" x14ac:dyDescent="0.15"/>
    <row r="63111" hidden="1" x14ac:dyDescent="0.15"/>
    <row r="63112" hidden="1" x14ac:dyDescent="0.15"/>
    <row r="63113" hidden="1" x14ac:dyDescent="0.15"/>
    <row r="63114" hidden="1" x14ac:dyDescent="0.15"/>
    <row r="63115" hidden="1" x14ac:dyDescent="0.15"/>
    <row r="63116" hidden="1" x14ac:dyDescent="0.15"/>
    <row r="63117" hidden="1" x14ac:dyDescent="0.15"/>
    <row r="63118" hidden="1" x14ac:dyDescent="0.15"/>
    <row r="63119" hidden="1" x14ac:dyDescent="0.15"/>
    <row r="63120" hidden="1" x14ac:dyDescent="0.15"/>
    <row r="63121" hidden="1" x14ac:dyDescent="0.15"/>
    <row r="63122" hidden="1" x14ac:dyDescent="0.15"/>
    <row r="63123" hidden="1" x14ac:dyDescent="0.15"/>
    <row r="63124" hidden="1" x14ac:dyDescent="0.15"/>
    <row r="63125" hidden="1" x14ac:dyDescent="0.15"/>
    <row r="63126" hidden="1" x14ac:dyDescent="0.15"/>
    <row r="63127" hidden="1" x14ac:dyDescent="0.15"/>
    <row r="63128" hidden="1" x14ac:dyDescent="0.15"/>
    <row r="63129" hidden="1" x14ac:dyDescent="0.15"/>
    <row r="63130" hidden="1" x14ac:dyDescent="0.15"/>
    <row r="63131" hidden="1" x14ac:dyDescent="0.15"/>
    <row r="63132" hidden="1" x14ac:dyDescent="0.15"/>
    <row r="63133" hidden="1" x14ac:dyDescent="0.15"/>
    <row r="63134" hidden="1" x14ac:dyDescent="0.15"/>
    <row r="63135" hidden="1" x14ac:dyDescent="0.15"/>
    <row r="63136" hidden="1" x14ac:dyDescent="0.15"/>
    <row r="63137" hidden="1" x14ac:dyDescent="0.15"/>
    <row r="63138" hidden="1" x14ac:dyDescent="0.15"/>
    <row r="63139" hidden="1" x14ac:dyDescent="0.15"/>
    <row r="63140" hidden="1" x14ac:dyDescent="0.15"/>
    <row r="63141" hidden="1" x14ac:dyDescent="0.15"/>
    <row r="63142" hidden="1" x14ac:dyDescent="0.15"/>
    <row r="63143" hidden="1" x14ac:dyDescent="0.15"/>
    <row r="63144" hidden="1" x14ac:dyDescent="0.15"/>
    <row r="63145" hidden="1" x14ac:dyDescent="0.15"/>
    <row r="63146" hidden="1" x14ac:dyDescent="0.15"/>
    <row r="63147" hidden="1" x14ac:dyDescent="0.15"/>
    <row r="63148" hidden="1" x14ac:dyDescent="0.15"/>
    <row r="63149" hidden="1" x14ac:dyDescent="0.15"/>
    <row r="63150" hidden="1" x14ac:dyDescent="0.15"/>
    <row r="63151" hidden="1" x14ac:dyDescent="0.15"/>
    <row r="63152" hidden="1" x14ac:dyDescent="0.15"/>
    <row r="63153" hidden="1" x14ac:dyDescent="0.15"/>
    <row r="63154" hidden="1" x14ac:dyDescent="0.15"/>
    <row r="63155" hidden="1" x14ac:dyDescent="0.15"/>
    <row r="63156" hidden="1" x14ac:dyDescent="0.15"/>
    <row r="63157" hidden="1" x14ac:dyDescent="0.15"/>
    <row r="63158" hidden="1" x14ac:dyDescent="0.15"/>
    <row r="63159" hidden="1" x14ac:dyDescent="0.15"/>
    <row r="63160" hidden="1" x14ac:dyDescent="0.15"/>
    <row r="63161" hidden="1" x14ac:dyDescent="0.15"/>
    <row r="63162" hidden="1" x14ac:dyDescent="0.15"/>
    <row r="63163" hidden="1" x14ac:dyDescent="0.15"/>
    <row r="63164" hidden="1" x14ac:dyDescent="0.15"/>
    <row r="63165" hidden="1" x14ac:dyDescent="0.15"/>
    <row r="63166" hidden="1" x14ac:dyDescent="0.15"/>
    <row r="63167" hidden="1" x14ac:dyDescent="0.15"/>
    <row r="63168" hidden="1" x14ac:dyDescent="0.15"/>
    <row r="63169" hidden="1" x14ac:dyDescent="0.15"/>
    <row r="63170" hidden="1" x14ac:dyDescent="0.15"/>
    <row r="63171" hidden="1" x14ac:dyDescent="0.15"/>
    <row r="63172" hidden="1" x14ac:dyDescent="0.15"/>
    <row r="63173" hidden="1" x14ac:dyDescent="0.15"/>
    <row r="63174" hidden="1" x14ac:dyDescent="0.15"/>
    <row r="63175" hidden="1" x14ac:dyDescent="0.15"/>
    <row r="63176" hidden="1" x14ac:dyDescent="0.15"/>
    <row r="63177" hidden="1" x14ac:dyDescent="0.15"/>
    <row r="63178" hidden="1" x14ac:dyDescent="0.15"/>
    <row r="63179" hidden="1" x14ac:dyDescent="0.15"/>
    <row r="63180" hidden="1" x14ac:dyDescent="0.15"/>
    <row r="63181" hidden="1" x14ac:dyDescent="0.15"/>
    <row r="63182" hidden="1" x14ac:dyDescent="0.15"/>
    <row r="63183" hidden="1" x14ac:dyDescent="0.15"/>
    <row r="63184" hidden="1" x14ac:dyDescent="0.15"/>
    <row r="63185" hidden="1" x14ac:dyDescent="0.15"/>
    <row r="63186" hidden="1" x14ac:dyDescent="0.15"/>
    <row r="63187" hidden="1" x14ac:dyDescent="0.15"/>
    <row r="63188" hidden="1" x14ac:dyDescent="0.15"/>
    <row r="63189" hidden="1" x14ac:dyDescent="0.15"/>
    <row r="63190" hidden="1" x14ac:dyDescent="0.15"/>
    <row r="63191" hidden="1" x14ac:dyDescent="0.15"/>
    <row r="63192" hidden="1" x14ac:dyDescent="0.15"/>
    <row r="63193" hidden="1" x14ac:dyDescent="0.15"/>
    <row r="63194" hidden="1" x14ac:dyDescent="0.15"/>
    <row r="63195" hidden="1" x14ac:dyDescent="0.15"/>
    <row r="63196" hidden="1" x14ac:dyDescent="0.15"/>
    <row r="63197" hidden="1" x14ac:dyDescent="0.15"/>
    <row r="63198" hidden="1" x14ac:dyDescent="0.15"/>
    <row r="63199" hidden="1" x14ac:dyDescent="0.15"/>
    <row r="63200" hidden="1" x14ac:dyDescent="0.15"/>
    <row r="63201" hidden="1" x14ac:dyDescent="0.15"/>
    <row r="63202" hidden="1" x14ac:dyDescent="0.15"/>
    <row r="63203" hidden="1" x14ac:dyDescent="0.15"/>
    <row r="63204" hidden="1" x14ac:dyDescent="0.15"/>
    <row r="63205" hidden="1" x14ac:dyDescent="0.15"/>
    <row r="63206" hidden="1" x14ac:dyDescent="0.15"/>
    <row r="63207" hidden="1" x14ac:dyDescent="0.15"/>
    <row r="63208" hidden="1" x14ac:dyDescent="0.15"/>
    <row r="63209" hidden="1" x14ac:dyDescent="0.15"/>
    <row r="63210" hidden="1" x14ac:dyDescent="0.15"/>
    <row r="63211" hidden="1" x14ac:dyDescent="0.15"/>
    <row r="63212" hidden="1" x14ac:dyDescent="0.15"/>
    <row r="63213" hidden="1" x14ac:dyDescent="0.15"/>
    <row r="63214" hidden="1" x14ac:dyDescent="0.15"/>
    <row r="63215" hidden="1" x14ac:dyDescent="0.15"/>
    <row r="63216" hidden="1" x14ac:dyDescent="0.15"/>
    <row r="63217" hidden="1" x14ac:dyDescent="0.15"/>
    <row r="63218" hidden="1" x14ac:dyDescent="0.15"/>
    <row r="63219" hidden="1" x14ac:dyDescent="0.15"/>
    <row r="63220" hidden="1" x14ac:dyDescent="0.15"/>
    <row r="63221" hidden="1" x14ac:dyDescent="0.15"/>
    <row r="63222" hidden="1" x14ac:dyDescent="0.15"/>
    <row r="63223" hidden="1" x14ac:dyDescent="0.15"/>
    <row r="63224" hidden="1" x14ac:dyDescent="0.15"/>
    <row r="63225" hidden="1" x14ac:dyDescent="0.15"/>
    <row r="63226" hidden="1" x14ac:dyDescent="0.15"/>
    <row r="63227" hidden="1" x14ac:dyDescent="0.15"/>
    <row r="63228" hidden="1" x14ac:dyDescent="0.15"/>
    <row r="63229" hidden="1" x14ac:dyDescent="0.15"/>
    <row r="63230" hidden="1" x14ac:dyDescent="0.15"/>
    <row r="63231" hidden="1" x14ac:dyDescent="0.15"/>
    <row r="63232" hidden="1" x14ac:dyDescent="0.15"/>
    <row r="63233" hidden="1" x14ac:dyDescent="0.15"/>
    <row r="63234" hidden="1" x14ac:dyDescent="0.15"/>
    <row r="63235" hidden="1" x14ac:dyDescent="0.15"/>
    <row r="63236" hidden="1" x14ac:dyDescent="0.15"/>
    <row r="63237" hidden="1" x14ac:dyDescent="0.15"/>
    <row r="63238" hidden="1" x14ac:dyDescent="0.15"/>
    <row r="63239" hidden="1" x14ac:dyDescent="0.15"/>
    <row r="63240" hidden="1" x14ac:dyDescent="0.15"/>
    <row r="63241" hidden="1" x14ac:dyDescent="0.15"/>
    <row r="63242" hidden="1" x14ac:dyDescent="0.15"/>
    <row r="63243" hidden="1" x14ac:dyDescent="0.15"/>
    <row r="63244" hidden="1" x14ac:dyDescent="0.15"/>
    <row r="63245" hidden="1" x14ac:dyDescent="0.15"/>
    <row r="63246" hidden="1" x14ac:dyDescent="0.15"/>
    <row r="63247" hidden="1" x14ac:dyDescent="0.15"/>
    <row r="63248" hidden="1" x14ac:dyDescent="0.15"/>
    <row r="63249" hidden="1" x14ac:dyDescent="0.15"/>
    <row r="63250" hidden="1" x14ac:dyDescent="0.15"/>
    <row r="63251" hidden="1" x14ac:dyDescent="0.15"/>
    <row r="63252" hidden="1" x14ac:dyDescent="0.15"/>
    <row r="63253" hidden="1" x14ac:dyDescent="0.15"/>
    <row r="63254" hidden="1" x14ac:dyDescent="0.15"/>
    <row r="63255" hidden="1" x14ac:dyDescent="0.15"/>
    <row r="63256" hidden="1" x14ac:dyDescent="0.15"/>
    <row r="63257" hidden="1" x14ac:dyDescent="0.15"/>
    <row r="63258" hidden="1" x14ac:dyDescent="0.15"/>
    <row r="63259" hidden="1" x14ac:dyDescent="0.15"/>
    <row r="63260" hidden="1" x14ac:dyDescent="0.15"/>
    <row r="63261" hidden="1" x14ac:dyDescent="0.15"/>
    <row r="63262" hidden="1" x14ac:dyDescent="0.15"/>
    <row r="63263" hidden="1" x14ac:dyDescent="0.15"/>
    <row r="63264" hidden="1" x14ac:dyDescent="0.15"/>
    <row r="63265" hidden="1" x14ac:dyDescent="0.15"/>
    <row r="63266" hidden="1" x14ac:dyDescent="0.15"/>
    <row r="63267" hidden="1" x14ac:dyDescent="0.15"/>
    <row r="63268" hidden="1" x14ac:dyDescent="0.15"/>
    <row r="63269" hidden="1" x14ac:dyDescent="0.15"/>
    <row r="63270" hidden="1" x14ac:dyDescent="0.15"/>
    <row r="63271" hidden="1" x14ac:dyDescent="0.15"/>
    <row r="63272" hidden="1" x14ac:dyDescent="0.15"/>
    <row r="63273" hidden="1" x14ac:dyDescent="0.15"/>
    <row r="63274" hidden="1" x14ac:dyDescent="0.15"/>
    <row r="63275" hidden="1" x14ac:dyDescent="0.15"/>
    <row r="63276" hidden="1" x14ac:dyDescent="0.15"/>
    <row r="63277" hidden="1" x14ac:dyDescent="0.15"/>
    <row r="63278" hidden="1" x14ac:dyDescent="0.15"/>
    <row r="63279" hidden="1" x14ac:dyDescent="0.15"/>
    <row r="63280" hidden="1" x14ac:dyDescent="0.15"/>
    <row r="63281" hidden="1" x14ac:dyDescent="0.15"/>
    <row r="63282" hidden="1" x14ac:dyDescent="0.15"/>
    <row r="63283" hidden="1" x14ac:dyDescent="0.15"/>
    <row r="63284" hidden="1" x14ac:dyDescent="0.15"/>
    <row r="63285" hidden="1" x14ac:dyDescent="0.15"/>
    <row r="63286" hidden="1" x14ac:dyDescent="0.15"/>
    <row r="63287" hidden="1" x14ac:dyDescent="0.15"/>
    <row r="63288" hidden="1" x14ac:dyDescent="0.15"/>
    <row r="63289" hidden="1" x14ac:dyDescent="0.15"/>
    <row r="63290" hidden="1" x14ac:dyDescent="0.15"/>
    <row r="63291" hidden="1" x14ac:dyDescent="0.15"/>
    <row r="63292" hidden="1" x14ac:dyDescent="0.15"/>
    <row r="63293" hidden="1" x14ac:dyDescent="0.15"/>
    <row r="63294" hidden="1" x14ac:dyDescent="0.15"/>
    <row r="63295" hidden="1" x14ac:dyDescent="0.15"/>
    <row r="63296" hidden="1" x14ac:dyDescent="0.15"/>
    <row r="63297" hidden="1" x14ac:dyDescent="0.15"/>
    <row r="63298" hidden="1" x14ac:dyDescent="0.15"/>
    <row r="63299" hidden="1" x14ac:dyDescent="0.15"/>
    <row r="63300" hidden="1" x14ac:dyDescent="0.15"/>
    <row r="63301" hidden="1" x14ac:dyDescent="0.15"/>
    <row r="63302" hidden="1" x14ac:dyDescent="0.15"/>
    <row r="63303" hidden="1" x14ac:dyDescent="0.15"/>
    <row r="63304" hidden="1" x14ac:dyDescent="0.15"/>
    <row r="63305" hidden="1" x14ac:dyDescent="0.15"/>
    <row r="63306" hidden="1" x14ac:dyDescent="0.15"/>
    <row r="63307" hidden="1" x14ac:dyDescent="0.15"/>
    <row r="63308" hidden="1" x14ac:dyDescent="0.15"/>
    <row r="63309" hidden="1" x14ac:dyDescent="0.15"/>
    <row r="63310" hidden="1" x14ac:dyDescent="0.15"/>
    <row r="63311" hidden="1" x14ac:dyDescent="0.15"/>
    <row r="63312" hidden="1" x14ac:dyDescent="0.15"/>
    <row r="63313" hidden="1" x14ac:dyDescent="0.15"/>
    <row r="63314" hidden="1" x14ac:dyDescent="0.15"/>
    <row r="63315" hidden="1" x14ac:dyDescent="0.15"/>
    <row r="63316" hidden="1" x14ac:dyDescent="0.15"/>
    <row r="63317" hidden="1" x14ac:dyDescent="0.15"/>
    <row r="63318" hidden="1" x14ac:dyDescent="0.15"/>
    <row r="63319" hidden="1" x14ac:dyDescent="0.15"/>
    <row r="63320" hidden="1" x14ac:dyDescent="0.15"/>
    <row r="63321" hidden="1" x14ac:dyDescent="0.15"/>
    <row r="63322" hidden="1" x14ac:dyDescent="0.15"/>
    <row r="63323" hidden="1" x14ac:dyDescent="0.15"/>
    <row r="63324" hidden="1" x14ac:dyDescent="0.15"/>
    <row r="63325" hidden="1" x14ac:dyDescent="0.15"/>
    <row r="63326" hidden="1" x14ac:dyDescent="0.15"/>
    <row r="63327" hidden="1" x14ac:dyDescent="0.15"/>
    <row r="63328" hidden="1" x14ac:dyDescent="0.15"/>
    <row r="63329" hidden="1" x14ac:dyDescent="0.15"/>
    <row r="63330" hidden="1" x14ac:dyDescent="0.15"/>
    <row r="63331" hidden="1" x14ac:dyDescent="0.15"/>
    <row r="63332" hidden="1" x14ac:dyDescent="0.15"/>
    <row r="63333" hidden="1" x14ac:dyDescent="0.15"/>
    <row r="63334" hidden="1" x14ac:dyDescent="0.15"/>
    <row r="63335" hidden="1" x14ac:dyDescent="0.15"/>
    <row r="63336" hidden="1" x14ac:dyDescent="0.15"/>
    <row r="63337" hidden="1" x14ac:dyDescent="0.15"/>
    <row r="63338" hidden="1" x14ac:dyDescent="0.15"/>
    <row r="63339" hidden="1" x14ac:dyDescent="0.15"/>
    <row r="63340" hidden="1" x14ac:dyDescent="0.15"/>
    <row r="63341" hidden="1" x14ac:dyDescent="0.15"/>
    <row r="63342" hidden="1" x14ac:dyDescent="0.15"/>
    <row r="63343" hidden="1" x14ac:dyDescent="0.15"/>
    <row r="63344" hidden="1" x14ac:dyDescent="0.15"/>
    <row r="63345" hidden="1" x14ac:dyDescent="0.15"/>
    <row r="63346" hidden="1" x14ac:dyDescent="0.15"/>
    <row r="63347" hidden="1" x14ac:dyDescent="0.15"/>
    <row r="63348" hidden="1" x14ac:dyDescent="0.15"/>
    <row r="63349" hidden="1" x14ac:dyDescent="0.15"/>
    <row r="63350" hidden="1" x14ac:dyDescent="0.15"/>
    <row r="63351" hidden="1" x14ac:dyDescent="0.15"/>
    <row r="63352" hidden="1" x14ac:dyDescent="0.15"/>
    <row r="63353" hidden="1" x14ac:dyDescent="0.15"/>
    <row r="63354" hidden="1" x14ac:dyDescent="0.15"/>
    <row r="63355" hidden="1" x14ac:dyDescent="0.15"/>
    <row r="63356" hidden="1" x14ac:dyDescent="0.15"/>
    <row r="63357" hidden="1" x14ac:dyDescent="0.15"/>
    <row r="63358" hidden="1" x14ac:dyDescent="0.15"/>
    <row r="63359" hidden="1" x14ac:dyDescent="0.15"/>
    <row r="63360" hidden="1" x14ac:dyDescent="0.15"/>
    <row r="63361" hidden="1" x14ac:dyDescent="0.15"/>
    <row r="63362" hidden="1" x14ac:dyDescent="0.15"/>
    <row r="63363" hidden="1" x14ac:dyDescent="0.15"/>
    <row r="63364" hidden="1" x14ac:dyDescent="0.15"/>
    <row r="63365" hidden="1" x14ac:dyDescent="0.15"/>
    <row r="63366" hidden="1" x14ac:dyDescent="0.15"/>
    <row r="63367" hidden="1" x14ac:dyDescent="0.15"/>
    <row r="63368" hidden="1" x14ac:dyDescent="0.15"/>
    <row r="63369" hidden="1" x14ac:dyDescent="0.15"/>
    <row r="63370" hidden="1" x14ac:dyDescent="0.15"/>
    <row r="63371" hidden="1" x14ac:dyDescent="0.15"/>
    <row r="63372" hidden="1" x14ac:dyDescent="0.15"/>
    <row r="63373" hidden="1" x14ac:dyDescent="0.15"/>
    <row r="63374" hidden="1" x14ac:dyDescent="0.15"/>
    <row r="63375" hidden="1" x14ac:dyDescent="0.15"/>
    <row r="63376" hidden="1" x14ac:dyDescent="0.15"/>
    <row r="63377" hidden="1" x14ac:dyDescent="0.15"/>
    <row r="63378" hidden="1" x14ac:dyDescent="0.15"/>
    <row r="63379" hidden="1" x14ac:dyDescent="0.15"/>
    <row r="63380" hidden="1" x14ac:dyDescent="0.15"/>
    <row r="63381" hidden="1" x14ac:dyDescent="0.15"/>
    <row r="63382" hidden="1" x14ac:dyDescent="0.15"/>
    <row r="63383" hidden="1" x14ac:dyDescent="0.15"/>
    <row r="63384" hidden="1" x14ac:dyDescent="0.15"/>
    <row r="63385" hidden="1" x14ac:dyDescent="0.15"/>
    <row r="63386" hidden="1" x14ac:dyDescent="0.15"/>
    <row r="63387" hidden="1" x14ac:dyDescent="0.15"/>
    <row r="63388" hidden="1" x14ac:dyDescent="0.15"/>
    <row r="63389" hidden="1" x14ac:dyDescent="0.15"/>
    <row r="63390" hidden="1" x14ac:dyDescent="0.15"/>
    <row r="63391" hidden="1" x14ac:dyDescent="0.15"/>
    <row r="63392" hidden="1" x14ac:dyDescent="0.15"/>
    <row r="63393" hidden="1" x14ac:dyDescent="0.15"/>
    <row r="63394" hidden="1" x14ac:dyDescent="0.15"/>
    <row r="63395" hidden="1" x14ac:dyDescent="0.15"/>
    <row r="63396" hidden="1" x14ac:dyDescent="0.15"/>
    <row r="63397" hidden="1" x14ac:dyDescent="0.15"/>
    <row r="63398" hidden="1" x14ac:dyDescent="0.15"/>
    <row r="63399" hidden="1" x14ac:dyDescent="0.15"/>
    <row r="63400" hidden="1" x14ac:dyDescent="0.15"/>
    <row r="63401" hidden="1" x14ac:dyDescent="0.15"/>
    <row r="63402" hidden="1" x14ac:dyDescent="0.15"/>
    <row r="63403" hidden="1" x14ac:dyDescent="0.15"/>
    <row r="63404" hidden="1" x14ac:dyDescent="0.15"/>
    <row r="63405" hidden="1" x14ac:dyDescent="0.15"/>
    <row r="63406" hidden="1" x14ac:dyDescent="0.15"/>
    <row r="63407" hidden="1" x14ac:dyDescent="0.15"/>
    <row r="63408" hidden="1" x14ac:dyDescent="0.15"/>
    <row r="63409" hidden="1" x14ac:dyDescent="0.15"/>
    <row r="63410" hidden="1" x14ac:dyDescent="0.15"/>
    <row r="63411" hidden="1" x14ac:dyDescent="0.15"/>
    <row r="63412" hidden="1" x14ac:dyDescent="0.15"/>
    <row r="63413" hidden="1" x14ac:dyDescent="0.15"/>
    <row r="63414" hidden="1" x14ac:dyDescent="0.15"/>
    <row r="63415" hidden="1" x14ac:dyDescent="0.15"/>
    <row r="63416" hidden="1" x14ac:dyDescent="0.15"/>
    <row r="63417" hidden="1" x14ac:dyDescent="0.15"/>
    <row r="63418" hidden="1" x14ac:dyDescent="0.15"/>
    <row r="63419" hidden="1" x14ac:dyDescent="0.15"/>
    <row r="63420" hidden="1" x14ac:dyDescent="0.15"/>
    <row r="63421" hidden="1" x14ac:dyDescent="0.15"/>
    <row r="63422" hidden="1" x14ac:dyDescent="0.15"/>
    <row r="63423" hidden="1" x14ac:dyDescent="0.15"/>
    <row r="63424" hidden="1" x14ac:dyDescent="0.15"/>
    <row r="63425" hidden="1" x14ac:dyDescent="0.15"/>
    <row r="63426" hidden="1" x14ac:dyDescent="0.15"/>
    <row r="63427" hidden="1" x14ac:dyDescent="0.15"/>
    <row r="63428" hidden="1" x14ac:dyDescent="0.15"/>
    <row r="63429" hidden="1" x14ac:dyDescent="0.15"/>
    <row r="63430" hidden="1" x14ac:dyDescent="0.15"/>
    <row r="63431" hidden="1" x14ac:dyDescent="0.15"/>
    <row r="63432" hidden="1" x14ac:dyDescent="0.15"/>
    <row r="63433" hidden="1" x14ac:dyDescent="0.15"/>
    <row r="63434" hidden="1" x14ac:dyDescent="0.15"/>
    <row r="63435" hidden="1" x14ac:dyDescent="0.15"/>
    <row r="63436" hidden="1" x14ac:dyDescent="0.15"/>
    <row r="63437" hidden="1" x14ac:dyDescent="0.15"/>
    <row r="63438" hidden="1" x14ac:dyDescent="0.15"/>
    <row r="63439" hidden="1" x14ac:dyDescent="0.15"/>
    <row r="63440" hidden="1" x14ac:dyDescent="0.15"/>
    <row r="63441" hidden="1" x14ac:dyDescent="0.15"/>
    <row r="63442" hidden="1" x14ac:dyDescent="0.15"/>
    <row r="63443" hidden="1" x14ac:dyDescent="0.15"/>
    <row r="63444" hidden="1" x14ac:dyDescent="0.15"/>
    <row r="63445" hidden="1" x14ac:dyDescent="0.15"/>
    <row r="63446" hidden="1" x14ac:dyDescent="0.15"/>
    <row r="63447" hidden="1" x14ac:dyDescent="0.15"/>
    <row r="63448" hidden="1" x14ac:dyDescent="0.15"/>
    <row r="63449" hidden="1" x14ac:dyDescent="0.15"/>
    <row r="63450" hidden="1" x14ac:dyDescent="0.15"/>
    <row r="63451" hidden="1" x14ac:dyDescent="0.15"/>
    <row r="63452" hidden="1" x14ac:dyDescent="0.15"/>
    <row r="63453" hidden="1" x14ac:dyDescent="0.15"/>
    <row r="63454" hidden="1" x14ac:dyDescent="0.15"/>
    <row r="63455" hidden="1" x14ac:dyDescent="0.15"/>
    <row r="63456" hidden="1" x14ac:dyDescent="0.15"/>
    <row r="63457" hidden="1" x14ac:dyDescent="0.15"/>
    <row r="63458" hidden="1" x14ac:dyDescent="0.15"/>
    <row r="63459" hidden="1" x14ac:dyDescent="0.15"/>
    <row r="63460" hidden="1" x14ac:dyDescent="0.15"/>
    <row r="63461" hidden="1" x14ac:dyDescent="0.15"/>
    <row r="63462" hidden="1" x14ac:dyDescent="0.15"/>
    <row r="63463" hidden="1" x14ac:dyDescent="0.15"/>
    <row r="63464" hidden="1" x14ac:dyDescent="0.15"/>
    <row r="63465" hidden="1" x14ac:dyDescent="0.15"/>
    <row r="63466" hidden="1" x14ac:dyDescent="0.15"/>
    <row r="63467" hidden="1" x14ac:dyDescent="0.15"/>
    <row r="63468" hidden="1" x14ac:dyDescent="0.15"/>
    <row r="63469" hidden="1" x14ac:dyDescent="0.15"/>
    <row r="63470" hidden="1" x14ac:dyDescent="0.15"/>
    <row r="63471" hidden="1" x14ac:dyDescent="0.15"/>
    <row r="63472" hidden="1" x14ac:dyDescent="0.15"/>
    <row r="63473" hidden="1" x14ac:dyDescent="0.15"/>
    <row r="63474" hidden="1" x14ac:dyDescent="0.15"/>
    <row r="63475" hidden="1" x14ac:dyDescent="0.15"/>
    <row r="63476" hidden="1" x14ac:dyDescent="0.15"/>
    <row r="63477" hidden="1" x14ac:dyDescent="0.15"/>
    <row r="63478" hidden="1" x14ac:dyDescent="0.15"/>
    <row r="63479" hidden="1" x14ac:dyDescent="0.15"/>
    <row r="63480" hidden="1" x14ac:dyDescent="0.15"/>
    <row r="63481" hidden="1" x14ac:dyDescent="0.15"/>
    <row r="63482" hidden="1" x14ac:dyDescent="0.15"/>
    <row r="63483" hidden="1" x14ac:dyDescent="0.15"/>
    <row r="63484" hidden="1" x14ac:dyDescent="0.15"/>
    <row r="63485" hidden="1" x14ac:dyDescent="0.15"/>
    <row r="63486" hidden="1" x14ac:dyDescent="0.15"/>
    <row r="63487" hidden="1" x14ac:dyDescent="0.15"/>
    <row r="63488" hidden="1" x14ac:dyDescent="0.15"/>
    <row r="63489" hidden="1" x14ac:dyDescent="0.15"/>
    <row r="63490" hidden="1" x14ac:dyDescent="0.15"/>
    <row r="63491" hidden="1" x14ac:dyDescent="0.15"/>
    <row r="63492" hidden="1" x14ac:dyDescent="0.15"/>
    <row r="63493" hidden="1" x14ac:dyDescent="0.15"/>
    <row r="63494" hidden="1" x14ac:dyDescent="0.15"/>
    <row r="63495" hidden="1" x14ac:dyDescent="0.15"/>
    <row r="63496" hidden="1" x14ac:dyDescent="0.15"/>
    <row r="63497" hidden="1" x14ac:dyDescent="0.15"/>
    <row r="63498" hidden="1" x14ac:dyDescent="0.15"/>
    <row r="63499" hidden="1" x14ac:dyDescent="0.15"/>
    <row r="63500" hidden="1" x14ac:dyDescent="0.15"/>
    <row r="63501" hidden="1" x14ac:dyDescent="0.15"/>
    <row r="63502" hidden="1" x14ac:dyDescent="0.15"/>
    <row r="63503" hidden="1" x14ac:dyDescent="0.15"/>
    <row r="63504" hidden="1" x14ac:dyDescent="0.15"/>
    <row r="63505" hidden="1" x14ac:dyDescent="0.15"/>
    <row r="63506" hidden="1" x14ac:dyDescent="0.15"/>
    <row r="63507" hidden="1" x14ac:dyDescent="0.15"/>
    <row r="63508" hidden="1" x14ac:dyDescent="0.15"/>
    <row r="63509" hidden="1" x14ac:dyDescent="0.15"/>
    <row r="63510" hidden="1" x14ac:dyDescent="0.15"/>
    <row r="63511" hidden="1" x14ac:dyDescent="0.15"/>
    <row r="63512" hidden="1" x14ac:dyDescent="0.15"/>
    <row r="63513" hidden="1" x14ac:dyDescent="0.15"/>
    <row r="63514" hidden="1" x14ac:dyDescent="0.15"/>
    <row r="63515" hidden="1" x14ac:dyDescent="0.15"/>
    <row r="63516" hidden="1" x14ac:dyDescent="0.15"/>
    <row r="63517" hidden="1" x14ac:dyDescent="0.15"/>
    <row r="63518" hidden="1" x14ac:dyDescent="0.15"/>
    <row r="63519" hidden="1" x14ac:dyDescent="0.15"/>
    <row r="63520" hidden="1" x14ac:dyDescent="0.15"/>
    <row r="63521" hidden="1" x14ac:dyDescent="0.15"/>
    <row r="63522" hidden="1" x14ac:dyDescent="0.15"/>
    <row r="63523" hidden="1" x14ac:dyDescent="0.15"/>
    <row r="63524" hidden="1" x14ac:dyDescent="0.15"/>
    <row r="63525" hidden="1" x14ac:dyDescent="0.15"/>
    <row r="63526" hidden="1" x14ac:dyDescent="0.15"/>
    <row r="63527" hidden="1" x14ac:dyDescent="0.15"/>
    <row r="63528" hidden="1" x14ac:dyDescent="0.15"/>
    <row r="63529" hidden="1" x14ac:dyDescent="0.15"/>
    <row r="63530" hidden="1" x14ac:dyDescent="0.15"/>
    <row r="63531" hidden="1" x14ac:dyDescent="0.15"/>
    <row r="63532" hidden="1" x14ac:dyDescent="0.15"/>
    <row r="63533" hidden="1" x14ac:dyDescent="0.15"/>
    <row r="63534" hidden="1" x14ac:dyDescent="0.15"/>
    <row r="63535" hidden="1" x14ac:dyDescent="0.15"/>
    <row r="63536" hidden="1" x14ac:dyDescent="0.15"/>
    <row r="63537" hidden="1" x14ac:dyDescent="0.15"/>
    <row r="63538" hidden="1" x14ac:dyDescent="0.15"/>
    <row r="63539" hidden="1" x14ac:dyDescent="0.15"/>
    <row r="63540" hidden="1" x14ac:dyDescent="0.15"/>
    <row r="63541" hidden="1" x14ac:dyDescent="0.15"/>
    <row r="63542" hidden="1" x14ac:dyDescent="0.15"/>
    <row r="63543" hidden="1" x14ac:dyDescent="0.15"/>
    <row r="63544" hidden="1" x14ac:dyDescent="0.15"/>
    <row r="63545" hidden="1" x14ac:dyDescent="0.15"/>
    <row r="63546" hidden="1" x14ac:dyDescent="0.15"/>
    <row r="63547" hidden="1" x14ac:dyDescent="0.15"/>
    <row r="63548" hidden="1" x14ac:dyDescent="0.15"/>
    <row r="63549" hidden="1" x14ac:dyDescent="0.15"/>
    <row r="63550" hidden="1" x14ac:dyDescent="0.15"/>
    <row r="63551" hidden="1" x14ac:dyDescent="0.15"/>
    <row r="63552" hidden="1" x14ac:dyDescent="0.15"/>
    <row r="63553" hidden="1" x14ac:dyDescent="0.15"/>
    <row r="63554" hidden="1" x14ac:dyDescent="0.15"/>
    <row r="63555" hidden="1" x14ac:dyDescent="0.15"/>
    <row r="63556" hidden="1" x14ac:dyDescent="0.15"/>
    <row r="63557" hidden="1" x14ac:dyDescent="0.15"/>
    <row r="63558" hidden="1" x14ac:dyDescent="0.15"/>
    <row r="63559" hidden="1" x14ac:dyDescent="0.15"/>
    <row r="63560" hidden="1" x14ac:dyDescent="0.15"/>
    <row r="63561" hidden="1" x14ac:dyDescent="0.15"/>
    <row r="63562" hidden="1" x14ac:dyDescent="0.15"/>
    <row r="63563" hidden="1" x14ac:dyDescent="0.15"/>
    <row r="63564" hidden="1" x14ac:dyDescent="0.15"/>
    <row r="63565" hidden="1" x14ac:dyDescent="0.15"/>
    <row r="63566" hidden="1" x14ac:dyDescent="0.15"/>
    <row r="63567" hidden="1" x14ac:dyDescent="0.15"/>
    <row r="63568" hidden="1" x14ac:dyDescent="0.15"/>
    <row r="63569" hidden="1" x14ac:dyDescent="0.15"/>
    <row r="63570" hidden="1" x14ac:dyDescent="0.15"/>
    <row r="63571" hidden="1" x14ac:dyDescent="0.15"/>
    <row r="63572" hidden="1" x14ac:dyDescent="0.15"/>
    <row r="63573" hidden="1" x14ac:dyDescent="0.15"/>
    <row r="63574" hidden="1" x14ac:dyDescent="0.15"/>
    <row r="63575" hidden="1" x14ac:dyDescent="0.15"/>
    <row r="63576" hidden="1" x14ac:dyDescent="0.15"/>
    <row r="63577" hidden="1" x14ac:dyDescent="0.15"/>
    <row r="63578" hidden="1" x14ac:dyDescent="0.15"/>
    <row r="63579" hidden="1" x14ac:dyDescent="0.15"/>
    <row r="63580" hidden="1" x14ac:dyDescent="0.15"/>
    <row r="63581" hidden="1" x14ac:dyDescent="0.15"/>
    <row r="63582" hidden="1" x14ac:dyDescent="0.15"/>
    <row r="63583" hidden="1" x14ac:dyDescent="0.15"/>
    <row r="63584" hidden="1" x14ac:dyDescent="0.15"/>
    <row r="63585" hidden="1" x14ac:dyDescent="0.15"/>
    <row r="63586" hidden="1" x14ac:dyDescent="0.15"/>
    <row r="63587" hidden="1" x14ac:dyDescent="0.15"/>
    <row r="63588" hidden="1" x14ac:dyDescent="0.15"/>
    <row r="63589" hidden="1" x14ac:dyDescent="0.15"/>
    <row r="63590" hidden="1" x14ac:dyDescent="0.15"/>
    <row r="63591" hidden="1" x14ac:dyDescent="0.15"/>
    <row r="63592" hidden="1" x14ac:dyDescent="0.15"/>
    <row r="63593" hidden="1" x14ac:dyDescent="0.15"/>
    <row r="63594" hidden="1" x14ac:dyDescent="0.15"/>
    <row r="63595" hidden="1" x14ac:dyDescent="0.15"/>
    <row r="63596" hidden="1" x14ac:dyDescent="0.15"/>
    <row r="63597" hidden="1" x14ac:dyDescent="0.15"/>
    <row r="63598" hidden="1" x14ac:dyDescent="0.15"/>
    <row r="63599" hidden="1" x14ac:dyDescent="0.15"/>
    <row r="63600" hidden="1" x14ac:dyDescent="0.15"/>
    <row r="63601" hidden="1" x14ac:dyDescent="0.15"/>
    <row r="63602" hidden="1" x14ac:dyDescent="0.15"/>
    <row r="63603" hidden="1" x14ac:dyDescent="0.15"/>
    <row r="63604" hidden="1" x14ac:dyDescent="0.15"/>
    <row r="63605" hidden="1" x14ac:dyDescent="0.15"/>
    <row r="63606" hidden="1" x14ac:dyDescent="0.15"/>
    <row r="63607" hidden="1" x14ac:dyDescent="0.15"/>
    <row r="63608" hidden="1" x14ac:dyDescent="0.15"/>
    <row r="63609" hidden="1" x14ac:dyDescent="0.15"/>
    <row r="63610" hidden="1" x14ac:dyDescent="0.15"/>
    <row r="63611" hidden="1" x14ac:dyDescent="0.15"/>
    <row r="63612" hidden="1" x14ac:dyDescent="0.15"/>
    <row r="63613" hidden="1" x14ac:dyDescent="0.15"/>
    <row r="63614" hidden="1" x14ac:dyDescent="0.15"/>
    <row r="63615" hidden="1" x14ac:dyDescent="0.15"/>
    <row r="63616" hidden="1" x14ac:dyDescent="0.15"/>
    <row r="63617" hidden="1" x14ac:dyDescent="0.15"/>
    <row r="63618" hidden="1" x14ac:dyDescent="0.15"/>
    <row r="63619" hidden="1" x14ac:dyDescent="0.15"/>
    <row r="63620" hidden="1" x14ac:dyDescent="0.15"/>
    <row r="63621" hidden="1" x14ac:dyDescent="0.15"/>
    <row r="63622" hidden="1" x14ac:dyDescent="0.15"/>
    <row r="63623" hidden="1" x14ac:dyDescent="0.15"/>
    <row r="63624" hidden="1" x14ac:dyDescent="0.15"/>
    <row r="63625" hidden="1" x14ac:dyDescent="0.15"/>
    <row r="63626" hidden="1" x14ac:dyDescent="0.15"/>
    <row r="63627" hidden="1" x14ac:dyDescent="0.15"/>
    <row r="63628" hidden="1" x14ac:dyDescent="0.15"/>
    <row r="63629" hidden="1" x14ac:dyDescent="0.15"/>
    <row r="63630" hidden="1" x14ac:dyDescent="0.15"/>
    <row r="63631" hidden="1" x14ac:dyDescent="0.15"/>
    <row r="63632" hidden="1" x14ac:dyDescent="0.15"/>
    <row r="63633" hidden="1" x14ac:dyDescent="0.15"/>
    <row r="63634" hidden="1" x14ac:dyDescent="0.15"/>
    <row r="63635" hidden="1" x14ac:dyDescent="0.15"/>
    <row r="63636" hidden="1" x14ac:dyDescent="0.15"/>
    <row r="63637" hidden="1" x14ac:dyDescent="0.15"/>
    <row r="63638" hidden="1" x14ac:dyDescent="0.15"/>
    <row r="63639" hidden="1" x14ac:dyDescent="0.15"/>
    <row r="63640" hidden="1" x14ac:dyDescent="0.15"/>
    <row r="63641" hidden="1" x14ac:dyDescent="0.15"/>
    <row r="63642" hidden="1" x14ac:dyDescent="0.15"/>
    <row r="63643" hidden="1" x14ac:dyDescent="0.15"/>
    <row r="63644" hidden="1" x14ac:dyDescent="0.15"/>
    <row r="63645" hidden="1" x14ac:dyDescent="0.15"/>
    <row r="63646" hidden="1" x14ac:dyDescent="0.15"/>
    <row r="63647" hidden="1" x14ac:dyDescent="0.15"/>
    <row r="63648" hidden="1" x14ac:dyDescent="0.15"/>
    <row r="63649" hidden="1" x14ac:dyDescent="0.15"/>
    <row r="63650" hidden="1" x14ac:dyDescent="0.15"/>
    <row r="63651" hidden="1" x14ac:dyDescent="0.15"/>
    <row r="63652" hidden="1" x14ac:dyDescent="0.15"/>
    <row r="63653" hidden="1" x14ac:dyDescent="0.15"/>
    <row r="63654" hidden="1" x14ac:dyDescent="0.15"/>
    <row r="63655" hidden="1" x14ac:dyDescent="0.15"/>
    <row r="63656" hidden="1" x14ac:dyDescent="0.15"/>
    <row r="63657" hidden="1" x14ac:dyDescent="0.15"/>
    <row r="63658" hidden="1" x14ac:dyDescent="0.15"/>
    <row r="63659" hidden="1" x14ac:dyDescent="0.15"/>
    <row r="63660" hidden="1" x14ac:dyDescent="0.15"/>
    <row r="63661" hidden="1" x14ac:dyDescent="0.15"/>
    <row r="63662" hidden="1" x14ac:dyDescent="0.15"/>
    <row r="63663" hidden="1" x14ac:dyDescent="0.15"/>
    <row r="63664" hidden="1" x14ac:dyDescent="0.15"/>
    <row r="63665" hidden="1" x14ac:dyDescent="0.15"/>
    <row r="63666" hidden="1" x14ac:dyDescent="0.15"/>
    <row r="63667" hidden="1" x14ac:dyDescent="0.15"/>
    <row r="63668" hidden="1" x14ac:dyDescent="0.15"/>
    <row r="63669" hidden="1" x14ac:dyDescent="0.15"/>
    <row r="63670" hidden="1" x14ac:dyDescent="0.15"/>
    <row r="63671" hidden="1" x14ac:dyDescent="0.15"/>
    <row r="63672" hidden="1" x14ac:dyDescent="0.15"/>
    <row r="63673" hidden="1" x14ac:dyDescent="0.15"/>
    <row r="63674" hidden="1" x14ac:dyDescent="0.15"/>
    <row r="63675" hidden="1" x14ac:dyDescent="0.15"/>
    <row r="63676" hidden="1" x14ac:dyDescent="0.15"/>
    <row r="63677" hidden="1" x14ac:dyDescent="0.15"/>
    <row r="63678" hidden="1" x14ac:dyDescent="0.15"/>
    <row r="63679" hidden="1" x14ac:dyDescent="0.15"/>
    <row r="63680" hidden="1" x14ac:dyDescent="0.15"/>
    <row r="63681" hidden="1" x14ac:dyDescent="0.15"/>
    <row r="63682" hidden="1" x14ac:dyDescent="0.15"/>
    <row r="63683" hidden="1" x14ac:dyDescent="0.15"/>
    <row r="63684" hidden="1" x14ac:dyDescent="0.15"/>
    <row r="63685" hidden="1" x14ac:dyDescent="0.15"/>
    <row r="63686" hidden="1" x14ac:dyDescent="0.15"/>
    <row r="63687" hidden="1" x14ac:dyDescent="0.15"/>
    <row r="63688" hidden="1" x14ac:dyDescent="0.15"/>
    <row r="63689" hidden="1" x14ac:dyDescent="0.15"/>
    <row r="63690" hidden="1" x14ac:dyDescent="0.15"/>
    <row r="63691" hidden="1" x14ac:dyDescent="0.15"/>
    <row r="63692" hidden="1" x14ac:dyDescent="0.15"/>
    <row r="63693" hidden="1" x14ac:dyDescent="0.15"/>
    <row r="63694" hidden="1" x14ac:dyDescent="0.15"/>
    <row r="63695" hidden="1" x14ac:dyDescent="0.15"/>
    <row r="63696" hidden="1" x14ac:dyDescent="0.15"/>
    <row r="63697" hidden="1" x14ac:dyDescent="0.15"/>
    <row r="63698" hidden="1" x14ac:dyDescent="0.15"/>
    <row r="63699" hidden="1" x14ac:dyDescent="0.15"/>
    <row r="63700" hidden="1" x14ac:dyDescent="0.15"/>
    <row r="63701" hidden="1" x14ac:dyDescent="0.15"/>
    <row r="63702" hidden="1" x14ac:dyDescent="0.15"/>
    <row r="63703" hidden="1" x14ac:dyDescent="0.15"/>
    <row r="63704" hidden="1" x14ac:dyDescent="0.15"/>
    <row r="63705" hidden="1" x14ac:dyDescent="0.15"/>
    <row r="63706" hidden="1" x14ac:dyDescent="0.15"/>
    <row r="63707" hidden="1" x14ac:dyDescent="0.15"/>
    <row r="63708" hidden="1" x14ac:dyDescent="0.15"/>
    <row r="63709" hidden="1" x14ac:dyDescent="0.15"/>
    <row r="63710" hidden="1" x14ac:dyDescent="0.15"/>
    <row r="63711" hidden="1" x14ac:dyDescent="0.15"/>
    <row r="63712" hidden="1" x14ac:dyDescent="0.15"/>
    <row r="63713" hidden="1" x14ac:dyDescent="0.15"/>
    <row r="63714" hidden="1" x14ac:dyDescent="0.15"/>
    <row r="63715" hidden="1" x14ac:dyDescent="0.15"/>
    <row r="63716" hidden="1" x14ac:dyDescent="0.15"/>
    <row r="63717" hidden="1" x14ac:dyDescent="0.15"/>
    <row r="63718" hidden="1" x14ac:dyDescent="0.15"/>
    <row r="63719" hidden="1" x14ac:dyDescent="0.15"/>
    <row r="63720" hidden="1" x14ac:dyDescent="0.15"/>
    <row r="63721" hidden="1" x14ac:dyDescent="0.15"/>
    <row r="63722" hidden="1" x14ac:dyDescent="0.15"/>
    <row r="63723" hidden="1" x14ac:dyDescent="0.15"/>
    <row r="63724" hidden="1" x14ac:dyDescent="0.15"/>
    <row r="63725" hidden="1" x14ac:dyDescent="0.15"/>
    <row r="63726" hidden="1" x14ac:dyDescent="0.15"/>
    <row r="63727" hidden="1" x14ac:dyDescent="0.15"/>
    <row r="63728" hidden="1" x14ac:dyDescent="0.15"/>
    <row r="63729" hidden="1" x14ac:dyDescent="0.15"/>
    <row r="63730" hidden="1" x14ac:dyDescent="0.15"/>
    <row r="63731" hidden="1" x14ac:dyDescent="0.15"/>
    <row r="63732" hidden="1" x14ac:dyDescent="0.15"/>
    <row r="63733" hidden="1" x14ac:dyDescent="0.15"/>
    <row r="63734" hidden="1" x14ac:dyDescent="0.15"/>
    <row r="63735" hidden="1" x14ac:dyDescent="0.15"/>
    <row r="63736" hidden="1" x14ac:dyDescent="0.15"/>
    <row r="63737" hidden="1" x14ac:dyDescent="0.15"/>
    <row r="63738" hidden="1" x14ac:dyDescent="0.15"/>
    <row r="63739" hidden="1" x14ac:dyDescent="0.15"/>
    <row r="63740" hidden="1" x14ac:dyDescent="0.15"/>
    <row r="63741" hidden="1" x14ac:dyDescent="0.15"/>
    <row r="63742" hidden="1" x14ac:dyDescent="0.15"/>
    <row r="63743" hidden="1" x14ac:dyDescent="0.15"/>
    <row r="63744" hidden="1" x14ac:dyDescent="0.15"/>
    <row r="63745" hidden="1" x14ac:dyDescent="0.15"/>
    <row r="63746" hidden="1" x14ac:dyDescent="0.15"/>
    <row r="63747" hidden="1" x14ac:dyDescent="0.15"/>
    <row r="63748" hidden="1" x14ac:dyDescent="0.15"/>
    <row r="63749" hidden="1" x14ac:dyDescent="0.15"/>
    <row r="63750" hidden="1" x14ac:dyDescent="0.15"/>
    <row r="63751" hidden="1" x14ac:dyDescent="0.15"/>
    <row r="63752" hidden="1" x14ac:dyDescent="0.15"/>
    <row r="63753" hidden="1" x14ac:dyDescent="0.15"/>
    <row r="63754" hidden="1" x14ac:dyDescent="0.15"/>
    <row r="63755" hidden="1" x14ac:dyDescent="0.15"/>
    <row r="63756" hidden="1" x14ac:dyDescent="0.15"/>
    <row r="63757" hidden="1" x14ac:dyDescent="0.15"/>
    <row r="63758" hidden="1" x14ac:dyDescent="0.15"/>
    <row r="63759" hidden="1" x14ac:dyDescent="0.15"/>
    <row r="63760" hidden="1" x14ac:dyDescent="0.15"/>
    <row r="63761" hidden="1" x14ac:dyDescent="0.15"/>
    <row r="63762" hidden="1" x14ac:dyDescent="0.15"/>
    <row r="63763" hidden="1" x14ac:dyDescent="0.15"/>
    <row r="63764" hidden="1" x14ac:dyDescent="0.15"/>
    <row r="63765" hidden="1" x14ac:dyDescent="0.15"/>
    <row r="63766" hidden="1" x14ac:dyDescent="0.15"/>
    <row r="63767" hidden="1" x14ac:dyDescent="0.15"/>
    <row r="63768" hidden="1" x14ac:dyDescent="0.15"/>
    <row r="63769" hidden="1" x14ac:dyDescent="0.15"/>
    <row r="63770" hidden="1" x14ac:dyDescent="0.15"/>
    <row r="63771" hidden="1" x14ac:dyDescent="0.15"/>
    <row r="63772" hidden="1" x14ac:dyDescent="0.15"/>
    <row r="63773" hidden="1" x14ac:dyDescent="0.15"/>
    <row r="63774" hidden="1" x14ac:dyDescent="0.15"/>
    <row r="63775" hidden="1" x14ac:dyDescent="0.15"/>
    <row r="63776" hidden="1" x14ac:dyDescent="0.15"/>
    <row r="63777" hidden="1" x14ac:dyDescent="0.15"/>
    <row r="63778" hidden="1" x14ac:dyDescent="0.15"/>
    <row r="63779" hidden="1" x14ac:dyDescent="0.15"/>
    <row r="63780" hidden="1" x14ac:dyDescent="0.15"/>
    <row r="63781" hidden="1" x14ac:dyDescent="0.15"/>
    <row r="63782" hidden="1" x14ac:dyDescent="0.15"/>
    <row r="63783" hidden="1" x14ac:dyDescent="0.15"/>
    <row r="63784" hidden="1" x14ac:dyDescent="0.15"/>
    <row r="63785" hidden="1" x14ac:dyDescent="0.15"/>
    <row r="63786" hidden="1" x14ac:dyDescent="0.15"/>
    <row r="63787" hidden="1" x14ac:dyDescent="0.15"/>
    <row r="63788" hidden="1" x14ac:dyDescent="0.15"/>
    <row r="63789" hidden="1" x14ac:dyDescent="0.15"/>
    <row r="63790" hidden="1" x14ac:dyDescent="0.15"/>
    <row r="63791" hidden="1" x14ac:dyDescent="0.15"/>
    <row r="63792" hidden="1" x14ac:dyDescent="0.15"/>
    <row r="63793" hidden="1" x14ac:dyDescent="0.15"/>
    <row r="63794" hidden="1" x14ac:dyDescent="0.15"/>
    <row r="63795" hidden="1" x14ac:dyDescent="0.15"/>
    <row r="63796" hidden="1" x14ac:dyDescent="0.15"/>
    <row r="63797" hidden="1" x14ac:dyDescent="0.15"/>
    <row r="63798" hidden="1" x14ac:dyDescent="0.15"/>
    <row r="63799" hidden="1" x14ac:dyDescent="0.15"/>
    <row r="63800" hidden="1" x14ac:dyDescent="0.15"/>
    <row r="63801" hidden="1" x14ac:dyDescent="0.15"/>
    <row r="63802" hidden="1" x14ac:dyDescent="0.15"/>
    <row r="63803" hidden="1" x14ac:dyDescent="0.15"/>
    <row r="63804" hidden="1" x14ac:dyDescent="0.15"/>
    <row r="63805" hidden="1" x14ac:dyDescent="0.15"/>
    <row r="63806" hidden="1" x14ac:dyDescent="0.15"/>
    <row r="63807" hidden="1" x14ac:dyDescent="0.15"/>
    <row r="63808" hidden="1" x14ac:dyDescent="0.15"/>
    <row r="63809" hidden="1" x14ac:dyDescent="0.15"/>
    <row r="63810" hidden="1" x14ac:dyDescent="0.15"/>
    <row r="63811" hidden="1" x14ac:dyDescent="0.15"/>
    <row r="63812" hidden="1" x14ac:dyDescent="0.15"/>
    <row r="63813" hidden="1" x14ac:dyDescent="0.15"/>
    <row r="63814" hidden="1" x14ac:dyDescent="0.15"/>
    <row r="63815" hidden="1" x14ac:dyDescent="0.15"/>
    <row r="63816" hidden="1" x14ac:dyDescent="0.15"/>
    <row r="63817" hidden="1" x14ac:dyDescent="0.15"/>
    <row r="63818" hidden="1" x14ac:dyDescent="0.15"/>
    <row r="63819" hidden="1" x14ac:dyDescent="0.15"/>
    <row r="63820" hidden="1" x14ac:dyDescent="0.15"/>
    <row r="63821" hidden="1" x14ac:dyDescent="0.15"/>
    <row r="63822" hidden="1" x14ac:dyDescent="0.15"/>
    <row r="63823" hidden="1" x14ac:dyDescent="0.15"/>
    <row r="63824" hidden="1" x14ac:dyDescent="0.15"/>
    <row r="63825" hidden="1" x14ac:dyDescent="0.15"/>
    <row r="63826" hidden="1" x14ac:dyDescent="0.15"/>
    <row r="63827" hidden="1" x14ac:dyDescent="0.15"/>
    <row r="63828" hidden="1" x14ac:dyDescent="0.15"/>
    <row r="63829" hidden="1" x14ac:dyDescent="0.15"/>
    <row r="63830" hidden="1" x14ac:dyDescent="0.15"/>
    <row r="63831" hidden="1" x14ac:dyDescent="0.15"/>
    <row r="63832" hidden="1" x14ac:dyDescent="0.15"/>
    <row r="63833" hidden="1" x14ac:dyDescent="0.15"/>
    <row r="63834" hidden="1" x14ac:dyDescent="0.15"/>
    <row r="63835" hidden="1" x14ac:dyDescent="0.15"/>
    <row r="63836" hidden="1" x14ac:dyDescent="0.15"/>
    <row r="63837" hidden="1" x14ac:dyDescent="0.15"/>
    <row r="63838" hidden="1" x14ac:dyDescent="0.15"/>
    <row r="63839" hidden="1" x14ac:dyDescent="0.15"/>
    <row r="63840" hidden="1" x14ac:dyDescent="0.15"/>
    <row r="63841" hidden="1" x14ac:dyDescent="0.15"/>
    <row r="63842" hidden="1" x14ac:dyDescent="0.15"/>
    <row r="63843" hidden="1" x14ac:dyDescent="0.15"/>
    <row r="63844" hidden="1" x14ac:dyDescent="0.15"/>
    <row r="63845" hidden="1" x14ac:dyDescent="0.15"/>
    <row r="63846" hidden="1" x14ac:dyDescent="0.15"/>
    <row r="63847" hidden="1" x14ac:dyDescent="0.15"/>
    <row r="63848" hidden="1" x14ac:dyDescent="0.15"/>
    <row r="63849" hidden="1" x14ac:dyDescent="0.15"/>
    <row r="63850" hidden="1" x14ac:dyDescent="0.15"/>
    <row r="63851" hidden="1" x14ac:dyDescent="0.15"/>
    <row r="63852" hidden="1" x14ac:dyDescent="0.15"/>
    <row r="63853" hidden="1" x14ac:dyDescent="0.15"/>
    <row r="63854" hidden="1" x14ac:dyDescent="0.15"/>
    <row r="63855" hidden="1" x14ac:dyDescent="0.15"/>
    <row r="63856" hidden="1" x14ac:dyDescent="0.15"/>
    <row r="63857" hidden="1" x14ac:dyDescent="0.15"/>
    <row r="63858" hidden="1" x14ac:dyDescent="0.15"/>
    <row r="63859" hidden="1" x14ac:dyDescent="0.15"/>
    <row r="63860" hidden="1" x14ac:dyDescent="0.15"/>
    <row r="63861" hidden="1" x14ac:dyDescent="0.15"/>
    <row r="63862" hidden="1" x14ac:dyDescent="0.15"/>
    <row r="63863" hidden="1" x14ac:dyDescent="0.15"/>
    <row r="63864" hidden="1" x14ac:dyDescent="0.15"/>
    <row r="63865" hidden="1" x14ac:dyDescent="0.15"/>
    <row r="63866" hidden="1" x14ac:dyDescent="0.15"/>
    <row r="63867" hidden="1" x14ac:dyDescent="0.15"/>
    <row r="63868" hidden="1" x14ac:dyDescent="0.15"/>
    <row r="63869" hidden="1" x14ac:dyDescent="0.15"/>
    <row r="63870" hidden="1" x14ac:dyDescent="0.15"/>
    <row r="63871" hidden="1" x14ac:dyDescent="0.15"/>
    <row r="63872" hidden="1" x14ac:dyDescent="0.15"/>
    <row r="63873" hidden="1" x14ac:dyDescent="0.15"/>
    <row r="63874" hidden="1" x14ac:dyDescent="0.15"/>
    <row r="63875" hidden="1" x14ac:dyDescent="0.15"/>
    <row r="63876" hidden="1" x14ac:dyDescent="0.15"/>
    <row r="63877" hidden="1" x14ac:dyDescent="0.15"/>
    <row r="63878" hidden="1" x14ac:dyDescent="0.15"/>
    <row r="63879" hidden="1" x14ac:dyDescent="0.15"/>
    <row r="63880" hidden="1" x14ac:dyDescent="0.15"/>
    <row r="63881" hidden="1" x14ac:dyDescent="0.15"/>
    <row r="63882" hidden="1" x14ac:dyDescent="0.15"/>
    <row r="63883" hidden="1" x14ac:dyDescent="0.15"/>
    <row r="63884" hidden="1" x14ac:dyDescent="0.15"/>
    <row r="63885" hidden="1" x14ac:dyDescent="0.15"/>
    <row r="63886" hidden="1" x14ac:dyDescent="0.15"/>
    <row r="63887" hidden="1" x14ac:dyDescent="0.15"/>
    <row r="63888" hidden="1" x14ac:dyDescent="0.15"/>
    <row r="63889" hidden="1" x14ac:dyDescent="0.15"/>
    <row r="63890" hidden="1" x14ac:dyDescent="0.15"/>
    <row r="63891" hidden="1" x14ac:dyDescent="0.15"/>
    <row r="63892" hidden="1" x14ac:dyDescent="0.15"/>
    <row r="63893" hidden="1" x14ac:dyDescent="0.15"/>
    <row r="63894" hidden="1" x14ac:dyDescent="0.15"/>
    <row r="63895" hidden="1" x14ac:dyDescent="0.15"/>
    <row r="63896" hidden="1" x14ac:dyDescent="0.15"/>
    <row r="63897" hidden="1" x14ac:dyDescent="0.15"/>
    <row r="63898" hidden="1" x14ac:dyDescent="0.15"/>
    <row r="63899" hidden="1" x14ac:dyDescent="0.15"/>
    <row r="63900" hidden="1" x14ac:dyDescent="0.15"/>
    <row r="63901" hidden="1" x14ac:dyDescent="0.15"/>
    <row r="63902" hidden="1" x14ac:dyDescent="0.15"/>
    <row r="63903" hidden="1" x14ac:dyDescent="0.15"/>
    <row r="63904" hidden="1" x14ac:dyDescent="0.15"/>
    <row r="63905" hidden="1" x14ac:dyDescent="0.15"/>
    <row r="63906" hidden="1" x14ac:dyDescent="0.15"/>
    <row r="63907" hidden="1" x14ac:dyDescent="0.15"/>
    <row r="63908" hidden="1" x14ac:dyDescent="0.15"/>
    <row r="63909" hidden="1" x14ac:dyDescent="0.15"/>
    <row r="63910" hidden="1" x14ac:dyDescent="0.15"/>
    <row r="63911" hidden="1" x14ac:dyDescent="0.15"/>
    <row r="63912" hidden="1" x14ac:dyDescent="0.15"/>
    <row r="63913" hidden="1" x14ac:dyDescent="0.15"/>
    <row r="63914" hidden="1" x14ac:dyDescent="0.15"/>
    <row r="63915" hidden="1" x14ac:dyDescent="0.15"/>
    <row r="63916" hidden="1" x14ac:dyDescent="0.15"/>
    <row r="63917" hidden="1" x14ac:dyDescent="0.15"/>
    <row r="63918" hidden="1" x14ac:dyDescent="0.15"/>
    <row r="63919" hidden="1" x14ac:dyDescent="0.15"/>
    <row r="63920" hidden="1" x14ac:dyDescent="0.15"/>
    <row r="63921" hidden="1" x14ac:dyDescent="0.15"/>
    <row r="63922" hidden="1" x14ac:dyDescent="0.15"/>
    <row r="63923" hidden="1" x14ac:dyDescent="0.15"/>
    <row r="63924" hidden="1" x14ac:dyDescent="0.15"/>
    <row r="63925" hidden="1" x14ac:dyDescent="0.15"/>
    <row r="63926" hidden="1" x14ac:dyDescent="0.15"/>
    <row r="63927" hidden="1" x14ac:dyDescent="0.15"/>
    <row r="63928" hidden="1" x14ac:dyDescent="0.15"/>
    <row r="63929" hidden="1" x14ac:dyDescent="0.15"/>
    <row r="63930" hidden="1" x14ac:dyDescent="0.15"/>
    <row r="63931" hidden="1" x14ac:dyDescent="0.15"/>
    <row r="63932" hidden="1" x14ac:dyDescent="0.15"/>
    <row r="63933" hidden="1" x14ac:dyDescent="0.15"/>
    <row r="63934" hidden="1" x14ac:dyDescent="0.15"/>
    <row r="63935" hidden="1" x14ac:dyDescent="0.15"/>
    <row r="63936" hidden="1" x14ac:dyDescent="0.15"/>
    <row r="63937" hidden="1" x14ac:dyDescent="0.15"/>
    <row r="63938" hidden="1" x14ac:dyDescent="0.15"/>
    <row r="63939" hidden="1" x14ac:dyDescent="0.15"/>
    <row r="63940" hidden="1" x14ac:dyDescent="0.15"/>
    <row r="63941" hidden="1" x14ac:dyDescent="0.15"/>
    <row r="63942" hidden="1" x14ac:dyDescent="0.15"/>
    <row r="63943" hidden="1" x14ac:dyDescent="0.15"/>
    <row r="63944" hidden="1" x14ac:dyDescent="0.15"/>
    <row r="63945" hidden="1" x14ac:dyDescent="0.15"/>
    <row r="63946" hidden="1" x14ac:dyDescent="0.15"/>
    <row r="63947" hidden="1" x14ac:dyDescent="0.15"/>
    <row r="63948" hidden="1" x14ac:dyDescent="0.15"/>
    <row r="63949" hidden="1" x14ac:dyDescent="0.15"/>
    <row r="63950" hidden="1" x14ac:dyDescent="0.15"/>
    <row r="63951" hidden="1" x14ac:dyDescent="0.15"/>
    <row r="63952" hidden="1" x14ac:dyDescent="0.15"/>
    <row r="63953" hidden="1" x14ac:dyDescent="0.15"/>
    <row r="63954" hidden="1" x14ac:dyDescent="0.15"/>
    <row r="63955" hidden="1" x14ac:dyDescent="0.15"/>
    <row r="63956" hidden="1" x14ac:dyDescent="0.15"/>
    <row r="63957" hidden="1" x14ac:dyDescent="0.15"/>
    <row r="63958" hidden="1" x14ac:dyDescent="0.15"/>
    <row r="63959" hidden="1" x14ac:dyDescent="0.15"/>
    <row r="63960" hidden="1" x14ac:dyDescent="0.15"/>
    <row r="63961" hidden="1" x14ac:dyDescent="0.15"/>
    <row r="63962" hidden="1" x14ac:dyDescent="0.15"/>
    <row r="63963" hidden="1" x14ac:dyDescent="0.15"/>
    <row r="63964" hidden="1" x14ac:dyDescent="0.15"/>
    <row r="63965" hidden="1" x14ac:dyDescent="0.15"/>
    <row r="63966" hidden="1" x14ac:dyDescent="0.15"/>
    <row r="63967" hidden="1" x14ac:dyDescent="0.15"/>
    <row r="63968" hidden="1" x14ac:dyDescent="0.15"/>
    <row r="63969" hidden="1" x14ac:dyDescent="0.15"/>
    <row r="63970" hidden="1" x14ac:dyDescent="0.15"/>
    <row r="63971" hidden="1" x14ac:dyDescent="0.15"/>
    <row r="63972" hidden="1" x14ac:dyDescent="0.15"/>
    <row r="63973" hidden="1" x14ac:dyDescent="0.15"/>
    <row r="63974" hidden="1" x14ac:dyDescent="0.15"/>
    <row r="63975" hidden="1" x14ac:dyDescent="0.15"/>
    <row r="63976" hidden="1" x14ac:dyDescent="0.15"/>
    <row r="63977" hidden="1" x14ac:dyDescent="0.15"/>
    <row r="63978" hidden="1" x14ac:dyDescent="0.15"/>
    <row r="63979" hidden="1" x14ac:dyDescent="0.15"/>
    <row r="63980" hidden="1" x14ac:dyDescent="0.15"/>
    <row r="63981" hidden="1" x14ac:dyDescent="0.15"/>
    <row r="63982" hidden="1" x14ac:dyDescent="0.15"/>
    <row r="63983" hidden="1" x14ac:dyDescent="0.15"/>
    <row r="63984" hidden="1" x14ac:dyDescent="0.15"/>
    <row r="63985" hidden="1" x14ac:dyDescent="0.15"/>
    <row r="63986" hidden="1" x14ac:dyDescent="0.15"/>
    <row r="63987" hidden="1" x14ac:dyDescent="0.15"/>
    <row r="63988" hidden="1" x14ac:dyDescent="0.15"/>
    <row r="63989" hidden="1" x14ac:dyDescent="0.15"/>
    <row r="63990" hidden="1" x14ac:dyDescent="0.15"/>
    <row r="63991" hidden="1" x14ac:dyDescent="0.15"/>
    <row r="63992" hidden="1" x14ac:dyDescent="0.15"/>
    <row r="63993" hidden="1" x14ac:dyDescent="0.15"/>
    <row r="63994" hidden="1" x14ac:dyDescent="0.15"/>
    <row r="63995" hidden="1" x14ac:dyDescent="0.15"/>
    <row r="63996" hidden="1" x14ac:dyDescent="0.15"/>
    <row r="63997" hidden="1" x14ac:dyDescent="0.15"/>
    <row r="63998" hidden="1" x14ac:dyDescent="0.15"/>
    <row r="63999" hidden="1" x14ac:dyDescent="0.15"/>
    <row r="64000" hidden="1" x14ac:dyDescent="0.15"/>
    <row r="64001" hidden="1" x14ac:dyDescent="0.15"/>
    <row r="64002" hidden="1" x14ac:dyDescent="0.15"/>
    <row r="64003" hidden="1" x14ac:dyDescent="0.15"/>
    <row r="64004" hidden="1" x14ac:dyDescent="0.15"/>
    <row r="64005" hidden="1" x14ac:dyDescent="0.15"/>
    <row r="64006" hidden="1" x14ac:dyDescent="0.15"/>
    <row r="64007" hidden="1" x14ac:dyDescent="0.15"/>
    <row r="64008" hidden="1" x14ac:dyDescent="0.15"/>
    <row r="64009" hidden="1" x14ac:dyDescent="0.15"/>
    <row r="64010" hidden="1" x14ac:dyDescent="0.15"/>
    <row r="64011" hidden="1" x14ac:dyDescent="0.15"/>
    <row r="64012" hidden="1" x14ac:dyDescent="0.15"/>
    <row r="64013" hidden="1" x14ac:dyDescent="0.15"/>
    <row r="64014" hidden="1" x14ac:dyDescent="0.15"/>
    <row r="64015" hidden="1" x14ac:dyDescent="0.15"/>
    <row r="64016" hidden="1" x14ac:dyDescent="0.15"/>
    <row r="64017" hidden="1" x14ac:dyDescent="0.15"/>
    <row r="64018" hidden="1" x14ac:dyDescent="0.15"/>
    <row r="64019" hidden="1" x14ac:dyDescent="0.15"/>
    <row r="64020" hidden="1" x14ac:dyDescent="0.15"/>
    <row r="64021" hidden="1" x14ac:dyDescent="0.15"/>
    <row r="64022" hidden="1" x14ac:dyDescent="0.15"/>
    <row r="64023" hidden="1" x14ac:dyDescent="0.15"/>
    <row r="64024" hidden="1" x14ac:dyDescent="0.15"/>
    <row r="64025" hidden="1" x14ac:dyDescent="0.15"/>
    <row r="64026" hidden="1" x14ac:dyDescent="0.15"/>
    <row r="64027" hidden="1" x14ac:dyDescent="0.15"/>
    <row r="64028" hidden="1" x14ac:dyDescent="0.15"/>
    <row r="64029" hidden="1" x14ac:dyDescent="0.15"/>
    <row r="64030" hidden="1" x14ac:dyDescent="0.15"/>
    <row r="64031" hidden="1" x14ac:dyDescent="0.15"/>
    <row r="64032" hidden="1" x14ac:dyDescent="0.15"/>
    <row r="64033" hidden="1" x14ac:dyDescent="0.15"/>
    <row r="64034" hidden="1" x14ac:dyDescent="0.15"/>
    <row r="64035" hidden="1" x14ac:dyDescent="0.15"/>
    <row r="64036" hidden="1" x14ac:dyDescent="0.15"/>
    <row r="64037" hidden="1" x14ac:dyDescent="0.15"/>
    <row r="64038" hidden="1" x14ac:dyDescent="0.15"/>
    <row r="64039" hidden="1" x14ac:dyDescent="0.15"/>
    <row r="64040" hidden="1" x14ac:dyDescent="0.15"/>
    <row r="64041" hidden="1" x14ac:dyDescent="0.15"/>
    <row r="64042" hidden="1" x14ac:dyDescent="0.15"/>
    <row r="64043" hidden="1" x14ac:dyDescent="0.15"/>
    <row r="64044" hidden="1" x14ac:dyDescent="0.15"/>
    <row r="64045" hidden="1" x14ac:dyDescent="0.15"/>
    <row r="64046" hidden="1" x14ac:dyDescent="0.15"/>
    <row r="64047" hidden="1" x14ac:dyDescent="0.15"/>
    <row r="64048" hidden="1" x14ac:dyDescent="0.15"/>
    <row r="64049" hidden="1" x14ac:dyDescent="0.15"/>
    <row r="64050" hidden="1" x14ac:dyDescent="0.15"/>
    <row r="64051" hidden="1" x14ac:dyDescent="0.15"/>
    <row r="64052" hidden="1" x14ac:dyDescent="0.15"/>
    <row r="64053" hidden="1" x14ac:dyDescent="0.15"/>
    <row r="64054" hidden="1" x14ac:dyDescent="0.15"/>
    <row r="64055" hidden="1" x14ac:dyDescent="0.15"/>
    <row r="64056" hidden="1" x14ac:dyDescent="0.15"/>
    <row r="64057" hidden="1" x14ac:dyDescent="0.15"/>
    <row r="64058" hidden="1" x14ac:dyDescent="0.15"/>
    <row r="64059" hidden="1" x14ac:dyDescent="0.15"/>
    <row r="64060" hidden="1" x14ac:dyDescent="0.15"/>
    <row r="64061" hidden="1" x14ac:dyDescent="0.15"/>
    <row r="64062" hidden="1" x14ac:dyDescent="0.15"/>
    <row r="64063" hidden="1" x14ac:dyDescent="0.15"/>
    <row r="64064" hidden="1" x14ac:dyDescent="0.15"/>
    <row r="64065" hidden="1" x14ac:dyDescent="0.15"/>
    <row r="64066" hidden="1" x14ac:dyDescent="0.15"/>
    <row r="64067" hidden="1" x14ac:dyDescent="0.15"/>
    <row r="64068" hidden="1" x14ac:dyDescent="0.15"/>
    <row r="64069" hidden="1" x14ac:dyDescent="0.15"/>
    <row r="64070" hidden="1" x14ac:dyDescent="0.15"/>
    <row r="64071" hidden="1" x14ac:dyDescent="0.15"/>
    <row r="64072" hidden="1" x14ac:dyDescent="0.15"/>
    <row r="64073" hidden="1" x14ac:dyDescent="0.15"/>
    <row r="64074" hidden="1" x14ac:dyDescent="0.15"/>
    <row r="64075" hidden="1" x14ac:dyDescent="0.15"/>
    <row r="64076" hidden="1" x14ac:dyDescent="0.15"/>
    <row r="64077" hidden="1" x14ac:dyDescent="0.15"/>
    <row r="64078" hidden="1" x14ac:dyDescent="0.15"/>
    <row r="64079" hidden="1" x14ac:dyDescent="0.15"/>
    <row r="64080" hidden="1" x14ac:dyDescent="0.15"/>
    <row r="64081" hidden="1" x14ac:dyDescent="0.15"/>
    <row r="64082" hidden="1" x14ac:dyDescent="0.15"/>
    <row r="64083" hidden="1" x14ac:dyDescent="0.15"/>
    <row r="64084" hidden="1" x14ac:dyDescent="0.15"/>
    <row r="64085" hidden="1" x14ac:dyDescent="0.15"/>
    <row r="64086" hidden="1" x14ac:dyDescent="0.15"/>
    <row r="64087" hidden="1" x14ac:dyDescent="0.15"/>
    <row r="64088" hidden="1" x14ac:dyDescent="0.15"/>
    <row r="64089" hidden="1" x14ac:dyDescent="0.15"/>
    <row r="64090" hidden="1" x14ac:dyDescent="0.15"/>
    <row r="64091" hidden="1" x14ac:dyDescent="0.15"/>
    <row r="64092" hidden="1" x14ac:dyDescent="0.15"/>
    <row r="64093" hidden="1" x14ac:dyDescent="0.15"/>
    <row r="64094" hidden="1" x14ac:dyDescent="0.15"/>
    <row r="64095" hidden="1" x14ac:dyDescent="0.15"/>
    <row r="64096" hidden="1" x14ac:dyDescent="0.15"/>
    <row r="64097" hidden="1" x14ac:dyDescent="0.15"/>
    <row r="64098" hidden="1" x14ac:dyDescent="0.15"/>
    <row r="64099" hidden="1" x14ac:dyDescent="0.15"/>
    <row r="64100" hidden="1" x14ac:dyDescent="0.15"/>
    <row r="64101" hidden="1" x14ac:dyDescent="0.15"/>
    <row r="64102" hidden="1" x14ac:dyDescent="0.15"/>
    <row r="64103" hidden="1" x14ac:dyDescent="0.15"/>
    <row r="64104" hidden="1" x14ac:dyDescent="0.15"/>
    <row r="64105" hidden="1" x14ac:dyDescent="0.15"/>
    <row r="64106" hidden="1" x14ac:dyDescent="0.15"/>
    <row r="64107" hidden="1" x14ac:dyDescent="0.15"/>
    <row r="64108" hidden="1" x14ac:dyDescent="0.15"/>
    <row r="64109" hidden="1" x14ac:dyDescent="0.15"/>
    <row r="64110" hidden="1" x14ac:dyDescent="0.15"/>
    <row r="64111" hidden="1" x14ac:dyDescent="0.15"/>
    <row r="64112" hidden="1" x14ac:dyDescent="0.15"/>
    <row r="64113" hidden="1" x14ac:dyDescent="0.15"/>
    <row r="64114" hidden="1" x14ac:dyDescent="0.15"/>
    <row r="64115" hidden="1" x14ac:dyDescent="0.15"/>
    <row r="64116" hidden="1" x14ac:dyDescent="0.15"/>
    <row r="64117" hidden="1" x14ac:dyDescent="0.15"/>
    <row r="64118" hidden="1" x14ac:dyDescent="0.15"/>
    <row r="64119" hidden="1" x14ac:dyDescent="0.15"/>
    <row r="64120" hidden="1" x14ac:dyDescent="0.15"/>
    <row r="64121" hidden="1" x14ac:dyDescent="0.15"/>
    <row r="64122" hidden="1" x14ac:dyDescent="0.15"/>
    <row r="64123" hidden="1" x14ac:dyDescent="0.15"/>
    <row r="64124" hidden="1" x14ac:dyDescent="0.15"/>
    <row r="64125" hidden="1" x14ac:dyDescent="0.15"/>
    <row r="64126" hidden="1" x14ac:dyDescent="0.15"/>
    <row r="64127" hidden="1" x14ac:dyDescent="0.15"/>
    <row r="64128" hidden="1" x14ac:dyDescent="0.15"/>
    <row r="64129" hidden="1" x14ac:dyDescent="0.15"/>
    <row r="64130" hidden="1" x14ac:dyDescent="0.15"/>
    <row r="64131" hidden="1" x14ac:dyDescent="0.15"/>
    <row r="64132" hidden="1" x14ac:dyDescent="0.15"/>
    <row r="64133" hidden="1" x14ac:dyDescent="0.15"/>
    <row r="64134" hidden="1" x14ac:dyDescent="0.15"/>
    <row r="64135" hidden="1" x14ac:dyDescent="0.15"/>
    <row r="64136" hidden="1" x14ac:dyDescent="0.15"/>
    <row r="64137" hidden="1" x14ac:dyDescent="0.15"/>
    <row r="64138" hidden="1" x14ac:dyDescent="0.15"/>
    <row r="64139" hidden="1" x14ac:dyDescent="0.15"/>
    <row r="64140" hidden="1" x14ac:dyDescent="0.15"/>
    <row r="64141" hidden="1" x14ac:dyDescent="0.15"/>
    <row r="64142" hidden="1" x14ac:dyDescent="0.15"/>
    <row r="64143" hidden="1" x14ac:dyDescent="0.15"/>
    <row r="64144" hidden="1" x14ac:dyDescent="0.15"/>
    <row r="64145" hidden="1" x14ac:dyDescent="0.15"/>
    <row r="64146" hidden="1" x14ac:dyDescent="0.15"/>
    <row r="64147" hidden="1" x14ac:dyDescent="0.15"/>
    <row r="64148" hidden="1" x14ac:dyDescent="0.15"/>
    <row r="64149" hidden="1" x14ac:dyDescent="0.15"/>
    <row r="64150" hidden="1" x14ac:dyDescent="0.15"/>
    <row r="64151" hidden="1" x14ac:dyDescent="0.15"/>
    <row r="64152" hidden="1" x14ac:dyDescent="0.15"/>
    <row r="64153" hidden="1" x14ac:dyDescent="0.15"/>
    <row r="64154" hidden="1" x14ac:dyDescent="0.15"/>
    <row r="64155" hidden="1" x14ac:dyDescent="0.15"/>
    <row r="64156" hidden="1" x14ac:dyDescent="0.15"/>
    <row r="64157" hidden="1" x14ac:dyDescent="0.15"/>
    <row r="64158" hidden="1" x14ac:dyDescent="0.15"/>
    <row r="64159" hidden="1" x14ac:dyDescent="0.15"/>
    <row r="64160" hidden="1" x14ac:dyDescent="0.15"/>
    <row r="64161" hidden="1" x14ac:dyDescent="0.15"/>
    <row r="64162" hidden="1" x14ac:dyDescent="0.15"/>
    <row r="64163" hidden="1" x14ac:dyDescent="0.15"/>
    <row r="64164" hidden="1" x14ac:dyDescent="0.15"/>
    <row r="64165" hidden="1" x14ac:dyDescent="0.15"/>
    <row r="64166" hidden="1" x14ac:dyDescent="0.15"/>
    <row r="64167" hidden="1" x14ac:dyDescent="0.15"/>
    <row r="64168" hidden="1" x14ac:dyDescent="0.15"/>
    <row r="64169" hidden="1" x14ac:dyDescent="0.15"/>
    <row r="64170" hidden="1" x14ac:dyDescent="0.15"/>
    <row r="64171" hidden="1" x14ac:dyDescent="0.15"/>
    <row r="64172" hidden="1" x14ac:dyDescent="0.15"/>
    <row r="64173" hidden="1" x14ac:dyDescent="0.15"/>
    <row r="64174" hidden="1" x14ac:dyDescent="0.15"/>
    <row r="64175" hidden="1" x14ac:dyDescent="0.15"/>
    <row r="64176" hidden="1" x14ac:dyDescent="0.15"/>
    <row r="64177" hidden="1" x14ac:dyDescent="0.15"/>
    <row r="64178" hidden="1" x14ac:dyDescent="0.15"/>
    <row r="64179" hidden="1" x14ac:dyDescent="0.15"/>
    <row r="64180" hidden="1" x14ac:dyDescent="0.15"/>
    <row r="64181" hidden="1" x14ac:dyDescent="0.15"/>
    <row r="64182" hidden="1" x14ac:dyDescent="0.15"/>
    <row r="64183" hidden="1" x14ac:dyDescent="0.15"/>
    <row r="64184" hidden="1" x14ac:dyDescent="0.15"/>
    <row r="64185" hidden="1" x14ac:dyDescent="0.15"/>
    <row r="64186" hidden="1" x14ac:dyDescent="0.15"/>
    <row r="64187" hidden="1" x14ac:dyDescent="0.15"/>
    <row r="64188" hidden="1" x14ac:dyDescent="0.15"/>
    <row r="64189" hidden="1" x14ac:dyDescent="0.15"/>
    <row r="64190" hidden="1" x14ac:dyDescent="0.15"/>
    <row r="64191" hidden="1" x14ac:dyDescent="0.15"/>
    <row r="64192" hidden="1" x14ac:dyDescent="0.15"/>
    <row r="64193" hidden="1" x14ac:dyDescent="0.15"/>
    <row r="64194" hidden="1" x14ac:dyDescent="0.15"/>
    <row r="64195" hidden="1" x14ac:dyDescent="0.15"/>
    <row r="64196" hidden="1" x14ac:dyDescent="0.15"/>
    <row r="64197" hidden="1" x14ac:dyDescent="0.15"/>
    <row r="64198" hidden="1" x14ac:dyDescent="0.15"/>
    <row r="64199" hidden="1" x14ac:dyDescent="0.15"/>
    <row r="64200" hidden="1" x14ac:dyDescent="0.15"/>
    <row r="64201" hidden="1" x14ac:dyDescent="0.15"/>
    <row r="64202" hidden="1" x14ac:dyDescent="0.15"/>
    <row r="64203" hidden="1" x14ac:dyDescent="0.15"/>
    <row r="64204" hidden="1" x14ac:dyDescent="0.15"/>
    <row r="64205" hidden="1" x14ac:dyDescent="0.15"/>
    <row r="64206" hidden="1" x14ac:dyDescent="0.15"/>
    <row r="64207" hidden="1" x14ac:dyDescent="0.15"/>
    <row r="64208" hidden="1" x14ac:dyDescent="0.15"/>
    <row r="64209" hidden="1" x14ac:dyDescent="0.15"/>
    <row r="64210" hidden="1" x14ac:dyDescent="0.15"/>
    <row r="64211" hidden="1" x14ac:dyDescent="0.15"/>
    <row r="64212" hidden="1" x14ac:dyDescent="0.15"/>
    <row r="64213" hidden="1" x14ac:dyDescent="0.15"/>
    <row r="64214" hidden="1" x14ac:dyDescent="0.15"/>
    <row r="64215" hidden="1" x14ac:dyDescent="0.15"/>
    <row r="64216" hidden="1" x14ac:dyDescent="0.15"/>
    <row r="64217" hidden="1" x14ac:dyDescent="0.15"/>
    <row r="64218" hidden="1" x14ac:dyDescent="0.15"/>
    <row r="64219" hidden="1" x14ac:dyDescent="0.15"/>
    <row r="64220" hidden="1" x14ac:dyDescent="0.15"/>
    <row r="64221" hidden="1" x14ac:dyDescent="0.15"/>
    <row r="64222" hidden="1" x14ac:dyDescent="0.15"/>
    <row r="64223" hidden="1" x14ac:dyDescent="0.15"/>
    <row r="64224" hidden="1" x14ac:dyDescent="0.15"/>
    <row r="64225" hidden="1" x14ac:dyDescent="0.15"/>
    <row r="64226" hidden="1" x14ac:dyDescent="0.15"/>
    <row r="64227" hidden="1" x14ac:dyDescent="0.15"/>
    <row r="64228" hidden="1" x14ac:dyDescent="0.15"/>
    <row r="64229" hidden="1" x14ac:dyDescent="0.15"/>
    <row r="64230" hidden="1" x14ac:dyDescent="0.15"/>
    <row r="64231" hidden="1" x14ac:dyDescent="0.15"/>
    <row r="64232" hidden="1" x14ac:dyDescent="0.15"/>
    <row r="64233" hidden="1" x14ac:dyDescent="0.15"/>
    <row r="64234" hidden="1" x14ac:dyDescent="0.15"/>
    <row r="64235" hidden="1" x14ac:dyDescent="0.15"/>
    <row r="64236" hidden="1" x14ac:dyDescent="0.15"/>
    <row r="64237" hidden="1" x14ac:dyDescent="0.15"/>
    <row r="64238" hidden="1" x14ac:dyDescent="0.15"/>
    <row r="64239" hidden="1" x14ac:dyDescent="0.15"/>
    <row r="64240" hidden="1" x14ac:dyDescent="0.15"/>
    <row r="64241" hidden="1" x14ac:dyDescent="0.15"/>
    <row r="64242" hidden="1" x14ac:dyDescent="0.15"/>
    <row r="64243" hidden="1" x14ac:dyDescent="0.15"/>
    <row r="64244" hidden="1" x14ac:dyDescent="0.15"/>
    <row r="64245" hidden="1" x14ac:dyDescent="0.15"/>
    <row r="64246" hidden="1" x14ac:dyDescent="0.15"/>
    <row r="64247" hidden="1" x14ac:dyDescent="0.15"/>
    <row r="64248" hidden="1" x14ac:dyDescent="0.15"/>
    <row r="64249" hidden="1" x14ac:dyDescent="0.15"/>
    <row r="64250" hidden="1" x14ac:dyDescent="0.15"/>
    <row r="64251" hidden="1" x14ac:dyDescent="0.15"/>
    <row r="64252" hidden="1" x14ac:dyDescent="0.15"/>
    <row r="64253" hidden="1" x14ac:dyDescent="0.15"/>
    <row r="64254" hidden="1" x14ac:dyDescent="0.15"/>
    <row r="64255" hidden="1" x14ac:dyDescent="0.15"/>
    <row r="64256" hidden="1" x14ac:dyDescent="0.15"/>
    <row r="64257" hidden="1" x14ac:dyDescent="0.15"/>
    <row r="64258" hidden="1" x14ac:dyDescent="0.15"/>
    <row r="64259" hidden="1" x14ac:dyDescent="0.15"/>
    <row r="64260" hidden="1" x14ac:dyDescent="0.15"/>
    <row r="64261" hidden="1" x14ac:dyDescent="0.15"/>
    <row r="64262" hidden="1" x14ac:dyDescent="0.15"/>
    <row r="64263" hidden="1" x14ac:dyDescent="0.15"/>
    <row r="64264" hidden="1" x14ac:dyDescent="0.15"/>
    <row r="64265" hidden="1" x14ac:dyDescent="0.15"/>
    <row r="64266" hidden="1" x14ac:dyDescent="0.15"/>
    <row r="64267" hidden="1" x14ac:dyDescent="0.15"/>
    <row r="64268" hidden="1" x14ac:dyDescent="0.15"/>
    <row r="64269" hidden="1" x14ac:dyDescent="0.15"/>
    <row r="64270" hidden="1" x14ac:dyDescent="0.15"/>
    <row r="64271" hidden="1" x14ac:dyDescent="0.15"/>
    <row r="64272" hidden="1" x14ac:dyDescent="0.15"/>
    <row r="64273" hidden="1" x14ac:dyDescent="0.15"/>
    <row r="64274" hidden="1" x14ac:dyDescent="0.15"/>
    <row r="64275" hidden="1" x14ac:dyDescent="0.15"/>
    <row r="64276" hidden="1" x14ac:dyDescent="0.15"/>
    <row r="64277" hidden="1" x14ac:dyDescent="0.15"/>
    <row r="64278" hidden="1" x14ac:dyDescent="0.15"/>
    <row r="64279" hidden="1" x14ac:dyDescent="0.15"/>
    <row r="64280" hidden="1" x14ac:dyDescent="0.15"/>
    <row r="64281" hidden="1" x14ac:dyDescent="0.15"/>
    <row r="64282" hidden="1" x14ac:dyDescent="0.15"/>
    <row r="64283" hidden="1" x14ac:dyDescent="0.15"/>
    <row r="64284" hidden="1" x14ac:dyDescent="0.15"/>
    <row r="64285" hidden="1" x14ac:dyDescent="0.15"/>
    <row r="64286" hidden="1" x14ac:dyDescent="0.15"/>
    <row r="64287" hidden="1" x14ac:dyDescent="0.15"/>
    <row r="64288" hidden="1" x14ac:dyDescent="0.15"/>
    <row r="64289" hidden="1" x14ac:dyDescent="0.15"/>
    <row r="64290" hidden="1" x14ac:dyDescent="0.15"/>
    <row r="64291" hidden="1" x14ac:dyDescent="0.15"/>
    <row r="64292" hidden="1" x14ac:dyDescent="0.15"/>
    <row r="64293" hidden="1" x14ac:dyDescent="0.15"/>
    <row r="64294" hidden="1" x14ac:dyDescent="0.15"/>
    <row r="64295" hidden="1" x14ac:dyDescent="0.15"/>
    <row r="64296" hidden="1" x14ac:dyDescent="0.15"/>
    <row r="64297" hidden="1" x14ac:dyDescent="0.15"/>
    <row r="64298" hidden="1" x14ac:dyDescent="0.15"/>
    <row r="64299" hidden="1" x14ac:dyDescent="0.15"/>
    <row r="64300" hidden="1" x14ac:dyDescent="0.15"/>
    <row r="64301" hidden="1" x14ac:dyDescent="0.15"/>
    <row r="64302" hidden="1" x14ac:dyDescent="0.15"/>
    <row r="64303" hidden="1" x14ac:dyDescent="0.15"/>
    <row r="64304" hidden="1" x14ac:dyDescent="0.15"/>
    <row r="64305" hidden="1" x14ac:dyDescent="0.15"/>
    <row r="64306" hidden="1" x14ac:dyDescent="0.15"/>
    <row r="64307" hidden="1" x14ac:dyDescent="0.15"/>
    <row r="64308" hidden="1" x14ac:dyDescent="0.15"/>
    <row r="64309" hidden="1" x14ac:dyDescent="0.15"/>
    <row r="64310" hidden="1" x14ac:dyDescent="0.15"/>
    <row r="64311" hidden="1" x14ac:dyDescent="0.15"/>
    <row r="64312" hidden="1" x14ac:dyDescent="0.15"/>
    <row r="64313" hidden="1" x14ac:dyDescent="0.15"/>
    <row r="64314" hidden="1" x14ac:dyDescent="0.15"/>
    <row r="64315" hidden="1" x14ac:dyDescent="0.15"/>
    <row r="64316" hidden="1" x14ac:dyDescent="0.15"/>
    <row r="64317" hidden="1" x14ac:dyDescent="0.15"/>
    <row r="64318" hidden="1" x14ac:dyDescent="0.15"/>
    <row r="64319" hidden="1" x14ac:dyDescent="0.15"/>
    <row r="64320" hidden="1" x14ac:dyDescent="0.15"/>
    <row r="64321" hidden="1" x14ac:dyDescent="0.15"/>
    <row r="64322" hidden="1" x14ac:dyDescent="0.15"/>
    <row r="64323" hidden="1" x14ac:dyDescent="0.15"/>
    <row r="64324" hidden="1" x14ac:dyDescent="0.15"/>
    <row r="64325" hidden="1" x14ac:dyDescent="0.15"/>
    <row r="64326" hidden="1" x14ac:dyDescent="0.15"/>
    <row r="64327" hidden="1" x14ac:dyDescent="0.15"/>
    <row r="64328" hidden="1" x14ac:dyDescent="0.15"/>
    <row r="64329" hidden="1" x14ac:dyDescent="0.15"/>
    <row r="64330" hidden="1" x14ac:dyDescent="0.15"/>
    <row r="64331" hidden="1" x14ac:dyDescent="0.15"/>
    <row r="64332" hidden="1" x14ac:dyDescent="0.15"/>
    <row r="64333" hidden="1" x14ac:dyDescent="0.15"/>
    <row r="64334" hidden="1" x14ac:dyDescent="0.15"/>
    <row r="64335" hidden="1" x14ac:dyDescent="0.15"/>
    <row r="64336" hidden="1" x14ac:dyDescent="0.15"/>
    <row r="64337" hidden="1" x14ac:dyDescent="0.15"/>
    <row r="64338" hidden="1" x14ac:dyDescent="0.15"/>
    <row r="64339" hidden="1" x14ac:dyDescent="0.15"/>
    <row r="64340" hidden="1" x14ac:dyDescent="0.15"/>
    <row r="64341" hidden="1" x14ac:dyDescent="0.15"/>
    <row r="64342" hidden="1" x14ac:dyDescent="0.15"/>
    <row r="64343" hidden="1" x14ac:dyDescent="0.15"/>
    <row r="64344" hidden="1" x14ac:dyDescent="0.15"/>
    <row r="64345" hidden="1" x14ac:dyDescent="0.15"/>
    <row r="64346" hidden="1" x14ac:dyDescent="0.15"/>
    <row r="64347" hidden="1" x14ac:dyDescent="0.15"/>
    <row r="64348" hidden="1" x14ac:dyDescent="0.15"/>
    <row r="64349" hidden="1" x14ac:dyDescent="0.15"/>
    <row r="64350" hidden="1" x14ac:dyDescent="0.15"/>
    <row r="64351" hidden="1" x14ac:dyDescent="0.15"/>
    <row r="64352" hidden="1" x14ac:dyDescent="0.15"/>
    <row r="64353" hidden="1" x14ac:dyDescent="0.15"/>
    <row r="64354" hidden="1" x14ac:dyDescent="0.15"/>
    <row r="64355" hidden="1" x14ac:dyDescent="0.15"/>
    <row r="64356" hidden="1" x14ac:dyDescent="0.15"/>
    <row r="64357" hidden="1" x14ac:dyDescent="0.15"/>
    <row r="64358" hidden="1" x14ac:dyDescent="0.15"/>
    <row r="64359" hidden="1" x14ac:dyDescent="0.15"/>
    <row r="64360" hidden="1" x14ac:dyDescent="0.15"/>
    <row r="64361" hidden="1" x14ac:dyDescent="0.15"/>
    <row r="64362" hidden="1" x14ac:dyDescent="0.15"/>
    <row r="64363" hidden="1" x14ac:dyDescent="0.15"/>
    <row r="64364" hidden="1" x14ac:dyDescent="0.15"/>
    <row r="64365" hidden="1" x14ac:dyDescent="0.15"/>
    <row r="64366" hidden="1" x14ac:dyDescent="0.15"/>
    <row r="64367" hidden="1" x14ac:dyDescent="0.15"/>
    <row r="64368" hidden="1" x14ac:dyDescent="0.15"/>
    <row r="64369" hidden="1" x14ac:dyDescent="0.15"/>
    <row r="64370" hidden="1" x14ac:dyDescent="0.15"/>
    <row r="64371" hidden="1" x14ac:dyDescent="0.15"/>
    <row r="64372" hidden="1" x14ac:dyDescent="0.15"/>
    <row r="64373" hidden="1" x14ac:dyDescent="0.15"/>
    <row r="64374" hidden="1" x14ac:dyDescent="0.15"/>
    <row r="64375" hidden="1" x14ac:dyDescent="0.15"/>
    <row r="64376" hidden="1" x14ac:dyDescent="0.15"/>
    <row r="64377" hidden="1" x14ac:dyDescent="0.15"/>
    <row r="64378" hidden="1" x14ac:dyDescent="0.15"/>
    <row r="64379" hidden="1" x14ac:dyDescent="0.15"/>
    <row r="64380" hidden="1" x14ac:dyDescent="0.15"/>
    <row r="64381" hidden="1" x14ac:dyDescent="0.15"/>
    <row r="64382" hidden="1" x14ac:dyDescent="0.15"/>
    <row r="64383" hidden="1" x14ac:dyDescent="0.15"/>
    <row r="64384" hidden="1" x14ac:dyDescent="0.15"/>
    <row r="64385" hidden="1" x14ac:dyDescent="0.15"/>
    <row r="64386" hidden="1" x14ac:dyDescent="0.15"/>
    <row r="64387" hidden="1" x14ac:dyDescent="0.15"/>
    <row r="64388" hidden="1" x14ac:dyDescent="0.15"/>
    <row r="64389" hidden="1" x14ac:dyDescent="0.15"/>
    <row r="64390" hidden="1" x14ac:dyDescent="0.15"/>
    <row r="64391" hidden="1" x14ac:dyDescent="0.15"/>
    <row r="64392" hidden="1" x14ac:dyDescent="0.15"/>
    <row r="64393" hidden="1" x14ac:dyDescent="0.15"/>
    <row r="64394" hidden="1" x14ac:dyDescent="0.15"/>
    <row r="64395" hidden="1" x14ac:dyDescent="0.15"/>
    <row r="64396" hidden="1" x14ac:dyDescent="0.15"/>
    <row r="64397" hidden="1" x14ac:dyDescent="0.15"/>
    <row r="64398" hidden="1" x14ac:dyDescent="0.15"/>
    <row r="64399" hidden="1" x14ac:dyDescent="0.15"/>
    <row r="64400" hidden="1" x14ac:dyDescent="0.15"/>
    <row r="64401" hidden="1" x14ac:dyDescent="0.15"/>
    <row r="64402" hidden="1" x14ac:dyDescent="0.15"/>
    <row r="64403" hidden="1" x14ac:dyDescent="0.15"/>
    <row r="64404" hidden="1" x14ac:dyDescent="0.15"/>
    <row r="64405" hidden="1" x14ac:dyDescent="0.15"/>
    <row r="64406" hidden="1" x14ac:dyDescent="0.15"/>
    <row r="64407" hidden="1" x14ac:dyDescent="0.15"/>
    <row r="64408" hidden="1" x14ac:dyDescent="0.15"/>
    <row r="64409" hidden="1" x14ac:dyDescent="0.15"/>
    <row r="64410" hidden="1" x14ac:dyDescent="0.15"/>
    <row r="64411" hidden="1" x14ac:dyDescent="0.15"/>
    <row r="64412" hidden="1" x14ac:dyDescent="0.15"/>
    <row r="64413" hidden="1" x14ac:dyDescent="0.15"/>
    <row r="64414" hidden="1" x14ac:dyDescent="0.15"/>
    <row r="64415" hidden="1" x14ac:dyDescent="0.15"/>
    <row r="64416" hidden="1" x14ac:dyDescent="0.15"/>
    <row r="64417" hidden="1" x14ac:dyDescent="0.15"/>
    <row r="64418" hidden="1" x14ac:dyDescent="0.15"/>
    <row r="64419" hidden="1" x14ac:dyDescent="0.15"/>
    <row r="64420" hidden="1" x14ac:dyDescent="0.15"/>
    <row r="64421" hidden="1" x14ac:dyDescent="0.15"/>
    <row r="64422" hidden="1" x14ac:dyDescent="0.15"/>
    <row r="64423" hidden="1" x14ac:dyDescent="0.15"/>
    <row r="64424" hidden="1" x14ac:dyDescent="0.15"/>
    <row r="64425" hidden="1" x14ac:dyDescent="0.15"/>
    <row r="64426" hidden="1" x14ac:dyDescent="0.15"/>
    <row r="64427" hidden="1" x14ac:dyDescent="0.15"/>
    <row r="64428" hidden="1" x14ac:dyDescent="0.15"/>
    <row r="64429" hidden="1" x14ac:dyDescent="0.15"/>
    <row r="64430" hidden="1" x14ac:dyDescent="0.15"/>
    <row r="64431" hidden="1" x14ac:dyDescent="0.15"/>
    <row r="64432" hidden="1" x14ac:dyDescent="0.15"/>
    <row r="64433" hidden="1" x14ac:dyDescent="0.15"/>
    <row r="64434" hidden="1" x14ac:dyDescent="0.15"/>
    <row r="64435" hidden="1" x14ac:dyDescent="0.15"/>
    <row r="64436" hidden="1" x14ac:dyDescent="0.15"/>
    <row r="64437" hidden="1" x14ac:dyDescent="0.15"/>
    <row r="64438" hidden="1" x14ac:dyDescent="0.15"/>
    <row r="64439" hidden="1" x14ac:dyDescent="0.15"/>
    <row r="64440" hidden="1" x14ac:dyDescent="0.15"/>
    <row r="64441" hidden="1" x14ac:dyDescent="0.15"/>
    <row r="64442" hidden="1" x14ac:dyDescent="0.15"/>
    <row r="64443" hidden="1" x14ac:dyDescent="0.15"/>
    <row r="64444" hidden="1" x14ac:dyDescent="0.15"/>
    <row r="64445" hidden="1" x14ac:dyDescent="0.15"/>
    <row r="64446" hidden="1" x14ac:dyDescent="0.15"/>
    <row r="64447" hidden="1" x14ac:dyDescent="0.15"/>
    <row r="64448" hidden="1" x14ac:dyDescent="0.15"/>
    <row r="64449" hidden="1" x14ac:dyDescent="0.15"/>
    <row r="64450" hidden="1" x14ac:dyDescent="0.15"/>
    <row r="64451" hidden="1" x14ac:dyDescent="0.15"/>
    <row r="64452" hidden="1" x14ac:dyDescent="0.15"/>
    <row r="64453" hidden="1" x14ac:dyDescent="0.15"/>
    <row r="64454" hidden="1" x14ac:dyDescent="0.15"/>
    <row r="64455" hidden="1" x14ac:dyDescent="0.15"/>
    <row r="64456" hidden="1" x14ac:dyDescent="0.15"/>
    <row r="64457" hidden="1" x14ac:dyDescent="0.15"/>
    <row r="64458" hidden="1" x14ac:dyDescent="0.15"/>
    <row r="64459" hidden="1" x14ac:dyDescent="0.15"/>
    <row r="64460" hidden="1" x14ac:dyDescent="0.15"/>
    <row r="64461" hidden="1" x14ac:dyDescent="0.15"/>
    <row r="64462" hidden="1" x14ac:dyDescent="0.15"/>
    <row r="64463" hidden="1" x14ac:dyDescent="0.15"/>
    <row r="64464" hidden="1" x14ac:dyDescent="0.15"/>
    <row r="64465" hidden="1" x14ac:dyDescent="0.15"/>
    <row r="64466" hidden="1" x14ac:dyDescent="0.15"/>
    <row r="64467" hidden="1" x14ac:dyDescent="0.15"/>
    <row r="64468" hidden="1" x14ac:dyDescent="0.15"/>
    <row r="64469" hidden="1" x14ac:dyDescent="0.15"/>
    <row r="64470" hidden="1" x14ac:dyDescent="0.15"/>
    <row r="64471" hidden="1" x14ac:dyDescent="0.15"/>
    <row r="64472" hidden="1" x14ac:dyDescent="0.15"/>
    <row r="64473" hidden="1" x14ac:dyDescent="0.15"/>
    <row r="64474" hidden="1" x14ac:dyDescent="0.15"/>
    <row r="64475" hidden="1" x14ac:dyDescent="0.15"/>
    <row r="64476" hidden="1" x14ac:dyDescent="0.15"/>
    <row r="64477" hidden="1" x14ac:dyDescent="0.15"/>
    <row r="64478" hidden="1" x14ac:dyDescent="0.15"/>
    <row r="64479" hidden="1" x14ac:dyDescent="0.15"/>
    <row r="64480" hidden="1" x14ac:dyDescent="0.15"/>
    <row r="64481" hidden="1" x14ac:dyDescent="0.15"/>
    <row r="64482" hidden="1" x14ac:dyDescent="0.15"/>
    <row r="64483" hidden="1" x14ac:dyDescent="0.15"/>
    <row r="64484" hidden="1" x14ac:dyDescent="0.15"/>
    <row r="64485" hidden="1" x14ac:dyDescent="0.15"/>
    <row r="64486" hidden="1" x14ac:dyDescent="0.15"/>
    <row r="64487" hidden="1" x14ac:dyDescent="0.15"/>
    <row r="64488" hidden="1" x14ac:dyDescent="0.15"/>
    <row r="64489" hidden="1" x14ac:dyDescent="0.15"/>
    <row r="64490" hidden="1" x14ac:dyDescent="0.15"/>
    <row r="64491" hidden="1" x14ac:dyDescent="0.15"/>
    <row r="64492" hidden="1" x14ac:dyDescent="0.15"/>
    <row r="64493" hidden="1" x14ac:dyDescent="0.15"/>
    <row r="64494" hidden="1" x14ac:dyDescent="0.15"/>
    <row r="64495" hidden="1" x14ac:dyDescent="0.15"/>
    <row r="64496" hidden="1" x14ac:dyDescent="0.15"/>
    <row r="64497" hidden="1" x14ac:dyDescent="0.15"/>
    <row r="64498" hidden="1" x14ac:dyDescent="0.15"/>
    <row r="64499" hidden="1" x14ac:dyDescent="0.15"/>
    <row r="64500" hidden="1" x14ac:dyDescent="0.15"/>
    <row r="64501" hidden="1" x14ac:dyDescent="0.15"/>
    <row r="64502" hidden="1" x14ac:dyDescent="0.15"/>
    <row r="64503" hidden="1" x14ac:dyDescent="0.15"/>
    <row r="64504" hidden="1" x14ac:dyDescent="0.15"/>
    <row r="64505" hidden="1" x14ac:dyDescent="0.15"/>
    <row r="64506" hidden="1" x14ac:dyDescent="0.15"/>
    <row r="64507" hidden="1" x14ac:dyDescent="0.15"/>
    <row r="64508" hidden="1" x14ac:dyDescent="0.15"/>
    <row r="64509" hidden="1" x14ac:dyDescent="0.15"/>
    <row r="64510" hidden="1" x14ac:dyDescent="0.15"/>
    <row r="64511" hidden="1" x14ac:dyDescent="0.15"/>
    <row r="64512" hidden="1" x14ac:dyDescent="0.15"/>
    <row r="64513" hidden="1" x14ac:dyDescent="0.15"/>
    <row r="64514" hidden="1" x14ac:dyDescent="0.15"/>
    <row r="64515" hidden="1" x14ac:dyDescent="0.15"/>
    <row r="64516" hidden="1" x14ac:dyDescent="0.15"/>
    <row r="64517" hidden="1" x14ac:dyDescent="0.15"/>
    <row r="64518" hidden="1" x14ac:dyDescent="0.15"/>
    <row r="64519" hidden="1" x14ac:dyDescent="0.15"/>
    <row r="64520" hidden="1" x14ac:dyDescent="0.15"/>
    <row r="64521" hidden="1" x14ac:dyDescent="0.15"/>
    <row r="64522" hidden="1" x14ac:dyDescent="0.15"/>
    <row r="64523" hidden="1" x14ac:dyDescent="0.15"/>
    <row r="64524" hidden="1" x14ac:dyDescent="0.15"/>
    <row r="64525" hidden="1" x14ac:dyDescent="0.15"/>
    <row r="64526" hidden="1" x14ac:dyDescent="0.15"/>
    <row r="64527" hidden="1" x14ac:dyDescent="0.15"/>
    <row r="64528" hidden="1" x14ac:dyDescent="0.15"/>
    <row r="64529" hidden="1" x14ac:dyDescent="0.15"/>
    <row r="64530" hidden="1" x14ac:dyDescent="0.15"/>
    <row r="64531" hidden="1" x14ac:dyDescent="0.15"/>
    <row r="64532" hidden="1" x14ac:dyDescent="0.15"/>
    <row r="64533" hidden="1" x14ac:dyDescent="0.15"/>
    <row r="64534" hidden="1" x14ac:dyDescent="0.15"/>
    <row r="64535" hidden="1" x14ac:dyDescent="0.15"/>
    <row r="64536" hidden="1" x14ac:dyDescent="0.15"/>
    <row r="64537" hidden="1" x14ac:dyDescent="0.15"/>
    <row r="64538" hidden="1" x14ac:dyDescent="0.15"/>
    <row r="64539" hidden="1" x14ac:dyDescent="0.15"/>
    <row r="64540" hidden="1" x14ac:dyDescent="0.15"/>
    <row r="64541" hidden="1" x14ac:dyDescent="0.15"/>
    <row r="64542" hidden="1" x14ac:dyDescent="0.15"/>
    <row r="64543" hidden="1" x14ac:dyDescent="0.15"/>
    <row r="64544" hidden="1" x14ac:dyDescent="0.15"/>
    <row r="64545" hidden="1" x14ac:dyDescent="0.15"/>
    <row r="64546" hidden="1" x14ac:dyDescent="0.15"/>
    <row r="64547" hidden="1" x14ac:dyDescent="0.15"/>
    <row r="64548" hidden="1" x14ac:dyDescent="0.15"/>
    <row r="64549" hidden="1" x14ac:dyDescent="0.15"/>
    <row r="64550" hidden="1" x14ac:dyDescent="0.15"/>
    <row r="64551" hidden="1" x14ac:dyDescent="0.15"/>
    <row r="64552" hidden="1" x14ac:dyDescent="0.15"/>
    <row r="64553" hidden="1" x14ac:dyDescent="0.15"/>
    <row r="64554" hidden="1" x14ac:dyDescent="0.15"/>
    <row r="64555" hidden="1" x14ac:dyDescent="0.15"/>
    <row r="64556" hidden="1" x14ac:dyDescent="0.15"/>
    <row r="64557" hidden="1" x14ac:dyDescent="0.15"/>
    <row r="64558" hidden="1" x14ac:dyDescent="0.15"/>
    <row r="64559" hidden="1" x14ac:dyDescent="0.15"/>
    <row r="64560" hidden="1" x14ac:dyDescent="0.15"/>
    <row r="64561" hidden="1" x14ac:dyDescent="0.15"/>
    <row r="64562" hidden="1" x14ac:dyDescent="0.15"/>
    <row r="64563" hidden="1" x14ac:dyDescent="0.15"/>
    <row r="64564" hidden="1" x14ac:dyDescent="0.15"/>
    <row r="64565" hidden="1" x14ac:dyDescent="0.15"/>
    <row r="64566" hidden="1" x14ac:dyDescent="0.15"/>
    <row r="64567" hidden="1" x14ac:dyDescent="0.15"/>
    <row r="64568" hidden="1" x14ac:dyDescent="0.15"/>
    <row r="64569" hidden="1" x14ac:dyDescent="0.15"/>
    <row r="64570" hidden="1" x14ac:dyDescent="0.15"/>
    <row r="64571" hidden="1" x14ac:dyDescent="0.15"/>
    <row r="64572" hidden="1" x14ac:dyDescent="0.15"/>
    <row r="64573" hidden="1" x14ac:dyDescent="0.15"/>
    <row r="64574" hidden="1" x14ac:dyDescent="0.15"/>
    <row r="64575" hidden="1" x14ac:dyDescent="0.15"/>
    <row r="64576" hidden="1" x14ac:dyDescent="0.15"/>
    <row r="64577" hidden="1" x14ac:dyDescent="0.15"/>
    <row r="64578" hidden="1" x14ac:dyDescent="0.15"/>
    <row r="64579" hidden="1" x14ac:dyDescent="0.15"/>
    <row r="64580" hidden="1" x14ac:dyDescent="0.15"/>
    <row r="64581" hidden="1" x14ac:dyDescent="0.15"/>
    <row r="64582" hidden="1" x14ac:dyDescent="0.15"/>
    <row r="64583" hidden="1" x14ac:dyDescent="0.15"/>
    <row r="64584" hidden="1" x14ac:dyDescent="0.15"/>
    <row r="64585" hidden="1" x14ac:dyDescent="0.15"/>
    <row r="64586" hidden="1" x14ac:dyDescent="0.15"/>
    <row r="64587" hidden="1" x14ac:dyDescent="0.15"/>
    <row r="64588" hidden="1" x14ac:dyDescent="0.15"/>
    <row r="64589" hidden="1" x14ac:dyDescent="0.15"/>
    <row r="64590" hidden="1" x14ac:dyDescent="0.15"/>
    <row r="64591" hidden="1" x14ac:dyDescent="0.15"/>
    <row r="64592" hidden="1" x14ac:dyDescent="0.15"/>
    <row r="64593" hidden="1" x14ac:dyDescent="0.15"/>
    <row r="64594" hidden="1" x14ac:dyDescent="0.15"/>
    <row r="64595" hidden="1" x14ac:dyDescent="0.15"/>
    <row r="64596" hidden="1" x14ac:dyDescent="0.15"/>
    <row r="64597" hidden="1" x14ac:dyDescent="0.15"/>
    <row r="64598" hidden="1" x14ac:dyDescent="0.15"/>
    <row r="64599" hidden="1" x14ac:dyDescent="0.15"/>
    <row r="64600" hidden="1" x14ac:dyDescent="0.15"/>
    <row r="64601" hidden="1" x14ac:dyDescent="0.15"/>
    <row r="64602" hidden="1" x14ac:dyDescent="0.15"/>
    <row r="64603" hidden="1" x14ac:dyDescent="0.15"/>
    <row r="64604" hidden="1" x14ac:dyDescent="0.15"/>
    <row r="64605" hidden="1" x14ac:dyDescent="0.15"/>
    <row r="64606" hidden="1" x14ac:dyDescent="0.15"/>
    <row r="64607" hidden="1" x14ac:dyDescent="0.15"/>
    <row r="64608" hidden="1" x14ac:dyDescent="0.15"/>
    <row r="64609" hidden="1" x14ac:dyDescent="0.15"/>
    <row r="64610" hidden="1" x14ac:dyDescent="0.15"/>
    <row r="64611" hidden="1" x14ac:dyDescent="0.15"/>
    <row r="64612" hidden="1" x14ac:dyDescent="0.15"/>
    <row r="64613" hidden="1" x14ac:dyDescent="0.15"/>
    <row r="64614" hidden="1" x14ac:dyDescent="0.15"/>
    <row r="64615" hidden="1" x14ac:dyDescent="0.15"/>
    <row r="64616" hidden="1" x14ac:dyDescent="0.15"/>
    <row r="64617" hidden="1" x14ac:dyDescent="0.15"/>
    <row r="64618" hidden="1" x14ac:dyDescent="0.15"/>
    <row r="64619" hidden="1" x14ac:dyDescent="0.15"/>
    <row r="64620" hidden="1" x14ac:dyDescent="0.15"/>
    <row r="64621" hidden="1" x14ac:dyDescent="0.15"/>
    <row r="64622" hidden="1" x14ac:dyDescent="0.15"/>
    <row r="64623" hidden="1" x14ac:dyDescent="0.15"/>
    <row r="64624" hidden="1" x14ac:dyDescent="0.15"/>
    <row r="64625" hidden="1" x14ac:dyDescent="0.15"/>
    <row r="64626" hidden="1" x14ac:dyDescent="0.15"/>
    <row r="64627" hidden="1" x14ac:dyDescent="0.15"/>
    <row r="64628" hidden="1" x14ac:dyDescent="0.15"/>
    <row r="64629" hidden="1" x14ac:dyDescent="0.15"/>
    <row r="64630" hidden="1" x14ac:dyDescent="0.15"/>
    <row r="64631" hidden="1" x14ac:dyDescent="0.15"/>
    <row r="64632" hidden="1" x14ac:dyDescent="0.15"/>
    <row r="64633" hidden="1" x14ac:dyDescent="0.15"/>
    <row r="64634" hidden="1" x14ac:dyDescent="0.15"/>
    <row r="64635" hidden="1" x14ac:dyDescent="0.15"/>
    <row r="64636" hidden="1" x14ac:dyDescent="0.15"/>
    <row r="64637" hidden="1" x14ac:dyDescent="0.15"/>
    <row r="64638" hidden="1" x14ac:dyDescent="0.15"/>
    <row r="64639" hidden="1" x14ac:dyDescent="0.15"/>
    <row r="64640" hidden="1" x14ac:dyDescent="0.15"/>
    <row r="64641" hidden="1" x14ac:dyDescent="0.15"/>
    <row r="64642" hidden="1" x14ac:dyDescent="0.15"/>
    <row r="64643" hidden="1" x14ac:dyDescent="0.15"/>
    <row r="64644" hidden="1" x14ac:dyDescent="0.15"/>
    <row r="64645" hidden="1" x14ac:dyDescent="0.15"/>
    <row r="64646" hidden="1" x14ac:dyDescent="0.15"/>
    <row r="64647" hidden="1" x14ac:dyDescent="0.15"/>
    <row r="64648" hidden="1" x14ac:dyDescent="0.15"/>
    <row r="64649" hidden="1" x14ac:dyDescent="0.15"/>
    <row r="64650" hidden="1" x14ac:dyDescent="0.15"/>
    <row r="64651" hidden="1" x14ac:dyDescent="0.15"/>
    <row r="64652" hidden="1" x14ac:dyDescent="0.15"/>
    <row r="64653" hidden="1" x14ac:dyDescent="0.15"/>
    <row r="64654" hidden="1" x14ac:dyDescent="0.15"/>
    <row r="64655" hidden="1" x14ac:dyDescent="0.15"/>
    <row r="64656" hidden="1" x14ac:dyDescent="0.15"/>
    <row r="64657" hidden="1" x14ac:dyDescent="0.15"/>
    <row r="64658" hidden="1" x14ac:dyDescent="0.15"/>
    <row r="64659" hidden="1" x14ac:dyDescent="0.15"/>
    <row r="64660" hidden="1" x14ac:dyDescent="0.15"/>
    <row r="64661" hidden="1" x14ac:dyDescent="0.15"/>
    <row r="64662" hidden="1" x14ac:dyDescent="0.15"/>
    <row r="64663" hidden="1" x14ac:dyDescent="0.15"/>
    <row r="64664" hidden="1" x14ac:dyDescent="0.15"/>
    <row r="64665" hidden="1" x14ac:dyDescent="0.15"/>
    <row r="64666" hidden="1" x14ac:dyDescent="0.15"/>
    <row r="64667" hidden="1" x14ac:dyDescent="0.15"/>
    <row r="64668" hidden="1" x14ac:dyDescent="0.15"/>
    <row r="64669" hidden="1" x14ac:dyDescent="0.15"/>
    <row r="64670" hidden="1" x14ac:dyDescent="0.15"/>
    <row r="64671" hidden="1" x14ac:dyDescent="0.15"/>
    <row r="64672" hidden="1" x14ac:dyDescent="0.15"/>
    <row r="64673" hidden="1" x14ac:dyDescent="0.15"/>
    <row r="64674" hidden="1" x14ac:dyDescent="0.15"/>
    <row r="64675" hidden="1" x14ac:dyDescent="0.15"/>
    <row r="64676" hidden="1" x14ac:dyDescent="0.15"/>
    <row r="64677" hidden="1" x14ac:dyDescent="0.15"/>
    <row r="64678" hidden="1" x14ac:dyDescent="0.15"/>
    <row r="64679" hidden="1" x14ac:dyDescent="0.15"/>
    <row r="64680" hidden="1" x14ac:dyDescent="0.15"/>
    <row r="64681" hidden="1" x14ac:dyDescent="0.15"/>
    <row r="64682" hidden="1" x14ac:dyDescent="0.15"/>
    <row r="64683" hidden="1" x14ac:dyDescent="0.15"/>
    <row r="64684" hidden="1" x14ac:dyDescent="0.15"/>
    <row r="64685" hidden="1" x14ac:dyDescent="0.15"/>
    <row r="64686" hidden="1" x14ac:dyDescent="0.15"/>
    <row r="64687" hidden="1" x14ac:dyDescent="0.15"/>
    <row r="64688" hidden="1" x14ac:dyDescent="0.15"/>
    <row r="64689" hidden="1" x14ac:dyDescent="0.15"/>
    <row r="64690" hidden="1" x14ac:dyDescent="0.15"/>
    <row r="64691" hidden="1" x14ac:dyDescent="0.15"/>
    <row r="64692" hidden="1" x14ac:dyDescent="0.15"/>
    <row r="64693" hidden="1" x14ac:dyDescent="0.15"/>
    <row r="64694" hidden="1" x14ac:dyDescent="0.15"/>
    <row r="64695" hidden="1" x14ac:dyDescent="0.15"/>
    <row r="64696" hidden="1" x14ac:dyDescent="0.15"/>
    <row r="64697" hidden="1" x14ac:dyDescent="0.15"/>
    <row r="64698" hidden="1" x14ac:dyDescent="0.15"/>
    <row r="64699" hidden="1" x14ac:dyDescent="0.15"/>
    <row r="64700" hidden="1" x14ac:dyDescent="0.15"/>
    <row r="64701" hidden="1" x14ac:dyDescent="0.15"/>
    <row r="64702" hidden="1" x14ac:dyDescent="0.15"/>
    <row r="64703" hidden="1" x14ac:dyDescent="0.15"/>
    <row r="64704" hidden="1" x14ac:dyDescent="0.15"/>
    <row r="64705" hidden="1" x14ac:dyDescent="0.15"/>
    <row r="64706" hidden="1" x14ac:dyDescent="0.15"/>
    <row r="64707" hidden="1" x14ac:dyDescent="0.15"/>
    <row r="64708" hidden="1" x14ac:dyDescent="0.15"/>
    <row r="64709" hidden="1" x14ac:dyDescent="0.15"/>
    <row r="64710" hidden="1" x14ac:dyDescent="0.15"/>
    <row r="64711" hidden="1" x14ac:dyDescent="0.15"/>
    <row r="64712" hidden="1" x14ac:dyDescent="0.15"/>
    <row r="64713" hidden="1" x14ac:dyDescent="0.15"/>
    <row r="64714" hidden="1" x14ac:dyDescent="0.15"/>
    <row r="64715" hidden="1" x14ac:dyDescent="0.15"/>
    <row r="64716" hidden="1" x14ac:dyDescent="0.15"/>
    <row r="64717" hidden="1" x14ac:dyDescent="0.15"/>
    <row r="64718" hidden="1" x14ac:dyDescent="0.15"/>
    <row r="64719" hidden="1" x14ac:dyDescent="0.15"/>
    <row r="64720" hidden="1" x14ac:dyDescent="0.15"/>
    <row r="64721" hidden="1" x14ac:dyDescent="0.15"/>
    <row r="64722" hidden="1" x14ac:dyDescent="0.15"/>
    <row r="64723" hidden="1" x14ac:dyDescent="0.15"/>
    <row r="64724" hidden="1" x14ac:dyDescent="0.15"/>
    <row r="64725" hidden="1" x14ac:dyDescent="0.15"/>
    <row r="64726" hidden="1" x14ac:dyDescent="0.15"/>
    <row r="64727" hidden="1" x14ac:dyDescent="0.15"/>
    <row r="64728" hidden="1" x14ac:dyDescent="0.15"/>
    <row r="64729" hidden="1" x14ac:dyDescent="0.15"/>
    <row r="64730" hidden="1" x14ac:dyDescent="0.15"/>
    <row r="64731" hidden="1" x14ac:dyDescent="0.15"/>
    <row r="64732" hidden="1" x14ac:dyDescent="0.15"/>
    <row r="64733" hidden="1" x14ac:dyDescent="0.15"/>
    <row r="64734" hidden="1" x14ac:dyDescent="0.15"/>
    <row r="64735" hidden="1" x14ac:dyDescent="0.15"/>
    <row r="64736" hidden="1" x14ac:dyDescent="0.15"/>
    <row r="64737" hidden="1" x14ac:dyDescent="0.15"/>
    <row r="64738" hidden="1" x14ac:dyDescent="0.15"/>
    <row r="64739" hidden="1" x14ac:dyDescent="0.15"/>
    <row r="64740" hidden="1" x14ac:dyDescent="0.15"/>
    <row r="64741" hidden="1" x14ac:dyDescent="0.15"/>
    <row r="64742" hidden="1" x14ac:dyDescent="0.15"/>
    <row r="64743" hidden="1" x14ac:dyDescent="0.15"/>
    <row r="64744" hidden="1" x14ac:dyDescent="0.15"/>
    <row r="64745" hidden="1" x14ac:dyDescent="0.15"/>
    <row r="64746" hidden="1" x14ac:dyDescent="0.15"/>
    <row r="64747" hidden="1" x14ac:dyDescent="0.15"/>
    <row r="64748" hidden="1" x14ac:dyDescent="0.15"/>
    <row r="64749" hidden="1" x14ac:dyDescent="0.15"/>
    <row r="64750" hidden="1" x14ac:dyDescent="0.15"/>
    <row r="64751" hidden="1" x14ac:dyDescent="0.15"/>
    <row r="64752" hidden="1" x14ac:dyDescent="0.15"/>
    <row r="64753" hidden="1" x14ac:dyDescent="0.15"/>
    <row r="64754" hidden="1" x14ac:dyDescent="0.15"/>
    <row r="64755" hidden="1" x14ac:dyDescent="0.15"/>
    <row r="64756" hidden="1" x14ac:dyDescent="0.15"/>
    <row r="64757" hidden="1" x14ac:dyDescent="0.15"/>
    <row r="64758" hidden="1" x14ac:dyDescent="0.15"/>
    <row r="64759" hidden="1" x14ac:dyDescent="0.15"/>
    <row r="64760" hidden="1" x14ac:dyDescent="0.15"/>
    <row r="64761" hidden="1" x14ac:dyDescent="0.15"/>
    <row r="64762" hidden="1" x14ac:dyDescent="0.15"/>
    <row r="64763" hidden="1" x14ac:dyDescent="0.15"/>
    <row r="64764" hidden="1" x14ac:dyDescent="0.15"/>
    <row r="64765" hidden="1" x14ac:dyDescent="0.15"/>
    <row r="64766" hidden="1" x14ac:dyDescent="0.15"/>
    <row r="64767" hidden="1" x14ac:dyDescent="0.15"/>
    <row r="64768" hidden="1" x14ac:dyDescent="0.15"/>
    <row r="64769" hidden="1" x14ac:dyDescent="0.15"/>
    <row r="64770" hidden="1" x14ac:dyDescent="0.15"/>
    <row r="64771" hidden="1" x14ac:dyDescent="0.15"/>
    <row r="64772" hidden="1" x14ac:dyDescent="0.15"/>
    <row r="64773" hidden="1" x14ac:dyDescent="0.15"/>
    <row r="64774" hidden="1" x14ac:dyDescent="0.15"/>
    <row r="64775" hidden="1" x14ac:dyDescent="0.15"/>
    <row r="64776" hidden="1" x14ac:dyDescent="0.15"/>
    <row r="64777" hidden="1" x14ac:dyDescent="0.15"/>
    <row r="64778" hidden="1" x14ac:dyDescent="0.15"/>
    <row r="64779" hidden="1" x14ac:dyDescent="0.15"/>
    <row r="64780" hidden="1" x14ac:dyDescent="0.15"/>
    <row r="64781" hidden="1" x14ac:dyDescent="0.15"/>
    <row r="64782" hidden="1" x14ac:dyDescent="0.15"/>
    <row r="64783" hidden="1" x14ac:dyDescent="0.15"/>
    <row r="64784" hidden="1" x14ac:dyDescent="0.15"/>
    <row r="64785" hidden="1" x14ac:dyDescent="0.15"/>
    <row r="64786" hidden="1" x14ac:dyDescent="0.15"/>
    <row r="64787" hidden="1" x14ac:dyDescent="0.15"/>
    <row r="64788" hidden="1" x14ac:dyDescent="0.15"/>
    <row r="64789" hidden="1" x14ac:dyDescent="0.15"/>
    <row r="64790" hidden="1" x14ac:dyDescent="0.15"/>
    <row r="64791" hidden="1" x14ac:dyDescent="0.15"/>
    <row r="64792" hidden="1" x14ac:dyDescent="0.15"/>
    <row r="64793" hidden="1" x14ac:dyDescent="0.15"/>
    <row r="64794" hidden="1" x14ac:dyDescent="0.15"/>
    <row r="64795" hidden="1" x14ac:dyDescent="0.15"/>
    <row r="64796" hidden="1" x14ac:dyDescent="0.15"/>
    <row r="64797" hidden="1" x14ac:dyDescent="0.15"/>
    <row r="64798" hidden="1" x14ac:dyDescent="0.15"/>
    <row r="64799" hidden="1" x14ac:dyDescent="0.15"/>
    <row r="64800" hidden="1" x14ac:dyDescent="0.15"/>
    <row r="64801" hidden="1" x14ac:dyDescent="0.15"/>
    <row r="64802" hidden="1" x14ac:dyDescent="0.15"/>
    <row r="64803" hidden="1" x14ac:dyDescent="0.15"/>
    <row r="64804" hidden="1" x14ac:dyDescent="0.15"/>
    <row r="64805" hidden="1" x14ac:dyDescent="0.15"/>
    <row r="64806" hidden="1" x14ac:dyDescent="0.15"/>
    <row r="64807" hidden="1" x14ac:dyDescent="0.15"/>
    <row r="64808" hidden="1" x14ac:dyDescent="0.15"/>
    <row r="64809" hidden="1" x14ac:dyDescent="0.15"/>
    <row r="64810" hidden="1" x14ac:dyDescent="0.15"/>
    <row r="64811" hidden="1" x14ac:dyDescent="0.15"/>
    <row r="64812" hidden="1" x14ac:dyDescent="0.15"/>
    <row r="64813" hidden="1" x14ac:dyDescent="0.15"/>
    <row r="64814" hidden="1" x14ac:dyDescent="0.15"/>
    <row r="64815" hidden="1" x14ac:dyDescent="0.15"/>
    <row r="64816" hidden="1" x14ac:dyDescent="0.15"/>
    <row r="64817" hidden="1" x14ac:dyDescent="0.15"/>
    <row r="64818" hidden="1" x14ac:dyDescent="0.15"/>
    <row r="64819" hidden="1" x14ac:dyDescent="0.15"/>
    <row r="64820" hidden="1" x14ac:dyDescent="0.15"/>
    <row r="64821" hidden="1" x14ac:dyDescent="0.15"/>
    <row r="64822" hidden="1" x14ac:dyDescent="0.15"/>
    <row r="64823" hidden="1" x14ac:dyDescent="0.15"/>
    <row r="64824" hidden="1" x14ac:dyDescent="0.15"/>
    <row r="64825" hidden="1" x14ac:dyDescent="0.15"/>
    <row r="64826" hidden="1" x14ac:dyDescent="0.15"/>
    <row r="64827" hidden="1" x14ac:dyDescent="0.15"/>
    <row r="64828" hidden="1" x14ac:dyDescent="0.15"/>
    <row r="64829" hidden="1" x14ac:dyDescent="0.15"/>
    <row r="64830" hidden="1" x14ac:dyDescent="0.15"/>
    <row r="64831" hidden="1" x14ac:dyDescent="0.15"/>
    <row r="64832" hidden="1" x14ac:dyDescent="0.15"/>
    <row r="64833" hidden="1" x14ac:dyDescent="0.15"/>
    <row r="64834" hidden="1" x14ac:dyDescent="0.15"/>
    <row r="64835" hidden="1" x14ac:dyDescent="0.15"/>
    <row r="64836" hidden="1" x14ac:dyDescent="0.15"/>
    <row r="64837" hidden="1" x14ac:dyDescent="0.15"/>
    <row r="64838" hidden="1" x14ac:dyDescent="0.15"/>
    <row r="64839" hidden="1" x14ac:dyDescent="0.15"/>
    <row r="64840" hidden="1" x14ac:dyDescent="0.15"/>
    <row r="64841" hidden="1" x14ac:dyDescent="0.15"/>
    <row r="64842" hidden="1" x14ac:dyDescent="0.15"/>
    <row r="64843" hidden="1" x14ac:dyDescent="0.15"/>
    <row r="64844" hidden="1" x14ac:dyDescent="0.15"/>
    <row r="64845" hidden="1" x14ac:dyDescent="0.15"/>
    <row r="64846" hidden="1" x14ac:dyDescent="0.15"/>
    <row r="64847" hidden="1" x14ac:dyDescent="0.15"/>
    <row r="64848" hidden="1" x14ac:dyDescent="0.15"/>
    <row r="64849" hidden="1" x14ac:dyDescent="0.15"/>
    <row r="64850" hidden="1" x14ac:dyDescent="0.15"/>
    <row r="64851" hidden="1" x14ac:dyDescent="0.15"/>
    <row r="64852" hidden="1" x14ac:dyDescent="0.15"/>
    <row r="64853" hidden="1" x14ac:dyDescent="0.15"/>
    <row r="64854" hidden="1" x14ac:dyDescent="0.15"/>
    <row r="64855" hidden="1" x14ac:dyDescent="0.15"/>
    <row r="64856" hidden="1" x14ac:dyDescent="0.15"/>
    <row r="64857" hidden="1" x14ac:dyDescent="0.15"/>
    <row r="64858" hidden="1" x14ac:dyDescent="0.15"/>
    <row r="64859" hidden="1" x14ac:dyDescent="0.15"/>
    <row r="64860" hidden="1" x14ac:dyDescent="0.15"/>
    <row r="64861" hidden="1" x14ac:dyDescent="0.15"/>
    <row r="64862" hidden="1" x14ac:dyDescent="0.15"/>
    <row r="64863" hidden="1" x14ac:dyDescent="0.15"/>
    <row r="64864" hidden="1" x14ac:dyDescent="0.15"/>
    <row r="64865" hidden="1" x14ac:dyDescent="0.15"/>
    <row r="64866" hidden="1" x14ac:dyDescent="0.15"/>
    <row r="64867" hidden="1" x14ac:dyDescent="0.15"/>
    <row r="64868" hidden="1" x14ac:dyDescent="0.15"/>
    <row r="64869" hidden="1" x14ac:dyDescent="0.15"/>
    <row r="64870" hidden="1" x14ac:dyDescent="0.15"/>
    <row r="64871" hidden="1" x14ac:dyDescent="0.15"/>
    <row r="64872" hidden="1" x14ac:dyDescent="0.15"/>
    <row r="64873" hidden="1" x14ac:dyDescent="0.15"/>
    <row r="64874" hidden="1" x14ac:dyDescent="0.15"/>
    <row r="64875" hidden="1" x14ac:dyDescent="0.15"/>
    <row r="64876" hidden="1" x14ac:dyDescent="0.15"/>
    <row r="64877" hidden="1" x14ac:dyDescent="0.15"/>
    <row r="64878" hidden="1" x14ac:dyDescent="0.15"/>
    <row r="64879" hidden="1" x14ac:dyDescent="0.15"/>
    <row r="64880" hidden="1" x14ac:dyDescent="0.15"/>
    <row r="64881" hidden="1" x14ac:dyDescent="0.15"/>
    <row r="64882" hidden="1" x14ac:dyDescent="0.15"/>
    <row r="64883" hidden="1" x14ac:dyDescent="0.15"/>
    <row r="64884" hidden="1" x14ac:dyDescent="0.15"/>
    <row r="64885" hidden="1" x14ac:dyDescent="0.15"/>
    <row r="64886" hidden="1" x14ac:dyDescent="0.15"/>
    <row r="64887" hidden="1" x14ac:dyDescent="0.15"/>
    <row r="64888" hidden="1" x14ac:dyDescent="0.15"/>
    <row r="64889" hidden="1" x14ac:dyDescent="0.15"/>
    <row r="64890" hidden="1" x14ac:dyDescent="0.15"/>
    <row r="64891" hidden="1" x14ac:dyDescent="0.15"/>
    <row r="64892" hidden="1" x14ac:dyDescent="0.15"/>
    <row r="64893" hidden="1" x14ac:dyDescent="0.15"/>
    <row r="64894" hidden="1" x14ac:dyDescent="0.15"/>
    <row r="64895" hidden="1" x14ac:dyDescent="0.15"/>
    <row r="64896" hidden="1" x14ac:dyDescent="0.15"/>
    <row r="64897" hidden="1" x14ac:dyDescent="0.15"/>
    <row r="64898" hidden="1" x14ac:dyDescent="0.15"/>
    <row r="64899" hidden="1" x14ac:dyDescent="0.15"/>
    <row r="64900" hidden="1" x14ac:dyDescent="0.15"/>
    <row r="64901" hidden="1" x14ac:dyDescent="0.15"/>
    <row r="64902" hidden="1" x14ac:dyDescent="0.15"/>
    <row r="64903" hidden="1" x14ac:dyDescent="0.15"/>
    <row r="64904" hidden="1" x14ac:dyDescent="0.15"/>
    <row r="64905" hidden="1" x14ac:dyDescent="0.15"/>
    <row r="64906" hidden="1" x14ac:dyDescent="0.15"/>
    <row r="64907" hidden="1" x14ac:dyDescent="0.15"/>
    <row r="64908" hidden="1" x14ac:dyDescent="0.15"/>
    <row r="64909" hidden="1" x14ac:dyDescent="0.15"/>
    <row r="64910" hidden="1" x14ac:dyDescent="0.15"/>
    <row r="64911" hidden="1" x14ac:dyDescent="0.15"/>
    <row r="64912" hidden="1" x14ac:dyDescent="0.15"/>
    <row r="64913" hidden="1" x14ac:dyDescent="0.15"/>
    <row r="64914" hidden="1" x14ac:dyDescent="0.15"/>
    <row r="64915" hidden="1" x14ac:dyDescent="0.15"/>
    <row r="64916" hidden="1" x14ac:dyDescent="0.15"/>
    <row r="64917" hidden="1" x14ac:dyDescent="0.15"/>
    <row r="64918" hidden="1" x14ac:dyDescent="0.15"/>
    <row r="64919" hidden="1" x14ac:dyDescent="0.15"/>
    <row r="64920" hidden="1" x14ac:dyDescent="0.15"/>
    <row r="64921" hidden="1" x14ac:dyDescent="0.15"/>
    <row r="64922" hidden="1" x14ac:dyDescent="0.15"/>
    <row r="64923" hidden="1" x14ac:dyDescent="0.15"/>
    <row r="64924" hidden="1" x14ac:dyDescent="0.15"/>
    <row r="64925" hidden="1" x14ac:dyDescent="0.15"/>
    <row r="64926" hidden="1" x14ac:dyDescent="0.15"/>
    <row r="64927" hidden="1" x14ac:dyDescent="0.15"/>
    <row r="64928" hidden="1" x14ac:dyDescent="0.15"/>
    <row r="64929" hidden="1" x14ac:dyDescent="0.15"/>
    <row r="64930" hidden="1" x14ac:dyDescent="0.15"/>
    <row r="64931" hidden="1" x14ac:dyDescent="0.15"/>
    <row r="64932" hidden="1" x14ac:dyDescent="0.15"/>
    <row r="64933" hidden="1" x14ac:dyDescent="0.15"/>
    <row r="64934" hidden="1" x14ac:dyDescent="0.15"/>
    <row r="64935" hidden="1" x14ac:dyDescent="0.15"/>
    <row r="64936" hidden="1" x14ac:dyDescent="0.15"/>
    <row r="64937" hidden="1" x14ac:dyDescent="0.15"/>
    <row r="64938" hidden="1" x14ac:dyDescent="0.15"/>
    <row r="64939" hidden="1" x14ac:dyDescent="0.15"/>
    <row r="64940" hidden="1" x14ac:dyDescent="0.15"/>
    <row r="64941" hidden="1" x14ac:dyDescent="0.15"/>
    <row r="64942" hidden="1" x14ac:dyDescent="0.15"/>
    <row r="64943" hidden="1" x14ac:dyDescent="0.15"/>
    <row r="64944" hidden="1" x14ac:dyDescent="0.15"/>
    <row r="64945" hidden="1" x14ac:dyDescent="0.15"/>
    <row r="64946" hidden="1" x14ac:dyDescent="0.15"/>
    <row r="64947" hidden="1" x14ac:dyDescent="0.15"/>
    <row r="64948" hidden="1" x14ac:dyDescent="0.15"/>
    <row r="64949" hidden="1" x14ac:dyDescent="0.15"/>
    <row r="64950" hidden="1" x14ac:dyDescent="0.15"/>
    <row r="64951" hidden="1" x14ac:dyDescent="0.15"/>
    <row r="64952" hidden="1" x14ac:dyDescent="0.15"/>
    <row r="64953" hidden="1" x14ac:dyDescent="0.15"/>
    <row r="64954" hidden="1" x14ac:dyDescent="0.15"/>
    <row r="64955" hidden="1" x14ac:dyDescent="0.15"/>
    <row r="64956" hidden="1" x14ac:dyDescent="0.15"/>
    <row r="64957" hidden="1" x14ac:dyDescent="0.15"/>
    <row r="64958" hidden="1" x14ac:dyDescent="0.15"/>
    <row r="64959" hidden="1" x14ac:dyDescent="0.15"/>
    <row r="64960" hidden="1" x14ac:dyDescent="0.15"/>
    <row r="64961" hidden="1" x14ac:dyDescent="0.15"/>
    <row r="64962" hidden="1" x14ac:dyDescent="0.15"/>
    <row r="64963" hidden="1" x14ac:dyDescent="0.15"/>
    <row r="64964" hidden="1" x14ac:dyDescent="0.15"/>
    <row r="64965" hidden="1" x14ac:dyDescent="0.15"/>
    <row r="64966" hidden="1" x14ac:dyDescent="0.15"/>
    <row r="64967" hidden="1" x14ac:dyDescent="0.15"/>
    <row r="64968" hidden="1" x14ac:dyDescent="0.15"/>
    <row r="64969" hidden="1" x14ac:dyDescent="0.15"/>
    <row r="64970" hidden="1" x14ac:dyDescent="0.15"/>
    <row r="64971" hidden="1" x14ac:dyDescent="0.15"/>
    <row r="64972" hidden="1" x14ac:dyDescent="0.15"/>
    <row r="64973" hidden="1" x14ac:dyDescent="0.15"/>
    <row r="64974" hidden="1" x14ac:dyDescent="0.15"/>
    <row r="64975" hidden="1" x14ac:dyDescent="0.15"/>
    <row r="64976" hidden="1" x14ac:dyDescent="0.15"/>
    <row r="64977" hidden="1" x14ac:dyDescent="0.15"/>
    <row r="64978" hidden="1" x14ac:dyDescent="0.15"/>
    <row r="64979" hidden="1" x14ac:dyDescent="0.15"/>
    <row r="64980" hidden="1" x14ac:dyDescent="0.15"/>
    <row r="64981" hidden="1" x14ac:dyDescent="0.15"/>
    <row r="64982" hidden="1" x14ac:dyDescent="0.15"/>
    <row r="64983" hidden="1" x14ac:dyDescent="0.15"/>
    <row r="64984" hidden="1" x14ac:dyDescent="0.15"/>
    <row r="64985" hidden="1" x14ac:dyDescent="0.15"/>
    <row r="64986" hidden="1" x14ac:dyDescent="0.15"/>
    <row r="64987" hidden="1" x14ac:dyDescent="0.15"/>
    <row r="64988" hidden="1" x14ac:dyDescent="0.15"/>
    <row r="64989" hidden="1" x14ac:dyDescent="0.15"/>
    <row r="64990" hidden="1" x14ac:dyDescent="0.15"/>
    <row r="64991" hidden="1" x14ac:dyDescent="0.15"/>
    <row r="64992" hidden="1" x14ac:dyDescent="0.15"/>
    <row r="64993" hidden="1" x14ac:dyDescent="0.15"/>
    <row r="64994" hidden="1" x14ac:dyDescent="0.15"/>
    <row r="64995" hidden="1" x14ac:dyDescent="0.15"/>
    <row r="64996" hidden="1" x14ac:dyDescent="0.15"/>
    <row r="64997" hidden="1" x14ac:dyDescent="0.15"/>
    <row r="64998" hidden="1" x14ac:dyDescent="0.15"/>
    <row r="64999" hidden="1" x14ac:dyDescent="0.15"/>
    <row r="65000" hidden="1" x14ac:dyDescent="0.15"/>
    <row r="65001" hidden="1" x14ac:dyDescent="0.15"/>
    <row r="65002" hidden="1" x14ac:dyDescent="0.15"/>
    <row r="65003" hidden="1" x14ac:dyDescent="0.15"/>
    <row r="65004" hidden="1" x14ac:dyDescent="0.15"/>
    <row r="65005" hidden="1" x14ac:dyDescent="0.15"/>
    <row r="65006" hidden="1" x14ac:dyDescent="0.15"/>
    <row r="65007" hidden="1" x14ac:dyDescent="0.15"/>
    <row r="65008" hidden="1" x14ac:dyDescent="0.15"/>
    <row r="65009" hidden="1" x14ac:dyDescent="0.15"/>
    <row r="65010" hidden="1" x14ac:dyDescent="0.15"/>
    <row r="65011" hidden="1" x14ac:dyDescent="0.15"/>
    <row r="65012" hidden="1" x14ac:dyDescent="0.15"/>
    <row r="65013" hidden="1" x14ac:dyDescent="0.15"/>
    <row r="65014" hidden="1" x14ac:dyDescent="0.15"/>
    <row r="65015" hidden="1" x14ac:dyDescent="0.15"/>
    <row r="65016" hidden="1" x14ac:dyDescent="0.15"/>
    <row r="65017" hidden="1" x14ac:dyDescent="0.15"/>
    <row r="65018" hidden="1" x14ac:dyDescent="0.15"/>
    <row r="65019" hidden="1" x14ac:dyDescent="0.15"/>
    <row r="65020" hidden="1" x14ac:dyDescent="0.15"/>
    <row r="65021" hidden="1" x14ac:dyDescent="0.15"/>
    <row r="65022" hidden="1" x14ac:dyDescent="0.15"/>
    <row r="65023" hidden="1" x14ac:dyDescent="0.15"/>
    <row r="65024" hidden="1" x14ac:dyDescent="0.15"/>
    <row r="65025" hidden="1" x14ac:dyDescent="0.15"/>
    <row r="65026" hidden="1" x14ac:dyDescent="0.15"/>
    <row r="65027" hidden="1" x14ac:dyDescent="0.15"/>
    <row r="65028" hidden="1" x14ac:dyDescent="0.15"/>
    <row r="65029" hidden="1" x14ac:dyDescent="0.15"/>
    <row r="65030" hidden="1" x14ac:dyDescent="0.15"/>
    <row r="65031" hidden="1" x14ac:dyDescent="0.15"/>
    <row r="65032" hidden="1" x14ac:dyDescent="0.15"/>
    <row r="65033" hidden="1" x14ac:dyDescent="0.15"/>
    <row r="65034" hidden="1" x14ac:dyDescent="0.15"/>
    <row r="65035" hidden="1" x14ac:dyDescent="0.15"/>
    <row r="65036" hidden="1" x14ac:dyDescent="0.15"/>
    <row r="65037" hidden="1" x14ac:dyDescent="0.15"/>
    <row r="65038" hidden="1" x14ac:dyDescent="0.15"/>
    <row r="65039" hidden="1" x14ac:dyDescent="0.15"/>
    <row r="65040" hidden="1" x14ac:dyDescent="0.15"/>
    <row r="65041" hidden="1" x14ac:dyDescent="0.15"/>
    <row r="65042" hidden="1" x14ac:dyDescent="0.15"/>
    <row r="65043" hidden="1" x14ac:dyDescent="0.15"/>
    <row r="65044" hidden="1" x14ac:dyDescent="0.15"/>
    <row r="65045" hidden="1" x14ac:dyDescent="0.15"/>
    <row r="65046" hidden="1" x14ac:dyDescent="0.15"/>
    <row r="65047" hidden="1" x14ac:dyDescent="0.15"/>
    <row r="65048" hidden="1" x14ac:dyDescent="0.15"/>
    <row r="65049" hidden="1" x14ac:dyDescent="0.15"/>
    <row r="65050" hidden="1" x14ac:dyDescent="0.15"/>
    <row r="65051" hidden="1" x14ac:dyDescent="0.15"/>
    <row r="65052" hidden="1" x14ac:dyDescent="0.15"/>
    <row r="65053" hidden="1" x14ac:dyDescent="0.15"/>
    <row r="65054" hidden="1" x14ac:dyDescent="0.15"/>
    <row r="65055" hidden="1" x14ac:dyDescent="0.15"/>
    <row r="65056" hidden="1" x14ac:dyDescent="0.15"/>
    <row r="65057" hidden="1" x14ac:dyDescent="0.15"/>
    <row r="65058" hidden="1" x14ac:dyDescent="0.15"/>
    <row r="65059" hidden="1" x14ac:dyDescent="0.15"/>
    <row r="65060" hidden="1" x14ac:dyDescent="0.15"/>
    <row r="65061" hidden="1" x14ac:dyDescent="0.15"/>
    <row r="65062" hidden="1" x14ac:dyDescent="0.15"/>
    <row r="65063" hidden="1" x14ac:dyDescent="0.15"/>
    <row r="65064" hidden="1" x14ac:dyDescent="0.15"/>
    <row r="65065" hidden="1" x14ac:dyDescent="0.15"/>
    <row r="65066" hidden="1" x14ac:dyDescent="0.15"/>
    <row r="65067" hidden="1" x14ac:dyDescent="0.15"/>
    <row r="65068" hidden="1" x14ac:dyDescent="0.15"/>
    <row r="65069" hidden="1" x14ac:dyDescent="0.15"/>
    <row r="65070" hidden="1" x14ac:dyDescent="0.15"/>
    <row r="65071" hidden="1" x14ac:dyDescent="0.15"/>
    <row r="65072" hidden="1" x14ac:dyDescent="0.15"/>
    <row r="65073" hidden="1" x14ac:dyDescent="0.15"/>
    <row r="65074" hidden="1" x14ac:dyDescent="0.15"/>
    <row r="65075" hidden="1" x14ac:dyDescent="0.15"/>
    <row r="65076" hidden="1" x14ac:dyDescent="0.15"/>
    <row r="65077" hidden="1" x14ac:dyDescent="0.15"/>
    <row r="65078" hidden="1" x14ac:dyDescent="0.15"/>
    <row r="65079" hidden="1" x14ac:dyDescent="0.15"/>
    <row r="65080" hidden="1" x14ac:dyDescent="0.15"/>
    <row r="65081" hidden="1" x14ac:dyDescent="0.15"/>
    <row r="65082" hidden="1" x14ac:dyDescent="0.15"/>
    <row r="65083" hidden="1" x14ac:dyDescent="0.15"/>
    <row r="65084" hidden="1" x14ac:dyDescent="0.15"/>
    <row r="65085" hidden="1" x14ac:dyDescent="0.15"/>
    <row r="65086" hidden="1" x14ac:dyDescent="0.15"/>
    <row r="65087" hidden="1" x14ac:dyDescent="0.15"/>
    <row r="65088" hidden="1" x14ac:dyDescent="0.15"/>
    <row r="65089" hidden="1" x14ac:dyDescent="0.15"/>
    <row r="65090" hidden="1" x14ac:dyDescent="0.15"/>
    <row r="65091" hidden="1" x14ac:dyDescent="0.15"/>
    <row r="65092" hidden="1" x14ac:dyDescent="0.15"/>
    <row r="65093" hidden="1" x14ac:dyDescent="0.15"/>
    <row r="65094" hidden="1" x14ac:dyDescent="0.15"/>
    <row r="65095" hidden="1" x14ac:dyDescent="0.15"/>
    <row r="65096" hidden="1" x14ac:dyDescent="0.15"/>
    <row r="65097" hidden="1" x14ac:dyDescent="0.15"/>
    <row r="65098" hidden="1" x14ac:dyDescent="0.15"/>
    <row r="65099" hidden="1" x14ac:dyDescent="0.15"/>
    <row r="65100" hidden="1" x14ac:dyDescent="0.15"/>
    <row r="65101" hidden="1" x14ac:dyDescent="0.15"/>
    <row r="65102" hidden="1" x14ac:dyDescent="0.15"/>
    <row r="65103" hidden="1" x14ac:dyDescent="0.15"/>
    <row r="65104" hidden="1" x14ac:dyDescent="0.15"/>
    <row r="65105" hidden="1" x14ac:dyDescent="0.15"/>
    <row r="65106" hidden="1" x14ac:dyDescent="0.15"/>
    <row r="65107" hidden="1" x14ac:dyDescent="0.15"/>
    <row r="65108" hidden="1" x14ac:dyDescent="0.15"/>
    <row r="65109" hidden="1" x14ac:dyDescent="0.15"/>
    <row r="65110" hidden="1" x14ac:dyDescent="0.15"/>
    <row r="65111" hidden="1" x14ac:dyDescent="0.15"/>
    <row r="65112" hidden="1" x14ac:dyDescent="0.15"/>
    <row r="65113" hidden="1" x14ac:dyDescent="0.15"/>
    <row r="65114" hidden="1" x14ac:dyDescent="0.15"/>
    <row r="65115" hidden="1" x14ac:dyDescent="0.15"/>
    <row r="65116" hidden="1" x14ac:dyDescent="0.15"/>
    <row r="65117" hidden="1" x14ac:dyDescent="0.15"/>
    <row r="65118" hidden="1" x14ac:dyDescent="0.15"/>
    <row r="65119" hidden="1" x14ac:dyDescent="0.15"/>
    <row r="65120" hidden="1" x14ac:dyDescent="0.15"/>
    <row r="65121" hidden="1" x14ac:dyDescent="0.15"/>
    <row r="65122" hidden="1" x14ac:dyDescent="0.15"/>
    <row r="65123" hidden="1" x14ac:dyDescent="0.15"/>
    <row r="65124" hidden="1" x14ac:dyDescent="0.15"/>
    <row r="65125" hidden="1" x14ac:dyDescent="0.15"/>
    <row r="65126" hidden="1" x14ac:dyDescent="0.15"/>
    <row r="65127" hidden="1" x14ac:dyDescent="0.15"/>
    <row r="65128" hidden="1" x14ac:dyDescent="0.15"/>
    <row r="65129" hidden="1" x14ac:dyDescent="0.15"/>
    <row r="65130" hidden="1" x14ac:dyDescent="0.15"/>
    <row r="65131" hidden="1" x14ac:dyDescent="0.15"/>
    <row r="65132" hidden="1" x14ac:dyDescent="0.15"/>
    <row r="65133" hidden="1" x14ac:dyDescent="0.15"/>
    <row r="65134" hidden="1" x14ac:dyDescent="0.15"/>
    <row r="65135" hidden="1" x14ac:dyDescent="0.15"/>
    <row r="65136" hidden="1" x14ac:dyDescent="0.15"/>
    <row r="65137" hidden="1" x14ac:dyDescent="0.15"/>
    <row r="65138" hidden="1" x14ac:dyDescent="0.15"/>
    <row r="65139" hidden="1" x14ac:dyDescent="0.15"/>
    <row r="65140" hidden="1" x14ac:dyDescent="0.15"/>
    <row r="65141" hidden="1" x14ac:dyDescent="0.15"/>
    <row r="65142" hidden="1" x14ac:dyDescent="0.15"/>
    <row r="65143" hidden="1" x14ac:dyDescent="0.15"/>
    <row r="65144" hidden="1" x14ac:dyDescent="0.15"/>
    <row r="65145" hidden="1" x14ac:dyDescent="0.15"/>
    <row r="65146" hidden="1" x14ac:dyDescent="0.15"/>
    <row r="65147" hidden="1" x14ac:dyDescent="0.15"/>
    <row r="65148" hidden="1" x14ac:dyDescent="0.15"/>
    <row r="65149" hidden="1" x14ac:dyDescent="0.15"/>
    <row r="65150" hidden="1" x14ac:dyDescent="0.15"/>
    <row r="65151" hidden="1" x14ac:dyDescent="0.15"/>
    <row r="65152" hidden="1" x14ac:dyDescent="0.15"/>
    <row r="65153" hidden="1" x14ac:dyDescent="0.15"/>
    <row r="65154" hidden="1" x14ac:dyDescent="0.15"/>
    <row r="65155" hidden="1" x14ac:dyDescent="0.15"/>
    <row r="65156" hidden="1" x14ac:dyDescent="0.15"/>
    <row r="65157" hidden="1" x14ac:dyDescent="0.15"/>
    <row r="65158" hidden="1" x14ac:dyDescent="0.15"/>
    <row r="65159" hidden="1" x14ac:dyDescent="0.15"/>
    <row r="65160" hidden="1" x14ac:dyDescent="0.15"/>
    <row r="65161" hidden="1" x14ac:dyDescent="0.15"/>
    <row r="65162" hidden="1" x14ac:dyDescent="0.15"/>
    <row r="65163" hidden="1" x14ac:dyDescent="0.15"/>
    <row r="65164" hidden="1" x14ac:dyDescent="0.15"/>
    <row r="65165" hidden="1" x14ac:dyDescent="0.15"/>
    <row r="65166" hidden="1" x14ac:dyDescent="0.15"/>
    <row r="65167" hidden="1" x14ac:dyDescent="0.15"/>
    <row r="65168" hidden="1" x14ac:dyDescent="0.15"/>
    <row r="65169" hidden="1" x14ac:dyDescent="0.15"/>
    <row r="65170" hidden="1" x14ac:dyDescent="0.15"/>
    <row r="65171" hidden="1" x14ac:dyDescent="0.15"/>
    <row r="65172" hidden="1" x14ac:dyDescent="0.15"/>
    <row r="65173" hidden="1" x14ac:dyDescent="0.15"/>
    <row r="65174" hidden="1" x14ac:dyDescent="0.15"/>
    <row r="65175" hidden="1" x14ac:dyDescent="0.15"/>
    <row r="65176" hidden="1" x14ac:dyDescent="0.15"/>
    <row r="65177" hidden="1" x14ac:dyDescent="0.15"/>
    <row r="65178" hidden="1" x14ac:dyDescent="0.15"/>
    <row r="65179" hidden="1" x14ac:dyDescent="0.15"/>
    <row r="65180" hidden="1" x14ac:dyDescent="0.15"/>
    <row r="65181" hidden="1" x14ac:dyDescent="0.15"/>
    <row r="65182" hidden="1" x14ac:dyDescent="0.15"/>
    <row r="65183" hidden="1" x14ac:dyDescent="0.15"/>
    <row r="65184" hidden="1" x14ac:dyDescent="0.15"/>
    <row r="65185" hidden="1" x14ac:dyDescent="0.15"/>
    <row r="65186" hidden="1" x14ac:dyDescent="0.15"/>
    <row r="65187" hidden="1" x14ac:dyDescent="0.15"/>
    <row r="65188" hidden="1" x14ac:dyDescent="0.15"/>
    <row r="65189" hidden="1" x14ac:dyDescent="0.15"/>
    <row r="65190" hidden="1" x14ac:dyDescent="0.15"/>
    <row r="65191" hidden="1" x14ac:dyDescent="0.15"/>
    <row r="65192" hidden="1" x14ac:dyDescent="0.15"/>
    <row r="65193" hidden="1" x14ac:dyDescent="0.15"/>
    <row r="65194" hidden="1" x14ac:dyDescent="0.15"/>
    <row r="65195" hidden="1" x14ac:dyDescent="0.15"/>
    <row r="65196" hidden="1" x14ac:dyDescent="0.15"/>
    <row r="65197" hidden="1" x14ac:dyDescent="0.15"/>
    <row r="65198" hidden="1" x14ac:dyDescent="0.15"/>
    <row r="65199" hidden="1" x14ac:dyDescent="0.15"/>
    <row r="65200" hidden="1" x14ac:dyDescent="0.15"/>
    <row r="65201" hidden="1" x14ac:dyDescent="0.15"/>
    <row r="65202" hidden="1" x14ac:dyDescent="0.15"/>
    <row r="65203" hidden="1" x14ac:dyDescent="0.15"/>
    <row r="65204" hidden="1" x14ac:dyDescent="0.15"/>
    <row r="65205" hidden="1" x14ac:dyDescent="0.15"/>
    <row r="65206" hidden="1" x14ac:dyDescent="0.15"/>
    <row r="65207" hidden="1" x14ac:dyDescent="0.15"/>
    <row r="65208" hidden="1" x14ac:dyDescent="0.15"/>
    <row r="65209" hidden="1" x14ac:dyDescent="0.15"/>
    <row r="65210" hidden="1" x14ac:dyDescent="0.15"/>
    <row r="65211" hidden="1" x14ac:dyDescent="0.15"/>
    <row r="65212" hidden="1" x14ac:dyDescent="0.15"/>
    <row r="65213" hidden="1" x14ac:dyDescent="0.15"/>
    <row r="65214" hidden="1" x14ac:dyDescent="0.15"/>
    <row r="65215" hidden="1" x14ac:dyDescent="0.15"/>
    <row r="65216" hidden="1" x14ac:dyDescent="0.15"/>
    <row r="65217" hidden="1" x14ac:dyDescent="0.15"/>
    <row r="65218" hidden="1" x14ac:dyDescent="0.15"/>
    <row r="65219" hidden="1" x14ac:dyDescent="0.15"/>
    <row r="65220" hidden="1" x14ac:dyDescent="0.15"/>
    <row r="65221" hidden="1" x14ac:dyDescent="0.15"/>
    <row r="65222" hidden="1" x14ac:dyDescent="0.15"/>
    <row r="65223" hidden="1" x14ac:dyDescent="0.15"/>
    <row r="65224" hidden="1" x14ac:dyDescent="0.15"/>
    <row r="65225" hidden="1" x14ac:dyDescent="0.15"/>
    <row r="65226" hidden="1" x14ac:dyDescent="0.15"/>
    <row r="65227" hidden="1" x14ac:dyDescent="0.15"/>
    <row r="65228" hidden="1" x14ac:dyDescent="0.15"/>
    <row r="65229" hidden="1" x14ac:dyDescent="0.15"/>
    <row r="65230" hidden="1" x14ac:dyDescent="0.15"/>
    <row r="65231" hidden="1" x14ac:dyDescent="0.15"/>
    <row r="65232" hidden="1" x14ac:dyDescent="0.15"/>
    <row r="65233" hidden="1" x14ac:dyDescent="0.15"/>
    <row r="65234" hidden="1" x14ac:dyDescent="0.15"/>
    <row r="65235" hidden="1" x14ac:dyDescent="0.15"/>
    <row r="65236" hidden="1" x14ac:dyDescent="0.15"/>
    <row r="65237" hidden="1" x14ac:dyDescent="0.15"/>
    <row r="65238" hidden="1" x14ac:dyDescent="0.15"/>
    <row r="65239" hidden="1" x14ac:dyDescent="0.15"/>
    <row r="65240" hidden="1" x14ac:dyDescent="0.15"/>
    <row r="65241" hidden="1" x14ac:dyDescent="0.15"/>
    <row r="65242" hidden="1" x14ac:dyDescent="0.15"/>
    <row r="65243" hidden="1" x14ac:dyDescent="0.15"/>
    <row r="65244" hidden="1" x14ac:dyDescent="0.15"/>
    <row r="65245" hidden="1" x14ac:dyDescent="0.15"/>
    <row r="65246" hidden="1" x14ac:dyDescent="0.15"/>
    <row r="65247" hidden="1" x14ac:dyDescent="0.15"/>
    <row r="65248" hidden="1" x14ac:dyDescent="0.15"/>
    <row r="65249" hidden="1" x14ac:dyDescent="0.15"/>
    <row r="65250" hidden="1" x14ac:dyDescent="0.15"/>
    <row r="65251" hidden="1" x14ac:dyDescent="0.15"/>
    <row r="65252" hidden="1" x14ac:dyDescent="0.15"/>
    <row r="65253" hidden="1" x14ac:dyDescent="0.15"/>
    <row r="65254" hidden="1" x14ac:dyDescent="0.15"/>
    <row r="65255" hidden="1" x14ac:dyDescent="0.15"/>
    <row r="65256" hidden="1" x14ac:dyDescent="0.15"/>
    <row r="65257" hidden="1" x14ac:dyDescent="0.15"/>
    <row r="65258" hidden="1" x14ac:dyDescent="0.15"/>
    <row r="65259" hidden="1" x14ac:dyDescent="0.15"/>
    <row r="65260" hidden="1" x14ac:dyDescent="0.15"/>
    <row r="65261" hidden="1" x14ac:dyDescent="0.15"/>
    <row r="65262" hidden="1" x14ac:dyDescent="0.15"/>
    <row r="65263" hidden="1" x14ac:dyDescent="0.15"/>
    <row r="65264" hidden="1" x14ac:dyDescent="0.15"/>
    <row r="65265" hidden="1" x14ac:dyDescent="0.15"/>
    <row r="65266" hidden="1" x14ac:dyDescent="0.15"/>
    <row r="65267" hidden="1" x14ac:dyDescent="0.15"/>
    <row r="65268" hidden="1" x14ac:dyDescent="0.15"/>
    <row r="65269" hidden="1" x14ac:dyDescent="0.15"/>
    <row r="65270" hidden="1" x14ac:dyDescent="0.15"/>
    <row r="65271" hidden="1" x14ac:dyDescent="0.15"/>
    <row r="65272" hidden="1" x14ac:dyDescent="0.15"/>
    <row r="65273" hidden="1" x14ac:dyDescent="0.15"/>
    <row r="65274" hidden="1" x14ac:dyDescent="0.15"/>
    <row r="65275" hidden="1" x14ac:dyDescent="0.15"/>
    <row r="65276" hidden="1" x14ac:dyDescent="0.15"/>
    <row r="65277" hidden="1" x14ac:dyDescent="0.15"/>
    <row r="65278" hidden="1" x14ac:dyDescent="0.15"/>
    <row r="65279" hidden="1" x14ac:dyDescent="0.15"/>
    <row r="65280" hidden="1" x14ac:dyDescent="0.15"/>
    <row r="65281" hidden="1" x14ac:dyDescent="0.15"/>
    <row r="65282" hidden="1" x14ac:dyDescent="0.15"/>
    <row r="65283" hidden="1" x14ac:dyDescent="0.15"/>
    <row r="65284" hidden="1" x14ac:dyDescent="0.15"/>
    <row r="65285" hidden="1" x14ac:dyDescent="0.15"/>
    <row r="65286" hidden="1" x14ac:dyDescent="0.15"/>
    <row r="65287" hidden="1" x14ac:dyDescent="0.15"/>
    <row r="65288" hidden="1" x14ac:dyDescent="0.15"/>
    <row r="65289" hidden="1" x14ac:dyDescent="0.15"/>
    <row r="65290" hidden="1" x14ac:dyDescent="0.15"/>
    <row r="65291" hidden="1" x14ac:dyDescent="0.15"/>
    <row r="65292" hidden="1" x14ac:dyDescent="0.15"/>
    <row r="65293" hidden="1" x14ac:dyDescent="0.15"/>
    <row r="65294" hidden="1" x14ac:dyDescent="0.15"/>
    <row r="65295" hidden="1" x14ac:dyDescent="0.15"/>
    <row r="65296" hidden="1" x14ac:dyDescent="0.15"/>
    <row r="65297" hidden="1" x14ac:dyDescent="0.15"/>
    <row r="65298" hidden="1" x14ac:dyDescent="0.15"/>
    <row r="65299" hidden="1" x14ac:dyDescent="0.15"/>
    <row r="65300" hidden="1" x14ac:dyDescent="0.15"/>
    <row r="65301" hidden="1" x14ac:dyDescent="0.15"/>
    <row r="65302" hidden="1" x14ac:dyDescent="0.15"/>
    <row r="65303" hidden="1" x14ac:dyDescent="0.15"/>
    <row r="65304" hidden="1" x14ac:dyDescent="0.15"/>
    <row r="65305" hidden="1" x14ac:dyDescent="0.15"/>
    <row r="65306" hidden="1" x14ac:dyDescent="0.15"/>
    <row r="65307" hidden="1" x14ac:dyDescent="0.15"/>
    <row r="65308" hidden="1" x14ac:dyDescent="0.15"/>
    <row r="65309" hidden="1" x14ac:dyDescent="0.15"/>
    <row r="65310" hidden="1" x14ac:dyDescent="0.15"/>
    <row r="65311" hidden="1" x14ac:dyDescent="0.15"/>
    <row r="65312" hidden="1" x14ac:dyDescent="0.15"/>
    <row r="65313" hidden="1" x14ac:dyDescent="0.15"/>
    <row r="65314" hidden="1" x14ac:dyDescent="0.15"/>
    <row r="65315" hidden="1" x14ac:dyDescent="0.15"/>
    <row r="65316" hidden="1" x14ac:dyDescent="0.15"/>
    <row r="65317" hidden="1" x14ac:dyDescent="0.15"/>
    <row r="65318" hidden="1" x14ac:dyDescent="0.15"/>
    <row r="65319" hidden="1" x14ac:dyDescent="0.15"/>
    <row r="65320" hidden="1" x14ac:dyDescent="0.15"/>
    <row r="65321" hidden="1" x14ac:dyDescent="0.15"/>
    <row r="65322" hidden="1" x14ac:dyDescent="0.15"/>
    <row r="65323" hidden="1" x14ac:dyDescent="0.15"/>
    <row r="65324" hidden="1" x14ac:dyDescent="0.15"/>
    <row r="65325" hidden="1" x14ac:dyDescent="0.15"/>
    <row r="65326" hidden="1" x14ac:dyDescent="0.15"/>
    <row r="65327" hidden="1" x14ac:dyDescent="0.15"/>
    <row r="65328" hidden="1" x14ac:dyDescent="0.15"/>
    <row r="65329" hidden="1" x14ac:dyDescent="0.15"/>
    <row r="65330" hidden="1" x14ac:dyDescent="0.15"/>
    <row r="65331" hidden="1" x14ac:dyDescent="0.15"/>
    <row r="65332" hidden="1" x14ac:dyDescent="0.15"/>
    <row r="65333" hidden="1" x14ac:dyDescent="0.15"/>
    <row r="65334" hidden="1" x14ac:dyDescent="0.15"/>
    <row r="65335" hidden="1" x14ac:dyDescent="0.15"/>
    <row r="65336" hidden="1" x14ac:dyDescent="0.15"/>
    <row r="65337" hidden="1" x14ac:dyDescent="0.15"/>
    <row r="65338" hidden="1" x14ac:dyDescent="0.15"/>
    <row r="65339" hidden="1" x14ac:dyDescent="0.15"/>
    <row r="65340" hidden="1" x14ac:dyDescent="0.15"/>
    <row r="65341" hidden="1" x14ac:dyDescent="0.15"/>
    <row r="65342" hidden="1" x14ac:dyDescent="0.15"/>
    <row r="65343" hidden="1" x14ac:dyDescent="0.15"/>
    <row r="65344" hidden="1" x14ac:dyDescent="0.15"/>
    <row r="65345" hidden="1" x14ac:dyDescent="0.15"/>
    <row r="65346" hidden="1" x14ac:dyDescent="0.15"/>
    <row r="65347" hidden="1" x14ac:dyDescent="0.15"/>
    <row r="65348" hidden="1" x14ac:dyDescent="0.15"/>
    <row r="65349" hidden="1" x14ac:dyDescent="0.15"/>
    <row r="65350" hidden="1" x14ac:dyDescent="0.15"/>
    <row r="65351" hidden="1" x14ac:dyDescent="0.15"/>
    <row r="65352" hidden="1" x14ac:dyDescent="0.15"/>
    <row r="65353" hidden="1" x14ac:dyDescent="0.15"/>
    <row r="65354" hidden="1" x14ac:dyDescent="0.15"/>
    <row r="65355" hidden="1" x14ac:dyDescent="0.15"/>
    <row r="65356" hidden="1" x14ac:dyDescent="0.15"/>
    <row r="65357" hidden="1" x14ac:dyDescent="0.15"/>
    <row r="65358" hidden="1" x14ac:dyDescent="0.15"/>
    <row r="65359" hidden="1" x14ac:dyDescent="0.15"/>
    <row r="65360" hidden="1" x14ac:dyDescent="0.15"/>
    <row r="65361" hidden="1" x14ac:dyDescent="0.15"/>
    <row r="65362" hidden="1" x14ac:dyDescent="0.15"/>
    <row r="65363" hidden="1" x14ac:dyDescent="0.15"/>
    <row r="65364" hidden="1" x14ac:dyDescent="0.15"/>
    <row r="65365" hidden="1" x14ac:dyDescent="0.15"/>
    <row r="65366" hidden="1" x14ac:dyDescent="0.15"/>
    <row r="65367" hidden="1" x14ac:dyDescent="0.15"/>
    <row r="65368" hidden="1" x14ac:dyDescent="0.15"/>
    <row r="65369" hidden="1" x14ac:dyDescent="0.15"/>
    <row r="65370" hidden="1" x14ac:dyDescent="0.15"/>
    <row r="65371" hidden="1" x14ac:dyDescent="0.15"/>
    <row r="65372" hidden="1" x14ac:dyDescent="0.15"/>
    <row r="65373" hidden="1" x14ac:dyDescent="0.15"/>
    <row r="65374" hidden="1" x14ac:dyDescent="0.15"/>
    <row r="65375" hidden="1" x14ac:dyDescent="0.15"/>
    <row r="65376" hidden="1" x14ac:dyDescent="0.15"/>
    <row r="65377" hidden="1" x14ac:dyDescent="0.15"/>
    <row r="65378" hidden="1" x14ac:dyDescent="0.15"/>
    <row r="65379" hidden="1" x14ac:dyDescent="0.15"/>
    <row r="65380" hidden="1" x14ac:dyDescent="0.15"/>
    <row r="65381" hidden="1" x14ac:dyDescent="0.15"/>
    <row r="65382" hidden="1" x14ac:dyDescent="0.15"/>
    <row r="65383" hidden="1" x14ac:dyDescent="0.15"/>
    <row r="65384" hidden="1" x14ac:dyDescent="0.15"/>
    <row r="65385" hidden="1" x14ac:dyDescent="0.15"/>
    <row r="65386" hidden="1" x14ac:dyDescent="0.15"/>
    <row r="65387" hidden="1" x14ac:dyDescent="0.15"/>
    <row r="65388" hidden="1" x14ac:dyDescent="0.15"/>
    <row r="65389" hidden="1" x14ac:dyDescent="0.15"/>
    <row r="65390" hidden="1" x14ac:dyDescent="0.15"/>
    <row r="65391" hidden="1" x14ac:dyDescent="0.15"/>
    <row r="65392" hidden="1" x14ac:dyDescent="0.15"/>
    <row r="65393" hidden="1" x14ac:dyDescent="0.15"/>
    <row r="65394" hidden="1" x14ac:dyDescent="0.15"/>
    <row r="65395" hidden="1" x14ac:dyDescent="0.15"/>
    <row r="65396" hidden="1" x14ac:dyDescent="0.15"/>
    <row r="65397" hidden="1" x14ac:dyDescent="0.15"/>
    <row r="65398" hidden="1" x14ac:dyDescent="0.15"/>
    <row r="65399" hidden="1" x14ac:dyDescent="0.15"/>
    <row r="65400" hidden="1" x14ac:dyDescent="0.15"/>
    <row r="65401" hidden="1" x14ac:dyDescent="0.15"/>
    <row r="65402" hidden="1" x14ac:dyDescent="0.15"/>
    <row r="65403" hidden="1" x14ac:dyDescent="0.15"/>
    <row r="65404" hidden="1" x14ac:dyDescent="0.15"/>
    <row r="65405" hidden="1" x14ac:dyDescent="0.15"/>
    <row r="65406" hidden="1" x14ac:dyDescent="0.15"/>
    <row r="65407" hidden="1" x14ac:dyDescent="0.15"/>
    <row r="65408" hidden="1" x14ac:dyDescent="0.15"/>
    <row r="65409" hidden="1" x14ac:dyDescent="0.15"/>
    <row r="65410" hidden="1" x14ac:dyDescent="0.15"/>
    <row r="65411" hidden="1" x14ac:dyDescent="0.15"/>
    <row r="65412" hidden="1" x14ac:dyDescent="0.15"/>
    <row r="65413" hidden="1" x14ac:dyDescent="0.15"/>
    <row r="65414" hidden="1" x14ac:dyDescent="0.15"/>
    <row r="65415" hidden="1" x14ac:dyDescent="0.15"/>
    <row r="65416" hidden="1" x14ac:dyDescent="0.15"/>
    <row r="65417" hidden="1" x14ac:dyDescent="0.15"/>
    <row r="65418" hidden="1" x14ac:dyDescent="0.15"/>
    <row r="65419" hidden="1" x14ac:dyDescent="0.15"/>
    <row r="65420" hidden="1" x14ac:dyDescent="0.15"/>
    <row r="65421" hidden="1" x14ac:dyDescent="0.15"/>
    <row r="65422" hidden="1" x14ac:dyDescent="0.15"/>
    <row r="65423" hidden="1" x14ac:dyDescent="0.15"/>
    <row r="65424" hidden="1" x14ac:dyDescent="0.15"/>
    <row r="65425" hidden="1" x14ac:dyDescent="0.15"/>
    <row r="65426" hidden="1" x14ac:dyDescent="0.15"/>
    <row r="65427" hidden="1" x14ac:dyDescent="0.15"/>
    <row r="65428" hidden="1" x14ac:dyDescent="0.15"/>
    <row r="65429" hidden="1" x14ac:dyDescent="0.15"/>
    <row r="65430" hidden="1" x14ac:dyDescent="0.15"/>
    <row r="65431" hidden="1" x14ac:dyDescent="0.15"/>
    <row r="65432" hidden="1" x14ac:dyDescent="0.15"/>
    <row r="65433" hidden="1" x14ac:dyDescent="0.15"/>
    <row r="65434" hidden="1" x14ac:dyDescent="0.15"/>
    <row r="65435" hidden="1" x14ac:dyDescent="0.15"/>
    <row r="65436" hidden="1" x14ac:dyDescent="0.15"/>
    <row r="65437" hidden="1" x14ac:dyDescent="0.15"/>
    <row r="65438" hidden="1" x14ac:dyDescent="0.15"/>
    <row r="65439" hidden="1" x14ac:dyDescent="0.15"/>
    <row r="65440" hidden="1" x14ac:dyDescent="0.15"/>
    <row r="65441" hidden="1" x14ac:dyDescent="0.15"/>
    <row r="65442" hidden="1" x14ac:dyDescent="0.15"/>
    <row r="65443" hidden="1" x14ac:dyDescent="0.15"/>
    <row r="65444" hidden="1" x14ac:dyDescent="0.15"/>
    <row r="65445" hidden="1" x14ac:dyDescent="0.15"/>
    <row r="65446" hidden="1" x14ac:dyDescent="0.15"/>
    <row r="65447" hidden="1" x14ac:dyDescent="0.15"/>
    <row r="65448" hidden="1" x14ac:dyDescent="0.15"/>
    <row r="65449" hidden="1" x14ac:dyDescent="0.15"/>
    <row r="65450" hidden="1" x14ac:dyDescent="0.15"/>
    <row r="65451" hidden="1" x14ac:dyDescent="0.15"/>
    <row r="65452" hidden="1" x14ac:dyDescent="0.15"/>
    <row r="65453" hidden="1" x14ac:dyDescent="0.15"/>
    <row r="65454" hidden="1" x14ac:dyDescent="0.15"/>
    <row r="65455" hidden="1" x14ac:dyDescent="0.15"/>
    <row r="65456" hidden="1" x14ac:dyDescent="0.15"/>
    <row r="65457" hidden="1" x14ac:dyDescent="0.15"/>
    <row r="65458" hidden="1" x14ac:dyDescent="0.15"/>
    <row r="65459" hidden="1" x14ac:dyDescent="0.15"/>
    <row r="65460" hidden="1" x14ac:dyDescent="0.15"/>
    <row r="65461" hidden="1" x14ac:dyDescent="0.15"/>
    <row r="65462" hidden="1" x14ac:dyDescent="0.15"/>
    <row r="65463" hidden="1" x14ac:dyDescent="0.15"/>
    <row r="65464" hidden="1" x14ac:dyDescent="0.15"/>
    <row r="65465" hidden="1" x14ac:dyDescent="0.15"/>
    <row r="65466" hidden="1" x14ac:dyDescent="0.15"/>
    <row r="65467" hidden="1" x14ac:dyDescent="0.15"/>
    <row r="65468" hidden="1" x14ac:dyDescent="0.15"/>
    <row r="65469" hidden="1" x14ac:dyDescent="0.15"/>
    <row r="65470" hidden="1" x14ac:dyDescent="0.15"/>
    <row r="65471" hidden="1" x14ac:dyDescent="0.15"/>
    <row r="65472" hidden="1" x14ac:dyDescent="0.15"/>
    <row r="65473" hidden="1" x14ac:dyDescent="0.15"/>
    <row r="65474" hidden="1" x14ac:dyDescent="0.15"/>
    <row r="65475" hidden="1" x14ac:dyDescent="0.15"/>
    <row r="65476" hidden="1" x14ac:dyDescent="0.15"/>
    <row r="65477" hidden="1" x14ac:dyDescent="0.15"/>
    <row r="65478" hidden="1" x14ac:dyDescent="0.15"/>
    <row r="65479" hidden="1" x14ac:dyDescent="0.15"/>
    <row r="65480" hidden="1" x14ac:dyDescent="0.15"/>
    <row r="65481" hidden="1" x14ac:dyDescent="0.15"/>
    <row r="65482" hidden="1" x14ac:dyDescent="0.15"/>
    <row r="65483" hidden="1" x14ac:dyDescent="0.15"/>
    <row r="65484" hidden="1" x14ac:dyDescent="0.15"/>
    <row r="65485" hidden="1" x14ac:dyDescent="0.15"/>
    <row r="65486" hidden="1" x14ac:dyDescent="0.15"/>
    <row r="65487" hidden="1" x14ac:dyDescent="0.15"/>
    <row r="65488" hidden="1" x14ac:dyDescent="0.15"/>
    <row r="65489" hidden="1" x14ac:dyDescent="0.15"/>
    <row r="65490" hidden="1" x14ac:dyDescent="0.15"/>
    <row r="65491" hidden="1" x14ac:dyDescent="0.15"/>
    <row r="65492" hidden="1" x14ac:dyDescent="0.15"/>
    <row r="65493" hidden="1" x14ac:dyDescent="0.15"/>
    <row r="65494" hidden="1" x14ac:dyDescent="0.15"/>
    <row r="65495" hidden="1" x14ac:dyDescent="0.15"/>
    <row r="65496" hidden="1" x14ac:dyDescent="0.15"/>
    <row r="65497" hidden="1" x14ac:dyDescent="0.15"/>
    <row r="65498" hidden="1" x14ac:dyDescent="0.15"/>
    <row r="65499" hidden="1" x14ac:dyDescent="0.15"/>
    <row r="65500" hidden="1" x14ac:dyDescent="0.15"/>
    <row r="65501" hidden="1" x14ac:dyDescent="0.15"/>
    <row r="65502" hidden="1" x14ac:dyDescent="0.15"/>
    <row r="65503" hidden="1" x14ac:dyDescent="0.15"/>
    <row r="65504" hidden="1" x14ac:dyDescent="0.15"/>
    <row r="65505" hidden="1" x14ac:dyDescent="0.15"/>
    <row r="65506" hidden="1" x14ac:dyDescent="0.15"/>
    <row r="65507" hidden="1" x14ac:dyDescent="0.15"/>
    <row r="65508" hidden="1" x14ac:dyDescent="0.15"/>
    <row r="65509" hidden="1" x14ac:dyDescent="0.15"/>
    <row r="65510" hidden="1" x14ac:dyDescent="0.15"/>
    <row r="65511" hidden="1" x14ac:dyDescent="0.15"/>
    <row r="65512" hidden="1" x14ac:dyDescent="0.15"/>
    <row r="65513" hidden="1" x14ac:dyDescent="0.15"/>
    <row r="65514" hidden="1" x14ac:dyDescent="0.15"/>
    <row r="65515" hidden="1" x14ac:dyDescent="0.15"/>
    <row r="65516" hidden="1" x14ac:dyDescent="0.15"/>
    <row r="65517" hidden="1" x14ac:dyDescent="0.15"/>
    <row r="65518" hidden="1" x14ac:dyDescent="0.15"/>
    <row r="65519" hidden="1" x14ac:dyDescent="0.15"/>
    <row r="65520" hidden="1" x14ac:dyDescent="0.15"/>
    <row r="65521" hidden="1" x14ac:dyDescent="0.15"/>
    <row r="65522" hidden="1" x14ac:dyDescent="0.15"/>
    <row r="65523" hidden="1" x14ac:dyDescent="0.15"/>
    <row r="65524" hidden="1" x14ac:dyDescent="0.15"/>
    <row r="65525" hidden="1" x14ac:dyDescent="0.15"/>
    <row r="65526" hidden="1" x14ac:dyDescent="0.15"/>
    <row r="65527" hidden="1" x14ac:dyDescent="0.15"/>
    <row r="65528" hidden="1" x14ac:dyDescent="0.15"/>
    <row r="65529" hidden="1" x14ac:dyDescent="0.15"/>
    <row r="65530" hidden="1" x14ac:dyDescent="0.15"/>
    <row r="65531" hidden="1" x14ac:dyDescent="0.15"/>
    <row r="65532" hidden="1" x14ac:dyDescent="0.15"/>
    <row r="65533" hidden="1" x14ac:dyDescent="0.15"/>
    <row r="65534" hidden="1" x14ac:dyDescent="0.15"/>
    <row r="65535" hidden="1" x14ac:dyDescent="0.15"/>
    <row r="65536" hidden="1" x14ac:dyDescent="0.15"/>
  </sheetData>
  <sheetProtection password="CB03" sheet="1" formatColumns="0" formatRows="0" autoFilter="0"/>
  <mergeCells count="2">
    <mergeCell ref="C3:I3"/>
    <mergeCell ref="R5:Z5"/>
  </mergeCells>
  <phoneticPr fontId="15" type="noConversion"/>
  <conditionalFormatting sqref="E12:E200">
    <cfRule type="expression" dxfId="3" priority="1" stopIfTrue="1">
      <formula>ISERROR(VLOOKUP(E12,AllowProg,HLOOKUP(A12,AllowFundHlook,2,FALSE),FALSE))</formula>
    </cfRule>
    <cfRule type="expression" dxfId="2" priority="2" stopIfTrue="1">
      <formula>VLOOKUP(E12,AllowProg,HLOOKUP(A12,AllowFundHlook,2,FALSE),FALSE)="N/A"</formula>
    </cfRule>
  </conditionalFormatting>
  <conditionalFormatting sqref="E11 E201">
    <cfRule type="expression" dxfId="1" priority="3" stopIfTrue="1">
      <formula>ISERROR(VLOOKUP(E11,AllowProg,HLOOKUP(A11,AllowFundHlook,2,FALSE),FALSE))</formula>
    </cfRule>
    <cfRule type="expression" dxfId="0" priority="4" stopIfTrue="1">
      <formula>VLOOKUP(E11,AllowProg,HLOOKUP(A11,AllowFundHlook,2,FALSE),FALSE)="N/A"</formula>
    </cfRule>
  </conditionalFormatting>
  <dataValidations xWindow="63" yWindow="294" count="4">
    <dataValidation allowBlank="1" showInputMessage="1" showErrorMessage="1" promptTitle="Salary Amount" prompt="Program code in column E must be allowable to link._x000a__x000a_Normal calculation will be column N (Salary Schedule Amount) times column P (FTE %)_x000a__x000a_However, you may override the amount in this column if needed.  Such as for a capped amount for grant purposes." sqref="R11"/>
    <dataValidation type="list" showDropDown="1" showInputMessage="1" showErrorMessage="1" errorTitle="Bolded Object must be 0100" error="Bolded Object must be 0100" promptTitle="Bolded Object must be 0100" prompt="Bolded Object must be 0100" sqref="G11:G201">
      <formula1>"0100"</formula1>
    </dataValidation>
    <dataValidation type="list" allowBlank="1" showInputMessage="1" showErrorMessage="1" errorTitle="Fund Selection" error="You must select a Fund code from the Dropdown list" promptTitle="Fund for Staff Detail linking" prompt="Select an allowable Fund code from the dropdown list._x000a__x000a_If the fund is not on this listing, the salary and benefit amounts must be input directly to the Fund Tab - they will not link from this worksheet." sqref="A11">
      <formula1>"10,11,19,22,23,24,51"</formula1>
    </dataValidation>
    <dataValidation type="list" allowBlank="1" showInputMessage="1" showErrorMessage="1" errorTitle="Fund Selection" error="You must select a Fund code from the Dropdown list" sqref="A12:A201">
      <formula1>"10,11,19,22,23,24,51"</formula1>
    </dataValidation>
  </dataValidations>
  <pageMargins left="0.75" right="0.75" top="1" bottom="1" header="0.5" footer="0.5"/>
  <pageSetup paperSize="5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3"/>
  <sheetViews>
    <sheetView zoomScaleNormal="100" workbookViewId="0">
      <selection activeCell="G106" sqref="G106"/>
    </sheetView>
  </sheetViews>
  <sheetFormatPr defaultRowHeight="10.5" x14ac:dyDescent="0.15"/>
  <cols>
    <col min="1" max="1" width="10" style="490" customWidth="1"/>
    <col min="2" max="2" width="5" style="424" bestFit="1" customWidth="1"/>
    <col min="3" max="3" width="70.83203125" style="423" customWidth="1"/>
    <col min="4" max="4" width="15.83203125" style="423" customWidth="1"/>
    <col min="5" max="5" width="17.33203125" style="423" customWidth="1"/>
    <col min="6" max="6" width="17.1640625" style="423" customWidth="1"/>
    <col min="7" max="7" width="18.33203125" style="423" customWidth="1"/>
    <col min="8" max="9" width="18.83203125" style="423" customWidth="1"/>
    <col min="10" max="16384" width="9.33203125" style="423"/>
  </cols>
  <sheetData>
    <row r="1" spans="1:9" x14ac:dyDescent="0.15">
      <c r="A1" s="423" t="s">
        <v>106</v>
      </c>
      <c r="C1" s="425">
        <f>+'Page 1 - FY2013-14'!B5</f>
        <v>0</v>
      </c>
      <c r="D1" s="138" t="s">
        <v>1586</v>
      </c>
      <c r="E1" s="428">
        <f>+'Page 1 - FY2013-14'!F7</f>
        <v>0</v>
      </c>
      <c r="G1" s="485" t="s">
        <v>1588</v>
      </c>
      <c r="I1" s="486"/>
    </row>
    <row r="2" spans="1:9" ht="15.75" x14ac:dyDescent="0.25">
      <c r="A2" s="487" t="s">
        <v>1587</v>
      </c>
      <c r="B2" s="488"/>
      <c r="C2" s="489"/>
    </row>
    <row r="3" spans="1:9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6.25" customHeight="1" thickBot="1" x14ac:dyDescent="0.2">
      <c r="D4" s="491"/>
      <c r="E4" s="491"/>
      <c r="F4" s="491"/>
      <c r="G4" s="491"/>
      <c r="H4" s="492" t="s">
        <v>193</v>
      </c>
      <c r="I4" s="548" t="s">
        <v>192</v>
      </c>
    </row>
    <row r="5" spans="1:9" ht="11.25" thickBot="1" x14ac:dyDescent="0.2">
      <c r="A5" s="493" t="s">
        <v>1593</v>
      </c>
      <c r="B5" s="494" t="s">
        <v>1589</v>
      </c>
      <c r="C5" s="495"/>
      <c r="D5" s="39">
        <v>0</v>
      </c>
      <c r="E5" s="39">
        <v>0</v>
      </c>
      <c r="F5" s="39">
        <v>0</v>
      </c>
      <c r="G5" s="300">
        <v>0</v>
      </c>
      <c r="H5" s="531">
        <v>0</v>
      </c>
      <c r="I5" s="323">
        <f>SUM(G5+H5)</f>
        <v>0</v>
      </c>
    </row>
    <row r="6" spans="1:9" x14ac:dyDescent="0.15">
      <c r="A6" s="496" t="s">
        <v>1592</v>
      </c>
      <c r="B6" s="497" t="s">
        <v>1594</v>
      </c>
      <c r="D6" s="498"/>
      <c r="E6" s="498"/>
      <c r="F6" s="498"/>
      <c r="G6" s="498"/>
      <c r="H6" s="498"/>
      <c r="I6" s="549"/>
    </row>
    <row r="7" spans="1:9" x14ac:dyDescent="0.15">
      <c r="A7" s="425" t="s">
        <v>1595</v>
      </c>
      <c r="B7" s="499" t="s">
        <v>1159</v>
      </c>
      <c r="C7" s="138" t="s">
        <v>256</v>
      </c>
      <c r="D7" s="41">
        <v>0</v>
      </c>
      <c r="E7" s="41">
        <v>0</v>
      </c>
      <c r="F7" s="41">
        <v>0</v>
      </c>
      <c r="G7" s="41">
        <v>0</v>
      </c>
      <c r="H7" s="532">
        <v>0</v>
      </c>
      <c r="I7" s="536">
        <f t="shared" ref="I7:I43" si="0">SUM(G7+H7)</f>
        <v>0</v>
      </c>
    </row>
    <row r="8" spans="1:9" x14ac:dyDescent="0.15">
      <c r="A8" s="425" t="s">
        <v>1596</v>
      </c>
      <c r="B8" s="499" t="s">
        <v>1160</v>
      </c>
      <c r="C8" s="138" t="s">
        <v>257</v>
      </c>
      <c r="D8" s="41">
        <v>0</v>
      </c>
      <c r="E8" s="41">
        <v>0</v>
      </c>
      <c r="F8" s="41">
        <v>0</v>
      </c>
      <c r="G8" s="41">
        <v>0</v>
      </c>
      <c r="H8" s="532">
        <v>0</v>
      </c>
      <c r="I8" s="536">
        <f t="shared" si="0"/>
        <v>0</v>
      </c>
    </row>
    <row r="9" spans="1:9" x14ac:dyDescent="0.15">
      <c r="A9" s="425" t="s">
        <v>1597</v>
      </c>
      <c r="B9" s="499" t="s">
        <v>1161</v>
      </c>
      <c r="C9" s="138" t="s">
        <v>258</v>
      </c>
      <c r="D9" s="41">
        <v>0</v>
      </c>
      <c r="E9" s="41">
        <v>0</v>
      </c>
      <c r="F9" s="41">
        <v>0</v>
      </c>
      <c r="G9" s="41">
        <v>0</v>
      </c>
      <c r="H9" s="532">
        <v>0</v>
      </c>
      <c r="I9" s="536">
        <f t="shared" si="0"/>
        <v>0</v>
      </c>
    </row>
    <row r="10" spans="1:9" x14ac:dyDescent="0.15">
      <c r="A10" s="425" t="s">
        <v>1598</v>
      </c>
      <c r="B10" s="499" t="s">
        <v>1228</v>
      </c>
      <c r="C10" s="138" t="s">
        <v>558</v>
      </c>
      <c r="D10" s="41">
        <v>0</v>
      </c>
      <c r="E10" s="41">
        <v>0</v>
      </c>
      <c r="F10" s="41">
        <v>0</v>
      </c>
      <c r="G10" s="41">
        <v>0</v>
      </c>
      <c r="H10" s="532">
        <v>0</v>
      </c>
      <c r="I10" s="536">
        <f t="shared" si="0"/>
        <v>0</v>
      </c>
    </row>
    <row r="11" spans="1:9" x14ac:dyDescent="0.15">
      <c r="A11" s="425" t="s">
        <v>255</v>
      </c>
      <c r="B11" s="499" t="s">
        <v>1229</v>
      </c>
      <c r="C11" s="138" t="s">
        <v>559</v>
      </c>
      <c r="D11" s="41">
        <v>0</v>
      </c>
      <c r="E11" s="41">
        <v>0</v>
      </c>
      <c r="F11" s="41">
        <v>0</v>
      </c>
      <c r="G11" s="41">
        <v>0</v>
      </c>
      <c r="H11" s="532">
        <v>0</v>
      </c>
      <c r="I11" s="536">
        <f t="shared" si="0"/>
        <v>0</v>
      </c>
    </row>
    <row r="12" spans="1:9" x14ac:dyDescent="0.15">
      <c r="A12" s="425" t="s">
        <v>1599</v>
      </c>
      <c r="B12" s="499" t="s">
        <v>1230</v>
      </c>
      <c r="C12" s="138" t="s">
        <v>560</v>
      </c>
      <c r="D12" s="41">
        <v>0</v>
      </c>
      <c r="E12" s="41">
        <v>0</v>
      </c>
      <c r="F12" s="41">
        <v>0</v>
      </c>
      <c r="G12" s="41">
        <v>0</v>
      </c>
      <c r="H12" s="532">
        <v>0</v>
      </c>
      <c r="I12" s="536">
        <f t="shared" si="0"/>
        <v>0</v>
      </c>
    </row>
    <row r="13" spans="1:9" x14ac:dyDescent="0.15">
      <c r="A13" s="425" t="s">
        <v>1600</v>
      </c>
      <c r="B13" s="499" t="s">
        <v>1231</v>
      </c>
      <c r="C13" s="138" t="s">
        <v>561</v>
      </c>
      <c r="D13" s="41">
        <v>0</v>
      </c>
      <c r="E13" s="41">
        <v>0</v>
      </c>
      <c r="F13" s="41">
        <v>0</v>
      </c>
      <c r="G13" s="41">
        <v>0</v>
      </c>
      <c r="H13" s="532">
        <v>0</v>
      </c>
      <c r="I13" s="536">
        <f t="shared" si="0"/>
        <v>0</v>
      </c>
    </row>
    <row r="14" spans="1:9" x14ac:dyDescent="0.15">
      <c r="A14" s="425" t="s">
        <v>599</v>
      </c>
      <c r="B14" s="499" t="s">
        <v>1232</v>
      </c>
      <c r="C14" s="138" t="s">
        <v>604</v>
      </c>
      <c r="D14" s="41">
        <v>0</v>
      </c>
      <c r="E14" s="41">
        <v>0</v>
      </c>
      <c r="F14" s="41">
        <v>0</v>
      </c>
      <c r="G14" s="41">
        <v>0</v>
      </c>
      <c r="H14" s="532">
        <v>0</v>
      </c>
      <c r="I14" s="536">
        <f t="shared" si="0"/>
        <v>0</v>
      </c>
    </row>
    <row r="15" spans="1:9" x14ac:dyDescent="0.15">
      <c r="A15" s="425" t="s">
        <v>600</v>
      </c>
      <c r="B15" s="499" t="s">
        <v>1240</v>
      </c>
      <c r="C15" s="138" t="s">
        <v>613</v>
      </c>
      <c r="D15" s="41">
        <v>0</v>
      </c>
      <c r="E15" s="41">
        <v>0</v>
      </c>
      <c r="F15" s="41">
        <v>0</v>
      </c>
      <c r="G15" s="41">
        <v>0</v>
      </c>
      <c r="H15" s="532">
        <v>0</v>
      </c>
      <c r="I15" s="536">
        <f t="shared" si="0"/>
        <v>0</v>
      </c>
    </row>
    <row r="16" spans="1:9" x14ac:dyDescent="0.15">
      <c r="A16" s="425" t="s">
        <v>601</v>
      </c>
      <c r="B16" s="499" t="s">
        <v>1244</v>
      </c>
      <c r="C16" s="138" t="s">
        <v>605</v>
      </c>
      <c r="D16" s="41">
        <v>0</v>
      </c>
      <c r="E16" s="41">
        <v>0</v>
      </c>
      <c r="F16" s="41">
        <v>0</v>
      </c>
      <c r="G16" s="41">
        <v>0</v>
      </c>
      <c r="H16" s="532">
        <v>0</v>
      </c>
      <c r="I16" s="536">
        <f t="shared" si="0"/>
        <v>0</v>
      </c>
    </row>
    <row r="17" spans="1:9" x14ac:dyDescent="0.15">
      <c r="A17" s="425" t="s">
        <v>602</v>
      </c>
      <c r="B17" s="499" t="s">
        <v>1245</v>
      </c>
      <c r="C17" s="138" t="s">
        <v>606</v>
      </c>
      <c r="D17" s="41">
        <v>0</v>
      </c>
      <c r="E17" s="41">
        <v>0</v>
      </c>
      <c r="F17" s="41">
        <v>0</v>
      </c>
      <c r="G17" s="41">
        <v>0</v>
      </c>
      <c r="H17" s="532">
        <v>0</v>
      </c>
      <c r="I17" s="536">
        <f t="shared" si="0"/>
        <v>0</v>
      </c>
    </row>
    <row r="18" spans="1:9" x14ac:dyDescent="0.15">
      <c r="A18" s="425" t="s">
        <v>603</v>
      </c>
      <c r="B18" s="499" t="s">
        <v>1241</v>
      </c>
      <c r="C18" s="138" t="s">
        <v>607</v>
      </c>
      <c r="D18" s="41">
        <v>0</v>
      </c>
      <c r="E18" s="41">
        <v>0</v>
      </c>
      <c r="F18" s="41">
        <v>0</v>
      </c>
      <c r="G18" s="41">
        <v>0</v>
      </c>
      <c r="H18" s="532">
        <v>0</v>
      </c>
      <c r="I18" s="536">
        <f t="shared" si="0"/>
        <v>0</v>
      </c>
    </row>
    <row r="19" spans="1:9" x14ac:dyDescent="0.15">
      <c r="A19" s="500" t="s">
        <v>701</v>
      </c>
      <c r="B19" s="499" t="s">
        <v>1242</v>
      </c>
      <c r="C19" s="138" t="s">
        <v>608</v>
      </c>
      <c r="D19" s="41">
        <v>0</v>
      </c>
      <c r="E19" s="41">
        <v>0</v>
      </c>
      <c r="F19" s="41">
        <v>0</v>
      </c>
      <c r="G19" s="41">
        <v>0</v>
      </c>
      <c r="H19" s="532">
        <v>0</v>
      </c>
      <c r="I19" s="536">
        <f t="shared" si="0"/>
        <v>0</v>
      </c>
    </row>
    <row r="20" spans="1:9" x14ac:dyDescent="0.15">
      <c r="A20" s="425" t="s">
        <v>609</v>
      </c>
      <c r="B20" s="499" t="s">
        <v>1247</v>
      </c>
      <c r="C20" s="138" t="s">
        <v>442</v>
      </c>
      <c r="D20" s="41">
        <v>0</v>
      </c>
      <c r="E20" s="41">
        <v>0</v>
      </c>
      <c r="F20" s="41">
        <v>0</v>
      </c>
      <c r="G20" s="41">
        <v>0</v>
      </c>
      <c r="H20" s="532">
        <v>0</v>
      </c>
      <c r="I20" s="536">
        <f t="shared" si="0"/>
        <v>0</v>
      </c>
    </row>
    <row r="21" spans="1:9" x14ac:dyDescent="0.15">
      <c r="A21" s="425" t="s">
        <v>610</v>
      </c>
      <c r="B21" s="499" t="s">
        <v>1248</v>
      </c>
      <c r="C21" s="138" t="s">
        <v>611</v>
      </c>
      <c r="D21" s="41">
        <v>0</v>
      </c>
      <c r="E21" s="41">
        <v>0</v>
      </c>
      <c r="F21" s="41">
        <v>0</v>
      </c>
      <c r="G21" s="41">
        <v>0</v>
      </c>
      <c r="H21" s="532">
        <v>0</v>
      </c>
      <c r="I21" s="536">
        <f t="shared" si="0"/>
        <v>0</v>
      </c>
    </row>
    <row r="22" spans="1:9" x14ac:dyDescent="0.15">
      <c r="A22" s="425" t="s">
        <v>612</v>
      </c>
      <c r="B22" s="499" t="s">
        <v>1249</v>
      </c>
      <c r="C22" s="138" t="s">
        <v>528</v>
      </c>
      <c r="D22" s="41">
        <v>0</v>
      </c>
      <c r="E22" s="41">
        <v>0</v>
      </c>
      <c r="F22" s="41">
        <v>0</v>
      </c>
      <c r="G22" s="41">
        <v>0</v>
      </c>
      <c r="H22" s="532">
        <v>0</v>
      </c>
      <c r="I22" s="536">
        <f t="shared" si="0"/>
        <v>0</v>
      </c>
    </row>
    <row r="23" spans="1:9" x14ac:dyDescent="0.15">
      <c r="A23" s="425" t="s">
        <v>614</v>
      </c>
      <c r="B23" s="499" t="s">
        <v>1250</v>
      </c>
      <c r="C23" s="138" t="s">
        <v>521</v>
      </c>
      <c r="D23" s="41">
        <v>0</v>
      </c>
      <c r="E23" s="41">
        <v>0</v>
      </c>
      <c r="F23" s="41">
        <v>0</v>
      </c>
      <c r="G23" s="41">
        <v>0</v>
      </c>
      <c r="H23" s="532">
        <v>0</v>
      </c>
      <c r="I23" s="536">
        <f t="shared" si="0"/>
        <v>0</v>
      </c>
    </row>
    <row r="24" spans="1:9" x14ac:dyDescent="0.15">
      <c r="A24" s="425" t="s">
        <v>522</v>
      </c>
      <c r="B24" s="499" t="s">
        <v>1251</v>
      </c>
      <c r="C24" s="138" t="s">
        <v>523</v>
      </c>
      <c r="D24" s="41">
        <v>0</v>
      </c>
      <c r="E24" s="41">
        <v>0</v>
      </c>
      <c r="F24" s="41">
        <v>0</v>
      </c>
      <c r="G24" s="41">
        <v>0</v>
      </c>
      <c r="H24" s="532">
        <v>0</v>
      </c>
      <c r="I24" s="536">
        <f t="shared" si="0"/>
        <v>0</v>
      </c>
    </row>
    <row r="25" spans="1:9" x14ac:dyDescent="0.15">
      <c r="A25" s="425" t="s">
        <v>524</v>
      </c>
      <c r="B25" s="499" t="s">
        <v>1252</v>
      </c>
      <c r="C25" s="138" t="s">
        <v>525</v>
      </c>
      <c r="D25" s="41">
        <v>0</v>
      </c>
      <c r="E25" s="41">
        <v>0</v>
      </c>
      <c r="F25" s="41">
        <v>0</v>
      </c>
      <c r="G25" s="41">
        <v>0</v>
      </c>
      <c r="H25" s="532">
        <v>0</v>
      </c>
      <c r="I25" s="536">
        <f t="shared" si="0"/>
        <v>0</v>
      </c>
    </row>
    <row r="26" spans="1:9" x14ac:dyDescent="0.15">
      <c r="A26" s="425" t="s">
        <v>526</v>
      </c>
      <c r="B26" s="499" t="s">
        <v>1253</v>
      </c>
      <c r="C26" s="138" t="s">
        <v>527</v>
      </c>
      <c r="D26" s="41">
        <v>0</v>
      </c>
      <c r="E26" s="41">
        <v>0</v>
      </c>
      <c r="F26" s="41">
        <v>0</v>
      </c>
      <c r="G26" s="41">
        <v>0</v>
      </c>
      <c r="H26" s="532">
        <v>0</v>
      </c>
      <c r="I26" s="536">
        <f t="shared" si="0"/>
        <v>0</v>
      </c>
    </row>
    <row r="27" spans="1:9" x14ac:dyDescent="0.15">
      <c r="A27" s="425" t="s">
        <v>1602</v>
      </c>
      <c r="B27" s="499" t="s">
        <v>1254</v>
      </c>
      <c r="C27" s="138" t="s">
        <v>443</v>
      </c>
      <c r="D27" s="41">
        <v>0</v>
      </c>
      <c r="E27" s="41">
        <v>0</v>
      </c>
      <c r="F27" s="41">
        <v>0</v>
      </c>
      <c r="G27" s="41">
        <v>0</v>
      </c>
      <c r="H27" s="532">
        <v>0</v>
      </c>
      <c r="I27" s="536">
        <f t="shared" si="0"/>
        <v>0</v>
      </c>
    </row>
    <row r="28" spans="1:9" x14ac:dyDescent="0.15">
      <c r="A28" s="425" t="s">
        <v>529</v>
      </c>
      <c r="B28" s="499" t="s">
        <v>1255</v>
      </c>
      <c r="C28" s="138" t="s">
        <v>530</v>
      </c>
      <c r="D28" s="41">
        <v>0</v>
      </c>
      <c r="E28" s="41">
        <v>0</v>
      </c>
      <c r="F28" s="41">
        <v>0</v>
      </c>
      <c r="G28" s="41">
        <v>0</v>
      </c>
      <c r="H28" s="532">
        <v>0</v>
      </c>
      <c r="I28" s="536">
        <f t="shared" si="0"/>
        <v>0</v>
      </c>
    </row>
    <row r="29" spans="1:9" x14ac:dyDescent="0.15">
      <c r="A29" s="425" t="s">
        <v>113</v>
      </c>
      <c r="B29" s="499" t="s">
        <v>1260</v>
      </c>
      <c r="C29" s="138" t="s">
        <v>531</v>
      </c>
      <c r="D29" s="41">
        <v>0</v>
      </c>
      <c r="E29" s="41">
        <v>0</v>
      </c>
      <c r="F29" s="41">
        <v>0</v>
      </c>
      <c r="G29" s="41">
        <v>0</v>
      </c>
      <c r="H29" s="532">
        <v>0</v>
      </c>
      <c r="I29" s="536">
        <f t="shared" si="0"/>
        <v>0</v>
      </c>
    </row>
    <row r="30" spans="1:9" x14ac:dyDescent="0.15">
      <c r="A30" s="425" t="s">
        <v>532</v>
      </c>
      <c r="B30" s="499" t="s">
        <v>1261</v>
      </c>
      <c r="C30" s="138" t="s">
        <v>533</v>
      </c>
      <c r="D30" s="41">
        <v>0</v>
      </c>
      <c r="E30" s="41">
        <v>0</v>
      </c>
      <c r="F30" s="41">
        <v>0</v>
      </c>
      <c r="G30" s="41">
        <v>0</v>
      </c>
      <c r="H30" s="532">
        <v>0</v>
      </c>
      <c r="I30" s="536">
        <f t="shared" si="0"/>
        <v>0</v>
      </c>
    </row>
    <row r="31" spans="1:9" x14ac:dyDescent="0.15">
      <c r="A31" s="425">
        <v>1800</v>
      </c>
      <c r="B31" s="499" t="s">
        <v>1262</v>
      </c>
      <c r="C31" s="138" t="s">
        <v>444</v>
      </c>
      <c r="D31" s="41">
        <v>0</v>
      </c>
      <c r="E31" s="41">
        <v>0</v>
      </c>
      <c r="F31" s="41">
        <v>0</v>
      </c>
      <c r="G31" s="41">
        <v>0</v>
      </c>
      <c r="H31" s="532">
        <v>0</v>
      </c>
      <c r="I31" s="536">
        <f t="shared" si="0"/>
        <v>0</v>
      </c>
    </row>
    <row r="32" spans="1:9" x14ac:dyDescent="0.15">
      <c r="A32" s="425">
        <v>1850</v>
      </c>
      <c r="B32" s="499" t="s">
        <v>1263</v>
      </c>
      <c r="C32" s="138" t="s">
        <v>445</v>
      </c>
      <c r="D32" s="41">
        <v>0</v>
      </c>
      <c r="E32" s="41">
        <v>0</v>
      </c>
      <c r="F32" s="41">
        <v>0</v>
      </c>
      <c r="G32" s="41">
        <v>0</v>
      </c>
      <c r="H32" s="532">
        <v>0</v>
      </c>
      <c r="I32" s="536">
        <f t="shared" si="0"/>
        <v>0</v>
      </c>
    </row>
    <row r="33" spans="1:9" x14ac:dyDescent="0.15">
      <c r="A33" s="425" t="s">
        <v>577</v>
      </c>
      <c r="B33" s="499" t="s">
        <v>1266</v>
      </c>
      <c r="C33" s="138" t="s">
        <v>578</v>
      </c>
      <c r="D33" s="41">
        <v>0</v>
      </c>
      <c r="E33" s="41">
        <v>0</v>
      </c>
      <c r="F33" s="41">
        <v>0</v>
      </c>
      <c r="G33" s="41">
        <v>0</v>
      </c>
      <c r="H33" s="532">
        <v>0</v>
      </c>
      <c r="I33" s="536">
        <f t="shared" si="0"/>
        <v>0</v>
      </c>
    </row>
    <row r="34" spans="1:9" x14ac:dyDescent="0.15">
      <c r="A34" s="500" t="s">
        <v>505</v>
      </c>
      <c r="B34" s="499" t="s">
        <v>1267</v>
      </c>
      <c r="C34" s="138" t="s">
        <v>508</v>
      </c>
      <c r="D34" s="41">
        <v>0</v>
      </c>
      <c r="E34" s="41">
        <v>0</v>
      </c>
      <c r="F34" s="41">
        <v>0</v>
      </c>
      <c r="G34" s="41">
        <v>0</v>
      </c>
      <c r="H34" s="532">
        <v>0</v>
      </c>
      <c r="I34" s="536">
        <f t="shared" si="0"/>
        <v>0</v>
      </c>
    </row>
    <row r="35" spans="1:9" x14ac:dyDescent="0.15">
      <c r="A35" s="500" t="s">
        <v>506</v>
      </c>
      <c r="B35" s="499" t="s">
        <v>1268</v>
      </c>
      <c r="C35" s="138" t="s">
        <v>509</v>
      </c>
      <c r="D35" s="41">
        <v>0</v>
      </c>
      <c r="E35" s="41">
        <v>0</v>
      </c>
      <c r="F35" s="41">
        <v>0</v>
      </c>
      <c r="G35" s="41">
        <v>0</v>
      </c>
      <c r="H35" s="532">
        <v>0</v>
      </c>
      <c r="I35" s="536">
        <f t="shared" si="0"/>
        <v>0</v>
      </c>
    </row>
    <row r="36" spans="1:9" x14ac:dyDescent="0.15">
      <c r="A36" s="500" t="s">
        <v>507</v>
      </c>
      <c r="B36" s="499" t="s">
        <v>1269</v>
      </c>
      <c r="C36" s="138" t="s">
        <v>512</v>
      </c>
      <c r="D36" s="41">
        <v>0</v>
      </c>
      <c r="E36" s="41">
        <v>0</v>
      </c>
      <c r="F36" s="41">
        <v>0</v>
      </c>
      <c r="G36" s="41">
        <v>0</v>
      </c>
      <c r="H36" s="532">
        <v>0</v>
      </c>
      <c r="I36" s="536">
        <f t="shared" si="0"/>
        <v>0</v>
      </c>
    </row>
    <row r="37" spans="1:9" x14ac:dyDescent="0.15">
      <c r="A37" s="425" t="s">
        <v>1603</v>
      </c>
      <c r="B37" s="499" t="s">
        <v>1270</v>
      </c>
      <c r="C37" s="138" t="s">
        <v>446</v>
      </c>
      <c r="D37" s="41">
        <v>0</v>
      </c>
      <c r="E37" s="41">
        <v>0</v>
      </c>
      <c r="F37" s="41">
        <v>0</v>
      </c>
      <c r="G37" s="41">
        <v>0</v>
      </c>
      <c r="H37" s="532">
        <v>0</v>
      </c>
      <c r="I37" s="536">
        <f t="shared" si="0"/>
        <v>0</v>
      </c>
    </row>
    <row r="38" spans="1:9" x14ac:dyDescent="0.15">
      <c r="A38" s="500" t="s">
        <v>756</v>
      </c>
      <c r="B38" s="499" t="s">
        <v>1271</v>
      </c>
      <c r="C38" s="138" t="s">
        <v>447</v>
      </c>
      <c r="D38" s="41">
        <v>0</v>
      </c>
      <c r="E38" s="41">
        <v>0</v>
      </c>
      <c r="F38" s="41">
        <v>0</v>
      </c>
      <c r="G38" s="41">
        <v>0</v>
      </c>
      <c r="H38" s="532">
        <v>0</v>
      </c>
      <c r="I38" s="536">
        <f t="shared" si="0"/>
        <v>0</v>
      </c>
    </row>
    <row r="39" spans="1:9" x14ac:dyDescent="0.15">
      <c r="A39" s="500" t="s">
        <v>757</v>
      </c>
      <c r="B39" s="499" t="s">
        <v>1272</v>
      </c>
      <c r="C39" s="138" t="s">
        <v>448</v>
      </c>
      <c r="D39" s="41">
        <v>0</v>
      </c>
      <c r="E39" s="41">
        <v>0</v>
      </c>
      <c r="F39" s="41">
        <v>0</v>
      </c>
      <c r="G39" s="41">
        <v>0</v>
      </c>
      <c r="H39" s="532">
        <v>0</v>
      </c>
      <c r="I39" s="536">
        <f t="shared" si="0"/>
        <v>0</v>
      </c>
    </row>
    <row r="40" spans="1:9" x14ac:dyDescent="0.15">
      <c r="A40" s="500" t="s">
        <v>513</v>
      </c>
      <c r="B40" s="499" t="s">
        <v>1273</v>
      </c>
      <c r="C40" s="138" t="s">
        <v>514</v>
      </c>
      <c r="D40" s="41">
        <v>0</v>
      </c>
      <c r="E40" s="41">
        <v>0</v>
      </c>
      <c r="F40" s="41">
        <v>0</v>
      </c>
      <c r="G40" s="41">
        <v>0</v>
      </c>
      <c r="H40" s="532">
        <v>0</v>
      </c>
      <c r="I40" s="536">
        <f t="shared" si="0"/>
        <v>0</v>
      </c>
    </row>
    <row r="41" spans="1:9" x14ac:dyDescent="0.15">
      <c r="A41" s="500" t="s">
        <v>758</v>
      </c>
      <c r="B41" s="499" t="s">
        <v>1274</v>
      </c>
      <c r="C41" s="138" t="s">
        <v>449</v>
      </c>
      <c r="D41" s="41">
        <v>0</v>
      </c>
      <c r="E41" s="41">
        <v>0</v>
      </c>
      <c r="F41" s="41">
        <v>0</v>
      </c>
      <c r="G41" s="41">
        <v>0</v>
      </c>
      <c r="H41" s="532">
        <v>0</v>
      </c>
      <c r="I41" s="536">
        <f t="shared" si="0"/>
        <v>0</v>
      </c>
    </row>
    <row r="42" spans="1:9" x14ac:dyDescent="0.15">
      <c r="A42" s="425" t="s">
        <v>1604</v>
      </c>
      <c r="B42" s="499" t="s">
        <v>252</v>
      </c>
      <c r="C42" s="138" t="s">
        <v>450</v>
      </c>
      <c r="D42" s="41">
        <v>0</v>
      </c>
      <c r="E42" s="41">
        <v>0</v>
      </c>
      <c r="F42" s="41">
        <v>0</v>
      </c>
      <c r="G42" s="41">
        <v>0</v>
      </c>
      <c r="H42" s="532">
        <v>0</v>
      </c>
      <c r="I42" s="536">
        <f t="shared" si="0"/>
        <v>0</v>
      </c>
    </row>
    <row r="43" spans="1:9" x14ac:dyDescent="0.15">
      <c r="B43" s="499" t="s">
        <v>253</v>
      </c>
      <c r="C43" s="138" t="s">
        <v>702</v>
      </c>
      <c r="D43" s="41">
        <v>0</v>
      </c>
      <c r="E43" s="41">
        <v>0</v>
      </c>
      <c r="F43" s="41">
        <v>0</v>
      </c>
      <c r="G43" s="41">
        <v>0</v>
      </c>
      <c r="H43" s="532">
        <v>0</v>
      </c>
      <c r="I43" s="536">
        <f t="shared" si="0"/>
        <v>0</v>
      </c>
    </row>
    <row r="44" spans="1:9" ht="11.25" thickBot="1" x14ac:dyDescent="0.2">
      <c r="B44" s="501"/>
      <c r="C44" s="138"/>
      <c r="D44" s="14"/>
      <c r="E44" s="14"/>
      <c r="F44" s="14"/>
      <c r="G44" s="14"/>
      <c r="H44" s="14"/>
      <c r="I44" s="550"/>
    </row>
    <row r="45" spans="1:9" ht="12" thickTop="1" thickBot="1" x14ac:dyDescent="0.2">
      <c r="B45" s="502" t="s">
        <v>1276</v>
      </c>
      <c r="C45" s="138" t="s">
        <v>516</v>
      </c>
      <c r="D45" s="169">
        <f t="shared" ref="D45:I45" si="1">SUM(D7:D43)</f>
        <v>0</v>
      </c>
      <c r="E45" s="169">
        <f t="shared" si="1"/>
        <v>0</v>
      </c>
      <c r="F45" s="169">
        <f t="shared" si="1"/>
        <v>0</v>
      </c>
      <c r="G45" s="304">
        <f t="shared" si="1"/>
        <v>0</v>
      </c>
      <c r="H45" s="602">
        <f t="shared" si="1"/>
        <v>0</v>
      </c>
      <c r="I45" s="602">
        <f t="shared" si="1"/>
        <v>0</v>
      </c>
    </row>
    <row r="46" spans="1:9" ht="11.25" thickTop="1" x14ac:dyDescent="0.15">
      <c r="B46" s="501"/>
      <c r="C46" s="138"/>
      <c r="D46" s="198"/>
      <c r="E46" s="198"/>
      <c r="F46" s="198"/>
      <c r="G46" s="198"/>
      <c r="I46" s="545"/>
    </row>
    <row r="47" spans="1:9" ht="11.25" thickBot="1" x14ac:dyDescent="0.2">
      <c r="B47" s="497" t="s">
        <v>94</v>
      </c>
      <c r="D47" s="498"/>
      <c r="E47" s="498"/>
      <c r="F47" s="498"/>
      <c r="G47" s="498"/>
      <c r="H47" s="498"/>
      <c r="I47" s="547"/>
    </row>
    <row r="48" spans="1:9" ht="12" thickTop="1" thickBot="1" x14ac:dyDescent="0.2">
      <c r="A48" s="425" t="s">
        <v>95</v>
      </c>
      <c r="B48" s="502" t="s">
        <v>1277</v>
      </c>
      <c r="C48" s="138" t="s">
        <v>451</v>
      </c>
      <c r="D48" s="43">
        <v>0</v>
      </c>
      <c r="E48" s="43">
        <v>0</v>
      </c>
      <c r="F48" s="43">
        <v>0</v>
      </c>
      <c r="G48" s="43">
        <v>0</v>
      </c>
      <c r="H48" s="292">
        <v>0</v>
      </c>
      <c r="I48" s="565">
        <f>SUM(G48+H48)</f>
        <v>0</v>
      </c>
    </row>
    <row r="49" spans="1:9" ht="11.25" thickTop="1" x14ac:dyDescent="0.15">
      <c r="A49" s="425"/>
      <c r="B49" s="501"/>
      <c r="C49" s="138"/>
      <c r="D49" s="14"/>
      <c r="E49" s="14"/>
      <c r="F49" s="14"/>
      <c r="G49" s="14"/>
      <c r="I49" s="545"/>
    </row>
    <row r="50" spans="1:9" x14ac:dyDescent="0.15">
      <c r="B50" s="497" t="s">
        <v>96</v>
      </c>
      <c r="D50" s="498"/>
      <c r="E50" s="498"/>
      <c r="F50" s="498"/>
      <c r="G50" s="498"/>
      <c r="H50" s="498"/>
      <c r="I50" s="546"/>
    </row>
    <row r="51" spans="1:9" x14ac:dyDescent="0.15">
      <c r="A51" s="436" t="s">
        <v>97</v>
      </c>
      <c r="B51" s="502" t="s">
        <v>1278</v>
      </c>
      <c r="C51" s="688" t="s">
        <v>452</v>
      </c>
      <c r="D51" s="41">
        <v>0</v>
      </c>
      <c r="E51" s="41">
        <v>0</v>
      </c>
      <c r="F51" s="41">
        <v>0</v>
      </c>
      <c r="G51" s="41">
        <v>0</v>
      </c>
      <c r="H51" s="532">
        <v>0</v>
      </c>
      <c r="I51" s="536">
        <f t="shared" ref="I51:I73" si="2">SUM(G51+H51)</f>
        <v>0</v>
      </c>
    </row>
    <row r="52" spans="1:9" x14ac:dyDescent="0.15">
      <c r="A52" s="436" t="s">
        <v>887</v>
      </c>
      <c r="B52" s="687" t="s">
        <v>888</v>
      </c>
      <c r="C52" s="524" t="s">
        <v>35</v>
      </c>
      <c r="D52" s="41">
        <v>0</v>
      </c>
      <c r="E52" s="41">
        <v>0</v>
      </c>
      <c r="F52" s="41">
        <v>0</v>
      </c>
      <c r="G52" s="41">
        <v>0</v>
      </c>
      <c r="H52" s="532">
        <v>0</v>
      </c>
      <c r="I52" s="536">
        <f>SUM(G52+H52)</f>
        <v>0</v>
      </c>
    </row>
    <row r="53" spans="1:9" x14ac:dyDescent="0.15">
      <c r="A53" s="500" t="s">
        <v>759</v>
      </c>
      <c r="B53" s="502" t="s">
        <v>1279</v>
      </c>
      <c r="C53" s="138" t="s">
        <v>453</v>
      </c>
      <c r="D53" s="41">
        <v>0</v>
      </c>
      <c r="E53" s="41">
        <v>0</v>
      </c>
      <c r="F53" s="41">
        <v>0</v>
      </c>
      <c r="G53" s="41">
        <v>0</v>
      </c>
      <c r="H53" s="532">
        <v>0</v>
      </c>
      <c r="I53" s="536">
        <f t="shared" si="2"/>
        <v>0</v>
      </c>
    </row>
    <row r="54" spans="1:9" x14ac:dyDescent="0.15">
      <c r="A54" s="500" t="s">
        <v>760</v>
      </c>
      <c r="B54" s="499" t="s">
        <v>1280</v>
      </c>
      <c r="C54" s="138" t="s">
        <v>454</v>
      </c>
      <c r="D54" s="41">
        <v>0</v>
      </c>
      <c r="E54" s="41">
        <v>0</v>
      </c>
      <c r="F54" s="41">
        <v>0</v>
      </c>
      <c r="G54" s="41">
        <v>0</v>
      </c>
      <c r="H54" s="532">
        <v>0</v>
      </c>
      <c r="I54" s="536">
        <f t="shared" si="2"/>
        <v>0</v>
      </c>
    </row>
    <row r="55" spans="1:9" x14ac:dyDescent="0.15">
      <c r="A55" s="425" t="s">
        <v>579</v>
      </c>
      <c r="B55" s="499" t="s">
        <v>1281</v>
      </c>
      <c r="C55" s="138" t="s">
        <v>581</v>
      </c>
      <c r="D55" s="41">
        <v>0</v>
      </c>
      <c r="E55" s="41">
        <v>0</v>
      </c>
      <c r="F55" s="41">
        <v>0</v>
      </c>
      <c r="G55" s="41">
        <v>0</v>
      </c>
      <c r="H55" s="532">
        <v>0</v>
      </c>
      <c r="I55" s="536">
        <f t="shared" si="2"/>
        <v>0</v>
      </c>
    </row>
    <row r="56" spans="1:9" x14ac:dyDescent="0.15">
      <c r="A56" s="425" t="s">
        <v>580</v>
      </c>
      <c r="B56" s="499" t="s">
        <v>1282</v>
      </c>
      <c r="C56" s="138" t="s">
        <v>582</v>
      </c>
      <c r="D56" s="41">
        <v>0</v>
      </c>
      <c r="E56" s="41">
        <v>0</v>
      </c>
      <c r="F56" s="41">
        <v>0</v>
      </c>
      <c r="G56" s="41">
        <v>0</v>
      </c>
      <c r="H56" s="532">
        <v>0</v>
      </c>
      <c r="I56" s="536">
        <f t="shared" si="2"/>
        <v>0</v>
      </c>
    </row>
    <row r="57" spans="1:9" x14ac:dyDescent="0.15">
      <c r="A57" s="425" t="s">
        <v>534</v>
      </c>
      <c r="B57" s="499" t="s">
        <v>1287</v>
      </c>
      <c r="C57" s="138" t="s">
        <v>535</v>
      </c>
      <c r="D57" s="41">
        <v>0</v>
      </c>
      <c r="E57" s="41">
        <v>0</v>
      </c>
      <c r="F57" s="41">
        <v>0</v>
      </c>
      <c r="G57" s="41">
        <v>0</v>
      </c>
      <c r="H57" s="532">
        <v>0</v>
      </c>
      <c r="I57" s="536">
        <f t="shared" si="2"/>
        <v>0</v>
      </c>
    </row>
    <row r="58" spans="1:9" x14ac:dyDescent="0.15">
      <c r="A58" s="425" t="s">
        <v>98</v>
      </c>
      <c r="B58" s="499" t="s">
        <v>1288</v>
      </c>
      <c r="C58" s="138" t="s">
        <v>455</v>
      </c>
      <c r="D58" s="41">
        <v>0</v>
      </c>
      <c r="E58" s="41">
        <v>0</v>
      </c>
      <c r="F58" s="41">
        <v>0</v>
      </c>
      <c r="G58" s="41">
        <v>0</v>
      </c>
      <c r="H58" s="532">
        <v>0</v>
      </c>
      <c r="I58" s="536">
        <f t="shared" si="2"/>
        <v>0</v>
      </c>
    </row>
    <row r="59" spans="1:9" x14ac:dyDescent="0.15">
      <c r="A59" s="425" t="s">
        <v>99</v>
      </c>
      <c r="B59" s="499" t="s">
        <v>1289</v>
      </c>
      <c r="C59" s="138" t="s">
        <v>456</v>
      </c>
      <c r="D59" s="41">
        <v>0</v>
      </c>
      <c r="E59" s="41">
        <v>0</v>
      </c>
      <c r="F59" s="41">
        <v>0</v>
      </c>
      <c r="G59" s="41">
        <v>0</v>
      </c>
      <c r="H59" s="532">
        <v>0</v>
      </c>
      <c r="I59" s="536">
        <f t="shared" si="2"/>
        <v>0</v>
      </c>
    </row>
    <row r="60" spans="1:9" x14ac:dyDescent="0.15">
      <c r="A60" s="425" t="s">
        <v>100</v>
      </c>
      <c r="B60" s="499" t="s">
        <v>1290</v>
      </c>
      <c r="C60" s="138" t="s">
        <v>457</v>
      </c>
      <c r="D60" s="41">
        <v>0</v>
      </c>
      <c r="E60" s="41">
        <v>0</v>
      </c>
      <c r="F60" s="41">
        <v>0</v>
      </c>
      <c r="G60" s="41">
        <v>0</v>
      </c>
      <c r="H60" s="532">
        <v>0</v>
      </c>
      <c r="I60" s="536">
        <f t="shared" si="2"/>
        <v>0</v>
      </c>
    </row>
    <row r="61" spans="1:9" x14ac:dyDescent="0.15">
      <c r="A61" s="425" t="s">
        <v>101</v>
      </c>
      <c r="B61" s="499" t="s">
        <v>1291</v>
      </c>
      <c r="C61" s="138" t="s">
        <v>458</v>
      </c>
      <c r="D61" s="41">
        <v>0</v>
      </c>
      <c r="E61" s="41">
        <v>0</v>
      </c>
      <c r="F61" s="41">
        <v>0</v>
      </c>
      <c r="G61" s="41">
        <v>0</v>
      </c>
      <c r="H61" s="532">
        <v>0</v>
      </c>
      <c r="I61" s="536">
        <f t="shared" si="2"/>
        <v>0</v>
      </c>
    </row>
    <row r="62" spans="1:9" x14ac:dyDescent="0.15">
      <c r="A62" s="425" t="s">
        <v>102</v>
      </c>
      <c r="B62" s="499" t="s">
        <v>1292</v>
      </c>
      <c r="C62" s="138" t="s">
        <v>459</v>
      </c>
      <c r="D62" s="41">
        <v>0</v>
      </c>
      <c r="E62" s="41">
        <v>0</v>
      </c>
      <c r="F62" s="41">
        <v>0</v>
      </c>
      <c r="G62" s="41">
        <v>0</v>
      </c>
      <c r="H62" s="532">
        <v>0</v>
      </c>
      <c r="I62" s="536">
        <f t="shared" si="2"/>
        <v>0</v>
      </c>
    </row>
    <row r="63" spans="1:9" x14ac:dyDescent="0.15">
      <c r="A63" s="425" t="s">
        <v>597</v>
      </c>
      <c r="B63" s="503" t="s">
        <v>1293</v>
      </c>
      <c r="C63" s="138" t="s">
        <v>598</v>
      </c>
      <c r="D63" s="41">
        <v>0</v>
      </c>
      <c r="E63" s="41">
        <v>0</v>
      </c>
      <c r="F63" s="41">
        <v>0</v>
      </c>
      <c r="G63" s="41">
        <v>0</v>
      </c>
      <c r="H63" s="532">
        <v>0</v>
      </c>
      <c r="I63" s="536">
        <f t="shared" si="2"/>
        <v>0</v>
      </c>
    </row>
    <row r="64" spans="1:9" x14ac:dyDescent="0.15">
      <c r="A64" s="500" t="s">
        <v>761</v>
      </c>
      <c r="B64" s="499" t="s">
        <v>1294</v>
      </c>
      <c r="C64" s="138" t="s">
        <v>460</v>
      </c>
      <c r="D64" s="41">
        <v>0</v>
      </c>
      <c r="E64" s="41">
        <v>0</v>
      </c>
      <c r="F64" s="41">
        <v>0</v>
      </c>
      <c r="G64" s="41">
        <v>0</v>
      </c>
      <c r="H64" s="532">
        <v>0</v>
      </c>
      <c r="I64" s="536">
        <f t="shared" si="2"/>
        <v>0</v>
      </c>
    </row>
    <row r="65" spans="1:9" x14ac:dyDescent="0.15">
      <c r="A65" s="425" t="s">
        <v>583</v>
      </c>
      <c r="B65" s="499" t="s">
        <v>1295</v>
      </c>
      <c r="C65" s="138" t="s">
        <v>584</v>
      </c>
      <c r="D65" s="41">
        <v>0</v>
      </c>
      <c r="E65" s="41">
        <v>0</v>
      </c>
      <c r="F65" s="41">
        <v>0</v>
      </c>
      <c r="G65" s="41">
        <v>0</v>
      </c>
      <c r="H65" s="532">
        <v>0</v>
      </c>
      <c r="I65" s="536">
        <f t="shared" si="2"/>
        <v>0</v>
      </c>
    </row>
    <row r="66" spans="1:9" x14ac:dyDescent="0.15">
      <c r="A66" s="504" t="s">
        <v>114</v>
      </c>
      <c r="B66" s="499" t="s">
        <v>1296</v>
      </c>
      <c r="C66" s="138" t="s">
        <v>1345</v>
      </c>
      <c r="D66" s="41">
        <v>0</v>
      </c>
      <c r="E66" s="41">
        <v>0</v>
      </c>
      <c r="F66" s="41">
        <v>0</v>
      </c>
      <c r="G66" s="41">
        <v>0</v>
      </c>
      <c r="H66" s="532">
        <v>0</v>
      </c>
      <c r="I66" s="536">
        <f t="shared" si="2"/>
        <v>0</v>
      </c>
    </row>
    <row r="67" spans="1:9" x14ac:dyDescent="0.15">
      <c r="A67" s="425" t="s">
        <v>103</v>
      </c>
      <c r="B67" s="499" t="s">
        <v>1297</v>
      </c>
      <c r="C67" s="138" t="s">
        <v>116</v>
      </c>
      <c r="D67" s="41">
        <v>0</v>
      </c>
      <c r="E67" s="41">
        <v>0</v>
      </c>
      <c r="F67" s="41">
        <v>0</v>
      </c>
      <c r="G67" s="41">
        <v>0</v>
      </c>
      <c r="H67" s="532">
        <v>0</v>
      </c>
      <c r="I67" s="536">
        <f t="shared" si="2"/>
        <v>0</v>
      </c>
    </row>
    <row r="68" spans="1:9" x14ac:dyDescent="0.15">
      <c r="A68" s="425" t="s">
        <v>585</v>
      </c>
      <c r="B68" s="499" t="s">
        <v>1298</v>
      </c>
      <c r="C68" s="138" t="s">
        <v>586</v>
      </c>
      <c r="D68" s="41">
        <v>0</v>
      </c>
      <c r="E68" s="41">
        <v>0</v>
      </c>
      <c r="F68" s="41">
        <v>0</v>
      </c>
      <c r="G68" s="41">
        <v>0</v>
      </c>
      <c r="H68" s="532">
        <v>0</v>
      </c>
      <c r="I68" s="536">
        <f t="shared" si="2"/>
        <v>0</v>
      </c>
    </row>
    <row r="69" spans="1:9" x14ac:dyDescent="0.15">
      <c r="A69" s="425" t="s">
        <v>587</v>
      </c>
      <c r="B69" s="505" t="s">
        <v>1299</v>
      </c>
      <c r="C69" s="138" t="s">
        <v>589</v>
      </c>
      <c r="D69" s="41">
        <v>0</v>
      </c>
      <c r="E69" s="41">
        <v>0</v>
      </c>
      <c r="F69" s="41">
        <v>0</v>
      </c>
      <c r="G69" s="41">
        <v>0</v>
      </c>
      <c r="H69" s="532">
        <v>0</v>
      </c>
      <c r="I69" s="536">
        <f t="shared" si="2"/>
        <v>0</v>
      </c>
    </row>
    <row r="70" spans="1:9" x14ac:dyDescent="0.15">
      <c r="A70" s="500" t="s">
        <v>762</v>
      </c>
      <c r="B70" s="499" t="s">
        <v>1300</v>
      </c>
      <c r="C70" s="138" t="s">
        <v>461</v>
      </c>
      <c r="D70" s="41">
        <v>0</v>
      </c>
      <c r="E70" s="41">
        <v>0</v>
      </c>
      <c r="F70" s="41">
        <v>0</v>
      </c>
      <c r="G70" s="41">
        <v>0</v>
      </c>
      <c r="H70" s="532">
        <v>0</v>
      </c>
      <c r="I70" s="536">
        <f t="shared" si="2"/>
        <v>0</v>
      </c>
    </row>
    <row r="71" spans="1:9" x14ac:dyDescent="0.15">
      <c r="A71" s="500" t="s">
        <v>763</v>
      </c>
      <c r="B71" s="499" t="s">
        <v>1301</v>
      </c>
      <c r="C71" s="138" t="s">
        <v>462</v>
      </c>
      <c r="D71" s="41">
        <v>0</v>
      </c>
      <c r="E71" s="41">
        <v>0</v>
      </c>
      <c r="F71" s="41">
        <v>0</v>
      </c>
      <c r="G71" s="41">
        <v>0</v>
      </c>
      <c r="H71" s="532">
        <v>0</v>
      </c>
      <c r="I71" s="536">
        <f t="shared" si="2"/>
        <v>0</v>
      </c>
    </row>
    <row r="72" spans="1:9" x14ac:dyDescent="0.15">
      <c r="A72" s="500" t="s">
        <v>515</v>
      </c>
      <c r="B72" s="499" t="s">
        <v>1302</v>
      </c>
      <c r="C72" s="138" t="s">
        <v>519</v>
      </c>
      <c r="D72" s="41">
        <v>0</v>
      </c>
      <c r="E72" s="41">
        <v>0</v>
      </c>
      <c r="F72" s="41">
        <v>0</v>
      </c>
      <c r="G72" s="41">
        <v>0</v>
      </c>
      <c r="H72" s="532">
        <v>0</v>
      </c>
      <c r="I72" s="536">
        <f t="shared" si="2"/>
        <v>0</v>
      </c>
    </row>
    <row r="73" spans="1:9" ht="11.25" thickBot="1" x14ac:dyDescent="0.2">
      <c r="A73" s="500" t="s">
        <v>764</v>
      </c>
      <c r="B73" s="499" t="s">
        <v>1303</v>
      </c>
      <c r="C73" s="138" t="s">
        <v>572</v>
      </c>
      <c r="D73" s="143">
        <v>0</v>
      </c>
      <c r="E73" s="143">
        <v>0</v>
      </c>
      <c r="F73" s="143">
        <v>0</v>
      </c>
      <c r="G73" s="41">
        <v>0</v>
      </c>
      <c r="H73" s="533">
        <v>0</v>
      </c>
      <c r="I73" s="536">
        <f t="shared" si="2"/>
        <v>0</v>
      </c>
    </row>
    <row r="74" spans="1:9" ht="12" thickTop="1" thickBot="1" x14ac:dyDescent="0.2">
      <c r="A74" s="500"/>
      <c r="B74" s="501"/>
      <c r="C74" s="138"/>
      <c r="D74" s="199"/>
      <c r="E74" s="199"/>
      <c r="F74" s="199"/>
      <c r="G74" s="199"/>
      <c r="H74" s="199"/>
      <c r="I74" s="551"/>
    </row>
    <row r="75" spans="1:9" ht="12" thickTop="1" thickBot="1" x14ac:dyDescent="0.2">
      <c r="B75" s="499" t="s">
        <v>1304</v>
      </c>
      <c r="C75" s="138" t="s">
        <v>517</v>
      </c>
      <c r="D75" s="173">
        <f t="shared" ref="D75:I75" si="3">SUM(D51:D73)</f>
        <v>0</v>
      </c>
      <c r="E75" s="577">
        <f t="shared" si="3"/>
        <v>0</v>
      </c>
      <c r="F75" s="577">
        <f t="shared" si="3"/>
        <v>0</v>
      </c>
      <c r="G75" s="577">
        <f t="shared" si="3"/>
        <v>0</v>
      </c>
      <c r="H75" s="552">
        <f t="shared" si="3"/>
        <v>0</v>
      </c>
      <c r="I75" s="552">
        <f t="shared" si="3"/>
        <v>0</v>
      </c>
    </row>
    <row r="76" spans="1:9" ht="11.25" thickTop="1" x14ac:dyDescent="0.15">
      <c r="B76" s="506"/>
      <c r="C76" s="138"/>
      <c r="D76" s="198"/>
      <c r="E76" s="198"/>
      <c r="F76" s="198"/>
      <c r="G76" s="198"/>
      <c r="H76" s="198"/>
      <c r="I76" s="541"/>
    </row>
    <row r="77" spans="1:9" x14ac:dyDescent="0.15">
      <c r="B77" s="501"/>
      <c r="C77" s="507" t="s">
        <v>104</v>
      </c>
      <c r="I77" s="542"/>
    </row>
    <row r="78" spans="1:9" x14ac:dyDescent="0.15">
      <c r="A78" s="490" t="s">
        <v>389</v>
      </c>
      <c r="B78" s="499" t="s">
        <v>1305</v>
      </c>
      <c r="C78" s="138" t="s">
        <v>679</v>
      </c>
      <c r="D78" s="41">
        <v>0</v>
      </c>
      <c r="E78" s="41">
        <v>0</v>
      </c>
      <c r="F78" s="41">
        <v>0</v>
      </c>
      <c r="G78" s="41">
        <v>0</v>
      </c>
      <c r="H78" s="532">
        <v>0</v>
      </c>
      <c r="I78" s="536">
        <f t="shared" ref="I78:I89" si="4">SUM(G78+H78)</f>
        <v>0</v>
      </c>
    </row>
    <row r="79" spans="1:9" x14ac:dyDescent="0.15">
      <c r="A79" s="679" t="s">
        <v>682</v>
      </c>
      <c r="B79" s="680" t="s">
        <v>889</v>
      </c>
      <c r="C79" s="678" t="s">
        <v>891</v>
      </c>
      <c r="D79" s="41">
        <v>0</v>
      </c>
      <c r="E79" s="41">
        <v>0</v>
      </c>
      <c r="F79" s="41">
        <v>0</v>
      </c>
      <c r="G79" s="41">
        <v>0</v>
      </c>
      <c r="H79" s="532">
        <v>0</v>
      </c>
      <c r="I79" s="536">
        <f>SUM(G79+H79)</f>
        <v>0</v>
      </c>
    </row>
    <row r="80" spans="1:9" x14ac:dyDescent="0.15">
      <c r="A80" s="504" t="s">
        <v>682</v>
      </c>
      <c r="B80" s="499" t="s">
        <v>890</v>
      </c>
      <c r="C80" s="138" t="s">
        <v>680</v>
      </c>
      <c r="D80" s="41">
        <v>0</v>
      </c>
      <c r="E80" s="41">
        <v>0</v>
      </c>
      <c r="F80" s="41">
        <v>0</v>
      </c>
      <c r="G80" s="41">
        <v>0</v>
      </c>
      <c r="H80" s="532">
        <v>0</v>
      </c>
      <c r="I80" s="536">
        <f t="shared" si="4"/>
        <v>0</v>
      </c>
    </row>
    <row r="81" spans="1:9" x14ac:dyDescent="0.15">
      <c r="A81" s="504" t="s">
        <v>683</v>
      </c>
      <c r="B81" s="499" t="s">
        <v>1307</v>
      </c>
      <c r="C81" s="138" t="s">
        <v>681</v>
      </c>
      <c r="D81" s="41">
        <v>0</v>
      </c>
      <c r="E81" s="41">
        <v>0</v>
      </c>
      <c r="F81" s="41">
        <v>0</v>
      </c>
      <c r="G81" s="41">
        <v>0</v>
      </c>
      <c r="H81" s="532">
        <v>0</v>
      </c>
      <c r="I81" s="536">
        <f t="shared" si="4"/>
        <v>0</v>
      </c>
    </row>
    <row r="82" spans="1:9" x14ac:dyDescent="0.15">
      <c r="A82" s="490" t="s">
        <v>590</v>
      </c>
      <c r="B82" s="499" t="s">
        <v>1308</v>
      </c>
      <c r="C82" s="138" t="s">
        <v>591</v>
      </c>
      <c r="D82" s="41">
        <v>0</v>
      </c>
      <c r="E82" s="41">
        <v>0</v>
      </c>
      <c r="F82" s="41">
        <v>0</v>
      </c>
      <c r="G82" s="41">
        <v>0</v>
      </c>
      <c r="H82" s="532">
        <v>0</v>
      </c>
      <c r="I82" s="536">
        <f t="shared" si="4"/>
        <v>0</v>
      </c>
    </row>
    <row r="83" spans="1:9" x14ac:dyDescent="0.15">
      <c r="A83" s="490" t="s">
        <v>592</v>
      </c>
      <c r="B83" s="499" t="s">
        <v>1309</v>
      </c>
      <c r="C83" s="138" t="s">
        <v>593</v>
      </c>
      <c r="D83" s="41">
        <v>0</v>
      </c>
      <c r="E83" s="41">
        <v>0</v>
      </c>
      <c r="F83" s="41">
        <v>0</v>
      </c>
      <c r="G83" s="41">
        <v>0</v>
      </c>
      <c r="H83" s="532">
        <v>0</v>
      </c>
      <c r="I83" s="536">
        <f t="shared" si="4"/>
        <v>0</v>
      </c>
    </row>
    <row r="84" spans="1:9" x14ac:dyDescent="0.15">
      <c r="A84" s="504" t="s">
        <v>518</v>
      </c>
      <c r="B84" s="499" t="s">
        <v>1310</v>
      </c>
      <c r="C84" s="138" t="s">
        <v>520</v>
      </c>
      <c r="D84" s="41">
        <v>0</v>
      </c>
      <c r="E84" s="41">
        <v>0</v>
      </c>
      <c r="F84" s="41">
        <v>0</v>
      </c>
      <c r="G84" s="41">
        <v>0</v>
      </c>
      <c r="H84" s="532">
        <v>0</v>
      </c>
      <c r="I84" s="536">
        <f t="shared" si="4"/>
        <v>0</v>
      </c>
    </row>
    <row r="85" spans="1:9" x14ac:dyDescent="0.15">
      <c r="A85" s="490" t="s">
        <v>594</v>
      </c>
      <c r="B85" s="499" t="s">
        <v>1311</v>
      </c>
      <c r="C85" s="138" t="s">
        <v>595</v>
      </c>
      <c r="D85" s="41">
        <v>0</v>
      </c>
      <c r="E85" s="41">
        <v>0</v>
      </c>
      <c r="F85" s="41">
        <v>0</v>
      </c>
      <c r="G85" s="41">
        <v>0</v>
      </c>
      <c r="H85" s="532">
        <v>0</v>
      </c>
      <c r="I85" s="536">
        <f t="shared" si="4"/>
        <v>0</v>
      </c>
    </row>
    <row r="86" spans="1:9" x14ac:dyDescent="0.15">
      <c r="B86" s="508" t="s">
        <v>1312</v>
      </c>
      <c r="C86" s="138" t="s">
        <v>573</v>
      </c>
      <c r="D86" s="41">
        <v>0</v>
      </c>
      <c r="E86" s="41">
        <v>0</v>
      </c>
      <c r="F86" s="41">
        <v>0</v>
      </c>
      <c r="G86" s="41">
        <v>0</v>
      </c>
      <c r="H86" s="532">
        <v>0</v>
      </c>
      <c r="I86" s="536">
        <f t="shared" si="4"/>
        <v>0</v>
      </c>
    </row>
    <row r="87" spans="1:9" x14ac:dyDescent="0.15">
      <c r="B87" s="508" t="s">
        <v>1313</v>
      </c>
      <c r="C87" s="138" t="s">
        <v>455</v>
      </c>
      <c r="D87" s="41">
        <v>0</v>
      </c>
      <c r="E87" s="41">
        <v>0</v>
      </c>
      <c r="F87" s="41">
        <v>0</v>
      </c>
      <c r="G87" s="41">
        <v>0</v>
      </c>
      <c r="H87" s="532">
        <v>0</v>
      </c>
      <c r="I87" s="536">
        <f t="shared" si="4"/>
        <v>0</v>
      </c>
    </row>
    <row r="88" spans="1:9" x14ac:dyDescent="0.15">
      <c r="B88" s="499" t="s">
        <v>1314</v>
      </c>
      <c r="C88" s="138" t="s">
        <v>574</v>
      </c>
      <c r="D88" s="41">
        <v>0</v>
      </c>
      <c r="E88" s="41">
        <v>0</v>
      </c>
      <c r="F88" s="41">
        <v>0</v>
      </c>
      <c r="G88" s="41">
        <v>0</v>
      </c>
      <c r="H88" s="532">
        <v>0</v>
      </c>
      <c r="I88" s="536">
        <f t="shared" si="4"/>
        <v>0</v>
      </c>
    </row>
    <row r="89" spans="1:9" x14ac:dyDescent="0.15">
      <c r="B89" s="499" t="s">
        <v>1315</v>
      </c>
      <c r="C89" s="138" t="s">
        <v>575</v>
      </c>
      <c r="D89" s="41">
        <v>0</v>
      </c>
      <c r="E89" s="41">
        <v>0</v>
      </c>
      <c r="F89" s="41">
        <v>0</v>
      </c>
      <c r="G89" s="41">
        <v>0</v>
      </c>
      <c r="H89" s="532">
        <v>0</v>
      </c>
      <c r="I89" s="536">
        <f t="shared" si="4"/>
        <v>0</v>
      </c>
    </row>
    <row r="90" spans="1:9" ht="11.25" thickBot="1" x14ac:dyDescent="0.2">
      <c r="B90" s="501"/>
      <c r="C90" s="138"/>
      <c r="D90" s="14"/>
      <c r="E90" s="14"/>
      <c r="F90" s="14"/>
      <c r="G90" s="14"/>
      <c r="H90" s="14"/>
      <c r="I90" s="551"/>
    </row>
    <row r="91" spans="1:9" ht="12" thickTop="1" thickBot="1" x14ac:dyDescent="0.2">
      <c r="B91" s="499" t="s">
        <v>1316</v>
      </c>
      <c r="C91" s="138" t="s">
        <v>394</v>
      </c>
      <c r="D91" s="169">
        <f t="shared" ref="D91:I91" si="5">SUM(D78:D89)</f>
        <v>0</v>
      </c>
      <c r="E91" s="169">
        <f t="shared" si="5"/>
        <v>0</v>
      </c>
      <c r="F91" s="169">
        <f t="shared" si="5"/>
        <v>0</v>
      </c>
      <c r="G91" s="304">
        <f t="shared" si="5"/>
        <v>0</v>
      </c>
      <c r="H91" s="602">
        <f t="shared" si="5"/>
        <v>0</v>
      </c>
      <c r="I91" s="537">
        <f t="shared" si="5"/>
        <v>0</v>
      </c>
    </row>
    <row r="92" spans="1:9" ht="11.25" thickTop="1" x14ac:dyDescent="0.15">
      <c r="B92" s="501"/>
      <c r="C92" s="138"/>
      <c r="D92" s="198"/>
      <c r="E92" s="198"/>
      <c r="F92" s="198"/>
      <c r="G92" s="320"/>
      <c r="H92" s="320"/>
      <c r="I92" s="543"/>
    </row>
    <row r="93" spans="1:9" x14ac:dyDescent="0.15">
      <c r="B93" s="501"/>
      <c r="C93" s="507" t="s">
        <v>831</v>
      </c>
      <c r="D93" s="498"/>
      <c r="E93" s="498"/>
      <c r="F93" s="498"/>
      <c r="G93" s="509"/>
      <c r="H93" s="509"/>
      <c r="I93" s="544"/>
    </row>
    <row r="94" spans="1:9" x14ac:dyDescent="0.15">
      <c r="A94" s="425" t="s">
        <v>105</v>
      </c>
      <c r="B94" s="499" t="s">
        <v>1317</v>
      </c>
      <c r="C94" s="2" t="s">
        <v>1033</v>
      </c>
      <c r="D94" s="41">
        <v>0</v>
      </c>
      <c r="E94" s="41">
        <v>0</v>
      </c>
      <c r="F94" s="41">
        <v>0</v>
      </c>
      <c r="G94" s="41">
        <v>0</v>
      </c>
      <c r="H94" s="534">
        <v>0</v>
      </c>
      <c r="I94" s="535">
        <f>SUM(G94+H94)</f>
        <v>0</v>
      </c>
    </row>
    <row r="95" spans="1:9" x14ac:dyDescent="0.15">
      <c r="A95" s="425" t="s">
        <v>537</v>
      </c>
      <c r="B95" s="499" t="s">
        <v>1318</v>
      </c>
      <c r="C95" s="138" t="s">
        <v>538</v>
      </c>
      <c r="D95" s="41">
        <v>0</v>
      </c>
      <c r="E95" s="41">
        <v>0</v>
      </c>
      <c r="F95" s="41">
        <v>0</v>
      </c>
      <c r="G95" s="307">
        <v>0</v>
      </c>
      <c r="H95" s="534">
        <v>0</v>
      </c>
      <c r="I95" s="535">
        <f>SUM(G95+H95)</f>
        <v>0</v>
      </c>
    </row>
    <row r="96" spans="1:9" x14ac:dyDescent="0.15">
      <c r="A96" s="425" t="s">
        <v>536</v>
      </c>
      <c r="B96" s="499" t="s">
        <v>1319</v>
      </c>
      <c r="C96" s="138" t="s">
        <v>115</v>
      </c>
      <c r="D96" s="41">
        <v>0</v>
      </c>
      <c r="E96" s="41">
        <v>0</v>
      </c>
      <c r="F96" s="41">
        <v>0</v>
      </c>
      <c r="G96" s="307">
        <v>0</v>
      </c>
      <c r="H96" s="534">
        <v>0</v>
      </c>
      <c r="I96" s="535">
        <f>SUM(G96+H96)</f>
        <v>0</v>
      </c>
    </row>
    <row r="97" spans="1:9" ht="11.25" thickBot="1" x14ac:dyDescent="0.2">
      <c r="A97" s="490" t="s">
        <v>596</v>
      </c>
      <c r="B97" s="499" t="s">
        <v>1320</v>
      </c>
      <c r="C97" s="138" t="s">
        <v>576</v>
      </c>
      <c r="D97" s="41">
        <v>0</v>
      </c>
      <c r="E97" s="41">
        <v>0</v>
      </c>
      <c r="F97" s="41">
        <v>0</v>
      </c>
      <c r="G97" s="307">
        <v>0</v>
      </c>
      <c r="H97" s="534">
        <v>0</v>
      </c>
      <c r="I97" s="538">
        <f>SUM(G97+H97)</f>
        <v>0</v>
      </c>
    </row>
    <row r="98" spans="1:9" ht="12" thickTop="1" thickBot="1" x14ac:dyDescent="0.2">
      <c r="B98" s="499" t="s">
        <v>796</v>
      </c>
      <c r="C98" s="138" t="s">
        <v>395</v>
      </c>
      <c r="D98" s="169">
        <f t="shared" ref="D98:I98" si="6">SUM(D94:D97)</f>
        <v>0</v>
      </c>
      <c r="E98" s="169">
        <f t="shared" si="6"/>
        <v>0</v>
      </c>
      <c r="F98" s="169">
        <f t="shared" si="6"/>
        <v>0</v>
      </c>
      <c r="G98" s="304">
        <f t="shared" si="6"/>
        <v>0</v>
      </c>
      <c r="H98" s="602">
        <f t="shared" si="6"/>
        <v>0</v>
      </c>
      <c r="I98" s="537">
        <f t="shared" si="6"/>
        <v>0</v>
      </c>
    </row>
    <row r="99" spans="1:9" ht="12" thickTop="1" thickBot="1" x14ac:dyDescent="0.2">
      <c r="B99" s="501"/>
      <c r="C99" s="138"/>
      <c r="D99" s="198"/>
      <c r="E99" s="198"/>
      <c r="F99" s="198"/>
      <c r="G99" s="198"/>
      <c r="H99" s="198"/>
      <c r="I99" s="552"/>
    </row>
    <row r="100" spans="1:9" ht="22.5" thickTop="1" thickBot="1" x14ac:dyDescent="0.2">
      <c r="B100" s="499" t="s">
        <v>805</v>
      </c>
      <c r="C100" s="510" t="s">
        <v>396</v>
      </c>
      <c r="D100" s="169">
        <f t="shared" ref="D100:I100" si="7">SUM(D45+D48+D75+D91+D98)</f>
        <v>0</v>
      </c>
      <c r="E100" s="169">
        <f t="shared" si="7"/>
        <v>0</v>
      </c>
      <c r="F100" s="169">
        <f t="shared" si="7"/>
        <v>0</v>
      </c>
      <c r="G100" s="169">
        <f t="shared" si="7"/>
        <v>0</v>
      </c>
      <c r="H100" s="565">
        <f t="shared" si="7"/>
        <v>0</v>
      </c>
      <c r="I100" s="539">
        <f t="shared" si="7"/>
        <v>0</v>
      </c>
    </row>
    <row r="101" spans="1:9" ht="12" thickTop="1" thickBot="1" x14ac:dyDescent="0.2">
      <c r="B101" s="501"/>
      <c r="C101" s="138"/>
      <c r="D101" s="198"/>
      <c r="E101" s="198"/>
      <c r="F101" s="198"/>
      <c r="G101" s="198"/>
      <c r="H101" s="198"/>
      <c r="I101" s="552"/>
    </row>
    <row r="102" spans="1:9" ht="22.5" thickTop="1" thickBot="1" x14ac:dyDescent="0.2">
      <c r="B102" s="499" t="s">
        <v>398</v>
      </c>
      <c r="C102" s="510" t="s">
        <v>397</v>
      </c>
      <c r="D102" s="169">
        <f t="shared" ref="D102:I102" si="8">D100+D5</f>
        <v>0</v>
      </c>
      <c r="E102" s="169">
        <f t="shared" si="8"/>
        <v>0</v>
      </c>
      <c r="F102" s="169">
        <f t="shared" si="8"/>
        <v>0</v>
      </c>
      <c r="G102" s="169">
        <f t="shared" si="8"/>
        <v>0</v>
      </c>
      <c r="H102" s="565">
        <f t="shared" si="8"/>
        <v>0</v>
      </c>
      <c r="I102" s="539">
        <f t="shared" si="8"/>
        <v>0</v>
      </c>
    </row>
    <row r="103" spans="1:9" ht="11.25" thickTop="1" x14ac:dyDescent="0.15">
      <c r="B103" s="501"/>
      <c r="C103" s="138" t="s">
        <v>830</v>
      </c>
      <c r="D103" s="198"/>
      <c r="E103" s="198"/>
      <c r="F103" s="198"/>
      <c r="G103" s="198"/>
      <c r="H103" s="198"/>
      <c r="I103" s="553"/>
    </row>
    <row r="104" spans="1:9" x14ac:dyDescent="0.15">
      <c r="A104" s="504" t="s">
        <v>765</v>
      </c>
      <c r="B104" s="511" t="s">
        <v>399</v>
      </c>
      <c r="C104" s="651" t="s">
        <v>1225</v>
      </c>
      <c r="D104" s="41">
        <v>0</v>
      </c>
      <c r="E104" s="41">
        <v>0</v>
      </c>
      <c r="F104" s="41">
        <v>0</v>
      </c>
      <c r="G104" s="41">
        <v>0</v>
      </c>
      <c r="H104" s="532">
        <v>0</v>
      </c>
      <c r="I104" s="535">
        <f>SUM(G104+H104)</f>
        <v>0</v>
      </c>
    </row>
    <row r="105" spans="1:9" x14ac:dyDescent="0.15">
      <c r="A105" s="504" t="s">
        <v>1514</v>
      </c>
      <c r="B105" s="511" t="s">
        <v>400</v>
      </c>
      <c r="C105" s="138" t="s">
        <v>1210</v>
      </c>
      <c r="D105" s="41">
        <v>0</v>
      </c>
      <c r="E105" s="41">
        <v>0</v>
      </c>
      <c r="F105" s="41">
        <v>0</v>
      </c>
      <c r="G105" s="41">
        <v>0</v>
      </c>
      <c r="H105" s="532">
        <v>0</v>
      </c>
      <c r="I105" s="535">
        <f>SUM(G105+H105)</f>
        <v>0</v>
      </c>
    </row>
    <row r="106" spans="1:9" x14ac:dyDescent="0.15">
      <c r="A106" s="504" t="s">
        <v>684</v>
      </c>
      <c r="B106" s="511" t="s">
        <v>401</v>
      </c>
      <c r="C106" s="138" t="s">
        <v>189</v>
      </c>
      <c r="D106" s="41">
        <v>0</v>
      </c>
      <c r="E106" s="41">
        <v>0</v>
      </c>
      <c r="F106" s="41">
        <v>0</v>
      </c>
      <c r="G106" s="41">
        <v>0</v>
      </c>
      <c r="H106" s="532">
        <v>0</v>
      </c>
      <c r="I106" s="535">
        <f>SUM(G106+H106)</f>
        <v>0</v>
      </c>
    </row>
    <row r="107" spans="1:9" ht="11.25" thickBot="1" x14ac:dyDescent="0.2">
      <c r="A107" s="504"/>
      <c r="B107" s="499"/>
      <c r="C107" s="138"/>
      <c r="D107" s="14"/>
      <c r="E107" s="14"/>
      <c r="F107" s="14"/>
      <c r="G107" s="14"/>
      <c r="H107" s="14"/>
      <c r="I107" s="538"/>
    </row>
    <row r="108" spans="1:9" ht="12" thickTop="1" thickBot="1" x14ac:dyDescent="0.2">
      <c r="A108" s="504"/>
      <c r="B108" s="511" t="s">
        <v>402</v>
      </c>
      <c r="C108" s="138" t="s">
        <v>1</v>
      </c>
      <c r="D108" s="169">
        <f t="shared" ref="D108:I108" si="9">SUM(D104:D106)</f>
        <v>0</v>
      </c>
      <c r="E108" s="169">
        <f t="shared" si="9"/>
        <v>0</v>
      </c>
      <c r="F108" s="169">
        <f t="shared" si="9"/>
        <v>0</v>
      </c>
      <c r="G108" s="169">
        <f t="shared" si="9"/>
        <v>0</v>
      </c>
      <c r="H108" s="565">
        <f t="shared" si="9"/>
        <v>0</v>
      </c>
      <c r="I108" s="537">
        <f t="shared" si="9"/>
        <v>0</v>
      </c>
    </row>
    <row r="109" spans="1:9" ht="12" thickTop="1" thickBot="1" x14ac:dyDescent="0.2">
      <c r="A109" s="504"/>
      <c r="B109" s="501"/>
      <c r="C109" s="138"/>
      <c r="D109" s="14"/>
      <c r="E109" s="14"/>
      <c r="F109" s="14"/>
      <c r="G109" s="14"/>
      <c r="H109" s="14"/>
      <c r="I109" s="554"/>
    </row>
    <row r="110" spans="1:9" ht="11.25" thickBot="1" x14ac:dyDescent="0.2">
      <c r="B110" s="511" t="s">
        <v>403</v>
      </c>
      <c r="C110" s="512" t="s">
        <v>405</v>
      </c>
      <c r="D110" s="171">
        <f t="shared" ref="D110:I110" si="10">D102-D108</f>
        <v>0</v>
      </c>
      <c r="E110" s="171">
        <f t="shared" si="10"/>
        <v>0</v>
      </c>
      <c r="F110" s="171">
        <f t="shared" si="10"/>
        <v>0</v>
      </c>
      <c r="G110" s="171">
        <f t="shared" si="10"/>
        <v>0</v>
      </c>
      <c r="H110" s="604">
        <f t="shared" si="10"/>
        <v>0</v>
      </c>
      <c r="I110" s="212">
        <f t="shared" si="10"/>
        <v>0</v>
      </c>
    </row>
    <row r="111" spans="1:9" x14ac:dyDescent="0.15">
      <c r="I111" s="540"/>
    </row>
    <row r="112" spans="1:9" x14ac:dyDescent="0.15">
      <c r="A112" s="660" t="s">
        <v>824</v>
      </c>
      <c r="C112" s="495" t="s">
        <v>816</v>
      </c>
      <c r="I112" s="179"/>
    </row>
    <row r="113" spans="1:9" x14ac:dyDescent="0.15">
      <c r="A113" s="436" t="s">
        <v>105</v>
      </c>
      <c r="B113" s="499" t="s">
        <v>818</v>
      </c>
      <c r="C113" s="2" t="s">
        <v>827</v>
      </c>
      <c r="D113" s="41">
        <v>0</v>
      </c>
      <c r="E113" s="41">
        <v>0</v>
      </c>
      <c r="F113" s="41">
        <v>0</v>
      </c>
      <c r="G113" s="41">
        <v>0</v>
      </c>
      <c r="H113" s="534">
        <v>0</v>
      </c>
      <c r="I113" s="535">
        <f>SUM(G113+H113)</f>
        <v>0</v>
      </c>
    </row>
    <row r="115" spans="1:9" x14ac:dyDescent="0.15">
      <c r="A115" s="660" t="s">
        <v>825</v>
      </c>
      <c r="C115" s="495" t="s">
        <v>817</v>
      </c>
    </row>
    <row r="116" spans="1:9" x14ac:dyDescent="0.15">
      <c r="A116" s="660"/>
      <c r="C116" s="423" t="s">
        <v>0</v>
      </c>
    </row>
    <row r="117" spans="1:9" x14ac:dyDescent="0.15">
      <c r="A117" s="689" t="s">
        <v>765</v>
      </c>
      <c r="B117" s="511" t="s">
        <v>819</v>
      </c>
      <c r="C117" s="651" t="s">
        <v>1225</v>
      </c>
      <c r="D117" s="41">
        <v>0</v>
      </c>
      <c r="E117" s="41">
        <v>0</v>
      </c>
      <c r="F117" s="41">
        <v>0</v>
      </c>
      <c r="G117" s="41">
        <v>0</v>
      </c>
      <c r="H117" s="532">
        <v>0</v>
      </c>
      <c r="I117" s="535">
        <f>SUM(G117+H117)</f>
        <v>0</v>
      </c>
    </row>
    <row r="118" spans="1:9" x14ac:dyDescent="0.15">
      <c r="A118" s="689" t="s">
        <v>1514</v>
      </c>
      <c r="B118" s="511" t="s">
        <v>820</v>
      </c>
      <c r="C118" s="138" t="s">
        <v>1210</v>
      </c>
      <c r="D118" s="41">
        <v>0</v>
      </c>
      <c r="E118" s="41">
        <v>0</v>
      </c>
      <c r="F118" s="41">
        <v>0</v>
      </c>
      <c r="G118" s="41">
        <v>0</v>
      </c>
      <c r="H118" s="532">
        <v>0</v>
      </c>
      <c r="I118" s="535">
        <f>SUM(G118+H118)</f>
        <v>0</v>
      </c>
    </row>
    <row r="119" spans="1:9" x14ac:dyDescent="0.15">
      <c r="A119" s="689" t="s">
        <v>684</v>
      </c>
      <c r="B119" s="511" t="s">
        <v>821</v>
      </c>
      <c r="C119" s="138" t="s">
        <v>189</v>
      </c>
      <c r="D119" s="41">
        <v>0</v>
      </c>
      <c r="E119" s="41">
        <v>0</v>
      </c>
      <c r="F119" s="41">
        <v>0</v>
      </c>
      <c r="G119" s="41">
        <v>0</v>
      </c>
      <c r="H119" s="532">
        <v>0</v>
      </c>
      <c r="I119" s="535">
        <f>SUM(G119+H119)</f>
        <v>0</v>
      </c>
    </row>
    <row r="121" spans="1:9" x14ac:dyDescent="0.15">
      <c r="B121" s="423" t="s">
        <v>826</v>
      </c>
    </row>
    <row r="123" spans="1:9" x14ac:dyDescent="0.15">
      <c r="A123" s="662" t="s">
        <v>828</v>
      </c>
      <c r="B123" s="424" t="s">
        <v>829</v>
      </c>
    </row>
  </sheetData>
  <sheetProtection formatCells="0" formatColumns="0" formatRows="0"/>
  <phoneticPr fontId="15" type="noConversion"/>
  <pageMargins left="0.75" right="0.75" top="1" bottom="1" header="0.5" footer="0.5"/>
  <pageSetup scale="58" firstPageNumber="2" fitToHeight="0" orientation="portrait" horizontalDpi="300" verticalDpi="300" r:id="rId1"/>
  <headerFooter alignWithMargins="0">
    <oddFooter>&amp;LCDE, Public Scool Finance Unit&amp;C&amp;P&amp;RRevised March, 2009</oddFooter>
  </headerFooter>
  <rowBreaks count="1" manualBreakCount="1">
    <brk id="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73"/>
  <sheetViews>
    <sheetView zoomScaleNormal="100" workbookViewId="0">
      <selection activeCell="I4" sqref="I4"/>
    </sheetView>
  </sheetViews>
  <sheetFormatPr defaultRowHeight="10.5" x14ac:dyDescent="0.15"/>
  <cols>
    <col min="1" max="1" width="4.83203125" style="423" customWidth="1"/>
    <col min="2" max="2" width="21.83203125" style="423" customWidth="1"/>
    <col min="3" max="3" width="58" style="423" bestFit="1" customWidth="1"/>
    <col min="4" max="4" width="15.83203125" style="423" customWidth="1"/>
    <col min="5" max="5" width="17" style="423" customWidth="1"/>
    <col min="6" max="6" width="17.33203125" style="423" customWidth="1"/>
    <col min="7" max="7" width="18.33203125" style="423" customWidth="1"/>
    <col min="8" max="9" width="20.33203125" style="423" customWidth="1"/>
    <col min="10" max="10" width="21.33203125" style="434" customWidth="1"/>
    <col min="11" max="16384" width="9.33203125" style="423"/>
  </cols>
  <sheetData>
    <row r="1" spans="1:10" x14ac:dyDescent="0.15">
      <c r="A1" s="423" t="s">
        <v>106</v>
      </c>
      <c r="C1" s="138">
        <f>+'Page 1 - FY2013-14'!B5</f>
        <v>0</v>
      </c>
      <c r="D1" s="423" t="s">
        <v>1586</v>
      </c>
      <c r="E1" s="428">
        <f>+'Page 1 - FY2013-14'!F7</f>
        <v>0</v>
      </c>
      <c r="G1" s="485" t="s">
        <v>1588</v>
      </c>
    </row>
    <row r="2" spans="1:10" ht="12.75" x14ac:dyDescent="0.2">
      <c r="A2" s="514" t="s">
        <v>109</v>
      </c>
      <c r="B2" s="515"/>
      <c r="H2" s="485"/>
      <c r="I2" s="485"/>
    </row>
    <row r="3" spans="1:10" x14ac:dyDescent="0.15">
      <c r="A3" s="515"/>
      <c r="B3" s="515"/>
      <c r="G3" s="485"/>
      <c r="H3" s="485"/>
      <c r="I3" s="485"/>
    </row>
    <row r="4" spans="1:10" ht="35.25" customHeight="1" x14ac:dyDescent="0.15">
      <c r="A4" s="515"/>
      <c r="B4" s="515"/>
      <c r="D4" s="686" t="s">
        <v>1701</v>
      </c>
      <c r="E4" s="686" t="s">
        <v>1700</v>
      </c>
      <c r="F4" s="686" t="s">
        <v>1699</v>
      </c>
      <c r="G4" s="686" t="s">
        <v>1698</v>
      </c>
      <c r="H4" s="686" t="s">
        <v>1696</v>
      </c>
      <c r="I4" s="686" t="s">
        <v>1697</v>
      </c>
    </row>
    <row r="5" spans="1:10" ht="54.75" customHeight="1" x14ac:dyDescent="0.15">
      <c r="A5" s="515"/>
      <c r="B5" s="515"/>
      <c r="D5" s="491"/>
      <c r="E5" s="491"/>
      <c r="F5" s="491"/>
      <c r="G5" s="491"/>
      <c r="H5" s="492" t="s">
        <v>193</v>
      </c>
      <c r="I5" s="492" t="s">
        <v>192</v>
      </c>
    </row>
    <row r="6" spans="1:10" x14ac:dyDescent="0.15">
      <c r="A6" s="515"/>
      <c r="B6" s="515"/>
      <c r="G6" s="485"/>
      <c r="H6" s="485"/>
      <c r="I6" s="485"/>
    </row>
    <row r="7" spans="1:10" x14ac:dyDescent="0.15">
      <c r="A7" s="515"/>
      <c r="B7" s="515"/>
      <c r="G7" s="485"/>
      <c r="H7" s="485"/>
      <c r="I7" s="485"/>
    </row>
    <row r="8" spans="1:10" x14ac:dyDescent="0.15">
      <c r="A8" s="507" t="s">
        <v>117</v>
      </c>
      <c r="D8" s="516"/>
      <c r="E8" s="516"/>
      <c r="F8" s="517"/>
      <c r="G8" s="516"/>
    </row>
    <row r="9" spans="1:10" s="518" customFormat="1" x14ac:dyDescent="0.15">
      <c r="B9" s="519" t="s">
        <v>739</v>
      </c>
      <c r="E9" s="146"/>
      <c r="F9" s="146"/>
      <c r="G9" s="145"/>
      <c r="I9" s="530"/>
      <c r="J9" s="520"/>
    </row>
    <row r="10" spans="1:10" x14ac:dyDescent="0.15">
      <c r="A10" s="512" t="s">
        <v>69</v>
      </c>
      <c r="I10" s="167"/>
    </row>
    <row r="11" spans="1:10" s="434" customFormat="1" x14ac:dyDescent="0.15">
      <c r="B11" s="523" t="s">
        <v>1577</v>
      </c>
      <c r="C11" s="524" t="s">
        <v>228</v>
      </c>
      <c r="D11" s="316">
        <v>0</v>
      </c>
      <c r="E11" s="316">
        <v>0</v>
      </c>
      <c r="F11" s="316">
        <v>0</v>
      </c>
      <c r="G11" s="528">
        <f t="array" ref="G11">SUM(IF(CertFund&amp;CertProg&amp;CertObj=RIGHT(LEFT($A$2,7),2)&amp;LEFT(A10,4)&amp;B11,CertSalary))</f>
        <v>0</v>
      </c>
      <c r="H11" s="527">
        <v>0</v>
      </c>
      <c r="I11" s="566">
        <f>SUM(G11+H11)</f>
        <v>0</v>
      </c>
    </row>
    <row r="12" spans="1:10" s="434" customFormat="1" x14ac:dyDescent="0.15">
      <c r="B12" s="523" t="s">
        <v>1577</v>
      </c>
      <c r="C12" s="524" t="s">
        <v>510</v>
      </c>
      <c r="D12" s="316">
        <v>0</v>
      </c>
      <c r="E12" s="316">
        <v>0</v>
      </c>
      <c r="F12" s="316">
        <v>0</v>
      </c>
      <c r="G12" s="316">
        <v>0</v>
      </c>
      <c r="H12" s="527">
        <v>0</v>
      </c>
      <c r="I12" s="566">
        <f>SUM(G12+H12)</f>
        <v>0</v>
      </c>
    </row>
    <row r="13" spans="1:10" s="434" customFormat="1" x14ac:dyDescent="0.15">
      <c r="A13" s="524"/>
      <c r="B13" s="523" t="s">
        <v>1578</v>
      </c>
      <c r="C13" s="524" t="s">
        <v>936</v>
      </c>
      <c r="D13" s="316">
        <v>0</v>
      </c>
      <c r="E13" s="316">
        <v>0</v>
      </c>
      <c r="F13" s="316">
        <v>0</v>
      </c>
      <c r="G13" s="529">
        <f t="array" ref="G13">SUM(IF(CertFund&amp;CertProg&amp;CertObj=RIGHT(LEFT($A$2,7),2)&amp;LEFT(A10,4)&amp;B11,CertBen))</f>
        <v>0</v>
      </c>
      <c r="H13" s="527">
        <v>0</v>
      </c>
      <c r="I13" s="566">
        <f t="shared" ref="I13:I44" si="0">SUM(G13+H13)</f>
        <v>0</v>
      </c>
    </row>
    <row r="14" spans="1:10" x14ac:dyDescent="0.15">
      <c r="A14" s="138"/>
      <c r="B14" s="521" t="s">
        <v>1578</v>
      </c>
      <c r="C14" s="138" t="s">
        <v>511</v>
      </c>
      <c r="D14" s="147">
        <v>0</v>
      </c>
      <c r="E14" s="147">
        <v>0</v>
      </c>
      <c r="F14" s="147">
        <v>0</v>
      </c>
      <c r="G14" s="147">
        <v>0</v>
      </c>
      <c r="H14" s="150">
        <v>0</v>
      </c>
      <c r="I14" s="567">
        <f>SUM(G14+H14)</f>
        <v>0</v>
      </c>
    </row>
    <row r="15" spans="1:10" x14ac:dyDescent="0.15">
      <c r="A15" s="138"/>
      <c r="B15" s="521" t="s">
        <v>1579</v>
      </c>
      <c r="C15" s="138" t="s">
        <v>118</v>
      </c>
      <c r="D15" s="147">
        <v>0</v>
      </c>
      <c r="E15" s="147">
        <v>0</v>
      </c>
      <c r="F15" s="147">
        <v>0</v>
      </c>
      <c r="G15" s="147">
        <v>0</v>
      </c>
      <c r="H15" s="150">
        <v>0</v>
      </c>
      <c r="I15" s="567">
        <f t="shared" si="0"/>
        <v>0</v>
      </c>
    </row>
    <row r="16" spans="1:10" x14ac:dyDescent="0.15">
      <c r="A16" s="138"/>
      <c r="B16" s="521" t="s">
        <v>1580</v>
      </c>
      <c r="C16" s="138" t="s">
        <v>119</v>
      </c>
      <c r="D16" s="147">
        <v>0</v>
      </c>
      <c r="E16" s="147">
        <v>0</v>
      </c>
      <c r="F16" s="147">
        <v>0</v>
      </c>
      <c r="G16" s="147">
        <v>0</v>
      </c>
      <c r="H16" s="150">
        <v>0</v>
      </c>
      <c r="I16" s="567">
        <f t="shared" si="0"/>
        <v>0</v>
      </c>
    </row>
    <row r="17" spans="1:9" x14ac:dyDescent="0.15">
      <c r="A17" s="138"/>
      <c r="B17" s="521" t="s">
        <v>120</v>
      </c>
      <c r="C17" s="138" t="s">
        <v>121</v>
      </c>
      <c r="D17" s="147">
        <v>0</v>
      </c>
      <c r="E17" s="147">
        <v>0</v>
      </c>
      <c r="F17" s="147">
        <v>0</v>
      </c>
      <c r="G17" s="147">
        <v>0</v>
      </c>
      <c r="H17" s="150">
        <v>0</v>
      </c>
      <c r="I17" s="567">
        <f t="shared" si="0"/>
        <v>0</v>
      </c>
    </row>
    <row r="18" spans="1:9" x14ac:dyDescent="0.15">
      <c r="A18" s="138"/>
      <c r="B18" s="521" t="s">
        <v>122</v>
      </c>
      <c r="C18" s="138" t="s">
        <v>123</v>
      </c>
      <c r="D18" s="147">
        <v>0</v>
      </c>
      <c r="E18" s="147">
        <v>0</v>
      </c>
      <c r="F18" s="147">
        <v>0</v>
      </c>
      <c r="G18" s="147">
        <v>0</v>
      </c>
      <c r="H18" s="150">
        <v>0</v>
      </c>
      <c r="I18" s="567">
        <f t="shared" si="0"/>
        <v>0</v>
      </c>
    </row>
    <row r="19" spans="1:9" x14ac:dyDescent="0.15">
      <c r="A19" s="138"/>
      <c r="B19" s="521" t="s">
        <v>1581</v>
      </c>
      <c r="C19" s="138" t="s">
        <v>124</v>
      </c>
      <c r="D19" s="147">
        <v>0</v>
      </c>
      <c r="E19" s="147">
        <v>0</v>
      </c>
      <c r="F19" s="147">
        <v>0</v>
      </c>
      <c r="G19" s="147">
        <v>0</v>
      </c>
      <c r="H19" s="150">
        <v>0</v>
      </c>
      <c r="I19" s="567">
        <f t="shared" si="0"/>
        <v>0</v>
      </c>
    </row>
    <row r="20" spans="1:9" x14ac:dyDescent="0.15">
      <c r="A20" s="138"/>
      <c r="B20" s="521" t="s">
        <v>127</v>
      </c>
      <c r="C20" s="138" t="s">
        <v>134</v>
      </c>
      <c r="D20" s="147">
        <v>0</v>
      </c>
      <c r="E20" s="147">
        <v>0</v>
      </c>
      <c r="F20" s="147">
        <v>0</v>
      </c>
      <c r="G20" s="147">
        <v>0</v>
      </c>
      <c r="H20" s="150">
        <v>0</v>
      </c>
      <c r="I20" s="567">
        <f t="shared" si="0"/>
        <v>0</v>
      </c>
    </row>
    <row r="21" spans="1:9" x14ac:dyDescent="0.15">
      <c r="A21" s="138"/>
      <c r="B21" s="521" t="s">
        <v>132</v>
      </c>
      <c r="C21" s="138" t="s">
        <v>1617</v>
      </c>
      <c r="D21" s="147">
        <v>0</v>
      </c>
      <c r="E21" s="147">
        <v>0</v>
      </c>
      <c r="F21" s="147">
        <v>0</v>
      </c>
      <c r="G21" s="147">
        <v>0</v>
      </c>
      <c r="H21" s="150">
        <v>0</v>
      </c>
      <c r="I21" s="567">
        <f t="shared" si="0"/>
        <v>0</v>
      </c>
    </row>
    <row r="22" spans="1:9" x14ac:dyDescent="0.15">
      <c r="A22" s="138"/>
      <c r="B22" s="521" t="s">
        <v>1618</v>
      </c>
      <c r="C22" s="138" t="s">
        <v>836</v>
      </c>
      <c r="D22" s="147">
        <v>0</v>
      </c>
      <c r="E22" s="147">
        <v>0</v>
      </c>
      <c r="F22" s="147">
        <v>0</v>
      </c>
      <c r="G22" s="147">
        <v>0</v>
      </c>
      <c r="H22" s="150">
        <v>0</v>
      </c>
      <c r="I22" s="567">
        <f t="shared" si="0"/>
        <v>0</v>
      </c>
    </row>
    <row r="23" spans="1:9" x14ac:dyDescent="0.15">
      <c r="A23" s="138"/>
      <c r="B23" s="521" t="s">
        <v>1619</v>
      </c>
      <c r="C23" s="138" t="s">
        <v>185</v>
      </c>
      <c r="D23" s="147">
        <v>0</v>
      </c>
      <c r="E23" s="147">
        <v>0</v>
      </c>
      <c r="F23" s="147">
        <v>0</v>
      </c>
      <c r="G23" s="147">
        <v>0</v>
      </c>
      <c r="H23" s="150">
        <v>0</v>
      </c>
      <c r="I23" s="567">
        <f t="shared" si="0"/>
        <v>0</v>
      </c>
    </row>
    <row r="24" spans="1:9" x14ac:dyDescent="0.15">
      <c r="A24" s="138"/>
      <c r="B24" s="521" t="s">
        <v>1620</v>
      </c>
      <c r="C24" s="138" t="s">
        <v>838</v>
      </c>
      <c r="D24" s="147">
        <v>0</v>
      </c>
      <c r="E24" s="147">
        <v>0</v>
      </c>
      <c r="F24" s="147">
        <v>0</v>
      </c>
      <c r="G24" s="147">
        <v>0</v>
      </c>
      <c r="H24" s="150">
        <v>0</v>
      </c>
      <c r="I24" s="567">
        <f t="shared" si="0"/>
        <v>0</v>
      </c>
    </row>
    <row r="25" spans="1:9" x14ac:dyDescent="0.15">
      <c r="A25" s="138"/>
      <c r="B25" s="521" t="s">
        <v>1621</v>
      </c>
      <c r="C25" s="138" t="s">
        <v>839</v>
      </c>
      <c r="D25" s="147">
        <v>0</v>
      </c>
      <c r="E25" s="147">
        <v>0</v>
      </c>
      <c r="F25" s="147">
        <v>0</v>
      </c>
      <c r="G25" s="147">
        <v>0</v>
      </c>
      <c r="H25" s="150">
        <v>0</v>
      </c>
      <c r="I25" s="567">
        <f t="shared" si="0"/>
        <v>0</v>
      </c>
    </row>
    <row r="26" spans="1:9" x14ac:dyDescent="0.15">
      <c r="A26" s="138"/>
      <c r="B26" s="521" t="s">
        <v>1622</v>
      </c>
      <c r="C26" s="138" t="s">
        <v>190</v>
      </c>
      <c r="D26" s="147">
        <v>0</v>
      </c>
      <c r="E26" s="147">
        <v>0</v>
      </c>
      <c r="F26" s="147">
        <v>0</v>
      </c>
      <c r="G26" s="147">
        <v>0</v>
      </c>
      <c r="H26" s="150">
        <v>0</v>
      </c>
      <c r="I26" s="567">
        <f t="shared" si="0"/>
        <v>0</v>
      </c>
    </row>
    <row r="27" spans="1:9" x14ac:dyDescent="0.15">
      <c r="A27" s="138"/>
      <c r="B27" s="521" t="s">
        <v>1623</v>
      </c>
      <c r="C27" s="138" t="s">
        <v>191</v>
      </c>
      <c r="D27" s="147">
        <v>0</v>
      </c>
      <c r="E27" s="147">
        <v>0</v>
      </c>
      <c r="F27" s="147">
        <v>0</v>
      </c>
      <c r="G27" s="147">
        <v>0</v>
      </c>
      <c r="H27" s="150">
        <v>0</v>
      </c>
      <c r="I27" s="567">
        <f t="shared" si="0"/>
        <v>0</v>
      </c>
    </row>
    <row r="28" spans="1:9" x14ac:dyDescent="0.15">
      <c r="A28" s="138"/>
      <c r="B28" s="521" t="s">
        <v>1624</v>
      </c>
      <c r="C28" s="138" t="s">
        <v>840</v>
      </c>
      <c r="D28" s="147">
        <v>0</v>
      </c>
      <c r="E28" s="147">
        <v>0</v>
      </c>
      <c r="F28" s="147">
        <v>0</v>
      </c>
      <c r="G28" s="147">
        <v>0</v>
      </c>
      <c r="H28" s="150">
        <v>0</v>
      </c>
      <c r="I28" s="567">
        <f t="shared" si="0"/>
        <v>0</v>
      </c>
    </row>
    <row r="29" spans="1:9" x14ac:dyDescent="0.15">
      <c r="A29" s="138"/>
      <c r="B29" s="521" t="s">
        <v>1625</v>
      </c>
      <c r="C29" s="138" t="s">
        <v>842</v>
      </c>
      <c r="D29" s="147">
        <v>0</v>
      </c>
      <c r="E29" s="147">
        <v>0</v>
      </c>
      <c r="F29" s="147">
        <v>0</v>
      </c>
      <c r="G29" s="147">
        <v>0</v>
      </c>
      <c r="H29" s="150">
        <v>0</v>
      </c>
      <c r="I29" s="567">
        <f t="shared" si="0"/>
        <v>0</v>
      </c>
    </row>
    <row r="30" spans="1:9" x14ac:dyDescent="0.15">
      <c r="A30" s="138"/>
      <c r="B30" s="521" t="s">
        <v>843</v>
      </c>
      <c r="C30" s="138" t="s">
        <v>848</v>
      </c>
      <c r="D30" s="147">
        <v>0</v>
      </c>
      <c r="E30" s="147">
        <v>0</v>
      </c>
      <c r="F30" s="147">
        <v>0</v>
      </c>
      <c r="G30" s="147">
        <v>0</v>
      </c>
      <c r="H30" s="150">
        <v>0</v>
      </c>
      <c r="I30" s="567">
        <f t="shared" si="0"/>
        <v>0</v>
      </c>
    </row>
    <row r="31" spans="1:9" x14ac:dyDescent="0.15">
      <c r="A31" s="138"/>
      <c r="B31" s="521" t="s">
        <v>844</v>
      </c>
      <c r="C31" s="138" t="s">
        <v>186</v>
      </c>
      <c r="D31" s="147">
        <v>0</v>
      </c>
      <c r="E31" s="147">
        <v>0</v>
      </c>
      <c r="F31" s="147">
        <v>0</v>
      </c>
      <c r="G31" s="147">
        <v>0</v>
      </c>
      <c r="H31" s="150">
        <v>0</v>
      </c>
      <c r="I31" s="567">
        <f t="shared" si="0"/>
        <v>0</v>
      </c>
    </row>
    <row r="32" spans="1:9" x14ac:dyDescent="0.15">
      <c r="A32" s="138"/>
      <c r="B32" s="521" t="s">
        <v>845</v>
      </c>
      <c r="C32" s="138" t="s">
        <v>154</v>
      </c>
      <c r="D32" s="147">
        <v>0</v>
      </c>
      <c r="E32" s="147">
        <v>0</v>
      </c>
      <c r="F32" s="147">
        <v>0</v>
      </c>
      <c r="G32" s="147">
        <v>0</v>
      </c>
      <c r="H32" s="150">
        <v>0</v>
      </c>
      <c r="I32" s="567">
        <f t="shared" si="0"/>
        <v>0</v>
      </c>
    </row>
    <row r="33" spans="1:9" x14ac:dyDescent="0.15">
      <c r="A33" s="138"/>
      <c r="B33" s="521" t="s">
        <v>846</v>
      </c>
      <c r="C33" s="138" t="s">
        <v>155</v>
      </c>
      <c r="D33" s="147">
        <v>0</v>
      </c>
      <c r="E33" s="147">
        <v>0</v>
      </c>
      <c r="F33" s="147">
        <v>0</v>
      </c>
      <c r="G33" s="147">
        <v>0</v>
      </c>
      <c r="H33" s="150">
        <v>0</v>
      </c>
      <c r="I33" s="567">
        <f t="shared" si="0"/>
        <v>0</v>
      </c>
    </row>
    <row r="34" spans="1:9" x14ac:dyDescent="0.15">
      <c r="A34" s="138"/>
      <c r="B34" s="521" t="s">
        <v>1582</v>
      </c>
      <c r="C34" s="138" t="s">
        <v>156</v>
      </c>
      <c r="D34" s="147">
        <v>0</v>
      </c>
      <c r="E34" s="147">
        <v>0</v>
      </c>
      <c r="F34" s="147">
        <v>0</v>
      </c>
      <c r="G34" s="147">
        <v>0</v>
      </c>
      <c r="H34" s="150">
        <v>0</v>
      </c>
      <c r="I34" s="567">
        <f t="shared" si="0"/>
        <v>0</v>
      </c>
    </row>
    <row r="35" spans="1:9" x14ac:dyDescent="0.15">
      <c r="A35" s="138"/>
      <c r="B35" s="521" t="s">
        <v>847</v>
      </c>
      <c r="C35" s="138" t="s">
        <v>157</v>
      </c>
      <c r="D35" s="147">
        <v>0</v>
      </c>
      <c r="E35" s="147">
        <v>0</v>
      </c>
      <c r="F35" s="147">
        <v>0</v>
      </c>
      <c r="G35" s="147">
        <v>0</v>
      </c>
      <c r="H35" s="150">
        <v>0</v>
      </c>
      <c r="I35" s="567">
        <f t="shared" si="0"/>
        <v>0</v>
      </c>
    </row>
    <row r="36" spans="1:9" x14ac:dyDescent="0.15">
      <c r="A36" s="138"/>
      <c r="B36" s="521" t="s">
        <v>1583</v>
      </c>
      <c r="C36" s="138" t="s">
        <v>160</v>
      </c>
      <c r="D36" s="147">
        <v>0</v>
      </c>
      <c r="E36" s="147">
        <v>0</v>
      </c>
      <c r="F36" s="147">
        <v>0</v>
      </c>
      <c r="G36" s="147">
        <v>0</v>
      </c>
      <c r="H36" s="150">
        <v>0</v>
      </c>
      <c r="I36" s="567">
        <f t="shared" si="0"/>
        <v>0</v>
      </c>
    </row>
    <row r="37" spans="1:9" x14ac:dyDescent="0.15">
      <c r="A37" s="138"/>
      <c r="B37" s="521" t="s">
        <v>634</v>
      </c>
      <c r="C37" s="138" t="s">
        <v>165</v>
      </c>
      <c r="D37" s="147">
        <v>0</v>
      </c>
      <c r="E37" s="147">
        <v>0</v>
      </c>
      <c r="F37" s="147">
        <v>0</v>
      </c>
      <c r="G37" s="147">
        <v>0</v>
      </c>
      <c r="H37" s="150">
        <v>0</v>
      </c>
      <c r="I37" s="567">
        <f t="shared" si="0"/>
        <v>0</v>
      </c>
    </row>
    <row r="38" spans="1:9" x14ac:dyDescent="0.15">
      <c r="A38" s="138"/>
      <c r="B38" s="521" t="s">
        <v>630</v>
      </c>
      <c r="C38" s="138" t="s">
        <v>172</v>
      </c>
      <c r="D38" s="147">
        <v>0</v>
      </c>
      <c r="E38" s="147">
        <v>0</v>
      </c>
      <c r="F38" s="147">
        <v>0</v>
      </c>
      <c r="G38" s="147">
        <v>0</v>
      </c>
      <c r="H38" s="150">
        <v>0</v>
      </c>
      <c r="I38" s="567">
        <f t="shared" si="0"/>
        <v>0</v>
      </c>
    </row>
    <row r="39" spans="1:9" x14ac:dyDescent="0.15">
      <c r="A39" s="138"/>
      <c r="B39" s="650" t="s">
        <v>631</v>
      </c>
      <c r="C39" s="651" t="s">
        <v>173</v>
      </c>
      <c r="D39" s="147">
        <v>0</v>
      </c>
      <c r="E39" s="147">
        <v>0</v>
      </c>
      <c r="F39" s="147">
        <v>0</v>
      </c>
      <c r="G39" s="147">
        <v>0</v>
      </c>
      <c r="H39" s="150">
        <v>0</v>
      </c>
      <c r="I39" s="567">
        <f t="shared" si="0"/>
        <v>0</v>
      </c>
    </row>
    <row r="40" spans="1:9" x14ac:dyDescent="0.15">
      <c r="A40" s="138"/>
      <c r="B40" s="521" t="s">
        <v>1584</v>
      </c>
      <c r="C40" s="138" t="s">
        <v>178</v>
      </c>
      <c r="D40" s="147">
        <v>0</v>
      </c>
      <c r="E40" s="147">
        <v>0</v>
      </c>
      <c r="F40" s="147">
        <v>0</v>
      </c>
      <c r="G40" s="147">
        <v>0</v>
      </c>
      <c r="H40" s="150">
        <v>0</v>
      </c>
      <c r="I40" s="567">
        <f t="shared" si="0"/>
        <v>0</v>
      </c>
    </row>
    <row r="41" spans="1:9" x14ac:dyDescent="0.15">
      <c r="A41" s="138"/>
      <c r="B41" s="521" t="s">
        <v>174</v>
      </c>
      <c r="C41" s="138" t="s">
        <v>179</v>
      </c>
      <c r="D41" s="147">
        <v>0</v>
      </c>
      <c r="E41" s="147">
        <v>0</v>
      </c>
      <c r="F41" s="147">
        <v>0</v>
      </c>
      <c r="G41" s="147">
        <v>0</v>
      </c>
      <c r="H41" s="150">
        <v>0</v>
      </c>
      <c r="I41" s="567">
        <f t="shared" si="0"/>
        <v>0</v>
      </c>
    </row>
    <row r="42" spans="1:9" x14ac:dyDescent="0.15">
      <c r="A42" s="138"/>
      <c r="B42" s="521" t="s">
        <v>175</v>
      </c>
      <c r="C42" s="138" t="s">
        <v>180</v>
      </c>
      <c r="D42" s="147">
        <v>0</v>
      </c>
      <c r="E42" s="147">
        <v>0</v>
      </c>
      <c r="F42" s="147">
        <v>0</v>
      </c>
      <c r="G42" s="147">
        <v>0</v>
      </c>
      <c r="H42" s="150">
        <v>0</v>
      </c>
      <c r="I42" s="567">
        <f t="shared" si="0"/>
        <v>0</v>
      </c>
    </row>
    <row r="43" spans="1:9" ht="11.25" thickBot="1" x14ac:dyDescent="0.2">
      <c r="A43" s="138"/>
      <c r="B43" s="521" t="s">
        <v>176</v>
      </c>
      <c r="C43" s="138" t="s">
        <v>181</v>
      </c>
      <c r="D43" s="147">
        <v>0</v>
      </c>
      <c r="E43" s="147">
        <v>0</v>
      </c>
      <c r="F43" s="147">
        <v>0</v>
      </c>
      <c r="G43" s="291">
        <v>0</v>
      </c>
      <c r="H43" s="150">
        <v>0</v>
      </c>
      <c r="I43" s="567">
        <f t="shared" si="0"/>
        <v>0</v>
      </c>
    </row>
    <row r="44" spans="1:9" ht="12" thickTop="1" thickBot="1" x14ac:dyDescent="0.2">
      <c r="A44" s="138"/>
      <c r="B44" s="521"/>
      <c r="C44" s="138" t="s">
        <v>184</v>
      </c>
      <c r="D44" s="169">
        <f>SUM(D11:D43)</f>
        <v>0</v>
      </c>
      <c r="E44" s="169">
        <f>SUM(E11:E43)</f>
        <v>0</v>
      </c>
      <c r="F44" s="169">
        <f>SUM(F11:F43)</f>
        <v>0</v>
      </c>
      <c r="G44" s="169">
        <f>SUM(G11:G43)</f>
        <v>0</v>
      </c>
      <c r="H44" s="169">
        <f>SUM(H11:H43)</f>
        <v>0</v>
      </c>
      <c r="I44" s="169">
        <f t="shared" si="0"/>
        <v>0</v>
      </c>
    </row>
    <row r="45" spans="1:9" ht="11.25" thickTop="1" x14ac:dyDescent="0.15">
      <c r="A45" s="138"/>
      <c r="B45" s="521"/>
      <c r="C45" s="138"/>
      <c r="D45" s="14"/>
      <c r="E45" s="14"/>
      <c r="F45" s="14"/>
      <c r="G45" s="14"/>
      <c r="H45" s="14"/>
      <c r="I45" s="563"/>
    </row>
    <row r="46" spans="1:9" x14ac:dyDescent="0.15">
      <c r="A46" s="512" t="s">
        <v>71</v>
      </c>
      <c r="B46" s="138"/>
      <c r="C46" s="138"/>
      <c r="D46" s="14"/>
      <c r="E46" s="14"/>
      <c r="F46" s="14"/>
      <c r="G46" s="14"/>
      <c r="H46" s="14"/>
      <c r="I46" s="563"/>
    </row>
    <row r="47" spans="1:9" x14ac:dyDescent="0.15">
      <c r="A47" s="434"/>
      <c r="B47" s="523" t="s">
        <v>1577</v>
      </c>
      <c r="C47" s="524" t="s">
        <v>228</v>
      </c>
      <c r="D47" s="316">
        <v>0</v>
      </c>
      <c r="E47" s="316">
        <v>0</v>
      </c>
      <c r="F47" s="316">
        <v>0</v>
      </c>
      <c r="G47" s="528">
        <f t="array" ref="G47">SUM(IF(CertFund&amp;CertProg&amp;CertObj=RIGHT(LEFT($A$2,7),2)&amp;LEFT(A46,4)&amp;B47,CertSalary))</f>
        <v>0</v>
      </c>
      <c r="H47" s="527">
        <v>0</v>
      </c>
      <c r="I47" s="566">
        <f>SUM(G47+H47)</f>
        <v>0</v>
      </c>
    </row>
    <row r="48" spans="1:9" x14ac:dyDescent="0.15">
      <c r="A48" s="434"/>
      <c r="B48" s="523" t="s">
        <v>1577</v>
      </c>
      <c r="C48" s="524" t="s">
        <v>510</v>
      </c>
      <c r="D48" s="316">
        <v>0</v>
      </c>
      <c r="E48" s="316">
        <v>0</v>
      </c>
      <c r="F48" s="316">
        <v>0</v>
      </c>
      <c r="G48" s="316">
        <v>0</v>
      </c>
      <c r="H48" s="527">
        <v>0</v>
      </c>
      <c r="I48" s="566">
        <f>SUM(G48+H48)</f>
        <v>0</v>
      </c>
    </row>
    <row r="49" spans="1:9" x14ac:dyDescent="0.15">
      <c r="A49" s="524"/>
      <c r="B49" s="523" t="s">
        <v>1578</v>
      </c>
      <c r="C49" s="524" t="s">
        <v>936</v>
      </c>
      <c r="D49" s="316">
        <v>0</v>
      </c>
      <c r="E49" s="316">
        <v>0</v>
      </c>
      <c r="F49" s="316">
        <v>0</v>
      </c>
      <c r="G49" s="529">
        <f t="array" ref="G49">SUM(IF(CertFund&amp;CertProg&amp;CertObj=RIGHT(LEFT($A$2,7),2)&amp;LEFT(A46,4)&amp;B47,CertBen))</f>
        <v>0</v>
      </c>
      <c r="H49" s="527">
        <v>0</v>
      </c>
      <c r="I49" s="566">
        <f>SUM(G49+H49)</f>
        <v>0</v>
      </c>
    </row>
    <row r="50" spans="1:9" x14ac:dyDescent="0.15">
      <c r="A50" s="138"/>
      <c r="B50" s="521" t="s">
        <v>1578</v>
      </c>
      <c r="C50" s="138" t="s">
        <v>511</v>
      </c>
      <c r="D50" s="147">
        <v>0</v>
      </c>
      <c r="E50" s="147">
        <v>0</v>
      </c>
      <c r="F50" s="147">
        <v>0</v>
      </c>
      <c r="G50" s="147">
        <v>0</v>
      </c>
      <c r="H50" s="150">
        <v>0</v>
      </c>
      <c r="I50" s="567">
        <f>SUM(G50+H50)</f>
        <v>0</v>
      </c>
    </row>
    <row r="51" spans="1:9" x14ac:dyDescent="0.15">
      <c r="A51" s="138"/>
      <c r="B51" s="521" t="s">
        <v>1579</v>
      </c>
      <c r="C51" s="138" t="s">
        <v>118</v>
      </c>
      <c r="D51" s="144">
        <v>0</v>
      </c>
      <c r="E51" s="144">
        <v>0</v>
      </c>
      <c r="F51" s="144">
        <v>0</v>
      </c>
      <c r="G51" s="144">
        <v>0</v>
      </c>
      <c r="H51" s="150">
        <v>0</v>
      </c>
      <c r="I51" s="567">
        <f t="shared" ref="I51:I80" si="1">SUM(G51+H51)</f>
        <v>0</v>
      </c>
    </row>
    <row r="52" spans="1:9" x14ac:dyDescent="0.15">
      <c r="A52" s="138"/>
      <c r="B52" s="521" t="s">
        <v>1580</v>
      </c>
      <c r="C52" s="138" t="s">
        <v>119</v>
      </c>
      <c r="D52" s="144">
        <v>0</v>
      </c>
      <c r="E52" s="144">
        <v>0</v>
      </c>
      <c r="F52" s="144">
        <v>0</v>
      </c>
      <c r="G52" s="144">
        <v>0</v>
      </c>
      <c r="H52" s="150">
        <v>0</v>
      </c>
      <c r="I52" s="567">
        <f t="shared" si="1"/>
        <v>0</v>
      </c>
    </row>
    <row r="53" spans="1:9" x14ac:dyDescent="0.15">
      <c r="A53" s="138"/>
      <c r="B53" s="521" t="s">
        <v>120</v>
      </c>
      <c r="C53" s="138" t="s">
        <v>121</v>
      </c>
      <c r="D53" s="144">
        <v>0</v>
      </c>
      <c r="E53" s="144">
        <v>0</v>
      </c>
      <c r="F53" s="144">
        <v>0</v>
      </c>
      <c r="G53" s="144">
        <v>0</v>
      </c>
      <c r="H53" s="150">
        <v>0</v>
      </c>
      <c r="I53" s="567">
        <f t="shared" si="1"/>
        <v>0</v>
      </c>
    </row>
    <row r="54" spans="1:9" x14ac:dyDescent="0.15">
      <c r="A54" s="138"/>
      <c r="B54" s="521" t="s">
        <v>122</v>
      </c>
      <c r="C54" s="138" t="s">
        <v>123</v>
      </c>
      <c r="D54" s="144">
        <v>0</v>
      </c>
      <c r="E54" s="144">
        <v>0</v>
      </c>
      <c r="F54" s="144">
        <v>0</v>
      </c>
      <c r="G54" s="144">
        <v>0</v>
      </c>
      <c r="H54" s="150">
        <v>0</v>
      </c>
      <c r="I54" s="567">
        <f t="shared" si="1"/>
        <v>0</v>
      </c>
    </row>
    <row r="55" spans="1:9" x14ac:dyDescent="0.15">
      <c r="A55" s="138"/>
      <c r="B55" s="521" t="s">
        <v>1581</v>
      </c>
      <c r="C55" s="138" t="s">
        <v>124</v>
      </c>
      <c r="D55" s="144">
        <v>0</v>
      </c>
      <c r="E55" s="144">
        <v>0</v>
      </c>
      <c r="F55" s="144">
        <v>0</v>
      </c>
      <c r="G55" s="144">
        <v>0</v>
      </c>
      <c r="H55" s="150">
        <v>0</v>
      </c>
      <c r="I55" s="567">
        <f t="shared" si="1"/>
        <v>0</v>
      </c>
    </row>
    <row r="56" spans="1:9" x14ac:dyDescent="0.15">
      <c r="A56" s="138"/>
      <c r="B56" s="521" t="s">
        <v>127</v>
      </c>
      <c r="C56" s="138" t="s">
        <v>134</v>
      </c>
      <c r="D56" s="144">
        <v>0</v>
      </c>
      <c r="E56" s="144">
        <v>0</v>
      </c>
      <c r="F56" s="144">
        <v>0</v>
      </c>
      <c r="G56" s="144">
        <v>0</v>
      </c>
      <c r="H56" s="150">
        <v>0</v>
      </c>
      <c r="I56" s="567">
        <f t="shared" si="1"/>
        <v>0</v>
      </c>
    </row>
    <row r="57" spans="1:9" x14ac:dyDescent="0.15">
      <c r="A57" s="138"/>
      <c r="B57" s="521" t="s">
        <v>132</v>
      </c>
      <c r="C57" s="138" t="s">
        <v>1617</v>
      </c>
      <c r="D57" s="144">
        <v>0</v>
      </c>
      <c r="E57" s="144">
        <v>0</v>
      </c>
      <c r="F57" s="144">
        <v>0</v>
      </c>
      <c r="G57" s="144">
        <v>0</v>
      </c>
      <c r="H57" s="150">
        <v>0</v>
      </c>
      <c r="I57" s="567">
        <f t="shared" si="1"/>
        <v>0</v>
      </c>
    </row>
    <row r="58" spans="1:9" x14ac:dyDescent="0.15">
      <c r="A58" s="138"/>
      <c r="B58" s="521" t="s">
        <v>1618</v>
      </c>
      <c r="C58" s="138" t="s">
        <v>836</v>
      </c>
      <c r="D58" s="144">
        <v>0</v>
      </c>
      <c r="E58" s="144">
        <v>0</v>
      </c>
      <c r="F58" s="144">
        <v>0</v>
      </c>
      <c r="G58" s="144">
        <v>0</v>
      </c>
      <c r="H58" s="150">
        <v>0</v>
      </c>
      <c r="I58" s="567">
        <f t="shared" si="1"/>
        <v>0</v>
      </c>
    </row>
    <row r="59" spans="1:9" x14ac:dyDescent="0.15">
      <c r="A59" s="138"/>
      <c r="B59" s="521" t="s">
        <v>1619</v>
      </c>
      <c r="C59" s="138" t="s">
        <v>185</v>
      </c>
      <c r="D59" s="144">
        <v>0</v>
      </c>
      <c r="E59" s="144">
        <v>0</v>
      </c>
      <c r="F59" s="144">
        <v>0</v>
      </c>
      <c r="G59" s="144">
        <v>0</v>
      </c>
      <c r="H59" s="150">
        <v>0</v>
      </c>
      <c r="I59" s="567">
        <f t="shared" si="1"/>
        <v>0</v>
      </c>
    </row>
    <row r="60" spans="1:9" x14ac:dyDescent="0.15">
      <c r="A60" s="138"/>
      <c r="B60" s="521" t="s">
        <v>1620</v>
      </c>
      <c r="C60" s="138" t="s">
        <v>838</v>
      </c>
      <c r="D60" s="144">
        <v>0</v>
      </c>
      <c r="E60" s="144">
        <v>0</v>
      </c>
      <c r="F60" s="144">
        <v>0</v>
      </c>
      <c r="G60" s="144">
        <v>0</v>
      </c>
      <c r="H60" s="150">
        <v>0</v>
      </c>
      <c r="I60" s="567">
        <f t="shared" si="1"/>
        <v>0</v>
      </c>
    </row>
    <row r="61" spans="1:9" x14ac:dyDescent="0.15">
      <c r="A61" s="138"/>
      <c r="B61" s="521" t="s">
        <v>1621</v>
      </c>
      <c r="C61" s="138" t="s">
        <v>839</v>
      </c>
      <c r="D61" s="144">
        <v>0</v>
      </c>
      <c r="E61" s="144">
        <v>0</v>
      </c>
      <c r="F61" s="144">
        <v>0</v>
      </c>
      <c r="G61" s="144">
        <v>0</v>
      </c>
      <c r="H61" s="150">
        <v>0</v>
      </c>
      <c r="I61" s="567">
        <f t="shared" si="1"/>
        <v>0</v>
      </c>
    </row>
    <row r="62" spans="1:9" x14ac:dyDescent="0.15">
      <c r="A62" s="138"/>
      <c r="B62" s="521" t="s">
        <v>1622</v>
      </c>
      <c r="C62" s="138" t="s">
        <v>190</v>
      </c>
      <c r="D62" s="144">
        <v>0</v>
      </c>
      <c r="E62" s="144">
        <v>0</v>
      </c>
      <c r="F62" s="144">
        <v>0</v>
      </c>
      <c r="G62" s="144">
        <v>0</v>
      </c>
      <c r="H62" s="150">
        <v>0</v>
      </c>
      <c r="I62" s="567">
        <f t="shared" si="1"/>
        <v>0</v>
      </c>
    </row>
    <row r="63" spans="1:9" x14ac:dyDescent="0.15">
      <c r="A63" s="138"/>
      <c r="B63" s="521" t="s">
        <v>1623</v>
      </c>
      <c r="C63" s="138" t="s">
        <v>191</v>
      </c>
      <c r="D63" s="144">
        <v>0</v>
      </c>
      <c r="E63" s="144">
        <v>0</v>
      </c>
      <c r="F63" s="144">
        <v>0</v>
      </c>
      <c r="G63" s="144">
        <v>0</v>
      </c>
      <c r="H63" s="150">
        <v>0</v>
      </c>
      <c r="I63" s="567">
        <f t="shared" si="1"/>
        <v>0</v>
      </c>
    </row>
    <row r="64" spans="1:9" x14ac:dyDescent="0.15">
      <c r="A64" s="138"/>
      <c r="B64" s="521" t="s">
        <v>1624</v>
      </c>
      <c r="C64" s="138" t="s">
        <v>840</v>
      </c>
      <c r="D64" s="144">
        <v>0</v>
      </c>
      <c r="E64" s="144">
        <v>0</v>
      </c>
      <c r="F64" s="144">
        <v>0</v>
      </c>
      <c r="G64" s="144">
        <v>0</v>
      </c>
      <c r="H64" s="150">
        <v>0</v>
      </c>
      <c r="I64" s="567">
        <f t="shared" si="1"/>
        <v>0</v>
      </c>
    </row>
    <row r="65" spans="1:9" x14ac:dyDescent="0.15">
      <c r="A65" s="138"/>
      <c r="B65" s="521" t="s">
        <v>1625</v>
      </c>
      <c r="C65" s="138" t="s">
        <v>842</v>
      </c>
      <c r="D65" s="144">
        <v>0</v>
      </c>
      <c r="E65" s="144">
        <v>0</v>
      </c>
      <c r="F65" s="144">
        <v>0</v>
      </c>
      <c r="G65" s="144">
        <v>0</v>
      </c>
      <c r="H65" s="150">
        <v>0</v>
      </c>
      <c r="I65" s="567">
        <f t="shared" si="1"/>
        <v>0</v>
      </c>
    </row>
    <row r="66" spans="1:9" x14ac:dyDescent="0.15">
      <c r="A66" s="138"/>
      <c r="B66" s="521" t="s">
        <v>843</v>
      </c>
      <c r="C66" s="138" t="s">
        <v>848</v>
      </c>
      <c r="D66" s="144">
        <v>0</v>
      </c>
      <c r="E66" s="144">
        <v>0</v>
      </c>
      <c r="F66" s="144">
        <v>0</v>
      </c>
      <c r="G66" s="144">
        <v>0</v>
      </c>
      <c r="H66" s="150">
        <v>0</v>
      </c>
      <c r="I66" s="567">
        <f t="shared" si="1"/>
        <v>0</v>
      </c>
    </row>
    <row r="67" spans="1:9" x14ac:dyDescent="0.15">
      <c r="A67" s="138"/>
      <c r="B67" s="521" t="s">
        <v>844</v>
      </c>
      <c r="C67" s="138" t="s">
        <v>186</v>
      </c>
      <c r="D67" s="144">
        <v>0</v>
      </c>
      <c r="E67" s="144">
        <v>0</v>
      </c>
      <c r="F67" s="144">
        <v>0</v>
      </c>
      <c r="G67" s="144">
        <v>0</v>
      </c>
      <c r="H67" s="150">
        <v>0</v>
      </c>
      <c r="I67" s="567">
        <f t="shared" si="1"/>
        <v>0</v>
      </c>
    </row>
    <row r="68" spans="1:9" x14ac:dyDescent="0.15">
      <c r="A68" s="138"/>
      <c r="B68" s="521" t="s">
        <v>845</v>
      </c>
      <c r="C68" s="138" t="s">
        <v>154</v>
      </c>
      <c r="D68" s="144">
        <v>0</v>
      </c>
      <c r="E68" s="144">
        <v>0</v>
      </c>
      <c r="F68" s="144">
        <v>0</v>
      </c>
      <c r="G68" s="144">
        <v>0</v>
      </c>
      <c r="H68" s="150">
        <v>0</v>
      </c>
      <c r="I68" s="567">
        <f t="shared" si="1"/>
        <v>0</v>
      </c>
    </row>
    <row r="69" spans="1:9" x14ac:dyDescent="0.15">
      <c r="A69" s="138"/>
      <c r="B69" s="521" t="s">
        <v>846</v>
      </c>
      <c r="C69" s="138" t="s">
        <v>155</v>
      </c>
      <c r="D69" s="144">
        <v>0</v>
      </c>
      <c r="E69" s="144">
        <v>0</v>
      </c>
      <c r="F69" s="144">
        <v>0</v>
      </c>
      <c r="G69" s="144">
        <v>0</v>
      </c>
      <c r="H69" s="150">
        <v>0</v>
      </c>
      <c r="I69" s="567">
        <f t="shared" si="1"/>
        <v>0</v>
      </c>
    </row>
    <row r="70" spans="1:9" x14ac:dyDescent="0.15">
      <c r="A70" s="138"/>
      <c r="B70" s="521" t="s">
        <v>1582</v>
      </c>
      <c r="C70" s="138" t="s">
        <v>156</v>
      </c>
      <c r="D70" s="144">
        <v>0</v>
      </c>
      <c r="E70" s="144">
        <v>0</v>
      </c>
      <c r="F70" s="144">
        <v>0</v>
      </c>
      <c r="G70" s="144">
        <v>0</v>
      </c>
      <c r="H70" s="150">
        <v>0</v>
      </c>
      <c r="I70" s="567">
        <f t="shared" si="1"/>
        <v>0</v>
      </c>
    </row>
    <row r="71" spans="1:9" x14ac:dyDescent="0.15">
      <c r="A71" s="138"/>
      <c r="B71" s="521" t="s">
        <v>847</v>
      </c>
      <c r="C71" s="138" t="s">
        <v>157</v>
      </c>
      <c r="D71" s="144">
        <v>0</v>
      </c>
      <c r="E71" s="144">
        <v>0</v>
      </c>
      <c r="F71" s="144">
        <v>0</v>
      </c>
      <c r="G71" s="144">
        <v>0</v>
      </c>
      <c r="H71" s="150">
        <v>0</v>
      </c>
      <c r="I71" s="567">
        <f t="shared" si="1"/>
        <v>0</v>
      </c>
    </row>
    <row r="72" spans="1:9" x14ac:dyDescent="0.15">
      <c r="A72" s="138"/>
      <c r="B72" s="521" t="s">
        <v>1583</v>
      </c>
      <c r="C72" s="138" t="s">
        <v>160</v>
      </c>
      <c r="D72" s="144">
        <v>0</v>
      </c>
      <c r="E72" s="144">
        <v>0</v>
      </c>
      <c r="F72" s="144">
        <v>0</v>
      </c>
      <c r="G72" s="144">
        <v>0</v>
      </c>
      <c r="H72" s="150">
        <v>0</v>
      </c>
      <c r="I72" s="567">
        <f t="shared" si="1"/>
        <v>0</v>
      </c>
    </row>
    <row r="73" spans="1:9" x14ac:dyDescent="0.15">
      <c r="A73" s="138"/>
      <c r="B73" s="521" t="s">
        <v>634</v>
      </c>
      <c r="C73" s="138" t="s">
        <v>165</v>
      </c>
      <c r="D73" s="144">
        <v>0</v>
      </c>
      <c r="E73" s="144">
        <v>0</v>
      </c>
      <c r="F73" s="144">
        <v>0</v>
      </c>
      <c r="G73" s="144">
        <v>0</v>
      </c>
      <c r="H73" s="150">
        <v>0</v>
      </c>
      <c r="I73" s="567">
        <f t="shared" si="1"/>
        <v>0</v>
      </c>
    </row>
    <row r="74" spans="1:9" x14ac:dyDescent="0.15">
      <c r="A74" s="138"/>
      <c r="B74" s="521" t="s">
        <v>630</v>
      </c>
      <c r="C74" s="138" t="s">
        <v>172</v>
      </c>
      <c r="D74" s="144">
        <v>0</v>
      </c>
      <c r="E74" s="144">
        <v>0</v>
      </c>
      <c r="F74" s="144">
        <v>0</v>
      </c>
      <c r="G74" s="144">
        <v>0</v>
      </c>
      <c r="H74" s="150">
        <v>0</v>
      </c>
      <c r="I74" s="567">
        <f t="shared" si="1"/>
        <v>0</v>
      </c>
    </row>
    <row r="75" spans="1:9" x14ac:dyDescent="0.15">
      <c r="A75" s="138"/>
      <c r="B75" s="650" t="s">
        <v>631</v>
      </c>
      <c r="C75" s="651" t="s">
        <v>173</v>
      </c>
      <c r="D75" s="144">
        <v>0</v>
      </c>
      <c r="E75" s="144">
        <v>0</v>
      </c>
      <c r="F75" s="144">
        <v>0</v>
      </c>
      <c r="G75" s="144">
        <v>0</v>
      </c>
      <c r="H75" s="150">
        <v>0</v>
      </c>
      <c r="I75" s="567">
        <f t="shared" si="1"/>
        <v>0</v>
      </c>
    </row>
    <row r="76" spans="1:9" x14ac:dyDescent="0.15">
      <c r="A76" s="138"/>
      <c r="B76" s="521" t="s">
        <v>1584</v>
      </c>
      <c r="C76" s="138" t="s">
        <v>178</v>
      </c>
      <c r="D76" s="144">
        <v>0</v>
      </c>
      <c r="E76" s="144">
        <v>0</v>
      </c>
      <c r="F76" s="144">
        <v>0</v>
      </c>
      <c r="G76" s="144">
        <v>0</v>
      </c>
      <c r="H76" s="150">
        <v>0</v>
      </c>
      <c r="I76" s="567">
        <f t="shared" si="1"/>
        <v>0</v>
      </c>
    </row>
    <row r="77" spans="1:9" x14ac:dyDescent="0.15">
      <c r="A77" s="138"/>
      <c r="B77" s="521" t="s">
        <v>174</v>
      </c>
      <c r="C77" s="138" t="s">
        <v>179</v>
      </c>
      <c r="D77" s="144">
        <v>0</v>
      </c>
      <c r="E77" s="144">
        <v>0</v>
      </c>
      <c r="F77" s="144">
        <v>0</v>
      </c>
      <c r="G77" s="144">
        <v>0</v>
      </c>
      <c r="H77" s="150">
        <v>0</v>
      </c>
      <c r="I77" s="567">
        <f t="shared" si="1"/>
        <v>0</v>
      </c>
    </row>
    <row r="78" spans="1:9" x14ac:dyDescent="0.15">
      <c r="A78" s="138"/>
      <c r="B78" s="521" t="s">
        <v>175</v>
      </c>
      <c r="C78" s="138" t="s">
        <v>180</v>
      </c>
      <c r="D78" s="144">
        <v>0</v>
      </c>
      <c r="E78" s="144">
        <v>0</v>
      </c>
      <c r="F78" s="144">
        <v>0</v>
      </c>
      <c r="G78" s="144">
        <v>0</v>
      </c>
      <c r="H78" s="150">
        <v>0</v>
      </c>
      <c r="I78" s="567">
        <f t="shared" si="1"/>
        <v>0</v>
      </c>
    </row>
    <row r="79" spans="1:9" ht="11.25" thickBot="1" x14ac:dyDescent="0.2">
      <c r="A79" s="138"/>
      <c r="B79" s="521" t="s">
        <v>176</v>
      </c>
      <c r="C79" s="138" t="s">
        <v>181</v>
      </c>
      <c r="D79" s="144">
        <v>0</v>
      </c>
      <c r="E79" s="144">
        <v>0</v>
      </c>
      <c r="F79" s="144">
        <v>0</v>
      </c>
      <c r="G79" s="291">
        <v>0</v>
      </c>
      <c r="H79" s="150">
        <v>0</v>
      </c>
      <c r="I79" s="567">
        <f t="shared" si="1"/>
        <v>0</v>
      </c>
    </row>
    <row r="80" spans="1:9" ht="12" thickTop="1" thickBot="1" x14ac:dyDescent="0.2">
      <c r="A80" s="138"/>
      <c r="B80" s="521"/>
      <c r="C80" s="138" t="s">
        <v>72</v>
      </c>
      <c r="D80" s="169">
        <f>SUM(D47:D79)</f>
        <v>0</v>
      </c>
      <c r="E80" s="169">
        <f>SUM(E47:E79)</f>
        <v>0</v>
      </c>
      <c r="F80" s="169">
        <f>SUM(F47:F79)</f>
        <v>0</v>
      </c>
      <c r="G80" s="169">
        <f>SUM(G47:G79)</f>
        <v>0</v>
      </c>
      <c r="H80" s="169">
        <f>SUM(H47:H79)</f>
        <v>0</v>
      </c>
      <c r="I80" s="169">
        <f t="shared" si="1"/>
        <v>0</v>
      </c>
    </row>
    <row r="81" spans="1:9" ht="11.25" thickTop="1" x14ac:dyDescent="0.15">
      <c r="A81" s="138"/>
      <c r="B81" s="138"/>
      <c r="C81" s="138"/>
      <c r="D81" s="14"/>
      <c r="E81" s="14"/>
      <c r="F81" s="14"/>
      <c r="G81" s="14"/>
      <c r="H81" s="14"/>
      <c r="I81" s="563"/>
    </row>
    <row r="82" spans="1:9" x14ac:dyDescent="0.15">
      <c r="A82" s="512" t="s">
        <v>70</v>
      </c>
      <c r="B82" s="512"/>
      <c r="C82" s="512"/>
      <c r="D82" s="14"/>
      <c r="E82" s="14"/>
      <c r="F82" s="14"/>
      <c r="G82" s="14"/>
      <c r="H82" s="14"/>
      <c r="I82" s="563"/>
    </row>
    <row r="83" spans="1:9" x14ac:dyDescent="0.15">
      <c r="A83" s="434"/>
      <c r="B83" s="523" t="s">
        <v>1577</v>
      </c>
      <c r="C83" s="524" t="s">
        <v>228</v>
      </c>
      <c r="D83" s="316">
        <v>0</v>
      </c>
      <c r="E83" s="316">
        <v>0</v>
      </c>
      <c r="F83" s="316">
        <v>0</v>
      </c>
      <c r="G83" s="528">
        <f t="array" ref="G83">SUM(IF(CertFund&amp;CertProg&amp;CertObj=RIGHT(LEFT($A$2,7),2)&amp;LEFT(A82,4)&amp;B83,CertSalary))</f>
        <v>0</v>
      </c>
      <c r="H83" s="527">
        <v>0</v>
      </c>
      <c r="I83" s="566">
        <f>SUM(G83+H83)</f>
        <v>0</v>
      </c>
    </row>
    <row r="84" spans="1:9" x14ac:dyDescent="0.15">
      <c r="A84" s="434"/>
      <c r="B84" s="523" t="s">
        <v>1577</v>
      </c>
      <c r="C84" s="524" t="s">
        <v>510</v>
      </c>
      <c r="D84" s="316">
        <v>0</v>
      </c>
      <c r="E84" s="316">
        <v>0</v>
      </c>
      <c r="F84" s="316">
        <v>0</v>
      </c>
      <c r="G84" s="316">
        <v>0</v>
      </c>
      <c r="H84" s="527">
        <v>0</v>
      </c>
      <c r="I84" s="566">
        <f>SUM(G84+H84)</f>
        <v>0</v>
      </c>
    </row>
    <row r="85" spans="1:9" x14ac:dyDescent="0.15">
      <c r="A85" s="524"/>
      <c r="B85" s="523" t="s">
        <v>1578</v>
      </c>
      <c r="C85" s="524" t="s">
        <v>936</v>
      </c>
      <c r="D85" s="316">
        <v>0</v>
      </c>
      <c r="E85" s="316">
        <v>0</v>
      </c>
      <c r="F85" s="316">
        <v>0</v>
      </c>
      <c r="G85" s="529">
        <f t="array" ref="G85">SUM(IF(CertFund&amp;CertProg&amp;CertObj=RIGHT(LEFT($A$2,7),2)&amp;LEFT(A82,4)&amp;B83,CertBen))</f>
        <v>0</v>
      </c>
      <c r="H85" s="527">
        <v>0</v>
      </c>
      <c r="I85" s="566">
        <f>SUM(G85+H85)</f>
        <v>0</v>
      </c>
    </row>
    <row r="86" spans="1:9" x14ac:dyDescent="0.15">
      <c r="A86" s="138"/>
      <c r="B86" s="521" t="s">
        <v>1578</v>
      </c>
      <c r="C86" s="138" t="s">
        <v>511</v>
      </c>
      <c r="D86" s="147">
        <v>0</v>
      </c>
      <c r="E86" s="147">
        <v>0</v>
      </c>
      <c r="F86" s="147">
        <v>0</v>
      </c>
      <c r="G86" s="147">
        <v>0</v>
      </c>
      <c r="H86" s="150">
        <v>0</v>
      </c>
      <c r="I86" s="567">
        <f>SUM(G86+H86)</f>
        <v>0</v>
      </c>
    </row>
    <row r="87" spans="1:9" x14ac:dyDescent="0.15">
      <c r="A87" s="138"/>
      <c r="B87" s="521" t="s">
        <v>1579</v>
      </c>
      <c r="C87" s="138" t="s">
        <v>118</v>
      </c>
      <c r="D87" s="144">
        <v>0</v>
      </c>
      <c r="E87" s="144">
        <v>0</v>
      </c>
      <c r="F87" s="144">
        <v>0</v>
      </c>
      <c r="G87" s="144">
        <v>0</v>
      </c>
      <c r="H87" s="150">
        <v>0</v>
      </c>
      <c r="I87" s="567">
        <f t="shared" ref="I87:I115" si="2">SUM(G87+H87)</f>
        <v>0</v>
      </c>
    </row>
    <row r="88" spans="1:9" x14ac:dyDescent="0.15">
      <c r="A88" s="138"/>
      <c r="B88" s="521" t="s">
        <v>1580</v>
      </c>
      <c r="C88" s="138" t="s">
        <v>119</v>
      </c>
      <c r="D88" s="144">
        <v>0</v>
      </c>
      <c r="E88" s="144">
        <v>0</v>
      </c>
      <c r="F88" s="144">
        <v>0</v>
      </c>
      <c r="G88" s="144">
        <v>0</v>
      </c>
      <c r="H88" s="150">
        <v>0</v>
      </c>
      <c r="I88" s="567">
        <f t="shared" si="2"/>
        <v>0</v>
      </c>
    </row>
    <row r="89" spans="1:9" x14ac:dyDescent="0.15">
      <c r="A89" s="138"/>
      <c r="B89" s="521" t="s">
        <v>120</v>
      </c>
      <c r="C89" s="138" t="s">
        <v>121</v>
      </c>
      <c r="D89" s="144">
        <v>0</v>
      </c>
      <c r="E89" s="144">
        <v>0</v>
      </c>
      <c r="F89" s="144">
        <v>0</v>
      </c>
      <c r="G89" s="144">
        <v>0</v>
      </c>
      <c r="H89" s="150">
        <v>0</v>
      </c>
      <c r="I89" s="567">
        <f t="shared" si="2"/>
        <v>0</v>
      </c>
    </row>
    <row r="90" spans="1:9" x14ac:dyDescent="0.15">
      <c r="A90" s="138"/>
      <c r="B90" s="521" t="s">
        <v>122</v>
      </c>
      <c r="C90" s="138" t="s">
        <v>123</v>
      </c>
      <c r="D90" s="144">
        <v>0</v>
      </c>
      <c r="E90" s="144">
        <v>0</v>
      </c>
      <c r="F90" s="144">
        <v>0</v>
      </c>
      <c r="G90" s="144">
        <v>0</v>
      </c>
      <c r="H90" s="150">
        <v>0</v>
      </c>
      <c r="I90" s="567">
        <f t="shared" si="2"/>
        <v>0</v>
      </c>
    </row>
    <row r="91" spans="1:9" x14ac:dyDescent="0.15">
      <c r="A91" s="138"/>
      <c r="B91" s="521" t="s">
        <v>1581</v>
      </c>
      <c r="C91" s="138" t="s">
        <v>124</v>
      </c>
      <c r="D91" s="144">
        <v>0</v>
      </c>
      <c r="E91" s="144">
        <v>0</v>
      </c>
      <c r="F91" s="144">
        <v>0</v>
      </c>
      <c r="G91" s="144">
        <v>0</v>
      </c>
      <c r="H91" s="150">
        <v>0</v>
      </c>
      <c r="I91" s="567">
        <f t="shared" si="2"/>
        <v>0</v>
      </c>
    </row>
    <row r="92" spans="1:9" x14ac:dyDescent="0.15">
      <c r="A92" s="138"/>
      <c r="B92" s="521" t="s">
        <v>127</v>
      </c>
      <c r="C92" s="138" t="s">
        <v>134</v>
      </c>
      <c r="D92" s="144">
        <v>0</v>
      </c>
      <c r="E92" s="144">
        <v>0</v>
      </c>
      <c r="F92" s="144">
        <v>0</v>
      </c>
      <c r="G92" s="144">
        <v>0</v>
      </c>
      <c r="H92" s="150">
        <v>0</v>
      </c>
      <c r="I92" s="567">
        <f t="shared" si="2"/>
        <v>0</v>
      </c>
    </row>
    <row r="93" spans="1:9" x14ac:dyDescent="0.15">
      <c r="A93" s="138"/>
      <c r="B93" s="521" t="s">
        <v>132</v>
      </c>
      <c r="C93" s="138" t="s">
        <v>1617</v>
      </c>
      <c r="D93" s="144">
        <v>0</v>
      </c>
      <c r="E93" s="144">
        <v>0</v>
      </c>
      <c r="F93" s="144">
        <v>0</v>
      </c>
      <c r="G93" s="144">
        <v>0</v>
      </c>
      <c r="H93" s="150">
        <v>0</v>
      </c>
      <c r="I93" s="567">
        <f t="shared" si="2"/>
        <v>0</v>
      </c>
    </row>
    <row r="94" spans="1:9" x14ac:dyDescent="0.15">
      <c r="A94" s="138"/>
      <c r="B94" s="521" t="s">
        <v>1618</v>
      </c>
      <c r="C94" s="138" t="s">
        <v>836</v>
      </c>
      <c r="D94" s="144">
        <v>0</v>
      </c>
      <c r="E94" s="144">
        <v>0</v>
      </c>
      <c r="F94" s="144">
        <v>0</v>
      </c>
      <c r="G94" s="144">
        <v>0</v>
      </c>
      <c r="H94" s="150">
        <v>0</v>
      </c>
      <c r="I94" s="567">
        <f t="shared" si="2"/>
        <v>0</v>
      </c>
    </row>
    <row r="95" spans="1:9" x14ac:dyDescent="0.15">
      <c r="A95" s="138"/>
      <c r="B95" s="521" t="s">
        <v>1619</v>
      </c>
      <c r="C95" s="138" t="s">
        <v>185</v>
      </c>
      <c r="D95" s="144">
        <v>0</v>
      </c>
      <c r="E95" s="144">
        <v>0</v>
      </c>
      <c r="F95" s="144">
        <v>0</v>
      </c>
      <c r="G95" s="144">
        <v>0</v>
      </c>
      <c r="H95" s="150">
        <v>0</v>
      </c>
      <c r="I95" s="567">
        <f t="shared" si="2"/>
        <v>0</v>
      </c>
    </row>
    <row r="96" spans="1:9" x14ac:dyDescent="0.15">
      <c r="A96" s="138"/>
      <c r="B96" s="521" t="s">
        <v>1620</v>
      </c>
      <c r="C96" s="138" t="s">
        <v>838</v>
      </c>
      <c r="D96" s="144">
        <v>0</v>
      </c>
      <c r="E96" s="144">
        <v>0</v>
      </c>
      <c r="F96" s="144">
        <v>0</v>
      </c>
      <c r="G96" s="144">
        <v>0</v>
      </c>
      <c r="H96" s="150">
        <v>0</v>
      </c>
      <c r="I96" s="567">
        <f t="shared" si="2"/>
        <v>0</v>
      </c>
    </row>
    <row r="97" spans="1:9" x14ac:dyDescent="0.15">
      <c r="A97" s="138"/>
      <c r="B97" s="521" t="s">
        <v>1621</v>
      </c>
      <c r="C97" s="138" t="s">
        <v>839</v>
      </c>
      <c r="D97" s="144">
        <v>0</v>
      </c>
      <c r="E97" s="144">
        <v>0</v>
      </c>
      <c r="F97" s="144">
        <v>0</v>
      </c>
      <c r="G97" s="144">
        <v>0</v>
      </c>
      <c r="H97" s="150">
        <v>0</v>
      </c>
      <c r="I97" s="567">
        <f t="shared" si="2"/>
        <v>0</v>
      </c>
    </row>
    <row r="98" spans="1:9" x14ac:dyDescent="0.15">
      <c r="A98" s="138"/>
      <c r="B98" s="521" t="s">
        <v>1622</v>
      </c>
      <c r="C98" s="138" t="s">
        <v>190</v>
      </c>
      <c r="D98" s="144">
        <v>0</v>
      </c>
      <c r="E98" s="144">
        <v>0</v>
      </c>
      <c r="F98" s="144">
        <v>0</v>
      </c>
      <c r="G98" s="144">
        <v>0</v>
      </c>
      <c r="H98" s="150">
        <v>0</v>
      </c>
      <c r="I98" s="567">
        <f t="shared" si="2"/>
        <v>0</v>
      </c>
    </row>
    <row r="99" spans="1:9" x14ac:dyDescent="0.15">
      <c r="A99" s="138"/>
      <c r="B99" s="521" t="s">
        <v>1623</v>
      </c>
      <c r="C99" s="138" t="s">
        <v>191</v>
      </c>
      <c r="D99" s="144">
        <v>0</v>
      </c>
      <c r="E99" s="144">
        <v>0</v>
      </c>
      <c r="F99" s="144">
        <v>0</v>
      </c>
      <c r="G99" s="144">
        <v>0</v>
      </c>
      <c r="H99" s="150">
        <v>0</v>
      </c>
      <c r="I99" s="567">
        <f t="shared" si="2"/>
        <v>0</v>
      </c>
    </row>
    <row r="100" spans="1:9" x14ac:dyDescent="0.15">
      <c r="A100" s="138"/>
      <c r="B100" s="521" t="s">
        <v>1624</v>
      </c>
      <c r="C100" s="138" t="s">
        <v>840</v>
      </c>
      <c r="D100" s="144">
        <v>0</v>
      </c>
      <c r="E100" s="144">
        <v>0</v>
      </c>
      <c r="F100" s="144">
        <v>0</v>
      </c>
      <c r="G100" s="144">
        <v>0</v>
      </c>
      <c r="H100" s="150">
        <v>0</v>
      </c>
      <c r="I100" s="567">
        <f t="shared" si="2"/>
        <v>0</v>
      </c>
    </row>
    <row r="101" spans="1:9" x14ac:dyDescent="0.15">
      <c r="A101" s="138"/>
      <c r="B101" s="521" t="s">
        <v>1625</v>
      </c>
      <c r="C101" s="138" t="s">
        <v>842</v>
      </c>
      <c r="D101" s="144">
        <v>0</v>
      </c>
      <c r="E101" s="144">
        <v>0</v>
      </c>
      <c r="F101" s="144">
        <v>0</v>
      </c>
      <c r="G101" s="144">
        <v>0</v>
      </c>
      <c r="H101" s="150">
        <v>0</v>
      </c>
      <c r="I101" s="567">
        <f t="shared" si="2"/>
        <v>0</v>
      </c>
    </row>
    <row r="102" spans="1:9" x14ac:dyDescent="0.15">
      <c r="A102" s="138"/>
      <c r="B102" s="521" t="s">
        <v>843</v>
      </c>
      <c r="C102" s="138" t="s">
        <v>848</v>
      </c>
      <c r="D102" s="144">
        <v>0</v>
      </c>
      <c r="E102" s="144">
        <v>0</v>
      </c>
      <c r="F102" s="144">
        <v>0</v>
      </c>
      <c r="G102" s="144">
        <v>0</v>
      </c>
      <c r="H102" s="150">
        <v>0</v>
      </c>
      <c r="I102" s="567">
        <f t="shared" si="2"/>
        <v>0</v>
      </c>
    </row>
    <row r="103" spans="1:9" x14ac:dyDescent="0.15">
      <c r="A103" s="138"/>
      <c r="B103" s="521" t="s">
        <v>844</v>
      </c>
      <c r="C103" s="138" t="s">
        <v>186</v>
      </c>
      <c r="D103" s="144">
        <v>0</v>
      </c>
      <c r="E103" s="144">
        <v>0</v>
      </c>
      <c r="F103" s="144">
        <v>0</v>
      </c>
      <c r="G103" s="144">
        <v>0</v>
      </c>
      <c r="H103" s="150">
        <v>0</v>
      </c>
      <c r="I103" s="567">
        <f t="shared" si="2"/>
        <v>0</v>
      </c>
    </row>
    <row r="104" spans="1:9" x14ac:dyDescent="0.15">
      <c r="A104" s="138"/>
      <c r="B104" s="521" t="s">
        <v>845</v>
      </c>
      <c r="C104" s="138" t="s">
        <v>154</v>
      </c>
      <c r="D104" s="144">
        <v>0</v>
      </c>
      <c r="E104" s="144">
        <v>0</v>
      </c>
      <c r="F104" s="144">
        <v>0</v>
      </c>
      <c r="G104" s="144">
        <v>0</v>
      </c>
      <c r="H104" s="150">
        <v>0</v>
      </c>
      <c r="I104" s="567">
        <f t="shared" si="2"/>
        <v>0</v>
      </c>
    </row>
    <row r="105" spans="1:9" x14ac:dyDescent="0.15">
      <c r="A105" s="138"/>
      <c r="B105" s="521" t="s">
        <v>846</v>
      </c>
      <c r="C105" s="138" t="s">
        <v>155</v>
      </c>
      <c r="D105" s="144">
        <v>0</v>
      </c>
      <c r="E105" s="144">
        <v>0</v>
      </c>
      <c r="F105" s="144">
        <v>0</v>
      </c>
      <c r="G105" s="144">
        <v>0</v>
      </c>
      <c r="H105" s="150">
        <v>0</v>
      </c>
      <c r="I105" s="567">
        <f t="shared" si="2"/>
        <v>0</v>
      </c>
    </row>
    <row r="106" spans="1:9" x14ac:dyDescent="0.15">
      <c r="A106" s="138"/>
      <c r="B106" s="521" t="s">
        <v>1582</v>
      </c>
      <c r="C106" s="138" t="s">
        <v>156</v>
      </c>
      <c r="D106" s="144">
        <v>0</v>
      </c>
      <c r="E106" s="144">
        <v>0</v>
      </c>
      <c r="F106" s="144">
        <v>0</v>
      </c>
      <c r="G106" s="144">
        <v>0</v>
      </c>
      <c r="H106" s="150">
        <v>0</v>
      </c>
      <c r="I106" s="567">
        <f t="shared" si="2"/>
        <v>0</v>
      </c>
    </row>
    <row r="107" spans="1:9" x14ac:dyDescent="0.15">
      <c r="A107" s="138"/>
      <c r="B107" s="521" t="s">
        <v>847</v>
      </c>
      <c r="C107" s="138" t="s">
        <v>157</v>
      </c>
      <c r="D107" s="144">
        <v>0</v>
      </c>
      <c r="E107" s="144">
        <v>0</v>
      </c>
      <c r="F107" s="144">
        <v>0</v>
      </c>
      <c r="G107" s="144">
        <v>0</v>
      </c>
      <c r="H107" s="150">
        <v>0</v>
      </c>
      <c r="I107" s="567">
        <f t="shared" si="2"/>
        <v>0</v>
      </c>
    </row>
    <row r="108" spans="1:9" x14ac:dyDescent="0.15">
      <c r="A108" s="138"/>
      <c r="B108" s="521" t="s">
        <v>1583</v>
      </c>
      <c r="C108" s="138" t="s">
        <v>160</v>
      </c>
      <c r="D108" s="144">
        <v>0</v>
      </c>
      <c r="E108" s="144">
        <v>0</v>
      </c>
      <c r="F108" s="144">
        <v>0</v>
      </c>
      <c r="G108" s="144">
        <v>0</v>
      </c>
      <c r="H108" s="150">
        <v>0</v>
      </c>
      <c r="I108" s="567">
        <f t="shared" si="2"/>
        <v>0</v>
      </c>
    </row>
    <row r="109" spans="1:9" x14ac:dyDescent="0.15">
      <c r="A109" s="138"/>
      <c r="B109" s="521" t="s">
        <v>634</v>
      </c>
      <c r="C109" s="138" t="s">
        <v>165</v>
      </c>
      <c r="D109" s="144">
        <v>0</v>
      </c>
      <c r="E109" s="144">
        <v>0</v>
      </c>
      <c r="F109" s="144">
        <v>0</v>
      </c>
      <c r="G109" s="144">
        <v>0</v>
      </c>
      <c r="H109" s="150">
        <v>0</v>
      </c>
      <c r="I109" s="567">
        <f t="shared" si="2"/>
        <v>0</v>
      </c>
    </row>
    <row r="110" spans="1:9" x14ac:dyDescent="0.15">
      <c r="A110" s="138"/>
      <c r="B110" s="521" t="s">
        <v>630</v>
      </c>
      <c r="C110" s="138" t="s">
        <v>172</v>
      </c>
      <c r="D110" s="144">
        <v>0</v>
      </c>
      <c r="E110" s="144">
        <v>0</v>
      </c>
      <c r="F110" s="144">
        <v>0</v>
      </c>
      <c r="G110" s="144">
        <v>0</v>
      </c>
      <c r="H110" s="150">
        <v>0</v>
      </c>
      <c r="I110" s="567">
        <f t="shared" si="2"/>
        <v>0</v>
      </c>
    </row>
    <row r="111" spans="1:9" x14ac:dyDescent="0.15">
      <c r="A111" s="138"/>
      <c r="B111" s="650" t="s">
        <v>631</v>
      </c>
      <c r="C111" s="651" t="s">
        <v>173</v>
      </c>
      <c r="D111" s="144">
        <v>0</v>
      </c>
      <c r="E111" s="144">
        <v>0</v>
      </c>
      <c r="F111" s="144">
        <v>0</v>
      </c>
      <c r="G111" s="144">
        <v>0</v>
      </c>
      <c r="H111" s="150">
        <v>0</v>
      </c>
      <c r="I111" s="567">
        <f t="shared" si="2"/>
        <v>0</v>
      </c>
    </row>
    <row r="112" spans="1:9" x14ac:dyDescent="0.15">
      <c r="A112" s="138"/>
      <c r="B112" s="521" t="s">
        <v>1584</v>
      </c>
      <c r="C112" s="138" t="s">
        <v>178</v>
      </c>
      <c r="D112" s="144">
        <v>0</v>
      </c>
      <c r="E112" s="144">
        <v>0</v>
      </c>
      <c r="F112" s="144">
        <v>0</v>
      </c>
      <c r="G112" s="144">
        <v>0</v>
      </c>
      <c r="H112" s="150">
        <v>0</v>
      </c>
      <c r="I112" s="567">
        <f t="shared" si="2"/>
        <v>0</v>
      </c>
    </row>
    <row r="113" spans="1:9" x14ac:dyDescent="0.15">
      <c r="A113" s="138"/>
      <c r="B113" s="521" t="s">
        <v>174</v>
      </c>
      <c r="C113" s="138" t="s">
        <v>179</v>
      </c>
      <c r="D113" s="144">
        <v>0</v>
      </c>
      <c r="E113" s="144">
        <v>0</v>
      </c>
      <c r="F113" s="144">
        <v>0</v>
      </c>
      <c r="G113" s="144">
        <v>0</v>
      </c>
      <c r="H113" s="150">
        <v>0</v>
      </c>
      <c r="I113" s="567">
        <f t="shared" si="2"/>
        <v>0</v>
      </c>
    </row>
    <row r="114" spans="1:9" x14ac:dyDescent="0.15">
      <c r="A114" s="138"/>
      <c r="B114" s="521" t="s">
        <v>175</v>
      </c>
      <c r="C114" s="138" t="s">
        <v>180</v>
      </c>
      <c r="D114" s="144">
        <v>0</v>
      </c>
      <c r="E114" s="144">
        <v>0</v>
      </c>
      <c r="F114" s="144">
        <v>0</v>
      </c>
      <c r="G114" s="144">
        <v>0</v>
      </c>
      <c r="H114" s="150">
        <v>0</v>
      </c>
      <c r="I114" s="567">
        <f t="shared" si="2"/>
        <v>0</v>
      </c>
    </row>
    <row r="115" spans="1:9" ht="11.25" thickBot="1" x14ac:dyDescent="0.2">
      <c r="A115" s="138"/>
      <c r="B115" s="521" t="s">
        <v>176</v>
      </c>
      <c r="C115" s="138" t="s">
        <v>181</v>
      </c>
      <c r="D115" s="144">
        <v>0</v>
      </c>
      <c r="E115" s="144">
        <v>0</v>
      </c>
      <c r="F115" s="144">
        <v>0</v>
      </c>
      <c r="G115" s="144">
        <v>0</v>
      </c>
      <c r="H115" s="150">
        <v>0</v>
      </c>
      <c r="I115" s="567">
        <f t="shared" si="2"/>
        <v>0</v>
      </c>
    </row>
    <row r="116" spans="1:9" ht="12" thickTop="1" thickBot="1" x14ac:dyDescent="0.2">
      <c r="A116" s="138"/>
      <c r="B116" s="521"/>
      <c r="C116" s="138" t="s">
        <v>67</v>
      </c>
      <c r="D116" s="169">
        <f>SUM(D83:D115)</f>
        <v>0</v>
      </c>
      <c r="E116" s="169">
        <f>SUM(E83:E115)</f>
        <v>0</v>
      </c>
      <c r="F116" s="169">
        <f>SUM(F83:F115)</f>
        <v>0</v>
      </c>
      <c r="G116" s="169">
        <f>SUM(G83:G115)</f>
        <v>0</v>
      </c>
      <c r="H116" s="169">
        <f>SUM(H83:H115)</f>
        <v>0</v>
      </c>
      <c r="I116" s="169">
        <f>SUM(G116+H116)</f>
        <v>0</v>
      </c>
    </row>
    <row r="117" spans="1:9" ht="11.25" thickTop="1" x14ac:dyDescent="0.15">
      <c r="A117" s="512"/>
      <c r="B117" s="512"/>
      <c r="C117" s="512"/>
      <c r="D117" s="14"/>
      <c r="E117" s="14"/>
      <c r="F117" s="14"/>
      <c r="G117" s="14"/>
      <c r="H117" s="14"/>
      <c r="I117" s="563"/>
    </row>
    <row r="118" spans="1:9" x14ac:dyDescent="0.15">
      <c r="A118" s="512" t="s">
        <v>68</v>
      </c>
      <c r="B118" s="512"/>
      <c r="C118" s="512"/>
      <c r="D118" s="14"/>
      <c r="E118" s="14"/>
      <c r="F118" s="14"/>
      <c r="G118" s="14"/>
      <c r="H118" s="14"/>
      <c r="I118" s="563"/>
    </row>
    <row r="119" spans="1:9" x14ac:dyDescent="0.15">
      <c r="A119" s="434"/>
      <c r="B119" s="523" t="s">
        <v>1577</v>
      </c>
      <c r="C119" s="524" t="s">
        <v>228</v>
      </c>
      <c r="D119" s="316">
        <v>0</v>
      </c>
      <c r="E119" s="316">
        <v>0</v>
      </c>
      <c r="F119" s="316">
        <v>0</v>
      </c>
      <c r="G119" s="528">
        <f t="array" ref="G119">SUM(IF(CertFund&amp;CertProg&amp;CertObj=RIGHT(LEFT($A$2,7),2)&amp;LEFT(A118,4)&amp;B119,CertSalary))</f>
        <v>0</v>
      </c>
      <c r="H119" s="527">
        <v>0</v>
      </c>
      <c r="I119" s="566">
        <f>SUM(G119+H119)</f>
        <v>0</v>
      </c>
    </row>
    <row r="120" spans="1:9" x14ac:dyDescent="0.15">
      <c r="A120" s="434"/>
      <c r="B120" s="523" t="s">
        <v>1577</v>
      </c>
      <c r="C120" s="524" t="s">
        <v>510</v>
      </c>
      <c r="D120" s="316">
        <v>0</v>
      </c>
      <c r="E120" s="316">
        <v>0</v>
      </c>
      <c r="F120" s="316">
        <v>0</v>
      </c>
      <c r="G120" s="316">
        <v>0</v>
      </c>
      <c r="H120" s="527">
        <v>0</v>
      </c>
      <c r="I120" s="566">
        <f>SUM(G120+H120)</f>
        <v>0</v>
      </c>
    </row>
    <row r="121" spans="1:9" x14ac:dyDescent="0.15">
      <c r="A121" s="524"/>
      <c r="B121" s="523" t="s">
        <v>1578</v>
      </c>
      <c r="C121" s="524" t="s">
        <v>936</v>
      </c>
      <c r="D121" s="316">
        <v>0</v>
      </c>
      <c r="E121" s="316">
        <v>0</v>
      </c>
      <c r="F121" s="316">
        <v>0</v>
      </c>
      <c r="G121" s="529">
        <f t="array" ref="G121">SUM(IF(CertFund&amp;CertProg&amp;CertObj=RIGHT(LEFT($A$2,7),2)&amp;LEFT(A118,4)&amp;B119,CertBen))</f>
        <v>0</v>
      </c>
      <c r="H121" s="527">
        <v>0</v>
      </c>
      <c r="I121" s="566">
        <f>SUM(G121+H121)</f>
        <v>0</v>
      </c>
    </row>
    <row r="122" spans="1:9" x14ac:dyDescent="0.15">
      <c r="A122" s="138"/>
      <c r="B122" s="521" t="s">
        <v>1578</v>
      </c>
      <c r="C122" s="138" t="s">
        <v>511</v>
      </c>
      <c r="D122" s="147">
        <v>0</v>
      </c>
      <c r="E122" s="147">
        <v>0</v>
      </c>
      <c r="F122" s="147">
        <v>0</v>
      </c>
      <c r="G122" s="147">
        <v>0</v>
      </c>
      <c r="H122" s="150">
        <v>0</v>
      </c>
      <c r="I122" s="567">
        <f>SUM(G122+H122)</f>
        <v>0</v>
      </c>
    </row>
    <row r="123" spans="1:9" x14ac:dyDescent="0.15">
      <c r="A123" s="138"/>
      <c r="B123" s="521" t="s">
        <v>1579</v>
      </c>
      <c r="C123" s="138" t="s">
        <v>118</v>
      </c>
      <c r="D123" s="144">
        <v>0</v>
      </c>
      <c r="E123" s="144">
        <v>0</v>
      </c>
      <c r="F123" s="144">
        <v>0</v>
      </c>
      <c r="G123" s="144">
        <v>0</v>
      </c>
      <c r="H123" s="150">
        <v>0</v>
      </c>
      <c r="I123" s="567">
        <f t="shared" ref="I123:I152" si="3">SUM(G123+H123)</f>
        <v>0</v>
      </c>
    </row>
    <row r="124" spans="1:9" x14ac:dyDescent="0.15">
      <c r="A124" s="138"/>
      <c r="B124" s="521" t="s">
        <v>1580</v>
      </c>
      <c r="C124" s="138" t="s">
        <v>119</v>
      </c>
      <c r="D124" s="144">
        <v>0</v>
      </c>
      <c r="E124" s="144">
        <v>0</v>
      </c>
      <c r="F124" s="144">
        <v>0</v>
      </c>
      <c r="G124" s="144">
        <v>0</v>
      </c>
      <c r="H124" s="150">
        <v>0</v>
      </c>
      <c r="I124" s="567">
        <f t="shared" si="3"/>
        <v>0</v>
      </c>
    </row>
    <row r="125" spans="1:9" x14ac:dyDescent="0.15">
      <c r="A125" s="138"/>
      <c r="B125" s="521" t="s">
        <v>120</v>
      </c>
      <c r="C125" s="138" t="s">
        <v>121</v>
      </c>
      <c r="D125" s="144">
        <v>0</v>
      </c>
      <c r="E125" s="144">
        <v>0</v>
      </c>
      <c r="F125" s="144">
        <v>0</v>
      </c>
      <c r="G125" s="144">
        <v>0</v>
      </c>
      <c r="H125" s="150">
        <v>0</v>
      </c>
      <c r="I125" s="567">
        <f t="shared" si="3"/>
        <v>0</v>
      </c>
    </row>
    <row r="126" spans="1:9" x14ac:dyDescent="0.15">
      <c r="A126" s="138"/>
      <c r="B126" s="521" t="s">
        <v>122</v>
      </c>
      <c r="C126" s="138" t="s">
        <v>123</v>
      </c>
      <c r="D126" s="144">
        <v>0</v>
      </c>
      <c r="E126" s="144">
        <v>0</v>
      </c>
      <c r="F126" s="144">
        <v>0</v>
      </c>
      <c r="G126" s="144">
        <v>0</v>
      </c>
      <c r="H126" s="150">
        <v>0</v>
      </c>
      <c r="I126" s="567">
        <f t="shared" si="3"/>
        <v>0</v>
      </c>
    </row>
    <row r="127" spans="1:9" x14ac:dyDescent="0.15">
      <c r="A127" s="138"/>
      <c r="B127" s="521" t="s">
        <v>1581</v>
      </c>
      <c r="C127" s="138" t="s">
        <v>124</v>
      </c>
      <c r="D127" s="144">
        <v>0</v>
      </c>
      <c r="E127" s="144">
        <v>0</v>
      </c>
      <c r="F127" s="144">
        <v>0</v>
      </c>
      <c r="G127" s="144">
        <v>0</v>
      </c>
      <c r="H127" s="150">
        <v>0</v>
      </c>
      <c r="I127" s="567">
        <f t="shared" si="3"/>
        <v>0</v>
      </c>
    </row>
    <row r="128" spans="1:9" x14ac:dyDescent="0.15">
      <c r="A128" s="138"/>
      <c r="B128" s="521" t="s">
        <v>127</v>
      </c>
      <c r="C128" s="138" t="s">
        <v>134</v>
      </c>
      <c r="D128" s="144">
        <v>0</v>
      </c>
      <c r="E128" s="144">
        <v>0</v>
      </c>
      <c r="F128" s="144">
        <v>0</v>
      </c>
      <c r="G128" s="144">
        <v>0</v>
      </c>
      <c r="H128" s="150">
        <v>0</v>
      </c>
      <c r="I128" s="567">
        <f t="shared" si="3"/>
        <v>0</v>
      </c>
    </row>
    <row r="129" spans="1:9" x14ac:dyDescent="0.15">
      <c r="A129" s="138"/>
      <c r="B129" s="521" t="s">
        <v>132</v>
      </c>
      <c r="C129" s="138" t="s">
        <v>1617</v>
      </c>
      <c r="D129" s="144">
        <v>0</v>
      </c>
      <c r="E129" s="144">
        <v>0</v>
      </c>
      <c r="F129" s="144">
        <v>0</v>
      </c>
      <c r="G129" s="144">
        <v>0</v>
      </c>
      <c r="H129" s="150">
        <v>0</v>
      </c>
      <c r="I129" s="567">
        <f t="shared" si="3"/>
        <v>0</v>
      </c>
    </row>
    <row r="130" spans="1:9" x14ac:dyDescent="0.15">
      <c r="A130" s="138"/>
      <c r="B130" s="521" t="s">
        <v>1618</v>
      </c>
      <c r="C130" s="138" t="s">
        <v>836</v>
      </c>
      <c r="D130" s="144">
        <v>0</v>
      </c>
      <c r="E130" s="144">
        <v>0</v>
      </c>
      <c r="F130" s="144">
        <v>0</v>
      </c>
      <c r="G130" s="144">
        <v>0</v>
      </c>
      <c r="H130" s="150">
        <v>0</v>
      </c>
      <c r="I130" s="567">
        <f t="shared" si="3"/>
        <v>0</v>
      </c>
    </row>
    <row r="131" spans="1:9" x14ac:dyDescent="0.15">
      <c r="A131" s="138"/>
      <c r="B131" s="521" t="s">
        <v>1619</v>
      </c>
      <c r="C131" s="138" t="s">
        <v>185</v>
      </c>
      <c r="D131" s="144">
        <v>0</v>
      </c>
      <c r="E131" s="144">
        <v>0</v>
      </c>
      <c r="F131" s="144">
        <v>0</v>
      </c>
      <c r="G131" s="144">
        <v>0</v>
      </c>
      <c r="H131" s="150">
        <v>0</v>
      </c>
      <c r="I131" s="567">
        <f t="shared" si="3"/>
        <v>0</v>
      </c>
    </row>
    <row r="132" spans="1:9" x14ac:dyDescent="0.15">
      <c r="A132" s="138"/>
      <c r="B132" s="521" t="s">
        <v>1620</v>
      </c>
      <c r="C132" s="138" t="s">
        <v>838</v>
      </c>
      <c r="D132" s="144">
        <v>0</v>
      </c>
      <c r="E132" s="144">
        <v>0</v>
      </c>
      <c r="F132" s="144">
        <v>0</v>
      </c>
      <c r="G132" s="144">
        <v>0</v>
      </c>
      <c r="H132" s="150">
        <v>0</v>
      </c>
      <c r="I132" s="567">
        <f t="shared" si="3"/>
        <v>0</v>
      </c>
    </row>
    <row r="133" spans="1:9" x14ac:dyDescent="0.15">
      <c r="A133" s="138"/>
      <c r="B133" s="521" t="s">
        <v>1621</v>
      </c>
      <c r="C133" s="138" t="s">
        <v>839</v>
      </c>
      <c r="D133" s="144">
        <v>0</v>
      </c>
      <c r="E133" s="144">
        <v>0</v>
      </c>
      <c r="F133" s="144">
        <v>0</v>
      </c>
      <c r="G133" s="144">
        <v>0</v>
      </c>
      <c r="H133" s="150">
        <v>0</v>
      </c>
      <c r="I133" s="567">
        <f t="shared" si="3"/>
        <v>0</v>
      </c>
    </row>
    <row r="134" spans="1:9" x14ac:dyDescent="0.15">
      <c r="A134" s="138"/>
      <c r="B134" s="521" t="s">
        <v>1622</v>
      </c>
      <c r="C134" s="138" t="s">
        <v>190</v>
      </c>
      <c r="D134" s="144">
        <v>0</v>
      </c>
      <c r="E134" s="144">
        <v>0</v>
      </c>
      <c r="F134" s="144">
        <v>0</v>
      </c>
      <c r="G134" s="144">
        <v>0</v>
      </c>
      <c r="H134" s="150">
        <v>0</v>
      </c>
      <c r="I134" s="567">
        <f t="shared" si="3"/>
        <v>0</v>
      </c>
    </row>
    <row r="135" spans="1:9" x14ac:dyDescent="0.15">
      <c r="A135" s="138"/>
      <c r="B135" s="521" t="s">
        <v>1623</v>
      </c>
      <c r="C135" s="138" t="s">
        <v>191</v>
      </c>
      <c r="D135" s="144">
        <v>0</v>
      </c>
      <c r="E135" s="144">
        <v>0</v>
      </c>
      <c r="F135" s="144">
        <v>0</v>
      </c>
      <c r="G135" s="144">
        <v>0</v>
      </c>
      <c r="H135" s="150">
        <v>0</v>
      </c>
      <c r="I135" s="567">
        <f t="shared" si="3"/>
        <v>0</v>
      </c>
    </row>
    <row r="136" spans="1:9" x14ac:dyDescent="0.15">
      <c r="A136" s="138"/>
      <c r="B136" s="521" t="s">
        <v>1624</v>
      </c>
      <c r="C136" s="138" t="s">
        <v>840</v>
      </c>
      <c r="D136" s="144">
        <v>0</v>
      </c>
      <c r="E136" s="144">
        <v>0</v>
      </c>
      <c r="F136" s="144">
        <v>0</v>
      </c>
      <c r="G136" s="144">
        <v>0</v>
      </c>
      <c r="H136" s="150">
        <v>0</v>
      </c>
      <c r="I136" s="567">
        <f t="shared" si="3"/>
        <v>0</v>
      </c>
    </row>
    <row r="137" spans="1:9" x14ac:dyDescent="0.15">
      <c r="A137" s="138"/>
      <c r="B137" s="521" t="s">
        <v>1625</v>
      </c>
      <c r="C137" s="138" t="s">
        <v>842</v>
      </c>
      <c r="D137" s="144">
        <v>0</v>
      </c>
      <c r="E137" s="144">
        <v>0</v>
      </c>
      <c r="F137" s="144">
        <v>0</v>
      </c>
      <c r="G137" s="144">
        <v>0</v>
      </c>
      <c r="H137" s="150">
        <v>0</v>
      </c>
      <c r="I137" s="567">
        <f t="shared" si="3"/>
        <v>0</v>
      </c>
    </row>
    <row r="138" spans="1:9" x14ac:dyDescent="0.15">
      <c r="A138" s="138"/>
      <c r="B138" s="521" t="s">
        <v>843</v>
      </c>
      <c r="C138" s="138" t="s">
        <v>848</v>
      </c>
      <c r="D138" s="144">
        <v>0</v>
      </c>
      <c r="E138" s="144">
        <v>0</v>
      </c>
      <c r="F138" s="144">
        <v>0</v>
      </c>
      <c r="G138" s="144">
        <v>0</v>
      </c>
      <c r="H138" s="150">
        <v>0</v>
      </c>
      <c r="I138" s="567">
        <f t="shared" si="3"/>
        <v>0</v>
      </c>
    </row>
    <row r="139" spans="1:9" x14ac:dyDescent="0.15">
      <c r="A139" s="138"/>
      <c r="B139" s="521" t="s">
        <v>844</v>
      </c>
      <c r="C139" s="138" t="s">
        <v>186</v>
      </c>
      <c r="D139" s="144">
        <v>0</v>
      </c>
      <c r="E139" s="144">
        <v>0</v>
      </c>
      <c r="F139" s="144">
        <v>0</v>
      </c>
      <c r="G139" s="144">
        <v>0</v>
      </c>
      <c r="H139" s="150">
        <v>0</v>
      </c>
      <c r="I139" s="567">
        <f t="shared" si="3"/>
        <v>0</v>
      </c>
    </row>
    <row r="140" spans="1:9" x14ac:dyDescent="0.15">
      <c r="A140" s="138"/>
      <c r="B140" s="521" t="s">
        <v>845</v>
      </c>
      <c r="C140" s="138" t="s">
        <v>154</v>
      </c>
      <c r="D140" s="144">
        <v>0</v>
      </c>
      <c r="E140" s="144">
        <v>0</v>
      </c>
      <c r="F140" s="144">
        <v>0</v>
      </c>
      <c r="G140" s="144">
        <v>0</v>
      </c>
      <c r="H140" s="150">
        <v>0</v>
      </c>
      <c r="I140" s="567">
        <f t="shared" si="3"/>
        <v>0</v>
      </c>
    </row>
    <row r="141" spans="1:9" x14ac:dyDescent="0.15">
      <c r="A141" s="138"/>
      <c r="B141" s="521" t="s">
        <v>846</v>
      </c>
      <c r="C141" s="138" t="s">
        <v>155</v>
      </c>
      <c r="D141" s="144">
        <v>0</v>
      </c>
      <c r="E141" s="144">
        <v>0</v>
      </c>
      <c r="F141" s="144">
        <v>0</v>
      </c>
      <c r="G141" s="144">
        <v>0</v>
      </c>
      <c r="H141" s="150">
        <v>0</v>
      </c>
      <c r="I141" s="567">
        <f t="shared" si="3"/>
        <v>0</v>
      </c>
    </row>
    <row r="142" spans="1:9" x14ac:dyDescent="0.15">
      <c r="A142" s="138"/>
      <c r="B142" s="521" t="s">
        <v>1582</v>
      </c>
      <c r="C142" s="138" t="s">
        <v>156</v>
      </c>
      <c r="D142" s="144">
        <v>0</v>
      </c>
      <c r="E142" s="144">
        <v>0</v>
      </c>
      <c r="F142" s="144">
        <v>0</v>
      </c>
      <c r="G142" s="144">
        <v>0</v>
      </c>
      <c r="H142" s="150">
        <v>0</v>
      </c>
      <c r="I142" s="567">
        <f t="shared" si="3"/>
        <v>0</v>
      </c>
    </row>
    <row r="143" spans="1:9" x14ac:dyDescent="0.15">
      <c r="A143" s="138"/>
      <c r="B143" s="521" t="s">
        <v>847</v>
      </c>
      <c r="C143" s="138" t="s">
        <v>157</v>
      </c>
      <c r="D143" s="144">
        <v>0</v>
      </c>
      <c r="E143" s="144">
        <v>0</v>
      </c>
      <c r="F143" s="144">
        <v>0</v>
      </c>
      <c r="G143" s="144">
        <v>0</v>
      </c>
      <c r="H143" s="150">
        <v>0</v>
      </c>
      <c r="I143" s="567">
        <f t="shared" si="3"/>
        <v>0</v>
      </c>
    </row>
    <row r="144" spans="1:9" x14ac:dyDescent="0.15">
      <c r="A144" s="138"/>
      <c r="B144" s="521" t="s">
        <v>1583</v>
      </c>
      <c r="C144" s="138" t="s">
        <v>160</v>
      </c>
      <c r="D144" s="144">
        <v>0</v>
      </c>
      <c r="E144" s="144">
        <v>0</v>
      </c>
      <c r="F144" s="144">
        <v>0</v>
      </c>
      <c r="G144" s="144">
        <v>0</v>
      </c>
      <c r="H144" s="150">
        <v>0</v>
      </c>
      <c r="I144" s="567">
        <f t="shared" si="3"/>
        <v>0</v>
      </c>
    </row>
    <row r="145" spans="1:9" x14ac:dyDescent="0.15">
      <c r="A145" s="138"/>
      <c r="B145" s="521" t="s">
        <v>634</v>
      </c>
      <c r="C145" s="138" t="s">
        <v>165</v>
      </c>
      <c r="D145" s="144">
        <v>0</v>
      </c>
      <c r="E145" s="144">
        <v>0</v>
      </c>
      <c r="F145" s="144">
        <v>0</v>
      </c>
      <c r="G145" s="144">
        <v>0</v>
      </c>
      <c r="H145" s="150">
        <v>0</v>
      </c>
      <c r="I145" s="567">
        <f t="shared" si="3"/>
        <v>0</v>
      </c>
    </row>
    <row r="146" spans="1:9" x14ac:dyDescent="0.15">
      <c r="A146" s="138"/>
      <c r="B146" s="521" t="s">
        <v>630</v>
      </c>
      <c r="C146" s="138" t="s">
        <v>172</v>
      </c>
      <c r="D146" s="144">
        <v>0</v>
      </c>
      <c r="E146" s="144">
        <v>0</v>
      </c>
      <c r="F146" s="144">
        <v>0</v>
      </c>
      <c r="G146" s="144">
        <v>0</v>
      </c>
      <c r="H146" s="150">
        <v>0</v>
      </c>
      <c r="I146" s="567">
        <f t="shared" si="3"/>
        <v>0</v>
      </c>
    </row>
    <row r="147" spans="1:9" x14ac:dyDescent="0.15">
      <c r="A147" s="138"/>
      <c r="B147" s="650" t="s">
        <v>631</v>
      </c>
      <c r="C147" s="651" t="s">
        <v>173</v>
      </c>
      <c r="D147" s="144">
        <v>0</v>
      </c>
      <c r="E147" s="144">
        <v>0</v>
      </c>
      <c r="F147" s="144">
        <v>0</v>
      </c>
      <c r="G147" s="144">
        <v>0</v>
      </c>
      <c r="H147" s="150">
        <v>0</v>
      </c>
      <c r="I147" s="567">
        <f t="shared" si="3"/>
        <v>0</v>
      </c>
    </row>
    <row r="148" spans="1:9" x14ac:dyDescent="0.15">
      <c r="A148" s="138"/>
      <c r="B148" s="521" t="s">
        <v>1584</v>
      </c>
      <c r="C148" s="138" t="s">
        <v>178</v>
      </c>
      <c r="D148" s="144">
        <v>0</v>
      </c>
      <c r="E148" s="144">
        <v>0</v>
      </c>
      <c r="F148" s="144">
        <v>0</v>
      </c>
      <c r="G148" s="144">
        <v>0</v>
      </c>
      <c r="H148" s="150">
        <v>0</v>
      </c>
      <c r="I148" s="567">
        <f t="shared" si="3"/>
        <v>0</v>
      </c>
    </row>
    <row r="149" spans="1:9" x14ac:dyDescent="0.15">
      <c r="A149" s="138"/>
      <c r="B149" s="521" t="s">
        <v>174</v>
      </c>
      <c r="C149" s="138" t="s">
        <v>179</v>
      </c>
      <c r="D149" s="144">
        <v>0</v>
      </c>
      <c r="E149" s="144">
        <v>0</v>
      </c>
      <c r="F149" s="144">
        <v>0</v>
      </c>
      <c r="G149" s="144">
        <v>0</v>
      </c>
      <c r="H149" s="150">
        <v>0</v>
      </c>
      <c r="I149" s="567">
        <f t="shared" si="3"/>
        <v>0</v>
      </c>
    </row>
    <row r="150" spans="1:9" x14ac:dyDescent="0.15">
      <c r="A150" s="138"/>
      <c r="B150" s="521" t="s">
        <v>175</v>
      </c>
      <c r="C150" s="138" t="s">
        <v>180</v>
      </c>
      <c r="D150" s="144">
        <v>0</v>
      </c>
      <c r="E150" s="144">
        <v>0</v>
      </c>
      <c r="F150" s="144">
        <v>0</v>
      </c>
      <c r="G150" s="144">
        <v>0</v>
      </c>
      <c r="H150" s="150">
        <v>0</v>
      </c>
      <c r="I150" s="567">
        <f t="shared" si="3"/>
        <v>0</v>
      </c>
    </row>
    <row r="151" spans="1:9" ht="11.25" thickBot="1" x14ac:dyDescent="0.2">
      <c r="A151" s="138"/>
      <c r="B151" s="521" t="s">
        <v>176</v>
      </c>
      <c r="C151" s="138" t="s">
        <v>181</v>
      </c>
      <c r="D151" s="144">
        <v>0</v>
      </c>
      <c r="E151" s="144">
        <v>0</v>
      </c>
      <c r="F151" s="144">
        <v>0</v>
      </c>
      <c r="G151" s="144">
        <v>0</v>
      </c>
      <c r="H151" s="150">
        <v>0</v>
      </c>
      <c r="I151" s="567">
        <f t="shared" si="3"/>
        <v>0</v>
      </c>
    </row>
    <row r="152" spans="1:9" ht="12" thickTop="1" thickBot="1" x14ac:dyDescent="0.2">
      <c r="A152" s="138"/>
      <c r="B152" s="521"/>
      <c r="C152" s="138" t="s">
        <v>220</v>
      </c>
      <c r="D152" s="169">
        <f>SUM(D119:D151)</f>
        <v>0</v>
      </c>
      <c r="E152" s="169">
        <f>SUM(E119:E151)</f>
        <v>0</v>
      </c>
      <c r="F152" s="169">
        <f>SUM(F119:F151)</f>
        <v>0</v>
      </c>
      <c r="G152" s="169">
        <f>SUM(G119:G151)</f>
        <v>0</v>
      </c>
      <c r="H152" s="169">
        <f>SUM(H119:H151)</f>
        <v>0</v>
      </c>
      <c r="I152" s="169">
        <f t="shared" si="3"/>
        <v>0</v>
      </c>
    </row>
    <row r="153" spans="1:9" ht="11.25" thickTop="1" x14ac:dyDescent="0.15">
      <c r="A153" s="512"/>
      <c r="B153" s="512"/>
      <c r="C153" s="512"/>
      <c r="D153" s="14"/>
      <c r="E153" s="14"/>
      <c r="F153" s="14"/>
      <c r="G153" s="14"/>
      <c r="H153" s="14"/>
      <c r="I153" s="563"/>
    </row>
    <row r="154" spans="1:9" x14ac:dyDescent="0.15">
      <c r="A154" s="512" t="s">
        <v>221</v>
      </c>
      <c r="B154" s="138"/>
      <c r="C154" s="138"/>
      <c r="D154" s="14"/>
      <c r="E154" s="14"/>
      <c r="F154" s="14"/>
      <c r="G154" s="14"/>
      <c r="H154" s="14"/>
      <c r="I154" s="563"/>
    </row>
    <row r="155" spans="1:9" x14ac:dyDescent="0.15">
      <c r="A155" s="434"/>
      <c r="B155" s="523" t="s">
        <v>1577</v>
      </c>
      <c r="C155" s="524" t="s">
        <v>228</v>
      </c>
      <c r="D155" s="316">
        <v>0</v>
      </c>
      <c r="E155" s="316">
        <v>0</v>
      </c>
      <c r="F155" s="316">
        <v>0</v>
      </c>
      <c r="G155" s="528">
        <f t="array" ref="G155">SUM(IF(CertFund&amp;CertProg&amp;CertObj=RIGHT(LEFT($A$2,7),2)&amp;LEFT(A154,4)&amp;B155,CertSalary))</f>
        <v>0</v>
      </c>
      <c r="H155" s="527">
        <v>0</v>
      </c>
      <c r="I155" s="566">
        <f>SUM(G155+H155)</f>
        <v>0</v>
      </c>
    </row>
    <row r="156" spans="1:9" x14ac:dyDescent="0.15">
      <c r="A156" s="434"/>
      <c r="B156" s="523" t="s">
        <v>1577</v>
      </c>
      <c r="C156" s="524" t="s">
        <v>510</v>
      </c>
      <c r="D156" s="316">
        <v>0</v>
      </c>
      <c r="E156" s="316">
        <v>0</v>
      </c>
      <c r="F156" s="316">
        <v>0</v>
      </c>
      <c r="G156" s="316">
        <v>0</v>
      </c>
      <c r="H156" s="527">
        <v>0</v>
      </c>
      <c r="I156" s="566">
        <f>SUM(G156+H156)</f>
        <v>0</v>
      </c>
    </row>
    <row r="157" spans="1:9" x14ac:dyDescent="0.15">
      <c r="A157" s="524"/>
      <c r="B157" s="523" t="s">
        <v>1578</v>
      </c>
      <c r="C157" s="524" t="s">
        <v>936</v>
      </c>
      <c r="D157" s="316">
        <v>0</v>
      </c>
      <c r="E157" s="316">
        <v>0</v>
      </c>
      <c r="F157" s="316">
        <v>0</v>
      </c>
      <c r="G157" s="529">
        <f t="array" ref="G157">SUM(IF(CertFund&amp;CertProg&amp;CertObj=RIGHT(LEFT($A$2,7),2)&amp;LEFT(A154,4)&amp;B155,CertBen))</f>
        <v>0</v>
      </c>
      <c r="H157" s="527">
        <v>0</v>
      </c>
      <c r="I157" s="566">
        <f>SUM(G157+H157)</f>
        <v>0</v>
      </c>
    </row>
    <row r="158" spans="1:9" x14ac:dyDescent="0.15">
      <c r="A158" s="138"/>
      <c r="B158" s="521" t="s">
        <v>1578</v>
      </c>
      <c r="C158" s="138" t="s">
        <v>511</v>
      </c>
      <c r="D158" s="147">
        <v>0</v>
      </c>
      <c r="E158" s="147">
        <v>0</v>
      </c>
      <c r="F158" s="147">
        <v>0</v>
      </c>
      <c r="G158" s="147">
        <v>0</v>
      </c>
      <c r="H158" s="150">
        <v>0</v>
      </c>
      <c r="I158" s="567">
        <f>SUM(G158+H158)</f>
        <v>0</v>
      </c>
    </row>
    <row r="159" spans="1:9" x14ac:dyDescent="0.15">
      <c r="A159" s="138"/>
      <c r="B159" s="521" t="s">
        <v>1579</v>
      </c>
      <c r="C159" s="138" t="s">
        <v>118</v>
      </c>
      <c r="D159" s="144">
        <v>0</v>
      </c>
      <c r="E159" s="144">
        <v>0</v>
      </c>
      <c r="F159" s="144">
        <v>0</v>
      </c>
      <c r="G159" s="291">
        <v>0</v>
      </c>
      <c r="H159" s="150">
        <v>0</v>
      </c>
      <c r="I159" s="567">
        <f t="shared" ref="I159:I188" si="4">SUM(G159+H159)</f>
        <v>0</v>
      </c>
    </row>
    <row r="160" spans="1:9" x14ac:dyDescent="0.15">
      <c r="A160" s="138"/>
      <c r="B160" s="521" t="s">
        <v>1580</v>
      </c>
      <c r="C160" s="138" t="s">
        <v>119</v>
      </c>
      <c r="D160" s="144">
        <v>0</v>
      </c>
      <c r="E160" s="144">
        <v>0</v>
      </c>
      <c r="F160" s="144">
        <v>0</v>
      </c>
      <c r="G160" s="291">
        <v>0</v>
      </c>
      <c r="H160" s="150">
        <v>0</v>
      </c>
      <c r="I160" s="567">
        <f t="shared" si="4"/>
        <v>0</v>
      </c>
    </row>
    <row r="161" spans="1:9" x14ac:dyDescent="0.15">
      <c r="A161" s="138"/>
      <c r="B161" s="521" t="s">
        <v>120</v>
      </c>
      <c r="C161" s="138" t="s">
        <v>121</v>
      </c>
      <c r="D161" s="144">
        <v>0</v>
      </c>
      <c r="E161" s="144">
        <v>0</v>
      </c>
      <c r="F161" s="144">
        <v>0</v>
      </c>
      <c r="G161" s="291">
        <v>0</v>
      </c>
      <c r="H161" s="150">
        <v>0</v>
      </c>
      <c r="I161" s="567">
        <f t="shared" si="4"/>
        <v>0</v>
      </c>
    </row>
    <row r="162" spans="1:9" x14ac:dyDescent="0.15">
      <c r="A162" s="138"/>
      <c r="B162" s="521" t="s">
        <v>122</v>
      </c>
      <c r="C162" s="138" t="s">
        <v>123</v>
      </c>
      <c r="D162" s="144">
        <v>0</v>
      </c>
      <c r="E162" s="144">
        <v>0</v>
      </c>
      <c r="F162" s="144">
        <v>0</v>
      </c>
      <c r="G162" s="291">
        <v>0</v>
      </c>
      <c r="H162" s="150">
        <v>0</v>
      </c>
      <c r="I162" s="567">
        <f t="shared" si="4"/>
        <v>0</v>
      </c>
    </row>
    <row r="163" spans="1:9" x14ac:dyDescent="0.15">
      <c r="A163" s="138"/>
      <c r="B163" s="521" t="s">
        <v>1581</v>
      </c>
      <c r="C163" s="138" t="s">
        <v>124</v>
      </c>
      <c r="D163" s="144">
        <v>0</v>
      </c>
      <c r="E163" s="144">
        <v>0</v>
      </c>
      <c r="F163" s="144">
        <v>0</v>
      </c>
      <c r="G163" s="291">
        <v>0</v>
      </c>
      <c r="H163" s="150">
        <v>0</v>
      </c>
      <c r="I163" s="567">
        <f t="shared" si="4"/>
        <v>0</v>
      </c>
    </row>
    <row r="164" spans="1:9" x14ac:dyDescent="0.15">
      <c r="A164" s="138"/>
      <c r="B164" s="521" t="s">
        <v>127</v>
      </c>
      <c r="C164" s="138" t="s">
        <v>134</v>
      </c>
      <c r="D164" s="144">
        <v>0</v>
      </c>
      <c r="E164" s="144">
        <v>0</v>
      </c>
      <c r="F164" s="144">
        <v>0</v>
      </c>
      <c r="G164" s="291">
        <v>0</v>
      </c>
      <c r="H164" s="150">
        <v>0</v>
      </c>
      <c r="I164" s="567">
        <f t="shared" si="4"/>
        <v>0</v>
      </c>
    </row>
    <row r="165" spans="1:9" x14ac:dyDescent="0.15">
      <c r="A165" s="138"/>
      <c r="B165" s="521" t="s">
        <v>132</v>
      </c>
      <c r="C165" s="138" t="s">
        <v>1617</v>
      </c>
      <c r="D165" s="144">
        <v>0</v>
      </c>
      <c r="E165" s="144">
        <v>0</v>
      </c>
      <c r="F165" s="144">
        <v>0</v>
      </c>
      <c r="G165" s="291">
        <v>0</v>
      </c>
      <c r="H165" s="150">
        <v>0</v>
      </c>
      <c r="I165" s="567">
        <f t="shared" si="4"/>
        <v>0</v>
      </c>
    </row>
    <row r="166" spans="1:9" x14ac:dyDescent="0.15">
      <c r="A166" s="138"/>
      <c r="B166" s="521" t="s">
        <v>1618</v>
      </c>
      <c r="C166" s="138" t="s">
        <v>836</v>
      </c>
      <c r="D166" s="144">
        <v>0</v>
      </c>
      <c r="E166" s="144">
        <v>0</v>
      </c>
      <c r="F166" s="144">
        <v>0</v>
      </c>
      <c r="G166" s="291">
        <v>0</v>
      </c>
      <c r="H166" s="150">
        <v>0</v>
      </c>
      <c r="I166" s="567">
        <f t="shared" si="4"/>
        <v>0</v>
      </c>
    </row>
    <row r="167" spans="1:9" x14ac:dyDescent="0.15">
      <c r="A167" s="138"/>
      <c r="B167" s="521" t="s">
        <v>1619</v>
      </c>
      <c r="C167" s="138" t="s">
        <v>185</v>
      </c>
      <c r="D167" s="144">
        <v>0</v>
      </c>
      <c r="E167" s="144">
        <v>0</v>
      </c>
      <c r="F167" s="144">
        <v>0</v>
      </c>
      <c r="G167" s="291">
        <v>0</v>
      </c>
      <c r="H167" s="150">
        <v>0</v>
      </c>
      <c r="I167" s="567">
        <f t="shared" si="4"/>
        <v>0</v>
      </c>
    </row>
    <row r="168" spans="1:9" x14ac:dyDescent="0.15">
      <c r="A168" s="138"/>
      <c r="B168" s="521" t="s">
        <v>1620</v>
      </c>
      <c r="C168" s="138" t="s">
        <v>838</v>
      </c>
      <c r="D168" s="144">
        <v>0</v>
      </c>
      <c r="E168" s="144">
        <v>0</v>
      </c>
      <c r="F168" s="144">
        <v>0</v>
      </c>
      <c r="G168" s="291">
        <v>0</v>
      </c>
      <c r="H168" s="150">
        <v>0</v>
      </c>
      <c r="I168" s="567">
        <f t="shared" si="4"/>
        <v>0</v>
      </c>
    </row>
    <row r="169" spans="1:9" x14ac:dyDescent="0.15">
      <c r="A169" s="138"/>
      <c r="B169" s="521" t="s">
        <v>1621</v>
      </c>
      <c r="C169" s="138" t="s">
        <v>839</v>
      </c>
      <c r="D169" s="144">
        <v>0</v>
      </c>
      <c r="E169" s="144">
        <v>0</v>
      </c>
      <c r="F169" s="144">
        <v>0</v>
      </c>
      <c r="G169" s="291">
        <v>0</v>
      </c>
      <c r="H169" s="150">
        <v>0</v>
      </c>
      <c r="I169" s="567">
        <f t="shared" si="4"/>
        <v>0</v>
      </c>
    </row>
    <row r="170" spans="1:9" x14ac:dyDescent="0.15">
      <c r="A170" s="138"/>
      <c r="B170" s="521" t="s">
        <v>1622</v>
      </c>
      <c r="C170" s="138" t="s">
        <v>190</v>
      </c>
      <c r="D170" s="144">
        <v>0</v>
      </c>
      <c r="E170" s="144">
        <v>0</v>
      </c>
      <c r="F170" s="144">
        <v>0</v>
      </c>
      <c r="G170" s="291">
        <v>0</v>
      </c>
      <c r="H170" s="150">
        <v>0</v>
      </c>
      <c r="I170" s="567">
        <f t="shared" si="4"/>
        <v>0</v>
      </c>
    </row>
    <row r="171" spans="1:9" x14ac:dyDescent="0.15">
      <c r="A171" s="138"/>
      <c r="B171" s="521" t="s">
        <v>1623</v>
      </c>
      <c r="C171" s="138" t="s">
        <v>191</v>
      </c>
      <c r="D171" s="144">
        <v>0</v>
      </c>
      <c r="E171" s="144">
        <v>0</v>
      </c>
      <c r="F171" s="144">
        <v>0</v>
      </c>
      <c r="G171" s="291">
        <v>0</v>
      </c>
      <c r="H171" s="150">
        <v>0</v>
      </c>
      <c r="I171" s="567">
        <f t="shared" si="4"/>
        <v>0</v>
      </c>
    </row>
    <row r="172" spans="1:9" x14ac:dyDescent="0.15">
      <c r="A172" s="138"/>
      <c r="B172" s="521" t="s">
        <v>1624</v>
      </c>
      <c r="C172" s="138" t="s">
        <v>840</v>
      </c>
      <c r="D172" s="144">
        <v>0</v>
      </c>
      <c r="E172" s="144">
        <v>0</v>
      </c>
      <c r="F172" s="144">
        <v>0</v>
      </c>
      <c r="G172" s="291">
        <v>0</v>
      </c>
      <c r="H172" s="150">
        <v>0</v>
      </c>
      <c r="I172" s="567">
        <f t="shared" si="4"/>
        <v>0</v>
      </c>
    </row>
    <row r="173" spans="1:9" x14ac:dyDescent="0.15">
      <c r="A173" s="138"/>
      <c r="B173" s="521" t="s">
        <v>1625</v>
      </c>
      <c r="C173" s="138" t="s">
        <v>842</v>
      </c>
      <c r="D173" s="144">
        <v>0</v>
      </c>
      <c r="E173" s="144">
        <v>0</v>
      </c>
      <c r="F173" s="144">
        <v>0</v>
      </c>
      <c r="G173" s="291">
        <v>0</v>
      </c>
      <c r="H173" s="150">
        <v>0</v>
      </c>
      <c r="I173" s="567">
        <f t="shared" si="4"/>
        <v>0</v>
      </c>
    </row>
    <row r="174" spans="1:9" x14ac:dyDescent="0.15">
      <c r="A174" s="138"/>
      <c r="B174" s="521" t="s">
        <v>843</v>
      </c>
      <c r="C174" s="138" t="s">
        <v>848</v>
      </c>
      <c r="D174" s="144">
        <v>0</v>
      </c>
      <c r="E174" s="144">
        <v>0</v>
      </c>
      <c r="F174" s="144">
        <v>0</v>
      </c>
      <c r="G174" s="291">
        <v>0</v>
      </c>
      <c r="H174" s="150">
        <v>0</v>
      </c>
      <c r="I174" s="567">
        <f t="shared" si="4"/>
        <v>0</v>
      </c>
    </row>
    <row r="175" spans="1:9" x14ac:dyDescent="0.15">
      <c r="A175" s="138"/>
      <c r="B175" s="521" t="s">
        <v>844</v>
      </c>
      <c r="C175" s="138" t="s">
        <v>186</v>
      </c>
      <c r="D175" s="144">
        <v>0</v>
      </c>
      <c r="E175" s="144">
        <v>0</v>
      </c>
      <c r="F175" s="144">
        <v>0</v>
      </c>
      <c r="G175" s="291">
        <v>0</v>
      </c>
      <c r="H175" s="150">
        <v>0</v>
      </c>
      <c r="I175" s="567">
        <f t="shared" si="4"/>
        <v>0</v>
      </c>
    </row>
    <row r="176" spans="1:9" x14ac:dyDescent="0.15">
      <c r="A176" s="138"/>
      <c r="B176" s="521" t="s">
        <v>845</v>
      </c>
      <c r="C176" s="138" t="s">
        <v>154</v>
      </c>
      <c r="D176" s="144">
        <v>0</v>
      </c>
      <c r="E176" s="144">
        <v>0</v>
      </c>
      <c r="F176" s="144">
        <v>0</v>
      </c>
      <c r="G176" s="291">
        <v>0</v>
      </c>
      <c r="H176" s="150">
        <v>0</v>
      </c>
      <c r="I176" s="567">
        <f t="shared" si="4"/>
        <v>0</v>
      </c>
    </row>
    <row r="177" spans="1:9" x14ac:dyDescent="0.15">
      <c r="A177" s="138"/>
      <c r="B177" s="521" t="s">
        <v>846</v>
      </c>
      <c r="C177" s="138" t="s">
        <v>155</v>
      </c>
      <c r="D177" s="144">
        <v>0</v>
      </c>
      <c r="E177" s="144">
        <v>0</v>
      </c>
      <c r="F177" s="144">
        <v>0</v>
      </c>
      <c r="G177" s="291">
        <v>0</v>
      </c>
      <c r="H177" s="150">
        <v>0</v>
      </c>
      <c r="I177" s="567">
        <f t="shared" si="4"/>
        <v>0</v>
      </c>
    </row>
    <row r="178" spans="1:9" x14ac:dyDescent="0.15">
      <c r="A178" s="138"/>
      <c r="B178" s="521" t="s">
        <v>1582</v>
      </c>
      <c r="C178" s="138" t="s">
        <v>156</v>
      </c>
      <c r="D178" s="144">
        <v>0</v>
      </c>
      <c r="E178" s="144">
        <v>0</v>
      </c>
      <c r="F178" s="144">
        <v>0</v>
      </c>
      <c r="G178" s="291">
        <v>0</v>
      </c>
      <c r="H178" s="150">
        <v>0</v>
      </c>
      <c r="I178" s="567">
        <f t="shared" si="4"/>
        <v>0</v>
      </c>
    </row>
    <row r="179" spans="1:9" x14ac:dyDescent="0.15">
      <c r="A179" s="138"/>
      <c r="B179" s="521" t="s">
        <v>847</v>
      </c>
      <c r="C179" s="138" t="s">
        <v>157</v>
      </c>
      <c r="D179" s="144">
        <v>0</v>
      </c>
      <c r="E179" s="144">
        <v>0</v>
      </c>
      <c r="F179" s="144">
        <v>0</v>
      </c>
      <c r="G179" s="291">
        <v>0</v>
      </c>
      <c r="H179" s="150">
        <v>0</v>
      </c>
      <c r="I179" s="567">
        <f t="shared" si="4"/>
        <v>0</v>
      </c>
    </row>
    <row r="180" spans="1:9" x14ac:dyDescent="0.15">
      <c r="A180" s="138"/>
      <c r="B180" s="521" t="s">
        <v>1583</v>
      </c>
      <c r="C180" s="138" t="s">
        <v>160</v>
      </c>
      <c r="D180" s="144">
        <v>0</v>
      </c>
      <c r="E180" s="144">
        <v>0</v>
      </c>
      <c r="F180" s="144">
        <v>0</v>
      </c>
      <c r="G180" s="291">
        <v>0</v>
      </c>
      <c r="H180" s="150">
        <v>0</v>
      </c>
      <c r="I180" s="567">
        <f t="shared" si="4"/>
        <v>0</v>
      </c>
    </row>
    <row r="181" spans="1:9" x14ac:dyDescent="0.15">
      <c r="A181" s="138"/>
      <c r="B181" s="521" t="s">
        <v>634</v>
      </c>
      <c r="C181" s="138" t="s">
        <v>165</v>
      </c>
      <c r="D181" s="144">
        <v>0</v>
      </c>
      <c r="E181" s="144">
        <v>0</v>
      </c>
      <c r="F181" s="144">
        <v>0</v>
      </c>
      <c r="G181" s="291">
        <v>0</v>
      </c>
      <c r="H181" s="150">
        <v>0</v>
      </c>
      <c r="I181" s="567">
        <f t="shared" si="4"/>
        <v>0</v>
      </c>
    </row>
    <row r="182" spans="1:9" x14ac:dyDescent="0.15">
      <c r="A182" s="138"/>
      <c r="B182" s="521" t="s">
        <v>630</v>
      </c>
      <c r="C182" s="138" t="s">
        <v>172</v>
      </c>
      <c r="D182" s="144">
        <v>0</v>
      </c>
      <c r="E182" s="144">
        <v>0</v>
      </c>
      <c r="F182" s="144">
        <v>0</v>
      </c>
      <c r="G182" s="291">
        <v>0</v>
      </c>
      <c r="H182" s="150">
        <v>0</v>
      </c>
      <c r="I182" s="567">
        <f t="shared" si="4"/>
        <v>0</v>
      </c>
    </row>
    <row r="183" spans="1:9" x14ac:dyDescent="0.15">
      <c r="A183" s="138"/>
      <c r="B183" s="650" t="s">
        <v>631</v>
      </c>
      <c r="C183" s="651" t="s">
        <v>173</v>
      </c>
      <c r="D183" s="144">
        <v>0</v>
      </c>
      <c r="E183" s="144">
        <v>0</v>
      </c>
      <c r="F183" s="144">
        <v>0</v>
      </c>
      <c r="G183" s="291">
        <v>0</v>
      </c>
      <c r="H183" s="150">
        <v>0</v>
      </c>
      <c r="I183" s="567">
        <f t="shared" si="4"/>
        <v>0</v>
      </c>
    </row>
    <row r="184" spans="1:9" x14ac:dyDescent="0.15">
      <c r="A184" s="138"/>
      <c r="B184" s="521" t="s">
        <v>1584</v>
      </c>
      <c r="C184" s="138" t="s">
        <v>178</v>
      </c>
      <c r="D184" s="144">
        <v>0</v>
      </c>
      <c r="E184" s="144">
        <v>0</v>
      </c>
      <c r="F184" s="144">
        <v>0</v>
      </c>
      <c r="G184" s="291">
        <v>0</v>
      </c>
      <c r="H184" s="150">
        <v>0</v>
      </c>
      <c r="I184" s="567">
        <f t="shared" si="4"/>
        <v>0</v>
      </c>
    </row>
    <row r="185" spans="1:9" x14ac:dyDescent="0.15">
      <c r="A185" s="138"/>
      <c r="B185" s="521" t="s">
        <v>174</v>
      </c>
      <c r="C185" s="138" t="s">
        <v>179</v>
      </c>
      <c r="D185" s="144">
        <v>0</v>
      </c>
      <c r="E185" s="144">
        <v>0</v>
      </c>
      <c r="F185" s="144">
        <v>0</v>
      </c>
      <c r="G185" s="291">
        <v>0</v>
      </c>
      <c r="H185" s="150">
        <v>0</v>
      </c>
      <c r="I185" s="567">
        <f t="shared" si="4"/>
        <v>0</v>
      </c>
    </row>
    <row r="186" spans="1:9" x14ac:dyDescent="0.15">
      <c r="A186" s="138"/>
      <c r="B186" s="521" t="s">
        <v>175</v>
      </c>
      <c r="C186" s="138" t="s">
        <v>180</v>
      </c>
      <c r="D186" s="144">
        <v>0</v>
      </c>
      <c r="E186" s="144">
        <v>0</v>
      </c>
      <c r="F186" s="144">
        <v>0</v>
      </c>
      <c r="G186" s="291">
        <v>0</v>
      </c>
      <c r="H186" s="150">
        <v>0</v>
      </c>
      <c r="I186" s="567">
        <f t="shared" si="4"/>
        <v>0</v>
      </c>
    </row>
    <row r="187" spans="1:9" ht="11.25" thickBot="1" x14ac:dyDescent="0.2">
      <c r="A187" s="138"/>
      <c r="B187" s="521" t="s">
        <v>176</v>
      </c>
      <c r="C187" s="138" t="s">
        <v>181</v>
      </c>
      <c r="D187" s="144">
        <v>0</v>
      </c>
      <c r="E187" s="144">
        <v>0</v>
      </c>
      <c r="F187" s="144">
        <v>0</v>
      </c>
      <c r="G187" s="291">
        <v>0</v>
      </c>
      <c r="H187" s="150">
        <v>0</v>
      </c>
      <c r="I187" s="567">
        <f t="shared" si="4"/>
        <v>0</v>
      </c>
    </row>
    <row r="188" spans="1:9" ht="12" thickTop="1" thickBot="1" x14ac:dyDescent="0.2">
      <c r="A188" s="138"/>
      <c r="B188" s="521"/>
      <c r="C188" s="138" t="s">
        <v>222</v>
      </c>
      <c r="D188" s="169">
        <f>SUM(D155:D187)</f>
        <v>0</v>
      </c>
      <c r="E188" s="169">
        <f>SUM(E155:E187)</f>
        <v>0</v>
      </c>
      <c r="F188" s="169">
        <f>SUM(F155:F187)</f>
        <v>0</v>
      </c>
      <c r="G188" s="169">
        <f>SUM(G155:G187)</f>
        <v>0</v>
      </c>
      <c r="H188" s="169">
        <f>SUM(H155:H187)</f>
        <v>0</v>
      </c>
      <c r="I188" s="169">
        <f t="shared" si="4"/>
        <v>0</v>
      </c>
    </row>
    <row r="189" spans="1:9" ht="11.25" thickTop="1" x14ac:dyDescent="0.15">
      <c r="A189" s="512"/>
      <c r="B189" s="138"/>
      <c r="C189" s="138"/>
      <c r="D189" s="14"/>
      <c r="E189" s="14"/>
      <c r="F189" s="14"/>
      <c r="G189" s="14"/>
      <c r="H189" s="14"/>
      <c r="I189" s="563"/>
    </row>
    <row r="190" spans="1:9" x14ac:dyDescent="0.15">
      <c r="A190" s="512" t="s">
        <v>260</v>
      </c>
      <c r="B190" s="138"/>
      <c r="C190" s="138"/>
      <c r="D190" s="14"/>
      <c r="E190" s="14"/>
      <c r="F190" s="14"/>
      <c r="G190" s="14"/>
      <c r="H190" s="14"/>
      <c r="I190" s="563"/>
    </row>
    <row r="191" spans="1:9" x14ac:dyDescent="0.15">
      <c r="A191" s="434"/>
      <c r="B191" s="523" t="s">
        <v>1577</v>
      </c>
      <c r="C191" s="524" t="s">
        <v>228</v>
      </c>
      <c r="D191" s="316">
        <v>0</v>
      </c>
      <c r="E191" s="316">
        <v>0</v>
      </c>
      <c r="F191" s="316">
        <v>0</v>
      </c>
      <c r="G191" s="528">
        <f t="array" ref="G191">SUM(IF(CertFund&amp;CertProg&amp;CertObj=RIGHT(LEFT($A$2,7),2)&amp;LEFT(A190,4)&amp;B191,CertSalary))</f>
        <v>0</v>
      </c>
      <c r="H191" s="527">
        <v>0</v>
      </c>
      <c r="I191" s="566">
        <f>SUM(G191+H191)</f>
        <v>0</v>
      </c>
    </row>
    <row r="192" spans="1:9" x14ac:dyDescent="0.15">
      <c r="A192" s="434"/>
      <c r="B192" s="523" t="s">
        <v>1577</v>
      </c>
      <c r="C192" s="524" t="s">
        <v>510</v>
      </c>
      <c r="D192" s="316">
        <v>0</v>
      </c>
      <c r="E192" s="316">
        <v>0</v>
      </c>
      <c r="F192" s="316">
        <v>0</v>
      </c>
      <c r="G192" s="316">
        <v>0</v>
      </c>
      <c r="H192" s="527">
        <v>0</v>
      </c>
      <c r="I192" s="566">
        <f>SUM(G192+H192)</f>
        <v>0</v>
      </c>
    </row>
    <row r="193" spans="1:9" x14ac:dyDescent="0.15">
      <c r="A193" s="524"/>
      <c r="B193" s="523" t="s">
        <v>1578</v>
      </c>
      <c r="C193" s="524" t="s">
        <v>936</v>
      </c>
      <c r="D193" s="316">
        <v>0</v>
      </c>
      <c r="E193" s="316">
        <v>0</v>
      </c>
      <c r="F193" s="316">
        <v>0</v>
      </c>
      <c r="G193" s="529">
        <f t="array" ref="G193">SUM(IF(CertFund&amp;CertProg&amp;CertObj=RIGHT(LEFT($A$2,7),2)&amp;LEFT(A190,4)&amp;B191,CertBen))</f>
        <v>0</v>
      </c>
      <c r="H193" s="527">
        <v>0</v>
      </c>
      <c r="I193" s="566">
        <f>SUM(G193+H193)</f>
        <v>0</v>
      </c>
    </row>
    <row r="194" spans="1:9" x14ac:dyDescent="0.15">
      <c r="A194" s="138"/>
      <c r="B194" s="521" t="s">
        <v>1578</v>
      </c>
      <c r="C194" s="138" t="s">
        <v>511</v>
      </c>
      <c r="D194" s="147">
        <v>0</v>
      </c>
      <c r="E194" s="147">
        <v>0</v>
      </c>
      <c r="F194" s="147">
        <v>0</v>
      </c>
      <c r="G194" s="147">
        <v>0</v>
      </c>
      <c r="H194" s="150">
        <v>0</v>
      </c>
      <c r="I194" s="567">
        <f>SUM(G194+H194)</f>
        <v>0</v>
      </c>
    </row>
    <row r="195" spans="1:9" x14ac:dyDescent="0.15">
      <c r="A195" s="138"/>
      <c r="B195" s="521" t="s">
        <v>1579</v>
      </c>
      <c r="C195" s="138" t="s">
        <v>118</v>
      </c>
      <c r="D195" s="144">
        <v>0</v>
      </c>
      <c r="E195" s="144">
        <v>0</v>
      </c>
      <c r="F195" s="144">
        <v>0</v>
      </c>
      <c r="G195" s="291">
        <v>0</v>
      </c>
      <c r="H195" s="150">
        <v>0</v>
      </c>
      <c r="I195" s="567">
        <f t="shared" ref="I195:I222" si="5">SUM(G195+H195)</f>
        <v>0</v>
      </c>
    </row>
    <row r="196" spans="1:9" x14ac:dyDescent="0.15">
      <c r="A196" s="138"/>
      <c r="B196" s="521" t="s">
        <v>1580</v>
      </c>
      <c r="C196" s="138" t="s">
        <v>119</v>
      </c>
      <c r="D196" s="144">
        <v>0</v>
      </c>
      <c r="E196" s="144">
        <v>0</v>
      </c>
      <c r="F196" s="144">
        <v>0</v>
      </c>
      <c r="G196" s="291">
        <v>0</v>
      </c>
      <c r="H196" s="150">
        <v>0</v>
      </c>
      <c r="I196" s="567">
        <f t="shared" si="5"/>
        <v>0</v>
      </c>
    </row>
    <row r="197" spans="1:9" x14ac:dyDescent="0.15">
      <c r="A197" s="138"/>
      <c r="B197" s="521" t="s">
        <v>120</v>
      </c>
      <c r="C197" s="138" t="s">
        <v>121</v>
      </c>
      <c r="D197" s="144">
        <v>0</v>
      </c>
      <c r="E197" s="144">
        <v>0</v>
      </c>
      <c r="F197" s="144">
        <v>0</v>
      </c>
      <c r="G197" s="291">
        <v>0</v>
      </c>
      <c r="H197" s="150">
        <v>0</v>
      </c>
      <c r="I197" s="567">
        <f t="shared" si="5"/>
        <v>0</v>
      </c>
    </row>
    <row r="198" spans="1:9" x14ac:dyDescent="0.15">
      <c r="A198" s="138"/>
      <c r="B198" s="521" t="s">
        <v>122</v>
      </c>
      <c r="C198" s="138" t="s">
        <v>123</v>
      </c>
      <c r="D198" s="144">
        <v>0</v>
      </c>
      <c r="E198" s="144">
        <v>0</v>
      </c>
      <c r="F198" s="144">
        <v>0</v>
      </c>
      <c r="G198" s="291">
        <v>0</v>
      </c>
      <c r="H198" s="150">
        <v>0</v>
      </c>
      <c r="I198" s="567">
        <f t="shared" si="5"/>
        <v>0</v>
      </c>
    </row>
    <row r="199" spans="1:9" x14ac:dyDescent="0.15">
      <c r="A199" s="138"/>
      <c r="B199" s="521" t="s">
        <v>1581</v>
      </c>
      <c r="C199" s="138" t="s">
        <v>124</v>
      </c>
      <c r="D199" s="144">
        <v>0</v>
      </c>
      <c r="E199" s="144">
        <v>0</v>
      </c>
      <c r="F199" s="144">
        <v>0</v>
      </c>
      <c r="G199" s="291">
        <v>0</v>
      </c>
      <c r="H199" s="150">
        <v>0</v>
      </c>
      <c r="I199" s="567">
        <f t="shared" si="5"/>
        <v>0</v>
      </c>
    </row>
    <row r="200" spans="1:9" x14ac:dyDescent="0.15">
      <c r="A200" s="138"/>
      <c r="B200" s="521" t="s">
        <v>127</v>
      </c>
      <c r="C200" s="138" t="s">
        <v>134</v>
      </c>
      <c r="D200" s="144">
        <v>0</v>
      </c>
      <c r="E200" s="144">
        <v>0</v>
      </c>
      <c r="F200" s="144">
        <v>0</v>
      </c>
      <c r="G200" s="291">
        <v>0</v>
      </c>
      <c r="H200" s="150">
        <v>0</v>
      </c>
      <c r="I200" s="567">
        <f t="shared" si="5"/>
        <v>0</v>
      </c>
    </row>
    <row r="201" spans="1:9" x14ac:dyDescent="0.15">
      <c r="A201" s="138"/>
      <c r="B201" s="521" t="s">
        <v>132</v>
      </c>
      <c r="C201" s="138" t="s">
        <v>1617</v>
      </c>
      <c r="D201" s="144">
        <v>0</v>
      </c>
      <c r="E201" s="144">
        <v>0</v>
      </c>
      <c r="F201" s="144">
        <v>0</v>
      </c>
      <c r="G201" s="291">
        <v>0</v>
      </c>
      <c r="H201" s="150">
        <v>0</v>
      </c>
      <c r="I201" s="567">
        <f t="shared" si="5"/>
        <v>0</v>
      </c>
    </row>
    <row r="202" spans="1:9" x14ac:dyDescent="0.15">
      <c r="A202" s="138"/>
      <c r="B202" s="521" t="s">
        <v>1618</v>
      </c>
      <c r="C202" s="138" t="s">
        <v>836</v>
      </c>
      <c r="D202" s="144">
        <v>0</v>
      </c>
      <c r="E202" s="144">
        <v>0</v>
      </c>
      <c r="F202" s="144">
        <v>0</v>
      </c>
      <c r="G202" s="291">
        <v>0</v>
      </c>
      <c r="H202" s="150">
        <v>0</v>
      </c>
      <c r="I202" s="567">
        <f t="shared" si="5"/>
        <v>0</v>
      </c>
    </row>
    <row r="203" spans="1:9" x14ac:dyDescent="0.15">
      <c r="A203" s="138"/>
      <c r="B203" s="521" t="s">
        <v>1619</v>
      </c>
      <c r="C203" s="138" t="s">
        <v>185</v>
      </c>
      <c r="D203" s="144">
        <v>0</v>
      </c>
      <c r="E203" s="144">
        <v>0</v>
      </c>
      <c r="F203" s="144">
        <v>0</v>
      </c>
      <c r="G203" s="291">
        <v>0</v>
      </c>
      <c r="H203" s="150">
        <v>0</v>
      </c>
      <c r="I203" s="567">
        <f t="shared" si="5"/>
        <v>0</v>
      </c>
    </row>
    <row r="204" spans="1:9" x14ac:dyDescent="0.15">
      <c r="A204" s="138"/>
      <c r="B204" s="521" t="s">
        <v>1620</v>
      </c>
      <c r="C204" s="138" t="s">
        <v>838</v>
      </c>
      <c r="D204" s="144">
        <v>0</v>
      </c>
      <c r="E204" s="144">
        <v>0</v>
      </c>
      <c r="F204" s="144">
        <v>0</v>
      </c>
      <c r="G204" s="291">
        <v>0</v>
      </c>
      <c r="H204" s="150">
        <v>0</v>
      </c>
      <c r="I204" s="567">
        <f t="shared" si="5"/>
        <v>0</v>
      </c>
    </row>
    <row r="205" spans="1:9" x14ac:dyDescent="0.15">
      <c r="A205" s="138"/>
      <c r="B205" s="521" t="s">
        <v>1621</v>
      </c>
      <c r="C205" s="138" t="s">
        <v>839</v>
      </c>
      <c r="D205" s="144">
        <v>0</v>
      </c>
      <c r="E205" s="144">
        <v>0</v>
      </c>
      <c r="F205" s="144">
        <v>0</v>
      </c>
      <c r="G205" s="291">
        <v>0</v>
      </c>
      <c r="H205" s="150">
        <v>0</v>
      </c>
      <c r="I205" s="567">
        <f t="shared" si="5"/>
        <v>0</v>
      </c>
    </row>
    <row r="206" spans="1:9" x14ac:dyDescent="0.15">
      <c r="A206" s="138"/>
      <c r="B206" s="521" t="s">
        <v>1622</v>
      </c>
      <c r="C206" s="138" t="s">
        <v>190</v>
      </c>
      <c r="D206" s="144">
        <v>0</v>
      </c>
      <c r="E206" s="144">
        <v>0</v>
      </c>
      <c r="F206" s="144">
        <v>0</v>
      </c>
      <c r="G206" s="291">
        <v>0</v>
      </c>
      <c r="H206" s="150">
        <v>0</v>
      </c>
      <c r="I206" s="567">
        <f t="shared" si="5"/>
        <v>0</v>
      </c>
    </row>
    <row r="207" spans="1:9" x14ac:dyDescent="0.15">
      <c r="A207" s="138"/>
      <c r="B207" s="521" t="s">
        <v>1624</v>
      </c>
      <c r="C207" s="138" t="s">
        <v>840</v>
      </c>
      <c r="D207" s="144">
        <v>0</v>
      </c>
      <c r="E207" s="144">
        <v>0</v>
      </c>
      <c r="F207" s="144">
        <v>0</v>
      </c>
      <c r="G207" s="291">
        <v>0</v>
      </c>
      <c r="H207" s="150">
        <v>0</v>
      </c>
      <c r="I207" s="567">
        <f t="shared" si="5"/>
        <v>0</v>
      </c>
    </row>
    <row r="208" spans="1:9" x14ac:dyDescent="0.15">
      <c r="A208" s="138"/>
      <c r="B208" s="521" t="s">
        <v>1625</v>
      </c>
      <c r="C208" s="138" t="s">
        <v>842</v>
      </c>
      <c r="D208" s="144">
        <v>0</v>
      </c>
      <c r="E208" s="144">
        <v>0</v>
      </c>
      <c r="F208" s="144">
        <v>0</v>
      </c>
      <c r="G208" s="291">
        <v>0</v>
      </c>
      <c r="H208" s="150">
        <v>0</v>
      </c>
      <c r="I208" s="567">
        <f t="shared" si="5"/>
        <v>0</v>
      </c>
    </row>
    <row r="209" spans="1:9" x14ac:dyDescent="0.15">
      <c r="A209" s="138"/>
      <c r="B209" s="521" t="s">
        <v>843</v>
      </c>
      <c r="C209" s="138" t="s">
        <v>848</v>
      </c>
      <c r="D209" s="144">
        <v>0</v>
      </c>
      <c r="E209" s="144">
        <v>0</v>
      </c>
      <c r="F209" s="144">
        <v>0</v>
      </c>
      <c r="G209" s="291">
        <v>0</v>
      </c>
      <c r="H209" s="150">
        <v>0</v>
      </c>
      <c r="I209" s="567">
        <f t="shared" si="5"/>
        <v>0</v>
      </c>
    </row>
    <row r="210" spans="1:9" x14ac:dyDescent="0.15">
      <c r="A210" s="138"/>
      <c r="B210" s="521" t="s">
        <v>844</v>
      </c>
      <c r="C210" s="138" t="s">
        <v>186</v>
      </c>
      <c r="D210" s="144">
        <v>0</v>
      </c>
      <c r="E210" s="144">
        <v>0</v>
      </c>
      <c r="F210" s="144">
        <v>0</v>
      </c>
      <c r="G210" s="291">
        <v>0</v>
      </c>
      <c r="H210" s="150">
        <v>0</v>
      </c>
      <c r="I210" s="567">
        <f t="shared" si="5"/>
        <v>0</v>
      </c>
    </row>
    <row r="211" spans="1:9" x14ac:dyDescent="0.15">
      <c r="A211" s="138"/>
      <c r="B211" s="521" t="s">
        <v>845</v>
      </c>
      <c r="C211" s="138" t="s">
        <v>154</v>
      </c>
      <c r="D211" s="144">
        <v>0</v>
      </c>
      <c r="E211" s="144">
        <v>0</v>
      </c>
      <c r="F211" s="144">
        <v>0</v>
      </c>
      <c r="G211" s="291">
        <v>0</v>
      </c>
      <c r="H211" s="150">
        <v>0</v>
      </c>
      <c r="I211" s="567">
        <f t="shared" si="5"/>
        <v>0</v>
      </c>
    </row>
    <row r="212" spans="1:9" x14ac:dyDescent="0.15">
      <c r="A212" s="138"/>
      <c r="B212" s="521" t="s">
        <v>846</v>
      </c>
      <c r="C212" s="138" t="s">
        <v>155</v>
      </c>
      <c r="D212" s="144">
        <v>0</v>
      </c>
      <c r="E212" s="144">
        <v>0</v>
      </c>
      <c r="F212" s="144">
        <v>0</v>
      </c>
      <c r="G212" s="291">
        <v>0</v>
      </c>
      <c r="H212" s="150">
        <v>0</v>
      </c>
      <c r="I212" s="567">
        <f t="shared" si="5"/>
        <v>0</v>
      </c>
    </row>
    <row r="213" spans="1:9" x14ac:dyDescent="0.15">
      <c r="A213" s="138"/>
      <c r="B213" s="521" t="s">
        <v>1582</v>
      </c>
      <c r="C213" s="138" t="s">
        <v>156</v>
      </c>
      <c r="D213" s="144">
        <v>0</v>
      </c>
      <c r="E213" s="144">
        <v>0</v>
      </c>
      <c r="F213" s="144">
        <v>0</v>
      </c>
      <c r="G213" s="291">
        <v>0</v>
      </c>
      <c r="H213" s="150">
        <v>0</v>
      </c>
      <c r="I213" s="567">
        <f t="shared" si="5"/>
        <v>0</v>
      </c>
    </row>
    <row r="214" spans="1:9" x14ac:dyDescent="0.15">
      <c r="A214" s="138"/>
      <c r="B214" s="521" t="s">
        <v>847</v>
      </c>
      <c r="C214" s="138" t="s">
        <v>157</v>
      </c>
      <c r="D214" s="144">
        <v>0</v>
      </c>
      <c r="E214" s="144">
        <v>0</v>
      </c>
      <c r="F214" s="144">
        <v>0</v>
      </c>
      <c r="G214" s="291">
        <v>0</v>
      </c>
      <c r="H214" s="150">
        <v>0</v>
      </c>
      <c r="I214" s="567">
        <f t="shared" si="5"/>
        <v>0</v>
      </c>
    </row>
    <row r="215" spans="1:9" x14ac:dyDescent="0.15">
      <c r="A215" s="138"/>
      <c r="B215" s="521" t="s">
        <v>1583</v>
      </c>
      <c r="C215" s="138" t="s">
        <v>160</v>
      </c>
      <c r="D215" s="144">
        <v>0</v>
      </c>
      <c r="E215" s="144">
        <v>0</v>
      </c>
      <c r="F215" s="144">
        <v>0</v>
      </c>
      <c r="G215" s="291">
        <v>0</v>
      </c>
      <c r="H215" s="150">
        <v>0</v>
      </c>
      <c r="I215" s="567">
        <f t="shared" si="5"/>
        <v>0</v>
      </c>
    </row>
    <row r="216" spans="1:9" x14ac:dyDescent="0.15">
      <c r="A216" s="138"/>
      <c r="B216" s="521" t="s">
        <v>634</v>
      </c>
      <c r="C216" s="138" t="s">
        <v>165</v>
      </c>
      <c r="D216" s="144">
        <v>0</v>
      </c>
      <c r="E216" s="144">
        <v>0</v>
      </c>
      <c r="F216" s="144">
        <v>0</v>
      </c>
      <c r="G216" s="291">
        <v>0</v>
      </c>
      <c r="H216" s="150">
        <v>0</v>
      </c>
      <c r="I216" s="567">
        <f t="shared" si="5"/>
        <v>0</v>
      </c>
    </row>
    <row r="217" spans="1:9" x14ac:dyDescent="0.15">
      <c r="A217" s="138"/>
      <c r="B217" s="521" t="s">
        <v>630</v>
      </c>
      <c r="C217" s="138" t="s">
        <v>172</v>
      </c>
      <c r="D217" s="144">
        <v>0</v>
      </c>
      <c r="E217" s="144">
        <v>0</v>
      </c>
      <c r="F217" s="144">
        <v>0</v>
      </c>
      <c r="G217" s="291">
        <v>0</v>
      </c>
      <c r="H217" s="150">
        <v>0</v>
      </c>
      <c r="I217" s="567">
        <f t="shared" si="5"/>
        <v>0</v>
      </c>
    </row>
    <row r="218" spans="1:9" x14ac:dyDescent="0.15">
      <c r="A218" s="138"/>
      <c r="B218" s="650" t="s">
        <v>631</v>
      </c>
      <c r="C218" s="651" t="s">
        <v>173</v>
      </c>
      <c r="D218" s="144">
        <v>0</v>
      </c>
      <c r="E218" s="144">
        <v>0</v>
      </c>
      <c r="F218" s="144">
        <v>0</v>
      </c>
      <c r="G218" s="291">
        <v>0</v>
      </c>
      <c r="H218" s="150">
        <v>0</v>
      </c>
      <c r="I218" s="567">
        <f t="shared" si="5"/>
        <v>0</v>
      </c>
    </row>
    <row r="219" spans="1:9" x14ac:dyDescent="0.15">
      <c r="A219" s="138"/>
      <c r="B219" s="521" t="s">
        <v>1584</v>
      </c>
      <c r="C219" s="138" t="s">
        <v>178</v>
      </c>
      <c r="D219" s="144">
        <v>0</v>
      </c>
      <c r="E219" s="144">
        <v>0</v>
      </c>
      <c r="F219" s="144">
        <v>0</v>
      </c>
      <c r="G219" s="291">
        <v>0</v>
      </c>
      <c r="H219" s="150">
        <v>0</v>
      </c>
      <c r="I219" s="567">
        <f t="shared" si="5"/>
        <v>0</v>
      </c>
    </row>
    <row r="220" spans="1:9" x14ac:dyDescent="0.15">
      <c r="A220" s="138"/>
      <c r="B220" s="521" t="s">
        <v>174</v>
      </c>
      <c r="C220" s="138" t="s">
        <v>179</v>
      </c>
      <c r="D220" s="144">
        <v>0</v>
      </c>
      <c r="E220" s="144">
        <v>0</v>
      </c>
      <c r="F220" s="144">
        <v>0</v>
      </c>
      <c r="G220" s="291">
        <v>0</v>
      </c>
      <c r="H220" s="150">
        <v>0</v>
      </c>
      <c r="I220" s="567">
        <f t="shared" si="5"/>
        <v>0</v>
      </c>
    </row>
    <row r="221" spans="1:9" x14ac:dyDescent="0.15">
      <c r="A221" s="138"/>
      <c r="B221" s="521" t="s">
        <v>175</v>
      </c>
      <c r="C221" s="138" t="s">
        <v>180</v>
      </c>
      <c r="D221" s="144">
        <v>0</v>
      </c>
      <c r="E221" s="144">
        <v>0</v>
      </c>
      <c r="F221" s="144">
        <v>0</v>
      </c>
      <c r="G221" s="291">
        <v>0</v>
      </c>
      <c r="H221" s="150">
        <v>0</v>
      </c>
      <c r="I221" s="567">
        <f t="shared" si="5"/>
        <v>0</v>
      </c>
    </row>
    <row r="222" spans="1:9" ht="11.25" thickBot="1" x14ac:dyDescent="0.2">
      <c r="A222" s="138"/>
      <c r="B222" s="521" t="s">
        <v>176</v>
      </c>
      <c r="C222" s="138" t="s">
        <v>181</v>
      </c>
      <c r="D222" s="144">
        <v>0</v>
      </c>
      <c r="E222" s="144">
        <v>0</v>
      </c>
      <c r="F222" s="144">
        <v>0</v>
      </c>
      <c r="G222" s="291">
        <v>0</v>
      </c>
      <c r="H222" s="150">
        <v>0</v>
      </c>
      <c r="I222" s="567">
        <f t="shared" si="5"/>
        <v>0</v>
      </c>
    </row>
    <row r="223" spans="1:9" ht="12" thickTop="1" thickBot="1" x14ac:dyDescent="0.2">
      <c r="A223" s="138"/>
      <c r="B223" s="521"/>
      <c r="C223" s="138" t="s">
        <v>261</v>
      </c>
      <c r="D223" s="169">
        <f>SUM(D191:D222)</f>
        <v>0</v>
      </c>
      <c r="E223" s="169">
        <f>SUM(E191:E222)</f>
        <v>0</v>
      </c>
      <c r="F223" s="169">
        <f>SUM(F191:F222)</f>
        <v>0</v>
      </c>
      <c r="G223" s="169">
        <f>SUM(G191:G222)</f>
        <v>0</v>
      </c>
      <c r="H223" s="169">
        <f>SUM(H191:H222)</f>
        <v>0</v>
      </c>
      <c r="I223" s="565">
        <f>SUM(G223+H223)</f>
        <v>0</v>
      </c>
    </row>
    <row r="224" spans="1:9" ht="11.25" thickTop="1" x14ac:dyDescent="0.15">
      <c r="A224" s="138"/>
      <c r="B224" s="521"/>
      <c r="C224" s="138"/>
      <c r="D224" s="198"/>
      <c r="E224" s="198"/>
      <c r="F224" s="198"/>
      <c r="G224" s="198"/>
      <c r="H224" s="14"/>
      <c r="I224" s="563"/>
    </row>
    <row r="225" spans="1:9" x14ac:dyDescent="0.15">
      <c r="A225" s="512" t="s">
        <v>223</v>
      </c>
      <c r="B225" s="512"/>
      <c r="C225" s="512"/>
      <c r="D225" s="14"/>
      <c r="E225" s="14"/>
      <c r="F225" s="14"/>
      <c r="G225" s="14"/>
      <c r="H225" s="14"/>
      <c r="I225" s="563"/>
    </row>
    <row r="226" spans="1:9" x14ac:dyDescent="0.15">
      <c r="A226" s="434"/>
      <c r="B226" s="523" t="s">
        <v>1577</v>
      </c>
      <c r="C226" s="524" t="s">
        <v>228</v>
      </c>
      <c r="D226" s="316">
        <v>0</v>
      </c>
      <c r="E226" s="316">
        <v>0</v>
      </c>
      <c r="F226" s="316">
        <v>0</v>
      </c>
      <c r="G226" s="528">
        <f t="array" ref="G226">SUM(IF(CertFund&amp;CertProg&amp;CertObj=RIGHT(LEFT($A$2,7),2)&amp;LEFT(A225,4)&amp;B226,CertSalary))</f>
        <v>0</v>
      </c>
      <c r="H226" s="527">
        <v>0</v>
      </c>
      <c r="I226" s="566">
        <f>SUM(G226+H226)</f>
        <v>0</v>
      </c>
    </row>
    <row r="227" spans="1:9" x14ac:dyDescent="0.15">
      <c r="A227" s="434"/>
      <c r="B227" s="523" t="s">
        <v>1577</v>
      </c>
      <c r="C227" s="524" t="s">
        <v>510</v>
      </c>
      <c r="D227" s="316">
        <v>0</v>
      </c>
      <c r="E227" s="316">
        <v>0</v>
      </c>
      <c r="F227" s="316">
        <v>0</v>
      </c>
      <c r="G227" s="316">
        <v>0</v>
      </c>
      <c r="H227" s="527">
        <v>0</v>
      </c>
      <c r="I227" s="566">
        <f>SUM(G227+H227)</f>
        <v>0</v>
      </c>
    </row>
    <row r="228" spans="1:9" x14ac:dyDescent="0.15">
      <c r="A228" s="524"/>
      <c r="B228" s="523" t="s">
        <v>1578</v>
      </c>
      <c r="C228" s="524" t="s">
        <v>936</v>
      </c>
      <c r="D228" s="316">
        <v>0</v>
      </c>
      <c r="E228" s="316">
        <v>0</v>
      </c>
      <c r="F228" s="316">
        <v>0</v>
      </c>
      <c r="G228" s="529">
        <f t="array" ref="G228">SUM(IF(CertFund&amp;CertProg&amp;CertObj=RIGHT(LEFT($A$2,7),2)&amp;LEFT(A225,4)&amp;B226,CertBen))</f>
        <v>0</v>
      </c>
      <c r="H228" s="527">
        <v>0</v>
      </c>
      <c r="I228" s="566">
        <f>SUM(G228+H228)</f>
        <v>0</v>
      </c>
    </row>
    <row r="229" spans="1:9" x14ac:dyDescent="0.15">
      <c r="A229" s="524"/>
      <c r="B229" s="523" t="s">
        <v>1578</v>
      </c>
      <c r="C229" s="524" t="s">
        <v>511</v>
      </c>
      <c r="D229" s="316">
        <v>0</v>
      </c>
      <c r="E229" s="316">
        <v>0</v>
      </c>
      <c r="F229" s="316">
        <v>0</v>
      </c>
      <c r="G229" s="316">
        <v>0</v>
      </c>
      <c r="H229" s="527">
        <v>0</v>
      </c>
      <c r="I229" s="566">
        <f>SUM(G229+H229)</f>
        <v>0</v>
      </c>
    </row>
    <row r="230" spans="1:9" x14ac:dyDescent="0.15">
      <c r="A230" s="138"/>
      <c r="B230" s="521" t="s">
        <v>1579</v>
      </c>
      <c r="C230" s="138" t="s">
        <v>118</v>
      </c>
      <c r="D230" s="144">
        <v>0</v>
      </c>
      <c r="E230" s="144">
        <v>0</v>
      </c>
      <c r="F230" s="144">
        <v>0</v>
      </c>
      <c r="G230" s="291">
        <v>0</v>
      </c>
      <c r="H230" s="150">
        <v>0</v>
      </c>
      <c r="I230" s="567">
        <f t="shared" ref="I230:I258" si="6">SUM(G230+H230)</f>
        <v>0</v>
      </c>
    </row>
    <row r="231" spans="1:9" x14ac:dyDescent="0.15">
      <c r="A231" s="138"/>
      <c r="B231" s="521" t="s">
        <v>1580</v>
      </c>
      <c r="C231" s="138" t="s">
        <v>119</v>
      </c>
      <c r="D231" s="144">
        <v>0</v>
      </c>
      <c r="E231" s="144">
        <v>0</v>
      </c>
      <c r="F231" s="144">
        <v>0</v>
      </c>
      <c r="G231" s="291">
        <v>0</v>
      </c>
      <c r="H231" s="150">
        <v>0</v>
      </c>
      <c r="I231" s="567">
        <f t="shared" si="6"/>
        <v>0</v>
      </c>
    </row>
    <row r="232" spans="1:9" x14ac:dyDescent="0.15">
      <c r="A232" s="138"/>
      <c r="B232" s="521" t="s">
        <v>120</v>
      </c>
      <c r="C232" s="138" t="s">
        <v>121</v>
      </c>
      <c r="D232" s="144">
        <v>0</v>
      </c>
      <c r="E232" s="144">
        <v>0</v>
      </c>
      <c r="F232" s="144">
        <v>0</v>
      </c>
      <c r="G232" s="291">
        <v>0</v>
      </c>
      <c r="H232" s="150">
        <v>0</v>
      </c>
      <c r="I232" s="567">
        <f t="shared" si="6"/>
        <v>0</v>
      </c>
    </row>
    <row r="233" spans="1:9" x14ac:dyDescent="0.15">
      <c r="A233" s="138"/>
      <c r="B233" s="521" t="s">
        <v>122</v>
      </c>
      <c r="C233" s="138" t="s">
        <v>123</v>
      </c>
      <c r="D233" s="144">
        <v>0</v>
      </c>
      <c r="E233" s="144">
        <v>0</v>
      </c>
      <c r="F233" s="144">
        <v>0</v>
      </c>
      <c r="G233" s="291">
        <v>0</v>
      </c>
      <c r="H233" s="150">
        <v>0</v>
      </c>
      <c r="I233" s="567">
        <f t="shared" si="6"/>
        <v>0</v>
      </c>
    </row>
    <row r="234" spans="1:9" x14ac:dyDescent="0.15">
      <c r="A234" s="138"/>
      <c r="B234" s="521" t="s">
        <v>1581</v>
      </c>
      <c r="C234" s="138" t="s">
        <v>124</v>
      </c>
      <c r="D234" s="144">
        <v>0</v>
      </c>
      <c r="E234" s="144">
        <v>0</v>
      </c>
      <c r="F234" s="144">
        <v>0</v>
      </c>
      <c r="G234" s="291">
        <v>0</v>
      </c>
      <c r="H234" s="150">
        <v>0</v>
      </c>
      <c r="I234" s="567">
        <f t="shared" si="6"/>
        <v>0</v>
      </c>
    </row>
    <row r="235" spans="1:9" x14ac:dyDescent="0.15">
      <c r="A235" s="138"/>
      <c r="B235" s="521" t="s">
        <v>127</v>
      </c>
      <c r="C235" s="138" t="s">
        <v>134</v>
      </c>
      <c r="D235" s="144">
        <v>0</v>
      </c>
      <c r="E235" s="144">
        <v>0</v>
      </c>
      <c r="F235" s="144">
        <v>0</v>
      </c>
      <c r="G235" s="291">
        <v>0</v>
      </c>
      <c r="H235" s="150">
        <v>0</v>
      </c>
      <c r="I235" s="567">
        <f t="shared" si="6"/>
        <v>0</v>
      </c>
    </row>
    <row r="236" spans="1:9" x14ac:dyDescent="0.15">
      <c r="A236" s="138"/>
      <c r="B236" s="521" t="s">
        <v>132</v>
      </c>
      <c r="C236" s="138" t="s">
        <v>1617</v>
      </c>
      <c r="D236" s="144">
        <v>0</v>
      </c>
      <c r="E236" s="144">
        <v>0</v>
      </c>
      <c r="F236" s="144">
        <v>0</v>
      </c>
      <c r="G236" s="291">
        <v>0</v>
      </c>
      <c r="H236" s="150">
        <v>0</v>
      </c>
      <c r="I236" s="567">
        <f t="shared" si="6"/>
        <v>0</v>
      </c>
    </row>
    <row r="237" spans="1:9" x14ac:dyDescent="0.15">
      <c r="A237" s="138"/>
      <c r="B237" s="521" t="s">
        <v>1618</v>
      </c>
      <c r="C237" s="138" t="s">
        <v>836</v>
      </c>
      <c r="D237" s="144">
        <v>0</v>
      </c>
      <c r="E237" s="144">
        <v>0</v>
      </c>
      <c r="F237" s="144">
        <v>0</v>
      </c>
      <c r="G237" s="291">
        <v>0</v>
      </c>
      <c r="H237" s="150">
        <v>0</v>
      </c>
      <c r="I237" s="567">
        <f t="shared" si="6"/>
        <v>0</v>
      </c>
    </row>
    <row r="238" spans="1:9" x14ac:dyDescent="0.15">
      <c r="A238" s="138"/>
      <c r="B238" s="521" t="s">
        <v>1619</v>
      </c>
      <c r="C238" s="138" t="s">
        <v>185</v>
      </c>
      <c r="D238" s="144">
        <v>0</v>
      </c>
      <c r="E238" s="144">
        <v>0</v>
      </c>
      <c r="F238" s="144">
        <v>0</v>
      </c>
      <c r="G238" s="291">
        <v>0</v>
      </c>
      <c r="H238" s="150">
        <v>0</v>
      </c>
      <c r="I238" s="567">
        <f t="shared" si="6"/>
        <v>0</v>
      </c>
    </row>
    <row r="239" spans="1:9" x14ac:dyDescent="0.15">
      <c r="A239" s="138"/>
      <c r="B239" s="521" t="s">
        <v>1620</v>
      </c>
      <c r="C239" s="138" t="s">
        <v>838</v>
      </c>
      <c r="D239" s="144">
        <v>0</v>
      </c>
      <c r="E239" s="144">
        <v>0</v>
      </c>
      <c r="F239" s="144">
        <v>0</v>
      </c>
      <c r="G239" s="291">
        <v>0</v>
      </c>
      <c r="H239" s="150">
        <v>0</v>
      </c>
      <c r="I239" s="567">
        <f t="shared" si="6"/>
        <v>0</v>
      </c>
    </row>
    <row r="240" spans="1:9" x14ac:dyDescent="0.15">
      <c r="A240" s="138"/>
      <c r="B240" s="521" t="s">
        <v>1621</v>
      </c>
      <c r="C240" s="138" t="s">
        <v>839</v>
      </c>
      <c r="D240" s="144">
        <v>0</v>
      </c>
      <c r="E240" s="144">
        <v>0</v>
      </c>
      <c r="F240" s="144">
        <v>0</v>
      </c>
      <c r="G240" s="291">
        <v>0</v>
      </c>
      <c r="H240" s="150">
        <v>0</v>
      </c>
      <c r="I240" s="567">
        <f t="shared" si="6"/>
        <v>0</v>
      </c>
    </row>
    <row r="241" spans="1:9" x14ac:dyDescent="0.15">
      <c r="A241" s="138"/>
      <c r="B241" s="521" t="s">
        <v>1622</v>
      </c>
      <c r="C241" s="138" t="s">
        <v>190</v>
      </c>
      <c r="D241" s="144">
        <v>0</v>
      </c>
      <c r="E241" s="144">
        <v>0</v>
      </c>
      <c r="F241" s="144">
        <v>0</v>
      </c>
      <c r="G241" s="291">
        <v>0</v>
      </c>
      <c r="H241" s="150">
        <v>0</v>
      </c>
      <c r="I241" s="567">
        <f t="shared" si="6"/>
        <v>0</v>
      </c>
    </row>
    <row r="242" spans="1:9" x14ac:dyDescent="0.15">
      <c r="A242" s="138"/>
      <c r="B242" s="521" t="s">
        <v>1623</v>
      </c>
      <c r="C242" s="138" t="s">
        <v>191</v>
      </c>
      <c r="D242" s="144">
        <v>0</v>
      </c>
      <c r="E242" s="144">
        <v>0</v>
      </c>
      <c r="F242" s="144">
        <v>0</v>
      </c>
      <c r="G242" s="291">
        <v>0</v>
      </c>
      <c r="H242" s="150">
        <v>0</v>
      </c>
      <c r="I242" s="567">
        <f t="shared" si="6"/>
        <v>0</v>
      </c>
    </row>
    <row r="243" spans="1:9" x14ac:dyDescent="0.15">
      <c r="A243" s="138"/>
      <c r="B243" s="521" t="s">
        <v>1624</v>
      </c>
      <c r="C243" s="138" t="s">
        <v>840</v>
      </c>
      <c r="D243" s="144">
        <v>0</v>
      </c>
      <c r="E243" s="144">
        <v>0</v>
      </c>
      <c r="F243" s="144">
        <v>0</v>
      </c>
      <c r="G243" s="291">
        <v>0</v>
      </c>
      <c r="H243" s="150">
        <v>0</v>
      </c>
      <c r="I243" s="567">
        <f t="shared" si="6"/>
        <v>0</v>
      </c>
    </row>
    <row r="244" spans="1:9" x14ac:dyDescent="0.15">
      <c r="A244" s="138"/>
      <c r="B244" s="521" t="s">
        <v>1625</v>
      </c>
      <c r="C244" s="138" t="s">
        <v>842</v>
      </c>
      <c r="D244" s="144">
        <v>0</v>
      </c>
      <c r="E244" s="144">
        <v>0</v>
      </c>
      <c r="F244" s="144">
        <v>0</v>
      </c>
      <c r="G244" s="291">
        <v>0</v>
      </c>
      <c r="H244" s="150">
        <v>0</v>
      </c>
      <c r="I244" s="567">
        <f t="shared" si="6"/>
        <v>0</v>
      </c>
    </row>
    <row r="245" spans="1:9" x14ac:dyDescent="0.15">
      <c r="A245" s="138"/>
      <c r="B245" s="521" t="s">
        <v>843</v>
      </c>
      <c r="C245" s="138" t="s">
        <v>848</v>
      </c>
      <c r="D245" s="144">
        <v>0</v>
      </c>
      <c r="E245" s="144">
        <v>0</v>
      </c>
      <c r="F245" s="144">
        <v>0</v>
      </c>
      <c r="G245" s="291">
        <v>0</v>
      </c>
      <c r="H245" s="150">
        <v>0</v>
      </c>
      <c r="I245" s="567">
        <f t="shared" si="6"/>
        <v>0</v>
      </c>
    </row>
    <row r="246" spans="1:9" x14ac:dyDescent="0.15">
      <c r="A246" s="138"/>
      <c r="B246" s="521" t="s">
        <v>844</v>
      </c>
      <c r="C246" s="138" t="s">
        <v>186</v>
      </c>
      <c r="D246" s="144">
        <v>0</v>
      </c>
      <c r="E246" s="144">
        <v>0</v>
      </c>
      <c r="F246" s="144">
        <v>0</v>
      </c>
      <c r="G246" s="291">
        <v>0</v>
      </c>
      <c r="H246" s="150">
        <v>0</v>
      </c>
      <c r="I246" s="567">
        <f t="shared" si="6"/>
        <v>0</v>
      </c>
    </row>
    <row r="247" spans="1:9" x14ac:dyDescent="0.15">
      <c r="A247" s="138"/>
      <c r="B247" s="521" t="s">
        <v>845</v>
      </c>
      <c r="C247" s="138" t="s">
        <v>154</v>
      </c>
      <c r="D247" s="144">
        <v>0</v>
      </c>
      <c r="E247" s="144">
        <v>0</v>
      </c>
      <c r="F247" s="144">
        <v>0</v>
      </c>
      <c r="G247" s="291">
        <v>0</v>
      </c>
      <c r="H247" s="150">
        <v>0</v>
      </c>
      <c r="I247" s="567">
        <f t="shared" si="6"/>
        <v>0</v>
      </c>
    </row>
    <row r="248" spans="1:9" x14ac:dyDescent="0.15">
      <c r="A248" s="138"/>
      <c r="B248" s="521" t="s">
        <v>846</v>
      </c>
      <c r="C248" s="138" t="s">
        <v>155</v>
      </c>
      <c r="D248" s="144">
        <v>0</v>
      </c>
      <c r="E248" s="144">
        <v>0</v>
      </c>
      <c r="F248" s="144">
        <v>0</v>
      </c>
      <c r="G248" s="291">
        <v>0</v>
      </c>
      <c r="H248" s="150">
        <v>0</v>
      </c>
      <c r="I248" s="567">
        <f t="shared" si="6"/>
        <v>0</v>
      </c>
    </row>
    <row r="249" spans="1:9" x14ac:dyDescent="0.15">
      <c r="A249" s="138"/>
      <c r="B249" s="521" t="s">
        <v>1582</v>
      </c>
      <c r="C249" s="138" t="s">
        <v>156</v>
      </c>
      <c r="D249" s="144">
        <v>0</v>
      </c>
      <c r="E249" s="144">
        <v>0</v>
      </c>
      <c r="F249" s="144">
        <v>0</v>
      </c>
      <c r="G249" s="291">
        <v>0</v>
      </c>
      <c r="H249" s="150">
        <v>0</v>
      </c>
      <c r="I249" s="567">
        <f t="shared" si="6"/>
        <v>0</v>
      </c>
    </row>
    <row r="250" spans="1:9" x14ac:dyDescent="0.15">
      <c r="A250" s="138"/>
      <c r="B250" s="521" t="s">
        <v>847</v>
      </c>
      <c r="C250" s="138" t="s">
        <v>157</v>
      </c>
      <c r="D250" s="144">
        <v>0</v>
      </c>
      <c r="E250" s="144">
        <v>0</v>
      </c>
      <c r="F250" s="144">
        <v>0</v>
      </c>
      <c r="G250" s="291">
        <v>0</v>
      </c>
      <c r="H250" s="150">
        <v>0</v>
      </c>
      <c r="I250" s="567">
        <f t="shared" si="6"/>
        <v>0</v>
      </c>
    </row>
    <row r="251" spans="1:9" x14ac:dyDescent="0.15">
      <c r="A251" s="138"/>
      <c r="B251" s="521" t="s">
        <v>1583</v>
      </c>
      <c r="C251" s="138" t="s">
        <v>160</v>
      </c>
      <c r="D251" s="144">
        <v>0</v>
      </c>
      <c r="E251" s="144">
        <v>0</v>
      </c>
      <c r="F251" s="144">
        <v>0</v>
      </c>
      <c r="G251" s="291">
        <v>0</v>
      </c>
      <c r="H251" s="150">
        <v>0</v>
      </c>
      <c r="I251" s="567">
        <f t="shared" si="6"/>
        <v>0</v>
      </c>
    </row>
    <row r="252" spans="1:9" x14ac:dyDescent="0.15">
      <c r="A252" s="138"/>
      <c r="B252" s="521" t="s">
        <v>634</v>
      </c>
      <c r="C252" s="138" t="s">
        <v>165</v>
      </c>
      <c r="D252" s="144">
        <v>0</v>
      </c>
      <c r="E252" s="144">
        <v>0</v>
      </c>
      <c r="F252" s="144">
        <v>0</v>
      </c>
      <c r="G252" s="291">
        <v>0</v>
      </c>
      <c r="H252" s="150">
        <v>0</v>
      </c>
      <c r="I252" s="567">
        <f t="shared" si="6"/>
        <v>0</v>
      </c>
    </row>
    <row r="253" spans="1:9" x14ac:dyDescent="0.15">
      <c r="A253" s="138"/>
      <c r="B253" s="521" t="s">
        <v>630</v>
      </c>
      <c r="C253" s="138" t="s">
        <v>172</v>
      </c>
      <c r="D253" s="144">
        <v>0</v>
      </c>
      <c r="E253" s="144">
        <v>0</v>
      </c>
      <c r="F253" s="144">
        <v>0</v>
      </c>
      <c r="G253" s="291">
        <v>0</v>
      </c>
      <c r="H253" s="150">
        <v>0</v>
      </c>
      <c r="I253" s="567">
        <f t="shared" si="6"/>
        <v>0</v>
      </c>
    </row>
    <row r="254" spans="1:9" x14ac:dyDescent="0.15">
      <c r="A254" s="138"/>
      <c r="B254" s="650" t="s">
        <v>631</v>
      </c>
      <c r="C254" s="651" t="s">
        <v>173</v>
      </c>
      <c r="D254" s="144">
        <v>0</v>
      </c>
      <c r="E254" s="144">
        <v>0</v>
      </c>
      <c r="F254" s="144">
        <v>0</v>
      </c>
      <c r="G254" s="291">
        <v>0</v>
      </c>
      <c r="H254" s="150">
        <v>0</v>
      </c>
      <c r="I254" s="567">
        <f t="shared" si="6"/>
        <v>0</v>
      </c>
    </row>
    <row r="255" spans="1:9" x14ac:dyDescent="0.15">
      <c r="A255" s="138"/>
      <c r="B255" s="521" t="s">
        <v>1584</v>
      </c>
      <c r="C255" s="138" t="s">
        <v>178</v>
      </c>
      <c r="D255" s="144">
        <v>0</v>
      </c>
      <c r="E255" s="144">
        <v>0</v>
      </c>
      <c r="F255" s="144">
        <v>0</v>
      </c>
      <c r="G255" s="291">
        <v>0</v>
      </c>
      <c r="H255" s="150">
        <v>0</v>
      </c>
      <c r="I255" s="567">
        <f t="shared" si="6"/>
        <v>0</v>
      </c>
    </row>
    <row r="256" spans="1:9" x14ac:dyDescent="0.15">
      <c r="A256" s="138"/>
      <c r="B256" s="521" t="s">
        <v>174</v>
      </c>
      <c r="C256" s="138" t="s">
        <v>179</v>
      </c>
      <c r="D256" s="144">
        <v>0</v>
      </c>
      <c r="E256" s="144">
        <v>0</v>
      </c>
      <c r="F256" s="144">
        <v>0</v>
      </c>
      <c r="G256" s="291">
        <v>0</v>
      </c>
      <c r="H256" s="150">
        <v>0</v>
      </c>
      <c r="I256" s="567">
        <f t="shared" si="6"/>
        <v>0</v>
      </c>
    </row>
    <row r="257" spans="1:9" x14ac:dyDescent="0.15">
      <c r="A257" s="138"/>
      <c r="B257" s="521" t="s">
        <v>175</v>
      </c>
      <c r="C257" s="138" t="s">
        <v>180</v>
      </c>
      <c r="D257" s="144">
        <v>0</v>
      </c>
      <c r="E257" s="144">
        <v>0</v>
      </c>
      <c r="F257" s="144">
        <v>0</v>
      </c>
      <c r="G257" s="291">
        <v>0</v>
      </c>
      <c r="H257" s="150">
        <v>0</v>
      </c>
      <c r="I257" s="567">
        <f t="shared" si="6"/>
        <v>0</v>
      </c>
    </row>
    <row r="258" spans="1:9" ht="11.25" thickBot="1" x14ac:dyDescent="0.2">
      <c r="A258" s="138"/>
      <c r="B258" s="521" t="s">
        <v>176</v>
      </c>
      <c r="C258" s="138" t="s">
        <v>181</v>
      </c>
      <c r="D258" s="144">
        <v>0</v>
      </c>
      <c r="E258" s="144">
        <v>0</v>
      </c>
      <c r="F258" s="144">
        <v>0</v>
      </c>
      <c r="G258" s="291">
        <v>0</v>
      </c>
      <c r="H258" s="150">
        <v>0</v>
      </c>
      <c r="I258" s="567">
        <f t="shared" si="6"/>
        <v>0</v>
      </c>
    </row>
    <row r="259" spans="1:9" ht="12" thickTop="1" thickBot="1" x14ac:dyDescent="0.2">
      <c r="A259" s="138"/>
      <c r="B259" s="521"/>
      <c r="C259" s="138" t="s">
        <v>224</v>
      </c>
      <c r="D259" s="169">
        <f>SUM(D226:D258)</f>
        <v>0</v>
      </c>
      <c r="E259" s="169">
        <f>SUM(E226:E258)</f>
        <v>0</v>
      </c>
      <c r="F259" s="169">
        <f>SUM(F226:F258)</f>
        <v>0</v>
      </c>
      <c r="G259" s="169">
        <f>SUM(G226:G258)</f>
        <v>0</v>
      </c>
      <c r="H259" s="169">
        <f>SUM(H226:H258)</f>
        <v>0</v>
      </c>
      <c r="I259" s="169">
        <f>SUM(G259+H259)</f>
        <v>0</v>
      </c>
    </row>
    <row r="260" spans="1:9" ht="11.25" thickTop="1" x14ac:dyDescent="0.15">
      <c r="A260" s="512"/>
      <c r="B260" s="512"/>
      <c r="C260" s="512"/>
      <c r="D260" s="14"/>
      <c r="E260" s="14"/>
      <c r="F260" s="14"/>
      <c r="G260" s="14"/>
      <c r="H260" s="14"/>
      <c r="I260" s="563"/>
    </row>
    <row r="261" spans="1:9" x14ac:dyDescent="0.15">
      <c r="A261" s="512" t="s">
        <v>647</v>
      </c>
      <c r="B261" s="138"/>
      <c r="C261" s="138"/>
      <c r="D261" s="14"/>
      <c r="E261" s="14"/>
      <c r="F261" s="14"/>
      <c r="G261" s="14"/>
      <c r="H261" s="14"/>
      <c r="I261" s="563"/>
    </row>
    <row r="262" spans="1:9" x14ac:dyDescent="0.15">
      <c r="A262" s="434"/>
      <c r="B262" s="523" t="s">
        <v>1577</v>
      </c>
      <c r="C262" s="524" t="s">
        <v>228</v>
      </c>
      <c r="D262" s="316">
        <v>0</v>
      </c>
      <c r="E262" s="316">
        <v>0</v>
      </c>
      <c r="F262" s="316">
        <v>0</v>
      </c>
      <c r="G262" s="528">
        <f t="array" ref="G262">SUM(IF(CertFund&amp;CertProg&amp;CertObj=RIGHT(LEFT($A$2,7),2)&amp;LEFT(A261,4)&amp;B262,CertSalary))</f>
        <v>0</v>
      </c>
      <c r="H262" s="527">
        <v>0</v>
      </c>
      <c r="I262" s="566">
        <f>SUM(G262+H262)</f>
        <v>0</v>
      </c>
    </row>
    <row r="263" spans="1:9" x14ac:dyDescent="0.15">
      <c r="A263" s="434"/>
      <c r="B263" s="523" t="s">
        <v>1577</v>
      </c>
      <c r="C263" s="524" t="s">
        <v>510</v>
      </c>
      <c r="D263" s="316">
        <v>0</v>
      </c>
      <c r="E263" s="316">
        <v>0</v>
      </c>
      <c r="F263" s="316">
        <v>0</v>
      </c>
      <c r="G263" s="316">
        <v>0</v>
      </c>
      <c r="H263" s="527">
        <v>0</v>
      </c>
      <c r="I263" s="566">
        <f>SUM(G263+H263)</f>
        <v>0</v>
      </c>
    </row>
    <row r="264" spans="1:9" x14ac:dyDescent="0.15">
      <c r="A264" s="524"/>
      <c r="B264" s="523" t="s">
        <v>1578</v>
      </c>
      <c r="C264" s="524" t="s">
        <v>936</v>
      </c>
      <c r="D264" s="316">
        <v>0</v>
      </c>
      <c r="E264" s="316">
        <v>0</v>
      </c>
      <c r="F264" s="316">
        <v>0</v>
      </c>
      <c r="G264" s="529">
        <f t="array" ref="G264">SUM(IF(CertFund&amp;CertProg&amp;CertObj=RIGHT(LEFT($A$2,7),2)&amp;LEFT(A261,4)&amp;B262,CertBen))</f>
        <v>0</v>
      </c>
      <c r="H264" s="527">
        <v>0</v>
      </c>
      <c r="I264" s="566">
        <f>SUM(G264+H264)</f>
        <v>0</v>
      </c>
    </row>
    <row r="265" spans="1:9" x14ac:dyDescent="0.15">
      <c r="A265" s="138"/>
      <c r="B265" s="521" t="s">
        <v>1578</v>
      </c>
      <c r="C265" s="138" t="s">
        <v>511</v>
      </c>
      <c r="D265" s="147">
        <v>0</v>
      </c>
      <c r="E265" s="147">
        <v>0</v>
      </c>
      <c r="F265" s="147">
        <v>0</v>
      </c>
      <c r="G265" s="147">
        <v>0</v>
      </c>
      <c r="H265" s="150">
        <v>0</v>
      </c>
      <c r="I265" s="567">
        <f>SUM(G265+H265)</f>
        <v>0</v>
      </c>
    </row>
    <row r="266" spans="1:9" x14ac:dyDescent="0.15">
      <c r="A266" s="138"/>
      <c r="B266" s="521" t="s">
        <v>1579</v>
      </c>
      <c r="C266" s="138" t="s">
        <v>118</v>
      </c>
      <c r="D266" s="144">
        <v>0</v>
      </c>
      <c r="E266" s="144">
        <v>0</v>
      </c>
      <c r="F266" s="144">
        <v>0</v>
      </c>
      <c r="G266" s="291">
        <v>0</v>
      </c>
      <c r="H266" s="150">
        <v>0</v>
      </c>
      <c r="I266" s="567">
        <f t="shared" ref="I266:I295" si="7">SUM(G266+H266)</f>
        <v>0</v>
      </c>
    </row>
    <row r="267" spans="1:9" x14ac:dyDescent="0.15">
      <c r="A267" s="138"/>
      <c r="B267" s="521" t="s">
        <v>1580</v>
      </c>
      <c r="C267" s="138" t="s">
        <v>119</v>
      </c>
      <c r="D267" s="144">
        <v>0</v>
      </c>
      <c r="E267" s="144">
        <v>0</v>
      </c>
      <c r="F267" s="144">
        <v>0</v>
      </c>
      <c r="G267" s="291">
        <v>0</v>
      </c>
      <c r="H267" s="150">
        <v>0</v>
      </c>
      <c r="I267" s="567">
        <f t="shared" si="7"/>
        <v>0</v>
      </c>
    </row>
    <row r="268" spans="1:9" x14ac:dyDescent="0.15">
      <c r="A268" s="138"/>
      <c r="B268" s="521" t="s">
        <v>120</v>
      </c>
      <c r="C268" s="138" t="s">
        <v>121</v>
      </c>
      <c r="D268" s="144">
        <v>0</v>
      </c>
      <c r="E268" s="144">
        <v>0</v>
      </c>
      <c r="F268" s="144">
        <v>0</v>
      </c>
      <c r="G268" s="291">
        <v>0</v>
      </c>
      <c r="H268" s="150">
        <v>0</v>
      </c>
      <c r="I268" s="567">
        <f t="shared" si="7"/>
        <v>0</v>
      </c>
    </row>
    <row r="269" spans="1:9" x14ac:dyDescent="0.15">
      <c r="A269" s="138"/>
      <c r="B269" s="521" t="s">
        <v>122</v>
      </c>
      <c r="C269" s="138" t="s">
        <v>123</v>
      </c>
      <c r="D269" s="144">
        <v>0</v>
      </c>
      <c r="E269" s="144">
        <v>0</v>
      </c>
      <c r="F269" s="144">
        <v>0</v>
      </c>
      <c r="G269" s="291">
        <v>0</v>
      </c>
      <c r="H269" s="150">
        <v>0</v>
      </c>
      <c r="I269" s="567">
        <f t="shared" si="7"/>
        <v>0</v>
      </c>
    </row>
    <row r="270" spans="1:9" x14ac:dyDescent="0.15">
      <c r="A270" s="138"/>
      <c r="B270" s="521" t="s">
        <v>1581</v>
      </c>
      <c r="C270" s="138" t="s">
        <v>124</v>
      </c>
      <c r="D270" s="144">
        <v>0</v>
      </c>
      <c r="E270" s="144">
        <v>0</v>
      </c>
      <c r="F270" s="144">
        <v>0</v>
      </c>
      <c r="G270" s="291">
        <v>0</v>
      </c>
      <c r="H270" s="150">
        <v>0</v>
      </c>
      <c r="I270" s="567">
        <f t="shared" si="7"/>
        <v>0</v>
      </c>
    </row>
    <row r="271" spans="1:9" x14ac:dyDescent="0.15">
      <c r="A271" s="138"/>
      <c r="B271" s="521" t="s">
        <v>127</v>
      </c>
      <c r="C271" s="138" t="s">
        <v>134</v>
      </c>
      <c r="D271" s="144">
        <v>0</v>
      </c>
      <c r="E271" s="144">
        <v>0</v>
      </c>
      <c r="F271" s="144">
        <v>0</v>
      </c>
      <c r="G271" s="291">
        <v>0</v>
      </c>
      <c r="H271" s="150">
        <v>0</v>
      </c>
      <c r="I271" s="567">
        <f t="shared" si="7"/>
        <v>0</v>
      </c>
    </row>
    <row r="272" spans="1:9" x14ac:dyDescent="0.15">
      <c r="A272" s="138"/>
      <c r="B272" s="521" t="s">
        <v>132</v>
      </c>
      <c r="C272" s="138" t="s">
        <v>1617</v>
      </c>
      <c r="D272" s="144">
        <v>0</v>
      </c>
      <c r="E272" s="144">
        <v>0</v>
      </c>
      <c r="F272" s="144">
        <v>0</v>
      </c>
      <c r="G272" s="291">
        <v>0</v>
      </c>
      <c r="H272" s="150">
        <v>0</v>
      </c>
      <c r="I272" s="567">
        <f t="shared" si="7"/>
        <v>0</v>
      </c>
    </row>
    <row r="273" spans="1:9" x14ac:dyDescent="0.15">
      <c r="A273" s="138"/>
      <c r="B273" s="521" t="s">
        <v>1618</v>
      </c>
      <c r="C273" s="138" t="s">
        <v>836</v>
      </c>
      <c r="D273" s="144">
        <v>0</v>
      </c>
      <c r="E273" s="144">
        <v>0</v>
      </c>
      <c r="F273" s="144">
        <v>0</v>
      </c>
      <c r="G273" s="291">
        <v>0</v>
      </c>
      <c r="H273" s="150">
        <v>0</v>
      </c>
      <c r="I273" s="567">
        <f t="shared" si="7"/>
        <v>0</v>
      </c>
    </row>
    <row r="274" spans="1:9" x14ac:dyDescent="0.15">
      <c r="A274" s="138"/>
      <c r="B274" s="521" t="s">
        <v>1619</v>
      </c>
      <c r="C274" s="138" t="s">
        <v>185</v>
      </c>
      <c r="D274" s="144">
        <v>0</v>
      </c>
      <c r="E274" s="144">
        <v>0</v>
      </c>
      <c r="F274" s="144">
        <v>0</v>
      </c>
      <c r="G274" s="291">
        <v>0</v>
      </c>
      <c r="H274" s="150">
        <v>0</v>
      </c>
      <c r="I274" s="567">
        <f t="shared" si="7"/>
        <v>0</v>
      </c>
    </row>
    <row r="275" spans="1:9" x14ac:dyDescent="0.15">
      <c r="A275" s="138"/>
      <c r="B275" s="521" t="s">
        <v>1620</v>
      </c>
      <c r="C275" s="138" t="s">
        <v>838</v>
      </c>
      <c r="D275" s="144">
        <v>0</v>
      </c>
      <c r="E275" s="144">
        <v>0</v>
      </c>
      <c r="F275" s="144">
        <v>0</v>
      </c>
      <c r="G275" s="291">
        <v>0</v>
      </c>
      <c r="H275" s="150">
        <v>0</v>
      </c>
      <c r="I275" s="567">
        <f t="shared" si="7"/>
        <v>0</v>
      </c>
    </row>
    <row r="276" spans="1:9" x14ac:dyDescent="0.15">
      <c r="A276" s="138"/>
      <c r="B276" s="521" t="s">
        <v>1621</v>
      </c>
      <c r="C276" s="138" t="s">
        <v>839</v>
      </c>
      <c r="D276" s="144">
        <v>0</v>
      </c>
      <c r="E276" s="144">
        <v>0</v>
      </c>
      <c r="F276" s="144">
        <v>0</v>
      </c>
      <c r="G276" s="291">
        <v>0</v>
      </c>
      <c r="H276" s="150">
        <v>0</v>
      </c>
      <c r="I276" s="567">
        <f t="shared" si="7"/>
        <v>0</v>
      </c>
    </row>
    <row r="277" spans="1:9" x14ac:dyDescent="0.15">
      <c r="A277" s="138"/>
      <c r="B277" s="521" t="s">
        <v>1622</v>
      </c>
      <c r="C277" s="138" t="s">
        <v>190</v>
      </c>
      <c r="D277" s="144">
        <v>0</v>
      </c>
      <c r="E277" s="144">
        <v>0</v>
      </c>
      <c r="F277" s="144">
        <v>0</v>
      </c>
      <c r="G277" s="291">
        <v>0</v>
      </c>
      <c r="H277" s="150">
        <v>0</v>
      </c>
      <c r="I277" s="567">
        <f t="shared" si="7"/>
        <v>0</v>
      </c>
    </row>
    <row r="278" spans="1:9" x14ac:dyDescent="0.15">
      <c r="A278" s="138"/>
      <c r="B278" s="521" t="s">
        <v>1623</v>
      </c>
      <c r="C278" s="138" t="s">
        <v>191</v>
      </c>
      <c r="D278" s="144">
        <v>0</v>
      </c>
      <c r="E278" s="144">
        <v>0</v>
      </c>
      <c r="F278" s="144">
        <v>0</v>
      </c>
      <c r="G278" s="291">
        <v>0</v>
      </c>
      <c r="H278" s="150">
        <v>0</v>
      </c>
      <c r="I278" s="567">
        <f t="shared" si="7"/>
        <v>0</v>
      </c>
    </row>
    <row r="279" spans="1:9" x14ac:dyDescent="0.15">
      <c r="A279" s="138"/>
      <c r="B279" s="521" t="s">
        <v>1624</v>
      </c>
      <c r="C279" s="138" t="s">
        <v>840</v>
      </c>
      <c r="D279" s="144">
        <v>0</v>
      </c>
      <c r="E279" s="144">
        <v>0</v>
      </c>
      <c r="F279" s="144">
        <v>0</v>
      </c>
      <c r="G279" s="291">
        <v>0</v>
      </c>
      <c r="H279" s="150">
        <v>0</v>
      </c>
      <c r="I279" s="567">
        <f t="shared" si="7"/>
        <v>0</v>
      </c>
    </row>
    <row r="280" spans="1:9" x14ac:dyDescent="0.15">
      <c r="A280" s="138"/>
      <c r="B280" s="521" t="s">
        <v>1625</v>
      </c>
      <c r="C280" s="138" t="s">
        <v>842</v>
      </c>
      <c r="D280" s="144">
        <v>0</v>
      </c>
      <c r="E280" s="144">
        <v>0</v>
      </c>
      <c r="F280" s="144">
        <v>0</v>
      </c>
      <c r="G280" s="291">
        <v>0</v>
      </c>
      <c r="H280" s="150">
        <v>0</v>
      </c>
      <c r="I280" s="567">
        <f t="shared" si="7"/>
        <v>0</v>
      </c>
    </row>
    <row r="281" spans="1:9" x14ac:dyDescent="0.15">
      <c r="A281" s="138"/>
      <c r="B281" s="521" t="s">
        <v>843</v>
      </c>
      <c r="C281" s="138" t="s">
        <v>848</v>
      </c>
      <c r="D281" s="144">
        <v>0</v>
      </c>
      <c r="E281" s="144">
        <v>0</v>
      </c>
      <c r="F281" s="144">
        <v>0</v>
      </c>
      <c r="G281" s="291">
        <v>0</v>
      </c>
      <c r="H281" s="150">
        <v>0</v>
      </c>
      <c r="I281" s="567">
        <f t="shared" si="7"/>
        <v>0</v>
      </c>
    </row>
    <row r="282" spans="1:9" x14ac:dyDescent="0.15">
      <c r="A282" s="138"/>
      <c r="B282" s="521" t="s">
        <v>844</v>
      </c>
      <c r="C282" s="138" t="s">
        <v>186</v>
      </c>
      <c r="D282" s="144">
        <v>0</v>
      </c>
      <c r="E282" s="144">
        <v>0</v>
      </c>
      <c r="F282" s="144">
        <v>0</v>
      </c>
      <c r="G282" s="291">
        <v>0</v>
      </c>
      <c r="H282" s="150">
        <v>0</v>
      </c>
      <c r="I282" s="567">
        <f t="shared" si="7"/>
        <v>0</v>
      </c>
    </row>
    <row r="283" spans="1:9" x14ac:dyDescent="0.15">
      <c r="A283" s="138"/>
      <c r="B283" s="521" t="s">
        <v>845</v>
      </c>
      <c r="C283" s="138" t="s">
        <v>154</v>
      </c>
      <c r="D283" s="144">
        <v>0</v>
      </c>
      <c r="E283" s="144">
        <v>0</v>
      </c>
      <c r="F283" s="144">
        <v>0</v>
      </c>
      <c r="G283" s="291">
        <v>0</v>
      </c>
      <c r="H283" s="150">
        <v>0</v>
      </c>
      <c r="I283" s="567">
        <f t="shared" si="7"/>
        <v>0</v>
      </c>
    </row>
    <row r="284" spans="1:9" x14ac:dyDescent="0.15">
      <c r="A284" s="138"/>
      <c r="B284" s="521" t="s">
        <v>846</v>
      </c>
      <c r="C284" s="138" t="s">
        <v>155</v>
      </c>
      <c r="D284" s="144">
        <v>0</v>
      </c>
      <c r="E284" s="144">
        <v>0</v>
      </c>
      <c r="F284" s="144">
        <v>0</v>
      </c>
      <c r="G284" s="291">
        <v>0</v>
      </c>
      <c r="H284" s="150">
        <v>0</v>
      </c>
      <c r="I284" s="567">
        <f t="shared" si="7"/>
        <v>0</v>
      </c>
    </row>
    <row r="285" spans="1:9" x14ac:dyDescent="0.15">
      <c r="A285" s="138"/>
      <c r="B285" s="521" t="s">
        <v>1582</v>
      </c>
      <c r="C285" s="138" t="s">
        <v>156</v>
      </c>
      <c r="D285" s="144">
        <v>0</v>
      </c>
      <c r="E285" s="144">
        <v>0</v>
      </c>
      <c r="F285" s="144">
        <v>0</v>
      </c>
      <c r="G285" s="291">
        <v>0</v>
      </c>
      <c r="H285" s="150">
        <v>0</v>
      </c>
      <c r="I285" s="567">
        <f t="shared" si="7"/>
        <v>0</v>
      </c>
    </row>
    <row r="286" spans="1:9" x14ac:dyDescent="0.15">
      <c r="A286" s="138"/>
      <c r="B286" s="521" t="s">
        <v>847</v>
      </c>
      <c r="C286" s="138" t="s">
        <v>157</v>
      </c>
      <c r="D286" s="144">
        <v>0</v>
      </c>
      <c r="E286" s="144">
        <v>0</v>
      </c>
      <c r="F286" s="144">
        <v>0</v>
      </c>
      <c r="G286" s="291">
        <v>0</v>
      </c>
      <c r="H286" s="150">
        <v>0</v>
      </c>
      <c r="I286" s="567">
        <f t="shared" si="7"/>
        <v>0</v>
      </c>
    </row>
    <row r="287" spans="1:9" x14ac:dyDescent="0.15">
      <c r="A287" s="138"/>
      <c r="B287" s="521" t="s">
        <v>1583</v>
      </c>
      <c r="C287" s="138" t="s">
        <v>160</v>
      </c>
      <c r="D287" s="144">
        <v>0</v>
      </c>
      <c r="E287" s="144">
        <v>0</v>
      </c>
      <c r="F287" s="144">
        <v>0</v>
      </c>
      <c r="G287" s="291">
        <v>0</v>
      </c>
      <c r="H287" s="150">
        <v>0</v>
      </c>
      <c r="I287" s="567">
        <f t="shared" si="7"/>
        <v>0</v>
      </c>
    </row>
    <row r="288" spans="1:9" x14ac:dyDescent="0.15">
      <c r="A288" s="138"/>
      <c r="B288" s="521" t="s">
        <v>634</v>
      </c>
      <c r="C288" s="138" t="s">
        <v>165</v>
      </c>
      <c r="D288" s="144">
        <v>0</v>
      </c>
      <c r="E288" s="144">
        <v>0</v>
      </c>
      <c r="F288" s="144">
        <v>0</v>
      </c>
      <c r="G288" s="291">
        <v>0</v>
      </c>
      <c r="H288" s="150">
        <v>0</v>
      </c>
      <c r="I288" s="567">
        <f t="shared" si="7"/>
        <v>0</v>
      </c>
    </row>
    <row r="289" spans="1:9" x14ac:dyDescent="0.15">
      <c r="A289" s="138"/>
      <c r="B289" s="521" t="s">
        <v>630</v>
      </c>
      <c r="C289" s="138" t="s">
        <v>172</v>
      </c>
      <c r="D289" s="144">
        <v>0</v>
      </c>
      <c r="E289" s="144">
        <v>0</v>
      </c>
      <c r="F289" s="144">
        <v>0</v>
      </c>
      <c r="G289" s="291">
        <v>0</v>
      </c>
      <c r="H289" s="150">
        <v>0</v>
      </c>
      <c r="I289" s="567">
        <f t="shared" si="7"/>
        <v>0</v>
      </c>
    </row>
    <row r="290" spans="1:9" x14ac:dyDescent="0.15">
      <c r="A290" s="138"/>
      <c r="B290" s="650" t="s">
        <v>631</v>
      </c>
      <c r="C290" s="651" t="s">
        <v>173</v>
      </c>
      <c r="D290" s="144">
        <v>0</v>
      </c>
      <c r="E290" s="144">
        <v>0</v>
      </c>
      <c r="F290" s="144">
        <v>0</v>
      </c>
      <c r="G290" s="291">
        <v>0</v>
      </c>
      <c r="H290" s="150">
        <v>0</v>
      </c>
      <c r="I290" s="567">
        <f t="shared" si="7"/>
        <v>0</v>
      </c>
    </row>
    <row r="291" spans="1:9" x14ac:dyDescent="0.15">
      <c r="A291" s="138"/>
      <c r="B291" s="521" t="s">
        <v>1584</v>
      </c>
      <c r="C291" s="138" t="s">
        <v>178</v>
      </c>
      <c r="D291" s="144">
        <v>0</v>
      </c>
      <c r="E291" s="144">
        <v>0</v>
      </c>
      <c r="F291" s="144">
        <v>0</v>
      </c>
      <c r="G291" s="291">
        <v>0</v>
      </c>
      <c r="H291" s="150">
        <v>0</v>
      </c>
      <c r="I291" s="567">
        <f t="shared" si="7"/>
        <v>0</v>
      </c>
    </row>
    <row r="292" spans="1:9" x14ac:dyDescent="0.15">
      <c r="A292" s="138"/>
      <c r="B292" s="521" t="s">
        <v>174</v>
      </c>
      <c r="C292" s="138" t="s">
        <v>179</v>
      </c>
      <c r="D292" s="144">
        <v>0</v>
      </c>
      <c r="E292" s="144">
        <v>0</v>
      </c>
      <c r="F292" s="144">
        <v>0</v>
      </c>
      <c r="G292" s="291">
        <v>0</v>
      </c>
      <c r="H292" s="150">
        <v>0</v>
      </c>
      <c r="I292" s="567">
        <f t="shared" si="7"/>
        <v>0</v>
      </c>
    </row>
    <row r="293" spans="1:9" x14ac:dyDescent="0.15">
      <c r="A293" s="138"/>
      <c r="B293" s="521" t="s">
        <v>175</v>
      </c>
      <c r="C293" s="138" t="s">
        <v>180</v>
      </c>
      <c r="D293" s="144">
        <v>0</v>
      </c>
      <c r="E293" s="144">
        <v>0</v>
      </c>
      <c r="F293" s="144">
        <v>0</v>
      </c>
      <c r="G293" s="291">
        <v>0</v>
      </c>
      <c r="H293" s="150">
        <v>0</v>
      </c>
      <c r="I293" s="567">
        <f t="shared" si="7"/>
        <v>0</v>
      </c>
    </row>
    <row r="294" spans="1:9" ht="11.25" thickBot="1" x14ac:dyDescent="0.2">
      <c r="A294" s="138"/>
      <c r="B294" s="521" t="s">
        <v>176</v>
      </c>
      <c r="C294" s="138" t="s">
        <v>181</v>
      </c>
      <c r="D294" s="144">
        <v>0</v>
      </c>
      <c r="E294" s="144">
        <v>0</v>
      </c>
      <c r="F294" s="144">
        <v>0</v>
      </c>
      <c r="G294" s="291">
        <v>0</v>
      </c>
      <c r="H294" s="150">
        <v>0</v>
      </c>
      <c r="I294" s="567">
        <f t="shared" si="7"/>
        <v>0</v>
      </c>
    </row>
    <row r="295" spans="1:9" ht="12" thickTop="1" thickBot="1" x14ac:dyDescent="0.2">
      <c r="A295" s="138"/>
      <c r="B295" s="521"/>
      <c r="C295" s="138" t="s">
        <v>226</v>
      </c>
      <c r="D295" s="169">
        <f>SUM(D262:D294)</f>
        <v>0</v>
      </c>
      <c r="E295" s="169">
        <f>SUM(E262:E294)</f>
        <v>0</v>
      </c>
      <c r="F295" s="169">
        <f>SUM(F262:F294)</f>
        <v>0</v>
      </c>
      <c r="G295" s="169">
        <f>SUM(G262:G294)</f>
        <v>0</v>
      </c>
      <c r="H295" s="169">
        <f>SUM(H262:H294)</f>
        <v>0</v>
      </c>
      <c r="I295" s="169">
        <f t="shared" si="7"/>
        <v>0</v>
      </c>
    </row>
    <row r="296" spans="1:9" ht="11.25" thickTop="1" x14ac:dyDescent="0.15">
      <c r="A296" s="138"/>
      <c r="B296" s="138"/>
      <c r="C296" s="138"/>
      <c r="D296" s="14"/>
      <c r="E296" s="14"/>
      <c r="F296" s="14"/>
      <c r="G296" s="14"/>
      <c r="H296" s="14"/>
      <c r="I296" s="563"/>
    </row>
    <row r="297" spans="1:9" x14ac:dyDescent="0.15">
      <c r="A297" s="512" t="s">
        <v>225</v>
      </c>
      <c r="B297" s="138"/>
      <c r="C297" s="138"/>
      <c r="D297" s="14"/>
      <c r="E297" s="14"/>
      <c r="F297" s="14"/>
      <c r="G297" s="14"/>
      <c r="H297" s="14"/>
      <c r="I297" s="563"/>
    </row>
    <row r="298" spans="1:9" x14ac:dyDescent="0.15">
      <c r="A298" s="434"/>
      <c r="B298" s="523" t="s">
        <v>1577</v>
      </c>
      <c r="C298" s="524" t="s">
        <v>228</v>
      </c>
      <c r="D298" s="316">
        <v>0</v>
      </c>
      <c r="E298" s="316">
        <v>0</v>
      </c>
      <c r="F298" s="316">
        <v>0</v>
      </c>
      <c r="G298" s="528">
        <f t="array" ref="G298">SUM(IF(CertFund&amp;CertProg&amp;CertObj=RIGHT(LEFT($A$2,7),2)&amp;LEFT(A297,4)&amp;B298,CertSalary))</f>
        <v>0</v>
      </c>
      <c r="H298" s="527">
        <v>0</v>
      </c>
      <c r="I298" s="566">
        <f>SUM(G298+H298)</f>
        <v>0</v>
      </c>
    </row>
    <row r="299" spans="1:9" x14ac:dyDescent="0.15">
      <c r="A299" s="434"/>
      <c r="B299" s="523" t="s">
        <v>1577</v>
      </c>
      <c r="C299" s="524" t="s">
        <v>510</v>
      </c>
      <c r="D299" s="316">
        <v>0</v>
      </c>
      <c r="E299" s="316">
        <v>0</v>
      </c>
      <c r="F299" s="316">
        <v>0</v>
      </c>
      <c r="G299" s="316">
        <v>0</v>
      </c>
      <c r="H299" s="527">
        <v>0</v>
      </c>
      <c r="I299" s="566">
        <f>SUM(G299+H299)</f>
        <v>0</v>
      </c>
    </row>
    <row r="300" spans="1:9" x14ac:dyDescent="0.15">
      <c r="A300" s="524"/>
      <c r="B300" s="523" t="s">
        <v>1578</v>
      </c>
      <c r="C300" s="524" t="s">
        <v>936</v>
      </c>
      <c r="D300" s="316">
        <v>0</v>
      </c>
      <c r="E300" s="316">
        <v>0</v>
      </c>
      <c r="F300" s="316">
        <v>0</v>
      </c>
      <c r="G300" s="529">
        <f t="array" ref="G300">SUM(IF(CertFund&amp;CertProg&amp;CertObj=RIGHT(LEFT($A$2,7),2)&amp;LEFT(A297,4)&amp;B298,CertBen))</f>
        <v>0</v>
      </c>
      <c r="H300" s="527">
        <v>0</v>
      </c>
      <c r="I300" s="566">
        <f>SUM(G300+H300)</f>
        <v>0</v>
      </c>
    </row>
    <row r="301" spans="1:9" x14ac:dyDescent="0.15">
      <c r="A301" s="138"/>
      <c r="B301" s="521" t="s">
        <v>1578</v>
      </c>
      <c r="C301" s="138" t="s">
        <v>511</v>
      </c>
      <c r="D301" s="147">
        <v>0</v>
      </c>
      <c r="E301" s="147">
        <v>0</v>
      </c>
      <c r="F301" s="147">
        <v>0</v>
      </c>
      <c r="G301" s="147">
        <v>0</v>
      </c>
      <c r="H301" s="150">
        <v>0</v>
      </c>
      <c r="I301" s="567">
        <f>SUM(G301+H301)</f>
        <v>0</v>
      </c>
    </row>
    <row r="302" spans="1:9" x14ac:dyDescent="0.15">
      <c r="A302" s="138"/>
      <c r="B302" s="521" t="s">
        <v>1579</v>
      </c>
      <c r="C302" s="138" t="s">
        <v>118</v>
      </c>
      <c r="D302" s="144">
        <v>0</v>
      </c>
      <c r="E302" s="144">
        <v>0</v>
      </c>
      <c r="F302" s="144">
        <v>0</v>
      </c>
      <c r="G302" s="291">
        <v>0</v>
      </c>
      <c r="H302" s="150">
        <v>0</v>
      </c>
      <c r="I302" s="567">
        <f t="shared" ref="I302:I331" si="8">SUM(G302+H302)</f>
        <v>0</v>
      </c>
    </row>
    <row r="303" spans="1:9" x14ac:dyDescent="0.15">
      <c r="A303" s="138"/>
      <c r="B303" s="521" t="s">
        <v>1580</v>
      </c>
      <c r="C303" s="138" t="s">
        <v>119</v>
      </c>
      <c r="D303" s="144">
        <v>0</v>
      </c>
      <c r="E303" s="144">
        <v>0</v>
      </c>
      <c r="F303" s="144">
        <v>0</v>
      </c>
      <c r="G303" s="291">
        <v>0</v>
      </c>
      <c r="H303" s="150">
        <v>0</v>
      </c>
      <c r="I303" s="567">
        <f t="shared" si="8"/>
        <v>0</v>
      </c>
    </row>
    <row r="304" spans="1:9" x14ac:dyDescent="0.15">
      <c r="A304" s="138"/>
      <c r="B304" s="521" t="s">
        <v>120</v>
      </c>
      <c r="C304" s="138" t="s">
        <v>121</v>
      </c>
      <c r="D304" s="144">
        <v>0</v>
      </c>
      <c r="E304" s="144">
        <v>0</v>
      </c>
      <c r="F304" s="144">
        <v>0</v>
      </c>
      <c r="G304" s="291">
        <v>0</v>
      </c>
      <c r="H304" s="150">
        <v>0</v>
      </c>
      <c r="I304" s="567">
        <f t="shared" si="8"/>
        <v>0</v>
      </c>
    </row>
    <row r="305" spans="1:9" x14ac:dyDescent="0.15">
      <c r="A305" s="138"/>
      <c r="B305" s="521" t="s">
        <v>122</v>
      </c>
      <c r="C305" s="138" t="s">
        <v>123</v>
      </c>
      <c r="D305" s="144">
        <v>0</v>
      </c>
      <c r="E305" s="144">
        <v>0</v>
      </c>
      <c r="F305" s="144">
        <v>0</v>
      </c>
      <c r="G305" s="291">
        <v>0</v>
      </c>
      <c r="H305" s="150">
        <v>0</v>
      </c>
      <c r="I305" s="567">
        <f t="shared" si="8"/>
        <v>0</v>
      </c>
    </row>
    <row r="306" spans="1:9" x14ac:dyDescent="0.15">
      <c r="A306" s="138"/>
      <c r="B306" s="521" t="s">
        <v>1581</v>
      </c>
      <c r="C306" s="138" t="s">
        <v>124</v>
      </c>
      <c r="D306" s="144">
        <v>0</v>
      </c>
      <c r="E306" s="144">
        <v>0</v>
      </c>
      <c r="F306" s="144">
        <v>0</v>
      </c>
      <c r="G306" s="291">
        <v>0</v>
      </c>
      <c r="H306" s="150">
        <v>0</v>
      </c>
      <c r="I306" s="567">
        <f t="shared" si="8"/>
        <v>0</v>
      </c>
    </row>
    <row r="307" spans="1:9" x14ac:dyDescent="0.15">
      <c r="A307" s="138"/>
      <c r="B307" s="521" t="s">
        <v>127</v>
      </c>
      <c r="C307" s="138" t="s">
        <v>134</v>
      </c>
      <c r="D307" s="144">
        <v>0</v>
      </c>
      <c r="E307" s="144">
        <v>0</v>
      </c>
      <c r="F307" s="144">
        <v>0</v>
      </c>
      <c r="G307" s="291">
        <v>0</v>
      </c>
      <c r="H307" s="150">
        <v>0</v>
      </c>
      <c r="I307" s="567">
        <f t="shared" si="8"/>
        <v>0</v>
      </c>
    </row>
    <row r="308" spans="1:9" x14ac:dyDescent="0.15">
      <c r="A308" s="138"/>
      <c r="B308" s="521" t="s">
        <v>132</v>
      </c>
      <c r="C308" s="138" t="s">
        <v>1617</v>
      </c>
      <c r="D308" s="144">
        <v>0</v>
      </c>
      <c r="E308" s="144">
        <v>0</v>
      </c>
      <c r="F308" s="144">
        <v>0</v>
      </c>
      <c r="G308" s="291">
        <v>0</v>
      </c>
      <c r="H308" s="150">
        <v>0</v>
      </c>
      <c r="I308" s="567">
        <f t="shared" si="8"/>
        <v>0</v>
      </c>
    </row>
    <row r="309" spans="1:9" x14ac:dyDescent="0.15">
      <c r="A309" s="138"/>
      <c r="B309" s="521" t="s">
        <v>1618</v>
      </c>
      <c r="C309" s="138" t="s">
        <v>836</v>
      </c>
      <c r="D309" s="144">
        <v>0</v>
      </c>
      <c r="E309" s="144">
        <v>0</v>
      </c>
      <c r="F309" s="144">
        <v>0</v>
      </c>
      <c r="G309" s="291">
        <v>0</v>
      </c>
      <c r="H309" s="150">
        <v>0</v>
      </c>
      <c r="I309" s="567">
        <f t="shared" si="8"/>
        <v>0</v>
      </c>
    </row>
    <row r="310" spans="1:9" x14ac:dyDescent="0.15">
      <c r="A310" s="138"/>
      <c r="B310" s="521" t="s">
        <v>1619</v>
      </c>
      <c r="C310" s="138" t="s">
        <v>185</v>
      </c>
      <c r="D310" s="144">
        <v>0</v>
      </c>
      <c r="E310" s="144">
        <v>0</v>
      </c>
      <c r="F310" s="144">
        <v>0</v>
      </c>
      <c r="G310" s="291">
        <v>0</v>
      </c>
      <c r="H310" s="150">
        <v>0</v>
      </c>
      <c r="I310" s="567">
        <f t="shared" si="8"/>
        <v>0</v>
      </c>
    </row>
    <row r="311" spans="1:9" x14ac:dyDescent="0.15">
      <c r="A311" s="138"/>
      <c r="B311" s="521" t="s">
        <v>1620</v>
      </c>
      <c r="C311" s="138" t="s">
        <v>838</v>
      </c>
      <c r="D311" s="144">
        <v>0</v>
      </c>
      <c r="E311" s="144">
        <v>0</v>
      </c>
      <c r="F311" s="144">
        <v>0</v>
      </c>
      <c r="G311" s="291">
        <v>0</v>
      </c>
      <c r="H311" s="150">
        <v>0</v>
      </c>
      <c r="I311" s="567">
        <f t="shared" si="8"/>
        <v>0</v>
      </c>
    </row>
    <row r="312" spans="1:9" x14ac:dyDescent="0.15">
      <c r="A312" s="138"/>
      <c r="B312" s="521" t="s">
        <v>1621</v>
      </c>
      <c r="C312" s="138" t="s">
        <v>839</v>
      </c>
      <c r="D312" s="144">
        <v>0</v>
      </c>
      <c r="E312" s="144">
        <v>0</v>
      </c>
      <c r="F312" s="144">
        <v>0</v>
      </c>
      <c r="G312" s="291">
        <v>0</v>
      </c>
      <c r="H312" s="150">
        <v>0</v>
      </c>
      <c r="I312" s="567">
        <f t="shared" si="8"/>
        <v>0</v>
      </c>
    </row>
    <row r="313" spans="1:9" x14ac:dyDescent="0.15">
      <c r="A313" s="138"/>
      <c r="B313" s="521" t="s">
        <v>1622</v>
      </c>
      <c r="C313" s="138" t="s">
        <v>190</v>
      </c>
      <c r="D313" s="144">
        <v>0</v>
      </c>
      <c r="E313" s="144">
        <v>0</v>
      </c>
      <c r="F313" s="144">
        <v>0</v>
      </c>
      <c r="G313" s="291">
        <v>0</v>
      </c>
      <c r="H313" s="150">
        <v>0</v>
      </c>
      <c r="I313" s="567">
        <f t="shared" si="8"/>
        <v>0</v>
      </c>
    </row>
    <row r="314" spans="1:9" x14ac:dyDescent="0.15">
      <c r="A314" s="138"/>
      <c r="B314" s="521" t="s">
        <v>1623</v>
      </c>
      <c r="C314" s="138" t="s">
        <v>191</v>
      </c>
      <c r="D314" s="144">
        <v>0</v>
      </c>
      <c r="E314" s="144">
        <v>0</v>
      </c>
      <c r="F314" s="144">
        <v>0</v>
      </c>
      <c r="G314" s="291">
        <v>0</v>
      </c>
      <c r="H314" s="150">
        <v>0</v>
      </c>
      <c r="I314" s="567">
        <f t="shared" si="8"/>
        <v>0</v>
      </c>
    </row>
    <row r="315" spans="1:9" x14ac:dyDescent="0.15">
      <c r="A315" s="138"/>
      <c r="B315" s="521" t="s">
        <v>1624</v>
      </c>
      <c r="C315" s="138" t="s">
        <v>840</v>
      </c>
      <c r="D315" s="144">
        <v>0</v>
      </c>
      <c r="E315" s="144">
        <v>0</v>
      </c>
      <c r="F315" s="144">
        <v>0</v>
      </c>
      <c r="G315" s="291">
        <v>0</v>
      </c>
      <c r="H315" s="150">
        <v>0</v>
      </c>
      <c r="I315" s="567">
        <f t="shared" si="8"/>
        <v>0</v>
      </c>
    </row>
    <row r="316" spans="1:9" x14ac:dyDescent="0.15">
      <c r="A316" s="138"/>
      <c r="B316" s="521" t="s">
        <v>1625</v>
      </c>
      <c r="C316" s="138" t="s">
        <v>842</v>
      </c>
      <c r="D316" s="144">
        <v>0</v>
      </c>
      <c r="E316" s="144">
        <v>0</v>
      </c>
      <c r="F316" s="144">
        <v>0</v>
      </c>
      <c r="G316" s="291">
        <v>0</v>
      </c>
      <c r="H316" s="150">
        <v>0</v>
      </c>
      <c r="I316" s="567">
        <f t="shared" si="8"/>
        <v>0</v>
      </c>
    </row>
    <row r="317" spans="1:9" x14ac:dyDescent="0.15">
      <c r="A317" s="138"/>
      <c r="B317" s="521" t="s">
        <v>843</v>
      </c>
      <c r="C317" s="138" t="s">
        <v>848</v>
      </c>
      <c r="D317" s="144">
        <v>0</v>
      </c>
      <c r="E317" s="144">
        <v>0</v>
      </c>
      <c r="F317" s="144">
        <v>0</v>
      </c>
      <c r="G317" s="291">
        <v>0</v>
      </c>
      <c r="H317" s="150">
        <v>0</v>
      </c>
      <c r="I317" s="567">
        <f t="shared" si="8"/>
        <v>0</v>
      </c>
    </row>
    <row r="318" spans="1:9" x14ac:dyDescent="0.15">
      <c r="A318" s="138"/>
      <c r="B318" s="521" t="s">
        <v>844</v>
      </c>
      <c r="C318" s="138" t="s">
        <v>186</v>
      </c>
      <c r="D318" s="144">
        <v>0</v>
      </c>
      <c r="E318" s="144">
        <v>0</v>
      </c>
      <c r="F318" s="144">
        <v>0</v>
      </c>
      <c r="G318" s="291">
        <v>0</v>
      </c>
      <c r="H318" s="150">
        <v>0</v>
      </c>
      <c r="I318" s="567">
        <f t="shared" si="8"/>
        <v>0</v>
      </c>
    </row>
    <row r="319" spans="1:9" x14ac:dyDescent="0.15">
      <c r="A319" s="138"/>
      <c r="B319" s="521" t="s">
        <v>845</v>
      </c>
      <c r="C319" s="138" t="s">
        <v>154</v>
      </c>
      <c r="D319" s="144">
        <v>0</v>
      </c>
      <c r="E319" s="144">
        <v>0</v>
      </c>
      <c r="F319" s="144">
        <v>0</v>
      </c>
      <c r="G319" s="291">
        <v>0</v>
      </c>
      <c r="H319" s="150">
        <v>0</v>
      </c>
      <c r="I319" s="567">
        <f t="shared" si="8"/>
        <v>0</v>
      </c>
    </row>
    <row r="320" spans="1:9" x14ac:dyDescent="0.15">
      <c r="A320" s="138"/>
      <c r="B320" s="521" t="s">
        <v>846</v>
      </c>
      <c r="C320" s="138" t="s">
        <v>155</v>
      </c>
      <c r="D320" s="144">
        <v>0</v>
      </c>
      <c r="E320" s="144">
        <v>0</v>
      </c>
      <c r="F320" s="144">
        <v>0</v>
      </c>
      <c r="G320" s="291">
        <v>0</v>
      </c>
      <c r="H320" s="150">
        <v>0</v>
      </c>
      <c r="I320" s="567">
        <f t="shared" si="8"/>
        <v>0</v>
      </c>
    </row>
    <row r="321" spans="1:9" x14ac:dyDescent="0.15">
      <c r="A321" s="138"/>
      <c r="B321" s="521" t="s">
        <v>1582</v>
      </c>
      <c r="C321" s="138" t="s">
        <v>156</v>
      </c>
      <c r="D321" s="144">
        <v>0</v>
      </c>
      <c r="E321" s="144">
        <v>0</v>
      </c>
      <c r="F321" s="144">
        <v>0</v>
      </c>
      <c r="G321" s="291">
        <v>0</v>
      </c>
      <c r="H321" s="150">
        <v>0</v>
      </c>
      <c r="I321" s="567">
        <f t="shared" si="8"/>
        <v>0</v>
      </c>
    </row>
    <row r="322" spans="1:9" x14ac:dyDescent="0.15">
      <c r="A322" s="138"/>
      <c r="B322" s="521" t="s">
        <v>847</v>
      </c>
      <c r="C322" s="138" t="s">
        <v>157</v>
      </c>
      <c r="D322" s="144">
        <v>0</v>
      </c>
      <c r="E322" s="144">
        <v>0</v>
      </c>
      <c r="F322" s="144">
        <v>0</v>
      </c>
      <c r="G322" s="291">
        <v>0</v>
      </c>
      <c r="H322" s="150">
        <v>0</v>
      </c>
      <c r="I322" s="567">
        <f t="shared" si="8"/>
        <v>0</v>
      </c>
    </row>
    <row r="323" spans="1:9" x14ac:dyDescent="0.15">
      <c r="A323" s="138"/>
      <c r="B323" s="521" t="s">
        <v>1583</v>
      </c>
      <c r="C323" s="138" t="s">
        <v>160</v>
      </c>
      <c r="D323" s="144">
        <v>0</v>
      </c>
      <c r="E323" s="144">
        <v>0</v>
      </c>
      <c r="F323" s="144">
        <v>0</v>
      </c>
      <c r="G323" s="291">
        <v>0</v>
      </c>
      <c r="H323" s="150">
        <v>0</v>
      </c>
      <c r="I323" s="567">
        <f t="shared" si="8"/>
        <v>0</v>
      </c>
    </row>
    <row r="324" spans="1:9" x14ac:dyDescent="0.15">
      <c r="A324" s="138"/>
      <c r="B324" s="521" t="s">
        <v>634</v>
      </c>
      <c r="C324" s="138" t="s">
        <v>165</v>
      </c>
      <c r="D324" s="144">
        <v>0</v>
      </c>
      <c r="E324" s="144">
        <v>0</v>
      </c>
      <c r="F324" s="144">
        <v>0</v>
      </c>
      <c r="G324" s="291">
        <v>0</v>
      </c>
      <c r="H324" s="150">
        <v>0</v>
      </c>
      <c r="I324" s="567">
        <f t="shared" si="8"/>
        <v>0</v>
      </c>
    </row>
    <row r="325" spans="1:9" x14ac:dyDescent="0.15">
      <c r="A325" s="138"/>
      <c r="B325" s="521" t="s">
        <v>630</v>
      </c>
      <c r="C325" s="138" t="s">
        <v>172</v>
      </c>
      <c r="D325" s="144">
        <v>0</v>
      </c>
      <c r="E325" s="144">
        <v>0</v>
      </c>
      <c r="F325" s="144">
        <v>0</v>
      </c>
      <c r="G325" s="291">
        <v>0</v>
      </c>
      <c r="H325" s="150">
        <v>0</v>
      </c>
      <c r="I325" s="567">
        <f t="shared" si="8"/>
        <v>0</v>
      </c>
    </row>
    <row r="326" spans="1:9" x14ac:dyDescent="0.15">
      <c r="A326" s="138"/>
      <c r="B326" s="650" t="s">
        <v>631</v>
      </c>
      <c r="C326" s="651" t="s">
        <v>173</v>
      </c>
      <c r="D326" s="144">
        <v>0</v>
      </c>
      <c r="E326" s="144">
        <v>0</v>
      </c>
      <c r="F326" s="144">
        <v>0</v>
      </c>
      <c r="G326" s="291">
        <v>0</v>
      </c>
      <c r="H326" s="150">
        <v>0</v>
      </c>
      <c r="I326" s="567">
        <f t="shared" si="8"/>
        <v>0</v>
      </c>
    </row>
    <row r="327" spans="1:9" x14ac:dyDescent="0.15">
      <c r="A327" s="138"/>
      <c r="B327" s="521" t="s">
        <v>1584</v>
      </c>
      <c r="C327" s="138" t="s">
        <v>178</v>
      </c>
      <c r="D327" s="144">
        <v>0</v>
      </c>
      <c r="E327" s="144">
        <v>0</v>
      </c>
      <c r="F327" s="144">
        <v>0</v>
      </c>
      <c r="G327" s="291">
        <v>0</v>
      </c>
      <c r="H327" s="150">
        <v>0</v>
      </c>
      <c r="I327" s="567">
        <f t="shared" si="8"/>
        <v>0</v>
      </c>
    </row>
    <row r="328" spans="1:9" x14ac:dyDescent="0.15">
      <c r="A328" s="138"/>
      <c r="B328" s="521" t="s">
        <v>174</v>
      </c>
      <c r="C328" s="138" t="s">
        <v>179</v>
      </c>
      <c r="D328" s="144">
        <v>0</v>
      </c>
      <c r="E328" s="144">
        <v>0</v>
      </c>
      <c r="F328" s="144">
        <v>0</v>
      </c>
      <c r="G328" s="291">
        <v>0</v>
      </c>
      <c r="H328" s="150">
        <v>0</v>
      </c>
      <c r="I328" s="567">
        <f t="shared" si="8"/>
        <v>0</v>
      </c>
    </row>
    <row r="329" spans="1:9" x14ac:dyDescent="0.15">
      <c r="A329" s="138"/>
      <c r="B329" s="521" t="s">
        <v>175</v>
      </c>
      <c r="C329" s="138" t="s">
        <v>180</v>
      </c>
      <c r="D329" s="144">
        <v>0</v>
      </c>
      <c r="E329" s="144">
        <v>0</v>
      </c>
      <c r="F329" s="144">
        <v>0</v>
      </c>
      <c r="G329" s="291">
        <v>0</v>
      </c>
      <c r="H329" s="150">
        <v>0</v>
      </c>
      <c r="I329" s="567">
        <f t="shared" si="8"/>
        <v>0</v>
      </c>
    </row>
    <row r="330" spans="1:9" ht="11.25" thickBot="1" x14ac:dyDescent="0.2">
      <c r="A330" s="138"/>
      <c r="B330" s="521" t="s">
        <v>176</v>
      </c>
      <c r="C330" s="138" t="s">
        <v>181</v>
      </c>
      <c r="D330" s="144">
        <v>0</v>
      </c>
      <c r="E330" s="144">
        <v>0</v>
      </c>
      <c r="F330" s="144">
        <v>0</v>
      </c>
      <c r="G330" s="291">
        <v>0</v>
      </c>
      <c r="H330" s="150">
        <v>0</v>
      </c>
      <c r="I330" s="567">
        <f t="shared" si="8"/>
        <v>0</v>
      </c>
    </row>
    <row r="331" spans="1:9" ht="12" thickTop="1" thickBot="1" x14ac:dyDescent="0.2">
      <c r="A331" s="138"/>
      <c r="B331" s="521"/>
      <c r="C331" s="138" t="s">
        <v>227</v>
      </c>
      <c r="D331" s="169">
        <f>SUM(D298:D330)</f>
        <v>0</v>
      </c>
      <c r="E331" s="169">
        <f>SUM(E298:E330)</f>
        <v>0</v>
      </c>
      <c r="F331" s="169">
        <f>SUM(F298:F330)</f>
        <v>0</v>
      </c>
      <c r="G331" s="169">
        <f>SUM(G298:G330)</f>
        <v>0</v>
      </c>
      <c r="H331" s="169">
        <f>SUM(H298:H330)</f>
        <v>0</v>
      </c>
      <c r="I331" s="169">
        <f t="shared" si="8"/>
        <v>0</v>
      </c>
    </row>
    <row r="332" spans="1:9" ht="11.25" thickTop="1" x14ac:dyDescent="0.15">
      <c r="A332" s="138"/>
      <c r="B332" s="138"/>
      <c r="C332" s="138"/>
      <c r="D332" s="14"/>
      <c r="E332" s="14"/>
      <c r="F332" s="14"/>
      <c r="G332" s="14"/>
      <c r="H332" s="14"/>
      <c r="I332" s="563"/>
    </row>
    <row r="333" spans="1:9" x14ac:dyDescent="0.15">
      <c r="A333" s="512" t="s">
        <v>235</v>
      </c>
      <c r="B333" s="138"/>
      <c r="C333" s="138"/>
      <c r="D333" s="14"/>
      <c r="E333" s="14"/>
      <c r="F333" s="14"/>
      <c r="G333" s="14"/>
      <c r="H333" s="14"/>
      <c r="I333" s="563"/>
    </row>
    <row r="334" spans="1:9" x14ac:dyDescent="0.15">
      <c r="A334" s="434"/>
      <c r="B334" s="523" t="s">
        <v>1577</v>
      </c>
      <c r="C334" s="524" t="s">
        <v>228</v>
      </c>
      <c r="D334" s="316">
        <v>0</v>
      </c>
      <c r="E334" s="316">
        <v>0</v>
      </c>
      <c r="F334" s="316">
        <v>0</v>
      </c>
      <c r="G334" s="528">
        <f t="array" ref="G334">SUM(IF(CertFund&amp;CertProg&amp;CertObj=RIGHT(LEFT($A$2,7),2)&amp;LEFT(A333,4)&amp;B334,CertSalary))</f>
        <v>0</v>
      </c>
      <c r="H334" s="527">
        <v>0</v>
      </c>
      <c r="I334" s="566">
        <f>SUM(G334+H334)</f>
        <v>0</v>
      </c>
    </row>
    <row r="335" spans="1:9" x14ac:dyDescent="0.15">
      <c r="A335" s="434"/>
      <c r="B335" s="523" t="s">
        <v>1577</v>
      </c>
      <c r="C335" s="524" t="s">
        <v>510</v>
      </c>
      <c r="D335" s="316">
        <v>0</v>
      </c>
      <c r="E335" s="316">
        <v>0</v>
      </c>
      <c r="F335" s="316">
        <v>0</v>
      </c>
      <c r="G335" s="316">
        <v>0</v>
      </c>
      <c r="H335" s="527">
        <v>0</v>
      </c>
      <c r="I335" s="566">
        <f>SUM(G335+H335)</f>
        <v>0</v>
      </c>
    </row>
    <row r="336" spans="1:9" x14ac:dyDescent="0.15">
      <c r="A336" s="524"/>
      <c r="B336" s="523" t="s">
        <v>1578</v>
      </c>
      <c r="C336" s="524" t="s">
        <v>936</v>
      </c>
      <c r="D336" s="316">
        <v>0</v>
      </c>
      <c r="E336" s="316">
        <v>0</v>
      </c>
      <c r="F336" s="316">
        <v>0</v>
      </c>
      <c r="G336" s="529">
        <f t="array" ref="G336">SUM(IF(CertFund&amp;CertProg&amp;CertObj=RIGHT(LEFT($A$2,7),2)&amp;LEFT(A333,4)&amp;B334,CertBen))</f>
        <v>0</v>
      </c>
      <c r="H336" s="527">
        <v>0</v>
      </c>
      <c r="I336" s="566">
        <f>SUM(G336+H336)</f>
        <v>0</v>
      </c>
    </row>
    <row r="337" spans="1:9" x14ac:dyDescent="0.15">
      <c r="A337" s="138"/>
      <c r="B337" s="521" t="s">
        <v>1578</v>
      </c>
      <c r="C337" s="138" t="s">
        <v>511</v>
      </c>
      <c r="D337" s="147">
        <v>0</v>
      </c>
      <c r="E337" s="147">
        <v>0</v>
      </c>
      <c r="F337" s="147">
        <v>0</v>
      </c>
      <c r="G337" s="147">
        <v>0</v>
      </c>
      <c r="H337" s="150">
        <v>0</v>
      </c>
      <c r="I337" s="567">
        <f>SUM(G337+H337)</f>
        <v>0</v>
      </c>
    </row>
    <row r="338" spans="1:9" x14ac:dyDescent="0.15">
      <c r="A338" s="138"/>
      <c r="B338" s="521" t="s">
        <v>1579</v>
      </c>
      <c r="C338" s="138" t="s">
        <v>118</v>
      </c>
      <c r="D338" s="144">
        <v>0</v>
      </c>
      <c r="E338" s="144">
        <v>0</v>
      </c>
      <c r="F338" s="144">
        <v>0</v>
      </c>
      <c r="G338" s="291">
        <v>0</v>
      </c>
      <c r="H338" s="150">
        <v>0</v>
      </c>
      <c r="I338" s="567">
        <f t="shared" ref="I338:I367" si="9">SUM(G338+H338)</f>
        <v>0</v>
      </c>
    </row>
    <row r="339" spans="1:9" x14ac:dyDescent="0.15">
      <c r="A339" s="138"/>
      <c r="B339" s="521" t="s">
        <v>1580</v>
      </c>
      <c r="C339" s="138" t="s">
        <v>119</v>
      </c>
      <c r="D339" s="144">
        <v>0</v>
      </c>
      <c r="E339" s="144">
        <v>0</v>
      </c>
      <c r="F339" s="144">
        <v>0</v>
      </c>
      <c r="G339" s="291">
        <v>0</v>
      </c>
      <c r="H339" s="150">
        <v>0</v>
      </c>
      <c r="I339" s="567">
        <f t="shared" si="9"/>
        <v>0</v>
      </c>
    </row>
    <row r="340" spans="1:9" x14ac:dyDescent="0.15">
      <c r="A340" s="138"/>
      <c r="B340" s="521" t="s">
        <v>120</v>
      </c>
      <c r="C340" s="138" t="s">
        <v>121</v>
      </c>
      <c r="D340" s="144">
        <v>0</v>
      </c>
      <c r="E340" s="144">
        <v>0</v>
      </c>
      <c r="F340" s="144">
        <v>0</v>
      </c>
      <c r="G340" s="291">
        <v>0</v>
      </c>
      <c r="H340" s="150">
        <v>0</v>
      </c>
      <c r="I340" s="567">
        <f t="shared" si="9"/>
        <v>0</v>
      </c>
    </row>
    <row r="341" spans="1:9" x14ac:dyDescent="0.15">
      <c r="A341" s="138"/>
      <c r="B341" s="521" t="s">
        <v>122</v>
      </c>
      <c r="C341" s="138" t="s">
        <v>123</v>
      </c>
      <c r="D341" s="144">
        <v>0</v>
      </c>
      <c r="E341" s="144">
        <v>0</v>
      </c>
      <c r="F341" s="144">
        <v>0</v>
      </c>
      <c r="G341" s="291">
        <v>0</v>
      </c>
      <c r="H341" s="150">
        <v>0</v>
      </c>
      <c r="I341" s="567">
        <f t="shared" si="9"/>
        <v>0</v>
      </c>
    </row>
    <row r="342" spans="1:9" x14ac:dyDescent="0.15">
      <c r="A342" s="138"/>
      <c r="B342" s="521" t="s">
        <v>1581</v>
      </c>
      <c r="C342" s="138" t="s">
        <v>124</v>
      </c>
      <c r="D342" s="144">
        <v>0</v>
      </c>
      <c r="E342" s="144">
        <v>0</v>
      </c>
      <c r="F342" s="144">
        <v>0</v>
      </c>
      <c r="G342" s="291">
        <v>0</v>
      </c>
      <c r="H342" s="150">
        <v>0</v>
      </c>
      <c r="I342" s="567">
        <f t="shared" si="9"/>
        <v>0</v>
      </c>
    </row>
    <row r="343" spans="1:9" x14ac:dyDescent="0.15">
      <c r="A343" s="138"/>
      <c r="B343" s="521" t="s">
        <v>127</v>
      </c>
      <c r="C343" s="138" t="s">
        <v>134</v>
      </c>
      <c r="D343" s="144">
        <v>0</v>
      </c>
      <c r="E343" s="144">
        <v>0</v>
      </c>
      <c r="F343" s="144">
        <v>0</v>
      </c>
      <c r="G343" s="291">
        <v>0</v>
      </c>
      <c r="H343" s="150">
        <v>0</v>
      </c>
      <c r="I343" s="567">
        <f t="shared" si="9"/>
        <v>0</v>
      </c>
    </row>
    <row r="344" spans="1:9" x14ac:dyDescent="0.15">
      <c r="A344" s="138"/>
      <c r="B344" s="521" t="s">
        <v>132</v>
      </c>
      <c r="C344" s="138" t="s">
        <v>1617</v>
      </c>
      <c r="D344" s="144">
        <v>0</v>
      </c>
      <c r="E344" s="144">
        <v>0</v>
      </c>
      <c r="F344" s="144">
        <v>0</v>
      </c>
      <c r="G344" s="291">
        <v>0</v>
      </c>
      <c r="H344" s="150">
        <v>0</v>
      </c>
      <c r="I344" s="567">
        <f t="shared" si="9"/>
        <v>0</v>
      </c>
    </row>
    <row r="345" spans="1:9" x14ac:dyDescent="0.15">
      <c r="A345" s="138"/>
      <c r="B345" s="521" t="s">
        <v>1618</v>
      </c>
      <c r="C345" s="138" t="s">
        <v>836</v>
      </c>
      <c r="D345" s="144">
        <v>0</v>
      </c>
      <c r="E345" s="144">
        <v>0</v>
      </c>
      <c r="F345" s="144">
        <v>0</v>
      </c>
      <c r="G345" s="291">
        <v>0</v>
      </c>
      <c r="H345" s="150">
        <v>0</v>
      </c>
      <c r="I345" s="567">
        <f t="shared" si="9"/>
        <v>0</v>
      </c>
    </row>
    <row r="346" spans="1:9" x14ac:dyDescent="0.15">
      <c r="A346" s="138"/>
      <c r="B346" s="521" t="s">
        <v>1619</v>
      </c>
      <c r="C346" s="138" t="s">
        <v>185</v>
      </c>
      <c r="D346" s="144">
        <v>0</v>
      </c>
      <c r="E346" s="144">
        <v>0</v>
      </c>
      <c r="F346" s="144">
        <v>0</v>
      </c>
      <c r="G346" s="291">
        <v>0</v>
      </c>
      <c r="H346" s="150">
        <v>0</v>
      </c>
      <c r="I346" s="567">
        <f t="shared" si="9"/>
        <v>0</v>
      </c>
    </row>
    <row r="347" spans="1:9" x14ac:dyDescent="0.15">
      <c r="A347" s="138"/>
      <c r="B347" s="521" t="s">
        <v>1620</v>
      </c>
      <c r="C347" s="138" t="s">
        <v>838</v>
      </c>
      <c r="D347" s="144">
        <v>0</v>
      </c>
      <c r="E347" s="144">
        <v>0</v>
      </c>
      <c r="F347" s="144">
        <v>0</v>
      </c>
      <c r="G347" s="291">
        <v>0</v>
      </c>
      <c r="H347" s="150">
        <v>0</v>
      </c>
      <c r="I347" s="567">
        <f t="shared" si="9"/>
        <v>0</v>
      </c>
    </row>
    <row r="348" spans="1:9" x14ac:dyDescent="0.15">
      <c r="A348" s="138"/>
      <c r="B348" s="521" t="s">
        <v>1621</v>
      </c>
      <c r="C348" s="138" t="s">
        <v>839</v>
      </c>
      <c r="D348" s="144">
        <v>0</v>
      </c>
      <c r="E348" s="144">
        <v>0</v>
      </c>
      <c r="F348" s="144">
        <v>0</v>
      </c>
      <c r="G348" s="291">
        <v>0</v>
      </c>
      <c r="H348" s="150">
        <v>0</v>
      </c>
      <c r="I348" s="567">
        <f t="shared" si="9"/>
        <v>0</v>
      </c>
    </row>
    <row r="349" spans="1:9" x14ac:dyDescent="0.15">
      <c r="A349" s="138"/>
      <c r="B349" s="521" t="s">
        <v>1622</v>
      </c>
      <c r="C349" s="138" t="s">
        <v>190</v>
      </c>
      <c r="D349" s="144">
        <v>0</v>
      </c>
      <c r="E349" s="144">
        <v>0</v>
      </c>
      <c r="F349" s="144">
        <v>0</v>
      </c>
      <c r="G349" s="291">
        <v>0</v>
      </c>
      <c r="H349" s="150">
        <v>0</v>
      </c>
      <c r="I349" s="567">
        <f t="shared" si="9"/>
        <v>0</v>
      </c>
    </row>
    <row r="350" spans="1:9" x14ac:dyDescent="0.15">
      <c r="A350" s="138"/>
      <c r="B350" s="521" t="s">
        <v>1623</v>
      </c>
      <c r="C350" s="138" t="s">
        <v>191</v>
      </c>
      <c r="D350" s="144">
        <v>0</v>
      </c>
      <c r="E350" s="144">
        <v>0</v>
      </c>
      <c r="F350" s="144">
        <v>0</v>
      </c>
      <c r="G350" s="291">
        <v>0</v>
      </c>
      <c r="H350" s="150">
        <v>0</v>
      </c>
      <c r="I350" s="567">
        <f t="shared" si="9"/>
        <v>0</v>
      </c>
    </row>
    <row r="351" spans="1:9" x14ac:dyDescent="0.15">
      <c r="A351" s="138"/>
      <c r="B351" s="521" t="s">
        <v>1624</v>
      </c>
      <c r="C351" s="138" t="s">
        <v>840</v>
      </c>
      <c r="D351" s="144">
        <v>0</v>
      </c>
      <c r="E351" s="144">
        <v>0</v>
      </c>
      <c r="F351" s="144">
        <v>0</v>
      </c>
      <c r="G351" s="291">
        <v>0</v>
      </c>
      <c r="H351" s="150">
        <v>0</v>
      </c>
      <c r="I351" s="567">
        <f t="shared" si="9"/>
        <v>0</v>
      </c>
    </row>
    <row r="352" spans="1:9" x14ac:dyDescent="0.15">
      <c r="A352" s="138"/>
      <c r="B352" s="521" t="s">
        <v>1625</v>
      </c>
      <c r="C352" s="138" t="s">
        <v>842</v>
      </c>
      <c r="D352" s="144">
        <v>0</v>
      </c>
      <c r="E352" s="144">
        <v>0</v>
      </c>
      <c r="F352" s="144">
        <v>0</v>
      </c>
      <c r="G352" s="291">
        <v>0</v>
      </c>
      <c r="H352" s="150">
        <v>0</v>
      </c>
      <c r="I352" s="567">
        <f t="shared" si="9"/>
        <v>0</v>
      </c>
    </row>
    <row r="353" spans="1:9" x14ac:dyDescent="0.15">
      <c r="A353" s="138"/>
      <c r="B353" s="521" t="s">
        <v>843</v>
      </c>
      <c r="C353" s="138" t="s">
        <v>848</v>
      </c>
      <c r="D353" s="144">
        <v>0</v>
      </c>
      <c r="E353" s="144">
        <v>0</v>
      </c>
      <c r="F353" s="144">
        <v>0</v>
      </c>
      <c r="G353" s="291">
        <v>0</v>
      </c>
      <c r="H353" s="150">
        <v>0</v>
      </c>
      <c r="I353" s="567">
        <f t="shared" si="9"/>
        <v>0</v>
      </c>
    </row>
    <row r="354" spans="1:9" x14ac:dyDescent="0.15">
      <c r="A354" s="138"/>
      <c r="B354" s="521" t="s">
        <v>844</v>
      </c>
      <c r="C354" s="138" t="s">
        <v>186</v>
      </c>
      <c r="D354" s="144">
        <v>0</v>
      </c>
      <c r="E354" s="144">
        <v>0</v>
      </c>
      <c r="F354" s="144">
        <v>0</v>
      </c>
      <c r="G354" s="291">
        <v>0</v>
      </c>
      <c r="H354" s="150">
        <v>0</v>
      </c>
      <c r="I354" s="567">
        <f t="shared" si="9"/>
        <v>0</v>
      </c>
    </row>
    <row r="355" spans="1:9" x14ac:dyDescent="0.15">
      <c r="A355" s="138"/>
      <c r="B355" s="521" t="s">
        <v>845</v>
      </c>
      <c r="C355" s="138" t="s">
        <v>154</v>
      </c>
      <c r="D355" s="144">
        <v>0</v>
      </c>
      <c r="E355" s="144">
        <v>0</v>
      </c>
      <c r="F355" s="144">
        <v>0</v>
      </c>
      <c r="G355" s="291">
        <v>0</v>
      </c>
      <c r="H355" s="150">
        <v>0</v>
      </c>
      <c r="I355" s="567">
        <f t="shared" si="9"/>
        <v>0</v>
      </c>
    </row>
    <row r="356" spans="1:9" x14ac:dyDescent="0.15">
      <c r="A356" s="138"/>
      <c r="B356" s="521" t="s">
        <v>846</v>
      </c>
      <c r="C356" s="138" t="s">
        <v>155</v>
      </c>
      <c r="D356" s="144">
        <v>0</v>
      </c>
      <c r="E356" s="144">
        <v>0</v>
      </c>
      <c r="F356" s="144">
        <v>0</v>
      </c>
      <c r="G356" s="291">
        <v>0</v>
      </c>
      <c r="H356" s="150">
        <v>0</v>
      </c>
      <c r="I356" s="567">
        <f t="shared" si="9"/>
        <v>0</v>
      </c>
    </row>
    <row r="357" spans="1:9" x14ac:dyDescent="0.15">
      <c r="A357" s="138"/>
      <c r="B357" s="521" t="s">
        <v>1582</v>
      </c>
      <c r="C357" s="138" t="s">
        <v>156</v>
      </c>
      <c r="D357" s="144">
        <v>0</v>
      </c>
      <c r="E357" s="144">
        <v>0</v>
      </c>
      <c r="F357" s="144">
        <v>0</v>
      </c>
      <c r="G357" s="291">
        <v>0</v>
      </c>
      <c r="H357" s="150">
        <v>0</v>
      </c>
      <c r="I357" s="567">
        <f t="shared" si="9"/>
        <v>0</v>
      </c>
    </row>
    <row r="358" spans="1:9" x14ac:dyDescent="0.15">
      <c r="A358" s="138"/>
      <c r="B358" s="521" t="s">
        <v>847</v>
      </c>
      <c r="C358" s="138" t="s">
        <v>157</v>
      </c>
      <c r="D358" s="144">
        <v>0</v>
      </c>
      <c r="E358" s="144">
        <v>0</v>
      </c>
      <c r="F358" s="144">
        <v>0</v>
      </c>
      <c r="G358" s="291">
        <v>0</v>
      </c>
      <c r="H358" s="150">
        <v>0</v>
      </c>
      <c r="I358" s="567">
        <f t="shared" si="9"/>
        <v>0</v>
      </c>
    </row>
    <row r="359" spans="1:9" x14ac:dyDescent="0.15">
      <c r="A359" s="138"/>
      <c r="B359" s="521" t="s">
        <v>1583</v>
      </c>
      <c r="C359" s="138" t="s">
        <v>160</v>
      </c>
      <c r="D359" s="144">
        <v>0</v>
      </c>
      <c r="E359" s="144">
        <v>0</v>
      </c>
      <c r="F359" s="144">
        <v>0</v>
      </c>
      <c r="G359" s="291">
        <v>0</v>
      </c>
      <c r="H359" s="150">
        <v>0</v>
      </c>
      <c r="I359" s="567">
        <f t="shared" si="9"/>
        <v>0</v>
      </c>
    </row>
    <row r="360" spans="1:9" x14ac:dyDescent="0.15">
      <c r="A360" s="138"/>
      <c r="B360" s="521" t="s">
        <v>634</v>
      </c>
      <c r="C360" s="138" t="s">
        <v>165</v>
      </c>
      <c r="D360" s="144">
        <v>0</v>
      </c>
      <c r="E360" s="144">
        <v>0</v>
      </c>
      <c r="F360" s="144">
        <v>0</v>
      </c>
      <c r="G360" s="291">
        <v>0</v>
      </c>
      <c r="H360" s="150">
        <v>0</v>
      </c>
      <c r="I360" s="567">
        <f t="shared" si="9"/>
        <v>0</v>
      </c>
    </row>
    <row r="361" spans="1:9" x14ac:dyDescent="0.15">
      <c r="A361" s="138"/>
      <c r="B361" s="521" t="s">
        <v>630</v>
      </c>
      <c r="C361" s="138" t="s">
        <v>172</v>
      </c>
      <c r="D361" s="144">
        <v>0</v>
      </c>
      <c r="E361" s="144">
        <v>0</v>
      </c>
      <c r="F361" s="144">
        <v>0</v>
      </c>
      <c r="G361" s="291">
        <v>0</v>
      </c>
      <c r="H361" s="150">
        <v>0</v>
      </c>
      <c r="I361" s="567">
        <f t="shared" si="9"/>
        <v>0</v>
      </c>
    </row>
    <row r="362" spans="1:9" x14ac:dyDescent="0.15">
      <c r="A362" s="138"/>
      <c r="B362" s="650" t="s">
        <v>631</v>
      </c>
      <c r="C362" s="651" t="s">
        <v>173</v>
      </c>
      <c r="D362" s="144">
        <v>0</v>
      </c>
      <c r="E362" s="144">
        <v>0</v>
      </c>
      <c r="F362" s="144">
        <v>0</v>
      </c>
      <c r="G362" s="291">
        <v>0</v>
      </c>
      <c r="H362" s="150">
        <v>0</v>
      </c>
      <c r="I362" s="567">
        <f t="shared" si="9"/>
        <v>0</v>
      </c>
    </row>
    <row r="363" spans="1:9" x14ac:dyDescent="0.15">
      <c r="A363" s="138"/>
      <c r="B363" s="521" t="s">
        <v>1584</v>
      </c>
      <c r="C363" s="138" t="s">
        <v>178</v>
      </c>
      <c r="D363" s="144">
        <v>0</v>
      </c>
      <c r="E363" s="144">
        <v>0</v>
      </c>
      <c r="F363" s="144">
        <v>0</v>
      </c>
      <c r="G363" s="291">
        <v>0</v>
      </c>
      <c r="H363" s="150">
        <v>0</v>
      </c>
      <c r="I363" s="567">
        <f t="shared" si="9"/>
        <v>0</v>
      </c>
    </row>
    <row r="364" spans="1:9" x14ac:dyDescent="0.15">
      <c r="A364" s="138"/>
      <c r="B364" s="521" t="s">
        <v>174</v>
      </c>
      <c r="C364" s="138" t="s">
        <v>179</v>
      </c>
      <c r="D364" s="144">
        <v>0</v>
      </c>
      <c r="E364" s="144">
        <v>0</v>
      </c>
      <c r="F364" s="144">
        <v>0</v>
      </c>
      <c r="G364" s="291">
        <v>0</v>
      </c>
      <c r="H364" s="150">
        <v>0</v>
      </c>
      <c r="I364" s="567">
        <f t="shared" si="9"/>
        <v>0</v>
      </c>
    </row>
    <row r="365" spans="1:9" x14ac:dyDescent="0.15">
      <c r="A365" s="138"/>
      <c r="B365" s="521" t="s">
        <v>175</v>
      </c>
      <c r="C365" s="138" t="s">
        <v>180</v>
      </c>
      <c r="D365" s="144">
        <v>0</v>
      </c>
      <c r="E365" s="144">
        <v>0</v>
      </c>
      <c r="F365" s="144">
        <v>0</v>
      </c>
      <c r="G365" s="291">
        <v>0</v>
      </c>
      <c r="H365" s="150">
        <v>0</v>
      </c>
      <c r="I365" s="567">
        <f t="shared" si="9"/>
        <v>0</v>
      </c>
    </row>
    <row r="366" spans="1:9" ht="11.25" thickBot="1" x14ac:dyDescent="0.2">
      <c r="A366" s="138"/>
      <c r="B366" s="521" t="s">
        <v>176</v>
      </c>
      <c r="C366" s="138" t="s">
        <v>181</v>
      </c>
      <c r="D366" s="144">
        <v>0</v>
      </c>
      <c r="E366" s="144">
        <v>0</v>
      </c>
      <c r="F366" s="144">
        <v>0</v>
      </c>
      <c r="G366" s="291">
        <v>0</v>
      </c>
      <c r="H366" s="150">
        <v>0</v>
      </c>
      <c r="I366" s="567">
        <f t="shared" si="9"/>
        <v>0</v>
      </c>
    </row>
    <row r="367" spans="1:9" ht="12" thickTop="1" thickBot="1" x14ac:dyDescent="0.2">
      <c r="A367" s="138"/>
      <c r="B367" s="521"/>
      <c r="C367" s="138" t="s">
        <v>236</v>
      </c>
      <c r="D367" s="169">
        <f>SUM(D334:D366)</f>
        <v>0</v>
      </c>
      <c r="E367" s="169">
        <f>SUM(E334:E366)</f>
        <v>0</v>
      </c>
      <c r="F367" s="169">
        <f>SUM(F334:F366)</f>
        <v>0</v>
      </c>
      <c r="G367" s="169">
        <f>SUM(G334:G366)</f>
        <v>0</v>
      </c>
      <c r="H367" s="169">
        <f>SUM(H334:H366)</f>
        <v>0</v>
      </c>
      <c r="I367" s="169">
        <f t="shared" si="9"/>
        <v>0</v>
      </c>
    </row>
    <row r="368" spans="1:9" ht="11.25" thickTop="1" x14ac:dyDescent="0.15">
      <c r="A368" s="138"/>
      <c r="B368" s="521"/>
      <c r="C368" s="138"/>
      <c r="D368" s="14"/>
      <c r="E368" s="14"/>
      <c r="F368" s="14"/>
      <c r="G368" s="14"/>
      <c r="H368" s="14"/>
      <c r="I368" s="563"/>
    </row>
    <row r="369" spans="1:9" x14ac:dyDescent="0.15">
      <c r="A369" s="512" t="s">
        <v>239</v>
      </c>
      <c r="B369" s="138"/>
      <c r="C369" s="138"/>
      <c r="D369" s="14"/>
      <c r="E369" s="14"/>
      <c r="F369" s="14"/>
      <c r="G369" s="14"/>
      <c r="H369" s="14"/>
      <c r="I369" s="563"/>
    </row>
    <row r="370" spans="1:9" x14ac:dyDescent="0.15">
      <c r="A370" s="522" t="s">
        <v>238</v>
      </c>
      <c r="B370" s="138"/>
      <c r="C370" s="138"/>
      <c r="D370" s="14"/>
      <c r="E370" s="14"/>
      <c r="F370" s="14"/>
      <c r="G370" s="14"/>
      <c r="H370" s="14"/>
      <c r="I370" s="563"/>
    </row>
    <row r="371" spans="1:9" x14ac:dyDescent="0.15">
      <c r="A371" s="434"/>
      <c r="B371" s="523" t="s">
        <v>1577</v>
      </c>
      <c r="C371" s="524" t="s">
        <v>228</v>
      </c>
      <c r="D371" s="316">
        <v>0</v>
      </c>
      <c r="E371" s="316">
        <v>0</v>
      </c>
      <c r="F371" s="316">
        <v>0</v>
      </c>
      <c r="G371" s="528">
        <f t="array" ref="G371">SUM(IF(CertFund&amp;CertProg&amp;CertObj=RIGHT(LEFT($A$2,7),2)&amp;LEFT(A370,4)&amp;B371,CertSalary))</f>
        <v>0</v>
      </c>
      <c r="H371" s="527">
        <v>0</v>
      </c>
      <c r="I371" s="566">
        <f>SUM(G371+H371)</f>
        <v>0</v>
      </c>
    </row>
    <row r="372" spans="1:9" x14ac:dyDescent="0.15">
      <c r="A372" s="434"/>
      <c r="B372" s="523" t="s">
        <v>1577</v>
      </c>
      <c r="C372" s="524" t="s">
        <v>510</v>
      </c>
      <c r="D372" s="316">
        <v>0</v>
      </c>
      <c r="E372" s="316">
        <v>0</v>
      </c>
      <c r="F372" s="316">
        <v>0</v>
      </c>
      <c r="G372" s="316">
        <v>0</v>
      </c>
      <c r="H372" s="527">
        <v>0</v>
      </c>
      <c r="I372" s="566">
        <f>SUM(G372+H372)</f>
        <v>0</v>
      </c>
    </row>
    <row r="373" spans="1:9" x14ac:dyDescent="0.15">
      <c r="A373" s="524"/>
      <c r="B373" s="523" t="s">
        <v>1578</v>
      </c>
      <c r="C373" s="524" t="s">
        <v>936</v>
      </c>
      <c r="D373" s="316">
        <v>0</v>
      </c>
      <c r="E373" s="316">
        <v>0</v>
      </c>
      <c r="F373" s="316">
        <v>0</v>
      </c>
      <c r="G373" s="529">
        <f t="array" ref="G373">SUM(IF(CertFund&amp;CertProg&amp;CertObj=RIGHT(LEFT($A$2,7),2)&amp;LEFT(A370,4)&amp;B371,CertBen))</f>
        <v>0</v>
      </c>
      <c r="H373" s="527">
        <v>0</v>
      </c>
      <c r="I373" s="566">
        <f>SUM(G373+H373)</f>
        <v>0</v>
      </c>
    </row>
    <row r="374" spans="1:9" x14ac:dyDescent="0.15">
      <c r="A374" s="138"/>
      <c r="B374" s="521" t="s">
        <v>1578</v>
      </c>
      <c r="C374" s="138" t="s">
        <v>511</v>
      </c>
      <c r="D374" s="147">
        <v>0</v>
      </c>
      <c r="E374" s="147">
        <v>0</v>
      </c>
      <c r="F374" s="147">
        <v>0</v>
      </c>
      <c r="G374" s="147">
        <v>0</v>
      </c>
      <c r="H374" s="150">
        <v>0</v>
      </c>
      <c r="I374" s="567">
        <f>SUM(G374+H374)</f>
        <v>0</v>
      </c>
    </row>
    <row r="375" spans="1:9" x14ac:dyDescent="0.15">
      <c r="A375" s="138"/>
      <c r="B375" s="523" t="s">
        <v>1579</v>
      </c>
      <c r="C375" s="524" t="s">
        <v>118</v>
      </c>
      <c r="D375" s="144">
        <v>0</v>
      </c>
      <c r="E375" s="144">
        <v>0</v>
      </c>
      <c r="F375" s="144">
        <v>0</v>
      </c>
      <c r="G375" s="291">
        <v>0</v>
      </c>
      <c r="H375" s="150">
        <v>0</v>
      </c>
      <c r="I375" s="567">
        <f t="shared" ref="I375:I403" si="10">SUM(G375+H375)</f>
        <v>0</v>
      </c>
    </row>
    <row r="376" spans="1:9" x14ac:dyDescent="0.15">
      <c r="A376" s="138"/>
      <c r="B376" s="523" t="s">
        <v>1580</v>
      </c>
      <c r="C376" s="524" t="s">
        <v>119</v>
      </c>
      <c r="D376" s="144">
        <v>0</v>
      </c>
      <c r="E376" s="144">
        <v>0</v>
      </c>
      <c r="F376" s="144">
        <v>0</v>
      </c>
      <c r="G376" s="291">
        <v>0</v>
      </c>
      <c r="H376" s="150">
        <v>0</v>
      </c>
      <c r="I376" s="567">
        <f t="shared" si="10"/>
        <v>0</v>
      </c>
    </row>
    <row r="377" spans="1:9" x14ac:dyDescent="0.15">
      <c r="A377" s="138"/>
      <c r="B377" s="523" t="s">
        <v>120</v>
      </c>
      <c r="C377" s="524" t="s">
        <v>121</v>
      </c>
      <c r="D377" s="144">
        <v>0</v>
      </c>
      <c r="E377" s="144">
        <v>0</v>
      </c>
      <c r="F377" s="144">
        <v>0</v>
      </c>
      <c r="G377" s="291">
        <v>0</v>
      </c>
      <c r="H377" s="150">
        <v>0</v>
      </c>
      <c r="I377" s="567">
        <f t="shared" si="10"/>
        <v>0</v>
      </c>
    </row>
    <row r="378" spans="1:9" x14ac:dyDescent="0.15">
      <c r="A378" s="138"/>
      <c r="B378" s="523" t="s">
        <v>122</v>
      </c>
      <c r="C378" s="524" t="s">
        <v>123</v>
      </c>
      <c r="D378" s="144">
        <v>0</v>
      </c>
      <c r="E378" s="144">
        <v>0</v>
      </c>
      <c r="F378" s="144">
        <v>0</v>
      </c>
      <c r="G378" s="291">
        <v>0</v>
      </c>
      <c r="H378" s="150">
        <v>0</v>
      </c>
      <c r="I378" s="567">
        <f t="shared" si="10"/>
        <v>0</v>
      </c>
    </row>
    <row r="379" spans="1:9" x14ac:dyDescent="0.15">
      <c r="A379" s="138"/>
      <c r="B379" s="523" t="s">
        <v>1581</v>
      </c>
      <c r="C379" s="524" t="s">
        <v>124</v>
      </c>
      <c r="D379" s="144">
        <v>0</v>
      </c>
      <c r="E379" s="144">
        <v>0</v>
      </c>
      <c r="F379" s="144">
        <v>0</v>
      </c>
      <c r="G379" s="291">
        <v>0</v>
      </c>
      <c r="H379" s="150">
        <v>0</v>
      </c>
      <c r="I379" s="567">
        <f t="shared" si="10"/>
        <v>0</v>
      </c>
    </row>
    <row r="380" spans="1:9" x14ac:dyDescent="0.15">
      <c r="A380" s="138"/>
      <c r="B380" s="523" t="s">
        <v>127</v>
      </c>
      <c r="C380" s="524" t="s">
        <v>134</v>
      </c>
      <c r="D380" s="144">
        <v>0</v>
      </c>
      <c r="E380" s="144">
        <v>0</v>
      </c>
      <c r="F380" s="144">
        <v>0</v>
      </c>
      <c r="G380" s="291">
        <v>0</v>
      </c>
      <c r="H380" s="150">
        <v>0</v>
      </c>
      <c r="I380" s="567">
        <f t="shared" si="10"/>
        <v>0</v>
      </c>
    </row>
    <row r="381" spans="1:9" x14ac:dyDescent="0.15">
      <c r="A381" s="138"/>
      <c r="B381" s="523" t="s">
        <v>128</v>
      </c>
      <c r="C381" s="524" t="s">
        <v>135</v>
      </c>
      <c r="D381" s="144">
        <v>0</v>
      </c>
      <c r="E381" s="144">
        <v>0</v>
      </c>
      <c r="F381" s="144">
        <v>0</v>
      </c>
      <c r="G381" s="291">
        <v>0</v>
      </c>
      <c r="H381" s="150">
        <v>0</v>
      </c>
      <c r="I381" s="567">
        <f t="shared" si="10"/>
        <v>0</v>
      </c>
    </row>
    <row r="382" spans="1:9" x14ac:dyDescent="0.15">
      <c r="A382" s="138"/>
      <c r="B382" s="523" t="s">
        <v>132</v>
      </c>
      <c r="C382" s="524" t="s">
        <v>1617</v>
      </c>
      <c r="D382" s="144">
        <v>0</v>
      </c>
      <c r="E382" s="144">
        <v>0</v>
      </c>
      <c r="F382" s="144">
        <v>0</v>
      </c>
      <c r="G382" s="291">
        <v>0</v>
      </c>
      <c r="H382" s="150">
        <v>0</v>
      </c>
      <c r="I382" s="567">
        <f t="shared" si="10"/>
        <v>0</v>
      </c>
    </row>
    <row r="383" spans="1:9" x14ac:dyDescent="0.15">
      <c r="A383" s="138"/>
      <c r="B383" s="523" t="s">
        <v>1618</v>
      </c>
      <c r="C383" s="524" t="s">
        <v>836</v>
      </c>
      <c r="D383" s="144">
        <v>0</v>
      </c>
      <c r="E383" s="144">
        <v>0</v>
      </c>
      <c r="F383" s="144">
        <v>0</v>
      </c>
      <c r="G383" s="291">
        <v>0</v>
      </c>
      <c r="H383" s="150">
        <v>0</v>
      </c>
      <c r="I383" s="567">
        <f t="shared" si="10"/>
        <v>0</v>
      </c>
    </row>
    <row r="384" spans="1:9" x14ac:dyDescent="0.15">
      <c r="A384" s="138"/>
      <c r="B384" s="523" t="s">
        <v>1619</v>
      </c>
      <c r="C384" s="524" t="s">
        <v>837</v>
      </c>
      <c r="D384" s="144">
        <v>0</v>
      </c>
      <c r="E384" s="144">
        <v>0</v>
      </c>
      <c r="F384" s="144">
        <v>0</v>
      </c>
      <c r="G384" s="291">
        <v>0</v>
      </c>
      <c r="H384" s="150">
        <v>0</v>
      </c>
      <c r="I384" s="567">
        <f t="shared" si="10"/>
        <v>0</v>
      </c>
    </row>
    <row r="385" spans="1:9" x14ac:dyDescent="0.15">
      <c r="A385" s="138"/>
      <c r="B385" s="523" t="s">
        <v>1620</v>
      </c>
      <c r="C385" s="524" t="s">
        <v>838</v>
      </c>
      <c r="D385" s="144">
        <v>0</v>
      </c>
      <c r="E385" s="144">
        <v>0</v>
      </c>
      <c r="F385" s="144">
        <v>0</v>
      </c>
      <c r="G385" s="291">
        <v>0</v>
      </c>
      <c r="H385" s="150">
        <v>0</v>
      </c>
      <c r="I385" s="567">
        <f t="shared" si="10"/>
        <v>0</v>
      </c>
    </row>
    <row r="386" spans="1:9" x14ac:dyDescent="0.15">
      <c r="A386" s="138"/>
      <c r="B386" s="523" t="s">
        <v>1621</v>
      </c>
      <c r="C386" s="524" t="s">
        <v>839</v>
      </c>
      <c r="D386" s="144">
        <v>0</v>
      </c>
      <c r="E386" s="144">
        <v>0</v>
      </c>
      <c r="F386" s="144">
        <v>0</v>
      </c>
      <c r="G386" s="291">
        <v>0</v>
      </c>
      <c r="H386" s="150">
        <v>0</v>
      </c>
      <c r="I386" s="567">
        <f t="shared" si="10"/>
        <v>0</v>
      </c>
    </row>
    <row r="387" spans="1:9" x14ac:dyDescent="0.15">
      <c r="A387" s="138"/>
      <c r="B387" s="523" t="s">
        <v>1622</v>
      </c>
      <c r="C387" s="524" t="s">
        <v>190</v>
      </c>
      <c r="D387" s="144">
        <v>0</v>
      </c>
      <c r="E387" s="144">
        <v>0</v>
      </c>
      <c r="F387" s="144">
        <v>0</v>
      </c>
      <c r="G387" s="291">
        <v>0</v>
      </c>
      <c r="H387" s="150">
        <v>0</v>
      </c>
      <c r="I387" s="567">
        <f t="shared" si="10"/>
        <v>0</v>
      </c>
    </row>
    <row r="388" spans="1:9" x14ac:dyDescent="0.15">
      <c r="A388" s="138"/>
      <c r="B388" s="523" t="s">
        <v>1623</v>
      </c>
      <c r="C388" s="524" t="s">
        <v>191</v>
      </c>
      <c r="D388" s="144">
        <v>0</v>
      </c>
      <c r="E388" s="144">
        <v>0</v>
      </c>
      <c r="F388" s="144">
        <v>0</v>
      </c>
      <c r="G388" s="291">
        <v>0</v>
      </c>
      <c r="H388" s="150">
        <v>0</v>
      </c>
      <c r="I388" s="567">
        <f t="shared" si="10"/>
        <v>0</v>
      </c>
    </row>
    <row r="389" spans="1:9" x14ac:dyDescent="0.15">
      <c r="A389" s="138"/>
      <c r="B389" s="523" t="s">
        <v>1624</v>
      </c>
      <c r="C389" s="524" t="s">
        <v>840</v>
      </c>
      <c r="D389" s="144">
        <v>0</v>
      </c>
      <c r="E389" s="144">
        <v>0</v>
      </c>
      <c r="F389" s="144">
        <v>0</v>
      </c>
      <c r="G389" s="291">
        <v>0</v>
      </c>
      <c r="H389" s="150">
        <v>0</v>
      </c>
      <c r="I389" s="567">
        <f t="shared" si="10"/>
        <v>0</v>
      </c>
    </row>
    <row r="390" spans="1:9" x14ac:dyDescent="0.15">
      <c r="A390" s="138"/>
      <c r="B390" s="523" t="s">
        <v>1625</v>
      </c>
      <c r="C390" s="524" t="s">
        <v>842</v>
      </c>
      <c r="D390" s="144">
        <v>0</v>
      </c>
      <c r="E390" s="144">
        <v>0</v>
      </c>
      <c r="F390" s="144">
        <v>0</v>
      </c>
      <c r="G390" s="291">
        <v>0</v>
      </c>
      <c r="H390" s="150">
        <v>0</v>
      </c>
      <c r="I390" s="567">
        <f t="shared" si="10"/>
        <v>0</v>
      </c>
    </row>
    <row r="391" spans="1:9" x14ac:dyDescent="0.15">
      <c r="A391" s="138"/>
      <c r="B391" s="523" t="s">
        <v>843</v>
      </c>
      <c r="C391" s="524" t="s">
        <v>848</v>
      </c>
      <c r="D391" s="144">
        <v>0</v>
      </c>
      <c r="E391" s="144">
        <v>0</v>
      </c>
      <c r="F391" s="144">
        <v>0</v>
      </c>
      <c r="G391" s="291">
        <v>0</v>
      </c>
      <c r="H391" s="150">
        <v>0</v>
      </c>
      <c r="I391" s="567">
        <f t="shared" si="10"/>
        <v>0</v>
      </c>
    </row>
    <row r="392" spans="1:9" x14ac:dyDescent="0.15">
      <c r="A392" s="138"/>
      <c r="B392" s="523" t="s">
        <v>844</v>
      </c>
      <c r="C392" s="524" t="s">
        <v>153</v>
      </c>
      <c r="D392" s="144">
        <v>0</v>
      </c>
      <c r="E392" s="144">
        <v>0</v>
      </c>
      <c r="F392" s="144">
        <v>0</v>
      </c>
      <c r="G392" s="291">
        <v>0</v>
      </c>
      <c r="H392" s="150">
        <v>0</v>
      </c>
      <c r="I392" s="567">
        <f t="shared" si="10"/>
        <v>0</v>
      </c>
    </row>
    <row r="393" spans="1:9" x14ac:dyDescent="0.15">
      <c r="A393" s="138"/>
      <c r="B393" s="523" t="s">
        <v>845</v>
      </c>
      <c r="C393" s="524" t="s">
        <v>154</v>
      </c>
      <c r="D393" s="144">
        <v>0</v>
      </c>
      <c r="E393" s="144">
        <v>0</v>
      </c>
      <c r="F393" s="144">
        <v>0</v>
      </c>
      <c r="G393" s="291">
        <v>0</v>
      </c>
      <c r="H393" s="150">
        <v>0</v>
      </c>
      <c r="I393" s="567">
        <f t="shared" si="10"/>
        <v>0</v>
      </c>
    </row>
    <row r="394" spans="1:9" x14ac:dyDescent="0.15">
      <c r="A394" s="138"/>
      <c r="B394" s="523" t="s">
        <v>846</v>
      </c>
      <c r="C394" s="524" t="s">
        <v>155</v>
      </c>
      <c r="D394" s="144">
        <v>0</v>
      </c>
      <c r="E394" s="144">
        <v>0</v>
      </c>
      <c r="F394" s="144">
        <v>0</v>
      </c>
      <c r="G394" s="291">
        <v>0</v>
      </c>
      <c r="H394" s="150">
        <v>0</v>
      </c>
      <c r="I394" s="567">
        <f t="shared" si="10"/>
        <v>0</v>
      </c>
    </row>
    <row r="395" spans="1:9" x14ac:dyDescent="0.15">
      <c r="A395" s="138"/>
      <c r="B395" s="523" t="s">
        <v>1582</v>
      </c>
      <c r="C395" s="524" t="s">
        <v>156</v>
      </c>
      <c r="D395" s="144">
        <v>0</v>
      </c>
      <c r="E395" s="144">
        <v>0</v>
      </c>
      <c r="F395" s="144">
        <v>0</v>
      </c>
      <c r="G395" s="291">
        <v>0</v>
      </c>
      <c r="H395" s="150">
        <v>0</v>
      </c>
      <c r="I395" s="567">
        <f t="shared" si="10"/>
        <v>0</v>
      </c>
    </row>
    <row r="396" spans="1:9" x14ac:dyDescent="0.15">
      <c r="A396" s="138"/>
      <c r="B396" s="523" t="s">
        <v>847</v>
      </c>
      <c r="C396" s="524" t="s">
        <v>157</v>
      </c>
      <c r="D396" s="144">
        <v>0</v>
      </c>
      <c r="E396" s="144">
        <v>0</v>
      </c>
      <c r="F396" s="144">
        <v>0</v>
      </c>
      <c r="G396" s="291">
        <v>0</v>
      </c>
      <c r="H396" s="150">
        <v>0</v>
      </c>
      <c r="I396" s="567">
        <f t="shared" si="10"/>
        <v>0</v>
      </c>
    </row>
    <row r="397" spans="1:9" x14ac:dyDescent="0.15">
      <c r="A397" s="138"/>
      <c r="B397" s="523" t="s">
        <v>1583</v>
      </c>
      <c r="C397" s="524" t="s">
        <v>160</v>
      </c>
      <c r="D397" s="144">
        <v>0</v>
      </c>
      <c r="E397" s="144">
        <v>0</v>
      </c>
      <c r="F397" s="144">
        <v>0</v>
      </c>
      <c r="G397" s="291">
        <v>0</v>
      </c>
      <c r="H397" s="150">
        <v>0</v>
      </c>
      <c r="I397" s="567">
        <f t="shared" si="10"/>
        <v>0</v>
      </c>
    </row>
    <row r="398" spans="1:9" x14ac:dyDescent="0.15">
      <c r="A398" s="138"/>
      <c r="B398" s="523" t="s">
        <v>634</v>
      </c>
      <c r="C398" s="524" t="s">
        <v>165</v>
      </c>
      <c r="D398" s="144">
        <v>0</v>
      </c>
      <c r="E398" s="144">
        <v>0</v>
      </c>
      <c r="F398" s="144">
        <v>0</v>
      </c>
      <c r="G398" s="291">
        <v>0</v>
      </c>
      <c r="H398" s="150">
        <v>0</v>
      </c>
      <c r="I398" s="567">
        <f t="shared" si="10"/>
        <v>0</v>
      </c>
    </row>
    <row r="399" spans="1:9" x14ac:dyDescent="0.15">
      <c r="A399" s="138"/>
      <c r="B399" s="523" t="s">
        <v>630</v>
      </c>
      <c r="C399" s="524" t="s">
        <v>172</v>
      </c>
      <c r="D399" s="144">
        <v>0</v>
      </c>
      <c r="E399" s="144">
        <v>0</v>
      </c>
      <c r="F399" s="144">
        <v>0</v>
      </c>
      <c r="G399" s="291">
        <v>0</v>
      </c>
      <c r="H399" s="150">
        <v>0</v>
      </c>
      <c r="I399" s="567">
        <f t="shared" si="10"/>
        <v>0</v>
      </c>
    </row>
    <row r="400" spans="1:9" x14ac:dyDescent="0.15">
      <c r="A400" s="138"/>
      <c r="B400" s="650" t="s">
        <v>631</v>
      </c>
      <c r="C400" s="651" t="s">
        <v>173</v>
      </c>
      <c r="D400" s="144">
        <v>0</v>
      </c>
      <c r="E400" s="144">
        <v>0</v>
      </c>
      <c r="F400" s="144">
        <v>0</v>
      </c>
      <c r="G400" s="291">
        <v>0</v>
      </c>
      <c r="H400" s="150">
        <v>0</v>
      </c>
      <c r="I400" s="567">
        <f t="shared" si="10"/>
        <v>0</v>
      </c>
    </row>
    <row r="401" spans="1:9" x14ac:dyDescent="0.15">
      <c r="A401" s="138"/>
      <c r="B401" s="523" t="s">
        <v>1584</v>
      </c>
      <c r="C401" s="524" t="s">
        <v>178</v>
      </c>
      <c r="D401" s="144">
        <v>0</v>
      </c>
      <c r="E401" s="144">
        <v>0</v>
      </c>
      <c r="F401" s="144">
        <v>0</v>
      </c>
      <c r="G401" s="291">
        <v>0</v>
      </c>
      <c r="H401" s="150">
        <v>0</v>
      </c>
      <c r="I401" s="567">
        <f t="shared" si="10"/>
        <v>0</v>
      </c>
    </row>
    <row r="402" spans="1:9" x14ac:dyDescent="0.15">
      <c r="A402" s="138"/>
      <c r="B402" s="523" t="s">
        <v>174</v>
      </c>
      <c r="C402" s="524" t="s">
        <v>179</v>
      </c>
      <c r="D402" s="144">
        <v>0</v>
      </c>
      <c r="E402" s="144">
        <v>0</v>
      </c>
      <c r="F402" s="144">
        <v>0</v>
      </c>
      <c r="G402" s="291">
        <v>0</v>
      </c>
      <c r="H402" s="150">
        <v>0</v>
      </c>
      <c r="I402" s="567">
        <f t="shared" si="10"/>
        <v>0</v>
      </c>
    </row>
    <row r="403" spans="1:9" x14ac:dyDescent="0.15">
      <c r="A403" s="138"/>
      <c r="B403" s="523" t="s">
        <v>175</v>
      </c>
      <c r="C403" s="524" t="s">
        <v>180</v>
      </c>
      <c r="D403" s="144">
        <v>0</v>
      </c>
      <c r="E403" s="144">
        <v>0</v>
      </c>
      <c r="F403" s="144">
        <v>0</v>
      </c>
      <c r="G403" s="291">
        <v>0</v>
      </c>
      <c r="H403" s="150">
        <v>0</v>
      </c>
      <c r="I403" s="567">
        <f t="shared" si="10"/>
        <v>0</v>
      </c>
    </row>
    <row r="404" spans="1:9" ht="11.25" thickBot="1" x14ac:dyDescent="0.2">
      <c r="A404" s="138"/>
      <c r="B404" s="523" t="s">
        <v>176</v>
      </c>
      <c r="C404" s="524" t="s">
        <v>181</v>
      </c>
      <c r="D404" s="144">
        <v>0</v>
      </c>
      <c r="E404" s="144">
        <v>0</v>
      </c>
      <c r="F404" s="144">
        <v>0</v>
      </c>
      <c r="G404" s="291">
        <v>0</v>
      </c>
      <c r="H404" s="150">
        <v>0</v>
      </c>
      <c r="I404" s="567">
        <f>SUM(G404+H404)</f>
        <v>0</v>
      </c>
    </row>
    <row r="405" spans="1:9" ht="12" thickTop="1" thickBot="1" x14ac:dyDescent="0.2">
      <c r="A405" s="138"/>
      <c r="B405" s="523"/>
      <c r="C405" s="524" t="s">
        <v>237</v>
      </c>
      <c r="D405" s="169">
        <f>SUM(D371:D404)</f>
        <v>0</v>
      </c>
      <c r="E405" s="169">
        <f>SUM(E371:E404)</f>
        <v>0</v>
      </c>
      <c r="F405" s="169">
        <f>SUM(F371:F404)</f>
        <v>0</v>
      </c>
      <c r="G405" s="169">
        <f>SUM(G371:G404)</f>
        <v>0</v>
      </c>
      <c r="H405" s="169">
        <f>SUM(H371:H404)</f>
        <v>0</v>
      </c>
      <c r="I405" s="169">
        <f>SUM(G405+H405)</f>
        <v>0</v>
      </c>
    </row>
    <row r="406" spans="1:9" ht="11.25" thickTop="1" x14ac:dyDescent="0.15">
      <c r="A406" s="138"/>
      <c r="B406" s="524"/>
      <c r="C406" s="524"/>
      <c r="D406" s="14"/>
      <c r="E406" s="14"/>
      <c r="F406" s="14"/>
      <c r="G406" s="14"/>
      <c r="H406" s="14"/>
      <c r="I406" s="563"/>
    </row>
    <row r="407" spans="1:9" x14ac:dyDescent="0.15">
      <c r="A407" s="522" t="s">
        <v>240</v>
      </c>
      <c r="B407" s="524"/>
      <c r="C407" s="524"/>
      <c r="D407" s="14"/>
      <c r="E407" s="14"/>
      <c r="F407" s="14"/>
      <c r="G407" s="14"/>
      <c r="H407" s="14"/>
      <c r="I407" s="563"/>
    </row>
    <row r="408" spans="1:9" x14ac:dyDescent="0.15">
      <c r="A408" s="434"/>
      <c r="B408" s="523" t="s">
        <v>1577</v>
      </c>
      <c r="C408" s="524" t="s">
        <v>228</v>
      </c>
      <c r="D408" s="316">
        <v>0</v>
      </c>
      <c r="E408" s="316">
        <v>0</v>
      </c>
      <c r="F408" s="316">
        <v>0</v>
      </c>
      <c r="G408" s="528">
        <f t="array" ref="G408">SUM(IF(CertFund&amp;CertProg&amp;CertObj=RIGHT(LEFT($A$2,7),2)&amp;LEFT(A407,4)&amp;B408,CertSalary))</f>
        <v>0</v>
      </c>
      <c r="H408" s="527">
        <v>0</v>
      </c>
      <c r="I408" s="566">
        <f>SUM(G408+H408)</f>
        <v>0</v>
      </c>
    </row>
    <row r="409" spans="1:9" x14ac:dyDescent="0.15">
      <c r="A409" s="434"/>
      <c r="B409" s="523" t="s">
        <v>1577</v>
      </c>
      <c r="C409" s="524" t="s">
        <v>510</v>
      </c>
      <c r="D409" s="316">
        <v>0</v>
      </c>
      <c r="E409" s="316">
        <v>0</v>
      </c>
      <c r="F409" s="316">
        <v>0</v>
      </c>
      <c r="G409" s="316">
        <v>0</v>
      </c>
      <c r="H409" s="527">
        <v>0</v>
      </c>
      <c r="I409" s="566">
        <f>SUM(G409+H409)</f>
        <v>0</v>
      </c>
    </row>
    <row r="410" spans="1:9" x14ac:dyDescent="0.15">
      <c r="A410" s="524"/>
      <c r="B410" s="523" t="s">
        <v>1578</v>
      </c>
      <c r="C410" s="524" t="s">
        <v>936</v>
      </c>
      <c r="D410" s="316">
        <v>0</v>
      </c>
      <c r="E410" s="316">
        <v>0</v>
      </c>
      <c r="F410" s="316">
        <v>0</v>
      </c>
      <c r="G410" s="529">
        <f t="array" ref="G410">SUM(IF(CertFund&amp;CertProg&amp;CertObj=RIGHT(LEFT($A$2,7),2)&amp;LEFT(A407,4)&amp;B408,CertBen))</f>
        <v>0</v>
      </c>
      <c r="H410" s="527">
        <v>0</v>
      </c>
      <c r="I410" s="566">
        <f>SUM(G410+H410)</f>
        <v>0</v>
      </c>
    </row>
    <row r="411" spans="1:9" x14ac:dyDescent="0.15">
      <c r="A411" s="138"/>
      <c r="B411" s="521" t="s">
        <v>1578</v>
      </c>
      <c r="C411" s="138" t="s">
        <v>511</v>
      </c>
      <c r="D411" s="147">
        <v>0</v>
      </c>
      <c r="E411" s="147">
        <v>0</v>
      </c>
      <c r="F411" s="147">
        <v>0</v>
      </c>
      <c r="G411" s="147">
        <v>0</v>
      </c>
      <c r="H411" s="150">
        <v>0</v>
      </c>
      <c r="I411" s="567">
        <f>SUM(G411+H411)</f>
        <v>0</v>
      </c>
    </row>
    <row r="412" spans="1:9" x14ac:dyDescent="0.15">
      <c r="A412" s="138"/>
      <c r="B412" s="523" t="s">
        <v>1579</v>
      </c>
      <c r="C412" s="524" t="s">
        <v>118</v>
      </c>
      <c r="D412" s="144">
        <v>0</v>
      </c>
      <c r="E412" s="144">
        <v>0</v>
      </c>
      <c r="F412" s="144">
        <v>0</v>
      </c>
      <c r="G412" s="144">
        <v>0</v>
      </c>
      <c r="H412" s="150">
        <v>0</v>
      </c>
      <c r="I412" s="567">
        <f t="shared" ref="I412:I442" si="11">SUM(G412+H412)</f>
        <v>0</v>
      </c>
    </row>
    <row r="413" spans="1:9" x14ac:dyDescent="0.15">
      <c r="A413" s="138"/>
      <c r="B413" s="523" t="s">
        <v>1580</v>
      </c>
      <c r="C413" s="524" t="s">
        <v>119</v>
      </c>
      <c r="D413" s="144">
        <v>0</v>
      </c>
      <c r="E413" s="144">
        <v>0</v>
      </c>
      <c r="F413" s="144">
        <v>0</v>
      </c>
      <c r="G413" s="144">
        <v>0</v>
      </c>
      <c r="H413" s="150">
        <v>0</v>
      </c>
      <c r="I413" s="567">
        <f t="shared" si="11"/>
        <v>0</v>
      </c>
    </row>
    <row r="414" spans="1:9" x14ac:dyDescent="0.15">
      <c r="A414" s="138"/>
      <c r="B414" s="523" t="s">
        <v>120</v>
      </c>
      <c r="C414" s="524" t="s">
        <v>121</v>
      </c>
      <c r="D414" s="144">
        <v>0</v>
      </c>
      <c r="E414" s="144">
        <v>0</v>
      </c>
      <c r="F414" s="144">
        <v>0</v>
      </c>
      <c r="G414" s="144">
        <v>0</v>
      </c>
      <c r="H414" s="150">
        <v>0</v>
      </c>
      <c r="I414" s="567">
        <f t="shared" si="11"/>
        <v>0</v>
      </c>
    </row>
    <row r="415" spans="1:9" x14ac:dyDescent="0.15">
      <c r="A415" s="138"/>
      <c r="B415" s="523" t="s">
        <v>122</v>
      </c>
      <c r="C415" s="524" t="s">
        <v>123</v>
      </c>
      <c r="D415" s="144">
        <v>0</v>
      </c>
      <c r="E415" s="144">
        <v>0</v>
      </c>
      <c r="F415" s="144">
        <v>0</v>
      </c>
      <c r="G415" s="144">
        <v>0</v>
      </c>
      <c r="H415" s="150">
        <v>0</v>
      </c>
      <c r="I415" s="567">
        <f t="shared" si="11"/>
        <v>0</v>
      </c>
    </row>
    <row r="416" spans="1:9" x14ac:dyDescent="0.15">
      <c r="A416" s="138"/>
      <c r="B416" s="523" t="s">
        <v>1581</v>
      </c>
      <c r="C416" s="524" t="s">
        <v>124</v>
      </c>
      <c r="D416" s="144">
        <v>0</v>
      </c>
      <c r="E416" s="144">
        <v>0</v>
      </c>
      <c r="F416" s="144">
        <v>0</v>
      </c>
      <c r="G416" s="144">
        <v>0</v>
      </c>
      <c r="H416" s="150">
        <v>0</v>
      </c>
      <c r="I416" s="567">
        <f t="shared" si="11"/>
        <v>0</v>
      </c>
    </row>
    <row r="417" spans="1:9" x14ac:dyDescent="0.15">
      <c r="A417" s="138"/>
      <c r="B417" s="523" t="s">
        <v>127</v>
      </c>
      <c r="C417" s="524" t="s">
        <v>134</v>
      </c>
      <c r="D417" s="144">
        <v>0</v>
      </c>
      <c r="E417" s="144">
        <v>0</v>
      </c>
      <c r="F417" s="144">
        <v>0</v>
      </c>
      <c r="G417" s="144">
        <v>0</v>
      </c>
      <c r="H417" s="150">
        <v>0</v>
      </c>
      <c r="I417" s="567">
        <f t="shared" si="11"/>
        <v>0</v>
      </c>
    </row>
    <row r="418" spans="1:9" x14ac:dyDescent="0.15">
      <c r="A418" s="138"/>
      <c r="B418" s="523" t="s">
        <v>128</v>
      </c>
      <c r="C418" s="524" t="s">
        <v>135</v>
      </c>
      <c r="D418" s="144">
        <v>0</v>
      </c>
      <c r="E418" s="144">
        <v>0</v>
      </c>
      <c r="F418" s="144">
        <v>0</v>
      </c>
      <c r="G418" s="144">
        <v>0</v>
      </c>
      <c r="H418" s="150">
        <v>0</v>
      </c>
      <c r="I418" s="567">
        <f t="shared" si="11"/>
        <v>0</v>
      </c>
    </row>
    <row r="419" spans="1:9" x14ac:dyDescent="0.15">
      <c r="A419" s="138"/>
      <c r="B419" s="523" t="s">
        <v>132</v>
      </c>
      <c r="C419" s="524" t="s">
        <v>1617</v>
      </c>
      <c r="D419" s="144">
        <v>0</v>
      </c>
      <c r="E419" s="144">
        <v>0</v>
      </c>
      <c r="F419" s="144">
        <v>0</v>
      </c>
      <c r="G419" s="144">
        <v>0</v>
      </c>
      <c r="H419" s="150">
        <v>0</v>
      </c>
      <c r="I419" s="567">
        <f t="shared" si="11"/>
        <v>0</v>
      </c>
    </row>
    <row r="420" spans="1:9" x14ac:dyDescent="0.15">
      <c r="A420" s="138"/>
      <c r="B420" s="523" t="s">
        <v>1618</v>
      </c>
      <c r="C420" s="524" t="s">
        <v>836</v>
      </c>
      <c r="D420" s="144">
        <v>0</v>
      </c>
      <c r="E420" s="144">
        <v>0</v>
      </c>
      <c r="F420" s="144">
        <v>0</v>
      </c>
      <c r="G420" s="144">
        <v>0</v>
      </c>
      <c r="H420" s="150">
        <v>0</v>
      </c>
      <c r="I420" s="567">
        <f t="shared" si="11"/>
        <v>0</v>
      </c>
    </row>
    <row r="421" spans="1:9" x14ac:dyDescent="0.15">
      <c r="A421" s="138"/>
      <c r="B421" s="523" t="s">
        <v>1619</v>
      </c>
      <c r="C421" s="524" t="s">
        <v>837</v>
      </c>
      <c r="D421" s="144">
        <v>0</v>
      </c>
      <c r="E421" s="144">
        <v>0</v>
      </c>
      <c r="F421" s="144">
        <v>0</v>
      </c>
      <c r="G421" s="144">
        <v>0</v>
      </c>
      <c r="H421" s="150">
        <v>0</v>
      </c>
      <c r="I421" s="567">
        <f t="shared" si="11"/>
        <v>0</v>
      </c>
    </row>
    <row r="422" spans="1:9" x14ac:dyDescent="0.15">
      <c r="A422" s="138"/>
      <c r="B422" s="523" t="s">
        <v>1620</v>
      </c>
      <c r="C422" s="524" t="s">
        <v>838</v>
      </c>
      <c r="D422" s="144">
        <v>0</v>
      </c>
      <c r="E422" s="144">
        <v>0</v>
      </c>
      <c r="F422" s="144">
        <v>0</v>
      </c>
      <c r="G422" s="144">
        <v>0</v>
      </c>
      <c r="H422" s="150">
        <v>0</v>
      </c>
      <c r="I422" s="567">
        <f t="shared" si="11"/>
        <v>0</v>
      </c>
    </row>
    <row r="423" spans="1:9" x14ac:dyDescent="0.15">
      <c r="A423" s="138"/>
      <c r="B423" s="523" t="s">
        <v>1621</v>
      </c>
      <c r="C423" s="524" t="s">
        <v>839</v>
      </c>
      <c r="D423" s="144">
        <v>0</v>
      </c>
      <c r="E423" s="144">
        <v>0</v>
      </c>
      <c r="F423" s="144">
        <v>0</v>
      </c>
      <c r="G423" s="144">
        <v>0</v>
      </c>
      <c r="H423" s="150">
        <v>0</v>
      </c>
      <c r="I423" s="567">
        <f t="shared" si="11"/>
        <v>0</v>
      </c>
    </row>
    <row r="424" spans="1:9" x14ac:dyDescent="0.15">
      <c r="A424" s="138"/>
      <c r="B424" s="523" t="s">
        <v>1622</v>
      </c>
      <c r="C424" s="524" t="s">
        <v>190</v>
      </c>
      <c r="D424" s="144">
        <v>0</v>
      </c>
      <c r="E424" s="144">
        <v>0</v>
      </c>
      <c r="F424" s="144">
        <v>0</v>
      </c>
      <c r="G424" s="144">
        <v>0</v>
      </c>
      <c r="H424" s="150">
        <v>0</v>
      </c>
      <c r="I424" s="567">
        <f t="shared" si="11"/>
        <v>0</v>
      </c>
    </row>
    <row r="425" spans="1:9" x14ac:dyDescent="0.15">
      <c r="A425" s="138"/>
      <c r="B425" s="523" t="s">
        <v>1623</v>
      </c>
      <c r="C425" s="524" t="s">
        <v>191</v>
      </c>
      <c r="D425" s="144">
        <v>0</v>
      </c>
      <c r="E425" s="144">
        <v>0</v>
      </c>
      <c r="F425" s="144">
        <v>0</v>
      </c>
      <c r="G425" s="144">
        <v>0</v>
      </c>
      <c r="H425" s="150">
        <v>0</v>
      </c>
      <c r="I425" s="567">
        <f t="shared" si="11"/>
        <v>0</v>
      </c>
    </row>
    <row r="426" spans="1:9" x14ac:dyDescent="0.15">
      <c r="A426" s="138"/>
      <c r="B426" s="523" t="s">
        <v>1624</v>
      </c>
      <c r="C426" s="524" t="s">
        <v>840</v>
      </c>
      <c r="D426" s="144">
        <v>0</v>
      </c>
      <c r="E426" s="144">
        <v>0</v>
      </c>
      <c r="F426" s="144">
        <v>0</v>
      </c>
      <c r="G426" s="144">
        <v>0</v>
      </c>
      <c r="H426" s="150">
        <v>0</v>
      </c>
      <c r="I426" s="567">
        <f t="shared" si="11"/>
        <v>0</v>
      </c>
    </row>
    <row r="427" spans="1:9" x14ac:dyDescent="0.15">
      <c r="A427" s="138"/>
      <c r="B427" s="523" t="s">
        <v>1625</v>
      </c>
      <c r="C427" s="524" t="s">
        <v>842</v>
      </c>
      <c r="D427" s="144">
        <v>0</v>
      </c>
      <c r="E427" s="144">
        <v>0</v>
      </c>
      <c r="F427" s="144">
        <v>0</v>
      </c>
      <c r="G427" s="144">
        <v>0</v>
      </c>
      <c r="H427" s="150">
        <v>0</v>
      </c>
      <c r="I427" s="567">
        <f t="shared" si="11"/>
        <v>0</v>
      </c>
    </row>
    <row r="428" spans="1:9" x14ac:dyDescent="0.15">
      <c r="A428" s="138"/>
      <c r="B428" s="523" t="s">
        <v>843</v>
      </c>
      <c r="C428" s="524" t="s">
        <v>848</v>
      </c>
      <c r="D428" s="144">
        <v>0</v>
      </c>
      <c r="E428" s="144">
        <v>0</v>
      </c>
      <c r="F428" s="144">
        <v>0</v>
      </c>
      <c r="G428" s="144">
        <v>0</v>
      </c>
      <c r="H428" s="150">
        <v>0</v>
      </c>
      <c r="I428" s="567">
        <f t="shared" si="11"/>
        <v>0</v>
      </c>
    </row>
    <row r="429" spans="1:9" x14ac:dyDescent="0.15">
      <c r="A429" s="138"/>
      <c r="B429" s="523" t="s">
        <v>844</v>
      </c>
      <c r="C429" s="524" t="s">
        <v>153</v>
      </c>
      <c r="D429" s="144">
        <v>0</v>
      </c>
      <c r="E429" s="144">
        <v>0</v>
      </c>
      <c r="F429" s="144">
        <v>0</v>
      </c>
      <c r="G429" s="144">
        <v>0</v>
      </c>
      <c r="H429" s="150">
        <v>0</v>
      </c>
      <c r="I429" s="567">
        <f t="shared" si="11"/>
        <v>0</v>
      </c>
    </row>
    <row r="430" spans="1:9" x14ac:dyDescent="0.15">
      <c r="A430" s="138"/>
      <c r="B430" s="523" t="s">
        <v>845</v>
      </c>
      <c r="C430" s="524" t="s">
        <v>154</v>
      </c>
      <c r="D430" s="144">
        <v>0</v>
      </c>
      <c r="E430" s="144">
        <v>0</v>
      </c>
      <c r="F430" s="144">
        <v>0</v>
      </c>
      <c r="G430" s="144">
        <v>0</v>
      </c>
      <c r="H430" s="150">
        <v>0</v>
      </c>
      <c r="I430" s="567">
        <f t="shared" si="11"/>
        <v>0</v>
      </c>
    </row>
    <row r="431" spans="1:9" x14ac:dyDescent="0.15">
      <c r="A431" s="138"/>
      <c r="B431" s="523" t="s">
        <v>846</v>
      </c>
      <c r="C431" s="524" t="s">
        <v>155</v>
      </c>
      <c r="D431" s="144">
        <v>0</v>
      </c>
      <c r="E431" s="144">
        <v>0</v>
      </c>
      <c r="F431" s="144">
        <v>0</v>
      </c>
      <c r="G431" s="144">
        <v>0</v>
      </c>
      <c r="H431" s="150">
        <v>0</v>
      </c>
      <c r="I431" s="567">
        <f t="shared" si="11"/>
        <v>0</v>
      </c>
    </row>
    <row r="432" spans="1:9" x14ac:dyDescent="0.15">
      <c r="A432" s="138"/>
      <c r="B432" s="523" t="s">
        <v>1582</v>
      </c>
      <c r="C432" s="524" t="s">
        <v>156</v>
      </c>
      <c r="D432" s="144">
        <v>0</v>
      </c>
      <c r="E432" s="144">
        <v>0</v>
      </c>
      <c r="F432" s="144">
        <v>0</v>
      </c>
      <c r="G432" s="144">
        <v>0</v>
      </c>
      <c r="H432" s="150">
        <v>0</v>
      </c>
      <c r="I432" s="567">
        <f t="shared" si="11"/>
        <v>0</v>
      </c>
    </row>
    <row r="433" spans="1:9" x14ac:dyDescent="0.15">
      <c r="A433" s="138"/>
      <c r="B433" s="523" t="s">
        <v>847</v>
      </c>
      <c r="C433" s="524" t="s">
        <v>157</v>
      </c>
      <c r="D433" s="144">
        <v>0</v>
      </c>
      <c r="E433" s="144">
        <v>0</v>
      </c>
      <c r="F433" s="144">
        <v>0</v>
      </c>
      <c r="G433" s="144">
        <v>0</v>
      </c>
      <c r="H433" s="150">
        <v>0</v>
      </c>
      <c r="I433" s="567">
        <f t="shared" si="11"/>
        <v>0</v>
      </c>
    </row>
    <row r="434" spans="1:9" x14ac:dyDescent="0.15">
      <c r="A434" s="138"/>
      <c r="B434" s="523" t="s">
        <v>1583</v>
      </c>
      <c r="C434" s="524" t="s">
        <v>160</v>
      </c>
      <c r="D434" s="144">
        <v>0</v>
      </c>
      <c r="E434" s="144">
        <v>0</v>
      </c>
      <c r="F434" s="144">
        <v>0</v>
      </c>
      <c r="G434" s="144">
        <v>0</v>
      </c>
      <c r="H434" s="150">
        <v>0</v>
      </c>
      <c r="I434" s="567">
        <f t="shared" si="11"/>
        <v>0</v>
      </c>
    </row>
    <row r="435" spans="1:9" x14ac:dyDescent="0.15">
      <c r="A435" s="138"/>
      <c r="B435" s="523" t="s">
        <v>634</v>
      </c>
      <c r="C435" s="524" t="s">
        <v>165</v>
      </c>
      <c r="D435" s="144">
        <v>0</v>
      </c>
      <c r="E435" s="144">
        <v>0</v>
      </c>
      <c r="F435" s="144">
        <v>0</v>
      </c>
      <c r="G435" s="144">
        <v>0</v>
      </c>
      <c r="H435" s="150">
        <v>0</v>
      </c>
      <c r="I435" s="567">
        <f t="shared" si="11"/>
        <v>0</v>
      </c>
    </row>
    <row r="436" spans="1:9" x14ac:dyDescent="0.15">
      <c r="A436" s="138"/>
      <c r="B436" s="523" t="s">
        <v>630</v>
      </c>
      <c r="C436" s="524" t="s">
        <v>172</v>
      </c>
      <c r="D436" s="144">
        <v>0</v>
      </c>
      <c r="E436" s="144">
        <v>0</v>
      </c>
      <c r="F436" s="144">
        <v>0</v>
      </c>
      <c r="G436" s="144">
        <v>0</v>
      </c>
      <c r="H436" s="150">
        <v>0</v>
      </c>
      <c r="I436" s="567">
        <f t="shared" si="11"/>
        <v>0</v>
      </c>
    </row>
    <row r="437" spans="1:9" x14ac:dyDescent="0.15">
      <c r="A437" s="138"/>
      <c r="B437" s="650" t="s">
        <v>631</v>
      </c>
      <c r="C437" s="651" t="s">
        <v>173</v>
      </c>
      <c r="D437" s="144">
        <v>0</v>
      </c>
      <c r="E437" s="144">
        <v>0</v>
      </c>
      <c r="F437" s="144">
        <v>0</v>
      </c>
      <c r="G437" s="144">
        <v>0</v>
      </c>
      <c r="H437" s="150">
        <v>0</v>
      </c>
      <c r="I437" s="567">
        <f t="shared" si="11"/>
        <v>0</v>
      </c>
    </row>
    <row r="438" spans="1:9" x14ac:dyDescent="0.15">
      <c r="A438" s="138"/>
      <c r="B438" s="523" t="s">
        <v>1584</v>
      </c>
      <c r="C438" s="524" t="s">
        <v>178</v>
      </c>
      <c r="D438" s="144">
        <v>0</v>
      </c>
      <c r="E438" s="144">
        <v>0</v>
      </c>
      <c r="F438" s="144">
        <v>0</v>
      </c>
      <c r="G438" s="144">
        <v>0</v>
      </c>
      <c r="H438" s="150">
        <v>0</v>
      </c>
      <c r="I438" s="567">
        <f t="shared" si="11"/>
        <v>0</v>
      </c>
    </row>
    <row r="439" spans="1:9" x14ac:dyDescent="0.15">
      <c r="A439" s="138"/>
      <c r="B439" s="523" t="s">
        <v>174</v>
      </c>
      <c r="C439" s="524" t="s">
        <v>179</v>
      </c>
      <c r="D439" s="144">
        <v>0</v>
      </c>
      <c r="E439" s="144">
        <v>0</v>
      </c>
      <c r="F439" s="144">
        <v>0</v>
      </c>
      <c r="G439" s="144">
        <v>0</v>
      </c>
      <c r="H439" s="150">
        <v>0</v>
      </c>
      <c r="I439" s="567">
        <f t="shared" si="11"/>
        <v>0</v>
      </c>
    </row>
    <row r="440" spans="1:9" x14ac:dyDescent="0.15">
      <c r="A440" s="138"/>
      <c r="B440" s="523" t="s">
        <v>175</v>
      </c>
      <c r="C440" s="524" t="s">
        <v>180</v>
      </c>
      <c r="D440" s="144">
        <v>0</v>
      </c>
      <c r="E440" s="144">
        <v>0</v>
      </c>
      <c r="F440" s="144">
        <v>0</v>
      </c>
      <c r="G440" s="144">
        <v>0</v>
      </c>
      <c r="H440" s="150">
        <v>0</v>
      </c>
      <c r="I440" s="567">
        <f t="shared" si="11"/>
        <v>0</v>
      </c>
    </row>
    <row r="441" spans="1:9" ht="11.25" thickBot="1" x14ac:dyDescent="0.2">
      <c r="A441" s="138"/>
      <c r="B441" s="523" t="s">
        <v>176</v>
      </c>
      <c r="C441" s="524" t="s">
        <v>181</v>
      </c>
      <c r="D441" s="144">
        <v>0</v>
      </c>
      <c r="E441" s="144">
        <v>0</v>
      </c>
      <c r="F441" s="144">
        <v>0</v>
      </c>
      <c r="G441" s="144">
        <v>0</v>
      </c>
      <c r="H441" s="150">
        <v>0</v>
      </c>
      <c r="I441" s="567">
        <f t="shared" si="11"/>
        <v>0</v>
      </c>
    </row>
    <row r="442" spans="1:9" ht="12" thickTop="1" thickBot="1" x14ac:dyDescent="0.2">
      <c r="A442" s="138"/>
      <c r="B442" s="523"/>
      <c r="C442" s="524" t="s">
        <v>241</v>
      </c>
      <c r="D442" s="169">
        <f>SUM(D408:D441)</f>
        <v>0</v>
      </c>
      <c r="E442" s="169">
        <f>SUM(E408:E441)</f>
        <v>0</v>
      </c>
      <c r="F442" s="169">
        <f>SUM(F408:F441)</f>
        <v>0</v>
      </c>
      <c r="G442" s="169">
        <f>SUM(G408:G441)</f>
        <v>0</v>
      </c>
      <c r="H442" s="169">
        <f>SUM(H408:H441)</f>
        <v>0</v>
      </c>
      <c r="I442" s="169">
        <f t="shared" si="11"/>
        <v>0</v>
      </c>
    </row>
    <row r="443" spans="1:9" ht="11.25" thickTop="1" x14ac:dyDescent="0.15">
      <c r="A443" s="138"/>
      <c r="B443" s="524"/>
      <c r="C443" s="524"/>
      <c r="D443" s="14"/>
      <c r="E443" s="14"/>
      <c r="F443" s="14"/>
      <c r="G443" s="14"/>
      <c r="H443" s="14"/>
      <c r="I443" s="563"/>
    </row>
    <row r="444" spans="1:9" x14ac:dyDescent="0.15">
      <c r="A444" s="522" t="s">
        <v>242</v>
      </c>
      <c r="B444" s="524"/>
      <c r="C444" s="524"/>
      <c r="D444" s="14"/>
      <c r="E444" s="14"/>
      <c r="F444" s="14"/>
      <c r="G444" s="14"/>
      <c r="H444" s="14"/>
      <c r="I444" s="563"/>
    </row>
    <row r="445" spans="1:9" x14ac:dyDescent="0.15">
      <c r="A445" s="434"/>
      <c r="B445" s="523" t="s">
        <v>1577</v>
      </c>
      <c r="C445" s="524" t="s">
        <v>228</v>
      </c>
      <c r="D445" s="316">
        <v>0</v>
      </c>
      <c r="E445" s="316">
        <v>0</v>
      </c>
      <c r="F445" s="316">
        <v>0</v>
      </c>
      <c r="G445" s="528">
        <f t="array" ref="G445">SUM(IF(CertFund&amp;CertProg&amp;CertObj=RIGHT(LEFT($A$2,7),2)&amp;LEFT(A444,4)&amp;B445,CertSalary))</f>
        <v>0</v>
      </c>
      <c r="H445" s="527">
        <v>0</v>
      </c>
      <c r="I445" s="566">
        <f>SUM(G445+H445)</f>
        <v>0</v>
      </c>
    </row>
    <row r="446" spans="1:9" x14ac:dyDescent="0.15">
      <c r="A446" s="434"/>
      <c r="B446" s="523" t="s">
        <v>1577</v>
      </c>
      <c r="C446" s="524" t="s">
        <v>510</v>
      </c>
      <c r="D446" s="316">
        <v>0</v>
      </c>
      <c r="E446" s="316">
        <v>0</v>
      </c>
      <c r="F446" s="316">
        <v>0</v>
      </c>
      <c r="G446" s="316">
        <v>0</v>
      </c>
      <c r="H446" s="527">
        <v>0</v>
      </c>
      <c r="I446" s="566">
        <f>SUM(G446+H446)</f>
        <v>0</v>
      </c>
    </row>
    <row r="447" spans="1:9" x14ac:dyDescent="0.15">
      <c r="A447" s="524"/>
      <c r="B447" s="523" t="s">
        <v>1578</v>
      </c>
      <c r="C447" s="524" t="s">
        <v>936</v>
      </c>
      <c r="D447" s="316">
        <v>0</v>
      </c>
      <c r="E447" s="316">
        <v>0</v>
      </c>
      <c r="F447" s="316">
        <v>0</v>
      </c>
      <c r="G447" s="529">
        <f t="array" ref="G447">SUM(IF(CertFund&amp;CertProg&amp;CertObj=RIGHT(LEFT($A$2,7),2)&amp;LEFT(A444,4)&amp;B445,CertBen))</f>
        <v>0</v>
      </c>
      <c r="H447" s="527">
        <v>0</v>
      </c>
      <c r="I447" s="566">
        <f>SUM(G447+H447)</f>
        <v>0</v>
      </c>
    </row>
    <row r="448" spans="1:9" x14ac:dyDescent="0.15">
      <c r="A448" s="138"/>
      <c r="B448" s="521" t="s">
        <v>1578</v>
      </c>
      <c r="C448" s="138" t="s">
        <v>511</v>
      </c>
      <c r="D448" s="147">
        <v>0</v>
      </c>
      <c r="E448" s="147">
        <v>0</v>
      </c>
      <c r="F448" s="147">
        <v>0</v>
      </c>
      <c r="G448" s="147">
        <v>0</v>
      </c>
      <c r="H448" s="150">
        <v>0</v>
      </c>
      <c r="I448" s="567">
        <f>SUM(G448+H448)</f>
        <v>0</v>
      </c>
    </row>
    <row r="449" spans="1:9" x14ac:dyDescent="0.15">
      <c r="A449" s="138"/>
      <c r="B449" s="523" t="s">
        <v>1579</v>
      </c>
      <c r="C449" s="524" t="s">
        <v>118</v>
      </c>
      <c r="D449" s="144">
        <v>0</v>
      </c>
      <c r="E449" s="144">
        <v>0</v>
      </c>
      <c r="F449" s="144">
        <v>0</v>
      </c>
      <c r="G449" s="291">
        <v>0</v>
      </c>
      <c r="H449" s="150">
        <v>0</v>
      </c>
      <c r="I449" s="567">
        <f t="shared" ref="I449:I479" si="12">SUM(G449+H449)</f>
        <v>0</v>
      </c>
    </row>
    <row r="450" spans="1:9" x14ac:dyDescent="0.15">
      <c r="A450" s="138"/>
      <c r="B450" s="523" t="s">
        <v>1580</v>
      </c>
      <c r="C450" s="524" t="s">
        <v>119</v>
      </c>
      <c r="D450" s="144">
        <v>0</v>
      </c>
      <c r="E450" s="144">
        <v>0</v>
      </c>
      <c r="F450" s="144">
        <v>0</v>
      </c>
      <c r="G450" s="291">
        <v>0</v>
      </c>
      <c r="H450" s="150">
        <v>0</v>
      </c>
      <c r="I450" s="567">
        <f t="shared" si="12"/>
        <v>0</v>
      </c>
    </row>
    <row r="451" spans="1:9" x14ac:dyDescent="0.15">
      <c r="A451" s="138"/>
      <c r="B451" s="523" t="s">
        <v>120</v>
      </c>
      <c r="C451" s="524" t="s">
        <v>121</v>
      </c>
      <c r="D451" s="144">
        <v>0</v>
      </c>
      <c r="E451" s="144">
        <v>0</v>
      </c>
      <c r="F451" s="144">
        <v>0</v>
      </c>
      <c r="G451" s="291">
        <v>0</v>
      </c>
      <c r="H451" s="150">
        <v>0</v>
      </c>
      <c r="I451" s="567">
        <f t="shared" si="12"/>
        <v>0</v>
      </c>
    </row>
    <row r="452" spans="1:9" x14ac:dyDescent="0.15">
      <c r="A452" s="138"/>
      <c r="B452" s="523" t="s">
        <v>122</v>
      </c>
      <c r="C452" s="524" t="s">
        <v>123</v>
      </c>
      <c r="D452" s="144">
        <v>0</v>
      </c>
      <c r="E452" s="144">
        <v>0</v>
      </c>
      <c r="F452" s="144">
        <v>0</v>
      </c>
      <c r="G452" s="291">
        <v>0</v>
      </c>
      <c r="H452" s="150">
        <v>0</v>
      </c>
      <c r="I452" s="567">
        <f t="shared" si="12"/>
        <v>0</v>
      </c>
    </row>
    <row r="453" spans="1:9" x14ac:dyDescent="0.15">
      <c r="A453" s="138"/>
      <c r="B453" s="523" t="s">
        <v>1581</v>
      </c>
      <c r="C453" s="524" t="s">
        <v>124</v>
      </c>
      <c r="D453" s="144">
        <v>0</v>
      </c>
      <c r="E453" s="144">
        <v>0</v>
      </c>
      <c r="F453" s="144">
        <v>0</v>
      </c>
      <c r="G453" s="291">
        <v>0</v>
      </c>
      <c r="H453" s="150">
        <v>0</v>
      </c>
      <c r="I453" s="567">
        <f t="shared" si="12"/>
        <v>0</v>
      </c>
    </row>
    <row r="454" spans="1:9" x14ac:dyDescent="0.15">
      <c r="A454" s="138"/>
      <c r="B454" s="523" t="s">
        <v>127</v>
      </c>
      <c r="C454" s="524" t="s">
        <v>134</v>
      </c>
      <c r="D454" s="144">
        <v>0</v>
      </c>
      <c r="E454" s="144">
        <v>0</v>
      </c>
      <c r="F454" s="144">
        <v>0</v>
      </c>
      <c r="G454" s="291">
        <v>0</v>
      </c>
      <c r="H454" s="150">
        <v>0</v>
      </c>
      <c r="I454" s="567">
        <f t="shared" si="12"/>
        <v>0</v>
      </c>
    </row>
    <row r="455" spans="1:9" x14ac:dyDescent="0.15">
      <c r="A455" s="138"/>
      <c r="B455" s="523" t="s">
        <v>128</v>
      </c>
      <c r="C455" s="524" t="s">
        <v>135</v>
      </c>
      <c r="D455" s="144">
        <v>0</v>
      </c>
      <c r="E455" s="144">
        <v>0</v>
      </c>
      <c r="F455" s="144">
        <v>0</v>
      </c>
      <c r="G455" s="291">
        <v>0</v>
      </c>
      <c r="H455" s="150">
        <v>0</v>
      </c>
      <c r="I455" s="567">
        <f t="shared" si="12"/>
        <v>0</v>
      </c>
    </row>
    <row r="456" spans="1:9" x14ac:dyDescent="0.15">
      <c r="A456" s="138"/>
      <c r="B456" s="523" t="s">
        <v>132</v>
      </c>
      <c r="C456" s="524" t="s">
        <v>1617</v>
      </c>
      <c r="D456" s="144">
        <v>0</v>
      </c>
      <c r="E456" s="144">
        <v>0</v>
      </c>
      <c r="F456" s="144">
        <v>0</v>
      </c>
      <c r="G456" s="291">
        <v>0</v>
      </c>
      <c r="H456" s="150">
        <v>0</v>
      </c>
      <c r="I456" s="567">
        <f t="shared" si="12"/>
        <v>0</v>
      </c>
    </row>
    <row r="457" spans="1:9" x14ac:dyDescent="0.15">
      <c r="A457" s="138"/>
      <c r="B457" s="523" t="s">
        <v>1618</v>
      </c>
      <c r="C457" s="524" t="s">
        <v>836</v>
      </c>
      <c r="D457" s="144">
        <v>0</v>
      </c>
      <c r="E457" s="144">
        <v>0</v>
      </c>
      <c r="F457" s="144">
        <v>0</v>
      </c>
      <c r="G457" s="291">
        <v>0</v>
      </c>
      <c r="H457" s="150">
        <v>0</v>
      </c>
      <c r="I457" s="567">
        <f t="shared" si="12"/>
        <v>0</v>
      </c>
    </row>
    <row r="458" spans="1:9" x14ac:dyDescent="0.15">
      <c r="A458" s="138"/>
      <c r="B458" s="523" t="s">
        <v>1619</v>
      </c>
      <c r="C458" s="524" t="s">
        <v>837</v>
      </c>
      <c r="D458" s="144">
        <v>0</v>
      </c>
      <c r="E458" s="144">
        <v>0</v>
      </c>
      <c r="F458" s="144">
        <v>0</v>
      </c>
      <c r="G458" s="291">
        <v>0</v>
      </c>
      <c r="H458" s="150">
        <v>0</v>
      </c>
      <c r="I458" s="567">
        <f t="shared" si="12"/>
        <v>0</v>
      </c>
    </row>
    <row r="459" spans="1:9" x14ac:dyDescent="0.15">
      <c r="A459" s="138"/>
      <c r="B459" s="523" t="s">
        <v>1620</v>
      </c>
      <c r="C459" s="524" t="s">
        <v>838</v>
      </c>
      <c r="D459" s="144">
        <v>0</v>
      </c>
      <c r="E459" s="144">
        <v>0</v>
      </c>
      <c r="F459" s="144">
        <v>0</v>
      </c>
      <c r="G459" s="291">
        <v>0</v>
      </c>
      <c r="H459" s="150">
        <v>0</v>
      </c>
      <c r="I459" s="567">
        <f t="shared" si="12"/>
        <v>0</v>
      </c>
    </row>
    <row r="460" spans="1:9" x14ac:dyDescent="0.15">
      <c r="A460" s="138"/>
      <c r="B460" s="523" t="s">
        <v>1621</v>
      </c>
      <c r="C460" s="524" t="s">
        <v>839</v>
      </c>
      <c r="D460" s="144">
        <v>0</v>
      </c>
      <c r="E460" s="144">
        <v>0</v>
      </c>
      <c r="F460" s="144">
        <v>0</v>
      </c>
      <c r="G460" s="291">
        <v>0</v>
      </c>
      <c r="H460" s="150">
        <v>0</v>
      </c>
      <c r="I460" s="567">
        <f t="shared" si="12"/>
        <v>0</v>
      </c>
    </row>
    <row r="461" spans="1:9" x14ac:dyDescent="0.15">
      <c r="A461" s="138"/>
      <c r="B461" s="523" t="s">
        <v>1622</v>
      </c>
      <c r="C461" s="524" t="s">
        <v>190</v>
      </c>
      <c r="D461" s="144">
        <v>0</v>
      </c>
      <c r="E461" s="144">
        <v>0</v>
      </c>
      <c r="F461" s="144">
        <v>0</v>
      </c>
      <c r="G461" s="291">
        <v>0</v>
      </c>
      <c r="H461" s="150">
        <v>0</v>
      </c>
      <c r="I461" s="567">
        <f t="shared" si="12"/>
        <v>0</v>
      </c>
    </row>
    <row r="462" spans="1:9" x14ac:dyDescent="0.15">
      <c r="A462" s="138"/>
      <c r="B462" s="523" t="s">
        <v>1623</v>
      </c>
      <c r="C462" s="524" t="s">
        <v>191</v>
      </c>
      <c r="D462" s="144">
        <v>0</v>
      </c>
      <c r="E462" s="144">
        <v>0</v>
      </c>
      <c r="F462" s="144">
        <v>0</v>
      </c>
      <c r="G462" s="291">
        <v>0</v>
      </c>
      <c r="H462" s="150">
        <v>0</v>
      </c>
      <c r="I462" s="567">
        <f t="shared" si="12"/>
        <v>0</v>
      </c>
    </row>
    <row r="463" spans="1:9" x14ac:dyDescent="0.15">
      <c r="A463" s="138"/>
      <c r="B463" s="523" t="s">
        <v>1624</v>
      </c>
      <c r="C463" s="524" t="s">
        <v>840</v>
      </c>
      <c r="D463" s="144">
        <v>0</v>
      </c>
      <c r="E463" s="144">
        <v>0</v>
      </c>
      <c r="F463" s="144">
        <v>0</v>
      </c>
      <c r="G463" s="291">
        <v>0</v>
      </c>
      <c r="H463" s="150">
        <v>0</v>
      </c>
      <c r="I463" s="567">
        <f t="shared" si="12"/>
        <v>0</v>
      </c>
    </row>
    <row r="464" spans="1:9" x14ac:dyDescent="0.15">
      <c r="A464" s="138"/>
      <c r="B464" s="523" t="s">
        <v>1625</v>
      </c>
      <c r="C464" s="524" t="s">
        <v>842</v>
      </c>
      <c r="D464" s="144">
        <v>0</v>
      </c>
      <c r="E464" s="144">
        <v>0</v>
      </c>
      <c r="F464" s="144">
        <v>0</v>
      </c>
      <c r="G464" s="291">
        <v>0</v>
      </c>
      <c r="H464" s="150">
        <v>0</v>
      </c>
      <c r="I464" s="567">
        <f t="shared" si="12"/>
        <v>0</v>
      </c>
    </row>
    <row r="465" spans="1:9" x14ac:dyDescent="0.15">
      <c r="A465" s="138"/>
      <c r="B465" s="523" t="s">
        <v>843</v>
      </c>
      <c r="C465" s="524" t="s">
        <v>848</v>
      </c>
      <c r="D465" s="144">
        <v>0</v>
      </c>
      <c r="E465" s="144">
        <v>0</v>
      </c>
      <c r="F465" s="144">
        <v>0</v>
      </c>
      <c r="G465" s="291">
        <v>0</v>
      </c>
      <c r="H465" s="150">
        <v>0</v>
      </c>
      <c r="I465" s="567">
        <f t="shared" si="12"/>
        <v>0</v>
      </c>
    </row>
    <row r="466" spans="1:9" x14ac:dyDescent="0.15">
      <c r="A466" s="138"/>
      <c r="B466" s="523" t="s">
        <v>844</v>
      </c>
      <c r="C466" s="524" t="s">
        <v>153</v>
      </c>
      <c r="D466" s="144">
        <v>0</v>
      </c>
      <c r="E466" s="144">
        <v>0</v>
      </c>
      <c r="F466" s="144">
        <v>0</v>
      </c>
      <c r="G466" s="291">
        <v>0</v>
      </c>
      <c r="H466" s="150">
        <v>0</v>
      </c>
      <c r="I466" s="567">
        <f t="shared" si="12"/>
        <v>0</v>
      </c>
    </row>
    <row r="467" spans="1:9" x14ac:dyDescent="0.15">
      <c r="A467" s="138"/>
      <c r="B467" s="523" t="s">
        <v>845</v>
      </c>
      <c r="C467" s="524" t="s">
        <v>154</v>
      </c>
      <c r="D467" s="144">
        <v>0</v>
      </c>
      <c r="E467" s="144">
        <v>0</v>
      </c>
      <c r="F467" s="144">
        <v>0</v>
      </c>
      <c r="G467" s="291">
        <v>0</v>
      </c>
      <c r="H467" s="150">
        <v>0</v>
      </c>
      <c r="I467" s="567">
        <f t="shared" si="12"/>
        <v>0</v>
      </c>
    </row>
    <row r="468" spans="1:9" x14ac:dyDescent="0.15">
      <c r="A468" s="138"/>
      <c r="B468" s="523" t="s">
        <v>846</v>
      </c>
      <c r="C468" s="524" t="s">
        <v>155</v>
      </c>
      <c r="D468" s="144">
        <v>0</v>
      </c>
      <c r="E468" s="144">
        <v>0</v>
      </c>
      <c r="F468" s="144">
        <v>0</v>
      </c>
      <c r="G468" s="291">
        <v>0</v>
      </c>
      <c r="H468" s="150">
        <v>0</v>
      </c>
      <c r="I468" s="567">
        <f t="shared" si="12"/>
        <v>0</v>
      </c>
    </row>
    <row r="469" spans="1:9" x14ac:dyDescent="0.15">
      <c r="A469" s="138"/>
      <c r="B469" s="523" t="s">
        <v>1582</v>
      </c>
      <c r="C469" s="524" t="s">
        <v>156</v>
      </c>
      <c r="D469" s="144">
        <v>0</v>
      </c>
      <c r="E469" s="144">
        <v>0</v>
      </c>
      <c r="F469" s="144">
        <v>0</v>
      </c>
      <c r="G469" s="291">
        <v>0</v>
      </c>
      <c r="H469" s="150">
        <v>0</v>
      </c>
      <c r="I469" s="567">
        <f t="shared" si="12"/>
        <v>0</v>
      </c>
    </row>
    <row r="470" spans="1:9" x14ac:dyDescent="0.15">
      <c r="A470" s="138"/>
      <c r="B470" s="523" t="s">
        <v>847</v>
      </c>
      <c r="C470" s="524" t="s">
        <v>157</v>
      </c>
      <c r="D470" s="144">
        <v>0</v>
      </c>
      <c r="E470" s="144">
        <v>0</v>
      </c>
      <c r="F470" s="144">
        <v>0</v>
      </c>
      <c r="G470" s="291">
        <v>0</v>
      </c>
      <c r="H470" s="150">
        <v>0</v>
      </c>
      <c r="I470" s="567">
        <f t="shared" si="12"/>
        <v>0</v>
      </c>
    </row>
    <row r="471" spans="1:9" x14ac:dyDescent="0.15">
      <c r="A471" s="138"/>
      <c r="B471" s="523" t="s">
        <v>1583</v>
      </c>
      <c r="C471" s="524" t="s">
        <v>160</v>
      </c>
      <c r="D471" s="144">
        <v>0</v>
      </c>
      <c r="E471" s="144">
        <v>0</v>
      </c>
      <c r="F471" s="144">
        <v>0</v>
      </c>
      <c r="G471" s="291">
        <v>0</v>
      </c>
      <c r="H471" s="150">
        <v>0</v>
      </c>
      <c r="I471" s="567">
        <f t="shared" si="12"/>
        <v>0</v>
      </c>
    </row>
    <row r="472" spans="1:9" x14ac:dyDescent="0.15">
      <c r="A472" s="138"/>
      <c r="B472" s="523" t="s">
        <v>634</v>
      </c>
      <c r="C472" s="524" t="s">
        <v>165</v>
      </c>
      <c r="D472" s="144">
        <v>0</v>
      </c>
      <c r="E472" s="144">
        <v>0</v>
      </c>
      <c r="F472" s="144">
        <v>0</v>
      </c>
      <c r="G472" s="291">
        <v>0</v>
      </c>
      <c r="H472" s="150">
        <v>0</v>
      </c>
      <c r="I472" s="567">
        <f t="shared" si="12"/>
        <v>0</v>
      </c>
    </row>
    <row r="473" spans="1:9" x14ac:dyDescent="0.15">
      <c r="A473" s="138"/>
      <c r="B473" s="523" t="s">
        <v>630</v>
      </c>
      <c r="C473" s="524" t="s">
        <v>172</v>
      </c>
      <c r="D473" s="144">
        <v>0</v>
      </c>
      <c r="E473" s="144">
        <v>0</v>
      </c>
      <c r="F473" s="144">
        <v>0</v>
      </c>
      <c r="G473" s="291">
        <v>0</v>
      </c>
      <c r="H473" s="150">
        <v>0</v>
      </c>
      <c r="I473" s="567">
        <f t="shared" si="12"/>
        <v>0</v>
      </c>
    </row>
    <row r="474" spans="1:9" x14ac:dyDescent="0.15">
      <c r="A474" s="138"/>
      <c r="B474" s="650" t="s">
        <v>631</v>
      </c>
      <c r="C474" s="651" t="s">
        <v>173</v>
      </c>
      <c r="D474" s="144">
        <v>0</v>
      </c>
      <c r="E474" s="144">
        <v>0</v>
      </c>
      <c r="F474" s="144">
        <v>0</v>
      </c>
      <c r="G474" s="291">
        <v>0</v>
      </c>
      <c r="H474" s="150">
        <v>0</v>
      </c>
      <c r="I474" s="567">
        <f t="shared" si="12"/>
        <v>0</v>
      </c>
    </row>
    <row r="475" spans="1:9" x14ac:dyDescent="0.15">
      <c r="A475" s="138"/>
      <c r="B475" s="523" t="s">
        <v>1584</v>
      </c>
      <c r="C475" s="524" t="s">
        <v>178</v>
      </c>
      <c r="D475" s="144">
        <v>0</v>
      </c>
      <c r="E475" s="144">
        <v>0</v>
      </c>
      <c r="F475" s="144">
        <v>0</v>
      </c>
      <c r="G475" s="291">
        <v>0</v>
      </c>
      <c r="H475" s="150">
        <v>0</v>
      </c>
      <c r="I475" s="567">
        <f t="shared" si="12"/>
        <v>0</v>
      </c>
    </row>
    <row r="476" spans="1:9" x14ac:dyDescent="0.15">
      <c r="A476" s="138"/>
      <c r="B476" s="523" t="s">
        <v>174</v>
      </c>
      <c r="C476" s="524" t="s">
        <v>179</v>
      </c>
      <c r="D476" s="144">
        <v>0</v>
      </c>
      <c r="E476" s="144">
        <v>0</v>
      </c>
      <c r="F476" s="144">
        <v>0</v>
      </c>
      <c r="G476" s="291">
        <v>0</v>
      </c>
      <c r="H476" s="150">
        <v>0</v>
      </c>
      <c r="I476" s="567">
        <f t="shared" si="12"/>
        <v>0</v>
      </c>
    </row>
    <row r="477" spans="1:9" x14ac:dyDescent="0.15">
      <c r="A477" s="138"/>
      <c r="B477" s="523" t="s">
        <v>175</v>
      </c>
      <c r="C477" s="524" t="s">
        <v>180</v>
      </c>
      <c r="D477" s="144">
        <v>0</v>
      </c>
      <c r="E477" s="144">
        <v>0</v>
      </c>
      <c r="F477" s="144">
        <v>0</v>
      </c>
      <c r="G477" s="291">
        <v>0</v>
      </c>
      <c r="H477" s="150">
        <v>0</v>
      </c>
      <c r="I477" s="567">
        <f t="shared" si="12"/>
        <v>0</v>
      </c>
    </row>
    <row r="478" spans="1:9" ht="11.25" thickBot="1" x14ac:dyDescent="0.2">
      <c r="A478" s="138"/>
      <c r="B478" s="523" t="s">
        <v>176</v>
      </c>
      <c r="C478" s="524" t="s">
        <v>181</v>
      </c>
      <c r="D478" s="144">
        <v>0</v>
      </c>
      <c r="E478" s="144">
        <v>0</v>
      </c>
      <c r="F478" s="144">
        <v>0</v>
      </c>
      <c r="G478" s="291">
        <v>0</v>
      </c>
      <c r="H478" s="150">
        <v>0</v>
      </c>
      <c r="I478" s="567">
        <f t="shared" si="12"/>
        <v>0</v>
      </c>
    </row>
    <row r="479" spans="1:9" ht="12" thickTop="1" thickBot="1" x14ac:dyDescent="0.2">
      <c r="A479" s="138"/>
      <c r="B479" s="523"/>
      <c r="C479" s="524" t="s">
        <v>243</v>
      </c>
      <c r="D479" s="169">
        <f>SUM(D445:D478)</f>
        <v>0</v>
      </c>
      <c r="E479" s="169">
        <f>SUM(E445:E478)</f>
        <v>0</v>
      </c>
      <c r="F479" s="169">
        <f>SUM(F445:F478)</f>
        <v>0</v>
      </c>
      <c r="G479" s="169">
        <f>SUM(G445:G478)</f>
        <v>0</v>
      </c>
      <c r="H479" s="169">
        <f>SUM(H445:H478)</f>
        <v>0</v>
      </c>
      <c r="I479" s="169">
        <f t="shared" si="12"/>
        <v>0</v>
      </c>
    </row>
    <row r="480" spans="1:9" ht="11.25" thickTop="1" x14ac:dyDescent="0.15">
      <c r="A480" s="138"/>
      <c r="B480" s="524"/>
      <c r="C480" s="524"/>
      <c r="D480" s="14"/>
      <c r="E480" s="14"/>
      <c r="F480" s="14"/>
      <c r="G480" s="14"/>
      <c r="H480" s="14"/>
      <c r="I480" s="563"/>
    </row>
    <row r="481" spans="1:9" x14ac:dyDescent="0.15">
      <c r="A481" s="522" t="s">
        <v>244</v>
      </c>
      <c r="B481" s="524"/>
      <c r="C481" s="524"/>
      <c r="D481" s="14"/>
      <c r="E481" s="14"/>
      <c r="F481" s="14"/>
      <c r="G481" s="14"/>
      <c r="H481" s="14"/>
      <c r="I481" s="563"/>
    </row>
    <row r="482" spans="1:9" x14ac:dyDescent="0.15">
      <c r="A482" s="434"/>
      <c r="B482" s="523" t="s">
        <v>1577</v>
      </c>
      <c r="C482" s="524" t="s">
        <v>228</v>
      </c>
      <c r="D482" s="316">
        <v>0</v>
      </c>
      <c r="E482" s="316">
        <v>0</v>
      </c>
      <c r="F482" s="316">
        <v>0</v>
      </c>
      <c r="G482" s="528">
        <f t="array" ref="G482">SUM(IF(CertFund&amp;CertProg&amp;CertObj=RIGHT(LEFT($A$2,7),2)&amp;LEFT(A481,4)&amp;B482,CertSalary))</f>
        <v>0</v>
      </c>
      <c r="H482" s="527">
        <v>0</v>
      </c>
      <c r="I482" s="566">
        <f>SUM(G482+H482)</f>
        <v>0</v>
      </c>
    </row>
    <row r="483" spans="1:9" x14ac:dyDescent="0.15">
      <c r="A483" s="434"/>
      <c r="B483" s="523" t="s">
        <v>1577</v>
      </c>
      <c r="C483" s="524" t="s">
        <v>510</v>
      </c>
      <c r="D483" s="316">
        <v>0</v>
      </c>
      <c r="E483" s="316">
        <v>0</v>
      </c>
      <c r="F483" s="316">
        <v>0</v>
      </c>
      <c r="G483" s="316">
        <v>0</v>
      </c>
      <c r="H483" s="527">
        <v>0</v>
      </c>
      <c r="I483" s="566">
        <f>SUM(G483+H483)</f>
        <v>0</v>
      </c>
    </row>
    <row r="484" spans="1:9" x14ac:dyDescent="0.15">
      <c r="A484" s="524"/>
      <c r="B484" s="523" t="s">
        <v>1578</v>
      </c>
      <c r="C484" s="524" t="s">
        <v>936</v>
      </c>
      <c r="D484" s="316">
        <v>0</v>
      </c>
      <c r="E484" s="316">
        <v>0</v>
      </c>
      <c r="F484" s="316">
        <v>0</v>
      </c>
      <c r="G484" s="529">
        <f t="array" ref="G484">SUM(IF(CertFund&amp;CertProg&amp;CertObj=RIGHT(LEFT($A$2,7),2)&amp;LEFT(A481,4)&amp;B482,CertBen))</f>
        <v>0</v>
      </c>
      <c r="H484" s="527">
        <v>0</v>
      </c>
      <c r="I484" s="566">
        <f>SUM(G484+H484)</f>
        <v>0</v>
      </c>
    </row>
    <row r="485" spans="1:9" x14ac:dyDescent="0.15">
      <c r="A485" s="138"/>
      <c r="B485" s="521" t="s">
        <v>1578</v>
      </c>
      <c r="C485" s="138" t="s">
        <v>511</v>
      </c>
      <c r="D485" s="147">
        <v>0</v>
      </c>
      <c r="E485" s="147">
        <v>0</v>
      </c>
      <c r="F485" s="147">
        <v>0</v>
      </c>
      <c r="G485" s="147">
        <v>0</v>
      </c>
      <c r="H485" s="150">
        <v>0</v>
      </c>
      <c r="I485" s="567">
        <f>SUM(G485+H485)</f>
        <v>0</v>
      </c>
    </row>
    <row r="486" spans="1:9" x14ac:dyDescent="0.15">
      <c r="A486" s="138"/>
      <c r="B486" s="523" t="s">
        <v>1579</v>
      </c>
      <c r="C486" s="524" t="s">
        <v>118</v>
      </c>
      <c r="D486" s="144">
        <v>0</v>
      </c>
      <c r="E486" s="144">
        <v>0</v>
      </c>
      <c r="F486" s="144">
        <v>0</v>
      </c>
      <c r="G486" s="291">
        <v>0</v>
      </c>
      <c r="H486" s="150">
        <v>0</v>
      </c>
      <c r="I486" s="567">
        <f t="shared" ref="I486:I516" si="13">SUM(G486+H486)</f>
        <v>0</v>
      </c>
    </row>
    <row r="487" spans="1:9" x14ac:dyDescent="0.15">
      <c r="A487" s="138"/>
      <c r="B487" s="523" t="s">
        <v>1580</v>
      </c>
      <c r="C487" s="524" t="s">
        <v>119</v>
      </c>
      <c r="D487" s="144">
        <v>0</v>
      </c>
      <c r="E487" s="144">
        <v>0</v>
      </c>
      <c r="F487" s="144">
        <v>0</v>
      </c>
      <c r="G487" s="291">
        <v>0</v>
      </c>
      <c r="H487" s="150">
        <v>0</v>
      </c>
      <c r="I487" s="567">
        <f t="shared" si="13"/>
        <v>0</v>
      </c>
    </row>
    <row r="488" spans="1:9" x14ac:dyDescent="0.15">
      <c r="A488" s="138"/>
      <c r="B488" s="523" t="s">
        <v>120</v>
      </c>
      <c r="C488" s="524" t="s">
        <v>121</v>
      </c>
      <c r="D488" s="144">
        <v>0</v>
      </c>
      <c r="E488" s="144">
        <v>0</v>
      </c>
      <c r="F488" s="144">
        <v>0</v>
      </c>
      <c r="G488" s="291">
        <v>0</v>
      </c>
      <c r="H488" s="150">
        <v>0</v>
      </c>
      <c r="I488" s="567">
        <f t="shared" si="13"/>
        <v>0</v>
      </c>
    </row>
    <row r="489" spans="1:9" x14ac:dyDescent="0.15">
      <c r="A489" s="138"/>
      <c r="B489" s="523" t="s">
        <v>122</v>
      </c>
      <c r="C489" s="524" t="s">
        <v>123</v>
      </c>
      <c r="D489" s="144">
        <v>0</v>
      </c>
      <c r="E489" s="144">
        <v>0</v>
      </c>
      <c r="F489" s="144">
        <v>0</v>
      </c>
      <c r="G489" s="291">
        <v>0</v>
      </c>
      <c r="H489" s="150">
        <v>0</v>
      </c>
      <c r="I489" s="567">
        <f t="shared" si="13"/>
        <v>0</v>
      </c>
    </row>
    <row r="490" spans="1:9" x14ac:dyDescent="0.15">
      <c r="A490" s="138"/>
      <c r="B490" s="523" t="s">
        <v>1581</v>
      </c>
      <c r="C490" s="524" t="s">
        <v>124</v>
      </c>
      <c r="D490" s="144">
        <v>0</v>
      </c>
      <c r="E490" s="144">
        <v>0</v>
      </c>
      <c r="F490" s="144">
        <v>0</v>
      </c>
      <c r="G490" s="291">
        <v>0</v>
      </c>
      <c r="H490" s="150">
        <v>0</v>
      </c>
      <c r="I490" s="567">
        <f t="shared" si="13"/>
        <v>0</v>
      </c>
    </row>
    <row r="491" spans="1:9" x14ac:dyDescent="0.15">
      <c r="A491" s="138"/>
      <c r="B491" s="523" t="s">
        <v>127</v>
      </c>
      <c r="C491" s="524" t="s">
        <v>134</v>
      </c>
      <c r="D491" s="144">
        <v>0</v>
      </c>
      <c r="E491" s="144">
        <v>0</v>
      </c>
      <c r="F491" s="144">
        <v>0</v>
      </c>
      <c r="G491" s="291">
        <v>0</v>
      </c>
      <c r="H491" s="150">
        <v>0</v>
      </c>
      <c r="I491" s="567">
        <f t="shared" si="13"/>
        <v>0</v>
      </c>
    </row>
    <row r="492" spans="1:9" x14ac:dyDescent="0.15">
      <c r="A492" s="138"/>
      <c r="B492" s="523" t="s">
        <v>128</v>
      </c>
      <c r="C492" s="524" t="s">
        <v>135</v>
      </c>
      <c r="D492" s="144">
        <v>0</v>
      </c>
      <c r="E492" s="144">
        <v>0</v>
      </c>
      <c r="F492" s="144">
        <v>0</v>
      </c>
      <c r="G492" s="291">
        <v>0</v>
      </c>
      <c r="H492" s="150">
        <v>0</v>
      </c>
      <c r="I492" s="567">
        <f t="shared" si="13"/>
        <v>0</v>
      </c>
    </row>
    <row r="493" spans="1:9" x14ac:dyDescent="0.15">
      <c r="A493" s="138"/>
      <c r="B493" s="523" t="s">
        <v>132</v>
      </c>
      <c r="C493" s="524" t="s">
        <v>1617</v>
      </c>
      <c r="D493" s="144">
        <v>0</v>
      </c>
      <c r="E493" s="144">
        <v>0</v>
      </c>
      <c r="F493" s="144">
        <v>0</v>
      </c>
      <c r="G493" s="291">
        <v>0</v>
      </c>
      <c r="H493" s="150">
        <v>0</v>
      </c>
      <c r="I493" s="567">
        <f t="shared" si="13"/>
        <v>0</v>
      </c>
    </row>
    <row r="494" spans="1:9" x14ac:dyDescent="0.15">
      <c r="A494" s="138"/>
      <c r="B494" s="523" t="s">
        <v>1618</v>
      </c>
      <c r="C494" s="524" t="s">
        <v>836</v>
      </c>
      <c r="D494" s="144">
        <v>0</v>
      </c>
      <c r="E494" s="144">
        <v>0</v>
      </c>
      <c r="F494" s="144">
        <v>0</v>
      </c>
      <c r="G494" s="291">
        <v>0</v>
      </c>
      <c r="H494" s="150">
        <v>0</v>
      </c>
      <c r="I494" s="567">
        <f t="shared" si="13"/>
        <v>0</v>
      </c>
    </row>
    <row r="495" spans="1:9" x14ac:dyDescent="0.15">
      <c r="A495" s="138"/>
      <c r="B495" s="523" t="s">
        <v>1619</v>
      </c>
      <c r="C495" s="524" t="s">
        <v>837</v>
      </c>
      <c r="D495" s="144">
        <v>0</v>
      </c>
      <c r="E495" s="144">
        <v>0</v>
      </c>
      <c r="F495" s="144">
        <v>0</v>
      </c>
      <c r="G495" s="291">
        <v>0</v>
      </c>
      <c r="H495" s="150">
        <v>0</v>
      </c>
      <c r="I495" s="567">
        <f t="shared" si="13"/>
        <v>0</v>
      </c>
    </row>
    <row r="496" spans="1:9" x14ac:dyDescent="0.15">
      <c r="A496" s="138"/>
      <c r="B496" s="523" t="s">
        <v>1620</v>
      </c>
      <c r="C496" s="524" t="s">
        <v>838</v>
      </c>
      <c r="D496" s="144">
        <v>0</v>
      </c>
      <c r="E496" s="144">
        <v>0</v>
      </c>
      <c r="F496" s="144">
        <v>0</v>
      </c>
      <c r="G496" s="291">
        <v>0</v>
      </c>
      <c r="H496" s="150">
        <v>0</v>
      </c>
      <c r="I496" s="567">
        <f t="shared" si="13"/>
        <v>0</v>
      </c>
    </row>
    <row r="497" spans="1:9" x14ac:dyDescent="0.15">
      <c r="A497" s="138"/>
      <c r="B497" s="523" t="s">
        <v>1621</v>
      </c>
      <c r="C497" s="524" t="s">
        <v>839</v>
      </c>
      <c r="D497" s="144">
        <v>0</v>
      </c>
      <c r="E497" s="144">
        <v>0</v>
      </c>
      <c r="F497" s="144">
        <v>0</v>
      </c>
      <c r="G497" s="291">
        <v>0</v>
      </c>
      <c r="H497" s="150">
        <v>0</v>
      </c>
      <c r="I497" s="567">
        <f t="shared" si="13"/>
        <v>0</v>
      </c>
    </row>
    <row r="498" spans="1:9" x14ac:dyDescent="0.15">
      <c r="A498" s="138"/>
      <c r="B498" s="523" t="s">
        <v>1622</v>
      </c>
      <c r="C498" s="524" t="s">
        <v>190</v>
      </c>
      <c r="D498" s="144">
        <v>0</v>
      </c>
      <c r="E498" s="144">
        <v>0</v>
      </c>
      <c r="F498" s="144">
        <v>0</v>
      </c>
      <c r="G498" s="291">
        <v>0</v>
      </c>
      <c r="H498" s="150">
        <v>0</v>
      </c>
      <c r="I498" s="567">
        <f t="shared" si="13"/>
        <v>0</v>
      </c>
    </row>
    <row r="499" spans="1:9" x14ac:dyDescent="0.15">
      <c r="A499" s="138"/>
      <c r="B499" s="523" t="s">
        <v>1623</v>
      </c>
      <c r="C499" s="524" t="s">
        <v>191</v>
      </c>
      <c r="D499" s="144">
        <v>0</v>
      </c>
      <c r="E499" s="144">
        <v>0</v>
      </c>
      <c r="F499" s="144">
        <v>0</v>
      </c>
      <c r="G499" s="291">
        <v>0</v>
      </c>
      <c r="H499" s="150">
        <v>0</v>
      </c>
      <c r="I499" s="567">
        <f t="shared" si="13"/>
        <v>0</v>
      </c>
    </row>
    <row r="500" spans="1:9" x14ac:dyDescent="0.15">
      <c r="A500" s="138"/>
      <c r="B500" s="523" t="s">
        <v>1624</v>
      </c>
      <c r="C500" s="524" t="s">
        <v>840</v>
      </c>
      <c r="D500" s="144">
        <v>0</v>
      </c>
      <c r="E500" s="144">
        <v>0</v>
      </c>
      <c r="F500" s="144">
        <v>0</v>
      </c>
      <c r="G500" s="291">
        <v>0</v>
      </c>
      <c r="H500" s="150">
        <v>0</v>
      </c>
      <c r="I500" s="567">
        <f t="shared" si="13"/>
        <v>0</v>
      </c>
    </row>
    <row r="501" spans="1:9" x14ac:dyDescent="0.15">
      <c r="A501" s="138"/>
      <c r="B501" s="523" t="s">
        <v>1625</v>
      </c>
      <c r="C501" s="524" t="s">
        <v>842</v>
      </c>
      <c r="D501" s="144">
        <v>0</v>
      </c>
      <c r="E501" s="144">
        <v>0</v>
      </c>
      <c r="F501" s="144">
        <v>0</v>
      </c>
      <c r="G501" s="291">
        <v>0</v>
      </c>
      <c r="H501" s="150">
        <v>0</v>
      </c>
      <c r="I501" s="567">
        <f t="shared" si="13"/>
        <v>0</v>
      </c>
    </row>
    <row r="502" spans="1:9" x14ac:dyDescent="0.15">
      <c r="A502" s="138"/>
      <c r="B502" s="523" t="s">
        <v>843</v>
      </c>
      <c r="C502" s="524" t="s">
        <v>848</v>
      </c>
      <c r="D502" s="144">
        <v>0</v>
      </c>
      <c r="E502" s="144">
        <v>0</v>
      </c>
      <c r="F502" s="144">
        <v>0</v>
      </c>
      <c r="G502" s="291">
        <v>0</v>
      </c>
      <c r="H502" s="150">
        <v>0</v>
      </c>
      <c r="I502" s="567">
        <f t="shared" si="13"/>
        <v>0</v>
      </c>
    </row>
    <row r="503" spans="1:9" x14ac:dyDescent="0.15">
      <c r="A503" s="138"/>
      <c r="B503" s="523" t="s">
        <v>844</v>
      </c>
      <c r="C503" s="524" t="s">
        <v>153</v>
      </c>
      <c r="D503" s="144">
        <v>0</v>
      </c>
      <c r="E503" s="144">
        <v>0</v>
      </c>
      <c r="F503" s="144">
        <v>0</v>
      </c>
      <c r="G503" s="291">
        <v>0</v>
      </c>
      <c r="H503" s="150">
        <v>0</v>
      </c>
      <c r="I503" s="567">
        <f t="shared" si="13"/>
        <v>0</v>
      </c>
    </row>
    <row r="504" spans="1:9" x14ac:dyDescent="0.15">
      <c r="A504" s="138"/>
      <c r="B504" s="523" t="s">
        <v>845</v>
      </c>
      <c r="C504" s="524" t="s">
        <v>154</v>
      </c>
      <c r="D504" s="144">
        <v>0</v>
      </c>
      <c r="E504" s="144">
        <v>0</v>
      </c>
      <c r="F504" s="144">
        <v>0</v>
      </c>
      <c r="G504" s="291">
        <v>0</v>
      </c>
      <c r="H504" s="150">
        <v>0</v>
      </c>
      <c r="I504" s="567">
        <f t="shared" si="13"/>
        <v>0</v>
      </c>
    </row>
    <row r="505" spans="1:9" x14ac:dyDescent="0.15">
      <c r="A505" s="138"/>
      <c r="B505" s="523" t="s">
        <v>846</v>
      </c>
      <c r="C505" s="524" t="s">
        <v>155</v>
      </c>
      <c r="D505" s="144">
        <v>0</v>
      </c>
      <c r="E505" s="144">
        <v>0</v>
      </c>
      <c r="F505" s="144">
        <v>0</v>
      </c>
      <c r="G505" s="291">
        <v>0</v>
      </c>
      <c r="H505" s="150">
        <v>0</v>
      </c>
      <c r="I505" s="567">
        <f t="shared" si="13"/>
        <v>0</v>
      </c>
    </row>
    <row r="506" spans="1:9" x14ac:dyDescent="0.15">
      <c r="A506" s="138"/>
      <c r="B506" s="523" t="s">
        <v>1582</v>
      </c>
      <c r="C506" s="524" t="s">
        <v>156</v>
      </c>
      <c r="D506" s="144">
        <v>0</v>
      </c>
      <c r="E506" s="144">
        <v>0</v>
      </c>
      <c r="F506" s="144">
        <v>0</v>
      </c>
      <c r="G506" s="291">
        <v>0</v>
      </c>
      <c r="H506" s="150">
        <v>0</v>
      </c>
      <c r="I506" s="567">
        <f t="shared" si="13"/>
        <v>0</v>
      </c>
    </row>
    <row r="507" spans="1:9" x14ac:dyDescent="0.15">
      <c r="A507" s="138"/>
      <c r="B507" s="523" t="s">
        <v>847</v>
      </c>
      <c r="C507" s="524" t="s">
        <v>157</v>
      </c>
      <c r="D507" s="144">
        <v>0</v>
      </c>
      <c r="E507" s="144">
        <v>0</v>
      </c>
      <c r="F507" s="144">
        <v>0</v>
      </c>
      <c r="G507" s="291">
        <v>0</v>
      </c>
      <c r="H507" s="150">
        <v>0</v>
      </c>
      <c r="I507" s="567">
        <f t="shared" si="13"/>
        <v>0</v>
      </c>
    </row>
    <row r="508" spans="1:9" x14ac:dyDescent="0.15">
      <c r="A508" s="138"/>
      <c r="B508" s="523" t="s">
        <v>1583</v>
      </c>
      <c r="C508" s="524" t="s">
        <v>160</v>
      </c>
      <c r="D508" s="144">
        <v>0</v>
      </c>
      <c r="E508" s="144">
        <v>0</v>
      </c>
      <c r="F508" s="144">
        <v>0</v>
      </c>
      <c r="G508" s="291">
        <v>0</v>
      </c>
      <c r="H508" s="150">
        <v>0</v>
      </c>
      <c r="I508" s="567">
        <f t="shared" si="13"/>
        <v>0</v>
      </c>
    </row>
    <row r="509" spans="1:9" x14ac:dyDescent="0.15">
      <c r="A509" s="138"/>
      <c r="B509" s="523" t="s">
        <v>634</v>
      </c>
      <c r="C509" s="524" t="s">
        <v>165</v>
      </c>
      <c r="D509" s="144">
        <v>0</v>
      </c>
      <c r="E509" s="144">
        <v>0</v>
      </c>
      <c r="F509" s="144">
        <v>0</v>
      </c>
      <c r="G509" s="291">
        <v>0</v>
      </c>
      <c r="H509" s="150">
        <v>0</v>
      </c>
      <c r="I509" s="567">
        <f t="shared" si="13"/>
        <v>0</v>
      </c>
    </row>
    <row r="510" spans="1:9" x14ac:dyDescent="0.15">
      <c r="A510" s="138"/>
      <c r="B510" s="523" t="s">
        <v>630</v>
      </c>
      <c r="C510" s="524" t="s">
        <v>172</v>
      </c>
      <c r="D510" s="144">
        <v>0</v>
      </c>
      <c r="E510" s="144">
        <v>0</v>
      </c>
      <c r="F510" s="144">
        <v>0</v>
      </c>
      <c r="G510" s="291">
        <v>0</v>
      </c>
      <c r="H510" s="150">
        <v>0</v>
      </c>
      <c r="I510" s="567">
        <f t="shared" si="13"/>
        <v>0</v>
      </c>
    </row>
    <row r="511" spans="1:9" x14ac:dyDescent="0.15">
      <c r="A511" s="138"/>
      <c r="B511" s="650" t="s">
        <v>631</v>
      </c>
      <c r="C511" s="651" t="s">
        <v>173</v>
      </c>
      <c r="D511" s="144">
        <v>0</v>
      </c>
      <c r="E511" s="144">
        <v>0</v>
      </c>
      <c r="F511" s="144">
        <v>0</v>
      </c>
      <c r="G511" s="291">
        <v>0</v>
      </c>
      <c r="H511" s="150">
        <v>0</v>
      </c>
      <c r="I511" s="567">
        <f t="shared" si="13"/>
        <v>0</v>
      </c>
    </row>
    <row r="512" spans="1:9" x14ac:dyDescent="0.15">
      <c r="A512" s="138"/>
      <c r="B512" s="523" t="s">
        <v>1584</v>
      </c>
      <c r="C512" s="524" t="s">
        <v>178</v>
      </c>
      <c r="D512" s="144">
        <v>0</v>
      </c>
      <c r="E512" s="144">
        <v>0</v>
      </c>
      <c r="F512" s="144">
        <v>0</v>
      </c>
      <c r="G512" s="291">
        <v>0</v>
      </c>
      <c r="H512" s="150">
        <v>0</v>
      </c>
      <c r="I512" s="567">
        <f t="shared" si="13"/>
        <v>0</v>
      </c>
    </row>
    <row r="513" spans="1:9" x14ac:dyDescent="0.15">
      <c r="A513" s="138"/>
      <c r="B513" s="523" t="s">
        <v>174</v>
      </c>
      <c r="C513" s="524" t="s">
        <v>179</v>
      </c>
      <c r="D513" s="144">
        <v>0</v>
      </c>
      <c r="E513" s="144">
        <v>0</v>
      </c>
      <c r="F513" s="144">
        <v>0</v>
      </c>
      <c r="G513" s="291">
        <v>0</v>
      </c>
      <c r="H513" s="150">
        <v>0</v>
      </c>
      <c r="I513" s="567">
        <f t="shared" si="13"/>
        <v>0</v>
      </c>
    </row>
    <row r="514" spans="1:9" x14ac:dyDescent="0.15">
      <c r="A514" s="138"/>
      <c r="B514" s="523" t="s">
        <v>175</v>
      </c>
      <c r="C514" s="524" t="s">
        <v>180</v>
      </c>
      <c r="D514" s="144">
        <v>0</v>
      </c>
      <c r="E514" s="144">
        <v>0</v>
      </c>
      <c r="F514" s="144">
        <v>0</v>
      </c>
      <c r="G514" s="291">
        <v>0</v>
      </c>
      <c r="H514" s="150">
        <v>0</v>
      </c>
      <c r="I514" s="567">
        <f t="shared" si="13"/>
        <v>0</v>
      </c>
    </row>
    <row r="515" spans="1:9" ht="11.25" thickBot="1" x14ac:dyDescent="0.2">
      <c r="A515" s="138"/>
      <c r="B515" s="523" t="s">
        <v>176</v>
      </c>
      <c r="C515" s="524" t="s">
        <v>181</v>
      </c>
      <c r="D515" s="144">
        <v>0</v>
      </c>
      <c r="E515" s="144">
        <v>0</v>
      </c>
      <c r="F515" s="144">
        <v>0</v>
      </c>
      <c r="G515" s="291">
        <v>0</v>
      </c>
      <c r="H515" s="150">
        <v>0</v>
      </c>
      <c r="I515" s="567">
        <f t="shared" si="13"/>
        <v>0</v>
      </c>
    </row>
    <row r="516" spans="1:9" ht="12" thickTop="1" thickBot="1" x14ac:dyDescent="0.2">
      <c r="A516" s="138"/>
      <c r="B516" s="523"/>
      <c r="C516" s="524" t="s">
        <v>245</v>
      </c>
      <c r="D516" s="169">
        <f>SUM(D482:D515)</f>
        <v>0</v>
      </c>
      <c r="E516" s="169">
        <f>SUM(E482:E515)</f>
        <v>0</v>
      </c>
      <c r="F516" s="169">
        <f>SUM(F482:F515)</f>
        <v>0</v>
      </c>
      <c r="G516" s="169">
        <f>SUM(G482:G515)</f>
        <v>0</v>
      </c>
      <c r="H516" s="169">
        <f>SUM(H482:H515)</f>
        <v>0</v>
      </c>
      <c r="I516" s="169">
        <f t="shared" si="13"/>
        <v>0</v>
      </c>
    </row>
    <row r="517" spans="1:9" ht="11.25" thickTop="1" x14ac:dyDescent="0.15">
      <c r="A517" s="138"/>
      <c r="B517" s="524"/>
      <c r="C517" s="524"/>
      <c r="D517" s="14"/>
      <c r="E517" s="14"/>
      <c r="F517" s="14"/>
      <c r="G517" s="14"/>
      <c r="H517" s="14"/>
      <c r="I517" s="563"/>
    </row>
    <row r="518" spans="1:9" x14ac:dyDescent="0.15">
      <c r="A518" s="522" t="s">
        <v>246</v>
      </c>
      <c r="B518" s="524"/>
      <c r="C518" s="524"/>
      <c r="D518" s="14"/>
      <c r="E518" s="14"/>
      <c r="F518" s="14"/>
      <c r="G518" s="14"/>
      <c r="H518" s="14"/>
      <c r="I518" s="563"/>
    </row>
    <row r="519" spans="1:9" x14ac:dyDescent="0.15">
      <c r="A519" s="434"/>
      <c r="B519" s="523" t="s">
        <v>1577</v>
      </c>
      <c r="C519" s="524" t="s">
        <v>228</v>
      </c>
      <c r="D519" s="316">
        <v>0</v>
      </c>
      <c r="E519" s="316">
        <v>0</v>
      </c>
      <c r="F519" s="316">
        <v>0</v>
      </c>
      <c r="G519" s="528">
        <f t="array" ref="G519">SUM(IF(CertFund&amp;CertProg&amp;CertObj=RIGHT(LEFT($A$2,7),2)&amp;LEFT(A518,4)&amp;B519,CertSalary))</f>
        <v>0</v>
      </c>
      <c r="H519" s="527">
        <v>0</v>
      </c>
      <c r="I519" s="566">
        <f>SUM(G519+H519)</f>
        <v>0</v>
      </c>
    </row>
    <row r="520" spans="1:9" x14ac:dyDescent="0.15">
      <c r="A520" s="434"/>
      <c r="B520" s="523" t="s">
        <v>1577</v>
      </c>
      <c r="C520" s="524" t="s">
        <v>510</v>
      </c>
      <c r="D520" s="316">
        <v>0</v>
      </c>
      <c r="E520" s="316">
        <v>0</v>
      </c>
      <c r="F520" s="316">
        <v>0</v>
      </c>
      <c r="G520" s="316">
        <v>0</v>
      </c>
      <c r="H520" s="527">
        <v>0</v>
      </c>
      <c r="I520" s="566">
        <f>SUM(G520+H520)</f>
        <v>0</v>
      </c>
    </row>
    <row r="521" spans="1:9" x14ac:dyDescent="0.15">
      <c r="A521" s="524"/>
      <c r="B521" s="523" t="s">
        <v>1578</v>
      </c>
      <c r="C521" s="524" t="s">
        <v>936</v>
      </c>
      <c r="D521" s="316">
        <v>0</v>
      </c>
      <c r="E521" s="316">
        <v>0</v>
      </c>
      <c r="F521" s="316">
        <v>0</v>
      </c>
      <c r="G521" s="529">
        <f t="array" ref="G521">SUM(IF(CertFund&amp;CertProg&amp;CertObj=RIGHT(LEFT($A$2,7),2)&amp;LEFT(A518,4)&amp;B519,CertBen))</f>
        <v>0</v>
      </c>
      <c r="H521" s="527">
        <v>0</v>
      </c>
      <c r="I521" s="566">
        <f>SUM(G521+H521)</f>
        <v>0</v>
      </c>
    </row>
    <row r="522" spans="1:9" x14ac:dyDescent="0.15">
      <c r="A522" s="138"/>
      <c r="B522" s="521" t="s">
        <v>1578</v>
      </c>
      <c r="C522" s="138" t="s">
        <v>511</v>
      </c>
      <c r="D522" s="147">
        <v>0</v>
      </c>
      <c r="E522" s="147">
        <v>0</v>
      </c>
      <c r="F522" s="147">
        <v>0</v>
      </c>
      <c r="G522" s="147">
        <v>0</v>
      </c>
      <c r="H522" s="150">
        <v>0</v>
      </c>
      <c r="I522" s="567">
        <f>SUM(G522+H522)</f>
        <v>0</v>
      </c>
    </row>
    <row r="523" spans="1:9" x14ac:dyDescent="0.15">
      <c r="A523" s="138"/>
      <c r="B523" s="523" t="s">
        <v>1579</v>
      </c>
      <c r="C523" s="524" t="s">
        <v>118</v>
      </c>
      <c r="D523" s="144">
        <v>0</v>
      </c>
      <c r="E523" s="144">
        <v>0</v>
      </c>
      <c r="F523" s="144">
        <v>0</v>
      </c>
      <c r="G523" s="144">
        <v>0</v>
      </c>
      <c r="H523" s="150">
        <v>0</v>
      </c>
      <c r="I523" s="567">
        <f t="shared" ref="I523:I553" si="14">SUM(G523+H523)</f>
        <v>0</v>
      </c>
    </row>
    <row r="524" spans="1:9" x14ac:dyDescent="0.15">
      <c r="A524" s="138"/>
      <c r="B524" s="523" t="s">
        <v>1580</v>
      </c>
      <c r="C524" s="524" t="s">
        <v>119</v>
      </c>
      <c r="D524" s="144">
        <v>0</v>
      </c>
      <c r="E524" s="144">
        <v>0</v>
      </c>
      <c r="F524" s="144">
        <v>0</v>
      </c>
      <c r="G524" s="144">
        <v>0</v>
      </c>
      <c r="H524" s="150">
        <v>0</v>
      </c>
      <c r="I524" s="567">
        <f t="shared" si="14"/>
        <v>0</v>
      </c>
    </row>
    <row r="525" spans="1:9" x14ac:dyDescent="0.15">
      <c r="A525" s="138"/>
      <c r="B525" s="523" t="s">
        <v>120</v>
      </c>
      <c r="C525" s="524" t="s">
        <v>121</v>
      </c>
      <c r="D525" s="144">
        <v>0</v>
      </c>
      <c r="E525" s="144">
        <v>0</v>
      </c>
      <c r="F525" s="144">
        <v>0</v>
      </c>
      <c r="G525" s="144">
        <v>0</v>
      </c>
      <c r="H525" s="150">
        <v>0</v>
      </c>
      <c r="I525" s="567">
        <f t="shared" si="14"/>
        <v>0</v>
      </c>
    </row>
    <row r="526" spans="1:9" x14ac:dyDescent="0.15">
      <c r="A526" s="138"/>
      <c r="B526" s="523" t="s">
        <v>122</v>
      </c>
      <c r="C526" s="524" t="s">
        <v>123</v>
      </c>
      <c r="D526" s="144">
        <v>0</v>
      </c>
      <c r="E526" s="144">
        <v>0</v>
      </c>
      <c r="F526" s="144">
        <v>0</v>
      </c>
      <c r="G526" s="144">
        <v>0</v>
      </c>
      <c r="H526" s="150">
        <v>0</v>
      </c>
      <c r="I526" s="567">
        <f t="shared" si="14"/>
        <v>0</v>
      </c>
    </row>
    <row r="527" spans="1:9" x14ac:dyDescent="0.15">
      <c r="A527" s="138"/>
      <c r="B527" s="523" t="s">
        <v>1581</v>
      </c>
      <c r="C527" s="524" t="s">
        <v>124</v>
      </c>
      <c r="D527" s="144">
        <v>0</v>
      </c>
      <c r="E527" s="144">
        <v>0</v>
      </c>
      <c r="F527" s="144">
        <v>0</v>
      </c>
      <c r="G527" s="144">
        <v>0</v>
      </c>
      <c r="H527" s="150">
        <v>0</v>
      </c>
      <c r="I527" s="567">
        <f t="shared" si="14"/>
        <v>0</v>
      </c>
    </row>
    <row r="528" spans="1:9" x14ac:dyDescent="0.15">
      <c r="A528" s="138"/>
      <c r="B528" s="523" t="s">
        <v>127</v>
      </c>
      <c r="C528" s="524" t="s">
        <v>134</v>
      </c>
      <c r="D528" s="144">
        <v>0</v>
      </c>
      <c r="E528" s="144">
        <v>0</v>
      </c>
      <c r="F528" s="144">
        <v>0</v>
      </c>
      <c r="G528" s="144">
        <v>0</v>
      </c>
      <c r="H528" s="150">
        <v>0</v>
      </c>
      <c r="I528" s="567">
        <f t="shared" si="14"/>
        <v>0</v>
      </c>
    </row>
    <row r="529" spans="1:9" x14ac:dyDescent="0.15">
      <c r="A529" s="138"/>
      <c r="B529" s="523" t="s">
        <v>128</v>
      </c>
      <c r="C529" s="524" t="s">
        <v>135</v>
      </c>
      <c r="D529" s="144">
        <v>0</v>
      </c>
      <c r="E529" s="144">
        <v>0</v>
      </c>
      <c r="F529" s="144">
        <v>0</v>
      </c>
      <c r="G529" s="144">
        <v>0</v>
      </c>
      <c r="H529" s="150">
        <v>0</v>
      </c>
      <c r="I529" s="567">
        <f t="shared" si="14"/>
        <v>0</v>
      </c>
    </row>
    <row r="530" spans="1:9" x14ac:dyDescent="0.15">
      <c r="A530" s="138"/>
      <c r="B530" s="523" t="s">
        <v>132</v>
      </c>
      <c r="C530" s="524" t="s">
        <v>1617</v>
      </c>
      <c r="D530" s="144">
        <v>0</v>
      </c>
      <c r="E530" s="144">
        <v>0</v>
      </c>
      <c r="F530" s="144">
        <v>0</v>
      </c>
      <c r="G530" s="144">
        <v>0</v>
      </c>
      <c r="H530" s="150">
        <v>0</v>
      </c>
      <c r="I530" s="567">
        <f t="shared" si="14"/>
        <v>0</v>
      </c>
    </row>
    <row r="531" spans="1:9" x14ac:dyDescent="0.15">
      <c r="A531" s="138"/>
      <c r="B531" s="523" t="s">
        <v>1618</v>
      </c>
      <c r="C531" s="524" t="s">
        <v>836</v>
      </c>
      <c r="D531" s="144">
        <v>0</v>
      </c>
      <c r="E531" s="144">
        <v>0</v>
      </c>
      <c r="F531" s="144">
        <v>0</v>
      </c>
      <c r="G531" s="144">
        <v>0</v>
      </c>
      <c r="H531" s="150">
        <v>0</v>
      </c>
      <c r="I531" s="567">
        <f t="shared" si="14"/>
        <v>0</v>
      </c>
    </row>
    <row r="532" spans="1:9" x14ac:dyDescent="0.15">
      <c r="A532" s="138"/>
      <c r="B532" s="523" t="s">
        <v>1619</v>
      </c>
      <c r="C532" s="524" t="s">
        <v>837</v>
      </c>
      <c r="D532" s="144">
        <v>0</v>
      </c>
      <c r="E532" s="144">
        <v>0</v>
      </c>
      <c r="F532" s="144">
        <v>0</v>
      </c>
      <c r="G532" s="144">
        <v>0</v>
      </c>
      <c r="H532" s="150">
        <v>0</v>
      </c>
      <c r="I532" s="567">
        <f t="shared" si="14"/>
        <v>0</v>
      </c>
    </row>
    <row r="533" spans="1:9" x14ac:dyDescent="0.15">
      <c r="A533" s="138"/>
      <c r="B533" s="523" t="s">
        <v>1620</v>
      </c>
      <c r="C533" s="524" t="s">
        <v>838</v>
      </c>
      <c r="D533" s="144">
        <v>0</v>
      </c>
      <c r="E533" s="144">
        <v>0</v>
      </c>
      <c r="F533" s="144">
        <v>0</v>
      </c>
      <c r="G533" s="144">
        <v>0</v>
      </c>
      <c r="H533" s="150">
        <v>0</v>
      </c>
      <c r="I533" s="567">
        <f t="shared" si="14"/>
        <v>0</v>
      </c>
    </row>
    <row r="534" spans="1:9" x14ac:dyDescent="0.15">
      <c r="A534" s="138"/>
      <c r="B534" s="523" t="s">
        <v>1621</v>
      </c>
      <c r="C534" s="524" t="s">
        <v>839</v>
      </c>
      <c r="D534" s="144">
        <v>0</v>
      </c>
      <c r="E534" s="144">
        <v>0</v>
      </c>
      <c r="F534" s="144">
        <v>0</v>
      </c>
      <c r="G534" s="144">
        <v>0</v>
      </c>
      <c r="H534" s="150">
        <v>0</v>
      </c>
      <c r="I534" s="567">
        <f t="shared" si="14"/>
        <v>0</v>
      </c>
    </row>
    <row r="535" spans="1:9" x14ac:dyDescent="0.15">
      <c r="A535" s="138"/>
      <c r="B535" s="523" t="s">
        <v>1622</v>
      </c>
      <c r="C535" s="524" t="s">
        <v>190</v>
      </c>
      <c r="D535" s="144">
        <v>0</v>
      </c>
      <c r="E535" s="144">
        <v>0</v>
      </c>
      <c r="F535" s="144">
        <v>0</v>
      </c>
      <c r="G535" s="144">
        <v>0</v>
      </c>
      <c r="H535" s="150">
        <v>0</v>
      </c>
      <c r="I535" s="567">
        <f t="shared" si="14"/>
        <v>0</v>
      </c>
    </row>
    <row r="536" spans="1:9" x14ac:dyDescent="0.15">
      <c r="A536" s="138"/>
      <c r="B536" s="523" t="s">
        <v>1623</v>
      </c>
      <c r="C536" s="524" t="s">
        <v>191</v>
      </c>
      <c r="D536" s="144">
        <v>0</v>
      </c>
      <c r="E536" s="144">
        <v>0</v>
      </c>
      <c r="F536" s="144">
        <v>0</v>
      </c>
      <c r="G536" s="144">
        <v>0</v>
      </c>
      <c r="H536" s="150">
        <v>0</v>
      </c>
      <c r="I536" s="567">
        <f t="shared" si="14"/>
        <v>0</v>
      </c>
    </row>
    <row r="537" spans="1:9" x14ac:dyDescent="0.15">
      <c r="A537" s="138"/>
      <c r="B537" s="523" t="s">
        <v>1624</v>
      </c>
      <c r="C537" s="524" t="s">
        <v>840</v>
      </c>
      <c r="D537" s="144">
        <v>0</v>
      </c>
      <c r="E537" s="144">
        <v>0</v>
      </c>
      <c r="F537" s="144">
        <v>0</v>
      </c>
      <c r="G537" s="144">
        <v>0</v>
      </c>
      <c r="H537" s="150">
        <v>0</v>
      </c>
      <c r="I537" s="567">
        <f t="shared" si="14"/>
        <v>0</v>
      </c>
    </row>
    <row r="538" spans="1:9" x14ac:dyDescent="0.15">
      <c r="A538" s="138"/>
      <c r="B538" s="523" t="s">
        <v>1625</v>
      </c>
      <c r="C538" s="524" t="s">
        <v>842</v>
      </c>
      <c r="D538" s="144">
        <v>0</v>
      </c>
      <c r="E538" s="144">
        <v>0</v>
      </c>
      <c r="F538" s="144">
        <v>0</v>
      </c>
      <c r="G538" s="144">
        <v>0</v>
      </c>
      <c r="H538" s="150">
        <v>0</v>
      </c>
      <c r="I538" s="567">
        <f t="shared" si="14"/>
        <v>0</v>
      </c>
    </row>
    <row r="539" spans="1:9" x14ac:dyDescent="0.15">
      <c r="A539" s="138"/>
      <c r="B539" s="523" t="s">
        <v>843</v>
      </c>
      <c r="C539" s="524" t="s">
        <v>848</v>
      </c>
      <c r="D539" s="144">
        <v>0</v>
      </c>
      <c r="E539" s="144">
        <v>0</v>
      </c>
      <c r="F539" s="144">
        <v>0</v>
      </c>
      <c r="G539" s="144">
        <v>0</v>
      </c>
      <c r="H539" s="150">
        <v>0</v>
      </c>
      <c r="I539" s="567">
        <f t="shared" si="14"/>
        <v>0</v>
      </c>
    </row>
    <row r="540" spans="1:9" x14ac:dyDescent="0.15">
      <c r="A540" s="138"/>
      <c r="B540" s="523" t="s">
        <v>844</v>
      </c>
      <c r="C540" s="524" t="s">
        <v>153</v>
      </c>
      <c r="D540" s="144">
        <v>0</v>
      </c>
      <c r="E540" s="144">
        <v>0</v>
      </c>
      <c r="F540" s="144">
        <v>0</v>
      </c>
      <c r="G540" s="144">
        <v>0</v>
      </c>
      <c r="H540" s="150">
        <v>0</v>
      </c>
      <c r="I540" s="567">
        <f t="shared" si="14"/>
        <v>0</v>
      </c>
    </row>
    <row r="541" spans="1:9" x14ac:dyDescent="0.15">
      <c r="A541" s="138"/>
      <c r="B541" s="523" t="s">
        <v>845</v>
      </c>
      <c r="C541" s="524" t="s">
        <v>154</v>
      </c>
      <c r="D541" s="144">
        <v>0</v>
      </c>
      <c r="E541" s="144">
        <v>0</v>
      </c>
      <c r="F541" s="144">
        <v>0</v>
      </c>
      <c r="G541" s="144">
        <v>0</v>
      </c>
      <c r="H541" s="150">
        <v>0</v>
      </c>
      <c r="I541" s="567">
        <f t="shared" si="14"/>
        <v>0</v>
      </c>
    </row>
    <row r="542" spans="1:9" x14ac:dyDescent="0.15">
      <c r="A542" s="138"/>
      <c r="B542" s="523" t="s">
        <v>846</v>
      </c>
      <c r="C542" s="524" t="s">
        <v>155</v>
      </c>
      <c r="D542" s="144">
        <v>0</v>
      </c>
      <c r="E542" s="144">
        <v>0</v>
      </c>
      <c r="F542" s="144">
        <v>0</v>
      </c>
      <c r="G542" s="144">
        <v>0</v>
      </c>
      <c r="H542" s="150">
        <v>0</v>
      </c>
      <c r="I542" s="567">
        <f t="shared" si="14"/>
        <v>0</v>
      </c>
    </row>
    <row r="543" spans="1:9" x14ac:dyDescent="0.15">
      <c r="A543" s="138"/>
      <c r="B543" s="523" t="s">
        <v>1582</v>
      </c>
      <c r="C543" s="524" t="s">
        <v>156</v>
      </c>
      <c r="D543" s="144">
        <v>0</v>
      </c>
      <c r="E543" s="144">
        <v>0</v>
      </c>
      <c r="F543" s="144">
        <v>0</v>
      </c>
      <c r="G543" s="144">
        <v>0</v>
      </c>
      <c r="H543" s="150">
        <v>0</v>
      </c>
      <c r="I543" s="567">
        <f t="shared" si="14"/>
        <v>0</v>
      </c>
    </row>
    <row r="544" spans="1:9" x14ac:dyDescent="0.15">
      <c r="A544" s="138"/>
      <c r="B544" s="523" t="s">
        <v>847</v>
      </c>
      <c r="C544" s="524" t="s">
        <v>157</v>
      </c>
      <c r="D544" s="144">
        <v>0</v>
      </c>
      <c r="E544" s="144">
        <v>0</v>
      </c>
      <c r="F544" s="144">
        <v>0</v>
      </c>
      <c r="G544" s="144">
        <v>0</v>
      </c>
      <c r="H544" s="150">
        <v>0</v>
      </c>
      <c r="I544" s="567">
        <f t="shared" si="14"/>
        <v>0</v>
      </c>
    </row>
    <row r="545" spans="1:9" x14ac:dyDescent="0.15">
      <c r="A545" s="138"/>
      <c r="B545" s="523" t="s">
        <v>1583</v>
      </c>
      <c r="C545" s="524" t="s">
        <v>160</v>
      </c>
      <c r="D545" s="144">
        <v>0</v>
      </c>
      <c r="E545" s="144">
        <v>0</v>
      </c>
      <c r="F545" s="144">
        <v>0</v>
      </c>
      <c r="G545" s="144">
        <v>0</v>
      </c>
      <c r="H545" s="150">
        <v>0</v>
      </c>
      <c r="I545" s="567">
        <f t="shared" si="14"/>
        <v>0</v>
      </c>
    </row>
    <row r="546" spans="1:9" x14ac:dyDescent="0.15">
      <c r="A546" s="138"/>
      <c r="B546" s="523" t="s">
        <v>634</v>
      </c>
      <c r="C546" s="524" t="s">
        <v>165</v>
      </c>
      <c r="D546" s="144">
        <v>0</v>
      </c>
      <c r="E546" s="144">
        <v>0</v>
      </c>
      <c r="F546" s="144">
        <v>0</v>
      </c>
      <c r="G546" s="144">
        <v>0</v>
      </c>
      <c r="H546" s="150">
        <v>0</v>
      </c>
      <c r="I546" s="567">
        <f t="shared" si="14"/>
        <v>0</v>
      </c>
    </row>
    <row r="547" spans="1:9" x14ac:dyDescent="0.15">
      <c r="A547" s="138"/>
      <c r="B547" s="523" t="s">
        <v>630</v>
      </c>
      <c r="C547" s="524" t="s">
        <v>172</v>
      </c>
      <c r="D547" s="144">
        <v>0</v>
      </c>
      <c r="E547" s="144">
        <v>0</v>
      </c>
      <c r="F547" s="144">
        <v>0</v>
      </c>
      <c r="G547" s="144">
        <v>0</v>
      </c>
      <c r="H547" s="150">
        <v>0</v>
      </c>
      <c r="I547" s="567">
        <f t="shared" si="14"/>
        <v>0</v>
      </c>
    </row>
    <row r="548" spans="1:9" x14ac:dyDescent="0.15">
      <c r="A548" s="138"/>
      <c r="B548" s="650" t="s">
        <v>631</v>
      </c>
      <c r="C548" s="651" t="s">
        <v>173</v>
      </c>
      <c r="D548" s="144">
        <v>0</v>
      </c>
      <c r="E548" s="144">
        <v>0</v>
      </c>
      <c r="F548" s="144">
        <v>0</v>
      </c>
      <c r="G548" s="144">
        <v>0</v>
      </c>
      <c r="H548" s="150">
        <v>0</v>
      </c>
      <c r="I548" s="567">
        <f t="shared" si="14"/>
        <v>0</v>
      </c>
    </row>
    <row r="549" spans="1:9" x14ac:dyDescent="0.15">
      <c r="A549" s="138"/>
      <c r="B549" s="523" t="s">
        <v>1584</v>
      </c>
      <c r="C549" s="524" t="s">
        <v>178</v>
      </c>
      <c r="D549" s="144">
        <v>0</v>
      </c>
      <c r="E549" s="144">
        <v>0</v>
      </c>
      <c r="F549" s="144">
        <v>0</v>
      </c>
      <c r="G549" s="144">
        <v>0</v>
      </c>
      <c r="H549" s="150">
        <v>0</v>
      </c>
      <c r="I549" s="567">
        <f t="shared" si="14"/>
        <v>0</v>
      </c>
    </row>
    <row r="550" spans="1:9" x14ac:dyDescent="0.15">
      <c r="A550" s="138"/>
      <c r="B550" s="523" t="s">
        <v>174</v>
      </c>
      <c r="C550" s="524" t="s">
        <v>179</v>
      </c>
      <c r="D550" s="144">
        <v>0</v>
      </c>
      <c r="E550" s="144">
        <v>0</v>
      </c>
      <c r="F550" s="144">
        <v>0</v>
      </c>
      <c r="G550" s="144">
        <v>0</v>
      </c>
      <c r="H550" s="150">
        <v>0</v>
      </c>
      <c r="I550" s="567">
        <f t="shared" si="14"/>
        <v>0</v>
      </c>
    </row>
    <row r="551" spans="1:9" x14ac:dyDescent="0.15">
      <c r="A551" s="138"/>
      <c r="B551" s="523" t="s">
        <v>175</v>
      </c>
      <c r="C551" s="524" t="s">
        <v>180</v>
      </c>
      <c r="D551" s="144">
        <v>0</v>
      </c>
      <c r="E551" s="144">
        <v>0</v>
      </c>
      <c r="F551" s="144">
        <v>0</v>
      </c>
      <c r="G551" s="144">
        <v>0</v>
      </c>
      <c r="H551" s="150">
        <v>0</v>
      </c>
      <c r="I551" s="567">
        <f t="shared" si="14"/>
        <v>0</v>
      </c>
    </row>
    <row r="552" spans="1:9" ht="11.25" thickBot="1" x14ac:dyDescent="0.2">
      <c r="A552" s="138"/>
      <c r="B552" s="523" t="s">
        <v>176</v>
      </c>
      <c r="C552" s="524" t="s">
        <v>181</v>
      </c>
      <c r="D552" s="144">
        <v>0</v>
      </c>
      <c r="E552" s="144">
        <v>0</v>
      </c>
      <c r="F552" s="144">
        <v>0</v>
      </c>
      <c r="G552" s="144">
        <v>0</v>
      </c>
      <c r="H552" s="150">
        <v>0</v>
      </c>
      <c r="I552" s="567">
        <f t="shared" si="14"/>
        <v>0</v>
      </c>
    </row>
    <row r="553" spans="1:9" ht="12" thickTop="1" thickBot="1" x14ac:dyDescent="0.2">
      <c r="A553" s="138"/>
      <c r="B553" s="523"/>
      <c r="C553" s="524" t="s">
        <v>138</v>
      </c>
      <c r="D553" s="169">
        <f>SUM(D519:D552)</f>
        <v>0</v>
      </c>
      <c r="E553" s="169">
        <f>SUM(E519:E552)</f>
        <v>0</v>
      </c>
      <c r="F553" s="169">
        <f>SUM(F519:F552)</f>
        <v>0</v>
      </c>
      <c r="G553" s="169">
        <f>SUM(G519:G552)</f>
        <v>0</v>
      </c>
      <c r="H553" s="169">
        <f>SUM(H519:H552)</f>
        <v>0</v>
      </c>
      <c r="I553" s="169">
        <f t="shared" si="14"/>
        <v>0</v>
      </c>
    </row>
    <row r="554" spans="1:9" ht="11.25" thickTop="1" x14ac:dyDescent="0.15">
      <c r="A554" s="138"/>
      <c r="B554" s="524"/>
      <c r="C554" s="524"/>
      <c r="D554" s="14"/>
      <c r="E554" s="14"/>
      <c r="F554" s="14"/>
      <c r="G554" s="14"/>
      <c r="H554" s="14"/>
      <c r="I554" s="563"/>
    </row>
    <row r="555" spans="1:9" x14ac:dyDescent="0.15">
      <c r="A555" s="522" t="s">
        <v>139</v>
      </c>
      <c r="B555" s="524"/>
      <c r="C555" s="524"/>
      <c r="D555" s="14"/>
      <c r="E555" s="14"/>
      <c r="F555" s="14"/>
      <c r="G555" s="14"/>
      <c r="H555" s="14"/>
      <c r="I555" s="563"/>
    </row>
    <row r="556" spans="1:9" x14ac:dyDescent="0.15">
      <c r="A556" s="434"/>
      <c r="B556" s="523" t="s">
        <v>1577</v>
      </c>
      <c r="C556" s="524" t="s">
        <v>228</v>
      </c>
      <c r="D556" s="316">
        <v>0</v>
      </c>
      <c r="E556" s="316">
        <v>0</v>
      </c>
      <c r="F556" s="316">
        <v>0</v>
      </c>
      <c r="G556" s="528">
        <f t="array" ref="G556">SUM(IF(CertFund&amp;CertProg&amp;CertObj=RIGHT(LEFT($A$2,7),2)&amp;LEFT(A555,4)&amp;B556,CertSalary))</f>
        <v>0</v>
      </c>
      <c r="H556" s="527">
        <v>0</v>
      </c>
      <c r="I556" s="566">
        <f>SUM(G556+H556)</f>
        <v>0</v>
      </c>
    </row>
    <row r="557" spans="1:9" x14ac:dyDescent="0.15">
      <c r="A557" s="434"/>
      <c r="B557" s="523" t="s">
        <v>1577</v>
      </c>
      <c r="C557" s="524" t="s">
        <v>510</v>
      </c>
      <c r="D557" s="316">
        <v>0</v>
      </c>
      <c r="E557" s="316">
        <v>0</v>
      </c>
      <c r="F557" s="316">
        <v>0</v>
      </c>
      <c r="G557" s="316">
        <v>0</v>
      </c>
      <c r="H557" s="527">
        <v>0</v>
      </c>
      <c r="I557" s="566">
        <f>SUM(G557+H557)</f>
        <v>0</v>
      </c>
    </row>
    <row r="558" spans="1:9" x14ac:dyDescent="0.15">
      <c r="A558" s="524"/>
      <c r="B558" s="523" t="s">
        <v>1578</v>
      </c>
      <c r="C558" s="524" t="s">
        <v>936</v>
      </c>
      <c r="D558" s="316">
        <v>0</v>
      </c>
      <c r="E558" s="316">
        <v>0</v>
      </c>
      <c r="F558" s="316">
        <v>0</v>
      </c>
      <c r="G558" s="529">
        <f t="array" ref="G558">SUM(IF(CertFund&amp;CertProg&amp;CertObj=RIGHT(LEFT($A$2,7),2)&amp;LEFT(A555,4)&amp;B556,CertBen))</f>
        <v>0</v>
      </c>
      <c r="H558" s="527">
        <v>0</v>
      </c>
      <c r="I558" s="566">
        <f>SUM(G558+H558)</f>
        <v>0</v>
      </c>
    </row>
    <row r="559" spans="1:9" x14ac:dyDescent="0.15">
      <c r="A559" s="138"/>
      <c r="B559" s="521" t="s">
        <v>1578</v>
      </c>
      <c r="C559" s="138" t="s">
        <v>511</v>
      </c>
      <c r="D559" s="147">
        <v>0</v>
      </c>
      <c r="E559" s="147">
        <v>0</v>
      </c>
      <c r="F559" s="147">
        <v>0</v>
      </c>
      <c r="G559" s="147">
        <v>0</v>
      </c>
      <c r="H559" s="150">
        <v>0</v>
      </c>
      <c r="I559" s="567">
        <f>SUM(G559+H559)</f>
        <v>0</v>
      </c>
    </row>
    <row r="560" spans="1:9" x14ac:dyDescent="0.15">
      <c r="A560" s="138"/>
      <c r="B560" s="523" t="s">
        <v>1579</v>
      </c>
      <c r="C560" s="524" t="s">
        <v>118</v>
      </c>
      <c r="D560" s="144">
        <v>0</v>
      </c>
      <c r="E560" s="144">
        <v>0</v>
      </c>
      <c r="F560" s="144">
        <v>0</v>
      </c>
      <c r="G560" s="144">
        <v>0</v>
      </c>
      <c r="H560" s="150">
        <v>0</v>
      </c>
      <c r="I560" s="567">
        <f t="shared" ref="I560:I590" si="15">SUM(G560+H560)</f>
        <v>0</v>
      </c>
    </row>
    <row r="561" spans="1:9" x14ac:dyDescent="0.15">
      <c r="A561" s="138"/>
      <c r="B561" s="523" t="s">
        <v>1580</v>
      </c>
      <c r="C561" s="524" t="s">
        <v>119</v>
      </c>
      <c r="D561" s="144">
        <v>0</v>
      </c>
      <c r="E561" s="144">
        <v>0</v>
      </c>
      <c r="F561" s="144">
        <v>0</v>
      </c>
      <c r="G561" s="144">
        <v>0</v>
      </c>
      <c r="H561" s="150">
        <v>0</v>
      </c>
      <c r="I561" s="567">
        <f t="shared" si="15"/>
        <v>0</v>
      </c>
    </row>
    <row r="562" spans="1:9" x14ac:dyDescent="0.15">
      <c r="A562" s="138"/>
      <c r="B562" s="523" t="s">
        <v>120</v>
      </c>
      <c r="C562" s="524" t="s">
        <v>121</v>
      </c>
      <c r="D562" s="144">
        <v>0</v>
      </c>
      <c r="E562" s="144">
        <v>0</v>
      </c>
      <c r="F562" s="144">
        <v>0</v>
      </c>
      <c r="G562" s="144">
        <v>0</v>
      </c>
      <c r="H562" s="150">
        <v>0</v>
      </c>
      <c r="I562" s="567">
        <f t="shared" si="15"/>
        <v>0</v>
      </c>
    </row>
    <row r="563" spans="1:9" x14ac:dyDescent="0.15">
      <c r="A563" s="138"/>
      <c r="B563" s="523" t="s">
        <v>122</v>
      </c>
      <c r="C563" s="524" t="s">
        <v>123</v>
      </c>
      <c r="D563" s="144">
        <v>0</v>
      </c>
      <c r="E563" s="144">
        <v>0</v>
      </c>
      <c r="F563" s="144">
        <v>0</v>
      </c>
      <c r="G563" s="144">
        <v>0</v>
      </c>
      <c r="H563" s="150">
        <v>0</v>
      </c>
      <c r="I563" s="567">
        <f t="shared" si="15"/>
        <v>0</v>
      </c>
    </row>
    <row r="564" spans="1:9" x14ac:dyDescent="0.15">
      <c r="A564" s="138"/>
      <c r="B564" s="523" t="s">
        <v>1581</v>
      </c>
      <c r="C564" s="524" t="s">
        <v>124</v>
      </c>
      <c r="D564" s="144">
        <v>0</v>
      </c>
      <c r="E564" s="144">
        <v>0</v>
      </c>
      <c r="F564" s="144">
        <v>0</v>
      </c>
      <c r="G564" s="144">
        <v>0</v>
      </c>
      <c r="H564" s="150">
        <v>0</v>
      </c>
      <c r="I564" s="567">
        <f t="shared" si="15"/>
        <v>0</v>
      </c>
    </row>
    <row r="565" spans="1:9" x14ac:dyDescent="0.15">
      <c r="A565" s="138"/>
      <c r="B565" s="523" t="s">
        <v>127</v>
      </c>
      <c r="C565" s="524" t="s">
        <v>134</v>
      </c>
      <c r="D565" s="144">
        <v>0</v>
      </c>
      <c r="E565" s="144">
        <v>0</v>
      </c>
      <c r="F565" s="144">
        <v>0</v>
      </c>
      <c r="G565" s="144">
        <v>0</v>
      </c>
      <c r="H565" s="150">
        <v>0</v>
      </c>
      <c r="I565" s="567">
        <f t="shared" si="15"/>
        <v>0</v>
      </c>
    </row>
    <row r="566" spans="1:9" x14ac:dyDescent="0.15">
      <c r="A566" s="138"/>
      <c r="B566" s="523" t="s">
        <v>128</v>
      </c>
      <c r="C566" s="524" t="s">
        <v>135</v>
      </c>
      <c r="D566" s="144">
        <v>0</v>
      </c>
      <c r="E566" s="144">
        <v>0</v>
      </c>
      <c r="F566" s="144">
        <v>0</v>
      </c>
      <c r="G566" s="144">
        <v>0</v>
      </c>
      <c r="H566" s="150">
        <v>0</v>
      </c>
      <c r="I566" s="567">
        <f t="shared" si="15"/>
        <v>0</v>
      </c>
    </row>
    <row r="567" spans="1:9" x14ac:dyDescent="0.15">
      <c r="A567" s="138"/>
      <c r="B567" s="523" t="s">
        <v>132</v>
      </c>
      <c r="C567" s="524" t="s">
        <v>1617</v>
      </c>
      <c r="D567" s="144">
        <v>0</v>
      </c>
      <c r="E567" s="144">
        <v>0</v>
      </c>
      <c r="F567" s="144">
        <v>0</v>
      </c>
      <c r="G567" s="144">
        <v>0</v>
      </c>
      <c r="H567" s="150">
        <v>0</v>
      </c>
      <c r="I567" s="567">
        <f t="shared" si="15"/>
        <v>0</v>
      </c>
    </row>
    <row r="568" spans="1:9" x14ac:dyDescent="0.15">
      <c r="A568" s="138"/>
      <c r="B568" s="523" t="s">
        <v>1618</v>
      </c>
      <c r="C568" s="524" t="s">
        <v>836</v>
      </c>
      <c r="D568" s="144">
        <v>0</v>
      </c>
      <c r="E568" s="144">
        <v>0</v>
      </c>
      <c r="F568" s="144">
        <v>0</v>
      </c>
      <c r="G568" s="144">
        <v>0</v>
      </c>
      <c r="H568" s="150">
        <v>0</v>
      </c>
      <c r="I568" s="567">
        <f t="shared" si="15"/>
        <v>0</v>
      </c>
    </row>
    <row r="569" spans="1:9" x14ac:dyDescent="0.15">
      <c r="A569" s="138"/>
      <c r="B569" s="523" t="s">
        <v>1619</v>
      </c>
      <c r="C569" s="524" t="s">
        <v>837</v>
      </c>
      <c r="D569" s="144">
        <v>0</v>
      </c>
      <c r="E569" s="144">
        <v>0</v>
      </c>
      <c r="F569" s="144">
        <v>0</v>
      </c>
      <c r="G569" s="144">
        <v>0</v>
      </c>
      <c r="H569" s="150">
        <v>0</v>
      </c>
      <c r="I569" s="567">
        <f t="shared" si="15"/>
        <v>0</v>
      </c>
    </row>
    <row r="570" spans="1:9" x14ac:dyDescent="0.15">
      <c r="A570" s="138"/>
      <c r="B570" s="523" t="s">
        <v>1620</v>
      </c>
      <c r="C570" s="524" t="s">
        <v>838</v>
      </c>
      <c r="D570" s="144">
        <v>0</v>
      </c>
      <c r="E570" s="144">
        <v>0</v>
      </c>
      <c r="F570" s="144">
        <v>0</v>
      </c>
      <c r="G570" s="144">
        <v>0</v>
      </c>
      <c r="H570" s="150">
        <v>0</v>
      </c>
      <c r="I570" s="567">
        <f t="shared" si="15"/>
        <v>0</v>
      </c>
    </row>
    <row r="571" spans="1:9" x14ac:dyDescent="0.15">
      <c r="A571" s="138"/>
      <c r="B571" s="523" t="s">
        <v>1621</v>
      </c>
      <c r="C571" s="524" t="s">
        <v>839</v>
      </c>
      <c r="D571" s="144">
        <v>0</v>
      </c>
      <c r="E571" s="144">
        <v>0</v>
      </c>
      <c r="F571" s="144">
        <v>0</v>
      </c>
      <c r="G571" s="144">
        <v>0</v>
      </c>
      <c r="H571" s="150">
        <v>0</v>
      </c>
      <c r="I571" s="567">
        <f t="shared" si="15"/>
        <v>0</v>
      </c>
    </row>
    <row r="572" spans="1:9" x14ac:dyDescent="0.15">
      <c r="A572" s="138"/>
      <c r="B572" s="523" t="s">
        <v>1622</v>
      </c>
      <c r="C572" s="524" t="s">
        <v>190</v>
      </c>
      <c r="D572" s="144">
        <v>0</v>
      </c>
      <c r="E572" s="144">
        <v>0</v>
      </c>
      <c r="F572" s="144">
        <v>0</v>
      </c>
      <c r="G572" s="144">
        <v>0</v>
      </c>
      <c r="H572" s="150">
        <v>0</v>
      </c>
      <c r="I572" s="567">
        <f t="shared" si="15"/>
        <v>0</v>
      </c>
    </row>
    <row r="573" spans="1:9" x14ac:dyDescent="0.15">
      <c r="A573" s="138"/>
      <c r="B573" s="523" t="s">
        <v>1623</v>
      </c>
      <c r="C573" s="524" t="s">
        <v>191</v>
      </c>
      <c r="D573" s="144">
        <v>0</v>
      </c>
      <c r="E573" s="144">
        <v>0</v>
      </c>
      <c r="F573" s="144">
        <v>0</v>
      </c>
      <c r="G573" s="144">
        <v>0</v>
      </c>
      <c r="H573" s="150">
        <v>0</v>
      </c>
      <c r="I573" s="567">
        <f t="shared" si="15"/>
        <v>0</v>
      </c>
    </row>
    <row r="574" spans="1:9" x14ac:dyDescent="0.15">
      <c r="A574" s="138"/>
      <c r="B574" s="523" t="s">
        <v>1624</v>
      </c>
      <c r="C574" s="524" t="s">
        <v>840</v>
      </c>
      <c r="D574" s="144">
        <v>0</v>
      </c>
      <c r="E574" s="144">
        <v>0</v>
      </c>
      <c r="F574" s="144">
        <v>0</v>
      </c>
      <c r="G574" s="144">
        <v>0</v>
      </c>
      <c r="H574" s="150">
        <v>0</v>
      </c>
      <c r="I574" s="567">
        <f t="shared" si="15"/>
        <v>0</v>
      </c>
    </row>
    <row r="575" spans="1:9" x14ac:dyDescent="0.15">
      <c r="A575" s="138"/>
      <c r="B575" s="523" t="s">
        <v>1625</v>
      </c>
      <c r="C575" s="524" t="s">
        <v>842</v>
      </c>
      <c r="D575" s="144">
        <v>0</v>
      </c>
      <c r="E575" s="144">
        <v>0</v>
      </c>
      <c r="F575" s="144">
        <v>0</v>
      </c>
      <c r="G575" s="144">
        <v>0</v>
      </c>
      <c r="H575" s="150">
        <v>0</v>
      </c>
      <c r="I575" s="567">
        <f t="shared" si="15"/>
        <v>0</v>
      </c>
    </row>
    <row r="576" spans="1:9" x14ac:dyDescent="0.15">
      <c r="A576" s="138"/>
      <c r="B576" s="523" t="s">
        <v>843</v>
      </c>
      <c r="C576" s="524" t="s">
        <v>848</v>
      </c>
      <c r="D576" s="144">
        <v>0</v>
      </c>
      <c r="E576" s="144">
        <v>0</v>
      </c>
      <c r="F576" s="144">
        <v>0</v>
      </c>
      <c r="G576" s="144">
        <v>0</v>
      </c>
      <c r="H576" s="150">
        <v>0</v>
      </c>
      <c r="I576" s="567">
        <f t="shared" si="15"/>
        <v>0</v>
      </c>
    </row>
    <row r="577" spans="1:9" x14ac:dyDescent="0.15">
      <c r="A577" s="138"/>
      <c r="B577" s="523" t="s">
        <v>844</v>
      </c>
      <c r="C577" s="524" t="s">
        <v>153</v>
      </c>
      <c r="D577" s="144">
        <v>0</v>
      </c>
      <c r="E577" s="144">
        <v>0</v>
      </c>
      <c r="F577" s="144">
        <v>0</v>
      </c>
      <c r="G577" s="144">
        <v>0</v>
      </c>
      <c r="H577" s="150">
        <v>0</v>
      </c>
      <c r="I577" s="567">
        <f t="shared" si="15"/>
        <v>0</v>
      </c>
    </row>
    <row r="578" spans="1:9" x14ac:dyDescent="0.15">
      <c r="A578" s="138"/>
      <c r="B578" s="523" t="s">
        <v>845</v>
      </c>
      <c r="C578" s="524" t="s">
        <v>154</v>
      </c>
      <c r="D578" s="144">
        <v>0</v>
      </c>
      <c r="E578" s="144">
        <v>0</v>
      </c>
      <c r="F578" s="144">
        <v>0</v>
      </c>
      <c r="G578" s="144">
        <v>0</v>
      </c>
      <c r="H578" s="150">
        <v>0</v>
      </c>
      <c r="I578" s="567">
        <f t="shared" si="15"/>
        <v>0</v>
      </c>
    </row>
    <row r="579" spans="1:9" x14ac:dyDescent="0.15">
      <c r="A579" s="138"/>
      <c r="B579" s="523" t="s">
        <v>846</v>
      </c>
      <c r="C579" s="524" t="s">
        <v>155</v>
      </c>
      <c r="D579" s="144">
        <v>0</v>
      </c>
      <c r="E579" s="144">
        <v>0</v>
      </c>
      <c r="F579" s="144">
        <v>0</v>
      </c>
      <c r="G579" s="144">
        <v>0</v>
      </c>
      <c r="H579" s="150">
        <v>0</v>
      </c>
      <c r="I579" s="567">
        <f t="shared" si="15"/>
        <v>0</v>
      </c>
    </row>
    <row r="580" spans="1:9" x14ac:dyDescent="0.15">
      <c r="A580" s="138"/>
      <c r="B580" s="523" t="s">
        <v>1582</v>
      </c>
      <c r="C580" s="524" t="s">
        <v>156</v>
      </c>
      <c r="D580" s="144">
        <v>0</v>
      </c>
      <c r="E580" s="144">
        <v>0</v>
      </c>
      <c r="F580" s="144">
        <v>0</v>
      </c>
      <c r="G580" s="144">
        <v>0</v>
      </c>
      <c r="H580" s="150">
        <v>0</v>
      </c>
      <c r="I580" s="567">
        <f t="shared" si="15"/>
        <v>0</v>
      </c>
    </row>
    <row r="581" spans="1:9" x14ac:dyDescent="0.15">
      <c r="A581" s="138"/>
      <c r="B581" s="523" t="s">
        <v>847</v>
      </c>
      <c r="C581" s="524" t="s">
        <v>157</v>
      </c>
      <c r="D581" s="144">
        <v>0</v>
      </c>
      <c r="E581" s="144">
        <v>0</v>
      </c>
      <c r="F581" s="144">
        <v>0</v>
      </c>
      <c r="G581" s="144">
        <v>0</v>
      </c>
      <c r="H581" s="150">
        <v>0</v>
      </c>
      <c r="I581" s="567">
        <f t="shared" si="15"/>
        <v>0</v>
      </c>
    </row>
    <row r="582" spans="1:9" x14ac:dyDescent="0.15">
      <c r="A582" s="138"/>
      <c r="B582" s="523" t="s">
        <v>1583</v>
      </c>
      <c r="C582" s="524" t="s">
        <v>160</v>
      </c>
      <c r="D582" s="144">
        <v>0</v>
      </c>
      <c r="E582" s="144">
        <v>0</v>
      </c>
      <c r="F582" s="144">
        <v>0</v>
      </c>
      <c r="G582" s="144">
        <v>0</v>
      </c>
      <c r="H582" s="150">
        <v>0</v>
      </c>
      <c r="I582" s="567">
        <f t="shared" si="15"/>
        <v>0</v>
      </c>
    </row>
    <row r="583" spans="1:9" x14ac:dyDescent="0.15">
      <c r="A583" s="138"/>
      <c r="B583" s="523" t="s">
        <v>634</v>
      </c>
      <c r="C583" s="524" t="s">
        <v>165</v>
      </c>
      <c r="D583" s="144">
        <v>0</v>
      </c>
      <c r="E583" s="144">
        <v>0</v>
      </c>
      <c r="F583" s="144">
        <v>0</v>
      </c>
      <c r="G583" s="144">
        <v>0</v>
      </c>
      <c r="H583" s="150">
        <v>0</v>
      </c>
      <c r="I583" s="567">
        <f t="shared" si="15"/>
        <v>0</v>
      </c>
    </row>
    <row r="584" spans="1:9" x14ac:dyDescent="0.15">
      <c r="A584" s="138"/>
      <c r="B584" s="523" t="s">
        <v>630</v>
      </c>
      <c r="C584" s="524" t="s">
        <v>172</v>
      </c>
      <c r="D584" s="144">
        <v>0</v>
      </c>
      <c r="E584" s="144">
        <v>0</v>
      </c>
      <c r="F584" s="144">
        <v>0</v>
      </c>
      <c r="G584" s="144">
        <v>0</v>
      </c>
      <c r="H584" s="150">
        <v>0</v>
      </c>
      <c r="I584" s="567">
        <f t="shared" si="15"/>
        <v>0</v>
      </c>
    </row>
    <row r="585" spans="1:9" x14ac:dyDescent="0.15">
      <c r="A585" s="138"/>
      <c r="B585" s="650" t="s">
        <v>631</v>
      </c>
      <c r="C585" s="651" t="s">
        <v>173</v>
      </c>
      <c r="D585" s="144">
        <v>0</v>
      </c>
      <c r="E585" s="144">
        <v>0</v>
      </c>
      <c r="F585" s="144">
        <v>0</v>
      </c>
      <c r="G585" s="144">
        <v>0</v>
      </c>
      <c r="H585" s="150">
        <v>0</v>
      </c>
      <c r="I585" s="567">
        <f t="shared" si="15"/>
        <v>0</v>
      </c>
    </row>
    <row r="586" spans="1:9" x14ac:dyDescent="0.15">
      <c r="A586" s="138"/>
      <c r="B586" s="523" t="s">
        <v>1584</v>
      </c>
      <c r="C586" s="524" t="s">
        <v>178</v>
      </c>
      <c r="D586" s="144">
        <v>0</v>
      </c>
      <c r="E586" s="144">
        <v>0</v>
      </c>
      <c r="F586" s="144">
        <v>0</v>
      </c>
      <c r="G586" s="144">
        <v>0</v>
      </c>
      <c r="H586" s="150">
        <v>0</v>
      </c>
      <c r="I586" s="567">
        <f t="shared" si="15"/>
        <v>0</v>
      </c>
    </row>
    <row r="587" spans="1:9" x14ac:dyDescent="0.15">
      <c r="A587" s="138"/>
      <c r="B587" s="523" t="s">
        <v>174</v>
      </c>
      <c r="C587" s="524" t="s">
        <v>179</v>
      </c>
      <c r="D587" s="144">
        <v>0</v>
      </c>
      <c r="E587" s="144">
        <v>0</v>
      </c>
      <c r="F587" s="144">
        <v>0</v>
      </c>
      <c r="G587" s="144">
        <v>0</v>
      </c>
      <c r="H587" s="150">
        <v>0</v>
      </c>
      <c r="I587" s="567">
        <f t="shared" si="15"/>
        <v>0</v>
      </c>
    </row>
    <row r="588" spans="1:9" x14ac:dyDescent="0.15">
      <c r="A588" s="138"/>
      <c r="B588" s="523" t="s">
        <v>175</v>
      </c>
      <c r="C588" s="524" t="s">
        <v>180</v>
      </c>
      <c r="D588" s="144">
        <v>0</v>
      </c>
      <c r="E588" s="144">
        <v>0</v>
      </c>
      <c r="F588" s="144">
        <v>0</v>
      </c>
      <c r="G588" s="144">
        <v>0</v>
      </c>
      <c r="H588" s="150">
        <v>0</v>
      </c>
      <c r="I588" s="567">
        <f t="shared" si="15"/>
        <v>0</v>
      </c>
    </row>
    <row r="589" spans="1:9" ht="11.25" thickBot="1" x14ac:dyDescent="0.2">
      <c r="A589" s="138"/>
      <c r="B589" s="523" t="s">
        <v>176</v>
      </c>
      <c r="C589" s="524" t="s">
        <v>181</v>
      </c>
      <c r="D589" s="144">
        <v>0</v>
      </c>
      <c r="E589" s="144">
        <v>0</v>
      </c>
      <c r="F589" s="144">
        <v>0</v>
      </c>
      <c r="G589" s="144">
        <v>0</v>
      </c>
      <c r="H589" s="150">
        <v>0</v>
      </c>
      <c r="I589" s="567">
        <f t="shared" si="15"/>
        <v>0</v>
      </c>
    </row>
    <row r="590" spans="1:9" ht="12" thickTop="1" thickBot="1" x14ac:dyDescent="0.2">
      <c r="A590" s="138"/>
      <c r="B590" s="523"/>
      <c r="C590" s="524" t="s">
        <v>140</v>
      </c>
      <c r="D590" s="169">
        <f>SUM(D556:D589)</f>
        <v>0</v>
      </c>
      <c r="E590" s="169">
        <f>SUM(E556:E589)</f>
        <v>0</v>
      </c>
      <c r="F590" s="169">
        <f>SUM(F556:F589)</f>
        <v>0</v>
      </c>
      <c r="G590" s="169">
        <f>SUM(G556:G589)</f>
        <v>0</v>
      </c>
      <c r="H590" s="169">
        <f>SUM(H556:H589)</f>
        <v>0</v>
      </c>
      <c r="I590" s="169">
        <f t="shared" si="15"/>
        <v>0</v>
      </c>
    </row>
    <row r="591" spans="1:9" ht="11.25" thickTop="1" x14ac:dyDescent="0.15">
      <c r="A591" s="138"/>
      <c r="B591" s="524"/>
      <c r="C591" s="524"/>
      <c r="D591" s="14"/>
      <c r="E591" s="14"/>
      <c r="F591" s="14"/>
      <c r="G591" s="14"/>
      <c r="H591" s="14"/>
      <c r="I591" s="563"/>
    </row>
    <row r="592" spans="1:9" x14ac:dyDescent="0.15">
      <c r="A592" s="522" t="s">
        <v>141</v>
      </c>
      <c r="B592" s="524"/>
      <c r="C592" s="524"/>
      <c r="D592" s="14"/>
      <c r="E592" s="14"/>
      <c r="F592" s="14"/>
      <c r="G592" s="14"/>
      <c r="H592" s="14"/>
      <c r="I592" s="563"/>
    </row>
    <row r="593" spans="1:9" x14ac:dyDescent="0.15">
      <c r="A593" s="434"/>
      <c r="B593" s="523" t="s">
        <v>1577</v>
      </c>
      <c r="C593" s="524" t="s">
        <v>228</v>
      </c>
      <c r="D593" s="316">
        <v>0</v>
      </c>
      <c r="E593" s="316">
        <v>0</v>
      </c>
      <c r="F593" s="316">
        <v>0</v>
      </c>
      <c r="G593" s="528">
        <f t="array" ref="G593">SUM(IF(CertFund&amp;CertProg&amp;CertObj=RIGHT(LEFT($A$2,7),2)&amp;LEFT(A592,4)&amp;B593,CertSalary))</f>
        <v>0</v>
      </c>
      <c r="H593" s="527">
        <v>0</v>
      </c>
      <c r="I593" s="566">
        <f>SUM(G593+H593)</f>
        <v>0</v>
      </c>
    </row>
    <row r="594" spans="1:9" x14ac:dyDescent="0.15">
      <c r="A594" s="434"/>
      <c r="B594" s="523" t="s">
        <v>1577</v>
      </c>
      <c r="C594" s="524" t="s">
        <v>510</v>
      </c>
      <c r="D594" s="316">
        <v>0</v>
      </c>
      <c r="E594" s="316">
        <v>0</v>
      </c>
      <c r="F594" s="316">
        <v>0</v>
      </c>
      <c r="G594" s="316">
        <v>0</v>
      </c>
      <c r="H594" s="527">
        <v>0</v>
      </c>
      <c r="I594" s="566">
        <f>SUM(G594+H594)</f>
        <v>0</v>
      </c>
    </row>
    <row r="595" spans="1:9" x14ac:dyDescent="0.15">
      <c r="A595" s="524"/>
      <c r="B595" s="523" t="s">
        <v>1578</v>
      </c>
      <c r="C595" s="524" t="s">
        <v>936</v>
      </c>
      <c r="D595" s="316">
        <v>0</v>
      </c>
      <c r="E595" s="316">
        <v>0</v>
      </c>
      <c r="F595" s="316">
        <v>0</v>
      </c>
      <c r="G595" s="529">
        <f t="array" ref="G595">SUM(IF(CertFund&amp;CertProg&amp;CertObj=RIGHT(LEFT($A$2,7),2)&amp;LEFT(A592,4)&amp;B593,CertBen))</f>
        <v>0</v>
      </c>
      <c r="H595" s="527">
        <v>0</v>
      </c>
      <c r="I595" s="566">
        <f>SUM(G595+H595)</f>
        <v>0</v>
      </c>
    </row>
    <row r="596" spans="1:9" x14ac:dyDescent="0.15">
      <c r="A596" s="524"/>
      <c r="B596" s="523" t="s">
        <v>1578</v>
      </c>
      <c r="C596" s="524" t="s">
        <v>511</v>
      </c>
      <c r="D596" s="316">
        <v>0</v>
      </c>
      <c r="E596" s="316">
        <v>0</v>
      </c>
      <c r="F596" s="316">
        <v>0</v>
      </c>
      <c r="G596" s="316">
        <v>0</v>
      </c>
      <c r="H596" s="527">
        <v>0</v>
      </c>
      <c r="I596" s="566">
        <f>SUM(G596+H596)</f>
        <v>0</v>
      </c>
    </row>
    <row r="597" spans="1:9" x14ac:dyDescent="0.15">
      <c r="A597" s="138"/>
      <c r="B597" s="523" t="s">
        <v>1579</v>
      </c>
      <c r="C597" s="524" t="s">
        <v>118</v>
      </c>
      <c r="D597" s="144">
        <v>0</v>
      </c>
      <c r="E597" s="144">
        <v>0</v>
      </c>
      <c r="F597" s="144">
        <v>0</v>
      </c>
      <c r="G597" s="291">
        <v>0</v>
      </c>
      <c r="H597" s="150">
        <v>0</v>
      </c>
      <c r="I597" s="567">
        <f t="shared" ref="I597:I627" si="16">SUM(G597+H597)</f>
        <v>0</v>
      </c>
    </row>
    <row r="598" spans="1:9" x14ac:dyDescent="0.15">
      <c r="A598" s="138"/>
      <c r="B598" s="523" t="s">
        <v>1580</v>
      </c>
      <c r="C598" s="524" t="s">
        <v>119</v>
      </c>
      <c r="D598" s="144">
        <v>0</v>
      </c>
      <c r="E598" s="144">
        <v>0</v>
      </c>
      <c r="F598" s="144">
        <v>0</v>
      </c>
      <c r="G598" s="291">
        <v>0</v>
      </c>
      <c r="H598" s="150">
        <v>0</v>
      </c>
      <c r="I598" s="567">
        <f t="shared" si="16"/>
        <v>0</v>
      </c>
    </row>
    <row r="599" spans="1:9" x14ac:dyDescent="0.15">
      <c r="A599" s="138"/>
      <c r="B599" s="523" t="s">
        <v>120</v>
      </c>
      <c r="C599" s="524" t="s">
        <v>121</v>
      </c>
      <c r="D599" s="144">
        <v>0</v>
      </c>
      <c r="E599" s="144">
        <v>0</v>
      </c>
      <c r="F599" s="144">
        <v>0</v>
      </c>
      <c r="G599" s="291">
        <v>0</v>
      </c>
      <c r="H599" s="150">
        <v>0</v>
      </c>
      <c r="I599" s="567">
        <f t="shared" si="16"/>
        <v>0</v>
      </c>
    </row>
    <row r="600" spans="1:9" x14ac:dyDescent="0.15">
      <c r="A600" s="138"/>
      <c r="B600" s="523" t="s">
        <v>122</v>
      </c>
      <c r="C600" s="524" t="s">
        <v>123</v>
      </c>
      <c r="D600" s="144">
        <v>0</v>
      </c>
      <c r="E600" s="144">
        <v>0</v>
      </c>
      <c r="F600" s="144">
        <v>0</v>
      </c>
      <c r="G600" s="291">
        <v>0</v>
      </c>
      <c r="H600" s="150">
        <v>0</v>
      </c>
      <c r="I600" s="567">
        <f t="shared" si="16"/>
        <v>0</v>
      </c>
    </row>
    <row r="601" spans="1:9" x14ac:dyDescent="0.15">
      <c r="A601" s="138"/>
      <c r="B601" s="523" t="s">
        <v>1581</v>
      </c>
      <c r="C601" s="524" t="s">
        <v>124</v>
      </c>
      <c r="D601" s="144">
        <v>0</v>
      </c>
      <c r="E601" s="144">
        <v>0</v>
      </c>
      <c r="F601" s="144">
        <v>0</v>
      </c>
      <c r="G601" s="291">
        <v>0</v>
      </c>
      <c r="H601" s="150">
        <v>0</v>
      </c>
      <c r="I601" s="567">
        <f t="shared" si="16"/>
        <v>0</v>
      </c>
    </row>
    <row r="602" spans="1:9" x14ac:dyDescent="0.15">
      <c r="A602" s="138"/>
      <c r="B602" s="523" t="s">
        <v>127</v>
      </c>
      <c r="C602" s="524" t="s">
        <v>134</v>
      </c>
      <c r="D602" s="144">
        <v>0</v>
      </c>
      <c r="E602" s="144">
        <v>0</v>
      </c>
      <c r="F602" s="144">
        <v>0</v>
      </c>
      <c r="G602" s="291">
        <v>0</v>
      </c>
      <c r="H602" s="150">
        <v>0</v>
      </c>
      <c r="I602" s="567">
        <f t="shared" si="16"/>
        <v>0</v>
      </c>
    </row>
    <row r="603" spans="1:9" x14ac:dyDescent="0.15">
      <c r="A603" s="138"/>
      <c r="B603" s="523" t="s">
        <v>128</v>
      </c>
      <c r="C603" s="524" t="s">
        <v>135</v>
      </c>
      <c r="D603" s="144">
        <v>0</v>
      </c>
      <c r="E603" s="144">
        <v>0</v>
      </c>
      <c r="F603" s="144">
        <v>0</v>
      </c>
      <c r="G603" s="291">
        <v>0</v>
      </c>
      <c r="H603" s="150">
        <v>0</v>
      </c>
      <c r="I603" s="567">
        <f t="shared" si="16"/>
        <v>0</v>
      </c>
    </row>
    <row r="604" spans="1:9" x14ac:dyDescent="0.15">
      <c r="A604" s="138"/>
      <c r="B604" s="523" t="s">
        <v>132</v>
      </c>
      <c r="C604" s="524" t="s">
        <v>1617</v>
      </c>
      <c r="D604" s="144">
        <v>0</v>
      </c>
      <c r="E604" s="144">
        <v>0</v>
      </c>
      <c r="F604" s="144">
        <v>0</v>
      </c>
      <c r="G604" s="291">
        <v>0</v>
      </c>
      <c r="H604" s="150">
        <v>0</v>
      </c>
      <c r="I604" s="567">
        <f t="shared" si="16"/>
        <v>0</v>
      </c>
    </row>
    <row r="605" spans="1:9" x14ac:dyDescent="0.15">
      <c r="A605" s="138"/>
      <c r="B605" s="523" t="s">
        <v>1618</v>
      </c>
      <c r="C605" s="524" t="s">
        <v>836</v>
      </c>
      <c r="D605" s="144">
        <v>0</v>
      </c>
      <c r="E605" s="144">
        <v>0</v>
      </c>
      <c r="F605" s="144">
        <v>0</v>
      </c>
      <c r="G605" s="291">
        <v>0</v>
      </c>
      <c r="H605" s="150">
        <v>0</v>
      </c>
      <c r="I605" s="567">
        <f t="shared" si="16"/>
        <v>0</v>
      </c>
    </row>
    <row r="606" spans="1:9" x14ac:dyDescent="0.15">
      <c r="A606" s="138"/>
      <c r="B606" s="523" t="s">
        <v>1619</v>
      </c>
      <c r="C606" s="524" t="s">
        <v>837</v>
      </c>
      <c r="D606" s="144">
        <v>0</v>
      </c>
      <c r="E606" s="144">
        <v>0</v>
      </c>
      <c r="F606" s="144">
        <v>0</v>
      </c>
      <c r="G606" s="291">
        <v>0</v>
      </c>
      <c r="H606" s="150">
        <v>0</v>
      </c>
      <c r="I606" s="567">
        <f t="shared" si="16"/>
        <v>0</v>
      </c>
    </row>
    <row r="607" spans="1:9" x14ac:dyDescent="0.15">
      <c r="A607" s="138"/>
      <c r="B607" s="523" t="s">
        <v>1620</v>
      </c>
      <c r="C607" s="524" t="s">
        <v>838</v>
      </c>
      <c r="D607" s="144">
        <v>0</v>
      </c>
      <c r="E607" s="144">
        <v>0</v>
      </c>
      <c r="F607" s="144">
        <v>0</v>
      </c>
      <c r="G607" s="291">
        <v>0</v>
      </c>
      <c r="H607" s="150">
        <v>0</v>
      </c>
      <c r="I607" s="567">
        <f t="shared" si="16"/>
        <v>0</v>
      </c>
    </row>
    <row r="608" spans="1:9" x14ac:dyDescent="0.15">
      <c r="A608" s="138"/>
      <c r="B608" s="523" t="s">
        <v>1621</v>
      </c>
      <c r="C608" s="524" t="s">
        <v>839</v>
      </c>
      <c r="D608" s="144">
        <v>0</v>
      </c>
      <c r="E608" s="144">
        <v>0</v>
      </c>
      <c r="F608" s="144">
        <v>0</v>
      </c>
      <c r="G608" s="291">
        <v>0</v>
      </c>
      <c r="H608" s="150">
        <v>0</v>
      </c>
      <c r="I608" s="567">
        <f t="shared" si="16"/>
        <v>0</v>
      </c>
    </row>
    <row r="609" spans="1:9" x14ac:dyDescent="0.15">
      <c r="A609" s="138"/>
      <c r="B609" s="523" t="s">
        <v>1622</v>
      </c>
      <c r="C609" s="524" t="s">
        <v>190</v>
      </c>
      <c r="D609" s="144">
        <v>0</v>
      </c>
      <c r="E609" s="144">
        <v>0</v>
      </c>
      <c r="F609" s="144">
        <v>0</v>
      </c>
      <c r="G609" s="291">
        <v>0</v>
      </c>
      <c r="H609" s="150">
        <v>0</v>
      </c>
      <c r="I609" s="567">
        <f t="shared" si="16"/>
        <v>0</v>
      </c>
    </row>
    <row r="610" spans="1:9" x14ac:dyDescent="0.15">
      <c r="A610" s="138"/>
      <c r="B610" s="523" t="s">
        <v>1623</v>
      </c>
      <c r="C610" s="524" t="s">
        <v>191</v>
      </c>
      <c r="D610" s="144">
        <v>0</v>
      </c>
      <c r="E610" s="144">
        <v>0</v>
      </c>
      <c r="F610" s="144">
        <v>0</v>
      </c>
      <c r="G610" s="291">
        <v>0</v>
      </c>
      <c r="H610" s="150">
        <v>0</v>
      </c>
      <c r="I610" s="567">
        <f t="shared" si="16"/>
        <v>0</v>
      </c>
    </row>
    <row r="611" spans="1:9" x14ac:dyDescent="0.15">
      <c r="A611" s="138"/>
      <c r="B611" s="523" t="s">
        <v>1624</v>
      </c>
      <c r="C611" s="524" t="s">
        <v>840</v>
      </c>
      <c r="D611" s="144">
        <v>0</v>
      </c>
      <c r="E611" s="144">
        <v>0</v>
      </c>
      <c r="F611" s="144">
        <v>0</v>
      </c>
      <c r="G611" s="291">
        <v>0</v>
      </c>
      <c r="H611" s="150">
        <v>0</v>
      </c>
      <c r="I611" s="567">
        <f t="shared" si="16"/>
        <v>0</v>
      </c>
    </row>
    <row r="612" spans="1:9" x14ac:dyDescent="0.15">
      <c r="A612" s="138"/>
      <c r="B612" s="523" t="s">
        <v>1625</v>
      </c>
      <c r="C612" s="524" t="s">
        <v>842</v>
      </c>
      <c r="D612" s="144">
        <v>0</v>
      </c>
      <c r="E612" s="144">
        <v>0</v>
      </c>
      <c r="F612" s="144">
        <v>0</v>
      </c>
      <c r="G612" s="291">
        <v>0</v>
      </c>
      <c r="H612" s="150">
        <v>0</v>
      </c>
      <c r="I612" s="567">
        <f t="shared" si="16"/>
        <v>0</v>
      </c>
    </row>
    <row r="613" spans="1:9" x14ac:dyDescent="0.15">
      <c r="A613" s="138"/>
      <c r="B613" s="523" t="s">
        <v>843</v>
      </c>
      <c r="C613" s="524" t="s">
        <v>848</v>
      </c>
      <c r="D613" s="144">
        <v>0</v>
      </c>
      <c r="E613" s="144">
        <v>0</v>
      </c>
      <c r="F613" s="144">
        <v>0</v>
      </c>
      <c r="G613" s="291">
        <v>0</v>
      </c>
      <c r="H613" s="150">
        <v>0</v>
      </c>
      <c r="I613" s="567">
        <f t="shared" si="16"/>
        <v>0</v>
      </c>
    </row>
    <row r="614" spans="1:9" x14ac:dyDescent="0.15">
      <c r="A614" s="138"/>
      <c r="B614" s="523" t="s">
        <v>844</v>
      </c>
      <c r="C614" s="524" t="s">
        <v>153</v>
      </c>
      <c r="D614" s="144">
        <v>0</v>
      </c>
      <c r="E614" s="144">
        <v>0</v>
      </c>
      <c r="F614" s="144">
        <v>0</v>
      </c>
      <c r="G614" s="291">
        <v>0</v>
      </c>
      <c r="H614" s="150">
        <v>0</v>
      </c>
      <c r="I614" s="567">
        <f t="shared" si="16"/>
        <v>0</v>
      </c>
    </row>
    <row r="615" spans="1:9" x14ac:dyDescent="0.15">
      <c r="A615" s="138"/>
      <c r="B615" s="523" t="s">
        <v>845</v>
      </c>
      <c r="C615" s="524" t="s">
        <v>154</v>
      </c>
      <c r="D615" s="144">
        <v>0</v>
      </c>
      <c r="E615" s="144">
        <v>0</v>
      </c>
      <c r="F615" s="144">
        <v>0</v>
      </c>
      <c r="G615" s="291">
        <v>0</v>
      </c>
      <c r="H615" s="150">
        <v>0</v>
      </c>
      <c r="I615" s="567">
        <f t="shared" si="16"/>
        <v>0</v>
      </c>
    </row>
    <row r="616" spans="1:9" x14ac:dyDescent="0.15">
      <c r="A616" s="138"/>
      <c r="B616" s="523" t="s">
        <v>846</v>
      </c>
      <c r="C616" s="524" t="s">
        <v>155</v>
      </c>
      <c r="D616" s="144">
        <v>0</v>
      </c>
      <c r="E616" s="144">
        <v>0</v>
      </c>
      <c r="F616" s="144">
        <v>0</v>
      </c>
      <c r="G616" s="291">
        <v>0</v>
      </c>
      <c r="H616" s="150">
        <v>0</v>
      </c>
      <c r="I616" s="567">
        <f t="shared" si="16"/>
        <v>0</v>
      </c>
    </row>
    <row r="617" spans="1:9" x14ac:dyDescent="0.15">
      <c r="A617" s="138"/>
      <c r="B617" s="523" t="s">
        <v>1582</v>
      </c>
      <c r="C617" s="524" t="s">
        <v>156</v>
      </c>
      <c r="D617" s="144">
        <v>0</v>
      </c>
      <c r="E617" s="144">
        <v>0</v>
      </c>
      <c r="F617" s="144">
        <v>0</v>
      </c>
      <c r="G617" s="291">
        <v>0</v>
      </c>
      <c r="H617" s="150">
        <v>0</v>
      </c>
      <c r="I617" s="567">
        <f t="shared" si="16"/>
        <v>0</v>
      </c>
    </row>
    <row r="618" spans="1:9" x14ac:dyDescent="0.15">
      <c r="A618" s="138"/>
      <c r="B618" s="523" t="s">
        <v>847</v>
      </c>
      <c r="C618" s="524" t="s">
        <v>157</v>
      </c>
      <c r="D618" s="144">
        <v>0</v>
      </c>
      <c r="E618" s="144">
        <v>0</v>
      </c>
      <c r="F618" s="144">
        <v>0</v>
      </c>
      <c r="G618" s="291">
        <v>0</v>
      </c>
      <c r="H618" s="150">
        <v>0</v>
      </c>
      <c r="I618" s="567">
        <f t="shared" si="16"/>
        <v>0</v>
      </c>
    </row>
    <row r="619" spans="1:9" x14ac:dyDescent="0.15">
      <c r="A619" s="138"/>
      <c r="B619" s="523" t="s">
        <v>1583</v>
      </c>
      <c r="C619" s="524" t="s">
        <v>160</v>
      </c>
      <c r="D619" s="144">
        <v>0</v>
      </c>
      <c r="E619" s="144">
        <v>0</v>
      </c>
      <c r="F619" s="144">
        <v>0</v>
      </c>
      <c r="G619" s="291">
        <v>0</v>
      </c>
      <c r="H619" s="150">
        <v>0</v>
      </c>
      <c r="I619" s="567">
        <f t="shared" si="16"/>
        <v>0</v>
      </c>
    </row>
    <row r="620" spans="1:9" x14ac:dyDescent="0.15">
      <c r="A620" s="138"/>
      <c r="B620" s="523" t="s">
        <v>634</v>
      </c>
      <c r="C620" s="524" t="s">
        <v>165</v>
      </c>
      <c r="D620" s="144">
        <v>0</v>
      </c>
      <c r="E620" s="144">
        <v>0</v>
      </c>
      <c r="F620" s="144">
        <v>0</v>
      </c>
      <c r="G620" s="291">
        <v>0</v>
      </c>
      <c r="H620" s="150">
        <v>0</v>
      </c>
      <c r="I620" s="567">
        <f t="shared" si="16"/>
        <v>0</v>
      </c>
    </row>
    <row r="621" spans="1:9" x14ac:dyDescent="0.15">
      <c r="A621" s="138"/>
      <c r="B621" s="523" t="s">
        <v>630</v>
      </c>
      <c r="C621" s="524" t="s">
        <v>172</v>
      </c>
      <c r="D621" s="144">
        <v>0</v>
      </c>
      <c r="E621" s="144">
        <v>0</v>
      </c>
      <c r="F621" s="144">
        <v>0</v>
      </c>
      <c r="G621" s="291">
        <v>0</v>
      </c>
      <c r="H621" s="150">
        <v>0</v>
      </c>
      <c r="I621" s="567">
        <f t="shared" si="16"/>
        <v>0</v>
      </c>
    </row>
    <row r="622" spans="1:9" x14ac:dyDescent="0.15">
      <c r="A622" s="138"/>
      <c r="B622" s="650" t="s">
        <v>631</v>
      </c>
      <c r="C622" s="651" t="s">
        <v>173</v>
      </c>
      <c r="D622" s="144">
        <v>0</v>
      </c>
      <c r="E622" s="144">
        <v>0</v>
      </c>
      <c r="F622" s="144">
        <v>0</v>
      </c>
      <c r="G622" s="291">
        <v>0</v>
      </c>
      <c r="H622" s="150">
        <v>0</v>
      </c>
      <c r="I622" s="567">
        <f t="shared" si="16"/>
        <v>0</v>
      </c>
    </row>
    <row r="623" spans="1:9" x14ac:dyDescent="0.15">
      <c r="A623" s="138"/>
      <c r="B623" s="523" t="s">
        <v>1584</v>
      </c>
      <c r="C623" s="524" t="s">
        <v>178</v>
      </c>
      <c r="D623" s="144">
        <v>0</v>
      </c>
      <c r="E623" s="144">
        <v>0</v>
      </c>
      <c r="F623" s="144">
        <v>0</v>
      </c>
      <c r="G623" s="291">
        <v>0</v>
      </c>
      <c r="H623" s="150">
        <v>0</v>
      </c>
      <c r="I623" s="567">
        <f t="shared" si="16"/>
        <v>0</v>
      </c>
    </row>
    <row r="624" spans="1:9" x14ac:dyDescent="0.15">
      <c r="A624" s="138"/>
      <c r="B624" s="523" t="s">
        <v>174</v>
      </c>
      <c r="C624" s="524" t="s">
        <v>179</v>
      </c>
      <c r="D624" s="144">
        <v>0</v>
      </c>
      <c r="E624" s="144">
        <v>0</v>
      </c>
      <c r="F624" s="144">
        <v>0</v>
      </c>
      <c r="G624" s="291">
        <v>0</v>
      </c>
      <c r="H624" s="150">
        <v>0</v>
      </c>
      <c r="I624" s="567">
        <f t="shared" si="16"/>
        <v>0</v>
      </c>
    </row>
    <row r="625" spans="1:9" x14ac:dyDescent="0.15">
      <c r="A625" s="138"/>
      <c r="B625" s="523" t="s">
        <v>175</v>
      </c>
      <c r="C625" s="524" t="s">
        <v>180</v>
      </c>
      <c r="D625" s="144">
        <v>0</v>
      </c>
      <c r="E625" s="144">
        <v>0</v>
      </c>
      <c r="F625" s="144">
        <v>0</v>
      </c>
      <c r="G625" s="291">
        <v>0</v>
      </c>
      <c r="H625" s="150">
        <v>0</v>
      </c>
      <c r="I625" s="567">
        <f t="shared" si="16"/>
        <v>0</v>
      </c>
    </row>
    <row r="626" spans="1:9" ht="11.25" thickBot="1" x14ac:dyDescent="0.2">
      <c r="A626" s="138"/>
      <c r="B626" s="523" t="s">
        <v>176</v>
      </c>
      <c r="C626" s="524" t="s">
        <v>181</v>
      </c>
      <c r="D626" s="144">
        <v>0</v>
      </c>
      <c r="E626" s="144">
        <v>0</v>
      </c>
      <c r="F626" s="144">
        <v>0</v>
      </c>
      <c r="G626" s="291">
        <v>0</v>
      </c>
      <c r="H626" s="150">
        <v>0</v>
      </c>
      <c r="I626" s="567">
        <f t="shared" si="16"/>
        <v>0</v>
      </c>
    </row>
    <row r="627" spans="1:9" ht="12" thickTop="1" thickBot="1" x14ac:dyDescent="0.2">
      <c r="A627" s="138"/>
      <c r="B627" s="523"/>
      <c r="C627" s="524" t="s">
        <v>142</v>
      </c>
      <c r="D627" s="169">
        <f>SUM(D593:D626)</f>
        <v>0</v>
      </c>
      <c r="E627" s="169">
        <f>SUM(E593:E626)</f>
        <v>0</v>
      </c>
      <c r="F627" s="169">
        <f>SUM(F593:F626)</f>
        <v>0</v>
      </c>
      <c r="G627" s="169">
        <f>SUM(G593:G626)</f>
        <v>0</v>
      </c>
      <c r="H627" s="169">
        <f>SUM(H593:H626)</f>
        <v>0</v>
      </c>
      <c r="I627" s="169">
        <f t="shared" si="16"/>
        <v>0</v>
      </c>
    </row>
    <row r="628" spans="1:9" ht="11.25" thickTop="1" x14ac:dyDescent="0.15">
      <c r="A628" s="138"/>
      <c r="B628" s="524"/>
      <c r="C628" s="524"/>
      <c r="D628" s="14"/>
      <c r="E628" s="14"/>
      <c r="F628" s="14"/>
      <c r="G628" s="14"/>
      <c r="H628" s="14"/>
      <c r="I628" s="563"/>
    </row>
    <row r="629" spans="1:9" x14ac:dyDescent="0.15">
      <c r="A629" s="522" t="s">
        <v>143</v>
      </c>
      <c r="B629" s="524"/>
      <c r="C629" s="524"/>
      <c r="D629" s="14"/>
      <c r="E629" s="14"/>
      <c r="F629" s="14"/>
      <c r="G629" s="14"/>
      <c r="H629" s="14"/>
      <c r="I629" s="563"/>
    </row>
    <row r="630" spans="1:9" x14ac:dyDescent="0.15">
      <c r="A630" s="434"/>
      <c r="B630" s="523" t="s">
        <v>1577</v>
      </c>
      <c r="C630" s="524" t="s">
        <v>228</v>
      </c>
      <c r="D630" s="316">
        <v>0</v>
      </c>
      <c r="E630" s="316">
        <v>0</v>
      </c>
      <c r="F630" s="316">
        <v>0</v>
      </c>
      <c r="G630" s="528">
        <f t="array" ref="G630">SUM(IF(CertFund&amp;CertProg&amp;CertObj=RIGHT(LEFT($A$2,7),2)&amp;LEFT(A629,4)&amp;B630,CertSalary))</f>
        <v>0</v>
      </c>
      <c r="H630" s="527">
        <v>0</v>
      </c>
      <c r="I630" s="566">
        <f>SUM(G630+H630)</f>
        <v>0</v>
      </c>
    </row>
    <row r="631" spans="1:9" x14ac:dyDescent="0.15">
      <c r="A631" s="434"/>
      <c r="B631" s="523" t="s">
        <v>1577</v>
      </c>
      <c r="C631" s="524" t="s">
        <v>510</v>
      </c>
      <c r="D631" s="316">
        <v>0</v>
      </c>
      <c r="E631" s="316">
        <v>0</v>
      </c>
      <c r="F631" s="316">
        <v>0</v>
      </c>
      <c r="G631" s="316">
        <v>0</v>
      </c>
      <c r="H631" s="527">
        <v>0</v>
      </c>
      <c r="I631" s="566">
        <f>SUM(G631+H631)</f>
        <v>0</v>
      </c>
    </row>
    <row r="632" spans="1:9" x14ac:dyDescent="0.15">
      <c r="A632" s="524"/>
      <c r="B632" s="523" t="s">
        <v>1578</v>
      </c>
      <c r="C632" s="524" t="s">
        <v>936</v>
      </c>
      <c r="D632" s="316">
        <v>0</v>
      </c>
      <c r="E632" s="316">
        <v>0</v>
      </c>
      <c r="F632" s="316">
        <v>0</v>
      </c>
      <c r="G632" s="529">
        <f t="array" ref="G632">SUM(IF(CertFund&amp;CertProg&amp;CertObj=RIGHT(LEFT($A$2,7),2)&amp;LEFT(A629,4)&amp;B630,CertBen))</f>
        <v>0</v>
      </c>
      <c r="H632" s="527">
        <v>0</v>
      </c>
      <c r="I632" s="566">
        <f>SUM(G632+H632)</f>
        <v>0</v>
      </c>
    </row>
    <row r="633" spans="1:9" x14ac:dyDescent="0.15">
      <c r="A633" s="138"/>
      <c r="B633" s="521" t="s">
        <v>1578</v>
      </c>
      <c r="C633" s="138" t="s">
        <v>511</v>
      </c>
      <c r="D633" s="147">
        <v>0</v>
      </c>
      <c r="E633" s="147">
        <v>0</v>
      </c>
      <c r="F633" s="147">
        <v>0</v>
      </c>
      <c r="G633" s="147">
        <v>0</v>
      </c>
      <c r="H633" s="150">
        <v>0</v>
      </c>
      <c r="I633" s="567">
        <f>SUM(G633+H633)</f>
        <v>0</v>
      </c>
    </row>
    <row r="634" spans="1:9" x14ac:dyDescent="0.15">
      <c r="A634" s="138"/>
      <c r="B634" s="523" t="s">
        <v>1579</v>
      </c>
      <c r="C634" s="524" t="s">
        <v>118</v>
      </c>
      <c r="D634" s="144">
        <v>0</v>
      </c>
      <c r="E634" s="144">
        <v>0</v>
      </c>
      <c r="F634" s="144">
        <v>0</v>
      </c>
      <c r="G634" s="144">
        <v>0</v>
      </c>
      <c r="H634" s="150">
        <v>0</v>
      </c>
      <c r="I634" s="567">
        <f t="shared" ref="I634:I663" si="17">SUM(G634+H634)</f>
        <v>0</v>
      </c>
    </row>
    <row r="635" spans="1:9" x14ac:dyDescent="0.15">
      <c r="A635" s="138"/>
      <c r="B635" s="523" t="s">
        <v>1580</v>
      </c>
      <c r="C635" s="524" t="s">
        <v>119</v>
      </c>
      <c r="D635" s="144">
        <v>0</v>
      </c>
      <c r="E635" s="144">
        <v>0</v>
      </c>
      <c r="F635" s="144">
        <v>0</v>
      </c>
      <c r="G635" s="144">
        <v>0</v>
      </c>
      <c r="H635" s="150">
        <v>0</v>
      </c>
      <c r="I635" s="567">
        <f t="shared" si="17"/>
        <v>0</v>
      </c>
    </row>
    <row r="636" spans="1:9" x14ac:dyDescent="0.15">
      <c r="A636" s="138"/>
      <c r="B636" s="523" t="s">
        <v>120</v>
      </c>
      <c r="C636" s="524" t="s">
        <v>121</v>
      </c>
      <c r="D636" s="144">
        <v>0</v>
      </c>
      <c r="E636" s="144">
        <v>0</v>
      </c>
      <c r="F636" s="144">
        <v>0</v>
      </c>
      <c r="G636" s="144">
        <v>0</v>
      </c>
      <c r="H636" s="150">
        <v>0</v>
      </c>
      <c r="I636" s="567">
        <f t="shared" si="17"/>
        <v>0</v>
      </c>
    </row>
    <row r="637" spans="1:9" x14ac:dyDescent="0.15">
      <c r="A637" s="138"/>
      <c r="B637" s="523" t="s">
        <v>122</v>
      </c>
      <c r="C637" s="524" t="s">
        <v>123</v>
      </c>
      <c r="D637" s="144">
        <v>0</v>
      </c>
      <c r="E637" s="144">
        <v>0</v>
      </c>
      <c r="F637" s="144">
        <v>0</v>
      </c>
      <c r="G637" s="144">
        <v>0</v>
      </c>
      <c r="H637" s="150">
        <v>0</v>
      </c>
      <c r="I637" s="567">
        <f t="shared" si="17"/>
        <v>0</v>
      </c>
    </row>
    <row r="638" spans="1:9" x14ac:dyDescent="0.15">
      <c r="A638" s="138"/>
      <c r="B638" s="523" t="s">
        <v>1581</v>
      </c>
      <c r="C638" s="524" t="s">
        <v>124</v>
      </c>
      <c r="D638" s="144">
        <v>0</v>
      </c>
      <c r="E638" s="144">
        <v>0</v>
      </c>
      <c r="F638" s="144">
        <v>0</v>
      </c>
      <c r="G638" s="144">
        <v>0</v>
      </c>
      <c r="H638" s="150">
        <v>0</v>
      </c>
      <c r="I638" s="567">
        <f t="shared" si="17"/>
        <v>0</v>
      </c>
    </row>
    <row r="639" spans="1:9" x14ac:dyDescent="0.15">
      <c r="A639" s="138"/>
      <c r="B639" s="523" t="s">
        <v>127</v>
      </c>
      <c r="C639" s="524" t="s">
        <v>134</v>
      </c>
      <c r="D639" s="144">
        <v>0</v>
      </c>
      <c r="E639" s="144">
        <v>0</v>
      </c>
      <c r="F639" s="144">
        <v>0</v>
      </c>
      <c r="G639" s="144">
        <v>0</v>
      </c>
      <c r="H639" s="150">
        <v>0</v>
      </c>
      <c r="I639" s="567">
        <f t="shared" si="17"/>
        <v>0</v>
      </c>
    </row>
    <row r="640" spans="1:9" x14ac:dyDescent="0.15">
      <c r="A640" s="138"/>
      <c r="B640" s="523" t="s">
        <v>128</v>
      </c>
      <c r="C640" s="524" t="s">
        <v>135</v>
      </c>
      <c r="D640" s="144">
        <v>0</v>
      </c>
      <c r="E640" s="144">
        <v>0</v>
      </c>
      <c r="F640" s="144">
        <v>0</v>
      </c>
      <c r="G640" s="144">
        <v>0</v>
      </c>
      <c r="H640" s="150">
        <v>0</v>
      </c>
      <c r="I640" s="567">
        <f t="shared" si="17"/>
        <v>0</v>
      </c>
    </row>
    <row r="641" spans="1:9" x14ac:dyDescent="0.15">
      <c r="A641" s="138"/>
      <c r="B641" s="523" t="s">
        <v>132</v>
      </c>
      <c r="C641" s="524" t="s">
        <v>1617</v>
      </c>
      <c r="D641" s="144">
        <v>0</v>
      </c>
      <c r="E641" s="144">
        <v>0</v>
      </c>
      <c r="F641" s="144">
        <v>0</v>
      </c>
      <c r="G641" s="144">
        <v>0</v>
      </c>
      <c r="H641" s="150">
        <v>0</v>
      </c>
      <c r="I641" s="567">
        <f t="shared" si="17"/>
        <v>0</v>
      </c>
    </row>
    <row r="642" spans="1:9" x14ac:dyDescent="0.15">
      <c r="A642" s="138"/>
      <c r="B642" s="523" t="s">
        <v>1618</v>
      </c>
      <c r="C642" s="524" t="s">
        <v>836</v>
      </c>
      <c r="D642" s="144">
        <v>0</v>
      </c>
      <c r="E642" s="144">
        <v>0</v>
      </c>
      <c r="F642" s="144">
        <v>0</v>
      </c>
      <c r="G642" s="144">
        <v>0</v>
      </c>
      <c r="H642" s="150">
        <v>0</v>
      </c>
      <c r="I642" s="567">
        <f t="shared" si="17"/>
        <v>0</v>
      </c>
    </row>
    <row r="643" spans="1:9" x14ac:dyDescent="0.15">
      <c r="A643" s="138"/>
      <c r="B643" s="523" t="s">
        <v>1619</v>
      </c>
      <c r="C643" s="524" t="s">
        <v>837</v>
      </c>
      <c r="D643" s="144">
        <v>0</v>
      </c>
      <c r="E643" s="144">
        <v>0</v>
      </c>
      <c r="F643" s="144">
        <v>0</v>
      </c>
      <c r="G643" s="144">
        <v>0</v>
      </c>
      <c r="H643" s="150">
        <v>0</v>
      </c>
      <c r="I643" s="567">
        <f t="shared" si="17"/>
        <v>0</v>
      </c>
    </row>
    <row r="644" spans="1:9" x14ac:dyDescent="0.15">
      <c r="A644" s="138"/>
      <c r="B644" s="523" t="s">
        <v>1620</v>
      </c>
      <c r="C644" s="524" t="s">
        <v>838</v>
      </c>
      <c r="D644" s="144">
        <v>0</v>
      </c>
      <c r="E644" s="144">
        <v>0</v>
      </c>
      <c r="F644" s="144">
        <v>0</v>
      </c>
      <c r="G644" s="144">
        <v>0</v>
      </c>
      <c r="H644" s="150">
        <v>0</v>
      </c>
      <c r="I644" s="567">
        <f t="shared" si="17"/>
        <v>0</v>
      </c>
    </row>
    <row r="645" spans="1:9" x14ac:dyDescent="0.15">
      <c r="A645" s="138"/>
      <c r="B645" s="523" t="s">
        <v>1621</v>
      </c>
      <c r="C645" s="524" t="s">
        <v>839</v>
      </c>
      <c r="D645" s="144">
        <v>0</v>
      </c>
      <c r="E645" s="144">
        <v>0</v>
      </c>
      <c r="F645" s="144">
        <v>0</v>
      </c>
      <c r="G645" s="144">
        <v>0</v>
      </c>
      <c r="H645" s="150">
        <v>0</v>
      </c>
      <c r="I645" s="567">
        <f t="shared" si="17"/>
        <v>0</v>
      </c>
    </row>
    <row r="646" spans="1:9" x14ac:dyDescent="0.15">
      <c r="A646" s="138"/>
      <c r="B646" s="523" t="s">
        <v>1622</v>
      </c>
      <c r="C646" s="524" t="s">
        <v>190</v>
      </c>
      <c r="D646" s="144">
        <v>0</v>
      </c>
      <c r="E646" s="144">
        <v>0</v>
      </c>
      <c r="F646" s="144">
        <v>0</v>
      </c>
      <c r="G646" s="144">
        <v>0</v>
      </c>
      <c r="H646" s="150">
        <v>0</v>
      </c>
      <c r="I646" s="567">
        <f t="shared" si="17"/>
        <v>0</v>
      </c>
    </row>
    <row r="647" spans="1:9" x14ac:dyDescent="0.15">
      <c r="A647" s="138"/>
      <c r="B647" s="523" t="s">
        <v>1623</v>
      </c>
      <c r="C647" s="524" t="s">
        <v>191</v>
      </c>
      <c r="D647" s="144">
        <v>0</v>
      </c>
      <c r="E647" s="144">
        <v>0</v>
      </c>
      <c r="F647" s="144">
        <v>0</v>
      </c>
      <c r="G647" s="144">
        <v>0</v>
      </c>
      <c r="H647" s="150">
        <v>0</v>
      </c>
      <c r="I647" s="567">
        <f t="shared" si="17"/>
        <v>0</v>
      </c>
    </row>
    <row r="648" spans="1:9" x14ac:dyDescent="0.15">
      <c r="A648" s="138"/>
      <c r="B648" s="523" t="s">
        <v>1624</v>
      </c>
      <c r="C648" s="524" t="s">
        <v>840</v>
      </c>
      <c r="D648" s="144">
        <v>0</v>
      </c>
      <c r="E648" s="144">
        <v>0</v>
      </c>
      <c r="F648" s="144">
        <v>0</v>
      </c>
      <c r="G648" s="144">
        <v>0</v>
      </c>
      <c r="H648" s="150">
        <v>0</v>
      </c>
      <c r="I648" s="567">
        <f t="shared" si="17"/>
        <v>0</v>
      </c>
    </row>
    <row r="649" spans="1:9" x14ac:dyDescent="0.15">
      <c r="A649" s="138"/>
      <c r="B649" s="523" t="s">
        <v>1625</v>
      </c>
      <c r="C649" s="524" t="s">
        <v>842</v>
      </c>
      <c r="D649" s="144">
        <v>0</v>
      </c>
      <c r="E649" s="144">
        <v>0</v>
      </c>
      <c r="F649" s="144">
        <v>0</v>
      </c>
      <c r="G649" s="144">
        <v>0</v>
      </c>
      <c r="H649" s="150">
        <v>0</v>
      </c>
      <c r="I649" s="567">
        <f t="shared" si="17"/>
        <v>0</v>
      </c>
    </row>
    <row r="650" spans="1:9" x14ac:dyDescent="0.15">
      <c r="A650" s="138"/>
      <c r="B650" s="523" t="s">
        <v>843</v>
      </c>
      <c r="C650" s="524" t="s">
        <v>848</v>
      </c>
      <c r="D650" s="144">
        <v>0</v>
      </c>
      <c r="E650" s="144">
        <v>0</v>
      </c>
      <c r="F650" s="144">
        <v>0</v>
      </c>
      <c r="G650" s="144">
        <v>0</v>
      </c>
      <c r="H650" s="150">
        <v>0</v>
      </c>
      <c r="I650" s="567">
        <f t="shared" si="17"/>
        <v>0</v>
      </c>
    </row>
    <row r="651" spans="1:9" x14ac:dyDescent="0.15">
      <c r="A651" s="138"/>
      <c r="B651" s="523" t="s">
        <v>844</v>
      </c>
      <c r="C651" s="524" t="s">
        <v>153</v>
      </c>
      <c r="D651" s="144">
        <v>0</v>
      </c>
      <c r="E651" s="144">
        <v>0</v>
      </c>
      <c r="F651" s="144">
        <v>0</v>
      </c>
      <c r="G651" s="144">
        <v>0</v>
      </c>
      <c r="H651" s="150">
        <v>0</v>
      </c>
      <c r="I651" s="567">
        <f t="shared" si="17"/>
        <v>0</v>
      </c>
    </row>
    <row r="652" spans="1:9" x14ac:dyDescent="0.15">
      <c r="A652" s="138"/>
      <c r="B652" s="523" t="s">
        <v>845</v>
      </c>
      <c r="C652" s="524" t="s">
        <v>154</v>
      </c>
      <c r="D652" s="144">
        <v>0</v>
      </c>
      <c r="E652" s="144">
        <v>0</v>
      </c>
      <c r="F652" s="144">
        <v>0</v>
      </c>
      <c r="G652" s="144">
        <v>0</v>
      </c>
      <c r="H652" s="150">
        <v>0</v>
      </c>
      <c r="I652" s="567">
        <f t="shared" si="17"/>
        <v>0</v>
      </c>
    </row>
    <row r="653" spans="1:9" x14ac:dyDescent="0.15">
      <c r="A653" s="138"/>
      <c r="B653" s="523" t="s">
        <v>846</v>
      </c>
      <c r="C653" s="524" t="s">
        <v>155</v>
      </c>
      <c r="D653" s="144">
        <v>0</v>
      </c>
      <c r="E653" s="144">
        <v>0</v>
      </c>
      <c r="F653" s="144">
        <v>0</v>
      </c>
      <c r="G653" s="144">
        <v>0</v>
      </c>
      <c r="H653" s="150">
        <v>0</v>
      </c>
      <c r="I653" s="567">
        <f t="shared" si="17"/>
        <v>0</v>
      </c>
    </row>
    <row r="654" spans="1:9" x14ac:dyDescent="0.15">
      <c r="A654" s="138"/>
      <c r="B654" s="523" t="s">
        <v>1582</v>
      </c>
      <c r="C654" s="524" t="s">
        <v>156</v>
      </c>
      <c r="D654" s="144">
        <v>0</v>
      </c>
      <c r="E654" s="144">
        <v>0</v>
      </c>
      <c r="F654" s="144">
        <v>0</v>
      </c>
      <c r="G654" s="144">
        <v>0</v>
      </c>
      <c r="H654" s="150">
        <v>0</v>
      </c>
      <c r="I654" s="567">
        <f t="shared" si="17"/>
        <v>0</v>
      </c>
    </row>
    <row r="655" spans="1:9" x14ac:dyDescent="0.15">
      <c r="A655" s="138"/>
      <c r="B655" s="523" t="s">
        <v>847</v>
      </c>
      <c r="C655" s="524" t="s">
        <v>157</v>
      </c>
      <c r="D655" s="144">
        <v>0</v>
      </c>
      <c r="E655" s="144">
        <v>0</v>
      </c>
      <c r="F655" s="144">
        <v>0</v>
      </c>
      <c r="G655" s="144">
        <v>0</v>
      </c>
      <c r="H655" s="150">
        <v>0</v>
      </c>
      <c r="I655" s="567">
        <f t="shared" si="17"/>
        <v>0</v>
      </c>
    </row>
    <row r="656" spans="1:9" x14ac:dyDescent="0.15">
      <c r="A656" s="138"/>
      <c r="B656" s="523" t="s">
        <v>1583</v>
      </c>
      <c r="C656" s="524" t="s">
        <v>160</v>
      </c>
      <c r="D656" s="144">
        <v>0</v>
      </c>
      <c r="E656" s="144">
        <v>0</v>
      </c>
      <c r="F656" s="144">
        <v>0</v>
      </c>
      <c r="G656" s="144">
        <v>0</v>
      </c>
      <c r="H656" s="150">
        <v>0</v>
      </c>
      <c r="I656" s="567">
        <f t="shared" si="17"/>
        <v>0</v>
      </c>
    </row>
    <row r="657" spans="1:9" x14ac:dyDescent="0.15">
      <c r="A657" s="138"/>
      <c r="B657" s="523" t="s">
        <v>634</v>
      </c>
      <c r="C657" s="524" t="s">
        <v>165</v>
      </c>
      <c r="D657" s="144">
        <v>0</v>
      </c>
      <c r="E657" s="144">
        <v>0</v>
      </c>
      <c r="F657" s="144">
        <v>0</v>
      </c>
      <c r="G657" s="144">
        <v>0</v>
      </c>
      <c r="H657" s="150">
        <v>0</v>
      </c>
      <c r="I657" s="567">
        <f t="shared" si="17"/>
        <v>0</v>
      </c>
    </row>
    <row r="658" spans="1:9" x14ac:dyDescent="0.15">
      <c r="A658" s="138"/>
      <c r="B658" s="523" t="s">
        <v>202</v>
      </c>
      <c r="C658" s="524" t="s">
        <v>731</v>
      </c>
      <c r="D658" s="144">
        <v>0</v>
      </c>
      <c r="E658" s="144">
        <v>0</v>
      </c>
      <c r="F658" s="144">
        <v>0</v>
      </c>
      <c r="G658" s="144">
        <v>0</v>
      </c>
      <c r="H658" s="150">
        <v>0</v>
      </c>
      <c r="I658" s="567">
        <f t="shared" si="17"/>
        <v>0</v>
      </c>
    </row>
    <row r="659" spans="1:9" x14ac:dyDescent="0.15">
      <c r="A659" s="138"/>
      <c r="B659" s="523" t="s">
        <v>630</v>
      </c>
      <c r="C659" s="524" t="s">
        <v>172</v>
      </c>
      <c r="D659" s="144">
        <v>0</v>
      </c>
      <c r="E659" s="144">
        <v>0</v>
      </c>
      <c r="F659" s="144">
        <v>0</v>
      </c>
      <c r="G659" s="144">
        <v>0</v>
      </c>
      <c r="H659" s="150">
        <v>0</v>
      </c>
      <c r="I659" s="567">
        <f t="shared" si="17"/>
        <v>0</v>
      </c>
    </row>
    <row r="660" spans="1:9" x14ac:dyDescent="0.15">
      <c r="A660" s="138"/>
      <c r="B660" s="650" t="s">
        <v>631</v>
      </c>
      <c r="C660" s="651" t="s">
        <v>173</v>
      </c>
      <c r="D660" s="144">
        <v>0</v>
      </c>
      <c r="E660" s="144">
        <v>0</v>
      </c>
      <c r="F660" s="144">
        <v>0</v>
      </c>
      <c r="G660" s="144">
        <v>0</v>
      </c>
      <c r="H660" s="150">
        <v>0</v>
      </c>
      <c r="I660" s="567">
        <f t="shared" si="17"/>
        <v>0</v>
      </c>
    </row>
    <row r="661" spans="1:9" x14ac:dyDescent="0.15">
      <c r="A661" s="138"/>
      <c r="B661" s="523" t="s">
        <v>1584</v>
      </c>
      <c r="C661" s="524" t="s">
        <v>178</v>
      </c>
      <c r="D661" s="144">
        <v>0</v>
      </c>
      <c r="E661" s="144">
        <v>0</v>
      </c>
      <c r="F661" s="144">
        <v>0</v>
      </c>
      <c r="G661" s="144">
        <v>0</v>
      </c>
      <c r="H661" s="150">
        <v>0</v>
      </c>
      <c r="I661" s="567">
        <f t="shared" si="17"/>
        <v>0</v>
      </c>
    </row>
    <row r="662" spans="1:9" x14ac:dyDescent="0.15">
      <c r="A662" s="138"/>
      <c r="B662" s="523" t="s">
        <v>174</v>
      </c>
      <c r="C662" s="524" t="s">
        <v>179</v>
      </c>
      <c r="D662" s="144">
        <v>0</v>
      </c>
      <c r="E662" s="144">
        <v>0</v>
      </c>
      <c r="F662" s="144">
        <v>0</v>
      </c>
      <c r="G662" s="144">
        <v>0</v>
      </c>
      <c r="H662" s="150">
        <v>0</v>
      </c>
      <c r="I662" s="567">
        <f t="shared" si="17"/>
        <v>0</v>
      </c>
    </row>
    <row r="663" spans="1:9" x14ac:dyDescent="0.15">
      <c r="A663" s="138"/>
      <c r="B663" s="523" t="s">
        <v>175</v>
      </c>
      <c r="C663" s="524" t="s">
        <v>180</v>
      </c>
      <c r="D663" s="144">
        <v>0</v>
      </c>
      <c r="E663" s="144">
        <v>0</v>
      </c>
      <c r="F663" s="144">
        <v>0</v>
      </c>
      <c r="G663" s="144">
        <v>0</v>
      </c>
      <c r="H663" s="150">
        <v>0</v>
      </c>
      <c r="I663" s="567">
        <f t="shared" si="17"/>
        <v>0</v>
      </c>
    </row>
    <row r="664" spans="1:9" ht="11.25" thickBot="1" x14ac:dyDescent="0.2">
      <c r="A664" s="138"/>
      <c r="B664" s="523" t="s">
        <v>176</v>
      </c>
      <c r="C664" s="524" t="s">
        <v>181</v>
      </c>
      <c r="D664" s="144">
        <v>0</v>
      </c>
      <c r="E664" s="144">
        <v>0</v>
      </c>
      <c r="F664" s="144">
        <v>0</v>
      </c>
      <c r="G664" s="144">
        <v>0</v>
      </c>
      <c r="H664" s="150">
        <v>0</v>
      </c>
      <c r="I664" s="567">
        <f>SUM(G664+H664)</f>
        <v>0</v>
      </c>
    </row>
    <row r="665" spans="1:9" ht="12" thickTop="1" thickBot="1" x14ac:dyDescent="0.2">
      <c r="A665" s="138"/>
      <c r="B665" s="523"/>
      <c r="C665" s="524" t="s">
        <v>144</v>
      </c>
      <c r="D665" s="169">
        <f>SUM(D630:D664)</f>
        <v>0</v>
      </c>
      <c r="E665" s="169">
        <f>SUM(E630:E664)</f>
        <v>0</v>
      </c>
      <c r="F665" s="169">
        <f>SUM(F630:F664)</f>
        <v>0</v>
      </c>
      <c r="G665" s="169">
        <f>SUM(G630:G664)</f>
        <v>0</v>
      </c>
      <c r="H665" s="169">
        <f>SUM(H630:H664)</f>
        <v>0</v>
      </c>
      <c r="I665" s="169">
        <f>SUM(G665+H665)</f>
        <v>0</v>
      </c>
    </row>
    <row r="666" spans="1:9" ht="11.25" thickTop="1" x14ac:dyDescent="0.15">
      <c r="A666" s="138"/>
      <c r="B666" s="524"/>
      <c r="C666" s="524"/>
      <c r="D666" s="14"/>
      <c r="E666" s="14"/>
      <c r="F666" s="14"/>
      <c r="G666" s="14"/>
      <c r="H666" s="14"/>
      <c r="I666" s="563"/>
    </row>
    <row r="667" spans="1:9" x14ac:dyDescent="0.15">
      <c r="A667" s="522" t="s">
        <v>145</v>
      </c>
      <c r="B667" s="524"/>
      <c r="C667" s="524"/>
      <c r="D667" s="14"/>
      <c r="E667" s="14"/>
      <c r="F667" s="14"/>
      <c r="G667" s="14"/>
      <c r="H667" s="14"/>
      <c r="I667" s="563"/>
    </row>
    <row r="668" spans="1:9" x14ac:dyDescent="0.15">
      <c r="A668" s="434"/>
      <c r="B668" s="523" t="s">
        <v>1577</v>
      </c>
      <c r="C668" s="524" t="s">
        <v>228</v>
      </c>
      <c r="D668" s="316">
        <v>0</v>
      </c>
      <c r="E668" s="316">
        <v>0</v>
      </c>
      <c r="F668" s="316">
        <v>0</v>
      </c>
      <c r="G668" s="528">
        <f t="array" ref="G668">SUM(IF(CertFund&amp;CertProg&amp;CertObj=RIGHT(LEFT($A$2,7),2)&amp;LEFT(A667,4)&amp;B668,CertSalary))</f>
        <v>0</v>
      </c>
      <c r="H668" s="527">
        <v>0</v>
      </c>
      <c r="I668" s="566">
        <f>SUM(G668+H668)</f>
        <v>0</v>
      </c>
    </row>
    <row r="669" spans="1:9" x14ac:dyDescent="0.15">
      <c r="A669" s="434"/>
      <c r="B669" s="523" t="s">
        <v>1577</v>
      </c>
      <c r="C669" s="524" t="s">
        <v>510</v>
      </c>
      <c r="D669" s="316">
        <v>0</v>
      </c>
      <c r="E669" s="316">
        <v>0</v>
      </c>
      <c r="F669" s="316">
        <v>0</v>
      </c>
      <c r="G669" s="316">
        <v>0</v>
      </c>
      <c r="H669" s="527">
        <v>0</v>
      </c>
      <c r="I669" s="566">
        <f>SUM(G669+H669)</f>
        <v>0</v>
      </c>
    </row>
    <row r="670" spans="1:9" x14ac:dyDescent="0.15">
      <c r="A670" s="524"/>
      <c r="B670" s="523" t="s">
        <v>1578</v>
      </c>
      <c r="C670" s="524" t="s">
        <v>936</v>
      </c>
      <c r="D670" s="316">
        <v>0</v>
      </c>
      <c r="E670" s="316">
        <v>0</v>
      </c>
      <c r="F670" s="316">
        <v>0</v>
      </c>
      <c r="G670" s="529">
        <f t="array" ref="G670">SUM(IF(CertFund&amp;CertProg&amp;CertObj=RIGHT(LEFT($A$2,7),2)&amp;LEFT(A667,4)&amp;B668,CertBen))</f>
        <v>0</v>
      </c>
      <c r="H670" s="527">
        <v>0</v>
      </c>
      <c r="I670" s="566">
        <f>SUM(G670+H670)</f>
        <v>0</v>
      </c>
    </row>
    <row r="671" spans="1:9" x14ac:dyDescent="0.15">
      <c r="A671" s="138"/>
      <c r="B671" s="521" t="s">
        <v>1578</v>
      </c>
      <c r="C671" s="138" t="s">
        <v>511</v>
      </c>
      <c r="D671" s="147">
        <v>0</v>
      </c>
      <c r="E671" s="147">
        <v>0</v>
      </c>
      <c r="F671" s="147">
        <v>0</v>
      </c>
      <c r="G671" s="147">
        <v>0</v>
      </c>
      <c r="H671" s="150">
        <v>0</v>
      </c>
      <c r="I671" s="567">
        <f>SUM(G671+H671)</f>
        <v>0</v>
      </c>
    </row>
    <row r="672" spans="1:9" x14ac:dyDescent="0.15">
      <c r="A672" s="138"/>
      <c r="B672" s="523" t="s">
        <v>1579</v>
      </c>
      <c r="C672" s="524" t="s">
        <v>118</v>
      </c>
      <c r="D672" s="144">
        <v>0</v>
      </c>
      <c r="E672" s="144">
        <v>0</v>
      </c>
      <c r="F672" s="144">
        <v>0</v>
      </c>
      <c r="G672" s="291">
        <v>0</v>
      </c>
      <c r="H672" s="150">
        <v>0</v>
      </c>
      <c r="I672" s="567">
        <f t="shared" ref="I672:I702" si="18">SUM(G672+H672)</f>
        <v>0</v>
      </c>
    </row>
    <row r="673" spans="1:9" x14ac:dyDescent="0.15">
      <c r="A673" s="138"/>
      <c r="B673" s="523" t="s">
        <v>1580</v>
      </c>
      <c r="C673" s="524" t="s">
        <v>119</v>
      </c>
      <c r="D673" s="144">
        <v>0</v>
      </c>
      <c r="E673" s="144">
        <v>0</v>
      </c>
      <c r="F673" s="144">
        <v>0</v>
      </c>
      <c r="G673" s="291">
        <v>0</v>
      </c>
      <c r="H673" s="150">
        <v>0</v>
      </c>
      <c r="I673" s="567">
        <f t="shared" si="18"/>
        <v>0</v>
      </c>
    </row>
    <row r="674" spans="1:9" x14ac:dyDescent="0.15">
      <c r="A674" s="138"/>
      <c r="B674" s="523" t="s">
        <v>120</v>
      </c>
      <c r="C674" s="524" t="s">
        <v>121</v>
      </c>
      <c r="D674" s="144">
        <v>0</v>
      </c>
      <c r="E674" s="144">
        <v>0</v>
      </c>
      <c r="F674" s="144">
        <v>0</v>
      </c>
      <c r="G674" s="291">
        <v>0</v>
      </c>
      <c r="H674" s="150">
        <v>0</v>
      </c>
      <c r="I674" s="567">
        <f t="shared" si="18"/>
        <v>0</v>
      </c>
    </row>
    <row r="675" spans="1:9" x14ac:dyDescent="0.15">
      <c r="A675" s="138"/>
      <c r="B675" s="523" t="s">
        <v>122</v>
      </c>
      <c r="C675" s="524" t="s">
        <v>123</v>
      </c>
      <c r="D675" s="144">
        <v>0</v>
      </c>
      <c r="E675" s="144">
        <v>0</v>
      </c>
      <c r="F675" s="144">
        <v>0</v>
      </c>
      <c r="G675" s="291">
        <v>0</v>
      </c>
      <c r="H675" s="150">
        <v>0</v>
      </c>
      <c r="I675" s="567">
        <f t="shared" si="18"/>
        <v>0</v>
      </c>
    </row>
    <row r="676" spans="1:9" x14ac:dyDescent="0.15">
      <c r="A676" s="138"/>
      <c r="B676" s="523" t="s">
        <v>1581</v>
      </c>
      <c r="C676" s="524" t="s">
        <v>124</v>
      </c>
      <c r="D676" s="144">
        <v>0</v>
      </c>
      <c r="E676" s="144">
        <v>0</v>
      </c>
      <c r="F676" s="144">
        <v>0</v>
      </c>
      <c r="G676" s="291">
        <v>0</v>
      </c>
      <c r="H676" s="150">
        <v>0</v>
      </c>
      <c r="I676" s="567">
        <f t="shared" si="18"/>
        <v>0</v>
      </c>
    </row>
    <row r="677" spans="1:9" x14ac:dyDescent="0.15">
      <c r="A677" s="138"/>
      <c r="B677" s="523" t="s">
        <v>127</v>
      </c>
      <c r="C677" s="524" t="s">
        <v>134</v>
      </c>
      <c r="D677" s="144">
        <v>0</v>
      </c>
      <c r="E677" s="144">
        <v>0</v>
      </c>
      <c r="F677" s="144">
        <v>0</v>
      </c>
      <c r="G677" s="291">
        <v>0</v>
      </c>
      <c r="H677" s="150">
        <v>0</v>
      </c>
      <c r="I677" s="567">
        <f t="shared" si="18"/>
        <v>0</v>
      </c>
    </row>
    <row r="678" spans="1:9" x14ac:dyDescent="0.15">
      <c r="A678" s="138"/>
      <c r="B678" s="523" t="s">
        <v>128</v>
      </c>
      <c r="C678" s="524" t="s">
        <v>135</v>
      </c>
      <c r="D678" s="144">
        <v>0</v>
      </c>
      <c r="E678" s="144">
        <v>0</v>
      </c>
      <c r="F678" s="144">
        <v>0</v>
      </c>
      <c r="G678" s="291">
        <v>0</v>
      </c>
      <c r="H678" s="150">
        <v>0</v>
      </c>
      <c r="I678" s="567">
        <f t="shared" si="18"/>
        <v>0</v>
      </c>
    </row>
    <row r="679" spans="1:9" x14ac:dyDescent="0.15">
      <c r="A679" s="138"/>
      <c r="B679" s="523" t="s">
        <v>132</v>
      </c>
      <c r="C679" s="524" t="s">
        <v>1617</v>
      </c>
      <c r="D679" s="144">
        <v>0</v>
      </c>
      <c r="E679" s="144">
        <v>0</v>
      </c>
      <c r="F679" s="144">
        <v>0</v>
      </c>
      <c r="G679" s="291">
        <v>0</v>
      </c>
      <c r="H679" s="150">
        <v>0</v>
      </c>
      <c r="I679" s="567">
        <f t="shared" si="18"/>
        <v>0</v>
      </c>
    </row>
    <row r="680" spans="1:9" x14ac:dyDescent="0.15">
      <c r="A680" s="138"/>
      <c r="B680" s="523" t="s">
        <v>1618</v>
      </c>
      <c r="C680" s="524" t="s">
        <v>836</v>
      </c>
      <c r="D680" s="144">
        <v>0</v>
      </c>
      <c r="E680" s="144">
        <v>0</v>
      </c>
      <c r="F680" s="144">
        <v>0</v>
      </c>
      <c r="G680" s="291">
        <v>0</v>
      </c>
      <c r="H680" s="150">
        <v>0</v>
      </c>
      <c r="I680" s="567">
        <f t="shared" si="18"/>
        <v>0</v>
      </c>
    </row>
    <row r="681" spans="1:9" x14ac:dyDescent="0.15">
      <c r="A681" s="138"/>
      <c r="B681" s="523" t="s">
        <v>1619</v>
      </c>
      <c r="C681" s="524" t="s">
        <v>837</v>
      </c>
      <c r="D681" s="144">
        <v>0</v>
      </c>
      <c r="E681" s="144">
        <v>0</v>
      </c>
      <c r="F681" s="144">
        <v>0</v>
      </c>
      <c r="G681" s="291">
        <v>0</v>
      </c>
      <c r="H681" s="150">
        <v>0</v>
      </c>
      <c r="I681" s="567">
        <f t="shared" si="18"/>
        <v>0</v>
      </c>
    </row>
    <row r="682" spans="1:9" x14ac:dyDescent="0.15">
      <c r="A682" s="138"/>
      <c r="B682" s="523" t="s">
        <v>1620</v>
      </c>
      <c r="C682" s="524" t="s">
        <v>838</v>
      </c>
      <c r="D682" s="144">
        <v>0</v>
      </c>
      <c r="E682" s="144">
        <v>0</v>
      </c>
      <c r="F682" s="144">
        <v>0</v>
      </c>
      <c r="G682" s="291">
        <v>0</v>
      </c>
      <c r="H682" s="150">
        <v>0</v>
      </c>
      <c r="I682" s="567">
        <f t="shared" si="18"/>
        <v>0</v>
      </c>
    </row>
    <row r="683" spans="1:9" x14ac:dyDescent="0.15">
      <c r="A683" s="138"/>
      <c r="B683" s="523" t="s">
        <v>1621</v>
      </c>
      <c r="C683" s="524" t="s">
        <v>839</v>
      </c>
      <c r="D683" s="144">
        <v>0</v>
      </c>
      <c r="E683" s="144">
        <v>0</v>
      </c>
      <c r="F683" s="144">
        <v>0</v>
      </c>
      <c r="G683" s="291">
        <v>0</v>
      </c>
      <c r="H683" s="150">
        <v>0</v>
      </c>
      <c r="I683" s="567">
        <f t="shared" si="18"/>
        <v>0</v>
      </c>
    </row>
    <row r="684" spans="1:9" x14ac:dyDescent="0.15">
      <c r="A684" s="138"/>
      <c r="B684" s="523" t="s">
        <v>1622</v>
      </c>
      <c r="C684" s="524" t="s">
        <v>190</v>
      </c>
      <c r="D684" s="144">
        <v>0</v>
      </c>
      <c r="E684" s="144">
        <v>0</v>
      </c>
      <c r="F684" s="144">
        <v>0</v>
      </c>
      <c r="G684" s="291">
        <v>0</v>
      </c>
      <c r="H684" s="150">
        <v>0</v>
      </c>
      <c r="I684" s="567">
        <f t="shared" si="18"/>
        <v>0</v>
      </c>
    </row>
    <row r="685" spans="1:9" x14ac:dyDescent="0.15">
      <c r="A685" s="138"/>
      <c r="B685" s="523" t="s">
        <v>1623</v>
      </c>
      <c r="C685" s="524" t="s">
        <v>191</v>
      </c>
      <c r="D685" s="144">
        <v>0</v>
      </c>
      <c r="E685" s="144">
        <v>0</v>
      </c>
      <c r="F685" s="144">
        <v>0</v>
      </c>
      <c r="G685" s="291">
        <v>0</v>
      </c>
      <c r="H685" s="150">
        <v>0</v>
      </c>
      <c r="I685" s="567">
        <f t="shared" si="18"/>
        <v>0</v>
      </c>
    </row>
    <row r="686" spans="1:9" x14ac:dyDescent="0.15">
      <c r="A686" s="138"/>
      <c r="B686" s="523" t="s">
        <v>1624</v>
      </c>
      <c r="C686" s="524" t="s">
        <v>840</v>
      </c>
      <c r="D686" s="144">
        <v>0</v>
      </c>
      <c r="E686" s="144">
        <v>0</v>
      </c>
      <c r="F686" s="144">
        <v>0</v>
      </c>
      <c r="G686" s="291">
        <v>0</v>
      </c>
      <c r="H686" s="150">
        <v>0</v>
      </c>
      <c r="I686" s="567">
        <f t="shared" si="18"/>
        <v>0</v>
      </c>
    </row>
    <row r="687" spans="1:9" x14ac:dyDescent="0.15">
      <c r="A687" s="138"/>
      <c r="B687" s="523" t="s">
        <v>1625</v>
      </c>
      <c r="C687" s="524" t="s">
        <v>842</v>
      </c>
      <c r="D687" s="144">
        <v>0</v>
      </c>
      <c r="E687" s="144">
        <v>0</v>
      </c>
      <c r="F687" s="144">
        <v>0</v>
      </c>
      <c r="G687" s="291">
        <v>0</v>
      </c>
      <c r="H687" s="150">
        <v>0</v>
      </c>
      <c r="I687" s="567">
        <f t="shared" si="18"/>
        <v>0</v>
      </c>
    </row>
    <row r="688" spans="1:9" x14ac:dyDescent="0.15">
      <c r="A688" s="138"/>
      <c r="B688" s="523" t="s">
        <v>843</v>
      </c>
      <c r="C688" s="524" t="s">
        <v>848</v>
      </c>
      <c r="D688" s="144">
        <v>0</v>
      </c>
      <c r="E688" s="144">
        <v>0</v>
      </c>
      <c r="F688" s="144">
        <v>0</v>
      </c>
      <c r="G688" s="291">
        <v>0</v>
      </c>
      <c r="H688" s="150">
        <v>0</v>
      </c>
      <c r="I688" s="567">
        <f t="shared" si="18"/>
        <v>0</v>
      </c>
    </row>
    <row r="689" spans="1:9" x14ac:dyDescent="0.15">
      <c r="A689" s="138"/>
      <c r="B689" s="523" t="s">
        <v>844</v>
      </c>
      <c r="C689" s="524" t="s">
        <v>153</v>
      </c>
      <c r="D689" s="144">
        <v>0</v>
      </c>
      <c r="E689" s="144">
        <v>0</v>
      </c>
      <c r="F689" s="144">
        <v>0</v>
      </c>
      <c r="G689" s="291">
        <v>0</v>
      </c>
      <c r="H689" s="150">
        <v>0</v>
      </c>
      <c r="I689" s="567">
        <f t="shared" si="18"/>
        <v>0</v>
      </c>
    </row>
    <row r="690" spans="1:9" x14ac:dyDescent="0.15">
      <c r="A690" s="138"/>
      <c r="B690" s="523" t="s">
        <v>845</v>
      </c>
      <c r="C690" s="524" t="s">
        <v>154</v>
      </c>
      <c r="D690" s="144">
        <v>0</v>
      </c>
      <c r="E690" s="144">
        <v>0</v>
      </c>
      <c r="F690" s="144">
        <v>0</v>
      </c>
      <c r="G690" s="291">
        <v>0</v>
      </c>
      <c r="H690" s="150">
        <v>0</v>
      </c>
      <c r="I690" s="567">
        <f t="shared" si="18"/>
        <v>0</v>
      </c>
    </row>
    <row r="691" spans="1:9" x14ac:dyDescent="0.15">
      <c r="A691" s="138"/>
      <c r="B691" s="523" t="s">
        <v>846</v>
      </c>
      <c r="C691" s="524" t="s">
        <v>155</v>
      </c>
      <c r="D691" s="144">
        <v>0</v>
      </c>
      <c r="E691" s="144">
        <v>0</v>
      </c>
      <c r="F691" s="144">
        <v>0</v>
      </c>
      <c r="G691" s="291">
        <v>0</v>
      </c>
      <c r="H691" s="150">
        <v>0</v>
      </c>
      <c r="I691" s="567">
        <f t="shared" si="18"/>
        <v>0</v>
      </c>
    </row>
    <row r="692" spans="1:9" x14ac:dyDescent="0.15">
      <c r="A692" s="138"/>
      <c r="B692" s="523" t="s">
        <v>1582</v>
      </c>
      <c r="C692" s="524" t="s">
        <v>156</v>
      </c>
      <c r="D692" s="144">
        <v>0</v>
      </c>
      <c r="E692" s="144">
        <v>0</v>
      </c>
      <c r="F692" s="144">
        <v>0</v>
      </c>
      <c r="G692" s="291">
        <v>0</v>
      </c>
      <c r="H692" s="150">
        <v>0</v>
      </c>
      <c r="I692" s="567">
        <f t="shared" si="18"/>
        <v>0</v>
      </c>
    </row>
    <row r="693" spans="1:9" x14ac:dyDescent="0.15">
      <c r="A693" s="138"/>
      <c r="B693" s="523" t="s">
        <v>847</v>
      </c>
      <c r="C693" s="524" t="s">
        <v>157</v>
      </c>
      <c r="D693" s="144">
        <v>0</v>
      </c>
      <c r="E693" s="144">
        <v>0</v>
      </c>
      <c r="F693" s="144">
        <v>0</v>
      </c>
      <c r="G693" s="291">
        <v>0</v>
      </c>
      <c r="H693" s="150">
        <v>0</v>
      </c>
      <c r="I693" s="567">
        <f t="shared" si="18"/>
        <v>0</v>
      </c>
    </row>
    <row r="694" spans="1:9" x14ac:dyDescent="0.15">
      <c r="A694" s="138"/>
      <c r="B694" s="523" t="s">
        <v>1583</v>
      </c>
      <c r="C694" s="524" t="s">
        <v>160</v>
      </c>
      <c r="D694" s="144">
        <v>0</v>
      </c>
      <c r="E694" s="144">
        <v>0</v>
      </c>
      <c r="F694" s="144">
        <v>0</v>
      </c>
      <c r="G694" s="291">
        <v>0</v>
      </c>
      <c r="H694" s="150">
        <v>0</v>
      </c>
      <c r="I694" s="567">
        <f t="shared" si="18"/>
        <v>0</v>
      </c>
    </row>
    <row r="695" spans="1:9" x14ac:dyDescent="0.15">
      <c r="A695" s="138"/>
      <c r="B695" s="523" t="s">
        <v>634</v>
      </c>
      <c r="C695" s="524" t="s">
        <v>165</v>
      </c>
      <c r="D695" s="144">
        <v>0</v>
      </c>
      <c r="E695" s="144">
        <v>0</v>
      </c>
      <c r="F695" s="144">
        <v>0</v>
      </c>
      <c r="G695" s="291">
        <v>0</v>
      </c>
      <c r="H695" s="150">
        <v>0</v>
      </c>
      <c r="I695" s="567">
        <f t="shared" si="18"/>
        <v>0</v>
      </c>
    </row>
    <row r="696" spans="1:9" x14ac:dyDescent="0.15">
      <c r="A696" s="138"/>
      <c r="B696" s="523" t="s">
        <v>630</v>
      </c>
      <c r="C696" s="524" t="s">
        <v>172</v>
      </c>
      <c r="D696" s="144">
        <v>0</v>
      </c>
      <c r="E696" s="144">
        <v>0</v>
      </c>
      <c r="F696" s="144">
        <v>0</v>
      </c>
      <c r="G696" s="291">
        <v>0</v>
      </c>
      <c r="H696" s="150">
        <v>0</v>
      </c>
      <c r="I696" s="567">
        <f t="shared" si="18"/>
        <v>0</v>
      </c>
    </row>
    <row r="697" spans="1:9" x14ac:dyDescent="0.15">
      <c r="A697" s="138"/>
      <c r="B697" s="650" t="s">
        <v>631</v>
      </c>
      <c r="C697" s="651" t="s">
        <v>173</v>
      </c>
      <c r="D697" s="144">
        <v>0</v>
      </c>
      <c r="E697" s="144">
        <v>0</v>
      </c>
      <c r="F697" s="144">
        <v>0</v>
      </c>
      <c r="G697" s="291">
        <v>0</v>
      </c>
      <c r="H697" s="150">
        <v>0</v>
      </c>
      <c r="I697" s="567">
        <f t="shared" si="18"/>
        <v>0</v>
      </c>
    </row>
    <row r="698" spans="1:9" x14ac:dyDescent="0.15">
      <c r="A698" s="138"/>
      <c r="B698" s="523" t="s">
        <v>1584</v>
      </c>
      <c r="C698" s="524" t="s">
        <v>178</v>
      </c>
      <c r="D698" s="144">
        <v>0</v>
      </c>
      <c r="E698" s="144">
        <v>0</v>
      </c>
      <c r="F698" s="144">
        <v>0</v>
      </c>
      <c r="G698" s="291">
        <v>0</v>
      </c>
      <c r="H698" s="150">
        <v>0</v>
      </c>
      <c r="I698" s="567">
        <f t="shared" si="18"/>
        <v>0</v>
      </c>
    </row>
    <row r="699" spans="1:9" x14ac:dyDescent="0.15">
      <c r="A699" s="138"/>
      <c r="B699" s="523" t="s">
        <v>174</v>
      </c>
      <c r="C699" s="524" t="s">
        <v>179</v>
      </c>
      <c r="D699" s="144">
        <v>0</v>
      </c>
      <c r="E699" s="144">
        <v>0</v>
      </c>
      <c r="F699" s="144">
        <v>0</v>
      </c>
      <c r="G699" s="291">
        <v>0</v>
      </c>
      <c r="H699" s="150">
        <v>0</v>
      </c>
      <c r="I699" s="567">
        <f t="shared" si="18"/>
        <v>0</v>
      </c>
    </row>
    <row r="700" spans="1:9" x14ac:dyDescent="0.15">
      <c r="A700" s="138"/>
      <c r="B700" s="523" t="s">
        <v>175</v>
      </c>
      <c r="C700" s="524" t="s">
        <v>180</v>
      </c>
      <c r="D700" s="144">
        <v>0</v>
      </c>
      <c r="E700" s="144">
        <v>0</v>
      </c>
      <c r="F700" s="144">
        <v>0</v>
      </c>
      <c r="G700" s="291">
        <v>0</v>
      </c>
      <c r="H700" s="150">
        <v>0</v>
      </c>
      <c r="I700" s="567">
        <f t="shared" si="18"/>
        <v>0</v>
      </c>
    </row>
    <row r="701" spans="1:9" ht="11.25" thickBot="1" x14ac:dyDescent="0.2">
      <c r="A701" s="138"/>
      <c r="B701" s="523" t="s">
        <v>176</v>
      </c>
      <c r="C701" s="524" t="s">
        <v>181</v>
      </c>
      <c r="D701" s="144">
        <v>0</v>
      </c>
      <c r="E701" s="144">
        <v>0</v>
      </c>
      <c r="F701" s="144">
        <v>0</v>
      </c>
      <c r="G701" s="291">
        <v>0</v>
      </c>
      <c r="H701" s="150">
        <v>0</v>
      </c>
      <c r="I701" s="567">
        <f t="shared" si="18"/>
        <v>0</v>
      </c>
    </row>
    <row r="702" spans="1:9" ht="12" thickTop="1" thickBot="1" x14ac:dyDescent="0.2">
      <c r="A702" s="138"/>
      <c r="B702" s="523"/>
      <c r="C702" s="524" t="s">
        <v>146</v>
      </c>
      <c r="D702" s="169">
        <f>SUM(D668:D701)</f>
        <v>0</v>
      </c>
      <c r="E702" s="169">
        <f>SUM(E668:E701)</f>
        <v>0</v>
      </c>
      <c r="F702" s="169">
        <f>SUM(F668:F701)</f>
        <v>0</v>
      </c>
      <c r="G702" s="169">
        <f>SUM(G668:G701)</f>
        <v>0</v>
      </c>
      <c r="H702" s="169">
        <f>SUM(H668:H701)</f>
        <v>0</v>
      </c>
      <c r="I702" s="169">
        <f t="shared" si="18"/>
        <v>0</v>
      </c>
    </row>
    <row r="703" spans="1:9" ht="11.25" thickTop="1" x14ac:dyDescent="0.15">
      <c r="A703" s="138"/>
      <c r="B703" s="524"/>
      <c r="C703" s="524"/>
      <c r="D703" s="14"/>
      <c r="E703" s="14"/>
      <c r="F703" s="14"/>
      <c r="G703" s="14"/>
      <c r="H703" s="14"/>
      <c r="I703" s="563"/>
    </row>
    <row r="704" spans="1:9" x14ac:dyDescent="0.15">
      <c r="A704" s="522" t="s">
        <v>334</v>
      </c>
      <c r="B704" s="524"/>
      <c r="C704" s="524"/>
      <c r="D704" s="14"/>
      <c r="E704" s="14"/>
      <c r="F704" s="14"/>
      <c r="G704" s="14"/>
      <c r="H704" s="14"/>
      <c r="I704" s="563"/>
    </row>
    <row r="705" spans="1:9" x14ac:dyDescent="0.15">
      <c r="A705" s="434"/>
      <c r="B705" s="523" t="s">
        <v>1577</v>
      </c>
      <c r="C705" s="524" t="s">
        <v>228</v>
      </c>
      <c r="D705" s="316">
        <v>0</v>
      </c>
      <c r="E705" s="316">
        <v>0</v>
      </c>
      <c r="F705" s="316">
        <v>0</v>
      </c>
      <c r="G705" s="528">
        <f t="array" ref="G705">SUM(IF(CertFund&amp;CertProg&amp;CertObj=RIGHT(LEFT($A$2,7),2)&amp;LEFT(A704,4)&amp;B705,CertSalary))</f>
        <v>0</v>
      </c>
      <c r="H705" s="527">
        <v>0</v>
      </c>
      <c r="I705" s="566">
        <f>SUM(G705+H705)</f>
        <v>0</v>
      </c>
    </row>
    <row r="706" spans="1:9" x14ac:dyDescent="0.15">
      <c r="A706" s="434"/>
      <c r="B706" s="523" t="s">
        <v>1577</v>
      </c>
      <c r="C706" s="524" t="s">
        <v>510</v>
      </c>
      <c r="D706" s="316">
        <v>0</v>
      </c>
      <c r="E706" s="316">
        <v>0</v>
      </c>
      <c r="F706" s="316">
        <v>0</v>
      </c>
      <c r="G706" s="316">
        <v>0</v>
      </c>
      <c r="H706" s="527">
        <v>0</v>
      </c>
      <c r="I706" s="566">
        <f>SUM(G706+H706)</f>
        <v>0</v>
      </c>
    </row>
    <row r="707" spans="1:9" x14ac:dyDescent="0.15">
      <c r="A707" s="524"/>
      <c r="B707" s="523" t="s">
        <v>1578</v>
      </c>
      <c r="C707" s="524" t="s">
        <v>936</v>
      </c>
      <c r="D707" s="316">
        <v>0</v>
      </c>
      <c r="E707" s="316">
        <v>0</v>
      </c>
      <c r="F707" s="316">
        <v>0</v>
      </c>
      <c r="G707" s="529">
        <f t="array" ref="G707">SUM(IF(CertFund&amp;CertProg&amp;CertObj=RIGHT(LEFT($A$2,7),2)&amp;LEFT(A704,4)&amp;B705,CertBen))</f>
        <v>0</v>
      </c>
      <c r="H707" s="527">
        <v>0</v>
      </c>
      <c r="I707" s="566">
        <f>SUM(G707+H707)</f>
        <v>0</v>
      </c>
    </row>
    <row r="708" spans="1:9" x14ac:dyDescent="0.15">
      <c r="A708" s="138"/>
      <c r="B708" s="521" t="s">
        <v>1578</v>
      </c>
      <c r="C708" s="138" t="s">
        <v>511</v>
      </c>
      <c r="D708" s="147">
        <v>0</v>
      </c>
      <c r="E708" s="147">
        <v>0</v>
      </c>
      <c r="F708" s="147">
        <v>0</v>
      </c>
      <c r="G708" s="147">
        <v>0</v>
      </c>
      <c r="H708" s="150">
        <v>0</v>
      </c>
      <c r="I708" s="567">
        <f>SUM(G708+H708)</f>
        <v>0</v>
      </c>
    </row>
    <row r="709" spans="1:9" x14ac:dyDescent="0.15">
      <c r="A709" s="138"/>
      <c r="B709" s="523" t="s">
        <v>1579</v>
      </c>
      <c r="C709" s="524" t="s">
        <v>118</v>
      </c>
      <c r="D709" s="144">
        <v>0</v>
      </c>
      <c r="E709" s="144">
        <v>0</v>
      </c>
      <c r="F709" s="144">
        <v>0</v>
      </c>
      <c r="G709" s="291">
        <v>0</v>
      </c>
      <c r="H709" s="150">
        <v>0</v>
      </c>
      <c r="I709" s="567">
        <f t="shared" ref="I709:I739" si="19">SUM(G709+H709)</f>
        <v>0</v>
      </c>
    </row>
    <row r="710" spans="1:9" x14ac:dyDescent="0.15">
      <c r="A710" s="138"/>
      <c r="B710" s="523" t="s">
        <v>1580</v>
      </c>
      <c r="C710" s="524" t="s">
        <v>119</v>
      </c>
      <c r="D710" s="144">
        <v>0</v>
      </c>
      <c r="E710" s="144">
        <v>0</v>
      </c>
      <c r="F710" s="144">
        <v>0</v>
      </c>
      <c r="G710" s="291">
        <v>0</v>
      </c>
      <c r="H710" s="150">
        <v>0</v>
      </c>
      <c r="I710" s="567">
        <f t="shared" si="19"/>
        <v>0</v>
      </c>
    </row>
    <row r="711" spans="1:9" x14ac:dyDescent="0.15">
      <c r="A711" s="138"/>
      <c r="B711" s="523" t="s">
        <v>120</v>
      </c>
      <c r="C711" s="524" t="s">
        <v>121</v>
      </c>
      <c r="D711" s="144">
        <v>0</v>
      </c>
      <c r="E711" s="144">
        <v>0</v>
      </c>
      <c r="F711" s="144">
        <v>0</v>
      </c>
      <c r="G711" s="291">
        <v>0</v>
      </c>
      <c r="H711" s="150">
        <v>0</v>
      </c>
      <c r="I711" s="567">
        <f t="shared" si="19"/>
        <v>0</v>
      </c>
    </row>
    <row r="712" spans="1:9" x14ac:dyDescent="0.15">
      <c r="A712" s="138"/>
      <c r="B712" s="523" t="s">
        <v>122</v>
      </c>
      <c r="C712" s="524" t="s">
        <v>123</v>
      </c>
      <c r="D712" s="144">
        <v>0</v>
      </c>
      <c r="E712" s="144">
        <v>0</v>
      </c>
      <c r="F712" s="144">
        <v>0</v>
      </c>
      <c r="G712" s="291">
        <v>0</v>
      </c>
      <c r="H712" s="150">
        <v>0</v>
      </c>
      <c r="I712" s="567">
        <f t="shared" si="19"/>
        <v>0</v>
      </c>
    </row>
    <row r="713" spans="1:9" x14ac:dyDescent="0.15">
      <c r="A713" s="138"/>
      <c r="B713" s="523" t="s">
        <v>1581</v>
      </c>
      <c r="C713" s="524" t="s">
        <v>124</v>
      </c>
      <c r="D713" s="144">
        <v>0</v>
      </c>
      <c r="E713" s="144">
        <v>0</v>
      </c>
      <c r="F713" s="144">
        <v>0</v>
      </c>
      <c r="G713" s="291">
        <v>0</v>
      </c>
      <c r="H713" s="150">
        <v>0</v>
      </c>
      <c r="I713" s="567">
        <f t="shared" si="19"/>
        <v>0</v>
      </c>
    </row>
    <row r="714" spans="1:9" x14ac:dyDescent="0.15">
      <c r="A714" s="138"/>
      <c r="B714" s="523" t="s">
        <v>127</v>
      </c>
      <c r="C714" s="524" t="s">
        <v>134</v>
      </c>
      <c r="D714" s="144">
        <v>0</v>
      </c>
      <c r="E714" s="144">
        <v>0</v>
      </c>
      <c r="F714" s="144">
        <v>0</v>
      </c>
      <c r="G714" s="291">
        <v>0</v>
      </c>
      <c r="H714" s="150">
        <v>0</v>
      </c>
      <c r="I714" s="567">
        <f t="shared" si="19"/>
        <v>0</v>
      </c>
    </row>
    <row r="715" spans="1:9" x14ac:dyDescent="0.15">
      <c r="A715" s="138"/>
      <c r="B715" s="523" t="s">
        <v>128</v>
      </c>
      <c r="C715" s="524" t="s">
        <v>135</v>
      </c>
      <c r="D715" s="144">
        <v>0</v>
      </c>
      <c r="E715" s="144">
        <v>0</v>
      </c>
      <c r="F715" s="144">
        <v>0</v>
      </c>
      <c r="G715" s="291">
        <v>0</v>
      </c>
      <c r="H715" s="150">
        <v>0</v>
      </c>
      <c r="I715" s="567">
        <f t="shared" si="19"/>
        <v>0</v>
      </c>
    </row>
    <row r="716" spans="1:9" x14ac:dyDescent="0.15">
      <c r="A716" s="138"/>
      <c r="B716" s="523" t="s">
        <v>132</v>
      </c>
      <c r="C716" s="524" t="s">
        <v>1617</v>
      </c>
      <c r="D716" s="144">
        <v>0</v>
      </c>
      <c r="E716" s="144">
        <v>0</v>
      </c>
      <c r="F716" s="144">
        <v>0</v>
      </c>
      <c r="G716" s="291">
        <v>0</v>
      </c>
      <c r="H716" s="150">
        <v>0</v>
      </c>
      <c r="I716" s="567">
        <f t="shared" si="19"/>
        <v>0</v>
      </c>
    </row>
    <row r="717" spans="1:9" x14ac:dyDescent="0.15">
      <c r="A717" s="138"/>
      <c r="B717" s="523" t="s">
        <v>1618</v>
      </c>
      <c r="C717" s="524" t="s">
        <v>836</v>
      </c>
      <c r="D717" s="144">
        <v>0</v>
      </c>
      <c r="E717" s="144">
        <v>0</v>
      </c>
      <c r="F717" s="144">
        <v>0</v>
      </c>
      <c r="G717" s="291">
        <v>0</v>
      </c>
      <c r="H717" s="150">
        <v>0</v>
      </c>
      <c r="I717" s="567">
        <f t="shared" si="19"/>
        <v>0</v>
      </c>
    </row>
    <row r="718" spans="1:9" x14ac:dyDescent="0.15">
      <c r="A718" s="138"/>
      <c r="B718" s="523" t="s">
        <v>1619</v>
      </c>
      <c r="C718" s="524" t="s">
        <v>837</v>
      </c>
      <c r="D718" s="144">
        <v>0</v>
      </c>
      <c r="E718" s="144">
        <v>0</v>
      </c>
      <c r="F718" s="144">
        <v>0</v>
      </c>
      <c r="G718" s="291">
        <v>0</v>
      </c>
      <c r="H718" s="150">
        <v>0</v>
      </c>
      <c r="I718" s="567">
        <f t="shared" si="19"/>
        <v>0</v>
      </c>
    </row>
    <row r="719" spans="1:9" x14ac:dyDescent="0.15">
      <c r="A719" s="138"/>
      <c r="B719" s="523" t="s">
        <v>1620</v>
      </c>
      <c r="C719" s="524" t="s">
        <v>838</v>
      </c>
      <c r="D719" s="144">
        <v>0</v>
      </c>
      <c r="E719" s="144">
        <v>0</v>
      </c>
      <c r="F719" s="144">
        <v>0</v>
      </c>
      <c r="G719" s="291">
        <v>0</v>
      </c>
      <c r="H719" s="150">
        <v>0</v>
      </c>
      <c r="I719" s="567">
        <f t="shared" si="19"/>
        <v>0</v>
      </c>
    </row>
    <row r="720" spans="1:9" x14ac:dyDescent="0.15">
      <c r="A720" s="138"/>
      <c r="B720" s="523" t="s">
        <v>1621</v>
      </c>
      <c r="C720" s="524" t="s">
        <v>839</v>
      </c>
      <c r="D720" s="144">
        <v>0</v>
      </c>
      <c r="E720" s="144">
        <v>0</v>
      </c>
      <c r="F720" s="144">
        <v>0</v>
      </c>
      <c r="G720" s="291">
        <v>0</v>
      </c>
      <c r="H720" s="150">
        <v>0</v>
      </c>
      <c r="I720" s="567">
        <f t="shared" si="19"/>
        <v>0</v>
      </c>
    </row>
    <row r="721" spans="1:9" x14ac:dyDescent="0.15">
      <c r="A721" s="138"/>
      <c r="B721" s="523" t="s">
        <v>1622</v>
      </c>
      <c r="C721" s="524" t="s">
        <v>190</v>
      </c>
      <c r="D721" s="144">
        <v>0</v>
      </c>
      <c r="E721" s="144">
        <v>0</v>
      </c>
      <c r="F721" s="144">
        <v>0</v>
      </c>
      <c r="G721" s="291">
        <v>0</v>
      </c>
      <c r="H721" s="150">
        <v>0</v>
      </c>
      <c r="I721" s="567">
        <f t="shared" si="19"/>
        <v>0</v>
      </c>
    </row>
    <row r="722" spans="1:9" x14ac:dyDescent="0.15">
      <c r="A722" s="138"/>
      <c r="B722" s="523" t="s">
        <v>1623</v>
      </c>
      <c r="C722" s="524" t="s">
        <v>191</v>
      </c>
      <c r="D722" s="144">
        <v>0</v>
      </c>
      <c r="E722" s="144">
        <v>0</v>
      </c>
      <c r="F722" s="144">
        <v>0</v>
      </c>
      <c r="G722" s="291">
        <v>0</v>
      </c>
      <c r="H722" s="150">
        <v>0</v>
      </c>
      <c r="I722" s="567">
        <f t="shared" si="19"/>
        <v>0</v>
      </c>
    </row>
    <row r="723" spans="1:9" x14ac:dyDescent="0.15">
      <c r="A723" s="138"/>
      <c r="B723" s="523" t="s">
        <v>1624</v>
      </c>
      <c r="C723" s="524" t="s">
        <v>840</v>
      </c>
      <c r="D723" s="144">
        <v>0</v>
      </c>
      <c r="E723" s="144">
        <v>0</v>
      </c>
      <c r="F723" s="144">
        <v>0</v>
      </c>
      <c r="G723" s="291">
        <v>0</v>
      </c>
      <c r="H723" s="150">
        <v>0</v>
      </c>
      <c r="I723" s="567">
        <f t="shared" si="19"/>
        <v>0</v>
      </c>
    </row>
    <row r="724" spans="1:9" x14ac:dyDescent="0.15">
      <c r="A724" s="138"/>
      <c r="B724" s="523" t="s">
        <v>1625</v>
      </c>
      <c r="C724" s="524" t="s">
        <v>842</v>
      </c>
      <c r="D724" s="144">
        <v>0</v>
      </c>
      <c r="E724" s="144">
        <v>0</v>
      </c>
      <c r="F724" s="144">
        <v>0</v>
      </c>
      <c r="G724" s="291">
        <v>0</v>
      </c>
      <c r="H724" s="150">
        <v>0</v>
      </c>
      <c r="I724" s="567">
        <f t="shared" si="19"/>
        <v>0</v>
      </c>
    </row>
    <row r="725" spans="1:9" x14ac:dyDescent="0.15">
      <c r="A725" s="138"/>
      <c r="B725" s="523" t="s">
        <v>843</v>
      </c>
      <c r="C725" s="524" t="s">
        <v>848</v>
      </c>
      <c r="D725" s="144">
        <v>0</v>
      </c>
      <c r="E725" s="144">
        <v>0</v>
      </c>
      <c r="F725" s="144">
        <v>0</v>
      </c>
      <c r="G725" s="291">
        <v>0</v>
      </c>
      <c r="H725" s="150">
        <v>0</v>
      </c>
      <c r="I725" s="567">
        <f t="shared" si="19"/>
        <v>0</v>
      </c>
    </row>
    <row r="726" spans="1:9" x14ac:dyDescent="0.15">
      <c r="A726" s="138"/>
      <c r="B726" s="523" t="s">
        <v>844</v>
      </c>
      <c r="C726" s="524" t="s">
        <v>153</v>
      </c>
      <c r="D726" s="144">
        <v>0</v>
      </c>
      <c r="E726" s="144">
        <v>0</v>
      </c>
      <c r="F726" s="144">
        <v>0</v>
      </c>
      <c r="G726" s="291">
        <v>0</v>
      </c>
      <c r="H726" s="150">
        <v>0</v>
      </c>
      <c r="I726" s="567">
        <f t="shared" si="19"/>
        <v>0</v>
      </c>
    </row>
    <row r="727" spans="1:9" x14ac:dyDescent="0.15">
      <c r="A727" s="138"/>
      <c r="B727" s="523" t="s">
        <v>845</v>
      </c>
      <c r="C727" s="524" t="s">
        <v>154</v>
      </c>
      <c r="D727" s="144">
        <v>0</v>
      </c>
      <c r="E727" s="144">
        <v>0</v>
      </c>
      <c r="F727" s="144">
        <v>0</v>
      </c>
      <c r="G727" s="291">
        <v>0</v>
      </c>
      <c r="H727" s="150">
        <v>0</v>
      </c>
      <c r="I727" s="567">
        <f t="shared" si="19"/>
        <v>0</v>
      </c>
    </row>
    <row r="728" spans="1:9" x14ac:dyDescent="0.15">
      <c r="A728" s="138"/>
      <c r="B728" s="523" t="s">
        <v>846</v>
      </c>
      <c r="C728" s="524" t="s">
        <v>155</v>
      </c>
      <c r="D728" s="144">
        <v>0</v>
      </c>
      <c r="E728" s="144">
        <v>0</v>
      </c>
      <c r="F728" s="144">
        <v>0</v>
      </c>
      <c r="G728" s="291">
        <v>0</v>
      </c>
      <c r="H728" s="150">
        <v>0</v>
      </c>
      <c r="I728" s="567">
        <f t="shared" si="19"/>
        <v>0</v>
      </c>
    </row>
    <row r="729" spans="1:9" x14ac:dyDescent="0.15">
      <c r="A729" s="138"/>
      <c r="B729" s="523" t="s">
        <v>1582</v>
      </c>
      <c r="C729" s="524" t="s">
        <v>156</v>
      </c>
      <c r="D729" s="144">
        <v>0</v>
      </c>
      <c r="E729" s="144">
        <v>0</v>
      </c>
      <c r="F729" s="144">
        <v>0</v>
      </c>
      <c r="G729" s="291">
        <v>0</v>
      </c>
      <c r="H729" s="150">
        <v>0</v>
      </c>
      <c r="I729" s="567">
        <f t="shared" si="19"/>
        <v>0</v>
      </c>
    </row>
    <row r="730" spans="1:9" x14ac:dyDescent="0.15">
      <c r="A730" s="138"/>
      <c r="B730" s="523" t="s">
        <v>847</v>
      </c>
      <c r="C730" s="524" t="s">
        <v>157</v>
      </c>
      <c r="D730" s="144">
        <v>0</v>
      </c>
      <c r="E730" s="144">
        <v>0</v>
      </c>
      <c r="F730" s="144">
        <v>0</v>
      </c>
      <c r="G730" s="291">
        <v>0</v>
      </c>
      <c r="H730" s="150">
        <v>0</v>
      </c>
      <c r="I730" s="567">
        <f t="shared" si="19"/>
        <v>0</v>
      </c>
    </row>
    <row r="731" spans="1:9" x14ac:dyDescent="0.15">
      <c r="A731" s="138"/>
      <c r="B731" s="523" t="s">
        <v>1583</v>
      </c>
      <c r="C731" s="524" t="s">
        <v>160</v>
      </c>
      <c r="D731" s="144">
        <v>0</v>
      </c>
      <c r="E731" s="144">
        <v>0</v>
      </c>
      <c r="F731" s="144">
        <v>0</v>
      </c>
      <c r="G731" s="291">
        <v>0</v>
      </c>
      <c r="H731" s="150">
        <v>0</v>
      </c>
      <c r="I731" s="567">
        <f t="shared" si="19"/>
        <v>0</v>
      </c>
    </row>
    <row r="732" spans="1:9" x14ac:dyDescent="0.15">
      <c r="A732" s="138"/>
      <c r="B732" s="523" t="s">
        <v>634</v>
      </c>
      <c r="C732" s="524" t="s">
        <v>165</v>
      </c>
      <c r="D732" s="144">
        <v>0</v>
      </c>
      <c r="E732" s="144">
        <v>0</v>
      </c>
      <c r="F732" s="144">
        <v>0</v>
      </c>
      <c r="G732" s="291">
        <v>0</v>
      </c>
      <c r="H732" s="150">
        <v>0</v>
      </c>
      <c r="I732" s="567">
        <f t="shared" si="19"/>
        <v>0</v>
      </c>
    </row>
    <row r="733" spans="1:9" x14ac:dyDescent="0.15">
      <c r="A733" s="138"/>
      <c r="B733" s="523" t="s">
        <v>630</v>
      </c>
      <c r="C733" s="524" t="s">
        <v>172</v>
      </c>
      <c r="D733" s="144">
        <v>0</v>
      </c>
      <c r="E733" s="144">
        <v>0</v>
      </c>
      <c r="F733" s="144">
        <v>0</v>
      </c>
      <c r="G733" s="291">
        <v>0</v>
      </c>
      <c r="H733" s="150">
        <v>0</v>
      </c>
      <c r="I733" s="567">
        <f t="shared" si="19"/>
        <v>0</v>
      </c>
    </row>
    <row r="734" spans="1:9" x14ac:dyDescent="0.15">
      <c r="A734" s="138"/>
      <c r="B734" s="650" t="s">
        <v>631</v>
      </c>
      <c r="C734" s="651" t="s">
        <v>173</v>
      </c>
      <c r="D734" s="144">
        <v>0</v>
      </c>
      <c r="E734" s="144">
        <v>0</v>
      </c>
      <c r="F734" s="144">
        <v>0</v>
      </c>
      <c r="G734" s="291">
        <v>0</v>
      </c>
      <c r="H734" s="150">
        <v>0</v>
      </c>
      <c r="I734" s="567">
        <f t="shared" si="19"/>
        <v>0</v>
      </c>
    </row>
    <row r="735" spans="1:9" x14ac:dyDescent="0.15">
      <c r="A735" s="138"/>
      <c r="B735" s="523" t="s">
        <v>1584</v>
      </c>
      <c r="C735" s="524" t="s">
        <v>178</v>
      </c>
      <c r="D735" s="144">
        <v>0</v>
      </c>
      <c r="E735" s="144">
        <v>0</v>
      </c>
      <c r="F735" s="144">
        <v>0</v>
      </c>
      <c r="G735" s="291">
        <v>0</v>
      </c>
      <c r="H735" s="150">
        <v>0</v>
      </c>
      <c r="I735" s="567">
        <f t="shared" si="19"/>
        <v>0</v>
      </c>
    </row>
    <row r="736" spans="1:9" x14ac:dyDescent="0.15">
      <c r="A736" s="138"/>
      <c r="B736" s="523" t="s">
        <v>174</v>
      </c>
      <c r="C736" s="524" t="s">
        <v>179</v>
      </c>
      <c r="D736" s="144">
        <v>0</v>
      </c>
      <c r="E736" s="144">
        <v>0</v>
      </c>
      <c r="F736" s="144">
        <v>0</v>
      </c>
      <c r="G736" s="291">
        <v>0</v>
      </c>
      <c r="H736" s="150">
        <v>0</v>
      </c>
      <c r="I736" s="567">
        <f t="shared" si="19"/>
        <v>0</v>
      </c>
    </row>
    <row r="737" spans="1:9" x14ac:dyDescent="0.15">
      <c r="A737" s="138"/>
      <c r="B737" s="523" t="s">
        <v>175</v>
      </c>
      <c r="C737" s="524" t="s">
        <v>180</v>
      </c>
      <c r="D737" s="144">
        <v>0</v>
      </c>
      <c r="E737" s="144">
        <v>0</v>
      </c>
      <c r="F737" s="144">
        <v>0</v>
      </c>
      <c r="G737" s="291">
        <v>0</v>
      </c>
      <c r="H737" s="150">
        <v>0</v>
      </c>
      <c r="I737" s="567">
        <f t="shared" si="19"/>
        <v>0</v>
      </c>
    </row>
    <row r="738" spans="1:9" ht="11.25" thickBot="1" x14ac:dyDescent="0.2">
      <c r="A738" s="138"/>
      <c r="B738" s="523" t="s">
        <v>176</v>
      </c>
      <c r="C738" s="524" t="s">
        <v>181</v>
      </c>
      <c r="D738" s="144">
        <v>0</v>
      </c>
      <c r="E738" s="144">
        <v>0</v>
      </c>
      <c r="F738" s="144">
        <v>0</v>
      </c>
      <c r="G738" s="291">
        <v>0</v>
      </c>
      <c r="H738" s="150">
        <v>0</v>
      </c>
      <c r="I738" s="567">
        <f t="shared" si="19"/>
        <v>0</v>
      </c>
    </row>
    <row r="739" spans="1:9" ht="12" thickTop="1" thickBot="1" x14ac:dyDescent="0.2">
      <c r="A739" s="138"/>
      <c r="B739" s="523"/>
      <c r="C739" s="524" t="s">
        <v>373</v>
      </c>
      <c r="D739" s="169">
        <f>SUM(D705:D738)</f>
        <v>0</v>
      </c>
      <c r="E739" s="169">
        <f>SUM(E705:E738)</f>
        <v>0</v>
      </c>
      <c r="F739" s="169">
        <f>SUM(F705:F738)</f>
        <v>0</v>
      </c>
      <c r="G739" s="169">
        <f>SUM(G705:G738)</f>
        <v>0</v>
      </c>
      <c r="H739" s="169">
        <f>SUM(H705:H738)</f>
        <v>0</v>
      </c>
      <c r="I739" s="169">
        <f t="shared" si="19"/>
        <v>0</v>
      </c>
    </row>
    <row r="740" spans="1:9" ht="11.25" thickTop="1" x14ac:dyDescent="0.15">
      <c r="A740" s="138"/>
      <c r="B740" s="524"/>
      <c r="C740" s="524"/>
      <c r="D740" s="14"/>
      <c r="E740" s="14"/>
      <c r="F740" s="14"/>
      <c r="G740" s="14"/>
      <c r="H740" s="14"/>
      <c r="I740" s="563"/>
    </row>
    <row r="741" spans="1:9" x14ac:dyDescent="0.15">
      <c r="A741" s="522" t="s">
        <v>374</v>
      </c>
      <c r="B741" s="524"/>
      <c r="C741" s="524"/>
      <c r="D741" s="14"/>
      <c r="E741" s="14"/>
      <c r="F741" s="14"/>
      <c r="G741" s="14"/>
      <c r="H741" s="14"/>
      <c r="I741" s="563"/>
    </row>
    <row r="742" spans="1:9" x14ac:dyDescent="0.15">
      <c r="A742" s="434"/>
      <c r="B742" s="523" t="s">
        <v>1577</v>
      </c>
      <c r="C742" s="524" t="s">
        <v>228</v>
      </c>
      <c r="D742" s="316">
        <v>0</v>
      </c>
      <c r="E742" s="316">
        <v>0</v>
      </c>
      <c r="F742" s="316">
        <v>0</v>
      </c>
      <c r="G742" s="528">
        <f t="array" ref="G742">SUM(IF(CertFund&amp;CertProg&amp;CertObj=RIGHT(LEFT($A$2,7),2)&amp;LEFT(A741,4)&amp;B742,CertSalary))</f>
        <v>0</v>
      </c>
      <c r="H742" s="527">
        <v>0</v>
      </c>
      <c r="I742" s="566">
        <f>SUM(G742+H742)</f>
        <v>0</v>
      </c>
    </row>
    <row r="743" spans="1:9" x14ac:dyDescent="0.15">
      <c r="A743" s="434"/>
      <c r="B743" s="523" t="s">
        <v>1577</v>
      </c>
      <c r="C743" s="524" t="s">
        <v>510</v>
      </c>
      <c r="D743" s="316">
        <v>0</v>
      </c>
      <c r="E743" s="316">
        <v>0</v>
      </c>
      <c r="F743" s="316">
        <v>0</v>
      </c>
      <c r="G743" s="316">
        <v>0</v>
      </c>
      <c r="H743" s="527">
        <v>0</v>
      </c>
      <c r="I743" s="566">
        <f>SUM(G743+H743)</f>
        <v>0</v>
      </c>
    </row>
    <row r="744" spans="1:9" x14ac:dyDescent="0.15">
      <c r="A744" s="524"/>
      <c r="B744" s="523" t="s">
        <v>1578</v>
      </c>
      <c r="C744" s="524" t="s">
        <v>936</v>
      </c>
      <c r="D744" s="316">
        <v>0</v>
      </c>
      <c r="E744" s="316">
        <v>0</v>
      </c>
      <c r="F744" s="316">
        <v>0</v>
      </c>
      <c r="G744" s="529">
        <f t="array" ref="G744">SUM(IF(CertFund&amp;CertProg&amp;CertObj=RIGHT(LEFT($A$2,7),2)&amp;LEFT(A741,4)&amp;B742,CertBen))</f>
        <v>0</v>
      </c>
      <c r="H744" s="527">
        <v>0</v>
      </c>
      <c r="I744" s="566">
        <f>SUM(G744+H744)</f>
        <v>0</v>
      </c>
    </row>
    <row r="745" spans="1:9" x14ac:dyDescent="0.15">
      <c r="A745" s="138"/>
      <c r="B745" s="521" t="s">
        <v>1578</v>
      </c>
      <c r="C745" s="138" t="s">
        <v>511</v>
      </c>
      <c r="D745" s="147">
        <v>0</v>
      </c>
      <c r="E745" s="147">
        <v>0</v>
      </c>
      <c r="F745" s="147">
        <v>0</v>
      </c>
      <c r="G745" s="147">
        <v>0</v>
      </c>
      <c r="H745" s="150">
        <v>0</v>
      </c>
      <c r="I745" s="567">
        <f>SUM(G745+H745)</f>
        <v>0</v>
      </c>
    </row>
    <row r="746" spans="1:9" x14ac:dyDescent="0.15">
      <c r="A746" s="138"/>
      <c r="B746" s="523" t="s">
        <v>1579</v>
      </c>
      <c r="C746" s="524" t="s">
        <v>118</v>
      </c>
      <c r="D746" s="144">
        <v>0</v>
      </c>
      <c r="E746" s="144">
        <v>0</v>
      </c>
      <c r="F746" s="144">
        <v>0</v>
      </c>
      <c r="G746" s="144">
        <v>0</v>
      </c>
      <c r="H746" s="150">
        <v>0</v>
      </c>
      <c r="I746" s="567">
        <f t="shared" ref="I746:I776" si="20">SUM(G746+H746)</f>
        <v>0</v>
      </c>
    </row>
    <row r="747" spans="1:9" x14ac:dyDescent="0.15">
      <c r="A747" s="138"/>
      <c r="B747" s="523" t="s">
        <v>1580</v>
      </c>
      <c r="C747" s="524" t="s">
        <v>119</v>
      </c>
      <c r="D747" s="144">
        <v>0</v>
      </c>
      <c r="E747" s="144">
        <v>0</v>
      </c>
      <c r="F747" s="144">
        <v>0</v>
      </c>
      <c r="G747" s="144">
        <v>0</v>
      </c>
      <c r="H747" s="150">
        <v>0</v>
      </c>
      <c r="I747" s="567">
        <f t="shared" si="20"/>
        <v>0</v>
      </c>
    </row>
    <row r="748" spans="1:9" x14ac:dyDescent="0.15">
      <c r="A748" s="138"/>
      <c r="B748" s="523" t="s">
        <v>120</v>
      </c>
      <c r="C748" s="524" t="s">
        <v>121</v>
      </c>
      <c r="D748" s="144">
        <v>0</v>
      </c>
      <c r="E748" s="144">
        <v>0</v>
      </c>
      <c r="F748" s="144">
        <v>0</v>
      </c>
      <c r="G748" s="144">
        <v>0</v>
      </c>
      <c r="H748" s="150">
        <v>0</v>
      </c>
      <c r="I748" s="567">
        <f t="shared" si="20"/>
        <v>0</v>
      </c>
    </row>
    <row r="749" spans="1:9" x14ac:dyDescent="0.15">
      <c r="A749" s="138"/>
      <c r="B749" s="523" t="s">
        <v>122</v>
      </c>
      <c r="C749" s="524" t="s">
        <v>123</v>
      </c>
      <c r="D749" s="144">
        <v>0</v>
      </c>
      <c r="E749" s="144">
        <v>0</v>
      </c>
      <c r="F749" s="144">
        <v>0</v>
      </c>
      <c r="G749" s="144">
        <v>0</v>
      </c>
      <c r="H749" s="150">
        <v>0</v>
      </c>
      <c r="I749" s="567">
        <f t="shared" si="20"/>
        <v>0</v>
      </c>
    </row>
    <row r="750" spans="1:9" x14ac:dyDescent="0.15">
      <c r="A750" s="138"/>
      <c r="B750" s="523" t="s">
        <v>1581</v>
      </c>
      <c r="C750" s="524" t="s">
        <v>124</v>
      </c>
      <c r="D750" s="144">
        <v>0</v>
      </c>
      <c r="E750" s="144">
        <v>0</v>
      </c>
      <c r="F750" s="144">
        <v>0</v>
      </c>
      <c r="G750" s="144">
        <v>0</v>
      </c>
      <c r="H750" s="150">
        <v>0</v>
      </c>
      <c r="I750" s="567">
        <f t="shared" si="20"/>
        <v>0</v>
      </c>
    </row>
    <row r="751" spans="1:9" x14ac:dyDescent="0.15">
      <c r="A751" s="138"/>
      <c r="B751" s="523" t="s">
        <v>127</v>
      </c>
      <c r="C751" s="524" t="s">
        <v>134</v>
      </c>
      <c r="D751" s="144">
        <v>0</v>
      </c>
      <c r="E751" s="144">
        <v>0</v>
      </c>
      <c r="F751" s="144">
        <v>0</v>
      </c>
      <c r="G751" s="144">
        <v>0</v>
      </c>
      <c r="H751" s="150">
        <v>0</v>
      </c>
      <c r="I751" s="567">
        <f t="shared" si="20"/>
        <v>0</v>
      </c>
    </row>
    <row r="752" spans="1:9" x14ac:dyDescent="0.15">
      <c r="A752" s="138"/>
      <c r="B752" s="523" t="s">
        <v>128</v>
      </c>
      <c r="C752" s="524" t="s">
        <v>135</v>
      </c>
      <c r="D752" s="144">
        <v>0</v>
      </c>
      <c r="E752" s="144">
        <v>0</v>
      </c>
      <c r="F752" s="144">
        <v>0</v>
      </c>
      <c r="G752" s="144">
        <v>0</v>
      </c>
      <c r="H752" s="150">
        <v>0</v>
      </c>
      <c r="I752" s="567">
        <f t="shared" si="20"/>
        <v>0</v>
      </c>
    </row>
    <row r="753" spans="1:9" x14ac:dyDescent="0.15">
      <c r="A753" s="138"/>
      <c r="B753" s="523" t="s">
        <v>132</v>
      </c>
      <c r="C753" s="524" t="s">
        <v>1617</v>
      </c>
      <c r="D753" s="144">
        <v>0</v>
      </c>
      <c r="E753" s="144">
        <v>0</v>
      </c>
      <c r="F753" s="144">
        <v>0</v>
      </c>
      <c r="G753" s="144">
        <v>0</v>
      </c>
      <c r="H753" s="150">
        <v>0</v>
      </c>
      <c r="I753" s="567">
        <f t="shared" si="20"/>
        <v>0</v>
      </c>
    </row>
    <row r="754" spans="1:9" x14ac:dyDescent="0.15">
      <c r="A754" s="138"/>
      <c r="B754" s="523" t="s">
        <v>1618</v>
      </c>
      <c r="C754" s="524" t="s">
        <v>836</v>
      </c>
      <c r="D754" s="144">
        <v>0</v>
      </c>
      <c r="E754" s="144">
        <v>0</v>
      </c>
      <c r="F754" s="144">
        <v>0</v>
      </c>
      <c r="G754" s="144">
        <v>0</v>
      </c>
      <c r="H754" s="150">
        <v>0</v>
      </c>
      <c r="I754" s="567">
        <f t="shared" si="20"/>
        <v>0</v>
      </c>
    </row>
    <row r="755" spans="1:9" x14ac:dyDescent="0.15">
      <c r="A755" s="138"/>
      <c r="B755" s="523" t="s">
        <v>1619</v>
      </c>
      <c r="C755" s="524" t="s">
        <v>837</v>
      </c>
      <c r="D755" s="144">
        <v>0</v>
      </c>
      <c r="E755" s="144">
        <v>0</v>
      </c>
      <c r="F755" s="144">
        <v>0</v>
      </c>
      <c r="G755" s="144">
        <v>0</v>
      </c>
      <c r="H755" s="150">
        <v>0</v>
      </c>
      <c r="I755" s="567">
        <f t="shared" si="20"/>
        <v>0</v>
      </c>
    </row>
    <row r="756" spans="1:9" x14ac:dyDescent="0.15">
      <c r="A756" s="138"/>
      <c r="B756" s="523" t="s">
        <v>1620</v>
      </c>
      <c r="C756" s="524" t="s">
        <v>838</v>
      </c>
      <c r="D756" s="144">
        <v>0</v>
      </c>
      <c r="E756" s="144">
        <v>0</v>
      </c>
      <c r="F756" s="144">
        <v>0</v>
      </c>
      <c r="G756" s="144">
        <v>0</v>
      </c>
      <c r="H756" s="150">
        <v>0</v>
      </c>
      <c r="I756" s="567">
        <f t="shared" si="20"/>
        <v>0</v>
      </c>
    </row>
    <row r="757" spans="1:9" x14ac:dyDescent="0.15">
      <c r="A757" s="138"/>
      <c r="B757" s="523" t="s">
        <v>1621</v>
      </c>
      <c r="C757" s="524" t="s">
        <v>839</v>
      </c>
      <c r="D757" s="144">
        <v>0</v>
      </c>
      <c r="E757" s="144">
        <v>0</v>
      </c>
      <c r="F757" s="144">
        <v>0</v>
      </c>
      <c r="G757" s="144">
        <v>0</v>
      </c>
      <c r="H757" s="150">
        <v>0</v>
      </c>
      <c r="I757" s="567">
        <f t="shared" si="20"/>
        <v>0</v>
      </c>
    </row>
    <row r="758" spans="1:9" x14ac:dyDescent="0.15">
      <c r="A758" s="138"/>
      <c r="B758" s="523" t="s">
        <v>1622</v>
      </c>
      <c r="C758" s="524" t="s">
        <v>190</v>
      </c>
      <c r="D758" s="144">
        <v>0</v>
      </c>
      <c r="E758" s="144">
        <v>0</v>
      </c>
      <c r="F758" s="144">
        <v>0</v>
      </c>
      <c r="G758" s="144">
        <v>0</v>
      </c>
      <c r="H758" s="150">
        <v>0</v>
      </c>
      <c r="I758" s="567">
        <f t="shared" si="20"/>
        <v>0</v>
      </c>
    </row>
    <row r="759" spans="1:9" x14ac:dyDescent="0.15">
      <c r="A759" s="138"/>
      <c r="B759" s="523" t="s">
        <v>1623</v>
      </c>
      <c r="C759" s="524" t="s">
        <v>191</v>
      </c>
      <c r="D759" s="144">
        <v>0</v>
      </c>
      <c r="E759" s="144">
        <v>0</v>
      </c>
      <c r="F759" s="144">
        <v>0</v>
      </c>
      <c r="G759" s="144">
        <v>0</v>
      </c>
      <c r="H759" s="150">
        <v>0</v>
      </c>
      <c r="I759" s="567">
        <f t="shared" si="20"/>
        <v>0</v>
      </c>
    </row>
    <row r="760" spans="1:9" x14ac:dyDescent="0.15">
      <c r="A760" s="138"/>
      <c r="B760" s="523" t="s">
        <v>1624</v>
      </c>
      <c r="C760" s="524" t="s">
        <v>840</v>
      </c>
      <c r="D760" s="144">
        <v>0</v>
      </c>
      <c r="E760" s="144">
        <v>0</v>
      </c>
      <c r="F760" s="144">
        <v>0</v>
      </c>
      <c r="G760" s="144">
        <v>0</v>
      </c>
      <c r="H760" s="150">
        <v>0</v>
      </c>
      <c r="I760" s="567">
        <f t="shared" si="20"/>
        <v>0</v>
      </c>
    </row>
    <row r="761" spans="1:9" x14ac:dyDescent="0.15">
      <c r="A761" s="138"/>
      <c r="B761" s="523" t="s">
        <v>1625</v>
      </c>
      <c r="C761" s="524" t="s">
        <v>842</v>
      </c>
      <c r="D761" s="144">
        <v>0</v>
      </c>
      <c r="E761" s="144">
        <v>0</v>
      </c>
      <c r="F761" s="144">
        <v>0</v>
      </c>
      <c r="G761" s="144">
        <v>0</v>
      </c>
      <c r="H761" s="150">
        <v>0</v>
      </c>
      <c r="I761" s="567">
        <f t="shared" si="20"/>
        <v>0</v>
      </c>
    </row>
    <row r="762" spans="1:9" x14ac:dyDescent="0.15">
      <c r="A762" s="138"/>
      <c r="B762" s="523" t="s">
        <v>843</v>
      </c>
      <c r="C762" s="524" t="s">
        <v>848</v>
      </c>
      <c r="D762" s="144">
        <v>0</v>
      </c>
      <c r="E762" s="144">
        <v>0</v>
      </c>
      <c r="F762" s="144">
        <v>0</v>
      </c>
      <c r="G762" s="144">
        <v>0</v>
      </c>
      <c r="H762" s="150">
        <v>0</v>
      </c>
      <c r="I762" s="567">
        <f t="shared" si="20"/>
        <v>0</v>
      </c>
    </row>
    <row r="763" spans="1:9" x14ac:dyDescent="0.15">
      <c r="A763" s="138"/>
      <c r="B763" s="523" t="s">
        <v>844</v>
      </c>
      <c r="C763" s="524" t="s">
        <v>153</v>
      </c>
      <c r="D763" s="144">
        <v>0</v>
      </c>
      <c r="E763" s="144">
        <v>0</v>
      </c>
      <c r="F763" s="144">
        <v>0</v>
      </c>
      <c r="G763" s="144">
        <v>0</v>
      </c>
      <c r="H763" s="150">
        <v>0</v>
      </c>
      <c r="I763" s="567">
        <f t="shared" si="20"/>
        <v>0</v>
      </c>
    </row>
    <row r="764" spans="1:9" x14ac:dyDescent="0.15">
      <c r="A764" s="138"/>
      <c r="B764" s="523" t="s">
        <v>845</v>
      </c>
      <c r="C764" s="524" t="s">
        <v>154</v>
      </c>
      <c r="D764" s="144">
        <v>0</v>
      </c>
      <c r="E764" s="144">
        <v>0</v>
      </c>
      <c r="F764" s="144">
        <v>0</v>
      </c>
      <c r="G764" s="144">
        <v>0</v>
      </c>
      <c r="H764" s="150">
        <v>0</v>
      </c>
      <c r="I764" s="567">
        <f t="shared" si="20"/>
        <v>0</v>
      </c>
    </row>
    <row r="765" spans="1:9" x14ac:dyDescent="0.15">
      <c r="A765" s="138"/>
      <c r="B765" s="523" t="s">
        <v>846</v>
      </c>
      <c r="C765" s="524" t="s">
        <v>155</v>
      </c>
      <c r="D765" s="144">
        <v>0</v>
      </c>
      <c r="E765" s="144">
        <v>0</v>
      </c>
      <c r="F765" s="144">
        <v>0</v>
      </c>
      <c r="G765" s="144">
        <v>0</v>
      </c>
      <c r="H765" s="150">
        <v>0</v>
      </c>
      <c r="I765" s="567">
        <f t="shared" si="20"/>
        <v>0</v>
      </c>
    </row>
    <row r="766" spans="1:9" x14ac:dyDescent="0.15">
      <c r="A766" s="138"/>
      <c r="B766" s="523" t="s">
        <v>1582</v>
      </c>
      <c r="C766" s="524" t="s">
        <v>156</v>
      </c>
      <c r="D766" s="144">
        <v>0</v>
      </c>
      <c r="E766" s="144">
        <v>0</v>
      </c>
      <c r="F766" s="144">
        <v>0</v>
      </c>
      <c r="G766" s="144">
        <v>0</v>
      </c>
      <c r="H766" s="150">
        <v>0</v>
      </c>
      <c r="I766" s="567">
        <f t="shared" si="20"/>
        <v>0</v>
      </c>
    </row>
    <row r="767" spans="1:9" x14ac:dyDescent="0.15">
      <c r="A767" s="138"/>
      <c r="B767" s="523" t="s">
        <v>847</v>
      </c>
      <c r="C767" s="524" t="s">
        <v>157</v>
      </c>
      <c r="D767" s="144">
        <v>0</v>
      </c>
      <c r="E767" s="144">
        <v>0</v>
      </c>
      <c r="F767" s="144">
        <v>0</v>
      </c>
      <c r="G767" s="144">
        <v>0</v>
      </c>
      <c r="H767" s="150">
        <v>0</v>
      </c>
      <c r="I767" s="567">
        <f t="shared" si="20"/>
        <v>0</v>
      </c>
    </row>
    <row r="768" spans="1:9" x14ac:dyDescent="0.15">
      <c r="A768" s="138"/>
      <c r="B768" s="523" t="s">
        <v>1583</v>
      </c>
      <c r="C768" s="524" t="s">
        <v>160</v>
      </c>
      <c r="D768" s="144">
        <v>0</v>
      </c>
      <c r="E768" s="144">
        <v>0</v>
      </c>
      <c r="F768" s="144">
        <v>0</v>
      </c>
      <c r="G768" s="144">
        <v>0</v>
      </c>
      <c r="H768" s="150">
        <v>0</v>
      </c>
      <c r="I768" s="567">
        <f t="shared" si="20"/>
        <v>0</v>
      </c>
    </row>
    <row r="769" spans="1:9" x14ac:dyDescent="0.15">
      <c r="A769" s="138"/>
      <c r="B769" s="523" t="s">
        <v>634</v>
      </c>
      <c r="C769" s="524" t="s">
        <v>165</v>
      </c>
      <c r="D769" s="144">
        <v>0</v>
      </c>
      <c r="E769" s="144">
        <v>0</v>
      </c>
      <c r="F769" s="144">
        <v>0</v>
      </c>
      <c r="G769" s="144">
        <v>0</v>
      </c>
      <c r="H769" s="150">
        <v>0</v>
      </c>
      <c r="I769" s="567">
        <f t="shared" si="20"/>
        <v>0</v>
      </c>
    </row>
    <row r="770" spans="1:9" x14ac:dyDescent="0.15">
      <c r="A770" s="138"/>
      <c r="B770" s="523" t="s">
        <v>630</v>
      </c>
      <c r="C770" s="524" t="s">
        <v>172</v>
      </c>
      <c r="D770" s="144">
        <v>0</v>
      </c>
      <c r="E770" s="144">
        <v>0</v>
      </c>
      <c r="F770" s="144">
        <v>0</v>
      </c>
      <c r="G770" s="144">
        <v>0</v>
      </c>
      <c r="H770" s="150">
        <v>0</v>
      </c>
      <c r="I770" s="567">
        <f t="shared" si="20"/>
        <v>0</v>
      </c>
    </row>
    <row r="771" spans="1:9" x14ac:dyDescent="0.15">
      <c r="A771" s="138"/>
      <c r="B771" s="650" t="s">
        <v>631</v>
      </c>
      <c r="C771" s="651" t="s">
        <v>173</v>
      </c>
      <c r="D771" s="144">
        <v>0</v>
      </c>
      <c r="E771" s="144">
        <v>0</v>
      </c>
      <c r="F771" s="144">
        <v>0</v>
      </c>
      <c r="G771" s="144">
        <v>0</v>
      </c>
      <c r="H771" s="150">
        <v>0</v>
      </c>
      <c r="I771" s="567">
        <f t="shared" si="20"/>
        <v>0</v>
      </c>
    </row>
    <row r="772" spans="1:9" x14ac:dyDescent="0.15">
      <c r="A772" s="138"/>
      <c r="B772" s="523" t="s">
        <v>1584</v>
      </c>
      <c r="C772" s="524" t="s">
        <v>178</v>
      </c>
      <c r="D772" s="144">
        <v>0</v>
      </c>
      <c r="E772" s="144">
        <v>0</v>
      </c>
      <c r="F772" s="144">
        <v>0</v>
      </c>
      <c r="G772" s="144">
        <v>0</v>
      </c>
      <c r="H772" s="150">
        <v>0</v>
      </c>
      <c r="I772" s="567">
        <f t="shared" si="20"/>
        <v>0</v>
      </c>
    </row>
    <row r="773" spans="1:9" x14ac:dyDescent="0.15">
      <c r="A773" s="138"/>
      <c r="B773" s="523" t="s">
        <v>174</v>
      </c>
      <c r="C773" s="524" t="s">
        <v>179</v>
      </c>
      <c r="D773" s="144">
        <v>0</v>
      </c>
      <c r="E773" s="144">
        <v>0</v>
      </c>
      <c r="F773" s="144">
        <v>0</v>
      </c>
      <c r="G773" s="144">
        <v>0</v>
      </c>
      <c r="H773" s="150">
        <v>0</v>
      </c>
      <c r="I773" s="567">
        <f t="shared" si="20"/>
        <v>0</v>
      </c>
    </row>
    <row r="774" spans="1:9" x14ac:dyDescent="0.15">
      <c r="A774" s="138"/>
      <c r="B774" s="523" t="s">
        <v>175</v>
      </c>
      <c r="C774" s="524" t="s">
        <v>180</v>
      </c>
      <c r="D774" s="144">
        <v>0</v>
      </c>
      <c r="E774" s="144">
        <v>0</v>
      </c>
      <c r="F774" s="144">
        <v>0</v>
      </c>
      <c r="G774" s="144">
        <v>0</v>
      </c>
      <c r="H774" s="150">
        <v>0</v>
      </c>
      <c r="I774" s="567">
        <f t="shared" si="20"/>
        <v>0</v>
      </c>
    </row>
    <row r="775" spans="1:9" ht="11.25" thickBot="1" x14ac:dyDescent="0.2">
      <c r="A775" s="138"/>
      <c r="B775" s="523" t="s">
        <v>176</v>
      </c>
      <c r="C775" s="524" t="s">
        <v>181</v>
      </c>
      <c r="D775" s="144">
        <v>0</v>
      </c>
      <c r="E775" s="144">
        <v>0</v>
      </c>
      <c r="F775" s="144">
        <v>0</v>
      </c>
      <c r="G775" s="144">
        <v>0</v>
      </c>
      <c r="H775" s="150">
        <v>0</v>
      </c>
      <c r="I775" s="567">
        <f t="shared" si="20"/>
        <v>0</v>
      </c>
    </row>
    <row r="776" spans="1:9" ht="12" thickTop="1" thickBot="1" x14ac:dyDescent="0.2">
      <c r="A776" s="138"/>
      <c r="B776" s="523"/>
      <c r="C776" s="524" t="s">
        <v>375</v>
      </c>
      <c r="D776" s="169">
        <f>SUM(D742:D775)</f>
        <v>0</v>
      </c>
      <c r="E776" s="169">
        <f>SUM(E742:E775)</f>
        <v>0</v>
      </c>
      <c r="F776" s="169">
        <f>SUM(F742:F775)</f>
        <v>0</v>
      </c>
      <c r="G776" s="169">
        <f>SUM(G742:G775)</f>
        <v>0</v>
      </c>
      <c r="H776" s="169">
        <f>SUM(H742:H775)</f>
        <v>0</v>
      </c>
      <c r="I776" s="169">
        <f t="shared" si="20"/>
        <v>0</v>
      </c>
    </row>
    <row r="777" spans="1:9" ht="11.25" thickTop="1" x14ac:dyDescent="0.15">
      <c r="A777" s="138"/>
      <c r="B777" s="524"/>
      <c r="C777" s="524"/>
      <c r="D777" s="14"/>
      <c r="E777" s="14"/>
      <c r="F777" s="14"/>
      <c r="G777" s="14"/>
      <c r="H777" s="14"/>
      <c r="I777" s="563"/>
    </row>
    <row r="778" spans="1:9" x14ac:dyDescent="0.15">
      <c r="A778" s="522" t="s">
        <v>376</v>
      </c>
      <c r="B778" s="524"/>
      <c r="C778" s="524"/>
      <c r="D778" s="14"/>
      <c r="E778" s="14"/>
      <c r="F778" s="14"/>
      <c r="G778" s="14"/>
      <c r="H778" s="14"/>
      <c r="I778" s="563"/>
    </row>
    <row r="779" spans="1:9" x14ac:dyDescent="0.15">
      <c r="A779" s="434"/>
      <c r="B779" s="523" t="s">
        <v>1577</v>
      </c>
      <c r="C779" s="524" t="s">
        <v>228</v>
      </c>
      <c r="D779" s="316">
        <v>0</v>
      </c>
      <c r="E779" s="316">
        <v>0</v>
      </c>
      <c r="F779" s="316">
        <v>0</v>
      </c>
      <c r="G779" s="528">
        <f t="array" ref="G779">SUM(IF(CertFund&amp;CertProg&amp;CertObj=RIGHT(LEFT($A$2,7),2)&amp;LEFT(A778,4)&amp;B779,CertSalary))</f>
        <v>0</v>
      </c>
      <c r="H779" s="527">
        <v>0</v>
      </c>
      <c r="I779" s="566">
        <f>SUM(G779+H779)</f>
        <v>0</v>
      </c>
    </row>
    <row r="780" spans="1:9" x14ac:dyDescent="0.15">
      <c r="A780" s="434"/>
      <c r="B780" s="523" t="s">
        <v>1577</v>
      </c>
      <c r="C780" s="524" t="s">
        <v>510</v>
      </c>
      <c r="D780" s="316">
        <v>0</v>
      </c>
      <c r="E780" s="316">
        <v>0</v>
      </c>
      <c r="F780" s="316">
        <v>0</v>
      </c>
      <c r="G780" s="316">
        <v>0</v>
      </c>
      <c r="H780" s="527">
        <v>0</v>
      </c>
      <c r="I780" s="566">
        <f>SUM(G780+H780)</f>
        <v>0</v>
      </c>
    </row>
    <row r="781" spans="1:9" x14ac:dyDescent="0.15">
      <c r="A781" s="524"/>
      <c r="B781" s="523" t="s">
        <v>1578</v>
      </c>
      <c r="C781" s="524" t="s">
        <v>936</v>
      </c>
      <c r="D781" s="316">
        <v>0</v>
      </c>
      <c r="E781" s="316">
        <v>0</v>
      </c>
      <c r="F781" s="316">
        <v>0</v>
      </c>
      <c r="G781" s="529">
        <f t="array" ref="G781">SUM(IF(CertFund&amp;CertProg&amp;CertObj=RIGHT(LEFT($A$2,7),2)&amp;LEFT(A778,4)&amp;B779,CertBen))</f>
        <v>0</v>
      </c>
      <c r="H781" s="527">
        <v>0</v>
      </c>
      <c r="I781" s="566">
        <f>SUM(G781+H781)</f>
        <v>0</v>
      </c>
    </row>
    <row r="782" spans="1:9" x14ac:dyDescent="0.15">
      <c r="A782" s="138"/>
      <c r="B782" s="521" t="s">
        <v>1578</v>
      </c>
      <c r="C782" s="138" t="s">
        <v>511</v>
      </c>
      <c r="D782" s="147">
        <v>0</v>
      </c>
      <c r="E782" s="147">
        <v>0</v>
      </c>
      <c r="F782" s="147">
        <v>0</v>
      </c>
      <c r="G782" s="147">
        <v>0</v>
      </c>
      <c r="H782" s="150">
        <v>0</v>
      </c>
      <c r="I782" s="567">
        <f>SUM(G782+H782)</f>
        <v>0</v>
      </c>
    </row>
    <row r="783" spans="1:9" x14ac:dyDescent="0.15">
      <c r="A783" s="138"/>
      <c r="B783" s="523" t="s">
        <v>1579</v>
      </c>
      <c r="C783" s="524" t="s">
        <v>118</v>
      </c>
      <c r="D783" s="144">
        <v>0</v>
      </c>
      <c r="E783" s="144">
        <v>0</v>
      </c>
      <c r="F783" s="144">
        <v>0</v>
      </c>
      <c r="G783" s="144">
        <v>0</v>
      </c>
      <c r="H783" s="150">
        <v>0</v>
      </c>
      <c r="I783" s="567">
        <f t="shared" ref="I783:I813" si="21">SUM(G783+H783)</f>
        <v>0</v>
      </c>
    </row>
    <row r="784" spans="1:9" x14ac:dyDescent="0.15">
      <c r="A784" s="138"/>
      <c r="B784" s="523" t="s">
        <v>1580</v>
      </c>
      <c r="C784" s="524" t="s">
        <v>119</v>
      </c>
      <c r="D784" s="144">
        <v>0</v>
      </c>
      <c r="E784" s="144">
        <v>0</v>
      </c>
      <c r="F784" s="144">
        <v>0</v>
      </c>
      <c r="G784" s="144">
        <v>0</v>
      </c>
      <c r="H784" s="150">
        <v>0</v>
      </c>
      <c r="I784" s="567">
        <f t="shared" si="21"/>
        <v>0</v>
      </c>
    </row>
    <row r="785" spans="1:9" x14ac:dyDescent="0.15">
      <c r="A785" s="138"/>
      <c r="B785" s="523" t="s">
        <v>120</v>
      </c>
      <c r="C785" s="524" t="s">
        <v>121</v>
      </c>
      <c r="D785" s="144">
        <v>0</v>
      </c>
      <c r="E785" s="144">
        <v>0</v>
      </c>
      <c r="F785" s="144">
        <v>0</v>
      </c>
      <c r="G785" s="144">
        <v>0</v>
      </c>
      <c r="H785" s="150">
        <v>0</v>
      </c>
      <c r="I785" s="567">
        <f t="shared" si="21"/>
        <v>0</v>
      </c>
    </row>
    <row r="786" spans="1:9" x14ac:dyDescent="0.15">
      <c r="A786" s="138"/>
      <c r="B786" s="523" t="s">
        <v>122</v>
      </c>
      <c r="C786" s="524" t="s">
        <v>123</v>
      </c>
      <c r="D786" s="144">
        <v>0</v>
      </c>
      <c r="E786" s="144">
        <v>0</v>
      </c>
      <c r="F786" s="144">
        <v>0</v>
      </c>
      <c r="G786" s="144">
        <v>0</v>
      </c>
      <c r="H786" s="150">
        <v>0</v>
      </c>
      <c r="I786" s="567">
        <f t="shared" si="21"/>
        <v>0</v>
      </c>
    </row>
    <row r="787" spans="1:9" x14ac:dyDescent="0.15">
      <c r="A787" s="138"/>
      <c r="B787" s="523" t="s">
        <v>1581</v>
      </c>
      <c r="C787" s="524" t="s">
        <v>124</v>
      </c>
      <c r="D787" s="144">
        <v>0</v>
      </c>
      <c r="E787" s="144">
        <v>0</v>
      </c>
      <c r="F787" s="144">
        <v>0</v>
      </c>
      <c r="G787" s="144">
        <v>0</v>
      </c>
      <c r="H787" s="150">
        <v>0</v>
      </c>
      <c r="I787" s="567">
        <f t="shared" si="21"/>
        <v>0</v>
      </c>
    </row>
    <row r="788" spans="1:9" x14ac:dyDescent="0.15">
      <c r="A788" s="138"/>
      <c r="B788" s="523" t="s">
        <v>127</v>
      </c>
      <c r="C788" s="524" t="s">
        <v>134</v>
      </c>
      <c r="D788" s="144">
        <v>0</v>
      </c>
      <c r="E788" s="144">
        <v>0</v>
      </c>
      <c r="F788" s="144">
        <v>0</v>
      </c>
      <c r="G788" s="144">
        <v>0</v>
      </c>
      <c r="H788" s="150">
        <v>0</v>
      </c>
      <c r="I788" s="567">
        <f t="shared" si="21"/>
        <v>0</v>
      </c>
    </row>
    <row r="789" spans="1:9" x14ac:dyDescent="0.15">
      <c r="A789" s="138"/>
      <c r="B789" s="523" t="s">
        <v>128</v>
      </c>
      <c r="C789" s="524" t="s">
        <v>135</v>
      </c>
      <c r="D789" s="144">
        <v>0</v>
      </c>
      <c r="E789" s="144">
        <v>0</v>
      </c>
      <c r="F789" s="144">
        <v>0</v>
      </c>
      <c r="G789" s="144">
        <v>0</v>
      </c>
      <c r="H789" s="150">
        <v>0</v>
      </c>
      <c r="I789" s="567">
        <f t="shared" si="21"/>
        <v>0</v>
      </c>
    </row>
    <row r="790" spans="1:9" x14ac:dyDescent="0.15">
      <c r="A790" s="138"/>
      <c r="B790" s="523" t="s">
        <v>132</v>
      </c>
      <c r="C790" s="524" t="s">
        <v>1617</v>
      </c>
      <c r="D790" s="144">
        <v>0</v>
      </c>
      <c r="E790" s="144">
        <v>0</v>
      </c>
      <c r="F790" s="144">
        <v>0</v>
      </c>
      <c r="G790" s="144">
        <v>0</v>
      </c>
      <c r="H790" s="150">
        <v>0</v>
      </c>
      <c r="I790" s="567">
        <f t="shared" si="21"/>
        <v>0</v>
      </c>
    </row>
    <row r="791" spans="1:9" x14ac:dyDescent="0.15">
      <c r="A791" s="138"/>
      <c r="B791" s="523" t="s">
        <v>1618</v>
      </c>
      <c r="C791" s="524" t="s">
        <v>836</v>
      </c>
      <c r="D791" s="144">
        <v>0</v>
      </c>
      <c r="E791" s="144">
        <v>0</v>
      </c>
      <c r="F791" s="144">
        <v>0</v>
      </c>
      <c r="G791" s="144">
        <v>0</v>
      </c>
      <c r="H791" s="150">
        <v>0</v>
      </c>
      <c r="I791" s="567">
        <f t="shared" si="21"/>
        <v>0</v>
      </c>
    </row>
    <row r="792" spans="1:9" x14ac:dyDescent="0.15">
      <c r="A792" s="138"/>
      <c r="B792" s="523" t="s">
        <v>1619</v>
      </c>
      <c r="C792" s="524" t="s">
        <v>837</v>
      </c>
      <c r="D792" s="144">
        <v>0</v>
      </c>
      <c r="E792" s="144">
        <v>0</v>
      </c>
      <c r="F792" s="144">
        <v>0</v>
      </c>
      <c r="G792" s="144">
        <v>0</v>
      </c>
      <c r="H792" s="150">
        <v>0</v>
      </c>
      <c r="I792" s="567">
        <f t="shared" si="21"/>
        <v>0</v>
      </c>
    </row>
    <row r="793" spans="1:9" x14ac:dyDescent="0.15">
      <c r="A793" s="138"/>
      <c r="B793" s="523" t="s">
        <v>1620</v>
      </c>
      <c r="C793" s="524" t="s">
        <v>838</v>
      </c>
      <c r="D793" s="144">
        <v>0</v>
      </c>
      <c r="E793" s="144">
        <v>0</v>
      </c>
      <c r="F793" s="144">
        <v>0</v>
      </c>
      <c r="G793" s="144">
        <v>0</v>
      </c>
      <c r="H793" s="150">
        <v>0</v>
      </c>
      <c r="I793" s="567">
        <f t="shared" si="21"/>
        <v>0</v>
      </c>
    </row>
    <row r="794" spans="1:9" x14ac:dyDescent="0.15">
      <c r="A794" s="138"/>
      <c r="B794" s="523" t="s">
        <v>1621</v>
      </c>
      <c r="C794" s="524" t="s">
        <v>839</v>
      </c>
      <c r="D794" s="144">
        <v>0</v>
      </c>
      <c r="E794" s="144">
        <v>0</v>
      </c>
      <c r="F794" s="144">
        <v>0</v>
      </c>
      <c r="G794" s="144">
        <v>0</v>
      </c>
      <c r="H794" s="150">
        <v>0</v>
      </c>
      <c r="I794" s="567">
        <f t="shared" si="21"/>
        <v>0</v>
      </c>
    </row>
    <row r="795" spans="1:9" x14ac:dyDescent="0.15">
      <c r="A795" s="138"/>
      <c r="B795" s="523" t="s">
        <v>1622</v>
      </c>
      <c r="C795" s="524" t="s">
        <v>190</v>
      </c>
      <c r="D795" s="144">
        <v>0</v>
      </c>
      <c r="E795" s="144">
        <v>0</v>
      </c>
      <c r="F795" s="144">
        <v>0</v>
      </c>
      <c r="G795" s="144">
        <v>0</v>
      </c>
      <c r="H795" s="150">
        <v>0</v>
      </c>
      <c r="I795" s="567">
        <f t="shared" si="21"/>
        <v>0</v>
      </c>
    </row>
    <row r="796" spans="1:9" x14ac:dyDescent="0.15">
      <c r="A796" s="138"/>
      <c r="B796" s="523" t="s">
        <v>1623</v>
      </c>
      <c r="C796" s="524" t="s">
        <v>191</v>
      </c>
      <c r="D796" s="144">
        <v>0</v>
      </c>
      <c r="E796" s="144">
        <v>0</v>
      </c>
      <c r="F796" s="144">
        <v>0</v>
      </c>
      <c r="G796" s="144">
        <v>0</v>
      </c>
      <c r="H796" s="150">
        <v>0</v>
      </c>
      <c r="I796" s="567">
        <f t="shared" si="21"/>
        <v>0</v>
      </c>
    </row>
    <row r="797" spans="1:9" x14ac:dyDescent="0.15">
      <c r="A797" s="138"/>
      <c r="B797" s="523" t="s">
        <v>1624</v>
      </c>
      <c r="C797" s="524" t="s">
        <v>840</v>
      </c>
      <c r="D797" s="144">
        <v>0</v>
      </c>
      <c r="E797" s="144">
        <v>0</v>
      </c>
      <c r="F797" s="144">
        <v>0</v>
      </c>
      <c r="G797" s="144">
        <v>0</v>
      </c>
      <c r="H797" s="150">
        <v>0</v>
      </c>
      <c r="I797" s="567">
        <f t="shared" si="21"/>
        <v>0</v>
      </c>
    </row>
    <row r="798" spans="1:9" x14ac:dyDescent="0.15">
      <c r="A798" s="138"/>
      <c r="B798" s="523" t="s">
        <v>1625</v>
      </c>
      <c r="C798" s="524" t="s">
        <v>842</v>
      </c>
      <c r="D798" s="144">
        <v>0</v>
      </c>
      <c r="E798" s="144">
        <v>0</v>
      </c>
      <c r="F798" s="144">
        <v>0</v>
      </c>
      <c r="G798" s="144">
        <v>0</v>
      </c>
      <c r="H798" s="150">
        <v>0</v>
      </c>
      <c r="I798" s="567">
        <f t="shared" si="21"/>
        <v>0</v>
      </c>
    </row>
    <row r="799" spans="1:9" x14ac:dyDescent="0.15">
      <c r="A799" s="138"/>
      <c r="B799" s="523" t="s">
        <v>843</v>
      </c>
      <c r="C799" s="524" t="s">
        <v>848</v>
      </c>
      <c r="D799" s="144">
        <v>0</v>
      </c>
      <c r="E799" s="144">
        <v>0</v>
      </c>
      <c r="F799" s="144">
        <v>0</v>
      </c>
      <c r="G799" s="144">
        <v>0</v>
      </c>
      <c r="H799" s="150">
        <v>0</v>
      </c>
      <c r="I799" s="567">
        <f t="shared" si="21"/>
        <v>0</v>
      </c>
    </row>
    <row r="800" spans="1:9" x14ac:dyDescent="0.15">
      <c r="A800" s="138"/>
      <c r="B800" s="523" t="s">
        <v>844</v>
      </c>
      <c r="C800" s="524" t="s">
        <v>153</v>
      </c>
      <c r="D800" s="144">
        <v>0</v>
      </c>
      <c r="E800" s="144">
        <v>0</v>
      </c>
      <c r="F800" s="144">
        <v>0</v>
      </c>
      <c r="G800" s="144">
        <v>0</v>
      </c>
      <c r="H800" s="150">
        <v>0</v>
      </c>
      <c r="I800" s="567">
        <f t="shared" si="21"/>
        <v>0</v>
      </c>
    </row>
    <row r="801" spans="1:9" x14ac:dyDescent="0.15">
      <c r="A801" s="138"/>
      <c r="B801" s="523" t="s">
        <v>845</v>
      </c>
      <c r="C801" s="524" t="s">
        <v>154</v>
      </c>
      <c r="D801" s="144">
        <v>0</v>
      </c>
      <c r="E801" s="144">
        <v>0</v>
      </c>
      <c r="F801" s="144">
        <v>0</v>
      </c>
      <c r="G801" s="144">
        <v>0</v>
      </c>
      <c r="H801" s="150">
        <v>0</v>
      </c>
      <c r="I801" s="567">
        <f t="shared" si="21"/>
        <v>0</v>
      </c>
    </row>
    <row r="802" spans="1:9" x14ac:dyDescent="0.15">
      <c r="A802" s="138"/>
      <c r="B802" s="523" t="s">
        <v>846</v>
      </c>
      <c r="C802" s="524" t="s">
        <v>155</v>
      </c>
      <c r="D802" s="144">
        <v>0</v>
      </c>
      <c r="E802" s="144">
        <v>0</v>
      </c>
      <c r="F802" s="144">
        <v>0</v>
      </c>
      <c r="G802" s="144">
        <v>0</v>
      </c>
      <c r="H802" s="150">
        <v>0</v>
      </c>
      <c r="I802" s="567">
        <f t="shared" si="21"/>
        <v>0</v>
      </c>
    </row>
    <row r="803" spans="1:9" x14ac:dyDescent="0.15">
      <c r="A803" s="138"/>
      <c r="B803" s="523" t="s">
        <v>1582</v>
      </c>
      <c r="C803" s="524" t="s">
        <v>156</v>
      </c>
      <c r="D803" s="144">
        <v>0</v>
      </c>
      <c r="E803" s="144">
        <v>0</v>
      </c>
      <c r="F803" s="144">
        <v>0</v>
      </c>
      <c r="G803" s="144">
        <v>0</v>
      </c>
      <c r="H803" s="150">
        <v>0</v>
      </c>
      <c r="I803" s="567">
        <f t="shared" si="21"/>
        <v>0</v>
      </c>
    </row>
    <row r="804" spans="1:9" x14ac:dyDescent="0.15">
      <c r="A804" s="138"/>
      <c r="B804" s="523" t="s">
        <v>847</v>
      </c>
      <c r="C804" s="524" t="s">
        <v>157</v>
      </c>
      <c r="D804" s="144">
        <v>0</v>
      </c>
      <c r="E804" s="144">
        <v>0</v>
      </c>
      <c r="F804" s="144">
        <v>0</v>
      </c>
      <c r="G804" s="144">
        <v>0</v>
      </c>
      <c r="H804" s="150">
        <v>0</v>
      </c>
      <c r="I804" s="567">
        <f t="shared" si="21"/>
        <v>0</v>
      </c>
    </row>
    <row r="805" spans="1:9" x14ac:dyDescent="0.15">
      <c r="A805" s="138"/>
      <c r="B805" s="523" t="s">
        <v>1583</v>
      </c>
      <c r="C805" s="524" t="s">
        <v>160</v>
      </c>
      <c r="D805" s="144">
        <v>0</v>
      </c>
      <c r="E805" s="144">
        <v>0</v>
      </c>
      <c r="F805" s="144">
        <v>0</v>
      </c>
      <c r="G805" s="144">
        <v>0</v>
      </c>
      <c r="H805" s="150">
        <v>0</v>
      </c>
      <c r="I805" s="567">
        <f t="shared" si="21"/>
        <v>0</v>
      </c>
    </row>
    <row r="806" spans="1:9" x14ac:dyDescent="0.15">
      <c r="A806" s="138"/>
      <c r="B806" s="523" t="s">
        <v>634</v>
      </c>
      <c r="C806" s="524" t="s">
        <v>165</v>
      </c>
      <c r="D806" s="144">
        <v>0</v>
      </c>
      <c r="E806" s="144">
        <v>0</v>
      </c>
      <c r="F806" s="144">
        <v>0</v>
      </c>
      <c r="G806" s="144">
        <v>0</v>
      </c>
      <c r="H806" s="150">
        <v>0</v>
      </c>
      <c r="I806" s="567">
        <f t="shared" si="21"/>
        <v>0</v>
      </c>
    </row>
    <row r="807" spans="1:9" x14ac:dyDescent="0.15">
      <c r="A807" s="138"/>
      <c r="B807" s="523" t="s">
        <v>630</v>
      </c>
      <c r="C807" s="524" t="s">
        <v>172</v>
      </c>
      <c r="D807" s="144">
        <v>0</v>
      </c>
      <c r="E807" s="144">
        <v>0</v>
      </c>
      <c r="F807" s="144">
        <v>0</v>
      </c>
      <c r="G807" s="144">
        <v>0</v>
      </c>
      <c r="H807" s="150">
        <v>0</v>
      </c>
      <c r="I807" s="567">
        <f t="shared" si="21"/>
        <v>0</v>
      </c>
    </row>
    <row r="808" spans="1:9" x14ac:dyDescent="0.15">
      <c r="A808" s="138"/>
      <c r="B808" s="650" t="s">
        <v>631</v>
      </c>
      <c r="C808" s="651" t="s">
        <v>173</v>
      </c>
      <c r="D808" s="144">
        <v>0</v>
      </c>
      <c r="E808" s="144">
        <v>0</v>
      </c>
      <c r="F808" s="144">
        <v>0</v>
      </c>
      <c r="G808" s="144">
        <v>0</v>
      </c>
      <c r="H808" s="150">
        <v>0</v>
      </c>
      <c r="I808" s="567">
        <f t="shared" si="21"/>
        <v>0</v>
      </c>
    </row>
    <row r="809" spans="1:9" x14ac:dyDescent="0.15">
      <c r="A809" s="138"/>
      <c r="B809" s="523" t="s">
        <v>1584</v>
      </c>
      <c r="C809" s="524" t="s">
        <v>178</v>
      </c>
      <c r="D809" s="144">
        <v>0</v>
      </c>
      <c r="E809" s="144">
        <v>0</v>
      </c>
      <c r="F809" s="144">
        <v>0</v>
      </c>
      <c r="G809" s="144">
        <v>0</v>
      </c>
      <c r="H809" s="150">
        <v>0</v>
      </c>
      <c r="I809" s="567">
        <f t="shared" si="21"/>
        <v>0</v>
      </c>
    </row>
    <row r="810" spans="1:9" x14ac:dyDescent="0.15">
      <c r="A810" s="138"/>
      <c r="B810" s="523" t="s">
        <v>174</v>
      </c>
      <c r="C810" s="524" t="s">
        <v>179</v>
      </c>
      <c r="D810" s="144">
        <v>0</v>
      </c>
      <c r="E810" s="144">
        <v>0</v>
      </c>
      <c r="F810" s="144">
        <v>0</v>
      </c>
      <c r="G810" s="144">
        <v>0</v>
      </c>
      <c r="H810" s="150">
        <v>0</v>
      </c>
      <c r="I810" s="567">
        <f t="shared" si="21"/>
        <v>0</v>
      </c>
    </row>
    <row r="811" spans="1:9" x14ac:dyDescent="0.15">
      <c r="A811" s="138"/>
      <c r="B811" s="523" t="s">
        <v>175</v>
      </c>
      <c r="C811" s="524" t="s">
        <v>180</v>
      </c>
      <c r="D811" s="144">
        <v>0</v>
      </c>
      <c r="E811" s="144">
        <v>0</v>
      </c>
      <c r="F811" s="144">
        <v>0</v>
      </c>
      <c r="G811" s="144">
        <v>0</v>
      </c>
      <c r="H811" s="150">
        <v>0</v>
      </c>
      <c r="I811" s="567">
        <f t="shared" si="21"/>
        <v>0</v>
      </c>
    </row>
    <row r="812" spans="1:9" ht="11.25" thickBot="1" x14ac:dyDescent="0.2">
      <c r="A812" s="138"/>
      <c r="B812" s="523" t="s">
        <v>176</v>
      </c>
      <c r="C812" s="524" t="s">
        <v>181</v>
      </c>
      <c r="D812" s="144">
        <v>0</v>
      </c>
      <c r="E812" s="144">
        <v>0</v>
      </c>
      <c r="F812" s="144">
        <v>0</v>
      </c>
      <c r="G812" s="144">
        <v>0</v>
      </c>
      <c r="H812" s="150">
        <v>0</v>
      </c>
      <c r="I812" s="567">
        <f t="shared" si="21"/>
        <v>0</v>
      </c>
    </row>
    <row r="813" spans="1:9" ht="12" thickTop="1" thickBot="1" x14ac:dyDescent="0.2">
      <c r="A813" s="138"/>
      <c r="B813" s="523"/>
      <c r="C813" s="524" t="s">
        <v>377</v>
      </c>
      <c r="D813" s="169">
        <f>SUM(D779:D812)</f>
        <v>0</v>
      </c>
      <c r="E813" s="169">
        <f>SUM(E779:E812)</f>
        <v>0</v>
      </c>
      <c r="F813" s="169">
        <f>SUM(F779:F812)</f>
        <v>0</v>
      </c>
      <c r="G813" s="169">
        <f>SUM(G779:G812)</f>
        <v>0</v>
      </c>
      <c r="H813" s="169">
        <f>SUM(H779:H812)</f>
        <v>0</v>
      </c>
      <c r="I813" s="169">
        <f t="shared" si="21"/>
        <v>0</v>
      </c>
    </row>
    <row r="814" spans="1:9" ht="11.25" thickTop="1" x14ac:dyDescent="0.15">
      <c r="A814" s="138"/>
      <c r="B814" s="524"/>
      <c r="C814" s="524"/>
      <c r="D814" s="14"/>
      <c r="E814" s="14"/>
      <c r="F814" s="14"/>
      <c r="G814" s="14"/>
      <c r="H814" s="14"/>
      <c r="I814" s="563"/>
    </row>
    <row r="815" spans="1:9" x14ac:dyDescent="0.15">
      <c r="A815" s="522" t="s">
        <v>379</v>
      </c>
      <c r="B815" s="524"/>
      <c r="C815" s="524"/>
      <c r="D815" s="14"/>
      <c r="E815" s="14"/>
      <c r="F815" s="14"/>
      <c r="G815" s="14"/>
      <c r="H815" s="14"/>
      <c r="I815" s="563"/>
    </row>
    <row r="816" spans="1:9" x14ac:dyDescent="0.15">
      <c r="A816" s="434"/>
      <c r="B816" s="523" t="s">
        <v>1577</v>
      </c>
      <c r="C816" s="524" t="s">
        <v>228</v>
      </c>
      <c r="D816" s="316">
        <v>0</v>
      </c>
      <c r="E816" s="316">
        <v>0</v>
      </c>
      <c r="F816" s="316">
        <v>0</v>
      </c>
      <c r="G816" s="528">
        <f t="array" ref="G816">SUM(IF(CertFund&amp;CertProg&amp;CertObj=RIGHT(LEFT($A$2,7),2)&amp;LEFT(A815,4)&amp;B816,CertSalary))</f>
        <v>0</v>
      </c>
      <c r="H816" s="527">
        <v>0</v>
      </c>
      <c r="I816" s="566">
        <f>SUM(G816+H816)</f>
        <v>0</v>
      </c>
    </row>
    <row r="817" spans="1:9" x14ac:dyDescent="0.15">
      <c r="A817" s="434"/>
      <c r="B817" s="523" t="s">
        <v>1577</v>
      </c>
      <c r="C817" s="524" t="s">
        <v>510</v>
      </c>
      <c r="D817" s="316">
        <v>0</v>
      </c>
      <c r="E817" s="316">
        <v>0</v>
      </c>
      <c r="F817" s="316">
        <v>0</v>
      </c>
      <c r="G817" s="316">
        <v>0</v>
      </c>
      <c r="H817" s="527">
        <v>0</v>
      </c>
      <c r="I817" s="566">
        <f>SUM(G817+H817)</f>
        <v>0</v>
      </c>
    </row>
    <row r="818" spans="1:9" x14ac:dyDescent="0.15">
      <c r="A818" s="524"/>
      <c r="B818" s="523" t="s">
        <v>1578</v>
      </c>
      <c r="C818" s="524" t="s">
        <v>936</v>
      </c>
      <c r="D818" s="316">
        <v>0</v>
      </c>
      <c r="E818" s="316">
        <v>0</v>
      </c>
      <c r="F818" s="316">
        <v>0</v>
      </c>
      <c r="G818" s="529">
        <f t="array" ref="G818">SUM(IF(CertFund&amp;CertProg&amp;CertObj=RIGHT(LEFT($A$2,7),2)&amp;LEFT(A815,4)&amp;B816,CertBen))</f>
        <v>0</v>
      </c>
      <c r="H818" s="527">
        <v>0</v>
      </c>
      <c r="I818" s="566">
        <f>SUM(G818+H818)</f>
        <v>0</v>
      </c>
    </row>
    <row r="819" spans="1:9" x14ac:dyDescent="0.15">
      <c r="A819" s="138"/>
      <c r="B819" s="521" t="s">
        <v>1578</v>
      </c>
      <c r="C819" s="138" t="s">
        <v>511</v>
      </c>
      <c r="D819" s="147">
        <v>0</v>
      </c>
      <c r="E819" s="147">
        <v>0</v>
      </c>
      <c r="F819" s="147">
        <v>0</v>
      </c>
      <c r="G819" s="147">
        <v>0</v>
      </c>
      <c r="H819" s="150">
        <v>0</v>
      </c>
      <c r="I819" s="567">
        <f>SUM(G819+H819)</f>
        <v>0</v>
      </c>
    </row>
    <row r="820" spans="1:9" x14ac:dyDescent="0.15">
      <c r="A820" s="138"/>
      <c r="B820" s="523" t="s">
        <v>1579</v>
      </c>
      <c r="C820" s="524" t="s">
        <v>118</v>
      </c>
      <c r="D820" s="144">
        <v>0</v>
      </c>
      <c r="E820" s="144">
        <v>0</v>
      </c>
      <c r="F820" s="144">
        <v>0</v>
      </c>
      <c r="G820" s="144">
        <v>0</v>
      </c>
      <c r="H820" s="150">
        <v>0</v>
      </c>
      <c r="I820" s="567">
        <f t="shared" ref="I820:I850" si="22">SUM(G820+H820)</f>
        <v>0</v>
      </c>
    </row>
    <row r="821" spans="1:9" x14ac:dyDescent="0.15">
      <c r="A821" s="138"/>
      <c r="B821" s="523" t="s">
        <v>1580</v>
      </c>
      <c r="C821" s="524" t="s">
        <v>119</v>
      </c>
      <c r="D821" s="144">
        <v>0</v>
      </c>
      <c r="E821" s="144">
        <v>0</v>
      </c>
      <c r="F821" s="144">
        <v>0</v>
      </c>
      <c r="G821" s="144">
        <v>0</v>
      </c>
      <c r="H821" s="150">
        <v>0</v>
      </c>
      <c r="I821" s="567">
        <f t="shared" si="22"/>
        <v>0</v>
      </c>
    </row>
    <row r="822" spans="1:9" x14ac:dyDescent="0.15">
      <c r="A822" s="138"/>
      <c r="B822" s="523" t="s">
        <v>120</v>
      </c>
      <c r="C822" s="524" t="s">
        <v>121</v>
      </c>
      <c r="D822" s="144">
        <v>0</v>
      </c>
      <c r="E822" s="144">
        <v>0</v>
      </c>
      <c r="F822" s="144">
        <v>0</v>
      </c>
      <c r="G822" s="144">
        <v>0</v>
      </c>
      <c r="H822" s="150">
        <v>0</v>
      </c>
      <c r="I822" s="567">
        <f t="shared" si="22"/>
        <v>0</v>
      </c>
    </row>
    <row r="823" spans="1:9" x14ac:dyDescent="0.15">
      <c r="A823" s="138"/>
      <c r="B823" s="523" t="s">
        <v>122</v>
      </c>
      <c r="C823" s="524" t="s">
        <v>123</v>
      </c>
      <c r="D823" s="144">
        <v>0</v>
      </c>
      <c r="E823" s="144">
        <v>0</v>
      </c>
      <c r="F823" s="144">
        <v>0</v>
      </c>
      <c r="G823" s="144">
        <v>0</v>
      </c>
      <c r="H823" s="150">
        <v>0</v>
      </c>
      <c r="I823" s="567">
        <f t="shared" si="22"/>
        <v>0</v>
      </c>
    </row>
    <row r="824" spans="1:9" x14ac:dyDescent="0.15">
      <c r="A824" s="138"/>
      <c r="B824" s="523" t="s">
        <v>1581</v>
      </c>
      <c r="C824" s="524" t="s">
        <v>124</v>
      </c>
      <c r="D824" s="144">
        <v>0</v>
      </c>
      <c r="E824" s="144">
        <v>0</v>
      </c>
      <c r="F824" s="144">
        <v>0</v>
      </c>
      <c r="G824" s="144">
        <v>0</v>
      </c>
      <c r="H824" s="150">
        <v>0</v>
      </c>
      <c r="I824" s="567">
        <f t="shared" si="22"/>
        <v>0</v>
      </c>
    </row>
    <row r="825" spans="1:9" x14ac:dyDescent="0.15">
      <c r="A825" s="138"/>
      <c r="B825" s="523" t="s">
        <v>127</v>
      </c>
      <c r="C825" s="524" t="s">
        <v>134</v>
      </c>
      <c r="D825" s="144">
        <v>0</v>
      </c>
      <c r="E825" s="144">
        <v>0</v>
      </c>
      <c r="F825" s="144">
        <v>0</v>
      </c>
      <c r="G825" s="144">
        <v>0</v>
      </c>
      <c r="H825" s="150">
        <v>0</v>
      </c>
      <c r="I825" s="567">
        <f t="shared" si="22"/>
        <v>0</v>
      </c>
    </row>
    <row r="826" spans="1:9" x14ac:dyDescent="0.15">
      <c r="A826" s="138"/>
      <c r="B826" s="523" t="s">
        <v>128</v>
      </c>
      <c r="C826" s="524" t="s">
        <v>135</v>
      </c>
      <c r="D826" s="144">
        <v>0</v>
      </c>
      <c r="E826" s="144">
        <v>0</v>
      </c>
      <c r="F826" s="144">
        <v>0</v>
      </c>
      <c r="G826" s="144">
        <v>0</v>
      </c>
      <c r="H826" s="150">
        <v>0</v>
      </c>
      <c r="I826" s="567">
        <f t="shared" si="22"/>
        <v>0</v>
      </c>
    </row>
    <row r="827" spans="1:9" x14ac:dyDescent="0.15">
      <c r="A827" s="138"/>
      <c r="B827" s="523" t="s">
        <v>132</v>
      </c>
      <c r="C827" s="524" t="s">
        <v>1617</v>
      </c>
      <c r="D827" s="144">
        <v>0</v>
      </c>
      <c r="E827" s="144">
        <v>0</v>
      </c>
      <c r="F827" s="144">
        <v>0</v>
      </c>
      <c r="G827" s="144">
        <v>0</v>
      </c>
      <c r="H827" s="150">
        <v>0</v>
      </c>
      <c r="I827" s="567">
        <f t="shared" si="22"/>
        <v>0</v>
      </c>
    </row>
    <row r="828" spans="1:9" x14ac:dyDescent="0.15">
      <c r="A828" s="138"/>
      <c r="B828" s="523" t="s">
        <v>1618</v>
      </c>
      <c r="C828" s="524" t="s">
        <v>836</v>
      </c>
      <c r="D828" s="144">
        <v>0</v>
      </c>
      <c r="E828" s="144">
        <v>0</v>
      </c>
      <c r="F828" s="144">
        <v>0</v>
      </c>
      <c r="G828" s="144">
        <v>0</v>
      </c>
      <c r="H828" s="150">
        <v>0</v>
      </c>
      <c r="I828" s="567">
        <f t="shared" si="22"/>
        <v>0</v>
      </c>
    </row>
    <row r="829" spans="1:9" x14ac:dyDescent="0.15">
      <c r="A829" s="138"/>
      <c r="B829" s="523" t="s">
        <v>1619</v>
      </c>
      <c r="C829" s="524" t="s">
        <v>837</v>
      </c>
      <c r="D829" s="144">
        <v>0</v>
      </c>
      <c r="E829" s="144">
        <v>0</v>
      </c>
      <c r="F829" s="144">
        <v>0</v>
      </c>
      <c r="G829" s="144">
        <v>0</v>
      </c>
      <c r="H829" s="150">
        <v>0</v>
      </c>
      <c r="I829" s="567">
        <f t="shared" si="22"/>
        <v>0</v>
      </c>
    </row>
    <row r="830" spans="1:9" x14ac:dyDescent="0.15">
      <c r="A830" s="138"/>
      <c r="B830" s="523" t="s">
        <v>1620</v>
      </c>
      <c r="C830" s="524" t="s">
        <v>838</v>
      </c>
      <c r="D830" s="144">
        <v>0</v>
      </c>
      <c r="E830" s="144">
        <v>0</v>
      </c>
      <c r="F830" s="144">
        <v>0</v>
      </c>
      <c r="G830" s="144">
        <v>0</v>
      </c>
      <c r="H830" s="150">
        <v>0</v>
      </c>
      <c r="I830" s="567">
        <f t="shared" si="22"/>
        <v>0</v>
      </c>
    </row>
    <row r="831" spans="1:9" x14ac:dyDescent="0.15">
      <c r="A831" s="138"/>
      <c r="B831" s="523" t="s">
        <v>1621</v>
      </c>
      <c r="C831" s="524" t="s">
        <v>839</v>
      </c>
      <c r="D831" s="144">
        <v>0</v>
      </c>
      <c r="E831" s="144">
        <v>0</v>
      </c>
      <c r="F831" s="144">
        <v>0</v>
      </c>
      <c r="G831" s="144">
        <v>0</v>
      </c>
      <c r="H831" s="150">
        <v>0</v>
      </c>
      <c r="I831" s="567">
        <f t="shared" si="22"/>
        <v>0</v>
      </c>
    </row>
    <row r="832" spans="1:9" x14ac:dyDescent="0.15">
      <c r="A832" s="138"/>
      <c r="B832" s="523" t="s">
        <v>1622</v>
      </c>
      <c r="C832" s="524" t="s">
        <v>190</v>
      </c>
      <c r="D832" s="144">
        <v>0</v>
      </c>
      <c r="E832" s="144">
        <v>0</v>
      </c>
      <c r="F832" s="144">
        <v>0</v>
      </c>
      <c r="G832" s="144">
        <v>0</v>
      </c>
      <c r="H832" s="150">
        <v>0</v>
      </c>
      <c r="I832" s="567">
        <f t="shared" si="22"/>
        <v>0</v>
      </c>
    </row>
    <row r="833" spans="1:9" x14ac:dyDescent="0.15">
      <c r="A833" s="138"/>
      <c r="B833" s="523" t="s">
        <v>1623</v>
      </c>
      <c r="C833" s="524" t="s">
        <v>191</v>
      </c>
      <c r="D833" s="144">
        <v>0</v>
      </c>
      <c r="E833" s="144">
        <v>0</v>
      </c>
      <c r="F833" s="144">
        <v>0</v>
      </c>
      <c r="G833" s="144">
        <v>0</v>
      </c>
      <c r="H833" s="150">
        <v>0</v>
      </c>
      <c r="I833" s="567">
        <f t="shared" si="22"/>
        <v>0</v>
      </c>
    </row>
    <row r="834" spans="1:9" x14ac:dyDescent="0.15">
      <c r="A834" s="138"/>
      <c r="B834" s="523" t="s">
        <v>1624</v>
      </c>
      <c r="C834" s="524" t="s">
        <v>840</v>
      </c>
      <c r="D834" s="144">
        <v>0</v>
      </c>
      <c r="E834" s="144">
        <v>0</v>
      </c>
      <c r="F834" s="144">
        <v>0</v>
      </c>
      <c r="G834" s="144">
        <v>0</v>
      </c>
      <c r="H834" s="150">
        <v>0</v>
      </c>
      <c r="I834" s="567">
        <f t="shared" si="22"/>
        <v>0</v>
      </c>
    </row>
    <row r="835" spans="1:9" x14ac:dyDescent="0.15">
      <c r="A835" s="138"/>
      <c r="B835" s="523" t="s">
        <v>1625</v>
      </c>
      <c r="C835" s="524" t="s">
        <v>842</v>
      </c>
      <c r="D835" s="144">
        <v>0</v>
      </c>
      <c r="E835" s="144">
        <v>0</v>
      </c>
      <c r="F835" s="144">
        <v>0</v>
      </c>
      <c r="G835" s="144">
        <v>0</v>
      </c>
      <c r="H835" s="150">
        <v>0</v>
      </c>
      <c r="I835" s="567">
        <f t="shared" si="22"/>
        <v>0</v>
      </c>
    </row>
    <row r="836" spans="1:9" x14ac:dyDescent="0.15">
      <c r="A836" s="138"/>
      <c r="B836" s="523" t="s">
        <v>843</v>
      </c>
      <c r="C836" s="524" t="s">
        <v>848</v>
      </c>
      <c r="D836" s="144">
        <v>0</v>
      </c>
      <c r="E836" s="144">
        <v>0</v>
      </c>
      <c r="F836" s="144">
        <v>0</v>
      </c>
      <c r="G836" s="144">
        <v>0</v>
      </c>
      <c r="H836" s="150">
        <v>0</v>
      </c>
      <c r="I836" s="567">
        <f t="shared" si="22"/>
        <v>0</v>
      </c>
    </row>
    <row r="837" spans="1:9" x14ac:dyDescent="0.15">
      <c r="A837" s="138"/>
      <c r="B837" s="523" t="s">
        <v>844</v>
      </c>
      <c r="C837" s="524" t="s">
        <v>153</v>
      </c>
      <c r="D837" s="144">
        <v>0</v>
      </c>
      <c r="E837" s="144">
        <v>0</v>
      </c>
      <c r="F837" s="144">
        <v>0</v>
      </c>
      <c r="G837" s="144">
        <v>0</v>
      </c>
      <c r="H837" s="150">
        <v>0</v>
      </c>
      <c r="I837" s="567">
        <f t="shared" si="22"/>
        <v>0</v>
      </c>
    </row>
    <row r="838" spans="1:9" x14ac:dyDescent="0.15">
      <c r="A838" s="138"/>
      <c r="B838" s="523" t="s">
        <v>845</v>
      </c>
      <c r="C838" s="524" t="s">
        <v>154</v>
      </c>
      <c r="D838" s="144">
        <v>0</v>
      </c>
      <c r="E838" s="144">
        <v>0</v>
      </c>
      <c r="F838" s="144">
        <v>0</v>
      </c>
      <c r="G838" s="144">
        <v>0</v>
      </c>
      <c r="H838" s="150">
        <v>0</v>
      </c>
      <c r="I838" s="567">
        <f t="shared" si="22"/>
        <v>0</v>
      </c>
    </row>
    <row r="839" spans="1:9" x14ac:dyDescent="0.15">
      <c r="A839" s="138"/>
      <c r="B839" s="523" t="s">
        <v>846</v>
      </c>
      <c r="C839" s="524" t="s">
        <v>155</v>
      </c>
      <c r="D839" s="144">
        <v>0</v>
      </c>
      <c r="E839" s="144">
        <v>0</v>
      </c>
      <c r="F839" s="144">
        <v>0</v>
      </c>
      <c r="G839" s="144">
        <v>0</v>
      </c>
      <c r="H839" s="150">
        <v>0</v>
      </c>
      <c r="I839" s="567">
        <f t="shared" si="22"/>
        <v>0</v>
      </c>
    </row>
    <row r="840" spans="1:9" x14ac:dyDescent="0.15">
      <c r="A840" s="138"/>
      <c r="B840" s="523" t="s">
        <v>1582</v>
      </c>
      <c r="C840" s="524" t="s">
        <v>156</v>
      </c>
      <c r="D840" s="144">
        <v>0</v>
      </c>
      <c r="E840" s="144">
        <v>0</v>
      </c>
      <c r="F840" s="144">
        <v>0</v>
      </c>
      <c r="G840" s="144">
        <v>0</v>
      </c>
      <c r="H840" s="150">
        <v>0</v>
      </c>
      <c r="I840" s="567">
        <f t="shared" si="22"/>
        <v>0</v>
      </c>
    </row>
    <row r="841" spans="1:9" x14ac:dyDescent="0.15">
      <c r="A841" s="138"/>
      <c r="B841" s="523" t="s">
        <v>847</v>
      </c>
      <c r="C841" s="524" t="s">
        <v>157</v>
      </c>
      <c r="D841" s="144">
        <v>0</v>
      </c>
      <c r="E841" s="144">
        <v>0</v>
      </c>
      <c r="F841" s="144">
        <v>0</v>
      </c>
      <c r="G841" s="144">
        <v>0</v>
      </c>
      <c r="H841" s="150">
        <v>0</v>
      </c>
      <c r="I841" s="567">
        <f t="shared" si="22"/>
        <v>0</v>
      </c>
    </row>
    <row r="842" spans="1:9" x14ac:dyDescent="0.15">
      <c r="A842" s="138"/>
      <c r="B842" s="523" t="s">
        <v>1583</v>
      </c>
      <c r="C842" s="524" t="s">
        <v>160</v>
      </c>
      <c r="D842" s="144">
        <v>0</v>
      </c>
      <c r="E842" s="144">
        <v>0</v>
      </c>
      <c r="F842" s="144">
        <v>0</v>
      </c>
      <c r="G842" s="144">
        <v>0</v>
      </c>
      <c r="H842" s="150">
        <v>0</v>
      </c>
      <c r="I842" s="567">
        <f t="shared" si="22"/>
        <v>0</v>
      </c>
    </row>
    <row r="843" spans="1:9" x14ac:dyDescent="0.15">
      <c r="A843" s="138"/>
      <c r="B843" s="523" t="s">
        <v>634</v>
      </c>
      <c r="C843" s="524" t="s">
        <v>165</v>
      </c>
      <c r="D843" s="144">
        <v>0</v>
      </c>
      <c r="E843" s="144">
        <v>0</v>
      </c>
      <c r="F843" s="144">
        <v>0</v>
      </c>
      <c r="G843" s="144">
        <v>0</v>
      </c>
      <c r="H843" s="150">
        <v>0</v>
      </c>
      <c r="I843" s="567">
        <f t="shared" si="22"/>
        <v>0</v>
      </c>
    </row>
    <row r="844" spans="1:9" x14ac:dyDescent="0.15">
      <c r="A844" s="138"/>
      <c r="B844" s="523" t="s">
        <v>630</v>
      </c>
      <c r="C844" s="524" t="s">
        <v>172</v>
      </c>
      <c r="D844" s="144">
        <v>0</v>
      </c>
      <c r="E844" s="144">
        <v>0</v>
      </c>
      <c r="F844" s="144">
        <v>0</v>
      </c>
      <c r="G844" s="144">
        <v>0</v>
      </c>
      <c r="H844" s="150">
        <v>0</v>
      </c>
      <c r="I844" s="567">
        <f t="shared" si="22"/>
        <v>0</v>
      </c>
    </row>
    <row r="845" spans="1:9" x14ac:dyDescent="0.15">
      <c r="A845" s="138"/>
      <c r="B845" s="650" t="s">
        <v>631</v>
      </c>
      <c r="C845" s="651" t="s">
        <v>173</v>
      </c>
      <c r="D845" s="144">
        <v>0</v>
      </c>
      <c r="E845" s="144">
        <v>0</v>
      </c>
      <c r="F845" s="144">
        <v>0</v>
      </c>
      <c r="G845" s="144">
        <v>0</v>
      </c>
      <c r="H845" s="150">
        <v>0</v>
      </c>
      <c r="I845" s="567">
        <f t="shared" si="22"/>
        <v>0</v>
      </c>
    </row>
    <row r="846" spans="1:9" x14ac:dyDescent="0.15">
      <c r="A846" s="138"/>
      <c r="B846" s="523" t="s">
        <v>1584</v>
      </c>
      <c r="C846" s="524" t="s">
        <v>178</v>
      </c>
      <c r="D846" s="144">
        <v>0</v>
      </c>
      <c r="E846" s="144">
        <v>0</v>
      </c>
      <c r="F846" s="144">
        <v>0</v>
      </c>
      <c r="G846" s="144">
        <v>0</v>
      </c>
      <c r="H846" s="150">
        <v>0</v>
      </c>
      <c r="I846" s="567">
        <f t="shared" si="22"/>
        <v>0</v>
      </c>
    </row>
    <row r="847" spans="1:9" x14ac:dyDescent="0.15">
      <c r="A847" s="138"/>
      <c r="B847" s="523" t="s">
        <v>174</v>
      </c>
      <c r="C847" s="524" t="s">
        <v>179</v>
      </c>
      <c r="D847" s="144">
        <v>0</v>
      </c>
      <c r="E847" s="144">
        <v>0</v>
      </c>
      <c r="F847" s="144">
        <v>0</v>
      </c>
      <c r="G847" s="144">
        <v>0</v>
      </c>
      <c r="H847" s="150">
        <v>0</v>
      </c>
      <c r="I847" s="567">
        <f t="shared" si="22"/>
        <v>0</v>
      </c>
    </row>
    <row r="848" spans="1:9" x14ac:dyDescent="0.15">
      <c r="A848" s="138"/>
      <c r="B848" s="523" t="s">
        <v>175</v>
      </c>
      <c r="C848" s="524" t="s">
        <v>180</v>
      </c>
      <c r="D848" s="144">
        <v>0</v>
      </c>
      <c r="E848" s="144">
        <v>0</v>
      </c>
      <c r="F848" s="144">
        <v>0</v>
      </c>
      <c r="G848" s="144">
        <v>0</v>
      </c>
      <c r="H848" s="150">
        <v>0</v>
      </c>
      <c r="I848" s="567">
        <f t="shared" si="22"/>
        <v>0</v>
      </c>
    </row>
    <row r="849" spans="1:9" ht="11.25" thickBot="1" x14ac:dyDescent="0.2">
      <c r="A849" s="138"/>
      <c r="B849" s="523" t="s">
        <v>176</v>
      </c>
      <c r="C849" s="524" t="s">
        <v>181</v>
      </c>
      <c r="D849" s="144">
        <v>0</v>
      </c>
      <c r="E849" s="144">
        <v>0</v>
      </c>
      <c r="F849" s="144">
        <v>0</v>
      </c>
      <c r="G849" s="144">
        <v>0</v>
      </c>
      <c r="H849" s="150">
        <v>0</v>
      </c>
      <c r="I849" s="567">
        <f t="shared" si="22"/>
        <v>0</v>
      </c>
    </row>
    <row r="850" spans="1:9" ht="12" thickTop="1" thickBot="1" x14ac:dyDescent="0.2">
      <c r="A850" s="138"/>
      <c r="B850" s="523"/>
      <c r="C850" s="524" t="s">
        <v>378</v>
      </c>
      <c r="D850" s="169">
        <f>SUM(D816:D849)</f>
        <v>0</v>
      </c>
      <c r="E850" s="169">
        <f>SUM(E816:E849)</f>
        <v>0</v>
      </c>
      <c r="F850" s="169">
        <f>SUM(F816:F849)</f>
        <v>0</v>
      </c>
      <c r="G850" s="169">
        <f>SUM(G816:G849)</f>
        <v>0</v>
      </c>
      <c r="H850" s="169">
        <f>SUM(H816:H849)</f>
        <v>0</v>
      </c>
      <c r="I850" s="169">
        <f t="shared" si="22"/>
        <v>0</v>
      </c>
    </row>
    <row r="851" spans="1:9" ht="11.25" thickTop="1" x14ac:dyDescent="0.15">
      <c r="A851" s="138"/>
      <c r="B851" s="524"/>
      <c r="C851" s="524"/>
      <c r="D851" s="14"/>
      <c r="E851" s="14"/>
      <c r="F851" s="14"/>
      <c r="G851" s="14"/>
      <c r="H851" s="14"/>
      <c r="I851" s="563"/>
    </row>
    <row r="852" spans="1:9" x14ac:dyDescent="0.15">
      <c r="A852" s="522" t="s">
        <v>380</v>
      </c>
      <c r="B852" s="524"/>
      <c r="C852" s="524"/>
      <c r="D852" s="14"/>
      <c r="E852" s="14"/>
      <c r="F852" s="14"/>
      <c r="G852" s="14"/>
      <c r="H852" s="14"/>
      <c r="I852" s="563"/>
    </row>
    <row r="853" spans="1:9" x14ac:dyDescent="0.15">
      <c r="A853" s="434"/>
      <c r="B853" s="523" t="s">
        <v>1577</v>
      </c>
      <c r="C853" s="524" t="s">
        <v>228</v>
      </c>
      <c r="D853" s="316">
        <v>0</v>
      </c>
      <c r="E853" s="316">
        <v>0</v>
      </c>
      <c r="F853" s="316">
        <v>0</v>
      </c>
      <c r="G853" s="528">
        <f t="array" ref="G853">SUM(IF(CertFund&amp;CertProg&amp;CertObj=RIGHT(LEFT($A$2,7),2)&amp;LEFT(A852,4)&amp;B853,CertSalary))</f>
        <v>0</v>
      </c>
      <c r="H853" s="527">
        <v>0</v>
      </c>
      <c r="I853" s="566">
        <f>SUM(G853+H853)</f>
        <v>0</v>
      </c>
    </row>
    <row r="854" spans="1:9" x14ac:dyDescent="0.15">
      <c r="A854" s="434"/>
      <c r="B854" s="523" t="s">
        <v>1577</v>
      </c>
      <c r="C854" s="524" t="s">
        <v>510</v>
      </c>
      <c r="D854" s="316">
        <v>0</v>
      </c>
      <c r="E854" s="316">
        <v>0</v>
      </c>
      <c r="F854" s="316">
        <v>0</v>
      </c>
      <c r="G854" s="316">
        <v>0</v>
      </c>
      <c r="H854" s="527">
        <v>0</v>
      </c>
      <c r="I854" s="566">
        <f>SUM(G854+H854)</f>
        <v>0</v>
      </c>
    </row>
    <row r="855" spans="1:9" x14ac:dyDescent="0.15">
      <c r="A855" s="524"/>
      <c r="B855" s="523" t="s">
        <v>1578</v>
      </c>
      <c r="C855" s="524" t="s">
        <v>936</v>
      </c>
      <c r="D855" s="316">
        <v>0</v>
      </c>
      <c r="E855" s="316">
        <v>0</v>
      </c>
      <c r="F855" s="316">
        <v>0</v>
      </c>
      <c r="G855" s="529">
        <f t="array" ref="G855">SUM(IF(CertFund&amp;CertProg&amp;CertObj=RIGHT(LEFT($A$2,7),2)&amp;LEFT(A852,4)&amp;B853,CertBen))</f>
        <v>0</v>
      </c>
      <c r="H855" s="527">
        <v>0</v>
      </c>
      <c r="I855" s="566">
        <f>SUM(G855+H855)</f>
        <v>0</v>
      </c>
    </row>
    <row r="856" spans="1:9" x14ac:dyDescent="0.15">
      <c r="A856" s="138"/>
      <c r="B856" s="521" t="s">
        <v>1578</v>
      </c>
      <c r="C856" s="138" t="s">
        <v>511</v>
      </c>
      <c r="D856" s="147">
        <v>0</v>
      </c>
      <c r="E856" s="147">
        <v>0</v>
      </c>
      <c r="F856" s="147">
        <v>0</v>
      </c>
      <c r="G856" s="147">
        <v>0</v>
      </c>
      <c r="H856" s="150">
        <v>0</v>
      </c>
      <c r="I856" s="567">
        <f>SUM(G856+H856)</f>
        <v>0</v>
      </c>
    </row>
    <row r="857" spans="1:9" x14ac:dyDescent="0.15">
      <c r="A857" s="138"/>
      <c r="B857" s="523" t="s">
        <v>1579</v>
      </c>
      <c r="C857" s="524" t="s">
        <v>118</v>
      </c>
      <c r="D857" s="144">
        <v>0</v>
      </c>
      <c r="E857" s="144">
        <v>0</v>
      </c>
      <c r="F857" s="144">
        <v>0</v>
      </c>
      <c r="G857" s="291">
        <v>0</v>
      </c>
      <c r="H857" s="150">
        <v>0</v>
      </c>
      <c r="I857" s="567">
        <f t="shared" ref="I857:I887" si="23">SUM(G857+H857)</f>
        <v>0</v>
      </c>
    </row>
    <row r="858" spans="1:9" x14ac:dyDescent="0.15">
      <c r="A858" s="138"/>
      <c r="B858" s="523" t="s">
        <v>1580</v>
      </c>
      <c r="C858" s="524" t="s">
        <v>119</v>
      </c>
      <c r="D858" s="144">
        <v>0</v>
      </c>
      <c r="E858" s="144">
        <v>0</v>
      </c>
      <c r="F858" s="144">
        <v>0</v>
      </c>
      <c r="G858" s="291">
        <v>0</v>
      </c>
      <c r="H858" s="150">
        <v>0</v>
      </c>
      <c r="I858" s="567">
        <f t="shared" si="23"/>
        <v>0</v>
      </c>
    </row>
    <row r="859" spans="1:9" x14ac:dyDescent="0.15">
      <c r="A859" s="138"/>
      <c r="B859" s="523" t="s">
        <v>120</v>
      </c>
      <c r="C859" s="524" t="s">
        <v>121</v>
      </c>
      <c r="D859" s="144">
        <v>0</v>
      </c>
      <c r="E859" s="144">
        <v>0</v>
      </c>
      <c r="F859" s="144">
        <v>0</v>
      </c>
      <c r="G859" s="291">
        <v>0</v>
      </c>
      <c r="H859" s="150">
        <v>0</v>
      </c>
      <c r="I859" s="567">
        <f t="shared" si="23"/>
        <v>0</v>
      </c>
    </row>
    <row r="860" spans="1:9" x14ac:dyDescent="0.15">
      <c r="A860" s="138"/>
      <c r="B860" s="523" t="s">
        <v>122</v>
      </c>
      <c r="C860" s="524" t="s">
        <v>123</v>
      </c>
      <c r="D860" s="144">
        <v>0</v>
      </c>
      <c r="E860" s="144">
        <v>0</v>
      </c>
      <c r="F860" s="144">
        <v>0</v>
      </c>
      <c r="G860" s="291">
        <v>0</v>
      </c>
      <c r="H860" s="150">
        <v>0</v>
      </c>
      <c r="I860" s="567">
        <f t="shared" si="23"/>
        <v>0</v>
      </c>
    </row>
    <row r="861" spans="1:9" x14ac:dyDescent="0.15">
      <c r="A861" s="138"/>
      <c r="B861" s="523" t="s">
        <v>1581</v>
      </c>
      <c r="C861" s="524" t="s">
        <v>124</v>
      </c>
      <c r="D861" s="144">
        <v>0</v>
      </c>
      <c r="E861" s="144">
        <v>0</v>
      </c>
      <c r="F861" s="144">
        <v>0</v>
      </c>
      <c r="G861" s="291">
        <v>0</v>
      </c>
      <c r="H861" s="150">
        <v>0</v>
      </c>
      <c r="I861" s="567">
        <f t="shared" si="23"/>
        <v>0</v>
      </c>
    </row>
    <row r="862" spans="1:9" x14ac:dyDescent="0.15">
      <c r="A862" s="138"/>
      <c r="B862" s="523" t="s">
        <v>127</v>
      </c>
      <c r="C862" s="524" t="s">
        <v>134</v>
      </c>
      <c r="D862" s="144">
        <v>0</v>
      </c>
      <c r="E862" s="144">
        <v>0</v>
      </c>
      <c r="F862" s="144">
        <v>0</v>
      </c>
      <c r="G862" s="291">
        <v>0</v>
      </c>
      <c r="H862" s="150">
        <v>0</v>
      </c>
      <c r="I862" s="567">
        <f t="shared" si="23"/>
        <v>0</v>
      </c>
    </row>
    <row r="863" spans="1:9" x14ac:dyDescent="0.15">
      <c r="A863" s="138"/>
      <c r="B863" s="523" t="s">
        <v>128</v>
      </c>
      <c r="C863" s="524" t="s">
        <v>135</v>
      </c>
      <c r="D863" s="144">
        <v>0</v>
      </c>
      <c r="E863" s="144">
        <v>0</v>
      </c>
      <c r="F863" s="144">
        <v>0</v>
      </c>
      <c r="G863" s="291">
        <v>0</v>
      </c>
      <c r="H863" s="150">
        <v>0</v>
      </c>
      <c r="I863" s="567">
        <f t="shared" si="23"/>
        <v>0</v>
      </c>
    </row>
    <row r="864" spans="1:9" x14ac:dyDescent="0.15">
      <c r="A864" s="138"/>
      <c r="B864" s="523" t="s">
        <v>132</v>
      </c>
      <c r="C864" s="524" t="s">
        <v>1617</v>
      </c>
      <c r="D864" s="144">
        <v>0</v>
      </c>
      <c r="E864" s="144">
        <v>0</v>
      </c>
      <c r="F864" s="144">
        <v>0</v>
      </c>
      <c r="G864" s="291">
        <v>0</v>
      </c>
      <c r="H864" s="150">
        <v>0</v>
      </c>
      <c r="I864" s="567">
        <f t="shared" si="23"/>
        <v>0</v>
      </c>
    </row>
    <row r="865" spans="1:9" x14ac:dyDescent="0.15">
      <c r="A865" s="138"/>
      <c r="B865" s="523" t="s">
        <v>1618</v>
      </c>
      <c r="C865" s="524" t="s">
        <v>836</v>
      </c>
      <c r="D865" s="144">
        <v>0</v>
      </c>
      <c r="E865" s="144">
        <v>0</v>
      </c>
      <c r="F865" s="144">
        <v>0</v>
      </c>
      <c r="G865" s="291">
        <v>0</v>
      </c>
      <c r="H865" s="150">
        <v>0</v>
      </c>
      <c r="I865" s="567">
        <f t="shared" si="23"/>
        <v>0</v>
      </c>
    </row>
    <row r="866" spans="1:9" x14ac:dyDescent="0.15">
      <c r="A866" s="138"/>
      <c r="B866" s="523" t="s">
        <v>1619</v>
      </c>
      <c r="C866" s="524" t="s">
        <v>837</v>
      </c>
      <c r="D866" s="144">
        <v>0</v>
      </c>
      <c r="E866" s="144">
        <v>0</v>
      </c>
      <c r="F866" s="144">
        <v>0</v>
      </c>
      <c r="G866" s="291">
        <v>0</v>
      </c>
      <c r="H866" s="150">
        <v>0</v>
      </c>
      <c r="I866" s="567">
        <f t="shared" si="23"/>
        <v>0</v>
      </c>
    </row>
    <row r="867" spans="1:9" x14ac:dyDescent="0.15">
      <c r="A867" s="138"/>
      <c r="B867" s="523" t="s">
        <v>1620</v>
      </c>
      <c r="C867" s="524" t="s">
        <v>838</v>
      </c>
      <c r="D867" s="144">
        <v>0</v>
      </c>
      <c r="E867" s="144">
        <v>0</v>
      </c>
      <c r="F867" s="144">
        <v>0</v>
      </c>
      <c r="G867" s="291">
        <v>0</v>
      </c>
      <c r="H867" s="150">
        <v>0</v>
      </c>
      <c r="I867" s="567">
        <f t="shared" si="23"/>
        <v>0</v>
      </c>
    </row>
    <row r="868" spans="1:9" x14ac:dyDescent="0.15">
      <c r="A868" s="138"/>
      <c r="B868" s="523" t="s">
        <v>1621</v>
      </c>
      <c r="C868" s="524" t="s">
        <v>839</v>
      </c>
      <c r="D868" s="144">
        <v>0</v>
      </c>
      <c r="E868" s="144">
        <v>0</v>
      </c>
      <c r="F868" s="144">
        <v>0</v>
      </c>
      <c r="G868" s="291">
        <v>0</v>
      </c>
      <c r="H868" s="150">
        <v>0</v>
      </c>
      <c r="I868" s="567">
        <f t="shared" si="23"/>
        <v>0</v>
      </c>
    </row>
    <row r="869" spans="1:9" x14ac:dyDescent="0.15">
      <c r="A869" s="138"/>
      <c r="B869" s="523" t="s">
        <v>1622</v>
      </c>
      <c r="C869" s="524" t="s">
        <v>190</v>
      </c>
      <c r="D869" s="144">
        <v>0</v>
      </c>
      <c r="E869" s="144">
        <v>0</v>
      </c>
      <c r="F869" s="144">
        <v>0</v>
      </c>
      <c r="G869" s="291">
        <v>0</v>
      </c>
      <c r="H869" s="150">
        <v>0</v>
      </c>
      <c r="I869" s="567">
        <f t="shared" si="23"/>
        <v>0</v>
      </c>
    </row>
    <row r="870" spans="1:9" x14ac:dyDescent="0.15">
      <c r="A870" s="138"/>
      <c r="B870" s="523" t="s">
        <v>1623</v>
      </c>
      <c r="C870" s="524" t="s">
        <v>191</v>
      </c>
      <c r="D870" s="144">
        <v>0</v>
      </c>
      <c r="E870" s="144">
        <v>0</v>
      </c>
      <c r="F870" s="144">
        <v>0</v>
      </c>
      <c r="G870" s="291">
        <v>0</v>
      </c>
      <c r="H870" s="150">
        <v>0</v>
      </c>
      <c r="I870" s="567">
        <f t="shared" si="23"/>
        <v>0</v>
      </c>
    </row>
    <row r="871" spans="1:9" x14ac:dyDescent="0.15">
      <c r="A871" s="138"/>
      <c r="B871" s="523" t="s">
        <v>1624</v>
      </c>
      <c r="C871" s="524" t="s">
        <v>840</v>
      </c>
      <c r="D871" s="144">
        <v>0</v>
      </c>
      <c r="E871" s="144">
        <v>0</v>
      </c>
      <c r="F871" s="144">
        <v>0</v>
      </c>
      <c r="G871" s="291">
        <v>0</v>
      </c>
      <c r="H871" s="150">
        <v>0</v>
      </c>
      <c r="I871" s="567">
        <f t="shared" si="23"/>
        <v>0</v>
      </c>
    </row>
    <row r="872" spans="1:9" x14ac:dyDescent="0.15">
      <c r="A872" s="138"/>
      <c r="B872" s="523" t="s">
        <v>1625</v>
      </c>
      <c r="C872" s="524" t="s">
        <v>842</v>
      </c>
      <c r="D872" s="144">
        <v>0</v>
      </c>
      <c r="E872" s="144">
        <v>0</v>
      </c>
      <c r="F872" s="144">
        <v>0</v>
      </c>
      <c r="G872" s="291">
        <v>0</v>
      </c>
      <c r="H872" s="150">
        <v>0</v>
      </c>
      <c r="I872" s="567">
        <f t="shared" si="23"/>
        <v>0</v>
      </c>
    </row>
    <row r="873" spans="1:9" x14ac:dyDescent="0.15">
      <c r="A873" s="138"/>
      <c r="B873" s="523" t="s">
        <v>843</v>
      </c>
      <c r="C873" s="524" t="s">
        <v>848</v>
      </c>
      <c r="D873" s="144">
        <v>0</v>
      </c>
      <c r="E873" s="144">
        <v>0</v>
      </c>
      <c r="F873" s="144">
        <v>0</v>
      </c>
      <c r="G873" s="291">
        <v>0</v>
      </c>
      <c r="H873" s="150">
        <v>0</v>
      </c>
      <c r="I873" s="567">
        <f t="shared" si="23"/>
        <v>0</v>
      </c>
    </row>
    <row r="874" spans="1:9" x14ac:dyDescent="0.15">
      <c r="A874" s="138"/>
      <c r="B874" s="523" t="s">
        <v>844</v>
      </c>
      <c r="C874" s="524" t="s">
        <v>153</v>
      </c>
      <c r="D874" s="144">
        <v>0</v>
      </c>
      <c r="E874" s="144">
        <v>0</v>
      </c>
      <c r="F874" s="144">
        <v>0</v>
      </c>
      <c r="G874" s="291">
        <v>0</v>
      </c>
      <c r="H874" s="150">
        <v>0</v>
      </c>
      <c r="I874" s="567">
        <f t="shared" si="23"/>
        <v>0</v>
      </c>
    </row>
    <row r="875" spans="1:9" x14ac:dyDescent="0.15">
      <c r="A875" s="138"/>
      <c r="B875" s="523" t="s">
        <v>845</v>
      </c>
      <c r="C875" s="524" t="s">
        <v>154</v>
      </c>
      <c r="D875" s="144">
        <v>0</v>
      </c>
      <c r="E875" s="144">
        <v>0</v>
      </c>
      <c r="F875" s="144">
        <v>0</v>
      </c>
      <c r="G875" s="291">
        <v>0</v>
      </c>
      <c r="H875" s="150">
        <v>0</v>
      </c>
      <c r="I875" s="567">
        <f t="shared" si="23"/>
        <v>0</v>
      </c>
    </row>
    <row r="876" spans="1:9" x14ac:dyDescent="0.15">
      <c r="A876" s="138"/>
      <c r="B876" s="523" t="s">
        <v>846</v>
      </c>
      <c r="C876" s="524" t="s">
        <v>155</v>
      </c>
      <c r="D876" s="144">
        <v>0</v>
      </c>
      <c r="E876" s="144">
        <v>0</v>
      </c>
      <c r="F876" s="144">
        <v>0</v>
      </c>
      <c r="G876" s="291">
        <v>0</v>
      </c>
      <c r="H876" s="150">
        <v>0</v>
      </c>
      <c r="I876" s="567">
        <f t="shared" si="23"/>
        <v>0</v>
      </c>
    </row>
    <row r="877" spans="1:9" x14ac:dyDescent="0.15">
      <c r="A877" s="138"/>
      <c r="B877" s="523" t="s">
        <v>1582</v>
      </c>
      <c r="C877" s="524" t="s">
        <v>156</v>
      </c>
      <c r="D877" s="144">
        <v>0</v>
      </c>
      <c r="E877" s="144">
        <v>0</v>
      </c>
      <c r="F877" s="144">
        <v>0</v>
      </c>
      <c r="G877" s="291">
        <v>0</v>
      </c>
      <c r="H877" s="150">
        <v>0</v>
      </c>
      <c r="I877" s="567">
        <f t="shared" si="23"/>
        <v>0</v>
      </c>
    </row>
    <row r="878" spans="1:9" x14ac:dyDescent="0.15">
      <c r="A878" s="138"/>
      <c r="B878" s="523" t="s">
        <v>847</v>
      </c>
      <c r="C878" s="524" t="s">
        <v>157</v>
      </c>
      <c r="D878" s="144">
        <v>0</v>
      </c>
      <c r="E878" s="144">
        <v>0</v>
      </c>
      <c r="F878" s="144">
        <v>0</v>
      </c>
      <c r="G878" s="291">
        <v>0</v>
      </c>
      <c r="H878" s="150">
        <v>0</v>
      </c>
      <c r="I878" s="567">
        <f t="shared" si="23"/>
        <v>0</v>
      </c>
    </row>
    <row r="879" spans="1:9" x14ac:dyDescent="0.15">
      <c r="A879" s="138"/>
      <c r="B879" s="523" t="s">
        <v>1583</v>
      </c>
      <c r="C879" s="524" t="s">
        <v>160</v>
      </c>
      <c r="D879" s="144">
        <v>0</v>
      </c>
      <c r="E879" s="144">
        <v>0</v>
      </c>
      <c r="F879" s="144">
        <v>0</v>
      </c>
      <c r="G879" s="291">
        <v>0</v>
      </c>
      <c r="H879" s="150">
        <v>0</v>
      </c>
      <c r="I879" s="567">
        <f t="shared" si="23"/>
        <v>0</v>
      </c>
    </row>
    <row r="880" spans="1:9" x14ac:dyDescent="0.15">
      <c r="A880" s="138"/>
      <c r="B880" s="523" t="s">
        <v>634</v>
      </c>
      <c r="C880" s="524" t="s">
        <v>165</v>
      </c>
      <c r="D880" s="144">
        <v>0</v>
      </c>
      <c r="E880" s="144">
        <v>0</v>
      </c>
      <c r="F880" s="144">
        <v>0</v>
      </c>
      <c r="G880" s="291">
        <v>0</v>
      </c>
      <c r="H880" s="150">
        <v>0</v>
      </c>
      <c r="I880" s="567">
        <f t="shared" si="23"/>
        <v>0</v>
      </c>
    </row>
    <row r="881" spans="1:9" x14ac:dyDescent="0.15">
      <c r="A881" s="138"/>
      <c r="B881" s="523" t="s">
        <v>630</v>
      </c>
      <c r="C881" s="524" t="s">
        <v>172</v>
      </c>
      <c r="D881" s="144">
        <v>0</v>
      </c>
      <c r="E881" s="144">
        <v>0</v>
      </c>
      <c r="F881" s="144">
        <v>0</v>
      </c>
      <c r="G881" s="291">
        <v>0</v>
      </c>
      <c r="H881" s="150">
        <v>0</v>
      </c>
      <c r="I881" s="567">
        <f t="shared" si="23"/>
        <v>0</v>
      </c>
    </row>
    <row r="882" spans="1:9" x14ac:dyDescent="0.15">
      <c r="A882" s="138"/>
      <c r="B882" s="650" t="s">
        <v>631</v>
      </c>
      <c r="C882" s="651" t="s">
        <v>173</v>
      </c>
      <c r="D882" s="144">
        <v>0</v>
      </c>
      <c r="E882" s="144">
        <v>0</v>
      </c>
      <c r="F882" s="144">
        <v>0</v>
      </c>
      <c r="G882" s="291">
        <v>0</v>
      </c>
      <c r="H882" s="150">
        <v>0</v>
      </c>
      <c r="I882" s="567">
        <f t="shared" si="23"/>
        <v>0</v>
      </c>
    </row>
    <row r="883" spans="1:9" x14ac:dyDescent="0.15">
      <c r="A883" s="138"/>
      <c r="B883" s="523" t="s">
        <v>1584</v>
      </c>
      <c r="C883" s="524" t="s">
        <v>178</v>
      </c>
      <c r="D883" s="144">
        <v>0</v>
      </c>
      <c r="E883" s="144">
        <v>0</v>
      </c>
      <c r="F883" s="144">
        <v>0</v>
      </c>
      <c r="G883" s="291">
        <v>0</v>
      </c>
      <c r="H883" s="150">
        <v>0</v>
      </c>
      <c r="I883" s="567">
        <f t="shared" si="23"/>
        <v>0</v>
      </c>
    </row>
    <row r="884" spans="1:9" x14ac:dyDescent="0.15">
      <c r="A884" s="138"/>
      <c r="B884" s="523" t="s">
        <v>174</v>
      </c>
      <c r="C884" s="524" t="s">
        <v>179</v>
      </c>
      <c r="D884" s="144">
        <v>0</v>
      </c>
      <c r="E884" s="144">
        <v>0</v>
      </c>
      <c r="F884" s="144">
        <v>0</v>
      </c>
      <c r="G884" s="291">
        <v>0</v>
      </c>
      <c r="H884" s="150">
        <v>0</v>
      </c>
      <c r="I884" s="567">
        <f t="shared" si="23"/>
        <v>0</v>
      </c>
    </row>
    <row r="885" spans="1:9" x14ac:dyDescent="0.15">
      <c r="A885" s="138"/>
      <c r="B885" s="523" t="s">
        <v>175</v>
      </c>
      <c r="C885" s="524" t="s">
        <v>180</v>
      </c>
      <c r="D885" s="144">
        <v>0</v>
      </c>
      <c r="E885" s="144">
        <v>0</v>
      </c>
      <c r="F885" s="144">
        <v>0</v>
      </c>
      <c r="G885" s="291">
        <v>0</v>
      </c>
      <c r="H885" s="150">
        <v>0</v>
      </c>
      <c r="I885" s="567">
        <f t="shared" si="23"/>
        <v>0</v>
      </c>
    </row>
    <row r="886" spans="1:9" ht="11.25" thickBot="1" x14ac:dyDescent="0.2">
      <c r="A886" s="138"/>
      <c r="B886" s="523" t="s">
        <v>176</v>
      </c>
      <c r="C886" s="524" t="s">
        <v>181</v>
      </c>
      <c r="D886" s="144">
        <v>0</v>
      </c>
      <c r="E886" s="144">
        <v>0</v>
      </c>
      <c r="F886" s="144">
        <v>0</v>
      </c>
      <c r="G886" s="291">
        <v>0</v>
      </c>
      <c r="H886" s="150">
        <v>0</v>
      </c>
      <c r="I886" s="567">
        <f t="shared" si="23"/>
        <v>0</v>
      </c>
    </row>
    <row r="887" spans="1:9" ht="12" thickTop="1" thickBot="1" x14ac:dyDescent="0.2">
      <c r="A887" s="138"/>
      <c r="B887" s="523"/>
      <c r="C887" s="524" t="s">
        <v>381</v>
      </c>
      <c r="D887" s="169">
        <f>SUM(D853:D886)</f>
        <v>0</v>
      </c>
      <c r="E887" s="169">
        <f>SUM(E853:E886)</f>
        <v>0</v>
      </c>
      <c r="F887" s="169">
        <f>SUM(F853:F886)</f>
        <v>0</v>
      </c>
      <c r="G887" s="169">
        <f>SUM(G853:G886)</f>
        <v>0</v>
      </c>
      <c r="H887" s="169">
        <f>SUM(H853:H886)</f>
        <v>0</v>
      </c>
      <c r="I887" s="169">
        <f t="shared" si="23"/>
        <v>0</v>
      </c>
    </row>
    <row r="888" spans="1:9" ht="11.25" thickTop="1" x14ac:dyDescent="0.15">
      <c r="A888" s="138"/>
      <c r="B888" s="524"/>
      <c r="C888" s="524"/>
      <c r="D888" s="14"/>
      <c r="E888" s="14"/>
      <c r="F888" s="14"/>
      <c r="G888" s="14"/>
      <c r="H888" s="14"/>
      <c r="I888" s="563"/>
    </row>
    <row r="889" spans="1:9" x14ac:dyDescent="0.15">
      <c r="A889" s="522" t="s">
        <v>382</v>
      </c>
      <c r="B889" s="524"/>
      <c r="C889" s="524"/>
      <c r="D889" s="14"/>
      <c r="E889" s="14"/>
      <c r="F889" s="14"/>
      <c r="G889" s="14"/>
      <c r="H889" s="14"/>
      <c r="I889" s="563"/>
    </row>
    <row r="890" spans="1:9" x14ac:dyDescent="0.15">
      <c r="A890" s="434"/>
      <c r="B890" s="523" t="s">
        <v>1577</v>
      </c>
      <c r="C890" s="524" t="s">
        <v>228</v>
      </c>
      <c r="D890" s="316">
        <v>0</v>
      </c>
      <c r="E890" s="316">
        <v>0</v>
      </c>
      <c r="F890" s="316">
        <v>0</v>
      </c>
      <c r="G890" s="528">
        <f t="array" ref="G890">SUM(IF(CertFund&amp;CertProg&amp;CertObj=RIGHT(LEFT($A$2,7),2)&amp;LEFT(A889,4)&amp;B890,CertSalary))</f>
        <v>0</v>
      </c>
      <c r="H890" s="527">
        <v>0</v>
      </c>
      <c r="I890" s="566">
        <f>SUM(G890+H890)</f>
        <v>0</v>
      </c>
    </row>
    <row r="891" spans="1:9" x14ac:dyDescent="0.15">
      <c r="A891" s="434"/>
      <c r="B891" s="523" t="s">
        <v>1577</v>
      </c>
      <c r="C891" s="524" t="s">
        <v>510</v>
      </c>
      <c r="D891" s="316">
        <v>0</v>
      </c>
      <c r="E891" s="316">
        <v>0</v>
      </c>
      <c r="F891" s="316">
        <v>0</v>
      </c>
      <c r="G891" s="316">
        <v>0</v>
      </c>
      <c r="H891" s="527">
        <v>0</v>
      </c>
      <c r="I891" s="566">
        <f>SUM(G891+H891)</f>
        <v>0</v>
      </c>
    </row>
    <row r="892" spans="1:9" x14ac:dyDescent="0.15">
      <c r="A892" s="524"/>
      <c r="B892" s="523" t="s">
        <v>1578</v>
      </c>
      <c r="C892" s="524" t="s">
        <v>936</v>
      </c>
      <c r="D892" s="316">
        <v>0</v>
      </c>
      <c r="E892" s="316">
        <v>0</v>
      </c>
      <c r="F892" s="316">
        <v>0</v>
      </c>
      <c r="G892" s="529">
        <f t="array" ref="G892">SUM(IF(CertFund&amp;CertProg&amp;CertObj=RIGHT(LEFT($A$2,7),2)&amp;LEFT(A889,4)&amp;B890,CertBen))</f>
        <v>0</v>
      </c>
      <c r="H892" s="527">
        <v>0</v>
      </c>
      <c r="I892" s="566">
        <f>SUM(G892+H892)</f>
        <v>0</v>
      </c>
    </row>
    <row r="893" spans="1:9" x14ac:dyDescent="0.15">
      <c r="A893" s="524"/>
      <c r="B893" s="523" t="s">
        <v>1578</v>
      </c>
      <c r="C893" s="524" t="s">
        <v>511</v>
      </c>
      <c r="D893" s="316">
        <v>0</v>
      </c>
      <c r="E893" s="316">
        <v>0</v>
      </c>
      <c r="F893" s="316">
        <v>0</v>
      </c>
      <c r="G893" s="316">
        <v>0</v>
      </c>
      <c r="H893" s="527">
        <v>0</v>
      </c>
      <c r="I893" s="566">
        <f>SUM(G893+H893)</f>
        <v>0</v>
      </c>
    </row>
    <row r="894" spans="1:9" x14ac:dyDescent="0.15">
      <c r="A894" s="138"/>
      <c r="B894" s="523" t="s">
        <v>1579</v>
      </c>
      <c r="C894" s="524" t="s">
        <v>118</v>
      </c>
      <c r="D894" s="144">
        <v>0</v>
      </c>
      <c r="E894" s="144">
        <v>0</v>
      </c>
      <c r="F894" s="144">
        <v>0</v>
      </c>
      <c r="G894" s="144">
        <v>0</v>
      </c>
      <c r="H894" s="150">
        <v>0</v>
      </c>
      <c r="I894" s="567">
        <f t="shared" ref="I894:I924" si="24">SUM(G894+H894)</f>
        <v>0</v>
      </c>
    </row>
    <row r="895" spans="1:9" x14ac:dyDescent="0.15">
      <c r="A895" s="138"/>
      <c r="B895" s="523" t="s">
        <v>1580</v>
      </c>
      <c r="C895" s="524" t="s">
        <v>119</v>
      </c>
      <c r="D895" s="144">
        <v>0</v>
      </c>
      <c r="E895" s="144">
        <v>0</v>
      </c>
      <c r="F895" s="144">
        <v>0</v>
      </c>
      <c r="G895" s="144">
        <v>0</v>
      </c>
      <c r="H895" s="150">
        <v>0</v>
      </c>
      <c r="I895" s="567">
        <f t="shared" si="24"/>
        <v>0</v>
      </c>
    </row>
    <row r="896" spans="1:9" x14ac:dyDescent="0.15">
      <c r="A896" s="138"/>
      <c r="B896" s="523" t="s">
        <v>120</v>
      </c>
      <c r="C896" s="524" t="s">
        <v>121</v>
      </c>
      <c r="D896" s="144">
        <v>0</v>
      </c>
      <c r="E896" s="144">
        <v>0</v>
      </c>
      <c r="F896" s="144">
        <v>0</v>
      </c>
      <c r="G896" s="144">
        <v>0</v>
      </c>
      <c r="H896" s="150">
        <v>0</v>
      </c>
      <c r="I896" s="567">
        <f t="shared" si="24"/>
        <v>0</v>
      </c>
    </row>
    <row r="897" spans="1:9" x14ac:dyDescent="0.15">
      <c r="A897" s="138"/>
      <c r="B897" s="523" t="s">
        <v>122</v>
      </c>
      <c r="C897" s="524" t="s">
        <v>123</v>
      </c>
      <c r="D897" s="144">
        <v>0</v>
      </c>
      <c r="E897" s="144">
        <v>0</v>
      </c>
      <c r="F897" s="144">
        <v>0</v>
      </c>
      <c r="G897" s="144">
        <v>0</v>
      </c>
      <c r="H897" s="150">
        <v>0</v>
      </c>
      <c r="I897" s="567">
        <f t="shared" si="24"/>
        <v>0</v>
      </c>
    </row>
    <row r="898" spans="1:9" x14ac:dyDescent="0.15">
      <c r="A898" s="138"/>
      <c r="B898" s="523" t="s">
        <v>1581</v>
      </c>
      <c r="C898" s="524" t="s">
        <v>124</v>
      </c>
      <c r="D898" s="144">
        <v>0</v>
      </c>
      <c r="E898" s="144">
        <v>0</v>
      </c>
      <c r="F898" s="144">
        <v>0</v>
      </c>
      <c r="G898" s="144">
        <v>0</v>
      </c>
      <c r="H898" s="150">
        <v>0</v>
      </c>
      <c r="I898" s="567">
        <f t="shared" si="24"/>
        <v>0</v>
      </c>
    </row>
    <row r="899" spans="1:9" x14ac:dyDescent="0.15">
      <c r="A899" s="138"/>
      <c r="B899" s="523" t="s">
        <v>127</v>
      </c>
      <c r="C899" s="524" t="s">
        <v>134</v>
      </c>
      <c r="D899" s="144">
        <v>0</v>
      </c>
      <c r="E899" s="144">
        <v>0</v>
      </c>
      <c r="F899" s="144">
        <v>0</v>
      </c>
      <c r="G899" s="144">
        <v>0</v>
      </c>
      <c r="H899" s="150">
        <v>0</v>
      </c>
      <c r="I899" s="567">
        <f t="shared" si="24"/>
        <v>0</v>
      </c>
    </row>
    <row r="900" spans="1:9" x14ac:dyDescent="0.15">
      <c r="A900" s="138"/>
      <c r="B900" s="523" t="s">
        <v>128</v>
      </c>
      <c r="C900" s="524" t="s">
        <v>135</v>
      </c>
      <c r="D900" s="144">
        <v>0</v>
      </c>
      <c r="E900" s="144">
        <v>0</v>
      </c>
      <c r="F900" s="144">
        <v>0</v>
      </c>
      <c r="G900" s="144">
        <v>0</v>
      </c>
      <c r="H900" s="150">
        <v>0</v>
      </c>
      <c r="I900" s="567">
        <f t="shared" si="24"/>
        <v>0</v>
      </c>
    </row>
    <row r="901" spans="1:9" x14ac:dyDescent="0.15">
      <c r="A901" s="138"/>
      <c r="B901" s="523" t="s">
        <v>132</v>
      </c>
      <c r="C901" s="524" t="s">
        <v>1617</v>
      </c>
      <c r="D901" s="144">
        <v>0</v>
      </c>
      <c r="E901" s="144">
        <v>0</v>
      </c>
      <c r="F901" s="144">
        <v>0</v>
      </c>
      <c r="G901" s="144">
        <v>0</v>
      </c>
      <c r="H901" s="150">
        <v>0</v>
      </c>
      <c r="I901" s="567">
        <f t="shared" si="24"/>
        <v>0</v>
      </c>
    </row>
    <row r="902" spans="1:9" x14ac:dyDescent="0.15">
      <c r="A902" s="138"/>
      <c r="B902" s="523" t="s">
        <v>1618</v>
      </c>
      <c r="C902" s="524" t="s">
        <v>836</v>
      </c>
      <c r="D902" s="144">
        <v>0</v>
      </c>
      <c r="E902" s="144">
        <v>0</v>
      </c>
      <c r="F902" s="144">
        <v>0</v>
      </c>
      <c r="G902" s="144">
        <v>0</v>
      </c>
      <c r="H902" s="150">
        <v>0</v>
      </c>
      <c r="I902" s="567">
        <f t="shared" si="24"/>
        <v>0</v>
      </c>
    </row>
    <row r="903" spans="1:9" x14ac:dyDescent="0.15">
      <c r="A903" s="138"/>
      <c r="B903" s="523" t="s">
        <v>1619</v>
      </c>
      <c r="C903" s="524" t="s">
        <v>837</v>
      </c>
      <c r="D903" s="144">
        <v>0</v>
      </c>
      <c r="E903" s="144">
        <v>0</v>
      </c>
      <c r="F903" s="144">
        <v>0</v>
      </c>
      <c r="G903" s="144">
        <v>0</v>
      </c>
      <c r="H903" s="150">
        <v>0</v>
      </c>
      <c r="I903" s="567">
        <f t="shared" si="24"/>
        <v>0</v>
      </c>
    </row>
    <row r="904" spans="1:9" x14ac:dyDescent="0.15">
      <c r="A904" s="138"/>
      <c r="B904" s="523" t="s">
        <v>1620</v>
      </c>
      <c r="C904" s="524" t="s">
        <v>838</v>
      </c>
      <c r="D904" s="144">
        <v>0</v>
      </c>
      <c r="E904" s="144">
        <v>0</v>
      </c>
      <c r="F904" s="144">
        <v>0</v>
      </c>
      <c r="G904" s="144">
        <v>0</v>
      </c>
      <c r="H904" s="150">
        <v>0</v>
      </c>
      <c r="I904" s="567">
        <f t="shared" si="24"/>
        <v>0</v>
      </c>
    </row>
    <row r="905" spans="1:9" x14ac:dyDescent="0.15">
      <c r="A905" s="138"/>
      <c r="B905" s="523" t="s">
        <v>1621</v>
      </c>
      <c r="C905" s="524" t="s">
        <v>839</v>
      </c>
      <c r="D905" s="144">
        <v>0</v>
      </c>
      <c r="E905" s="144">
        <v>0</v>
      </c>
      <c r="F905" s="144">
        <v>0</v>
      </c>
      <c r="G905" s="144">
        <v>0</v>
      </c>
      <c r="H905" s="150">
        <v>0</v>
      </c>
      <c r="I905" s="567">
        <f t="shared" si="24"/>
        <v>0</v>
      </c>
    </row>
    <row r="906" spans="1:9" x14ac:dyDescent="0.15">
      <c r="A906" s="138"/>
      <c r="B906" s="523" t="s">
        <v>1622</v>
      </c>
      <c r="C906" s="524" t="s">
        <v>190</v>
      </c>
      <c r="D906" s="144">
        <v>0</v>
      </c>
      <c r="E906" s="144">
        <v>0</v>
      </c>
      <c r="F906" s="144">
        <v>0</v>
      </c>
      <c r="G906" s="144">
        <v>0</v>
      </c>
      <c r="H906" s="150">
        <v>0</v>
      </c>
      <c r="I906" s="567">
        <f t="shared" si="24"/>
        <v>0</v>
      </c>
    </row>
    <row r="907" spans="1:9" x14ac:dyDescent="0.15">
      <c r="A907" s="138"/>
      <c r="B907" s="523" t="s">
        <v>1623</v>
      </c>
      <c r="C907" s="524" t="s">
        <v>191</v>
      </c>
      <c r="D907" s="144">
        <v>0</v>
      </c>
      <c r="E907" s="144">
        <v>0</v>
      </c>
      <c r="F907" s="144">
        <v>0</v>
      </c>
      <c r="G907" s="144">
        <v>0</v>
      </c>
      <c r="H907" s="150">
        <v>0</v>
      </c>
      <c r="I907" s="567">
        <f t="shared" si="24"/>
        <v>0</v>
      </c>
    </row>
    <row r="908" spans="1:9" x14ac:dyDescent="0.15">
      <c r="A908" s="138"/>
      <c r="B908" s="523" t="s">
        <v>1624</v>
      </c>
      <c r="C908" s="524" t="s">
        <v>840</v>
      </c>
      <c r="D908" s="144">
        <v>0</v>
      </c>
      <c r="E908" s="144">
        <v>0</v>
      </c>
      <c r="F908" s="144">
        <v>0</v>
      </c>
      <c r="G908" s="144">
        <v>0</v>
      </c>
      <c r="H908" s="150">
        <v>0</v>
      </c>
      <c r="I908" s="567">
        <f t="shared" si="24"/>
        <v>0</v>
      </c>
    </row>
    <row r="909" spans="1:9" x14ac:dyDescent="0.15">
      <c r="A909" s="138"/>
      <c r="B909" s="523" t="s">
        <v>1625</v>
      </c>
      <c r="C909" s="524" t="s">
        <v>842</v>
      </c>
      <c r="D909" s="144">
        <v>0</v>
      </c>
      <c r="E909" s="144">
        <v>0</v>
      </c>
      <c r="F909" s="144">
        <v>0</v>
      </c>
      <c r="G909" s="144">
        <v>0</v>
      </c>
      <c r="H909" s="150">
        <v>0</v>
      </c>
      <c r="I909" s="567">
        <f t="shared" si="24"/>
        <v>0</v>
      </c>
    </row>
    <row r="910" spans="1:9" x14ac:dyDescent="0.15">
      <c r="A910" s="138"/>
      <c r="B910" s="523" t="s">
        <v>843</v>
      </c>
      <c r="C910" s="524" t="s">
        <v>848</v>
      </c>
      <c r="D910" s="144">
        <v>0</v>
      </c>
      <c r="E910" s="144">
        <v>0</v>
      </c>
      <c r="F910" s="144">
        <v>0</v>
      </c>
      <c r="G910" s="144">
        <v>0</v>
      </c>
      <c r="H910" s="150">
        <v>0</v>
      </c>
      <c r="I910" s="567">
        <f t="shared" si="24"/>
        <v>0</v>
      </c>
    </row>
    <row r="911" spans="1:9" x14ac:dyDescent="0.15">
      <c r="A911" s="138"/>
      <c r="B911" s="523" t="s">
        <v>844</v>
      </c>
      <c r="C911" s="524" t="s">
        <v>153</v>
      </c>
      <c r="D911" s="144">
        <v>0</v>
      </c>
      <c r="E911" s="144">
        <v>0</v>
      </c>
      <c r="F911" s="144">
        <v>0</v>
      </c>
      <c r="G911" s="144">
        <v>0</v>
      </c>
      <c r="H911" s="150">
        <v>0</v>
      </c>
      <c r="I911" s="567">
        <f t="shared" si="24"/>
        <v>0</v>
      </c>
    </row>
    <row r="912" spans="1:9" x14ac:dyDescent="0.15">
      <c r="A912" s="138"/>
      <c r="B912" s="523" t="s">
        <v>845</v>
      </c>
      <c r="C912" s="524" t="s">
        <v>154</v>
      </c>
      <c r="D912" s="144">
        <v>0</v>
      </c>
      <c r="E912" s="144">
        <v>0</v>
      </c>
      <c r="F912" s="144">
        <v>0</v>
      </c>
      <c r="G912" s="144">
        <v>0</v>
      </c>
      <c r="H912" s="150">
        <v>0</v>
      </c>
      <c r="I912" s="567">
        <f t="shared" si="24"/>
        <v>0</v>
      </c>
    </row>
    <row r="913" spans="1:9" x14ac:dyDescent="0.15">
      <c r="A913" s="138"/>
      <c r="B913" s="523" t="s">
        <v>846</v>
      </c>
      <c r="C913" s="524" t="s">
        <v>155</v>
      </c>
      <c r="D913" s="144">
        <v>0</v>
      </c>
      <c r="E913" s="144">
        <v>0</v>
      </c>
      <c r="F913" s="144">
        <v>0</v>
      </c>
      <c r="G913" s="144">
        <v>0</v>
      </c>
      <c r="H913" s="150">
        <v>0</v>
      </c>
      <c r="I913" s="567">
        <f t="shared" si="24"/>
        <v>0</v>
      </c>
    </row>
    <row r="914" spans="1:9" x14ac:dyDescent="0.15">
      <c r="A914" s="138"/>
      <c r="B914" s="523" t="s">
        <v>1582</v>
      </c>
      <c r="C914" s="524" t="s">
        <v>156</v>
      </c>
      <c r="D914" s="144">
        <v>0</v>
      </c>
      <c r="E914" s="144">
        <v>0</v>
      </c>
      <c r="F914" s="144">
        <v>0</v>
      </c>
      <c r="G914" s="144">
        <v>0</v>
      </c>
      <c r="H914" s="150">
        <v>0</v>
      </c>
      <c r="I914" s="567">
        <f t="shared" si="24"/>
        <v>0</v>
      </c>
    </row>
    <row r="915" spans="1:9" x14ac:dyDescent="0.15">
      <c r="A915" s="138"/>
      <c r="B915" s="523" t="s">
        <v>847</v>
      </c>
      <c r="C915" s="524" t="s">
        <v>157</v>
      </c>
      <c r="D915" s="144">
        <v>0</v>
      </c>
      <c r="E915" s="144">
        <v>0</v>
      </c>
      <c r="F915" s="144">
        <v>0</v>
      </c>
      <c r="G915" s="144">
        <v>0</v>
      </c>
      <c r="H915" s="150">
        <v>0</v>
      </c>
      <c r="I915" s="567">
        <f t="shared" si="24"/>
        <v>0</v>
      </c>
    </row>
    <row r="916" spans="1:9" x14ac:dyDescent="0.15">
      <c r="A916" s="138"/>
      <c r="B916" s="523" t="s">
        <v>1583</v>
      </c>
      <c r="C916" s="524" t="s">
        <v>160</v>
      </c>
      <c r="D916" s="144">
        <v>0</v>
      </c>
      <c r="E916" s="144">
        <v>0</v>
      </c>
      <c r="F916" s="144">
        <v>0</v>
      </c>
      <c r="G916" s="144">
        <v>0</v>
      </c>
      <c r="H916" s="150">
        <v>0</v>
      </c>
      <c r="I916" s="567">
        <f t="shared" si="24"/>
        <v>0</v>
      </c>
    </row>
    <row r="917" spans="1:9" x14ac:dyDescent="0.15">
      <c r="A917" s="138"/>
      <c r="B917" s="523" t="s">
        <v>634</v>
      </c>
      <c r="C917" s="524" t="s">
        <v>165</v>
      </c>
      <c r="D917" s="144">
        <v>0</v>
      </c>
      <c r="E917" s="144">
        <v>0</v>
      </c>
      <c r="F917" s="144">
        <v>0</v>
      </c>
      <c r="G917" s="144">
        <v>0</v>
      </c>
      <c r="H917" s="150">
        <v>0</v>
      </c>
      <c r="I917" s="567">
        <f t="shared" si="24"/>
        <v>0</v>
      </c>
    </row>
    <row r="918" spans="1:9" x14ac:dyDescent="0.15">
      <c r="A918" s="138"/>
      <c r="B918" s="523" t="s">
        <v>630</v>
      </c>
      <c r="C918" s="524" t="s">
        <v>172</v>
      </c>
      <c r="D918" s="144">
        <v>0</v>
      </c>
      <c r="E918" s="144">
        <v>0</v>
      </c>
      <c r="F918" s="144">
        <v>0</v>
      </c>
      <c r="G918" s="144">
        <v>0</v>
      </c>
      <c r="H918" s="150">
        <v>0</v>
      </c>
      <c r="I918" s="567">
        <f t="shared" si="24"/>
        <v>0</v>
      </c>
    </row>
    <row r="919" spans="1:9" x14ac:dyDescent="0.15">
      <c r="A919" s="138"/>
      <c r="B919" s="650" t="s">
        <v>631</v>
      </c>
      <c r="C919" s="651" t="s">
        <v>173</v>
      </c>
      <c r="D919" s="144">
        <v>0</v>
      </c>
      <c r="E919" s="144">
        <v>0</v>
      </c>
      <c r="F919" s="144">
        <v>0</v>
      </c>
      <c r="G919" s="144">
        <v>0</v>
      </c>
      <c r="H919" s="150">
        <v>0</v>
      </c>
      <c r="I919" s="567">
        <f t="shared" si="24"/>
        <v>0</v>
      </c>
    </row>
    <row r="920" spans="1:9" x14ac:dyDescent="0.15">
      <c r="A920" s="138"/>
      <c r="B920" s="523" t="s">
        <v>1584</v>
      </c>
      <c r="C920" s="524" t="s">
        <v>178</v>
      </c>
      <c r="D920" s="144">
        <v>0</v>
      </c>
      <c r="E920" s="144">
        <v>0</v>
      </c>
      <c r="F920" s="144">
        <v>0</v>
      </c>
      <c r="G920" s="144">
        <v>0</v>
      </c>
      <c r="H920" s="150">
        <v>0</v>
      </c>
      <c r="I920" s="567">
        <f t="shared" si="24"/>
        <v>0</v>
      </c>
    </row>
    <row r="921" spans="1:9" x14ac:dyDescent="0.15">
      <c r="A921" s="138"/>
      <c r="B921" s="523" t="s">
        <v>174</v>
      </c>
      <c r="C921" s="524" t="s">
        <v>179</v>
      </c>
      <c r="D921" s="144">
        <v>0</v>
      </c>
      <c r="E921" s="144">
        <v>0</v>
      </c>
      <c r="F921" s="144">
        <v>0</v>
      </c>
      <c r="G921" s="144">
        <v>0</v>
      </c>
      <c r="H921" s="150">
        <v>0</v>
      </c>
      <c r="I921" s="567">
        <f t="shared" si="24"/>
        <v>0</v>
      </c>
    </row>
    <row r="922" spans="1:9" x14ac:dyDescent="0.15">
      <c r="A922" s="138"/>
      <c r="B922" s="523" t="s">
        <v>175</v>
      </c>
      <c r="C922" s="524" t="s">
        <v>180</v>
      </c>
      <c r="D922" s="144">
        <v>0</v>
      </c>
      <c r="E922" s="144">
        <v>0</v>
      </c>
      <c r="F922" s="144">
        <v>0</v>
      </c>
      <c r="G922" s="144">
        <v>0</v>
      </c>
      <c r="H922" s="150">
        <v>0</v>
      </c>
      <c r="I922" s="567">
        <f t="shared" si="24"/>
        <v>0</v>
      </c>
    </row>
    <row r="923" spans="1:9" ht="11.25" thickBot="1" x14ac:dyDescent="0.2">
      <c r="A923" s="138"/>
      <c r="B923" s="523" t="s">
        <v>176</v>
      </c>
      <c r="C923" s="524" t="s">
        <v>181</v>
      </c>
      <c r="D923" s="144">
        <v>0</v>
      </c>
      <c r="E923" s="144">
        <v>0</v>
      </c>
      <c r="F923" s="144">
        <v>0</v>
      </c>
      <c r="G923" s="144">
        <v>0</v>
      </c>
      <c r="H923" s="150">
        <v>0</v>
      </c>
      <c r="I923" s="567">
        <f t="shared" si="24"/>
        <v>0</v>
      </c>
    </row>
    <row r="924" spans="1:9" ht="12" thickTop="1" thickBot="1" x14ac:dyDescent="0.2">
      <c r="A924" s="138"/>
      <c r="B924" s="523"/>
      <c r="C924" s="524" t="s">
        <v>383</v>
      </c>
      <c r="D924" s="169">
        <f>SUM(D890:D923)</f>
        <v>0</v>
      </c>
      <c r="E924" s="169">
        <f>SUM(E890:E923)</f>
        <v>0</v>
      </c>
      <c r="F924" s="169">
        <f>SUM(F890:F923)</f>
        <v>0</v>
      </c>
      <c r="G924" s="169">
        <f>SUM(G890:G923)</f>
        <v>0</v>
      </c>
      <c r="H924" s="169">
        <f>SUM(H890:H923)</f>
        <v>0</v>
      </c>
      <c r="I924" s="169">
        <f t="shared" si="24"/>
        <v>0</v>
      </c>
    </row>
    <row r="925" spans="1:9" ht="11.25" thickTop="1" x14ac:dyDescent="0.15">
      <c r="A925" s="138"/>
      <c r="B925" s="524"/>
      <c r="C925" s="524"/>
      <c r="D925" s="14"/>
      <c r="E925" s="14"/>
      <c r="F925" s="14"/>
      <c r="G925" s="14"/>
      <c r="H925" s="14"/>
      <c r="I925" s="563"/>
    </row>
    <row r="926" spans="1:9" x14ac:dyDescent="0.15">
      <c r="A926" s="522" t="s">
        <v>384</v>
      </c>
      <c r="B926" s="524"/>
      <c r="C926" s="524"/>
      <c r="D926" s="14"/>
      <c r="E926" s="14"/>
      <c r="F926" s="14"/>
      <c r="G926" s="14"/>
      <c r="H926" s="14"/>
      <c r="I926" s="563"/>
    </row>
    <row r="927" spans="1:9" x14ac:dyDescent="0.15">
      <c r="A927" s="434"/>
      <c r="B927" s="523" t="s">
        <v>1577</v>
      </c>
      <c r="C927" s="524" t="s">
        <v>228</v>
      </c>
      <c r="D927" s="316">
        <v>0</v>
      </c>
      <c r="E927" s="316">
        <v>0</v>
      </c>
      <c r="F927" s="316">
        <v>0</v>
      </c>
      <c r="G927" s="528">
        <f t="array" ref="G927">SUM(IF(CertFund&amp;CertProg&amp;CertObj=RIGHT(LEFT($A$2,7),2)&amp;LEFT(A926,4)&amp;B927,CertSalary))</f>
        <v>0</v>
      </c>
      <c r="H927" s="527">
        <v>0</v>
      </c>
      <c r="I927" s="566">
        <f>SUM(G927+H927)</f>
        <v>0</v>
      </c>
    </row>
    <row r="928" spans="1:9" x14ac:dyDescent="0.15">
      <c r="A928" s="434"/>
      <c r="B928" s="523" t="s">
        <v>1577</v>
      </c>
      <c r="C928" s="524" t="s">
        <v>510</v>
      </c>
      <c r="D928" s="316">
        <v>0</v>
      </c>
      <c r="E928" s="316">
        <v>0</v>
      </c>
      <c r="F928" s="316">
        <v>0</v>
      </c>
      <c r="G928" s="316">
        <v>0</v>
      </c>
      <c r="H928" s="527">
        <v>0</v>
      </c>
      <c r="I928" s="566">
        <f>SUM(G928+H928)</f>
        <v>0</v>
      </c>
    </row>
    <row r="929" spans="1:9" x14ac:dyDescent="0.15">
      <c r="A929" s="524"/>
      <c r="B929" s="523" t="s">
        <v>1578</v>
      </c>
      <c r="C929" s="524" t="s">
        <v>936</v>
      </c>
      <c r="D929" s="316">
        <v>0</v>
      </c>
      <c r="E929" s="316">
        <v>0</v>
      </c>
      <c r="F929" s="316">
        <v>0</v>
      </c>
      <c r="G929" s="529">
        <f t="array" ref="G929">SUM(IF(CertFund&amp;CertProg&amp;CertObj=RIGHT(LEFT($A$2,7),2)&amp;LEFT(A926,4)&amp;B927,CertBen))</f>
        <v>0</v>
      </c>
      <c r="H929" s="527">
        <v>0</v>
      </c>
      <c r="I929" s="566">
        <f>SUM(G929+H929)</f>
        <v>0</v>
      </c>
    </row>
    <row r="930" spans="1:9" x14ac:dyDescent="0.15">
      <c r="A930" s="138"/>
      <c r="B930" s="521" t="s">
        <v>1578</v>
      </c>
      <c r="C930" s="138" t="s">
        <v>511</v>
      </c>
      <c r="D930" s="147">
        <v>0</v>
      </c>
      <c r="E930" s="147">
        <v>0</v>
      </c>
      <c r="F930" s="147">
        <v>0</v>
      </c>
      <c r="G930" s="147">
        <v>0</v>
      </c>
      <c r="H930" s="150">
        <v>0</v>
      </c>
      <c r="I930" s="567">
        <f>SUM(G930+H930)</f>
        <v>0</v>
      </c>
    </row>
    <row r="931" spans="1:9" x14ac:dyDescent="0.15">
      <c r="A931" s="138"/>
      <c r="B931" s="523" t="s">
        <v>1579</v>
      </c>
      <c r="C931" s="524" t="s">
        <v>118</v>
      </c>
      <c r="D931" s="144">
        <v>0</v>
      </c>
      <c r="E931" s="144">
        <v>0</v>
      </c>
      <c r="F931" s="144">
        <v>0</v>
      </c>
      <c r="G931" s="291">
        <v>0</v>
      </c>
      <c r="H931" s="150">
        <v>0</v>
      </c>
      <c r="I931" s="567">
        <f t="shared" ref="I931:I961" si="25">SUM(G931+H931)</f>
        <v>0</v>
      </c>
    </row>
    <row r="932" spans="1:9" x14ac:dyDescent="0.15">
      <c r="A932" s="138"/>
      <c r="B932" s="523" t="s">
        <v>1580</v>
      </c>
      <c r="C932" s="524" t="s">
        <v>119</v>
      </c>
      <c r="D932" s="144">
        <v>0</v>
      </c>
      <c r="E932" s="144">
        <v>0</v>
      </c>
      <c r="F932" s="144">
        <v>0</v>
      </c>
      <c r="G932" s="291">
        <v>0</v>
      </c>
      <c r="H932" s="150">
        <v>0</v>
      </c>
      <c r="I932" s="567">
        <f t="shared" si="25"/>
        <v>0</v>
      </c>
    </row>
    <row r="933" spans="1:9" x14ac:dyDescent="0.15">
      <c r="A933" s="138"/>
      <c r="B933" s="523" t="s">
        <v>120</v>
      </c>
      <c r="C933" s="524" t="s">
        <v>121</v>
      </c>
      <c r="D933" s="144">
        <v>0</v>
      </c>
      <c r="E933" s="144">
        <v>0</v>
      </c>
      <c r="F933" s="144">
        <v>0</v>
      </c>
      <c r="G933" s="291">
        <v>0</v>
      </c>
      <c r="H933" s="150">
        <v>0</v>
      </c>
      <c r="I933" s="567">
        <f t="shared" si="25"/>
        <v>0</v>
      </c>
    </row>
    <row r="934" spans="1:9" x14ac:dyDescent="0.15">
      <c r="A934" s="138"/>
      <c r="B934" s="523" t="s">
        <v>122</v>
      </c>
      <c r="C934" s="524" t="s">
        <v>123</v>
      </c>
      <c r="D934" s="144">
        <v>0</v>
      </c>
      <c r="E934" s="144">
        <v>0</v>
      </c>
      <c r="F934" s="144">
        <v>0</v>
      </c>
      <c r="G934" s="291">
        <v>0</v>
      </c>
      <c r="H934" s="150">
        <v>0</v>
      </c>
      <c r="I934" s="567">
        <f t="shared" si="25"/>
        <v>0</v>
      </c>
    </row>
    <row r="935" spans="1:9" x14ac:dyDescent="0.15">
      <c r="A935" s="138"/>
      <c r="B935" s="523" t="s">
        <v>1581</v>
      </c>
      <c r="C935" s="524" t="s">
        <v>124</v>
      </c>
      <c r="D935" s="144">
        <v>0</v>
      </c>
      <c r="E935" s="144">
        <v>0</v>
      </c>
      <c r="F935" s="144">
        <v>0</v>
      </c>
      <c r="G935" s="291">
        <v>0</v>
      </c>
      <c r="H935" s="150">
        <v>0</v>
      </c>
      <c r="I935" s="567">
        <f t="shared" si="25"/>
        <v>0</v>
      </c>
    </row>
    <row r="936" spans="1:9" x14ac:dyDescent="0.15">
      <c r="A936" s="138"/>
      <c r="B936" s="523" t="s">
        <v>127</v>
      </c>
      <c r="C936" s="524" t="s">
        <v>134</v>
      </c>
      <c r="D936" s="144">
        <v>0</v>
      </c>
      <c r="E936" s="144">
        <v>0</v>
      </c>
      <c r="F936" s="144">
        <v>0</v>
      </c>
      <c r="G936" s="291">
        <v>0</v>
      </c>
      <c r="H936" s="150">
        <v>0</v>
      </c>
      <c r="I936" s="567">
        <f t="shared" si="25"/>
        <v>0</v>
      </c>
    </row>
    <row r="937" spans="1:9" x14ac:dyDescent="0.15">
      <c r="A937" s="138"/>
      <c r="B937" s="523" t="s">
        <v>128</v>
      </c>
      <c r="C937" s="524" t="s">
        <v>135</v>
      </c>
      <c r="D937" s="144">
        <v>0</v>
      </c>
      <c r="E937" s="144">
        <v>0</v>
      </c>
      <c r="F937" s="144">
        <v>0</v>
      </c>
      <c r="G937" s="291">
        <v>0</v>
      </c>
      <c r="H937" s="150">
        <v>0</v>
      </c>
      <c r="I937" s="567">
        <f t="shared" si="25"/>
        <v>0</v>
      </c>
    </row>
    <row r="938" spans="1:9" x14ac:dyDescent="0.15">
      <c r="A938" s="138"/>
      <c r="B938" s="523" t="s">
        <v>132</v>
      </c>
      <c r="C938" s="524" t="s">
        <v>1617</v>
      </c>
      <c r="D938" s="144">
        <v>0</v>
      </c>
      <c r="E938" s="144">
        <v>0</v>
      </c>
      <c r="F938" s="144">
        <v>0</v>
      </c>
      <c r="G938" s="291">
        <v>0</v>
      </c>
      <c r="H938" s="150">
        <v>0</v>
      </c>
      <c r="I938" s="567">
        <f t="shared" si="25"/>
        <v>0</v>
      </c>
    </row>
    <row r="939" spans="1:9" x14ac:dyDescent="0.15">
      <c r="A939" s="138"/>
      <c r="B939" s="523" t="s">
        <v>1618</v>
      </c>
      <c r="C939" s="524" t="s">
        <v>836</v>
      </c>
      <c r="D939" s="144">
        <v>0</v>
      </c>
      <c r="E939" s="144">
        <v>0</v>
      </c>
      <c r="F939" s="144">
        <v>0</v>
      </c>
      <c r="G939" s="291">
        <v>0</v>
      </c>
      <c r="H939" s="150">
        <v>0</v>
      </c>
      <c r="I939" s="567">
        <f t="shared" si="25"/>
        <v>0</v>
      </c>
    </row>
    <row r="940" spans="1:9" x14ac:dyDescent="0.15">
      <c r="A940" s="138"/>
      <c r="B940" s="523" t="s">
        <v>1619</v>
      </c>
      <c r="C940" s="524" t="s">
        <v>837</v>
      </c>
      <c r="D940" s="144">
        <v>0</v>
      </c>
      <c r="E940" s="144">
        <v>0</v>
      </c>
      <c r="F940" s="144">
        <v>0</v>
      </c>
      <c r="G940" s="291">
        <v>0</v>
      </c>
      <c r="H940" s="150">
        <v>0</v>
      </c>
      <c r="I940" s="567">
        <f t="shared" si="25"/>
        <v>0</v>
      </c>
    </row>
    <row r="941" spans="1:9" x14ac:dyDescent="0.15">
      <c r="A941" s="138"/>
      <c r="B941" s="523" t="s">
        <v>1620</v>
      </c>
      <c r="C941" s="524" t="s">
        <v>838</v>
      </c>
      <c r="D941" s="144">
        <v>0</v>
      </c>
      <c r="E941" s="144">
        <v>0</v>
      </c>
      <c r="F941" s="144">
        <v>0</v>
      </c>
      <c r="G941" s="291">
        <v>0</v>
      </c>
      <c r="H941" s="150">
        <v>0</v>
      </c>
      <c r="I941" s="567">
        <f t="shared" si="25"/>
        <v>0</v>
      </c>
    </row>
    <row r="942" spans="1:9" x14ac:dyDescent="0.15">
      <c r="A942" s="138"/>
      <c r="B942" s="523" t="s">
        <v>1621</v>
      </c>
      <c r="C942" s="524" t="s">
        <v>839</v>
      </c>
      <c r="D942" s="144">
        <v>0</v>
      </c>
      <c r="E942" s="144">
        <v>0</v>
      </c>
      <c r="F942" s="144">
        <v>0</v>
      </c>
      <c r="G942" s="291">
        <v>0</v>
      </c>
      <c r="H942" s="150">
        <v>0</v>
      </c>
      <c r="I942" s="567">
        <f t="shared" si="25"/>
        <v>0</v>
      </c>
    </row>
    <row r="943" spans="1:9" x14ac:dyDescent="0.15">
      <c r="A943" s="138"/>
      <c r="B943" s="523" t="s">
        <v>1622</v>
      </c>
      <c r="C943" s="524" t="s">
        <v>190</v>
      </c>
      <c r="D943" s="144">
        <v>0</v>
      </c>
      <c r="E943" s="144">
        <v>0</v>
      </c>
      <c r="F943" s="144">
        <v>0</v>
      </c>
      <c r="G943" s="291">
        <v>0</v>
      </c>
      <c r="H943" s="150">
        <v>0</v>
      </c>
      <c r="I943" s="567">
        <f t="shared" si="25"/>
        <v>0</v>
      </c>
    </row>
    <row r="944" spans="1:9" x14ac:dyDescent="0.15">
      <c r="A944" s="138"/>
      <c r="B944" s="523" t="s">
        <v>1623</v>
      </c>
      <c r="C944" s="524" t="s">
        <v>191</v>
      </c>
      <c r="D944" s="144">
        <v>0</v>
      </c>
      <c r="E944" s="144">
        <v>0</v>
      </c>
      <c r="F944" s="144">
        <v>0</v>
      </c>
      <c r="G944" s="291">
        <v>0</v>
      </c>
      <c r="H944" s="150">
        <v>0</v>
      </c>
      <c r="I944" s="567">
        <f t="shared" si="25"/>
        <v>0</v>
      </c>
    </row>
    <row r="945" spans="1:9" x14ac:dyDescent="0.15">
      <c r="A945" s="138"/>
      <c r="B945" s="523" t="s">
        <v>1624</v>
      </c>
      <c r="C945" s="524" t="s">
        <v>840</v>
      </c>
      <c r="D945" s="144">
        <v>0</v>
      </c>
      <c r="E945" s="144">
        <v>0</v>
      </c>
      <c r="F945" s="144">
        <v>0</v>
      </c>
      <c r="G945" s="291">
        <v>0</v>
      </c>
      <c r="H945" s="150">
        <v>0</v>
      </c>
      <c r="I945" s="567">
        <f t="shared" si="25"/>
        <v>0</v>
      </c>
    </row>
    <row r="946" spans="1:9" x14ac:dyDescent="0.15">
      <c r="A946" s="138"/>
      <c r="B946" s="523" t="s">
        <v>1625</v>
      </c>
      <c r="C946" s="524" t="s">
        <v>842</v>
      </c>
      <c r="D946" s="144">
        <v>0</v>
      </c>
      <c r="E946" s="144">
        <v>0</v>
      </c>
      <c r="F946" s="144">
        <v>0</v>
      </c>
      <c r="G946" s="291">
        <v>0</v>
      </c>
      <c r="H946" s="150">
        <v>0</v>
      </c>
      <c r="I946" s="567">
        <f t="shared" si="25"/>
        <v>0</v>
      </c>
    </row>
    <row r="947" spans="1:9" x14ac:dyDescent="0.15">
      <c r="A947" s="138"/>
      <c r="B947" s="523" t="s">
        <v>843</v>
      </c>
      <c r="C947" s="524" t="s">
        <v>848</v>
      </c>
      <c r="D947" s="144">
        <v>0</v>
      </c>
      <c r="E947" s="144">
        <v>0</v>
      </c>
      <c r="F947" s="144">
        <v>0</v>
      </c>
      <c r="G947" s="291">
        <v>0</v>
      </c>
      <c r="H947" s="150">
        <v>0</v>
      </c>
      <c r="I947" s="567">
        <f t="shared" si="25"/>
        <v>0</v>
      </c>
    </row>
    <row r="948" spans="1:9" x14ac:dyDescent="0.15">
      <c r="A948" s="138"/>
      <c r="B948" s="523" t="s">
        <v>844</v>
      </c>
      <c r="C948" s="524" t="s">
        <v>153</v>
      </c>
      <c r="D948" s="144">
        <v>0</v>
      </c>
      <c r="E948" s="144">
        <v>0</v>
      </c>
      <c r="F948" s="144">
        <v>0</v>
      </c>
      <c r="G948" s="291">
        <v>0</v>
      </c>
      <c r="H948" s="150">
        <v>0</v>
      </c>
      <c r="I948" s="567">
        <f t="shared" si="25"/>
        <v>0</v>
      </c>
    </row>
    <row r="949" spans="1:9" x14ac:dyDescent="0.15">
      <c r="A949" s="138"/>
      <c r="B949" s="523" t="s">
        <v>845</v>
      </c>
      <c r="C949" s="524" t="s">
        <v>154</v>
      </c>
      <c r="D949" s="144">
        <v>0</v>
      </c>
      <c r="E949" s="144">
        <v>0</v>
      </c>
      <c r="F949" s="144">
        <v>0</v>
      </c>
      <c r="G949" s="291">
        <v>0</v>
      </c>
      <c r="H949" s="150">
        <v>0</v>
      </c>
      <c r="I949" s="567">
        <f t="shared" si="25"/>
        <v>0</v>
      </c>
    </row>
    <row r="950" spans="1:9" x14ac:dyDescent="0.15">
      <c r="A950" s="138"/>
      <c r="B950" s="523" t="s">
        <v>846</v>
      </c>
      <c r="C950" s="524" t="s">
        <v>155</v>
      </c>
      <c r="D950" s="144">
        <v>0</v>
      </c>
      <c r="E950" s="144">
        <v>0</v>
      </c>
      <c r="F950" s="144">
        <v>0</v>
      </c>
      <c r="G950" s="291">
        <v>0</v>
      </c>
      <c r="H950" s="150">
        <v>0</v>
      </c>
      <c r="I950" s="567">
        <f t="shared" si="25"/>
        <v>0</v>
      </c>
    </row>
    <row r="951" spans="1:9" x14ac:dyDescent="0.15">
      <c r="A951" s="138"/>
      <c r="B951" s="523" t="s">
        <v>1582</v>
      </c>
      <c r="C951" s="524" t="s">
        <v>156</v>
      </c>
      <c r="D951" s="144">
        <v>0</v>
      </c>
      <c r="E951" s="144">
        <v>0</v>
      </c>
      <c r="F951" s="144">
        <v>0</v>
      </c>
      <c r="G951" s="291">
        <v>0</v>
      </c>
      <c r="H951" s="150">
        <v>0</v>
      </c>
      <c r="I951" s="567">
        <f t="shared" si="25"/>
        <v>0</v>
      </c>
    </row>
    <row r="952" spans="1:9" x14ac:dyDescent="0.15">
      <c r="A952" s="138"/>
      <c r="B952" s="523" t="s">
        <v>847</v>
      </c>
      <c r="C952" s="524" t="s">
        <v>157</v>
      </c>
      <c r="D952" s="144">
        <v>0</v>
      </c>
      <c r="E952" s="144">
        <v>0</v>
      </c>
      <c r="F952" s="144">
        <v>0</v>
      </c>
      <c r="G952" s="291">
        <v>0</v>
      </c>
      <c r="H952" s="150">
        <v>0</v>
      </c>
      <c r="I952" s="567">
        <f t="shared" si="25"/>
        <v>0</v>
      </c>
    </row>
    <row r="953" spans="1:9" x14ac:dyDescent="0.15">
      <c r="A953" s="138"/>
      <c r="B953" s="523" t="s">
        <v>1583</v>
      </c>
      <c r="C953" s="524" t="s">
        <v>160</v>
      </c>
      <c r="D953" s="144">
        <v>0</v>
      </c>
      <c r="E953" s="144">
        <v>0</v>
      </c>
      <c r="F953" s="144">
        <v>0</v>
      </c>
      <c r="G953" s="291">
        <v>0</v>
      </c>
      <c r="H953" s="150">
        <v>0</v>
      </c>
      <c r="I953" s="567">
        <f t="shared" si="25"/>
        <v>0</v>
      </c>
    </row>
    <row r="954" spans="1:9" x14ac:dyDescent="0.15">
      <c r="A954" s="138"/>
      <c r="B954" s="523" t="s">
        <v>634</v>
      </c>
      <c r="C954" s="524" t="s">
        <v>165</v>
      </c>
      <c r="D954" s="144">
        <v>0</v>
      </c>
      <c r="E954" s="144">
        <v>0</v>
      </c>
      <c r="F954" s="144">
        <v>0</v>
      </c>
      <c r="G954" s="291">
        <v>0</v>
      </c>
      <c r="H954" s="150">
        <v>0</v>
      </c>
      <c r="I954" s="567">
        <f t="shared" si="25"/>
        <v>0</v>
      </c>
    </row>
    <row r="955" spans="1:9" x14ac:dyDescent="0.15">
      <c r="A955" s="138"/>
      <c r="B955" s="523" t="s">
        <v>630</v>
      </c>
      <c r="C955" s="524" t="s">
        <v>172</v>
      </c>
      <c r="D955" s="144">
        <v>0</v>
      </c>
      <c r="E955" s="144">
        <v>0</v>
      </c>
      <c r="F955" s="144">
        <v>0</v>
      </c>
      <c r="G955" s="291">
        <v>0</v>
      </c>
      <c r="H955" s="150">
        <v>0</v>
      </c>
      <c r="I955" s="567">
        <f t="shared" si="25"/>
        <v>0</v>
      </c>
    </row>
    <row r="956" spans="1:9" x14ac:dyDescent="0.15">
      <c r="A956" s="138"/>
      <c r="B956" s="650" t="s">
        <v>631</v>
      </c>
      <c r="C956" s="651" t="s">
        <v>173</v>
      </c>
      <c r="D956" s="144">
        <v>0</v>
      </c>
      <c r="E956" s="144">
        <v>0</v>
      </c>
      <c r="F956" s="144">
        <v>0</v>
      </c>
      <c r="G956" s="291">
        <v>0</v>
      </c>
      <c r="H956" s="150">
        <v>0</v>
      </c>
      <c r="I956" s="567">
        <f t="shared" si="25"/>
        <v>0</v>
      </c>
    </row>
    <row r="957" spans="1:9" x14ac:dyDescent="0.15">
      <c r="A957" s="138"/>
      <c r="B957" s="523" t="s">
        <v>1584</v>
      </c>
      <c r="C957" s="524" t="s">
        <v>178</v>
      </c>
      <c r="D957" s="144">
        <v>0</v>
      </c>
      <c r="E957" s="144">
        <v>0</v>
      </c>
      <c r="F957" s="144">
        <v>0</v>
      </c>
      <c r="G957" s="291">
        <v>0</v>
      </c>
      <c r="H957" s="150">
        <v>0</v>
      </c>
      <c r="I957" s="567">
        <f t="shared" si="25"/>
        <v>0</v>
      </c>
    </row>
    <row r="958" spans="1:9" x14ac:dyDescent="0.15">
      <c r="A958" s="138"/>
      <c r="B958" s="523" t="s">
        <v>174</v>
      </c>
      <c r="C958" s="524" t="s">
        <v>179</v>
      </c>
      <c r="D958" s="144">
        <v>0</v>
      </c>
      <c r="E958" s="144">
        <v>0</v>
      </c>
      <c r="F958" s="144">
        <v>0</v>
      </c>
      <c r="G958" s="291">
        <v>0</v>
      </c>
      <c r="H958" s="150">
        <v>0</v>
      </c>
      <c r="I958" s="567">
        <f t="shared" si="25"/>
        <v>0</v>
      </c>
    </row>
    <row r="959" spans="1:9" x14ac:dyDescent="0.15">
      <c r="A959" s="138"/>
      <c r="B959" s="523" t="s">
        <v>175</v>
      </c>
      <c r="C959" s="524" t="s">
        <v>180</v>
      </c>
      <c r="D959" s="144">
        <v>0</v>
      </c>
      <c r="E959" s="144">
        <v>0</v>
      </c>
      <c r="F959" s="144">
        <v>0</v>
      </c>
      <c r="G959" s="291">
        <v>0</v>
      </c>
      <c r="H959" s="150">
        <v>0</v>
      </c>
      <c r="I959" s="567">
        <f t="shared" si="25"/>
        <v>0</v>
      </c>
    </row>
    <row r="960" spans="1:9" ht="11.25" thickBot="1" x14ac:dyDescent="0.2">
      <c r="A960" s="138"/>
      <c r="B960" s="523" t="s">
        <v>176</v>
      </c>
      <c r="C960" s="524" t="s">
        <v>181</v>
      </c>
      <c r="D960" s="144">
        <v>0</v>
      </c>
      <c r="E960" s="144">
        <v>0</v>
      </c>
      <c r="F960" s="144">
        <v>0</v>
      </c>
      <c r="G960" s="291">
        <v>0</v>
      </c>
      <c r="H960" s="150">
        <v>0</v>
      </c>
      <c r="I960" s="567">
        <f t="shared" si="25"/>
        <v>0</v>
      </c>
    </row>
    <row r="961" spans="1:9" ht="12" thickTop="1" thickBot="1" x14ac:dyDescent="0.2">
      <c r="A961" s="138"/>
      <c r="B961" s="523"/>
      <c r="C961" s="524" t="s">
        <v>385</v>
      </c>
      <c r="D961" s="169">
        <f>SUM(D927:D960)</f>
        <v>0</v>
      </c>
      <c r="E961" s="169">
        <f>SUM(E927:E960)</f>
        <v>0</v>
      </c>
      <c r="F961" s="169">
        <f>SUM(F927:F960)</f>
        <v>0</v>
      </c>
      <c r="G961" s="169">
        <f>SUM(G927:G960)</f>
        <v>0</v>
      </c>
      <c r="H961" s="169">
        <f>SUM(H927:H960)</f>
        <v>0</v>
      </c>
      <c r="I961" s="169">
        <f t="shared" si="25"/>
        <v>0</v>
      </c>
    </row>
    <row r="962" spans="1:9" ht="11.25" thickTop="1" x14ac:dyDescent="0.15">
      <c r="A962" s="138"/>
      <c r="B962" s="524"/>
      <c r="C962" s="524"/>
      <c r="D962" s="14"/>
      <c r="E962" s="14"/>
      <c r="F962" s="14"/>
      <c r="G962" s="14"/>
      <c r="H962" s="14"/>
      <c r="I962" s="563"/>
    </row>
    <row r="963" spans="1:9" x14ac:dyDescent="0.15">
      <c r="A963" s="522" t="s">
        <v>1513</v>
      </c>
      <c r="B963" s="524"/>
      <c r="C963" s="524"/>
      <c r="D963" s="14"/>
      <c r="E963" s="14"/>
      <c r="F963" s="14"/>
      <c r="G963" s="14"/>
      <c r="H963" s="14"/>
      <c r="I963" s="563"/>
    </row>
    <row r="964" spans="1:9" x14ac:dyDescent="0.15">
      <c r="A964" s="434"/>
      <c r="B964" s="523" t="s">
        <v>1577</v>
      </c>
      <c r="C964" s="524" t="s">
        <v>228</v>
      </c>
      <c r="D964" s="316">
        <v>0</v>
      </c>
      <c r="E964" s="316">
        <v>0</v>
      </c>
      <c r="F964" s="316">
        <v>0</v>
      </c>
      <c r="G964" s="528">
        <f t="array" ref="G964">SUM(IF(CertFund&amp;CertProg&amp;CertObj=RIGHT(LEFT($A$2,7),2)&amp;LEFT(A963,4)&amp;B964,CertSalary))</f>
        <v>0</v>
      </c>
      <c r="H964" s="527">
        <v>0</v>
      </c>
      <c r="I964" s="566">
        <f>SUM(G964+H964)</f>
        <v>0</v>
      </c>
    </row>
    <row r="965" spans="1:9" x14ac:dyDescent="0.15">
      <c r="A965" s="434"/>
      <c r="B965" s="523" t="s">
        <v>1577</v>
      </c>
      <c r="C965" s="524" t="s">
        <v>510</v>
      </c>
      <c r="D965" s="316">
        <v>0</v>
      </c>
      <c r="E965" s="316">
        <v>0</v>
      </c>
      <c r="F965" s="316">
        <v>0</v>
      </c>
      <c r="G965" s="316">
        <v>0</v>
      </c>
      <c r="H965" s="527">
        <v>0</v>
      </c>
      <c r="I965" s="566">
        <f>SUM(G965+H965)</f>
        <v>0</v>
      </c>
    </row>
    <row r="966" spans="1:9" x14ac:dyDescent="0.15">
      <c r="A966" s="524"/>
      <c r="B966" s="523" t="s">
        <v>1578</v>
      </c>
      <c r="C966" s="524" t="s">
        <v>936</v>
      </c>
      <c r="D966" s="316">
        <v>0</v>
      </c>
      <c r="E966" s="316">
        <v>0</v>
      </c>
      <c r="F966" s="316">
        <v>0</v>
      </c>
      <c r="G966" s="529">
        <f t="array" ref="G966">SUM(IF(CertFund&amp;CertProg&amp;CertObj=RIGHT(LEFT($A$2,7),2)&amp;LEFT(A963,4)&amp;B964,CertBen))</f>
        <v>0</v>
      </c>
      <c r="H966" s="527">
        <v>0</v>
      </c>
      <c r="I966" s="566">
        <f>SUM(G966+H966)</f>
        <v>0</v>
      </c>
    </row>
    <row r="967" spans="1:9" x14ac:dyDescent="0.15">
      <c r="A967" s="138"/>
      <c r="B967" s="521" t="s">
        <v>1578</v>
      </c>
      <c r="C967" s="138" t="s">
        <v>511</v>
      </c>
      <c r="D967" s="147">
        <v>0</v>
      </c>
      <c r="E967" s="147">
        <v>0</v>
      </c>
      <c r="F967" s="147">
        <v>0</v>
      </c>
      <c r="G967" s="147">
        <v>0</v>
      </c>
      <c r="H967" s="150">
        <v>0</v>
      </c>
      <c r="I967" s="567">
        <f>SUM(G967+H967)</f>
        <v>0</v>
      </c>
    </row>
    <row r="968" spans="1:9" x14ac:dyDescent="0.15">
      <c r="A968" s="138"/>
      <c r="B968" s="523" t="s">
        <v>1579</v>
      </c>
      <c r="C968" s="524" t="s">
        <v>118</v>
      </c>
      <c r="D968" s="144">
        <v>0</v>
      </c>
      <c r="E968" s="144">
        <v>0</v>
      </c>
      <c r="F968" s="144">
        <v>0</v>
      </c>
      <c r="G968" s="144">
        <v>0</v>
      </c>
      <c r="H968" s="150">
        <v>0</v>
      </c>
      <c r="I968" s="567">
        <f t="shared" ref="I968:I998" si="26">SUM(G968+H968)</f>
        <v>0</v>
      </c>
    </row>
    <row r="969" spans="1:9" x14ac:dyDescent="0.15">
      <c r="A969" s="138"/>
      <c r="B969" s="523" t="s">
        <v>1580</v>
      </c>
      <c r="C969" s="524" t="s">
        <v>119</v>
      </c>
      <c r="D969" s="144">
        <v>0</v>
      </c>
      <c r="E969" s="144">
        <v>0</v>
      </c>
      <c r="F969" s="144">
        <v>0</v>
      </c>
      <c r="G969" s="144">
        <v>0</v>
      </c>
      <c r="H969" s="150">
        <v>0</v>
      </c>
      <c r="I969" s="567">
        <f t="shared" si="26"/>
        <v>0</v>
      </c>
    </row>
    <row r="970" spans="1:9" x14ac:dyDescent="0.15">
      <c r="A970" s="138"/>
      <c r="B970" s="523" t="s">
        <v>120</v>
      </c>
      <c r="C970" s="524" t="s">
        <v>121</v>
      </c>
      <c r="D970" s="144">
        <v>0</v>
      </c>
      <c r="E970" s="144">
        <v>0</v>
      </c>
      <c r="F970" s="144">
        <v>0</v>
      </c>
      <c r="G970" s="144">
        <v>0</v>
      </c>
      <c r="H970" s="150">
        <v>0</v>
      </c>
      <c r="I970" s="567">
        <f t="shared" si="26"/>
        <v>0</v>
      </c>
    </row>
    <row r="971" spans="1:9" x14ac:dyDescent="0.15">
      <c r="A971" s="138"/>
      <c r="B971" s="523" t="s">
        <v>122</v>
      </c>
      <c r="C971" s="524" t="s">
        <v>123</v>
      </c>
      <c r="D971" s="144">
        <v>0</v>
      </c>
      <c r="E971" s="144">
        <v>0</v>
      </c>
      <c r="F971" s="144">
        <v>0</v>
      </c>
      <c r="G971" s="144">
        <v>0</v>
      </c>
      <c r="H971" s="150">
        <v>0</v>
      </c>
      <c r="I971" s="567">
        <f t="shared" si="26"/>
        <v>0</v>
      </c>
    </row>
    <row r="972" spans="1:9" x14ac:dyDescent="0.15">
      <c r="A972" s="138"/>
      <c r="B972" s="523" t="s">
        <v>1581</v>
      </c>
      <c r="C972" s="524" t="s">
        <v>124</v>
      </c>
      <c r="D972" s="144">
        <v>0</v>
      </c>
      <c r="E972" s="144">
        <v>0</v>
      </c>
      <c r="F972" s="144">
        <v>0</v>
      </c>
      <c r="G972" s="144">
        <v>0</v>
      </c>
      <c r="H972" s="150">
        <v>0</v>
      </c>
      <c r="I972" s="567">
        <f t="shared" si="26"/>
        <v>0</v>
      </c>
    </row>
    <row r="973" spans="1:9" x14ac:dyDescent="0.15">
      <c r="A973" s="138"/>
      <c r="B973" s="523" t="s">
        <v>127</v>
      </c>
      <c r="C973" s="524" t="s">
        <v>134</v>
      </c>
      <c r="D973" s="144">
        <v>0</v>
      </c>
      <c r="E973" s="144">
        <v>0</v>
      </c>
      <c r="F973" s="144">
        <v>0</v>
      </c>
      <c r="G973" s="144">
        <v>0</v>
      </c>
      <c r="H973" s="150">
        <v>0</v>
      </c>
      <c r="I973" s="567">
        <f t="shared" si="26"/>
        <v>0</v>
      </c>
    </row>
    <row r="974" spans="1:9" x14ac:dyDescent="0.15">
      <c r="A974" s="138"/>
      <c r="B974" s="523" t="s">
        <v>128</v>
      </c>
      <c r="C974" s="524" t="s">
        <v>135</v>
      </c>
      <c r="D974" s="144">
        <v>0</v>
      </c>
      <c r="E974" s="144">
        <v>0</v>
      </c>
      <c r="F974" s="144">
        <v>0</v>
      </c>
      <c r="G974" s="144">
        <v>0</v>
      </c>
      <c r="H974" s="150">
        <v>0</v>
      </c>
      <c r="I974" s="567">
        <f t="shared" si="26"/>
        <v>0</v>
      </c>
    </row>
    <row r="975" spans="1:9" x14ac:dyDescent="0.15">
      <c r="A975" s="138"/>
      <c r="B975" s="523" t="s">
        <v>132</v>
      </c>
      <c r="C975" s="524" t="s">
        <v>1617</v>
      </c>
      <c r="D975" s="144">
        <v>0</v>
      </c>
      <c r="E975" s="144">
        <v>0</v>
      </c>
      <c r="F975" s="144">
        <v>0</v>
      </c>
      <c r="G975" s="144">
        <v>0</v>
      </c>
      <c r="H975" s="150">
        <v>0</v>
      </c>
      <c r="I975" s="567">
        <f t="shared" si="26"/>
        <v>0</v>
      </c>
    </row>
    <row r="976" spans="1:9" x14ac:dyDescent="0.15">
      <c r="A976" s="138"/>
      <c r="B976" s="523" t="s">
        <v>1618</v>
      </c>
      <c r="C976" s="524" t="s">
        <v>836</v>
      </c>
      <c r="D976" s="144">
        <v>0</v>
      </c>
      <c r="E976" s="144">
        <v>0</v>
      </c>
      <c r="F976" s="144">
        <v>0</v>
      </c>
      <c r="G976" s="144">
        <v>0</v>
      </c>
      <c r="H976" s="150">
        <v>0</v>
      </c>
      <c r="I976" s="567">
        <f t="shared" si="26"/>
        <v>0</v>
      </c>
    </row>
    <row r="977" spans="1:9" x14ac:dyDescent="0.15">
      <c r="A977" s="138"/>
      <c r="B977" s="523" t="s">
        <v>1619</v>
      </c>
      <c r="C977" s="524" t="s">
        <v>837</v>
      </c>
      <c r="D977" s="144">
        <v>0</v>
      </c>
      <c r="E977" s="144">
        <v>0</v>
      </c>
      <c r="F977" s="144">
        <v>0</v>
      </c>
      <c r="G977" s="144">
        <v>0</v>
      </c>
      <c r="H977" s="150">
        <v>0</v>
      </c>
      <c r="I977" s="567">
        <f t="shared" si="26"/>
        <v>0</v>
      </c>
    </row>
    <row r="978" spans="1:9" x14ac:dyDescent="0.15">
      <c r="A978" s="138"/>
      <c r="B978" s="523" t="s">
        <v>1620</v>
      </c>
      <c r="C978" s="524" t="s">
        <v>838</v>
      </c>
      <c r="D978" s="144">
        <v>0</v>
      </c>
      <c r="E978" s="144">
        <v>0</v>
      </c>
      <c r="F978" s="144">
        <v>0</v>
      </c>
      <c r="G978" s="144">
        <v>0</v>
      </c>
      <c r="H978" s="150">
        <v>0</v>
      </c>
      <c r="I978" s="567">
        <f t="shared" si="26"/>
        <v>0</v>
      </c>
    </row>
    <row r="979" spans="1:9" x14ac:dyDescent="0.15">
      <c r="A979" s="138"/>
      <c r="B979" s="523" t="s">
        <v>1621</v>
      </c>
      <c r="C979" s="524" t="s">
        <v>839</v>
      </c>
      <c r="D979" s="144">
        <v>0</v>
      </c>
      <c r="E979" s="144">
        <v>0</v>
      </c>
      <c r="F979" s="144">
        <v>0</v>
      </c>
      <c r="G979" s="144">
        <v>0</v>
      </c>
      <c r="H979" s="150">
        <v>0</v>
      </c>
      <c r="I979" s="567">
        <f t="shared" si="26"/>
        <v>0</v>
      </c>
    </row>
    <row r="980" spans="1:9" x14ac:dyDescent="0.15">
      <c r="A980" s="138"/>
      <c r="B980" s="523" t="s">
        <v>1622</v>
      </c>
      <c r="C980" s="524" t="s">
        <v>190</v>
      </c>
      <c r="D980" s="144">
        <v>0</v>
      </c>
      <c r="E980" s="144">
        <v>0</v>
      </c>
      <c r="F980" s="144">
        <v>0</v>
      </c>
      <c r="G980" s="144">
        <v>0</v>
      </c>
      <c r="H980" s="150">
        <v>0</v>
      </c>
      <c r="I980" s="567">
        <f t="shared" si="26"/>
        <v>0</v>
      </c>
    </row>
    <row r="981" spans="1:9" x14ac:dyDescent="0.15">
      <c r="A981" s="138"/>
      <c r="B981" s="523" t="s">
        <v>1623</v>
      </c>
      <c r="C981" s="524" t="s">
        <v>191</v>
      </c>
      <c r="D981" s="144">
        <v>0</v>
      </c>
      <c r="E981" s="144">
        <v>0</v>
      </c>
      <c r="F981" s="144">
        <v>0</v>
      </c>
      <c r="G981" s="144">
        <v>0</v>
      </c>
      <c r="H981" s="150">
        <v>0</v>
      </c>
      <c r="I981" s="567">
        <f t="shared" si="26"/>
        <v>0</v>
      </c>
    </row>
    <row r="982" spans="1:9" x14ac:dyDescent="0.15">
      <c r="A982" s="138"/>
      <c r="B982" s="523" t="s">
        <v>1624</v>
      </c>
      <c r="C982" s="524" t="s">
        <v>840</v>
      </c>
      <c r="D982" s="144">
        <v>0</v>
      </c>
      <c r="E982" s="144">
        <v>0</v>
      </c>
      <c r="F982" s="144">
        <v>0</v>
      </c>
      <c r="G982" s="144">
        <v>0</v>
      </c>
      <c r="H982" s="150">
        <v>0</v>
      </c>
      <c r="I982" s="567">
        <f t="shared" si="26"/>
        <v>0</v>
      </c>
    </row>
    <row r="983" spans="1:9" x14ac:dyDescent="0.15">
      <c r="A983" s="138"/>
      <c r="B983" s="523" t="s">
        <v>1625</v>
      </c>
      <c r="C983" s="524" t="s">
        <v>842</v>
      </c>
      <c r="D983" s="144">
        <v>0</v>
      </c>
      <c r="E983" s="144">
        <v>0</v>
      </c>
      <c r="F983" s="144">
        <v>0</v>
      </c>
      <c r="G983" s="144">
        <v>0</v>
      </c>
      <c r="H983" s="150">
        <v>0</v>
      </c>
      <c r="I983" s="567">
        <f t="shared" si="26"/>
        <v>0</v>
      </c>
    </row>
    <row r="984" spans="1:9" x14ac:dyDescent="0.15">
      <c r="A984" s="138"/>
      <c r="B984" s="523" t="s">
        <v>843</v>
      </c>
      <c r="C984" s="524" t="s">
        <v>848</v>
      </c>
      <c r="D984" s="144">
        <v>0</v>
      </c>
      <c r="E984" s="144">
        <v>0</v>
      </c>
      <c r="F984" s="144">
        <v>0</v>
      </c>
      <c r="G984" s="144">
        <v>0</v>
      </c>
      <c r="H984" s="150">
        <v>0</v>
      </c>
      <c r="I984" s="567">
        <f t="shared" si="26"/>
        <v>0</v>
      </c>
    </row>
    <row r="985" spans="1:9" x14ac:dyDescent="0.15">
      <c r="A985" s="138"/>
      <c r="B985" s="523" t="s">
        <v>844</v>
      </c>
      <c r="C985" s="524" t="s">
        <v>153</v>
      </c>
      <c r="D985" s="144">
        <v>0</v>
      </c>
      <c r="E985" s="144">
        <v>0</v>
      </c>
      <c r="F985" s="144">
        <v>0</v>
      </c>
      <c r="G985" s="144">
        <v>0</v>
      </c>
      <c r="H985" s="150">
        <v>0</v>
      </c>
      <c r="I985" s="567">
        <f t="shared" si="26"/>
        <v>0</v>
      </c>
    </row>
    <row r="986" spans="1:9" x14ac:dyDescent="0.15">
      <c r="A986" s="138"/>
      <c r="B986" s="523" t="s">
        <v>845</v>
      </c>
      <c r="C986" s="524" t="s">
        <v>154</v>
      </c>
      <c r="D986" s="144">
        <v>0</v>
      </c>
      <c r="E986" s="144">
        <v>0</v>
      </c>
      <c r="F986" s="144">
        <v>0</v>
      </c>
      <c r="G986" s="144">
        <v>0</v>
      </c>
      <c r="H986" s="150">
        <v>0</v>
      </c>
      <c r="I986" s="567">
        <f t="shared" si="26"/>
        <v>0</v>
      </c>
    </row>
    <row r="987" spans="1:9" x14ac:dyDescent="0.15">
      <c r="A987" s="138"/>
      <c r="B987" s="523" t="s">
        <v>846</v>
      </c>
      <c r="C987" s="524" t="s">
        <v>155</v>
      </c>
      <c r="D987" s="144">
        <v>0</v>
      </c>
      <c r="E987" s="144">
        <v>0</v>
      </c>
      <c r="F987" s="144">
        <v>0</v>
      </c>
      <c r="G987" s="144">
        <v>0</v>
      </c>
      <c r="H987" s="150">
        <v>0</v>
      </c>
      <c r="I987" s="567">
        <f t="shared" si="26"/>
        <v>0</v>
      </c>
    </row>
    <row r="988" spans="1:9" x14ac:dyDescent="0.15">
      <c r="A988" s="138"/>
      <c r="B988" s="523" t="s">
        <v>1582</v>
      </c>
      <c r="C988" s="524" t="s">
        <v>156</v>
      </c>
      <c r="D988" s="144">
        <v>0</v>
      </c>
      <c r="E988" s="144">
        <v>0</v>
      </c>
      <c r="F988" s="144">
        <v>0</v>
      </c>
      <c r="G988" s="144">
        <v>0</v>
      </c>
      <c r="H988" s="150">
        <v>0</v>
      </c>
      <c r="I988" s="567">
        <f t="shared" si="26"/>
        <v>0</v>
      </c>
    </row>
    <row r="989" spans="1:9" x14ac:dyDescent="0.15">
      <c r="A989" s="138"/>
      <c r="B989" s="523" t="s">
        <v>847</v>
      </c>
      <c r="C989" s="524" t="s">
        <v>157</v>
      </c>
      <c r="D989" s="144">
        <v>0</v>
      </c>
      <c r="E989" s="144">
        <v>0</v>
      </c>
      <c r="F989" s="144">
        <v>0</v>
      </c>
      <c r="G989" s="144">
        <v>0</v>
      </c>
      <c r="H989" s="150">
        <v>0</v>
      </c>
      <c r="I989" s="567">
        <f t="shared" si="26"/>
        <v>0</v>
      </c>
    </row>
    <row r="990" spans="1:9" x14ac:dyDescent="0.15">
      <c r="A990" s="138"/>
      <c r="B990" s="523" t="s">
        <v>1583</v>
      </c>
      <c r="C990" s="524" t="s">
        <v>160</v>
      </c>
      <c r="D990" s="144">
        <v>0</v>
      </c>
      <c r="E990" s="144">
        <v>0</v>
      </c>
      <c r="F990" s="144">
        <v>0</v>
      </c>
      <c r="G990" s="144">
        <v>0</v>
      </c>
      <c r="H990" s="150">
        <v>0</v>
      </c>
      <c r="I990" s="567">
        <f t="shared" si="26"/>
        <v>0</v>
      </c>
    </row>
    <row r="991" spans="1:9" x14ac:dyDescent="0.15">
      <c r="A991" s="138"/>
      <c r="B991" s="523" t="s">
        <v>634</v>
      </c>
      <c r="C991" s="524" t="s">
        <v>165</v>
      </c>
      <c r="D991" s="144">
        <v>0</v>
      </c>
      <c r="E991" s="144">
        <v>0</v>
      </c>
      <c r="F991" s="144">
        <v>0</v>
      </c>
      <c r="G991" s="144">
        <v>0</v>
      </c>
      <c r="H991" s="150">
        <v>0</v>
      </c>
      <c r="I991" s="567">
        <f t="shared" si="26"/>
        <v>0</v>
      </c>
    </row>
    <row r="992" spans="1:9" x14ac:dyDescent="0.15">
      <c r="A992" s="138"/>
      <c r="B992" s="523" t="s">
        <v>630</v>
      </c>
      <c r="C992" s="524" t="s">
        <v>172</v>
      </c>
      <c r="D992" s="144">
        <v>0</v>
      </c>
      <c r="E992" s="144">
        <v>0</v>
      </c>
      <c r="F992" s="144">
        <v>0</v>
      </c>
      <c r="G992" s="144">
        <v>0</v>
      </c>
      <c r="H992" s="150">
        <v>0</v>
      </c>
      <c r="I992" s="567">
        <f t="shared" si="26"/>
        <v>0</v>
      </c>
    </row>
    <row r="993" spans="1:9" x14ac:dyDescent="0.15">
      <c r="A993" s="138"/>
      <c r="B993" s="650" t="s">
        <v>631</v>
      </c>
      <c r="C993" s="651" t="s">
        <v>173</v>
      </c>
      <c r="D993" s="144">
        <v>0</v>
      </c>
      <c r="E993" s="144">
        <v>0</v>
      </c>
      <c r="F993" s="144">
        <v>0</v>
      </c>
      <c r="G993" s="144">
        <v>0</v>
      </c>
      <c r="H993" s="150">
        <v>0</v>
      </c>
      <c r="I993" s="567">
        <f t="shared" si="26"/>
        <v>0</v>
      </c>
    </row>
    <row r="994" spans="1:9" x14ac:dyDescent="0.15">
      <c r="A994" s="138"/>
      <c r="B994" s="523" t="s">
        <v>1584</v>
      </c>
      <c r="C994" s="524" t="s">
        <v>178</v>
      </c>
      <c r="D994" s="144">
        <v>0</v>
      </c>
      <c r="E994" s="144">
        <v>0</v>
      </c>
      <c r="F994" s="144">
        <v>0</v>
      </c>
      <c r="G994" s="144">
        <v>0</v>
      </c>
      <c r="H994" s="150">
        <v>0</v>
      </c>
      <c r="I994" s="567">
        <f t="shared" si="26"/>
        <v>0</v>
      </c>
    </row>
    <row r="995" spans="1:9" x14ac:dyDescent="0.15">
      <c r="A995" s="138"/>
      <c r="B995" s="523" t="s">
        <v>174</v>
      </c>
      <c r="C995" s="524" t="s">
        <v>179</v>
      </c>
      <c r="D995" s="144">
        <v>0</v>
      </c>
      <c r="E995" s="144">
        <v>0</v>
      </c>
      <c r="F995" s="144">
        <v>0</v>
      </c>
      <c r="G995" s="144">
        <v>0</v>
      </c>
      <c r="H995" s="150">
        <v>0</v>
      </c>
      <c r="I995" s="567">
        <f t="shared" si="26"/>
        <v>0</v>
      </c>
    </row>
    <row r="996" spans="1:9" x14ac:dyDescent="0.15">
      <c r="A996" s="138"/>
      <c r="B996" s="523" t="s">
        <v>175</v>
      </c>
      <c r="C996" s="524" t="s">
        <v>180</v>
      </c>
      <c r="D996" s="144">
        <v>0</v>
      </c>
      <c r="E996" s="144">
        <v>0</v>
      </c>
      <c r="F996" s="144">
        <v>0</v>
      </c>
      <c r="G996" s="144">
        <v>0</v>
      </c>
      <c r="H996" s="150">
        <v>0</v>
      </c>
      <c r="I996" s="567">
        <f t="shared" si="26"/>
        <v>0</v>
      </c>
    </row>
    <row r="997" spans="1:9" ht="11.25" thickBot="1" x14ac:dyDescent="0.2">
      <c r="A997" s="138"/>
      <c r="B997" s="523" t="s">
        <v>176</v>
      </c>
      <c r="C997" s="524" t="s">
        <v>181</v>
      </c>
      <c r="D997" s="144">
        <v>0</v>
      </c>
      <c r="E997" s="144">
        <v>0</v>
      </c>
      <c r="F997" s="144">
        <v>0</v>
      </c>
      <c r="G997" s="144">
        <v>0</v>
      </c>
      <c r="H997" s="150">
        <v>0</v>
      </c>
      <c r="I997" s="567">
        <f t="shared" si="26"/>
        <v>0</v>
      </c>
    </row>
    <row r="998" spans="1:9" ht="12" thickTop="1" thickBot="1" x14ac:dyDescent="0.2">
      <c r="A998" s="138"/>
      <c r="B998" s="523"/>
      <c r="C998" s="524" t="s">
        <v>386</v>
      </c>
      <c r="D998" s="169">
        <f>SUM(D964:D997)</f>
        <v>0</v>
      </c>
      <c r="E998" s="169">
        <f>SUM(E964:E997)</f>
        <v>0</v>
      </c>
      <c r="F998" s="169">
        <f>SUM(F964:F997)</f>
        <v>0</v>
      </c>
      <c r="G998" s="169">
        <f>SUM(G964:G997)</f>
        <v>0</v>
      </c>
      <c r="H998" s="169">
        <f>SUM(H964:H997)</f>
        <v>0</v>
      </c>
      <c r="I998" s="169">
        <f t="shared" si="26"/>
        <v>0</v>
      </c>
    </row>
    <row r="999" spans="1:9" ht="11.25" thickTop="1" x14ac:dyDescent="0.15">
      <c r="A999" s="138"/>
      <c r="B999" s="524"/>
      <c r="C999" s="524"/>
      <c r="D999" s="14"/>
      <c r="E999" s="14"/>
      <c r="F999" s="14"/>
      <c r="G999" s="14"/>
      <c r="H999" s="14"/>
      <c r="I999" s="563"/>
    </row>
    <row r="1000" spans="1:9" x14ac:dyDescent="0.15">
      <c r="A1000" s="522" t="s">
        <v>387</v>
      </c>
      <c r="B1000" s="524"/>
      <c r="C1000" s="524"/>
      <c r="D1000" s="14"/>
      <c r="E1000" s="14"/>
      <c r="F1000" s="14"/>
      <c r="G1000" s="14"/>
      <c r="H1000" s="14"/>
      <c r="I1000" s="563"/>
    </row>
    <row r="1001" spans="1:9" x14ac:dyDescent="0.15">
      <c r="A1001" s="434"/>
      <c r="B1001" s="523" t="s">
        <v>1577</v>
      </c>
      <c r="C1001" s="524" t="s">
        <v>228</v>
      </c>
      <c r="D1001" s="316">
        <v>0</v>
      </c>
      <c r="E1001" s="316">
        <v>0</v>
      </c>
      <c r="F1001" s="316">
        <v>0</v>
      </c>
      <c r="G1001" s="528">
        <f t="array" ref="G1001">SUM(IF(CertFund&amp;CertProg&amp;CertObj=RIGHT(LEFT($A$2,7),2)&amp;LEFT(A1000,4)&amp;B1001,CertSalary))</f>
        <v>0</v>
      </c>
      <c r="H1001" s="527">
        <v>0</v>
      </c>
      <c r="I1001" s="566">
        <f>SUM(G1001+H1001)</f>
        <v>0</v>
      </c>
    </row>
    <row r="1002" spans="1:9" x14ac:dyDescent="0.15">
      <c r="A1002" s="434"/>
      <c r="B1002" s="523" t="s">
        <v>1577</v>
      </c>
      <c r="C1002" s="524" t="s">
        <v>510</v>
      </c>
      <c r="D1002" s="316">
        <v>0</v>
      </c>
      <c r="E1002" s="316">
        <v>0</v>
      </c>
      <c r="F1002" s="316">
        <v>0</v>
      </c>
      <c r="G1002" s="316">
        <v>0</v>
      </c>
      <c r="H1002" s="527">
        <v>0</v>
      </c>
      <c r="I1002" s="566">
        <f>SUM(G1002+H1002)</f>
        <v>0</v>
      </c>
    </row>
    <row r="1003" spans="1:9" x14ac:dyDescent="0.15">
      <c r="A1003" s="524"/>
      <c r="B1003" s="523" t="s">
        <v>1578</v>
      </c>
      <c r="C1003" s="524" t="s">
        <v>936</v>
      </c>
      <c r="D1003" s="316">
        <v>0</v>
      </c>
      <c r="E1003" s="316">
        <v>0</v>
      </c>
      <c r="F1003" s="316">
        <v>0</v>
      </c>
      <c r="G1003" s="529">
        <f t="array" ref="G1003">SUM(IF(CertFund&amp;CertProg&amp;CertObj=RIGHT(LEFT($A$2,7),2)&amp;LEFT(A1000,4)&amp;B1001,CertBen))</f>
        <v>0</v>
      </c>
      <c r="H1003" s="527">
        <v>0</v>
      </c>
      <c r="I1003" s="566">
        <f>SUM(G1003+H1003)</f>
        <v>0</v>
      </c>
    </row>
    <row r="1004" spans="1:9" x14ac:dyDescent="0.15">
      <c r="A1004" s="138"/>
      <c r="B1004" s="521" t="s">
        <v>1578</v>
      </c>
      <c r="C1004" s="138" t="s">
        <v>511</v>
      </c>
      <c r="D1004" s="147">
        <v>0</v>
      </c>
      <c r="E1004" s="147">
        <v>0</v>
      </c>
      <c r="F1004" s="147">
        <v>0</v>
      </c>
      <c r="G1004" s="147">
        <v>0</v>
      </c>
      <c r="H1004" s="150">
        <v>0</v>
      </c>
      <c r="I1004" s="567">
        <f>SUM(G1004+H1004)</f>
        <v>0</v>
      </c>
    </row>
    <row r="1005" spans="1:9" x14ac:dyDescent="0.15">
      <c r="A1005" s="138"/>
      <c r="B1005" s="523" t="s">
        <v>1579</v>
      </c>
      <c r="C1005" s="524" t="s">
        <v>118</v>
      </c>
      <c r="D1005" s="144">
        <v>0</v>
      </c>
      <c r="E1005" s="144">
        <v>0</v>
      </c>
      <c r="F1005" s="144">
        <v>0</v>
      </c>
      <c r="G1005" s="144">
        <v>0</v>
      </c>
      <c r="H1005" s="150">
        <v>0</v>
      </c>
      <c r="I1005" s="567">
        <f t="shared" ref="I1005:I1035" si="27">SUM(G1005+H1005)</f>
        <v>0</v>
      </c>
    </row>
    <row r="1006" spans="1:9" x14ac:dyDescent="0.15">
      <c r="A1006" s="138"/>
      <c r="B1006" s="523" t="s">
        <v>1580</v>
      </c>
      <c r="C1006" s="524" t="s">
        <v>119</v>
      </c>
      <c r="D1006" s="144">
        <v>0</v>
      </c>
      <c r="E1006" s="144">
        <v>0</v>
      </c>
      <c r="F1006" s="144">
        <v>0</v>
      </c>
      <c r="G1006" s="144">
        <v>0</v>
      </c>
      <c r="H1006" s="150">
        <v>0</v>
      </c>
      <c r="I1006" s="567">
        <f t="shared" si="27"/>
        <v>0</v>
      </c>
    </row>
    <row r="1007" spans="1:9" x14ac:dyDescent="0.15">
      <c r="A1007" s="138"/>
      <c r="B1007" s="523" t="s">
        <v>120</v>
      </c>
      <c r="C1007" s="524" t="s">
        <v>121</v>
      </c>
      <c r="D1007" s="144">
        <v>0</v>
      </c>
      <c r="E1007" s="144">
        <v>0</v>
      </c>
      <c r="F1007" s="144">
        <v>0</v>
      </c>
      <c r="G1007" s="144">
        <v>0</v>
      </c>
      <c r="H1007" s="150">
        <v>0</v>
      </c>
      <c r="I1007" s="567">
        <f t="shared" si="27"/>
        <v>0</v>
      </c>
    </row>
    <row r="1008" spans="1:9" x14ac:dyDescent="0.15">
      <c r="A1008" s="138"/>
      <c r="B1008" s="523" t="s">
        <v>122</v>
      </c>
      <c r="C1008" s="524" t="s">
        <v>123</v>
      </c>
      <c r="D1008" s="144">
        <v>0</v>
      </c>
      <c r="E1008" s="144">
        <v>0</v>
      </c>
      <c r="F1008" s="144">
        <v>0</v>
      </c>
      <c r="G1008" s="144">
        <v>0</v>
      </c>
      <c r="H1008" s="150">
        <v>0</v>
      </c>
      <c r="I1008" s="567">
        <f t="shared" si="27"/>
        <v>0</v>
      </c>
    </row>
    <row r="1009" spans="1:9" x14ac:dyDescent="0.15">
      <c r="A1009" s="138"/>
      <c r="B1009" s="523" t="s">
        <v>1581</v>
      </c>
      <c r="C1009" s="524" t="s">
        <v>124</v>
      </c>
      <c r="D1009" s="144">
        <v>0</v>
      </c>
      <c r="E1009" s="144">
        <v>0</v>
      </c>
      <c r="F1009" s="144">
        <v>0</v>
      </c>
      <c r="G1009" s="144">
        <v>0</v>
      </c>
      <c r="H1009" s="150">
        <v>0</v>
      </c>
      <c r="I1009" s="567">
        <f t="shared" si="27"/>
        <v>0</v>
      </c>
    </row>
    <row r="1010" spans="1:9" x14ac:dyDescent="0.15">
      <c r="A1010" s="138"/>
      <c r="B1010" s="523" t="s">
        <v>127</v>
      </c>
      <c r="C1010" s="524" t="s">
        <v>134</v>
      </c>
      <c r="D1010" s="144">
        <v>0</v>
      </c>
      <c r="E1010" s="144">
        <v>0</v>
      </c>
      <c r="F1010" s="144">
        <v>0</v>
      </c>
      <c r="G1010" s="144">
        <v>0</v>
      </c>
      <c r="H1010" s="150">
        <v>0</v>
      </c>
      <c r="I1010" s="567">
        <f t="shared" si="27"/>
        <v>0</v>
      </c>
    </row>
    <row r="1011" spans="1:9" x14ac:dyDescent="0.15">
      <c r="A1011" s="138"/>
      <c r="B1011" s="523" t="s">
        <v>128</v>
      </c>
      <c r="C1011" s="524" t="s">
        <v>135</v>
      </c>
      <c r="D1011" s="144">
        <v>0</v>
      </c>
      <c r="E1011" s="144">
        <v>0</v>
      </c>
      <c r="F1011" s="144">
        <v>0</v>
      </c>
      <c r="G1011" s="144">
        <v>0</v>
      </c>
      <c r="H1011" s="150">
        <v>0</v>
      </c>
      <c r="I1011" s="567">
        <f t="shared" si="27"/>
        <v>0</v>
      </c>
    </row>
    <row r="1012" spans="1:9" x14ac:dyDescent="0.15">
      <c r="A1012" s="138"/>
      <c r="B1012" s="523" t="s">
        <v>132</v>
      </c>
      <c r="C1012" s="524" t="s">
        <v>1617</v>
      </c>
      <c r="D1012" s="144">
        <v>0</v>
      </c>
      <c r="E1012" s="144">
        <v>0</v>
      </c>
      <c r="F1012" s="144">
        <v>0</v>
      </c>
      <c r="G1012" s="144">
        <v>0</v>
      </c>
      <c r="H1012" s="150">
        <v>0</v>
      </c>
      <c r="I1012" s="567">
        <f t="shared" si="27"/>
        <v>0</v>
      </c>
    </row>
    <row r="1013" spans="1:9" x14ac:dyDescent="0.15">
      <c r="A1013" s="138"/>
      <c r="B1013" s="523" t="s">
        <v>1618</v>
      </c>
      <c r="C1013" s="524" t="s">
        <v>836</v>
      </c>
      <c r="D1013" s="144">
        <v>0</v>
      </c>
      <c r="E1013" s="144">
        <v>0</v>
      </c>
      <c r="F1013" s="144">
        <v>0</v>
      </c>
      <c r="G1013" s="144">
        <v>0</v>
      </c>
      <c r="H1013" s="150">
        <v>0</v>
      </c>
      <c r="I1013" s="567">
        <f t="shared" si="27"/>
        <v>0</v>
      </c>
    </row>
    <row r="1014" spans="1:9" x14ac:dyDescent="0.15">
      <c r="A1014" s="138"/>
      <c r="B1014" s="523" t="s">
        <v>1619</v>
      </c>
      <c r="C1014" s="524" t="s">
        <v>837</v>
      </c>
      <c r="D1014" s="144">
        <v>0</v>
      </c>
      <c r="E1014" s="144">
        <v>0</v>
      </c>
      <c r="F1014" s="144">
        <v>0</v>
      </c>
      <c r="G1014" s="144">
        <v>0</v>
      </c>
      <c r="H1014" s="150">
        <v>0</v>
      </c>
      <c r="I1014" s="567">
        <f t="shared" si="27"/>
        <v>0</v>
      </c>
    </row>
    <row r="1015" spans="1:9" x14ac:dyDescent="0.15">
      <c r="A1015" s="138"/>
      <c r="B1015" s="523" t="s">
        <v>1620</v>
      </c>
      <c r="C1015" s="524" t="s">
        <v>838</v>
      </c>
      <c r="D1015" s="144">
        <v>0</v>
      </c>
      <c r="E1015" s="144">
        <v>0</v>
      </c>
      <c r="F1015" s="144">
        <v>0</v>
      </c>
      <c r="G1015" s="144">
        <v>0</v>
      </c>
      <c r="H1015" s="150">
        <v>0</v>
      </c>
      <c r="I1015" s="567">
        <f t="shared" si="27"/>
        <v>0</v>
      </c>
    </row>
    <row r="1016" spans="1:9" x14ac:dyDescent="0.15">
      <c r="A1016" s="138"/>
      <c r="B1016" s="523" t="s">
        <v>1621</v>
      </c>
      <c r="C1016" s="524" t="s">
        <v>839</v>
      </c>
      <c r="D1016" s="144">
        <v>0</v>
      </c>
      <c r="E1016" s="144">
        <v>0</v>
      </c>
      <c r="F1016" s="144">
        <v>0</v>
      </c>
      <c r="G1016" s="144">
        <v>0</v>
      </c>
      <c r="H1016" s="150">
        <v>0</v>
      </c>
      <c r="I1016" s="567">
        <f t="shared" si="27"/>
        <v>0</v>
      </c>
    </row>
    <row r="1017" spans="1:9" x14ac:dyDescent="0.15">
      <c r="A1017" s="138"/>
      <c r="B1017" s="523" t="s">
        <v>1622</v>
      </c>
      <c r="C1017" s="524" t="s">
        <v>190</v>
      </c>
      <c r="D1017" s="144">
        <v>0</v>
      </c>
      <c r="E1017" s="144">
        <v>0</v>
      </c>
      <c r="F1017" s="144">
        <v>0</v>
      </c>
      <c r="G1017" s="144">
        <v>0</v>
      </c>
      <c r="H1017" s="150">
        <v>0</v>
      </c>
      <c r="I1017" s="567">
        <f t="shared" si="27"/>
        <v>0</v>
      </c>
    </row>
    <row r="1018" spans="1:9" x14ac:dyDescent="0.15">
      <c r="A1018" s="138"/>
      <c r="B1018" s="523" t="s">
        <v>1623</v>
      </c>
      <c r="C1018" s="524" t="s">
        <v>191</v>
      </c>
      <c r="D1018" s="144">
        <v>0</v>
      </c>
      <c r="E1018" s="144">
        <v>0</v>
      </c>
      <c r="F1018" s="144">
        <v>0</v>
      </c>
      <c r="G1018" s="144">
        <v>0</v>
      </c>
      <c r="H1018" s="150">
        <v>0</v>
      </c>
      <c r="I1018" s="567">
        <f t="shared" si="27"/>
        <v>0</v>
      </c>
    </row>
    <row r="1019" spans="1:9" x14ac:dyDescent="0.15">
      <c r="A1019" s="138"/>
      <c r="B1019" s="523" t="s">
        <v>1624</v>
      </c>
      <c r="C1019" s="524" t="s">
        <v>840</v>
      </c>
      <c r="D1019" s="144">
        <v>0</v>
      </c>
      <c r="E1019" s="144">
        <v>0</v>
      </c>
      <c r="F1019" s="144">
        <v>0</v>
      </c>
      <c r="G1019" s="144">
        <v>0</v>
      </c>
      <c r="H1019" s="150">
        <v>0</v>
      </c>
      <c r="I1019" s="567">
        <f t="shared" si="27"/>
        <v>0</v>
      </c>
    </row>
    <row r="1020" spans="1:9" x14ac:dyDescent="0.15">
      <c r="A1020" s="138"/>
      <c r="B1020" s="523" t="s">
        <v>1625</v>
      </c>
      <c r="C1020" s="524" t="s">
        <v>842</v>
      </c>
      <c r="D1020" s="144">
        <v>0</v>
      </c>
      <c r="E1020" s="144">
        <v>0</v>
      </c>
      <c r="F1020" s="144">
        <v>0</v>
      </c>
      <c r="G1020" s="144">
        <v>0</v>
      </c>
      <c r="H1020" s="150">
        <v>0</v>
      </c>
      <c r="I1020" s="567">
        <f t="shared" si="27"/>
        <v>0</v>
      </c>
    </row>
    <row r="1021" spans="1:9" x14ac:dyDescent="0.15">
      <c r="A1021" s="138"/>
      <c r="B1021" s="523" t="s">
        <v>843</v>
      </c>
      <c r="C1021" s="524" t="s">
        <v>848</v>
      </c>
      <c r="D1021" s="144">
        <v>0</v>
      </c>
      <c r="E1021" s="144">
        <v>0</v>
      </c>
      <c r="F1021" s="144">
        <v>0</v>
      </c>
      <c r="G1021" s="144">
        <v>0</v>
      </c>
      <c r="H1021" s="150">
        <v>0</v>
      </c>
      <c r="I1021" s="567">
        <f t="shared" si="27"/>
        <v>0</v>
      </c>
    </row>
    <row r="1022" spans="1:9" x14ac:dyDescent="0.15">
      <c r="A1022" s="138"/>
      <c r="B1022" s="523" t="s">
        <v>844</v>
      </c>
      <c r="C1022" s="524" t="s">
        <v>153</v>
      </c>
      <c r="D1022" s="144">
        <v>0</v>
      </c>
      <c r="E1022" s="144">
        <v>0</v>
      </c>
      <c r="F1022" s="144">
        <v>0</v>
      </c>
      <c r="G1022" s="144">
        <v>0</v>
      </c>
      <c r="H1022" s="150">
        <v>0</v>
      </c>
      <c r="I1022" s="567">
        <f t="shared" si="27"/>
        <v>0</v>
      </c>
    </row>
    <row r="1023" spans="1:9" x14ac:dyDescent="0.15">
      <c r="A1023" s="138"/>
      <c r="B1023" s="523" t="s">
        <v>845</v>
      </c>
      <c r="C1023" s="524" t="s">
        <v>154</v>
      </c>
      <c r="D1023" s="144">
        <v>0</v>
      </c>
      <c r="E1023" s="144">
        <v>0</v>
      </c>
      <c r="F1023" s="144">
        <v>0</v>
      </c>
      <c r="G1023" s="144">
        <v>0</v>
      </c>
      <c r="H1023" s="150">
        <v>0</v>
      </c>
      <c r="I1023" s="567">
        <f t="shared" si="27"/>
        <v>0</v>
      </c>
    </row>
    <row r="1024" spans="1:9" x14ac:dyDescent="0.15">
      <c r="A1024" s="138"/>
      <c r="B1024" s="523" t="s">
        <v>846</v>
      </c>
      <c r="C1024" s="524" t="s">
        <v>155</v>
      </c>
      <c r="D1024" s="144">
        <v>0</v>
      </c>
      <c r="E1024" s="144">
        <v>0</v>
      </c>
      <c r="F1024" s="144">
        <v>0</v>
      </c>
      <c r="G1024" s="144">
        <v>0</v>
      </c>
      <c r="H1024" s="150">
        <v>0</v>
      </c>
      <c r="I1024" s="567">
        <f t="shared" si="27"/>
        <v>0</v>
      </c>
    </row>
    <row r="1025" spans="1:9" x14ac:dyDescent="0.15">
      <c r="A1025" s="138"/>
      <c r="B1025" s="523" t="s">
        <v>1582</v>
      </c>
      <c r="C1025" s="524" t="s">
        <v>156</v>
      </c>
      <c r="D1025" s="144">
        <v>0</v>
      </c>
      <c r="E1025" s="144">
        <v>0</v>
      </c>
      <c r="F1025" s="144">
        <v>0</v>
      </c>
      <c r="G1025" s="144">
        <v>0</v>
      </c>
      <c r="H1025" s="150">
        <v>0</v>
      </c>
      <c r="I1025" s="567">
        <f t="shared" si="27"/>
        <v>0</v>
      </c>
    </row>
    <row r="1026" spans="1:9" x14ac:dyDescent="0.15">
      <c r="A1026" s="138"/>
      <c r="B1026" s="523" t="s">
        <v>847</v>
      </c>
      <c r="C1026" s="524" t="s">
        <v>157</v>
      </c>
      <c r="D1026" s="144">
        <v>0</v>
      </c>
      <c r="E1026" s="144">
        <v>0</v>
      </c>
      <c r="F1026" s="144">
        <v>0</v>
      </c>
      <c r="G1026" s="144">
        <v>0</v>
      </c>
      <c r="H1026" s="150">
        <v>0</v>
      </c>
      <c r="I1026" s="567">
        <f t="shared" si="27"/>
        <v>0</v>
      </c>
    </row>
    <row r="1027" spans="1:9" x14ac:dyDescent="0.15">
      <c r="A1027" s="138"/>
      <c r="B1027" s="523" t="s">
        <v>1583</v>
      </c>
      <c r="C1027" s="524" t="s">
        <v>160</v>
      </c>
      <c r="D1027" s="144">
        <v>0</v>
      </c>
      <c r="E1027" s="144">
        <v>0</v>
      </c>
      <c r="F1027" s="144">
        <v>0</v>
      </c>
      <c r="G1027" s="144">
        <v>0</v>
      </c>
      <c r="H1027" s="150">
        <v>0</v>
      </c>
      <c r="I1027" s="567">
        <f t="shared" si="27"/>
        <v>0</v>
      </c>
    </row>
    <row r="1028" spans="1:9" x14ac:dyDescent="0.15">
      <c r="A1028" s="138"/>
      <c r="B1028" s="523" t="s">
        <v>634</v>
      </c>
      <c r="C1028" s="524" t="s">
        <v>165</v>
      </c>
      <c r="D1028" s="144">
        <v>0</v>
      </c>
      <c r="E1028" s="144">
        <v>0</v>
      </c>
      <c r="F1028" s="144">
        <v>0</v>
      </c>
      <c r="G1028" s="144">
        <v>0</v>
      </c>
      <c r="H1028" s="150">
        <v>0</v>
      </c>
      <c r="I1028" s="567">
        <f t="shared" si="27"/>
        <v>0</v>
      </c>
    </row>
    <row r="1029" spans="1:9" x14ac:dyDescent="0.15">
      <c r="A1029" s="138"/>
      <c r="B1029" s="523" t="s">
        <v>630</v>
      </c>
      <c r="C1029" s="524" t="s">
        <v>172</v>
      </c>
      <c r="D1029" s="144">
        <v>0</v>
      </c>
      <c r="E1029" s="144">
        <v>0</v>
      </c>
      <c r="F1029" s="144">
        <v>0</v>
      </c>
      <c r="G1029" s="144">
        <v>0</v>
      </c>
      <c r="H1029" s="150">
        <v>0</v>
      </c>
      <c r="I1029" s="567">
        <f t="shared" si="27"/>
        <v>0</v>
      </c>
    </row>
    <row r="1030" spans="1:9" x14ac:dyDescent="0.15">
      <c r="A1030" s="138"/>
      <c r="B1030" s="650" t="s">
        <v>631</v>
      </c>
      <c r="C1030" s="651" t="s">
        <v>173</v>
      </c>
      <c r="D1030" s="144">
        <v>0</v>
      </c>
      <c r="E1030" s="144">
        <v>0</v>
      </c>
      <c r="F1030" s="144">
        <v>0</v>
      </c>
      <c r="G1030" s="144">
        <v>0</v>
      </c>
      <c r="H1030" s="150">
        <v>0</v>
      </c>
      <c r="I1030" s="567">
        <f t="shared" si="27"/>
        <v>0</v>
      </c>
    </row>
    <row r="1031" spans="1:9" x14ac:dyDescent="0.15">
      <c r="A1031" s="138"/>
      <c r="B1031" s="523" t="s">
        <v>1584</v>
      </c>
      <c r="C1031" s="524" t="s">
        <v>178</v>
      </c>
      <c r="D1031" s="144">
        <v>0</v>
      </c>
      <c r="E1031" s="144">
        <v>0</v>
      </c>
      <c r="F1031" s="144">
        <v>0</v>
      </c>
      <c r="G1031" s="144">
        <v>0</v>
      </c>
      <c r="H1031" s="150">
        <v>0</v>
      </c>
      <c r="I1031" s="567">
        <f t="shared" si="27"/>
        <v>0</v>
      </c>
    </row>
    <row r="1032" spans="1:9" x14ac:dyDescent="0.15">
      <c r="A1032" s="138"/>
      <c r="B1032" s="523" t="s">
        <v>174</v>
      </c>
      <c r="C1032" s="524" t="s">
        <v>179</v>
      </c>
      <c r="D1032" s="144">
        <v>0</v>
      </c>
      <c r="E1032" s="144">
        <v>0</v>
      </c>
      <c r="F1032" s="144">
        <v>0</v>
      </c>
      <c r="G1032" s="144">
        <v>0</v>
      </c>
      <c r="H1032" s="150">
        <v>0</v>
      </c>
      <c r="I1032" s="567">
        <f t="shared" si="27"/>
        <v>0</v>
      </c>
    </row>
    <row r="1033" spans="1:9" x14ac:dyDescent="0.15">
      <c r="A1033" s="138"/>
      <c r="B1033" s="523" t="s">
        <v>175</v>
      </c>
      <c r="C1033" s="524" t="s">
        <v>180</v>
      </c>
      <c r="D1033" s="144">
        <v>0</v>
      </c>
      <c r="E1033" s="144">
        <v>0</v>
      </c>
      <c r="F1033" s="144">
        <v>0</v>
      </c>
      <c r="G1033" s="144">
        <v>0</v>
      </c>
      <c r="H1033" s="150">
        <v>0</v>
      </c>
      <c r="I1033" s="567">
        <f t="shared" si="27"/>
        <v>0</v>
      </c>
    </row>
    <row r="1034" spans="1:9" ht="11.25" thickBot="1" x14ac:dyDescent="0.2">
      <c r="A1034" s="138"/>
      <c r="B1034" s="523" t="s">
        <v>176</v>
      </c>
      <c r="C1034" s="524" t="s">
        <v>181</v>
      </c>
      <c r="D1034" s="144">
        <v>0</v>
      </c>
      <c r="E1034" s="144">
        <v>0</v>
      </c>
      <c r="F1034" s="144">
        <v>0</v>
      </c>
      <c r="G1034" s="144">
        <v>0</v>
      </c>
      <c r="H1034" s="150">
        <v>0</v>
      </c>
      <c r="I1034" s="567">
        <f t="shared" si="27"/>
        <v>0</v>
      </c>
    </row>
    <row r="1035" spans="1:9" ht="12" thickTop="1" thickBot="1" x14ac:dyDescent="0.2">
      <c r="A1035" s="138"/>
      <c r="B1035" s="523"/>
      <c r="C1035" s="524" t="s">
        <v>388</v>
      </c>
      <c r="D1035" s="169">
        <f>SUM(D1001:D1034)</f>
        <v>0</v>
      </c>
      <c r="E1035" s="169">
        <f>SUM(E1001:E1034)</f>
        <v>0</v>
      </c>
      <c r="F1035" s="169">
        <f>SUM(F1001:F1034)</f>
        <v>0</v>
      </c>
      <c r="G1035" s="169">
        <f>SUM(G1001:G1034)</f>
        <v>0</v>
      </c>
      <c r="H1035" s="169">
        <f>SUM(H1001:H1034)</f>
        <v>0</v>
      </c>
      <c r="I1035" s="169">
        <f t="shared" si="27"/>
        <v>0</v>
      </c>
    </row>
    <row r="1036" spans="1:9" ht="11.25" thickTop="1" x14ac:dyDescent="0.15">
      <c r="A1036" s="138"/>
      <c r="B1036" s="524"/>
      <c r="C1036" s="524"/>
      <c r="D1036" s="14"/>
      <c r="E1036" s="14"/>
      <c r="F1036" s="14"/>
      <c r="G1036" s="14"/>
      <c r="H1036" s="14"/>
      <c r="I1036" s="563"/>
    </row>
    <row r="1037" spans="1:9" x14ac:dyDescent="0.15">
      <c r="A1037" s="522" t="s">
        <v>1145</v>
      </c>
      <c r="B1037" s="524"/>
      <c r="C1037" s="524"/>
      <c r="D1037" s="14"/>
      <c r="E1037" s="14"/>
      <c r="F1037" s="14"/>
      <c r="G1037" s="14"/>
      <c r="H1037" s="14"/>
      <c r="I1037" s="563"/>
    </row>
    <row r="1038" spans="1:9" x14ac:dyDescent="0.15">
      <c r="A1038" s="434"/>
      <c r="B1038" s="523" t="s">
        <v>1577</v>
      </c>
      <c r="C1038" s="524" t="s">
        <v>228</v>
      </c>
      <c r="D1038" s="316">
        <v>0</v>
      </c>
      <c r="E1038" s="316">
        <v>0</v>
      </c>
      <c r="F1038" s="316">
        <v>0</v>
      </c>
      <c r="G1038" s="528">
        <f t="array" ref="G1038">SUM(IF(CertFund&amp;CertProg&amp;CertObj=RIGHT(LEFT($A$2,7),2)&amp;LEFT(A1037,4)&amp;B1038,CertSalary))</f>
        <v>0</v>
      </c>
      <c r="H1038" s="527">
        <v>0</v>
      </c>
      <c r="I1038" s="566">
        <f>SUM(G1038+H1038)</f>
        <v>0</v>
      </c>
    </row>
    <row r="1039" spans="1:9" x14ac:dyDescent="0.15">
      <c r="A1039" s="434"/>
      <c r="B1039" s="523" t="s">
        <v>1577</v>
      </c>
      <c r="C1039" s="524" t="s">
        <v>510</v>
      </c>
      <c r="D1039" s="316">
        <v>0</v>
      </c>
      <c r="E1039" s="316">
        <v>0</v>
      </c>
      <c r="F1039" s="316">
        <v>0</v>
      </c>
      <c r="G1039" s="316">
        <v>0</v>
      </c>
      <c r="H1039" s="527">
        <v>0</v>
      </c>
      <c r="I1039" s="566">
        <f>SUM(G1039+H1039)</f>
        <v>0</v>
      </c>
    </row>
    <row r="1040" spans="1:9" x14ac:dyDescent="0.15">
      <c r="A1040" s="524"/>
      <c r="B1040" s="523" t="s">
        <v>1578</v>
      </c>
      <c r="C1040" s="524" t="s">
        <v>936</v>
      </c>
      <c r="D1040" s="316">
        <v>0</v>
      </c>
      <c r="E1040" s="316">
        <v>0</v>
      </c>
      <c r="F1040" s="316">
        <v>0</v>
      </c>
      <c r="G1040" s="529">
        <f t="array" ref="G1040">SUM(IF(CertFund&amp;CertProg&amp;CertObj=RIGHT(LEFT($A$2,7),2)&amp;LEFT(A1037,4)&amp;B1038,CertBen))</f>
        <v>0</v>
      </c>
      <c r="H1040" s="527">
        <v>0</v>
      </c>
      <c r="I1040" s="566">
        <f>SUM(G1040+H1040)</f>
        <v>0</v>
      </c>
    </row>
    <row r="1041" spans="1:9" x14ac:dyDescent="0.15">
      <c r="A1041" s="138"/>
      <c r="B1041" s="521" t="s">
        <v>1578</v>
      </c>
      <c r="C1041" s="138" t="s">
        <v>511</v>
      </c>
      <c r="D1041" s="147">
        <v>0</v>
      </c>
      <c r="E1041" s="147">
        <v>0</v>
      </c>
      <c r="F1041" s="147">
        <v>0</v>
      </c>
      <c r="G1041" s="147">
        <v>0</v>
      </c>
      <c r="H1041" s="150">
        <v>0</v>
      </c>
      <c r="I1041" s="567">
        <f>SUM(G1041+H1041)</f>
        <v>0</v>
      </c>
    </row>
    <row r="1042" spans="1:9" x14ac:dyDescent="0.15">
      <c r="A1042" s="138"/>
      <c r="B1042" s="523" t="s">
        <v>1579</v>
      </c>
      <c r="C1042" s="524" t="s">
        <v>118</v>
      </c>
      <c r="D1042" s="144">
        <v>0</v>
      </c>
      <c r="E1042" s="144">
        <v>0</v>
      </c>
      <c r="F1042" s="144">
        <v>0</v>
      </c>
      <c r="G1042" s="144">
        <v>0</v>
      </c>
      <c r="H1042" s="150">
        <v>0</v>
      </c>
      <c r="I1042" s="567">
        <f t="shared" ref="I1042:I1072" si="28">SUM(G1042+H1042)</f>
        <v>0</v>
      </c>
    </row>
    <row r="1043" spans="1:9" x14ac:dyDescent="0.15">
      <c r="A1043" s="138"/>
      <c r="B1043" s="523" t="s">
        <v>1580</v>
      </c>
      <c r="C1043" s="524" t="s">
        <v>119</v>
      </c>
      <c r="D1043" s="144">
        <v>0</v>
      </c>
      <c r="E1043" s="144">
        <v>0</v>
      </c>
      <c r="F1043" s="144">
        <v>0</v>
      </c>
      <c r="G1043" s="144">
        <v>0</v>
      </c>
      <c r="H1043" s="150">
        <v>0</v>
      </c>
      <c r="I1043" s="567">
        <f t="shared" si="28"/>
        <v>0</v>
      </c>
    </row>
    <row r="1044" spans="1:9" x14ac:dyDescent="0.15">
      <c r="A1044" s="138"/>
      <c r="B1044" s="523" t="s">
        <v>120</v>
      </c>
      <c r="C1044" s="524" t="s">
        <v>121</v>
      </c>
      <c r="D1044" s="144">
        <v>0</v>
      </c>
      <c r="E1044" s="144">
        <v>0</v>
      </c>
      <c r="F1044" s="144">
        <v>0</v>
      </c>
      <c r="G1044" s="144">
        <v>0</v>
      </c>
      <c r="H1044" s="150">
        <v>0</v>
      </c>
      <c r="I1044" s="567">
        <f t="shared" si="28"/>
        <v>0</v>
      </c>
    </row>
    <row r="1045" spans="1:9" x14ac:dyDescent="0.15">
      <c r="A1045" s="138"/>
      <c r="B1045" s="523" t="s">
        <v>122</v>
      </c>
      <c r="C1045" s="524" t="s">
        <v>123</v>
      </c>
      <c r="D1045" s="144">
        <v>0</v>
      </c>
      <c r="E1045" s="144">
        <v>0</v>
      </c>
      <c r="F1045" s="144">
        <v>0</v>
      </c>
      <c r="G1045" s="144">
        <v>0</v>
      </c>
      <c r="H1045" s="150">
        <v>0</v>
      </c>
      <c r="I1045" s="567">
        <f t="shared" si="28"/>
        <v>0</v>
      </c>
    </row>
    <row r="1046" spans="1:9" x14ac:dyDescent="0.15">
      <c r="A1046" s="138"/>
      <c r="B1046" s="523" t="s">
        <v>1581</v>
      </c>
      <c r="C1046" s="524" t="s">
        <v>124</v>
      </c>
      <c r="D1046" s="144">
        <v>0</v>
      </c>
      <c r="E1046" s="144">
        <v>0</v>
      </c>
      <c r="F1046" s="144">
        <v>0</v>
      </c>
      <c r="G1046" s="144">
        <v>0</v>
      </c>
      <c r="H1046" s="150">
        <v>0</v>
      </c>
      <c r="I1046" s="567">
        <f t="shared" si="28"/>
        <v>0</v>
      </c>
    </row>
    <row r="1047" spans="1:9" x14ac:dyDescent="0.15">
      <c r="A1047" s="138"/>
      <c r="B1047" s="523" t="s">
        <v>127</v>
      </c>
      <c r="C1047" s="524" t="s">
        <v>134</v>
      </c>
      <c r="D1047" s="144">
        <v>0</v>
      </c>
      <c r="E1047" s="144">
        <v>0</v>
      </c>
      <c r="F1047" s="144">
        <v>0</v>
      </c>
      <c r="G1047" s="144">
        <v>0</v>
      </c>
      <c r="H1047" s="150">
        <v>0</v>
      </c>
      <c r="I1047" s="567">
        <f t="shared" si="28"/>
        <v>0</v>
      </c>
    </row>
    <row r="1048" spans="1:9" x14ac:dyDescent="0.15">
      <c r="A1048" s="138"/>
      <c r="B1048" s="523" t="s">
        <v>128</v>
      </c>
      <c r="C1048" s="524" t="s">
        <v>135</v>
      </c>
      <c r="D1048" s="144">
        <v>0</v>
      </c>
      <c r="E1048" s="144">
        <v>0</v>
      </c>
      <c r="F1048" s="144">
        <v>0</v>
      </c>
      <c r="G1048" s="144">
        <v>0</v>
      </c>
      <c r="H1048" s="150">
        <v>0</v>
      </c>
      <c r="I1048" s="567">
        <f t="shared" si="28"/>
        <v>0</v>
      </c>
    </row>
    <row r="1049" spans="1:9" x14ac:dyDescent="0.15">
      <c r="A1049" s="138"/>
      <c r="B1049" s="523" t="s">
        <v>132</v>
      </c>
      <c r="C1049" s="524" t="s">
        <v>1617</v>
      </c>
      <c r="D1049" s="144">
        <v>0</v>
      </c>
      <c r="E1049" s="144">
        <v>0</v>
      </c>
      <c r="F1049" s="144">
        <v>0</v>
      </c>
      <c r="G1049" s="144">
        <v>0</v>
      </c>
      <c r="H1049" s="150">
        <v>0</v>
      </c>
      <c r="I1049" s="567">
        <f t="shared" si="28"/>
        <v>0</v>
      </c>
    </row>
    <row r="1050" spans="1:9" x14ac:dyDescent="0.15">
      <c r="A1050" s="138"/>
      <c r="B1050" s="523" t="s">
        <v>1618</v>
      </c>
      <c r="C1050" s="524" t="s">
        <v>836</v>
      </c>
      <c r="D1050" s="144">
        <v>0</v>
      </c>
      <c r="E1050" s="144">
        <v>0</v>
      </c>
      <c r="F1050" s="144">
        <v>0</v>
      </c>
      <c r="G1050" s="144">
        <v>0</v>
      </c>
      <c r="H1050" s="150">
        <v>0</v>
      </c>
      <c r="I1050" s="567">
        <f t="shared" si="28"/>
        <v>0</v>
      </c>
    </row>
    <row r="1051" spans="1:9" x14ac:dyDescent="0.15">
      <c r="A1051" s="138"/>
      <c r="B1051" s="523" t="s">
        <v>1619</v>
      </c>
      <c r="C1051" s="524" t="s">
        <v>837</v>
      </c>
      <c r="D1051" s="144">
        <v>0</v>
      </c>
      <c r="E1051" s="144">
        <v>0</v>
      </c>
      <c r="F1051" s="144">
        <v>0</v>
      </c>
      <c r="G1051" s="144">
        <v>0</v>
      </c>
      <c r="H1051" s="150">
        <v>0</v>
      </c>
      <c r="I1051" s="567">
        <f t="shared" si="28"/>
        <v>0</v>
      </c>
    </row>
    <row r="1052" spans="1:9" x14ac:dyDescent="0.15">
      <c r="A1052" s="138"/>
      <c r="B1052" s="523" t="s">
        <v>1620</v>
      </c>
      <c r="C1052" s="524" t="s">
        <v>838</v>
      </c>
      <c r="D1052" s="144">
        <v>0</v>
      </c>
      <c r="E1052" s="144">
        <v>0</v>
      </c>
      <c r="F1052" s="144">
        <v>0</v>
      </c>
      <c r="G1052" s="144">
        <v>0</v>
      </c>
      <c r="H1052" s="150">
        <v>0</v>
      </c>
      <c r="I1052" s="567">
        <f t="shared" si="28"/>
        <v>0</v>
      </c>
    </row>
    <row r="1053" spans="1:9" x14ac:dyDescent="0.15">
      <c r="A1053" s="138"/>
      <c r="B1053" s="523" t="s">
        <v>1621</v>
      </c>
      <c r="C1053" s="524" t="s">
        <v>839</v>
      </c>
      <c r="D1053" s="144">
        <v>0</v>
      </c>
      <c r="E1053" s="144">
        <v>0</v>
      </c>
      <c r="F1053" s="144">
        <v>0</v>
      </c>
      <c r="G1053" s="144">
        <v>0</v>
      </c>
      <c r="H1053" s="150">
        <v>0</v>
      </c>
      <c r="I1053" s="567">
        <f t="shared" si="28"/>
        <v>0</v>
      </c>
    </row>
    <row r="1054" spans="1:9" x14ac:dyDescent="0.15">
      <c r="A1054" s="138"/>
      <c r="B1054" s="523" t="s">
        <v>1622</v>
      </c>
      <c r="C1054" s="524" t="s">
        <v>190</v>
      </c>
      <c r="D1054" s="144">
        <v>0</v>
      </c>
      <c r="E1054" s="144">
        <v>0</v>
      </c>
      <c r="F1054" s="144">
        <v>0</v>
      </c>
      <c r="G1054" s="144">
        <v>0</v>
      </c>
      <c r="H1054" s="150">
        <v>0</v>
      </c>
      <c r="I1054" s="567">
        <f t="shared" si="28"/>
        <v>0</v>
      </c>
    </row>
    <row r="1055" spans="1:9" x14ac:dyDescent="0.15">
      <c r="A1055" s="138"/>
      <c r="B1055" s="523" t="s">
        <v>1623</v>
      </c>
      <c r="C1055" s="524" t="s">
        <v>191</v>
      </c>
      <c r="D1055" s="144">
        <v>0</v>
      </c>
      <c r="E1055" s="144">
        <v>0</v>
      </c>
      <c r="F1055" s="144">
        <v>0</v>
      </c>
      <c r="G1055" s="144">
        <v>0</v>
      </c>
      <c r="H1055" s="150">
        <v>0</v>
      </c>
      <c r="I1055" s="567">
        <f t="shared" si="28"/>
        <v>0</v>
      </c>
    </row>
    <row r="1056" spans="1:9" x14ac:dyDescent="0.15">
      <c r="A1056" s="138"/>
      <c r="B1056" s="523" t="s">
        <v>1624</v>
      </c>
      <c r="C1056" s="524" t="s">
        <v>840</v>
      </c>
      <c r="D1056" s="144">
        <v>0</v>
      </c>
      <c r="E1056" s="144">
        <v>0</v>
      </c>
      <c r="F1056" s="144">
        <v>0</v>
      </c>
      <c r="G1056" s="144">
        <v>0</v>
      </c>
      <c r="H1056" s="150">
        <v>0</v>
      </c>
      <c r="I1056" s="567">
        <f t="shared" si="28"/>
        <v>0</v>
      </c>
    </row>
    <row r="1057" spans="1:9" x14ac:dyDescent="0.15">
      <c r="A1057" s="138"/>
      <c r="B1057" s="523" t="s">
        <v>1625</v>
      </c>
      <c r="C1057" s="524" t="s">
        <v>842</v>
      </c>
      <c r="D1057" s="144">
        <v>0</v>
      </c>
      <c r="E1057" s="144">
        <v>0</v>
      </c>
      <c r="F1057" s="144">
        <v>0</v>
      </c>
      <c r="G1057" s="144">
        <v>0</v>
      </c>
      <c r="H1057" s="150">
        <v>0</v>
      </c>
      <c r="I1057" s="567">
        <f t="shared" si="28"/>
        <v>0</v>
      </c>
    </row>
    <row r="1058" spans="1:9" x14ac:dyDescent="0.15">
      <c r="A1058" s="138"/>
      <c r="B1058" s="523" t="s">
        <v>843</v>
      </c>
      <c r="C1058" s="524" t="s">
        <v>848</v>
      </c>
      <c r="D1058" s="144">
        <v>0</v>
      </c>
      <c r="E1058" s="144">
        <v>0</v>
      </c>
      <c r="F1058" s="144">
        <v>0</v>
      </c>
      <c r="G1058" s="144">
        <v>0</v>
      </c>
      <c r="H1058" s="150">
        <v>0</v>
      </c>
      <c r="I1058" s="567">
        <f t="shared" si="28"/>
        <v>0</v>
      </c>
    </row>
    <row r="1059" spans="1:9" x14ac:dyDescent="0.15">
      <c r="A1059" s="138"/>
      <c r="B1059" s="523" t="s">
        <v>844</v>
      </c>
      <c r="C1059" s="524" t="s">
        <v>153</v>
      </c>
      <c r="D1059" s="144">
        <v>0</v>
      </c>
      <c r="E1059" s="144">
        <v>0</v>
      </c>
      <c r="F1059" s="144">
        <v>0</v>
      </c>
      <c r="G1059" s="144">
        <v>0</v>
      </c>
      <c r="H1059" s="150">
        <v>0</v>
      </c>
      <c r="I1059" s="567">
        <f t="shared" si="28"/>
        <v>0</v>
      </c>
    </row>
    <row r="1060" spans="1:9" x14ac:dyDescent="0.15">
      <c r="A1060" s="138"/>
      <c r="B1060" s="523" t="s">
        <v>845</v>
      </c>
      <c r="C1060" s="524" t="s">
        <v>154</v>
      </c>
      <c r="D1060" s="144">
        <v>0</v>
      </c>
      <c r="E1060" s="144">
        <v>0</v>
      </c>
      <c r="F1060" s="144">
        <v>0</v>
      </c>
      <c r="G1060" s="144">
        <v>0</v>
      </c>
      <c r="H1060" s="150">
        <v>0</v>
      </c>
      <c r="I1060" s="567">
        <f t="shared" si="28"/>
        <v>0</v>
      </c>
    </row>
    <row r="1061" spans="1:9" x14ac:dyDescent="0.15">
      <c r="A1061" s="138"/>
      <c r="B1061" s="523" t="s">
        <v>846</v>
      </c>
      <c r="C1061" s="524" t="s">
        <v>155</v>
      </c>
      <c r="D1061" s="144">
        <v>0</v>
      </c>
      <c r="E1061" s="144">
        <v>0</v>
      </c>
      <c r="F1061" s="144">
        <v>0</v>
      </c>
      <c r="G1061" s="144">
        <v>0</v>
      </c>
      <c r="H1061" s="150">
        <v>0</v>
      </c>
      <c r="I1061" s="567">
        <f t="shared" si="28"/>
        <v>0</v>
      </c>
    </row>
    <row r="1062" spans="1:9" x14ac:dyDescent="0.15">
      <c r="A1062" s="138"/>
      <c r="B1062" s="523" t="s">
        <v>1582</v>
      </c>
      <c r="C1062" s="524" t="s">
        <v>156</v>
      </c>
      <c r="D1062" s="144">
        <v>0</v>
      </c>
      <c r="E1062" s="144">
        <v>0</v>
      </c>
      <c r="F1062" s="144">
        <v>0</v>
      </c>
      <c r="G1062" s="144">
        <v>0</v>
      </c>
      <c r="H1062" s="150">
        <v>0</v>
      </c>
      <c r="I1062" s="567">
        <f t="shared" si="28"/>
        <v>0</v>
      </c>
    </row>
    <row r="1063" spans="1:9" x14ac:dyDescent="0.15">
      <c r="A1063" s="138"/>
      <c r="B1063" s="523" t="s">
        <v>847</v>
      </c>
      <c r="C1063" s="524" t="s">
        <v>157</v>
      </c>
      <c r="D1063" s="144">
        <v>0</v>
      </c>
      <c r="E1063" s="144">
        <v>0</v>
      </c>
      <c r="F1063" s="144">
        <v>0</v>
      </c>
      <c r="G1063" s="144">
        <v>0</v>
      </c>
      <c r="H1063" s="150">
        <v>0</v>
      </c>
      <c r="I1063" s="567">
        <f t="shared" si="28"/>
        <v>0</v>
      </c>
    </row>
    <row r="1064" spans="1:9" x14ac:dyDescent="0.15">
      <c r="A1064" s="138"/>
      <c r="B1064" s="523" t="s">
        <v>1583</v>
      </c>
      <c r="C1064" s="524" t="s">
        <v>160</v>
      </c>
      <c r="D1064" s="144">
        <v>0</v>
      </c>
      <c r="E1064" s="144">
        <v>0</v>
      </c>
      <c r="F1064" s="144">
        <v>0</v>
      </c>
      <c r="G1064" s="144">
        <v>0</v>
      </c>
      <c r="H1064" s="150">
        <v>0</v>
      </c>
      <c r="I1064" s="567">
        <f t="shared" si="28"/>
        <v>0</v>
      </c>
    </row>
    <row r="1065" spans="1:9" x14ac:dyDescent="0.15">
      <c r="A1065" s="138"/>
      <c r="B1065" s="523" t="s">
        <v>634</v>
      </c>
      <c r="C1065" s="524" t="s">
        <v>165</v>
      </c>
      <c r="D1065" s="144">
        <v>0</v>
      </c>
      <c r="E1065" s="144">
        <v>0</v>
      </c>
      <c r="F1065" s="144">
        <v>0</v>
      </c>
      <c r="G1065" s="144">
        <v>0</v>
      </c>
      <c r="H1065" s="150">
        <v>0</v>
      </c>
      <c r="I1065" s="567">
        <f t="shared" si="28"/>
        <v>0</v>
      </c>
    </row>
    <row r="1066" spans="1:9" x14ac:dyDescent="0.15">
      <c r="A1066" s="138"/>
      <c r="B1066" s="523" t="s">
        <v>630</v>
      </c>
      <c r="C1066" s="524" t="s">
        <v>172</v>
      </c>
      <c r="D1066" s="144">
        <v>0</v>
      </c>
      <c r="E1066" s="144">
        <v>0</v>
      </c>
      <c r="F1066" s="144">
        <v>0</v>
      </c>
      <c r="G1066" s="144">
        <v>0</v>
      </c>
      <c r="H1066" s="150">
        <v>0</v>
      </c>
      <c r="I1066" s="567">
        <f t="shared" si="28"/>
        <v>0</v>
      </c>
    </row>
    <row r="1067" spans="1:9" x14ac:dyDescent="0.15">
      <c r="A1067" s="138"/>
      <c r="B1067" s="650" t="s">
        <v>631</v>
      </c>
      <c r="C1067" s="651" t="s">
        <v>173</v>
      </c>
      <c r="D1067" s="144">
        <v>0</v>
      </c>
      <c r="E1067" s="144">
        <v>0</v>
      </c>
      <c r="F1067" s="144">
        <v>0</v>
      </c>
      <c r="G1067" s="144">
        <v>0</v>
      </c>
      <c r="H1067" s="150">
        <v>0</v>
      </c>
      <c r="I1067" s="567">
        <f t="shared" si="28"/>
        <v>0</v>
      </c>
    </row>
    <row r="1068" spans="1:9" x14ac:dyDescent="0.15">
      <c r="A1068" s="138"/>
      <c r="B1068" s="523" t="s">
        <v>1584</v>
      </c>
      <c r="C1068" s="524" t="s">
        <v>178</v>
      </c>
      <c r="D1068" s="144">
        <v>0</v>
      </c>
      <c r="E1068" s="144">
        <v>0</v>
      </c>
      <c r="F1068" s="144">
        <v>0</v>
      </c>
      <c r="G1068" s="144">
        <v>0</v>
      </c>
      <c r="H1068" s="150">
        <v>0</v>
      </c>
      <c r="I1068" s="567">
        <f t="shared" si="28"/>
        <v>0</v>
      </c>
    </row>
    <row r="1069" spans="1:9" x14ac:dyDescent="0.15">
      <c r="A1069" s="138"/>
      <c r="B1069" s="523" t="s">
        <v>174</v>
      </c>
      <c r="C1069" s="524" t="s">
        <v>179</v>
      </c>
      <c r="D1069" s="144">
        <v>0</v>
      </c>
      <c r="E1069" s="144">
        <v>0</v>
      </c>
      <c r="F1069" s="144">
        <v>0</v>
      </c>
      <c r="G1069" s="144">
        <v>0</v>
      </c>
      <c r="H1069" s="150">
        <v>0</v>
      </c>
      <c r="I1069" s="567">
        <f t="shared" si="28"/>
        <v>0</v>
      </c>
    </row>
    <row r="1070" spans="1:9" x14ac:dyDescent="0.15">
      <c r="A1070" s="138"/>
      <c r="B1070" s="523" t="s">
        <v>175</v>
      </c>
      <c r="C1070" s="524" t="s">
        <v>180</v>
      </c>
      <c r="D1070" s="144">
        <v>0</v>
      </c>
      <c r="E1070" s="144">
        <v>0</v>
      </c>
      <c r="F1070" s="144">
        <v>0</v>
      </c>
      <c r="G1070" s="144">
        <v>0</v>
      </c>
      <c r="H1070" s="150">
        <v>0</v>
      </c>
      <c r="I1070" s="567">
        <f t="shared" si="28"/>
        <v>0</v>
      </c>
    </row>
    <row r="1071" spans="1:9" ht="11.25" thickBot="1" x14ac:dyDescent="0.2">
      <c r="A1071" s="138"/>
      <c r="B1071" s="523" t="s">
        <v>176</v>
      </c>
      <c r="C1071" s="524" t="s">
        <v>181</v>
      </c>
      <c r="D1071" s="144">
        <v>0</v>
      </c>
      <c r="E1071" s="144">
        <v>0</v>
      </c>
      <c r="F1071" s="144">
        <v>0</v>
      </c>
      <c r="G1071" s="144">
        <v>0</v>
      </c>
      <c r="H1071" s="150">
        <v>0</v>
      </c>
      <c r="I1071" s="567">
        <f t="shared" si="28"/>
        <v>0</v>
      </c>
    </row>
    <row r="1072" spans="1:9" ht="12" thickTop="1" thickBot="1" x14ac:dyDescent="0.2">
      <c r="A1072" s="138"/>
      <c r="B1072" s="523"/>
      <c r="C1072" s="524" t="s">
        <v>388</v>
      </c>
      <c r="D1072" s="169">
        <f>SUM(D1038:D1071)</f>
        <v>0</v>
      </c>
      <c r="E1072" s="169">
        <f>SUM(E1038:E1071)</f>
        <v>0</v>
      </c>
      <c r="F1072" s="169">
        <f>SUM(F1038:F1071)</f>
        <v>0</v>
      </c>
      <c r="G1072" s="169">
        <f>SUM(G1038:G1071)</f>
        <v>0</v>
      </c>
      <c r="H1072" s="169">
        <f>SUM(H1038:H1071)</f>
        <v>0</v>
      </c>
      <c r="I1072" s="169">
        <f t="shared" si="28"/>
        <v>0</v>
      </c>
    </row>
    <row r="1073" spans="1:9" ht="12" thickTop="1" thickBot="1" x14ac:dyDescent="0.2">
      <c r="A1073" s="138"/>
      <c r="B1073" s="524"/>
      <c r="C1073" s="524"/>
      <c r="D1073" s="14"/>
      <c r="E1073" s="14"/>
      <c r="F1073" s="14"/>
      <c r="G1073" s="14"/>
      <c r="H1073" s="14"/>
      <c r="I1073" s="563"/>
    </row>
    <row r="1074" spans="1:9" ht="12" thickTop="1" thickBot="1" x14ac:dyDescent="0.2">
      <c r="B1074" s="524" t="s">
        <v>1500</v>
      </c>
      <c r="C1074" s="434"/>
      <c r="D1074" s="169">
        <f>D44+D80+D116+D152+D188+D223+D259+D295+D331+D367+D405+D442+D479+D516+D553+D590+D627+D665+D702+D739+D776+D813+D850+D887+D924+D961+D998+D1035+D1072</f>
        <v>0</v>
      </c>
      <c r="E1074" s="169">
        <f>E44+E80+E116+E152+E188+E223+E259+E295+E331+E367+E405+E442+E479+E516+E553+E590+E627+E665+E702+E739+E776+E813+E850+E887+E924+E961+E998+E1035+E1072</f>
        <v>0</v>
      </c>
      <c r="F1074" s="169">
        <f>F44+F80+F116+F152+F188+F223+F259+F295+F331+F367+F405+F442+F479+F516+F553+F590+F627+F665+F702+F739+F776+F813+F850+F887+F924+F961+F998+F1035+F1072</f>
        <v>0</v>
      </c>
      <c r="G1074" s="169">
        <f>G44+G80+G116+G152+G188+G223+G259+G295+G331+G367+G405+G442+G479+G516+G553+G590+G627+G665+G702+G739+G776+G813+G850+G887+G924+G961+G998+G1035+G1072</f>
        <v>0</v>
      </c>
      <c r="H1074" s="169">
        <f>H44+H80+H116+H152+H188+H223+H259+H295+H331+H367+H405+H442+H479+H516+H553+H590+H627+H665+H702+H739+H776+H813+H850+H887+H924+H961+H998+H1035+H1072</f>
        <v>0</v>
      </c>
      <c r="I1074" s="169">
        <f>SUM(G1074+H1074)</f>
        <v>0</v>
      </c>
    </row>
    <row r="1075" spans="1:9" ht="11.25" thickTop="1" x14ac:dyDescent="0.15">
      <c r="B1075" s="434"/>
      <c r="C1075" s="524"/>
      <c r="I1075" s="167"/>
    </row>
    <row r="1076" spans="1:9" x14ac:dyDescent="0.15">
      <c r="A1076" s="167"/>
      <c r="B1076" s="385"/>
      <c r="C1076" s="385"/>
      <c r="D1076" s="498"/>
      <c r="E1076" s="498"/>
      <c r="F1076" s="498"/>
      <c r="G1076" s="498"/>
      <c r="I1076" s="167"/>
    </row>
    <row r="1077" spans="1:9" x14ac:dyDescent="0.15">
      <c r="A1077" s="167" t="s">
        <v>407</v>
      </c>
      <c r="B1077" s="385"/>
      <c r="C1077" s="385"/>
      <c r="D1077" s="498"/>
      <c r="E1077" s="498"/>
      <c r="F1077" s="498"/>
      <c r="G1077" s="498"/>
    </row>
    <row r="1078" spans="1:9" x14ac:dyDescent="0.15">
      <c r="A1078" s="167"/>
      <c r="B1078" s="385"/>
      <c r="C1078" s="385"/>
      <c r="D1078" s="498"/>
      <c r="E1078" s="498"/>
      <c r="F1078" s="498"/>
      <c r="G1078" s="498"/>
    </row>
    <row r="1079" spans="1:9" ht="18.75" x14ac:dyDescent="0.3">
      <c r="A1079" s="152" t="s">
        <v>1577</v>
      </c>
      <c r="B1079" s="611">
        <f>SUM(I11+I12+I47+I48+I83+I84+I119+I120+I155+I156+I191+I192+I226+I227+I262+I263+I298+I299+I334+I335+I371+I372+I408+I409+I445+I446+I482+I483+I519+I520+I556+I557+I593+I594+I630+I631+I668+I669+I705+I706+I742+I743+I779+I780+I816+I817+I853+I854+I890+I891+I927+I928+I964+I965+I1001+I1002+I1038+I1039)</f>
        <v>0</v>
      </c>
      <c r="C1079" s="385"/>
      <c r="D1079" s="498"/>
      <c r="E1079" s="498"/>
      <c r="F1079" s="498"/>
      <c r="G1079" s="498"/>
    </row>
    <row r="1080" spans="1:9" ht="18.75" x14ac:dyDescent="0.3">
      <c r="A1080" s="152" t="s">
        <v>1578</v>
      </c>
      <c r="B1080" s="611">
        <f>SUM(I14+I13+I50+I49+I86+I85+I122+I121+I158+I157+I194+I193+I229+I228+I265+I264+I301+I300+I337+I336+I374+I373+I411+I410+I448+I447+I485+I484+I522+I521+I559+I558+I596+I595+I633+I632+I671+I670+I708+I707+I745+I744+I782+I781+I819+I818+I856+I855+I893+I892+I930+I929+I967+I966+I1004+I1003+I1041+I1040)</f>
        <v>0</v>
      </c>
      <c r="C1080" s="612"/>
      <c r="D1080" s="525"/>
      <c r="E1080" s="525"/>
      <c r="F1080" s="525"/>
      <c r="G1080" s="498"/>
    </row>
    <row r="1081" spans="1:9" ht="18.75" x14ac:dyDescent="0.3">
      <c r="A1081" s="152" t="s">
        <v>1579</v>
      </c>
      <c r="B1081" s="611">
        <f>SUM(GenFundExp!I15+GenFundExp!I51+GenFundExp!I87+GenFundExp!I123+GenFundExp!I159+GenFundExp!I195+GenFundExp!I230+GenFundExp!I266+GenFundExp!I302+GenFundExp!I338+GenFundExp!I375+GenFundExp!I412+GenFundExp!I449+GenFundExp!I486+GenFundExp!I523+GenFundExp!I560+GenFundExp!I597+GenFundExp!I634+GenFundExp!I672+GenFundExp!I709+GenFundExp!I746+GenFundExp!I783+GenFundExp!I820+GenFundExp!I857+GenFundExp!I894+GenFundExp!I931+GenFundExp!I968+GenFundExp!I1005+GenFundExp!I1042)</f>
        <v>0</v>
      </c>
      <c r="C1081" s="385"/>
    </row>
    <row r="1082" spans="1:9" ht="18.75" x14ac:dyDescent="0.3">
      <c r="A1082" s="152" t="s">
        <v>1580</v>
      </c>
      <c r="B1082" s="611">
        <f>SUM(GenFundExp!I16+GenFundExp!I52+GenFundExp!I88+GenFundExp!I124+GenFundExp!I160+GenFundExp!I196+GenFundExp!I231+GenFundExp!I267+GenFundExp!I303+GenFundExp!I339+GenFundExp!I376+GenFundExp!I413+GenFundExp!I450+GenFundExp!I487+GenFundExp!I524+GenFundExp!I561+GenFundExp!I598+GenFundExp!I635+GenFundExp!I673+GenFundExp!I710+GenFundExp!I747+GenFundExp!I784+GenFundExp!I821+GenFundExp!I858+GenFundExp!I895+GenFundExp!I932+GenFundExp!I969+GenFundExp!I1006+GenFundExp!I1043)</f>
        <v>0</v>
      </c>
      <c r="C1082" s="385"/>
    </row>
    <row r="1083" spans="1:9" ht="18.75" x14ac:dyDescent="0.3">
      <c r="A1083" s="152" t="s">
        <v>120</v>
      </c>
      <c r="B1083" s="611">
        <f>SUM(GenFundExp!I17+GenFundExp!I53+GenFundExp!I89+GenFundExp!I125+GenFundExp!I161+GenFundExp!I197+GenFundExp!I232+GenFundExp!I268+GenFundExp!I304+GenFundExp!I340+GenFundExp!I377+GenFundExp!I414+GenFundExp!I451+GenFundExp!I488+GenFundExp!I525+GenFundExp!I562+GenFundExp!I599+GenFundExp!I636+GenFundExp!I674+GenFundExp!I711+GenFundExp!I748+GenFundExp!I785+GenFundExp!I822+GenFundExp!I859+GenFundExp!I896+GenFundExp!I933+GenFundExp!I970+GenFundExp!I1007+GenFundExp!I1044)</f>
        <v>0</v>
      </c>
      <c r="C1083" s="385"/>
    </row>
    <row r="1084" spans="1:9" ht="18.75" x14ac:dyDescent="0.3">
      <c r="A1084" s="152" t="s">
        <v>122</v>
      </c>
      <c r="B1084" s="611">
        <f>SUM(GenFundExp!I18+GenFundExp!I54+GenFundExp!I90+GenFundExp!I126+GenFundExp!I162+GenFundExp!I198+GenFundExp!I233+GenFundExp!I269+GenFundExp!I305+GenFundExp!I341+GenFundExp!I378+GenFundExp!I415+GenFundExp!I452+GenFundExp!I489+GenFundExp!I526+GenFundExp!I563+GenFundExp!I600+GenFundExp!I637+GenFundExp!I675+GenFundExp!I712+GenFundExp!I749+GenFundExp!I786+GenFundExp!I823+GenFundExp!I860+GenFundExp!I897+GenFundExp!I934+GenFundExp!I971+GenFundExp!I1008+GenFundExp!I1045)</f>
        <v>0</v>
      </c>
      <c r="C1084" s="385"/>
    </row>
    <row r="1085" spans="1:9" ht="18.75" x14ac:dyDescent="0.3">
      <c r="A1085" s="152" t="s">
        <v>1581</v>
      </c>
      <c r="B1085" s="611">
        <f>SUM(GenFundExp!I19+GenFundExp!I55+GenFundExp!I91+GenFundExp!I127+GenFundExp!I163+GenFundExp!I199+GenFundExp!I234+GenFundExp!I270+GenFundExp!I306+GenFundExp!I342+GenFundExp!I379+GenFundExp!I416+GenFundExp!I453+GenFundExp!I490+GenFundExp!I527+GenFundExp!I564+GenFundExp!I601+GenFundExp!I638+GenFundExp!I676+GenFundExp!I713+GenFundExp!I750+GenFundExp!I787+GenFundExp!I824+GenFundExp!I861+GenFundExp!I898+GenFundExp!I935+GenFundExp!I972+GenFundExp!I1009+GenFundExp!I1046)</f>
        <v>0</v>
      </c>
      <c r="C1085" s="385"/>
    </row>
    <row r="1086" spans="1:9" ht="18.75" x14ac:dyDescent="0.3">
      <c r="A1086" s="152" t="s">
        <v>127</v>
      </c>
      <c r="B1086" s="611">
        <f>SUM(GenFundExp!I20+GenFundExp!I56+GenFundExp!I92+GenFundExp!I128+GenFundExp!I164+GenFundExp!I200+GenFundExp!I235+GenFundExp!I271+GenFundExp!I307+GenFundExp!I343+GenFundExp!I380+GenFundExp!I417+GenFundExp!I454+GenFundExp!I491+GenFundExp!I528+GenFundExp!I565+GenFundExp!I602+GenFundExp!I639+GenFundExp!I677+GenFundExp!I714+GenFundExp!I751+GenFundExp!I788+GenFundExp!I825+GenFundExp!I862+GenFundExp!I899+GenFundExp!I936+GenFundExp!I973+GenFundExp!I1010+GenFundExp!I1047)</f>
        <v>0</v>
      </c>
      <c r="C1086" s="385"/>
    </row>
    <row r="1087" spans="1:9" ht="18.75" x14ac:dyDescent="0.3">
      <c r="A1087" s="152" t="s">
        <v>128</v>
      </c>
      <c r="B1087" s="611">
        <f>SUM(GenFundExp!I381+GenFundExp!I418+GenFundExp!I455+GenFundExp!I492+GenFundExp!I529+GenFundExp!I566+GenFundExp!I603+GenFundExp!I640+GenFundExp!I678+GenFundExp!I715+GenFundExp!I752+GenFundExp!I789+GenFundExp!I826+GenFundExp!I863+GenFundExp!I900+GenFundExp!I937+GenFundExp!I974+GenFundExp!I1011+GenFundExp!I1048)</f>
        <v>0</v>
      </c>
      <c r="C1087" s="385"/>
    </row>
    <row r="1088" spans="1:9" ht="18.75" x14ac:dyDescent="0.3">
      <c r="A1088" s="152" t="s">
        <v>132</v>
      </c>
      <c r="B1088" s="611">
        <f>SUM(GenFundExp!I21+GenFundExp!I57+GenFundExp!I93+GenFundExp!I129+GenFundExp!I165+GenFundExp!I201+GenFundExp!I236+GenFundExp!I272+GenFundExp!I308+GenFundExp!I344+GenFundExp!I382+GenFundExp!I419+GenFundExp!I456+GenFundExp!I493+GenFundExp!I530+GenFundExp!I567+GenFundExp!I604+GenFundExp!I641+GenFundExp!I679+GenFundExp!I716+GenFundExp!I753+GenFundExp!I790+GenFundExp!I827+GenFundExp!I864+GenFundExp!I901+GenFundExp!I938+GenFundExp!I975+GenFundExp!I1012+GenFundExp!I1049)</f>
        <v>0</v>
      </c>
      <c r="C1088" s="385"/>
    </row>
    <row r="1089" spans="1:3" ht="18.75" x14ac:dyDescent="0.3">
      <c r="A1089" s="152" t="s">
        <v>1618</v>
      </c>
      <c r="B1089" s="611">
        <f>SUM(GenFundExp!I22+GenFundExp!I58+GenFundExp!I94+GenFundExp!I130+GenFundExp!I166+GenFundExp!I202+GenFundExp!I237+GenFundExp!I273+GenFundExp!I309+GenFundExp!I345+GenFundExp!I383+GenFundExp!I420+GenFundExp!I457+GenFundExp!I494+GenFundExp!I531+GenFundExp!I568+GenFundExp!I605+GenFundExp!I642+GenFundExp!I680+GenFundExp!I717+GenFundExp!I754+GenFundExp!I791+GenFundExp!I828+GenFundExp!I865+GenFundExp!I902+GenFundExp!I939+GenFundExp!I976+GenFundExp!I1013+GenFundExp!I1050)</f>
        <v>0</v>
      </c>
      <c r="C1089" s="385"/>
    </row>
    <row r="1090" spans="1:3" ht="18.75" x14ac:dyDescent="0.3">
      <c r="A1090" s="152" t="s">
        <v>1619</v>
      </c>
      <c r="B1090" s="611">
        <f>SUM(GenFundExp!I23+GenFundExp!I59+GenFundExp!I95+GenFundExp!I131+GenFundExp!I167+GenFundExp!I203+GenFundExp!I238+GenFundExp!I274+GenFundExp!I310+GenFundExp!I346+GenFundExp!I384+GenFundExp!I421+GenFundExp!I458+GenFundExp!I495+GenFundExp!I532+GenFundExp!I569+GenFundExp!I606+GenFundExp!I643+GenFundExp!I681+GenFundExp!I718+GenFundExp!I755+GenFundExp!I792+GenFundExp!I829+GenFundExp!I866+GenFundExp!I903+GenFundExp!I940+GenFundExp!I977+GenFundExp!I1014+GenFundExp!I1051)</f>
        <v>0</v>
      </c>
      <c r="C1090" s="385"/>
    </row>
    <row r="1091" spans="1:3" ht="18.75" x14ac:dyDescent="0.3">
      <c r="A1091" s="152" t="s">
        <v>1620</v>
      </c>
      <c r="B1091" s="611">
        <f>SUM(GenFundExp!I24+GenFundExp!I60+GenFundExp!I96+GenFundExp!I132+GenFundExp!I168+GenFundExp!I204+GenFundExp!I239+GenFundExp!I275+GenFundExp!I311+GenFundExp!I347+GenFundExp!I385+GenFundExp!I422+GenFundExp!I459+GenFundExp!I496+GenFundExp!I533+GenFundExp!I570+GenFundExp!I607+GenFundExp!I644+GenFundExp!I682+GenFundExp!I719+GenFundExp!I756+GenFundExp!I793+GenFundExp!I830+GenFundExp!I867+GenFundExp!I904+GenFundExp!I941+GenFundExp!I978+GenFundExp!I1015+GenFundExp!I1052)</f>
        <v>0</v>
      </c>
      <c r="C1091" s="385"/>
    </row>
    <row r="1092" spans="1:3" ht="18.75" x14ac:dyDescent="0.3">
      <c r="A1092" s="152" t="s">
        <v>1621</v>
      </c>
      <c r="B1092" s="611">
        <f>SUM(GenFundExp!I25+GenFundExp!I61+GenFundExp!I97+GenFundExp!I133+GenFundExp!I169+GenFundExp!I205+GenFundExp!I240+GenFundExp!I276+GenFundExp!I312+GenFundExp!I348+GenFundExp!I386+GenFundExp!I423+GenFundExp!I460+GenFundExp!I497+GenFundExp!I534+GenFundExp!I571+GenFundExp!I608+GenFundExp!I645+GenFundExp!I683+GenFundExp!I720+GenFundExp!I757+GenFundExp!I794+GenFundExp!I831+GenFundExp!I868+GenFundExp!I905+GenFundExp!I942+GenFundExp!I979+GenFundExp!I1016+GenFundExp!I1053)</f>
        <v>0</v>
      </c>
      <c r="C1092" s="385"/>
    </row>
    <row r="1093" spans="1:3" ht="18.75" x14ac:dyDescent="0.3">
      <c r="A1093" s="152" t="s">
        <v>1622</v>
      </c>
      <c r="B1093" s="611">
        <f>SUM(GenFundExp!I26+GenFundExp!I62+GenFundExp!I98+GenFundExp!I134+GenFundExp!I170+GenFundExp!I206+GenFundExp!I241+GenFundExp!I277+GenFundExp!I313+GenFundExp!I349+GenFundExp!I387+GenFundExp!I424+GenFundExp!I461+GenFundExp!I498+GenFundExp!I535+GenFundExp!I572+GenFundExp!I609+GenFundExp!I646+GenFundExp!I684+GenFundExp!I721+GenFundExp!I758+GenFundExp!I795+GenFundExp!I832+GenFundExp!I869+GenFundExp!I906+GenFundExp!I943+GenFundExp!I980+GenFundExp!I1017+GenFundExp!I1054)</f>
        <v>0</v>
      </c>
      <c r="C1093" s="385"/>
    </row>
    <row r="1094" spans="1:3" ht="18.75" x14ac:dyDescent="0.3">
      <c r="A1094" s="152" t="s">
        <v>1623</v>
      </c>
      <c r="B1094" s="611">
        <f>SUM(GenFundExp!I27+GenFundExp!I63+GenFundExp!I99+GenFundExp!I135+GenFundExp!I171+GenFundExp!I207+GenFundExp!I242+GenFundExp!I278+GenFundExp!I314+GenFundExp!I350+GenFundExp!I388+GenFundExp!I425+GenFundExp!I462+GenFundExp!I499+GenFundExp!I536+GenFundExp!I573+GenFundExp!I610+GenFundExp!I647+GenFundExp!I685+GenFundExp!I722+GenFundExp!I759+GenFundExp!I796+GenFundExp!I833+GenFundExp!I870+GenFundExp!I907+GenFundExp!I944+GenFundExp!I981+GenFundExp!I1018+GenFundExp!I1055)</f>
        <v>0</v>
      </c>
      <c r="C1094" s="385"/>
    </row>
    <row r="1095" spans="1:3" ht="18.75" x14ac:dyDescent="0.3">
      <c r="A1095" s="152" t="s">
        <v>1624</v>
      </c>
      <c r="B1095" s="611">
        <f>SUM(GenFundExp!I28+GenFundExp!I64+GenFundExp!I100+GenFundExp!I136+GenFundExp!I172+GenFundExp!I208+GenFundExp!I243+GenFundExp!I279+GenFundExp!I315+GenFundExp!I351+GenFundExp!I389+GenFundExp!I426+GenFundExp!I463+GenFundExp!I500+GenFundExp!I537+GenFundExp!I574+GenFundExp!I611+GenFundExp!I648+GenFundExp!I686+GenFundExp!I723+GenFundExp!I760+GenFundExp!I797+GenFundExp!I834+GenFundExp!I871+GenFundExp!I908+GenFundExp!I945+GenFundExp!I982+GenFundExp!I1019+GenFundExp!I1056)</f>
        <v>0</v>
      </c>
      <c r="C1095" s="385"/>
    </row>
    <row r="1096" spans="1:3" ht="18.75" x14ac:dyDescent="0.3">
      <c r="A1096" s="152" t="s">
        <v>1625</v>
      </c>
      <c r="B1096" s="611">
        <f>SUM(GenFundExp!I29+GenFundExp!I65+GenFundExp!I101+GenFundExp!I137+GenFundExp!I173+GenFundExp!I209+GenFundExp!I244+GenFundExp!I280+GenFundExp!I316+GenFundExp!I352+GenFundExp!I390+GenFundExp!I427+GenFundExp!I464+GenFundExp!I501+GenFundExp!I538+GenFundExp!I575+GenFundExp!I612+GenFundExp!I649+GenFundExp!I687+GenFundExp!I724+GenFundExp!I761+GenFundExp!I798+GenFundExp!I835+GenFundExp!I872+GenFundExp!I909+GenFundExp!I946+GenFundExp!I983+GenFundExp!I1020+GenFundExp!I1057)</f>
        <v>0</v>
      </c>
      <c r="C1096" s="385"/>
    </row>
    <row r="1097" spans="1:3" ht="18.75" x14ac:dyDescent="0.3">
      <c r="A1097" s="152" t="s">
        <v>843</v>
      </c>
      <c r="B1097" s="611">
        <f>SUM(GenFundExp!I30+GenFundExp!I66+GenFundExp!I102+GenFundExp!I138+GenFundExp!I174+GenFundExp!I210+GenFundExp!I245+GenFundExp!I281+GenFundExp!I317+GenFundExp!I353+GenFundExp!I391+GenFundExp!I428+GenFundExp!I465+GenFundExp!I502+GenFundExp!I539+GenFundExp!I576+GenFundExp!I613+GenFundExp!I650+GenFundExp!I688+GenFundExp!I725+GenFundExp!I762+GenFundExp!I799+GenFundExp!I836+GenFundExp!I873+GenFundExp!I910+GenFundExp!I947+GenFundExp!I984+GenFundExp!I1021+GenFundExp!I1058)</f>
        <v>0</v>
      </c>
      <c r="C1097" s="385"/>
    </row>
    <row r="1098" spans="1:3" ht="18.75" x14ac:dyDescent="0.3">
      <c r="A1098" s="152" t="s">
        <v>844</v>
      </c>
      <c r="B1098" s="611">
        <f>SUM(GenFundExp!I31+GenFundExp!I67+GenFundExp!I103+GenFundExp!I139+GenFundExp!I175+GenFundExp!I211+GenFundExp!I246+GenFundExp!I282+GenFundExp!I318+GenFundExp!I354+GenFundExp!I392+GenFundExp!I429+GenFundExp!I466+GenFundExp!I503+GenFundExp!I540+GenFundExp!I577+GenFundExp!I614+GenFundExp!I651+GenFundExp!I689+GenFundExp!I726+GenFundExp!I763+GenFundExp!I800+GenFundExp!I837+GenFundExp!I874+GenFundExp!I911+GenFundExp!I948+GenFundExp!I985+GenFundExp!I1022+GenFundExp!I1059)</f>
        <v>0</v>
      </c>
      <c r="C1098" s="385"/>
    </row>
    <row r="1099" spans="1:3" ht="18.75" x14ac:dyDescent="0.3">
      <c r="A1099" s="152" t="s">
        <v>845</v>
      </c>
      <c r="B1099" s="611">
        <f>SUM(GenFundExp!I32+GenFundExp!I68+GenFundExp!I104+GenFundExp!I140+GenFundExp!I176+GenFundExp!I212+GenFundExp!I247+GenFundExp!I283+GenFundExp!I319+GenFundExp!I355+GenFundExp!I393+GenFundExp!I430+GenFundExp!I467+GenFundExp!I504+GenFundExp!I541+GenFundExp!I578+GenFundExp!I615+GenFundExp!I652+GenFundExp!I690+GenFundExp!I727+GenFundExp!I764+GenFundExp!I801+GenFundExp!I838+GenFundExp!I875+GenFundExp!I912+GenFundExp!I949+GenFundExp!I986+GenFundExp!I1023+GenFundExp!I1060)</f>
        <v>0</v>
      </c>
      <c r="C1099" s="385"/>
    </row>
    <row r="1100" spans="1:3" ht="18.75" x14ac:dyDescent="0.3">
      <c r="A1100" s="152" t="s">
        <v>846</v>
      </c>
      <c r="B1100" s="611">
        <f>SUM(GenFundExp!I33+GenFundExp!I69+GenFundExp!I105+GenFundExp!I141+GenFundExp!I177+GenFundExp!I213+GenFundExp!I248+GenFundExp!I284+GenFundExp!I320+GenFundExp!I356+GenFundExp!I394+GenFundExp!I431+GenFundExp!I468+GenFundExp!I505+GenFundExp!I542+GenFundExp!I579+GenFundExp!I616+GenFundExp!I653+GenFundExp!I691+GenFundExp!I728+GenFundExp!I765+GenFundExp!I802+GenFundExp!I839+GenFundExp!I876+GenFundExp!I913+GenFundExp!I950+GenFundExp!I987+GenFundExp!I1024+GenFundExp!I1061)</f>
        <v>0</v>
      </c>
      <c r="C1100" s="385"/>
    </row>
    <row r="1101" spans="1:3" ht="18.75" x14ac:dyDescent="0.3">
      <c r="A1101" s="152" t="s">
        <v>1582</v>
      </c>
      <c r="B1101" s="611">
        <f>SUM(GenFundExp!I34+GenFundExp!I70+GenFundExp!I106+GenFundExp!I142+GenFundExp!I178+GenFundExp!I214+GenFundExp!I249+GenFundExp!I285+GenFundExp!I321+GenFundExp!I357+GenFundExp!I395+GenFundExp!I432+GenFundExp!I469+GenFundExp!I506+GenFundExp!I543+GenFundExp!I580+GenFundExp!I617+GenFundExp!I654+GenFundExp!I692+GenFundExp!I729+GenFundExp!I766+GenFundExp!I803+GenFundExp!I840+GenFundExp!I877+GenFundExp!I914+GenFundExp!I951+GenFundExp!I988+GenFundExp!I1025+GenFundExp!I1062)</f>
        <v>0</v>
      </c>
      <c r="C1101" s="385"/>
    </row>
    <row r="1102" spans="1:3" ht="18.75" x14ac:dyDescent="0.3">
      <c r="A1102" s="152" t="s">
        <v>847</v>
      </c>
      <c r="B1102" s="611">
        <f>SUM(GenFundExp!I35+GenFundExp!I71+GenFundExp!I107+GenFundExp!I143+GenFundExp!I179+GenFundExp!I215+GenFundExp!I250+GenFundExp!I286+GenFundExp!I322+GenFundExp!I358+GenFundExp!I396+GenFundExp!I433+GenFundExp!I470+GenFundExp!I507+GenFundExp!I544+GenFundExp!I581+GenFundExp!I618+GenFundExp!I655+GenFundExp!I693+GenFundExp!I730+GenFundExp!I767+GenFundExp!I804+GenFundExp!I841+GenFundExp!I878+GenFundExp!I915+GenFundExp!I952+GenFundExp!I989+GenFundExp!I1026+GenFundExp!I1063)</f>
        <v>0</v>
      </c>
      <c r="C1102" s="385"/>
    </row>
    <row r="1103" spans="1:3" ht="18.75" x14ac:dyDescent="0.3">
      <c r="A1103" s="152" t="s">
        <v>1583</v>
      </c>
      <c r="B1103" s="611">
        <f>SUM(GenFundExp!I36+GenFundExp!I72+GenFundExp!I108+GenFundExp!I144+GenFundExp!I180+GenFundExp!I216+GenFundExp!I251+GenFundExp!I287+GenFundExp!I323+GenFundExp!I359+GenFundExp!I397+GenFundExp!I434+GenFundExp!I471+GenFundExp!I508+GenFundExp!I545+GenFundExp!I582+GenFundExp!I619+GenFundExp!I656+GenFundExp!I694+GenFundExp!I731+GenFundExp!I768+GenFundExp!I805+GenFundExp!I842+GenFundExp!I879+GenFundExp!I916+GenFundExp!I953+GenFundExp!I990+GenFundExp!I1027+GenFundExp!I1064)</f>
        <v>0</v>
      </c>
      <c r="C1103" s="385"/>
    </row>
    <row r="1104" spans="1:3" ht="18.75" x14ac:dyDescent="0.3">
      <c r="A1104" s="152" t="s">
        <v>634</v>
      </c>
      <c r="B1104" s="611">
        <f>SUM(GenFundExp!I37+GenFundExp!I73+GenFundExp!I109+GenFundExp!I145+GenFundExp!I181+GenFundExp!I217+GenFundExp!I252+GenFundExp!I288+GenFundExp!I324+GenFundExp!I360+GenFundExp!I398+GenFundExp!I435+GenFundExp!I472+GenFundExp!I509+GenFundExp!I546+GenFundExp!I583+GenFundExp!I620+GenFundExp!I657+GenFundExp!I695+GenFundExp!I732+GenFundExp!I769+GenFundExp!I806+GenFundExp!I843+GenFundExp!I880+GenFundExp!I917+GenFundExp!I954+GenFundExp!I991+GenFundExp!I1028+GenFundExp!I1065)</f>
        <v>0</v>
      </c>
      <c r="C1104" s="385"/>
    </row>
    <row r="1105" spans="1:3" ht="18" x14ac:dyDescent="0.25">
      <c r="A1105" s="311" t="s">
        <v>202</v>
      </c>
      <c r="B1105" s="613">
        <f>I658</f>
        <v>0</v>
      </c>
      <c r="C1105" s="385"/>
    </row>
    <row r="1106" spans="1:3" ht="18" x14ac:dyDescent="0.25">
      <c r="A1106" s="152" t="s">
        <v>630</v>
      </c>
      <c r="B1106" s="613">
        <f t="shared" ref="B1106:B1111" si="29">SUM(I38+I74+I110+I146+I182+I217+I253+I289+I325+I361+I399+I436+I473+I510+I547+I584+I621+I659+I696+I733+I770+I807+I844+I881+I918+I955+I992+I1029+I1066)</f>
        <v>0</v>
      </c>
      <c r="C1106" s="385"/>
    </row>
    <row r="1107" spans="1:3" ht="18" x14ac:dyDescent="0.25">
      <c r="A1107" s="152" t="s">
        <v>631</v>
      </c>
      <c r="B1107" s="613">
        <f t="shared" si="29"/>
        <v>0</v>
      </c>
      <c r="C1107" s="385"/>
    </row>
    <row r="1108" spans="1:3" ht="18" x14ac:dyDescent="0.25">
      <c r="A1108" s="152" t="s">
        <v>1584</v>
      </c>
      <c r="B1108" s="613">
        <f t="shared" si="29"/>
        <v>0</v>
      </c>
      <c r="C1108" s="385"/>
    </row>
    <row r="1109" spans="1:3" ht="18" x14ac:dyDescent="0.25">
      <c r="A1109" s="152" t="s">
        <v>174</v>
      </c>
      <c r="B1109" s="613">
        <f t="shared" si="29"/>
        <v>0</v>
      </c>
      <c r="C1109" s="385"/>
    </row>
    <row r="1110" spans="1:3" ht="18" x14ac:dyDescent="0.25">
      <c r="A1110" s="152" t="s">
        <v>175</v>
      </c>
      <c r="B1110" s="613">
        <f t="shared" si="29"/>
        <v>0</v>
      </c>
      <c r="C1110" s="385"/>
    </row>
    <row r="1111" spans="1:3" ht="18" x14ac:dyDescent="0.25">
      <c r="A1111" s="152" t="s">
        <v>176</v>
      </c>
      <c r="B1111" s="613">
        <f t="shared" si="29"/>
        <v>0</v>
      </c>
      <c r="C1111" s="385"/>
    </row>
    <row r="1112" spans="1:3" x14ac:dyDescent="0.15">
      <c r="A1112" s="167"/>
      <c r="B1112" s="614"/>
      <c r="C1112" s="385"/>
    </row>
    <row r="1113" spans="1:3" x14ac:dyDescent="0.15">
      <c r="A1113" s="167"/>
      <c r="B1113" s="614"/>
      <c r="C1113" s="385"/>
    </row>
    <row r="1114" spans="1:3" x14ac:dyDescent="0.15">
      <c r="B1114" s="526"/>
      <c r="C1114" s="434"/>
    </row>
    <row r="1115" spans="1:3" x14ac:dyDescent="0.15">
      <c r="B1115" s="526"/>
      <c r="C1115" s="434"/>
    </row>
    <row r="1116" spans="1:3" x14ac:dyDescent="0.15">
      <c r="B1116" s="434"/>
      <c r="C1116" s="434"/>
    </row>
    <row r="1117" spans="1:3" x14ac:dyDescent="0.15">
      <c r="B1117" s="434"/>
      <c r="C1117" s="434"/>
    </row>
    <row r="1118" spans="1:3" x14ac:dyDescent="0.15">
      <c r="B1118" s="434"/>
      <c r="C1118" s="434"/>
    </row>
    <row r="1119" spans="1:3" x14ac:dyDescent="0.15">
      <c r="B1119" s="434"/>
      <c r="C1119" s="434"/>
    </row>
    <row r="1120" spans="1:3" x14ac:dyDescent="0.15">
      <c r="B1120" s="434"/>
      <c r="C1120" s="434"/>
    </row>
    <row r="1121" spans="2:3" x14ac:dyDescent="0.15">
      <c r="B1121" s="434"/>
      <c r="C1121" s="434"/>
    </row>
    <row r="1122" spans="2:3" x14ac:dyDescent="0.15">
      <c r="B1122" s="434"/>
      <c r="C1122" s="434"/>
    </row>
    <row r="1123" spans="2:3" x14ac:dyDescent="0.15">
      <c r="B1123" s="434"/>
      <c r="C1123" s="434"/>
    </row>
    <row r="1124" spans="2:3" x14ac:dyDescent="0.15">
      <c r="B1124" s="434"/>
      <c r="C1124" s="434"/>
    </row>
    <row r="1125" spans="2:3" x14ac:dyDescent="0.15">
      <c r="B1125" s="434"/>
      <c r="C1125" s="434"/>
    </row>
    <row r="1126" spans="2:3" x14ac:dyDescent="0.15">
      <c r="B1126" s="434"/>
      <c r="C1126" s="434"/>
    </row>
    <row r="1127" spans="2:3" x14ac:dyDescent="0.15">
      <c r="B1127" s="434"/>
      <c r="C1127" s="434"/>
    </row>
    <row r="1128" spans="2:3" x14ac:dyDescent="0.15">
      <c r="B1128" s="434"/>
      <c r="C1128" s="434"/>
    </row>
    <row r="1129" spans="2:3" x14ac:dyDescent="0.15">
      <c r="B1129" s="434"/>
      <c r="C1129" s="434"/>
    </row>
    <row r="1130" spans="2:3" x14ac:dyDescent="0.15">
      <c r="B1130" s="434"/>
      <c r="C1130" s="434"/>
    </row>
    <row r="1131" spans="2:3" x14ac:dyDescent="0.15">
      <c r="B1131" s="434"/>
      <c r="C1131" s="434"/>
    </row>
    <row r="1132" spans="2:3" x14ac:dyDescent="0.15">
      <c r="B1132" s="434"/>
      <c r="C1132" s="434"/>
    </row>
    <row r="1133" spans="2:3" x14ac:dyDescent="0.15">
      <c r="B1133" s="434"/>
      <c r="C1133" s="434"/>
    </row>
    <row r="1134" spans="2:3" x14ac:dyDescent="0.15">
      <c r="B1134" s="434"/>
      <c r="C1134" s="434"/>
    </row>
    <row r="1135" spans="2:3" x14ac:dyDescent="0.15">
      <c r="B1135" s="434"/>
      <c r="C1135" s="434"/>
    </row>
    <row r="1136" spans="2:3" x14ac:dyDescent="0.15">
      <c r="B1136" s="434"/>
      <c r="C1136" s="434"/>
    </row>
    <row r="1137" spans="2:3" x14ac:dyDescent="0.15">
      <c r="B1137" s="434"/>
      <c r="C1137" s="434"/>
    </row>
    <row r="1138" spans="2:3" x14ac:dyDescent="0.15">
      <c r="B1138" s="434"/>
      <c r="C1138" s="434"/>
    </row>
    <row r="1139" spans="2:3" x14ac:dyDescent="0.15">
      <c r="B1139" s="434"/>
      <c r="C1139" s="434"/>
    </row>
    <row r="1140" spans="2:3" x14ac:dyDescent="0.15">
      <c r="B1140" s="434"/>
      <c r="C1140" s="434"/>
    </row>
    <row r="1141" spans="2:3" x14ac:dyDescent="0.15">
      <c r="B1141" s="434"/>
      <c r="C1141" s="434"/>
    </row>
    <row r="1142" spans="2:3" x14ac:dyDescent="0.15">
      <c r="B1142" s="434"/>
      <c r="C1142" s="434"/>
    </row>
    <row r="1143" spans="2:3" x14ac:dyDescent="0.15">
      <c r="B1143" s="434"/>
      <c r="C1143" s="434"/>
    </row>
    <row r="1144" spans="2:3" x14ac:dyDescent="0.15">
      <c r="B1144" s="434"/>
      <c r="C1144" s="434"/>
    </row>
    <row r="1145" spans="2:3" x14ac:dyDescent="0.15">
      <c r="B1145" s="434"/>
      <c r="C1145" s="434"/>
    </row>
    <row r="1146" spans="2:3" x14ac:dyDescent="0.15">
      <c r="B1146" s="434"/>
      <c r="C1146" s="434"/>
    </row>
    <row r="1147" spans="2:3" x14ac:dyDescent="0.15">
      <c r="B1147" s="434"/>
      <c r="C1147" s="434"/>
    </row>
    <row r="1148" spans="2:3" x14ac:dyDescent="0.15">
      <c r="B1148" s="434"/>
      <c r="C1148" s="434"/>
    </row>
    <row r="1149" spans="2:3" x14ac:dyDescent="0.15">
      <c r="B1149" s="434"/>
      <c r="C1149" s="434"/>
    </row>
    <row r="1150" spans="2:3" x14ac:dyDescent="0.15">
      <c r="B1150" s="434"/>
      <c r="C1150" s="434"/>
    </row>
    <row r="1151" spans="2:3" x14ac:dyDescent="0.15">
      <c r="B1151" s="434"/>
      <c r="C1151" s="434"/>
    </row>
    <row r="1152" spans="2:3" x14ac:dyDescent="0.15">
      <c r="B1152" s="434"/>
      <c r="C1152" s="434"/>
    </row>
    <row r="1153" spans="2:3" x14ac:dyDescent="0.15">
      <c r="B1153" s="434"/>
      <c r="C1153" s="434"/>
    </row>
    <row r="1154" spans="2:3" x14ac:dyDescent="0.15">
      <c r="B1154" s="434"/>
      <c r="C1154" s="434"/>
    </row>
    <row r="1155" spans="2:3" x14ac:dyDescent="0.15">
      <c r="B1155" s="434"/>
      <c r="C1155" s="434"/>
    </row>
    <row r="1156" spans="2:3" x14ac:dyDescent="0.15">
      <c r="B1156" s="434"/>
      <c r="C1156" s="434"/>
    </row>
    <row r="1157" spans="2:3" x14ac:dyDescent="0.15">
      <c r="B1157" s="434"/>
      <c r="C1157" s="434"/>
    </row>
    <row r="1158" spans="2:3" x14ac:dyDescent="0.15">
      <c r="B1158" s="434"/>
      <c r="C1158" s="434"/>
    </row>
    <row r="1159" spans="2:3" x14ac:dyDescent="0.15">
      <c r="B1159" s="434"/>
      <c r="C1159" s="434"/>
    </row>
    <row r="1160" spans="2:3" x14ac:dyDescent="0.15">
      <c r="B1160" s="434"/>
      <c r="C1160" s="434"/>
    </row>
    <row r="1161" spans="2:3" x14ac:dyDescent="0.15">
      <c r="B1161" s="434"/>
      <c r="C1161" s="434"/>
    </row>
    <row r="1162" spans="2:3" x14ac:dyDescent="0.15">
      <c r="B1162" s="434"/>
      <c r="C1162" s="434"/>
    </row>
    <row r="1163" spans="2:3" x14ac:dyDescent="0.15">
      <c r="B1163" s="434"/>
      <c r="C1163" s="434"/>
    </row>
    <row r="1164" spans="2:3" x14ac:dyDescent="0.15">
      <c r="B1164" s="434"/>
      <c r="C1164" s="434"/>
    </row>
    <row r="1165" spans="2:3" x14ac:dyDescent="0.15">
      <c r="B1165" s="434"/>
      <c r="C1165" s="434"/>
    </row>
    <row r="1166" spans="2:3" x14ac:dyDescent="0.15">
      <c r="B1166" s="434"/>
      <c r="C1166" s="434"/>
    </row>
    <row r="1167" spans="2:3" x14ac:dyDescent="0.15">
      <c r="B1167" s="434"/>
      <c r="C1167" s="434"/>
    </row>
    <row r="1168" spans="2:3" x14ac:dyDescent="0.15">
      <c r="B1168" s="434"/>
      <c r="C1168" s="434"/>
    </row>
    <row r="1169" spans="2:3" x14ac:dyDescent="0.15">
      <c r="B1169" s="434"/>
      <c r="C1169" s="434"/>
    </row>
    <row r="1170" spans="2:3" x14ac:dyDescent="0.15">
      <c r="B1170" s="434"/>
      <c r="C1170" s="434"/>
    </row>
    <row r="1171" spans="2:3" x14ac:dyDescent="0.15">
      <c r="B1171" s="434"/>
      <c r="C1171" s="434"/>
    </row>
    <row r="1172" spans="2:3" x14ac:dyDescent="0.15">
      <c r="B1172" s="434"/>
      <c r="C1172" s="434"/>
    </row>
    <row r="1173" spans="2:3" x14ac:dyDescent="0.15">
      <c r="B1173" s="434"/>
      <c r="C1173" s="434"/>
    </row>
    <row r="1174" spans="2:3" x14ac:dyDescent="0.15">
      <c r="B1174" s="434"/>
      <c r="C1174" s="434"/>
    </row>
    <row r="1175" spans="2:3" x14ac:dyDescent="0.15">
      <c r="B1175" s="434"/>
      <c r="C1175" s="434"/>
    </row>
    <row r="1176" spans="2:3" x14ac:dyDescent="0.15">
      <c r="B1176" s="434"/>
      <c r="C1176" s="434"/>
    </row>
    <row r="1177" spans="2:3" x14ac:dyDescent="0.15">
      <c r="B1177" s="434"/>
      <c r="C1177" s="434"/>
    </row>
    <row r="1178" spans="2:3" x14ac:dyDescent="0.15">
      <c r="B1178" s="434"/>
      <c r="C1178" s="434"/>
    </row>
    <row r="1179" spans="2:3" x14ac:dyDescent="0.15">
      <c r="B1179" s="434"/>
      <c r="C1179" s="434"/>
    </row>
    <row r="1180" spans="2:3" x14ac:dyDescent="0.15">
      <c r="B1180" s="434"/>
      <c r="C1180" s="434"/>
    </row>
    <row r="1181" spans="2:3" x14ac:dyDescent="0.15">
      <c r="B1181" s="434"/>
      <c r="C1181" s="434"/>
    </row>
    <row r="1182" spans="2:3" x14ac:dyDescent="0.15">
      <c r="B1182" s="434"/>
      <c r="C1182" s="434"/>
    </row>
    <row r="1183" spans="2:3" x14ac:dyDescent="0.15">
      <c r="B1183" s="434"/>
      <c r="C1183" s="434"/>
    </row>
    <row r="1184" spans="2:3" x14ac:dyDescent="0.15">
      <c r="B1184" s="434"/>
      <c r="C1184" s="434"/>
    </row>
    <row r="1185" spans="2:3" x14ac:dyDescent="0.15">
      <c r="B1185" s="434"/>
      <c r="C1185" s="434"/>
    </row>
    <row r="1186" spans="2:3" x14ac:dyDescent="0.15">
      <c r="B1186" s="434"/>
      <c r="C1186" s="434"/>
    </row>
    <row r="1187" spans="2:3" x14ac:dyDescent="0.15">
      <c r="B1187" s="434"/>
      <c r="C1187" s="434"/>
    </row>
    <row r="1188" spans="2:3" x14ac:dyDescent="0.15">
      <c r="B1188" s="434"/>
      <c r="C1188" s="434"/>
    </row>
    <row r="1189" spans="2:3" x14ac:dyDescent="0.15">
      <c r="B1189" s="434"/>
      <c r="C1189" s="434"/>
    </row>
    <row r="1190" spans="2:3" x14ac:dyDescent="0.15">
      <c r="B1190" s="434"/>
      <c r="C1190" s="434"/>
    </row>
    <row r="1191" spans="2:3" x14ac:dyDescent="0.15">
      <c r="B1191" s="434"/>
      <c r="C1191" s="434"/>
    </row>
    <row r="1192" spans="2:3" x14ac:dyDescent="0.15">
      <c r="B1192" s="434"/>
      <c r="C1192" s="434"/>
    </row>
    <row r="1193" spans="2:3" x14ac:dyDescent="0.15">
      <c r="B1193" s="434"/>
      <c r="C1193" s="434"/>
    </row>
    <row r="1194" spans="2:3" x14ac:dyDescent="0.15">
      <c r="B1194" s="434"/>
      <c r="C1194" s="434"/>
    </row>
    <row r="1195" spans="2:3" x14ac:dyDescent="0.15">
      <c r="B1195" s="434"/>
      <c r="C1195" s="434"/>
    </row>
    <row r="1196" spans="2:3" x14ac:dyDescent="0.15">
      <c r="B1196" s="434"/>
      <c r="C1196" s="434"/>
    </row>
    <row r="1197" spans="2:3" x14ac:dyDescent="0.15">
      <c r="B1197" s="434"/>
      <c r="C1197" s="434"/>
    </row>
    <row r="1198" spans="2:3" x14ac:dyDescent="0.15">
      <c r="B1198" s="434"/>
      <c r="C1198" s="434"/>
    </row>
    <row r="1199" spans="2:3" x14ac:dyDescent="0.15">
      <c r="B1199" s="434"/>
      <c r="C1199" s="434"/>
    </row>
    <row r="1200" spans="2:3" x14ac:dyDescent="0.15">
      <c r="B1200" s="434"/>
      <c r="C1200" s="434"/>
    </row>
    <row r="1201" spans="2:3" x14ac:dyDescent="0.15">
      <c r="B1201" s="434"/>
      <c r="C1201" s="434"/>
    </row>
    <row r="1202" spans="2:3" x14ac:dyDescent="0.15">
      <c r="B1202" s="434"/>
      <c r="C1202" s="434"/>
    </row>
    <row r="1203" spans="2:3" x14ac:dyDescent="0.15">
      <c r="B1203" s="434"/>
      <c r="C1203" s="434"/>
    </row>
    <row r="1204" spans="2:3" x14ac:dyDescent="0.15">
      <c r="B1204" s="434"/>
      <c r="C1204" s="434"/>
    </row>
    <row r="1205" spans="2:3" x14ac:dyDescent="0.15">
      <c r="B1205" s="434"/>
      <c r="C1205" s="434"/>
    </row>
    <row r="1206" spans="2:3" x14ac:dyDescent="0.15">
      <c r="B1206" s="434"/>
      <c r="C1206" s="434"/>
    </row>
    <row r="1207" spans="2:3" x14ac:dyDescent="0.15">
      <c r="B1207" s="434"/>
      <c r="C1207" s="434"/>
    </row>
    <row r="1208" spans="2:3" x14ac:dyDescent="0.15">
      <c r="B1208" s="434"/>
      <c r="C1208" s="434"/>
    </row>
    <row r="1209" spans="2:3" x14ac:dyDescent="0.15">
      <c r="B1209" s="434"/>
      <c r="C1209" s="434"/>
    </row>
    <row r="1210" spans="2:3" x14ac:dyDescent="0.15">
      <c r="B1210" s="434"/>
      <c r="C1210" s="434"/>
    </row>
    <row r="1211" spans="2:3" x14ac:dyDescent="0.15">
      <c r="B1211" s="434"/>
      <c r="C1211" s="434"/>
    </row>
    <row r="1212" spans="2:3" x14ac:dyDescent="0.15">
      <c r="B1212" s="434"/>
      <c r="C1212" s="434"/>
    </row>
    <row r="1213" spans="2:3" x14ac:dyDescent="0.15">
      <c r="B1213" s="434"/>
      <c r="C1213" s="434"/>
    </row>
    <row r="1214" spans="2:3" x14ac:dyDescent="0.15">
      <c r="B1214" s="434"/>
      <c r="C1214" s="434"/>
    </row>
    <row r="1215" spans="2:3" x14ac:dyDescent="0.15">
      <c r="B1215" s="434"/>
      <c r="C1215" s="434"/>
    </row>
    <row r="1216" spans="2:3" x14ac:dyDescent="0.15">
      <c r="B1216" s="434"/>
      <c r="C1216" s="434"/>
    </row>
    <row r="1217" spans="2:3" x14ac:dyDescent="0.15">
      <c r="B1217" s="434"/>
      <c r="C1217" s="434"/>
    </row>
    <row r="1218" spans="2:3" x14ac:dyDescent="0.15">
      <c r="B1218" s="434"/>
      <c r="C1218" s="434"/>
    </row>
    <row r="1219" spans="2:3" x14ac:dyDescent="0.15">
      <c r="B1219" s="434"/>
      <c r="C1219" s="434"/>
    </row>
    <row r="1220" spans="2:3" x14ac:dyDescent="0.15">
      <c r="B1220" s="434"/>
      <c r="C1220" s="434"/>
    </row>
    <row r="1221" spans="2:3" x14ac:dyDescent="0.15">
      <c r="B1221" s="434"/>
      <c r="C1221" s="434"/>
    </row>
    <row r="1222" spans="2:3" x14ac:dyDescent="0.15">
      <c r="B1222" s="434"/>
      <c r="C1222" s="434"/>
    </row>
    <row r="1223" spans="2:3" x14ac:dyDescent="0.15">
      <c r="B1223" s="434"/>
      <c r="C1223" s="434"/>
    </row>
    <row r="1224" spans="2:3" x14ac:dyDescent="0.15">
      <c r="B1224" s="434"/>
      <c r="C1224" s="434"/>
    </row>
    <row r="1225" spans="2:3" x14ac:dyDescent="0.15">
      <c r="B1225" s="434"/>
      <c r="C1225" s="434"/>
    </row>
    <row r="1226" spans="2:3" x14ac:dyDescent="0.15">
      <c r="B1226" s="434"/>
      <c r="C1226" s="434"/>
    </row>
    <row r="1227" spans="2:3" x14ac:dyDescent="0.15">
      <c r="B1227" s="434"/>
      <c r="C1227" s="434"/>
    </row>
    <row r="1228" spans="2:3" x14ac:dyDescent="0.15">
      <c r="B1228" s="434"/>
      <c r="C1228" s="434"/>
    </row>
    <row r="1229" spans="2:3" x14ac:dyDescent="0.15">
      <c r="B1229" s="434"/>
      <c r="C1229" s="434"/>
    </row>
    <row r="1230" spans="2:3" x14ac:dyDescent="0.15">
      <c r="B1230" s="434"/>
      <c r="C1230" s="434"/>
    </row>
    <row r="1231" spans="2:3" x14ac:dyDescent="0.15">
      <c r="B1231" s="434"/>
      <c r="C1231" s="434"/>
    </row>
    <row r="1232" spans="2:3" x14ac:dyDescent="0.15">
      <c r="B1232" s="434"/>
      <c r="C1232" s="434"/>
    </row>
    <row r="1233" spans="2:3" x14ac:dyDescent="0.15">
      <c r="B1233" s="434"/>
      <c r="C1233" s="434"/>
    </row>
    <row r="1234" spans="2:3" x14ac:dyDescent="0.15">
      <c r="B1234" s="434"/>
      <c r="C1234" s="434"/>
    </row>
    <row r="1235" spans="2:3" x14ac:dyDescent="0.15">
      <c r="B1235" s="434"/>
      <c r="C1235" s="434"/>
    </row>
    <row r="1236" spans="2:3" x14ac:dyDescent="0.15">
      <c r="B1236" s="434"/>
      <c r="C1236" s="434"/>
    </row>
    <row r="1237" spans="2:3" x14ac:dyDescent="0.15">
      <c r="B1237" s="434"/>
      <c r="C1237" s="434"/>
    </row>
    <row r="1238" spans="2:3" x14ac:dyDescent="0.15">
      <c r="B1238" s="434"/>
      <c r="C1238" s="434"/>
    </row>
    <row r="1239" spans="2:3" x14ac:dyDescent="0.15">
      <c r="B1239" s="434"/>
      <c r="C1239" s="434"/>
    </row>
    <row r="1240" spans="2:3" x14ac:dyDescent="0.15">
      <c r="B1240" s="434"/>
      <c r="C1240" s="434"/>
    </row>
    <row r="1241" spans="2:3" x14ac:dyDescent="0.15">
      <c r="B1241" s="434"/>
      <c r="C1241" s="434"/>
    </row>
    <row r="1242" spans="2:3" x14ac:dyDescent="0.15">
      <c r="B1242" s="434"/>
      <c r="C1242" s="434"/>
    </row>
    <row r="1243" spans="2:3" x14ac:dyDescent="0.15">
      <c r="B1243" s="434"/>
      <c r="C1243" s="434"/>
    </row>
    <row r="1244" spans="2:3" x14ac:dyDescent="0.15">
      <c r="B1244" s="434"/>
      <c r="C1244" s="434"/>
    </row>
    <row r="1245" spans="2:3" x14ac:dyDescent="0.15">
      <c r="B1245" s="434"/>
      <c r="C1245" s="434"/>
    </row>
    <row r="1246" spans="2:3" x14ac:dyDescent="0.15">
      <c r="B1246" s="434"/>
      <c r="C1246" s="434"/>
    </row>
    <row r="1247" spans="2:3" x14ac:dyDescent="0.15">
      <c r="B1247" s="434"/>
      <c r="C1247" s="434"/>
    </row>
    <row r="1248" spans="2:3" x14ac:dyDescent="0.15">
      <c r="B1248" s="434"/>
      <c r="C1248" s="434"/>
    </row>
    <row r="1249" spans="2:3" x14ac:dyDescent="0.15">
      <c r="B1249" s="434"/>
      <c r="C1249" s="434"/>
    </row>
    <row r="1250" spans="2:3" x14ac:dyDescent="0.15">
      <c r="B1250" s="434"/>
      <c r="C1250" s="434"/>
    </row>
    <row r="1251" spans="2:3" x14ac:dyDescent="0.15">
      <c r="B1251" s="434"/>
      <c r="C1251" s="434"/>
    </row>
    <row r="1252" spans="2:3" x14ac:dyDescent="0.15">
      <c r="B1252" s="434"/>
      <c r="C1252" s="434"/>
    </row>
    <row r="1253" spans="2:3" x14ac:dyDescent="0.15">
      <c r="B1253" s="434"/>
      <c r="C1253" s="434"/>
    </row>
    <row r="1254" spans="2:3" x14ac:dyDescent="0.15">
      <c r="B1254" s="434"/>
      <c r="C1254" s="434"/>
    </row>
    <row r="1255" spans="2:3" x14ac:dyDescent="0.15">
      <c r="B1255" s="434"/>
      <c r="C1255" s="434"/>
    </row>
    <row r="1256" spans="2:3" x14ac:dyDescent="0.15">
      <c r="B1256" s="434"/>
      <c r="C1256" s="434"/>
    </row>
    <row r="1257" spans="2:3" x14ac:dyDescent="0.15">
      <c r="B1257" s="434"/>
      <c r="C1257" s="434"/>
    </row>
    <row r="1258" spans="2:3" x14ac:dyDescent="0.15">
      <c r="B1258" s="434"/>
      <c r="C1258" s="434"/>
    </row>
    <row r="1259" spans="2:3" x14ac:dyDescent="0.15">
      <c r="B1259" s="434"/>
      <c r="C1259" s="434"/>
    </row>
    <row r="1260" spans="2:3" x14ac:dyDescent="0.15">
      <c r="B1260" s="434"/>
      <c r="C1260" s="434"/>
    </row>
    <row r="1261" spans="2:3" x14ac:dyDescent="0.15">
      <c r="B1261" s="434"/>
      <c r="C1261" s="434"/>
    </row>
    <row r="1262" spans="2:3" x14ac:dyDescent="0.15">
      <c r="B1262" s="434"/>
      <c r="C1262" s="434"/>
    </row>
    <row r="1263" spans="2:3" x14ac:dyDescent="0.15">
      <c r="B1263" s="434"/>
      <c r="C1263" s="434"/>
    </row>
    <row r="1264" spans="2:3" x14ac:dyDescent="0.15">
      <c r="B1264" s="434"/>
      <c r="C1264" s="434"/>
    </row>
    <row r="1265" spans="2:3" x14ac:dyDescent="0.15">
      <c r="B1265" s="434"/>
      <c r="C1265" s="434"/>
    </row>
    <row r="1266" spans="2:3" x14ac:dyDescent="0.15">
      <c r="B1266" s="434"/>
      <c r="C1266" s="434"/>
    </row>
    <row r="1267" spans="2:3" x14ac:dyDescent="0.15">
      <c r="B1267" s="434"/>
      <c r="C1267" s="434"/>
    </row>
    <row r="1268" spans="2:3" x14ac:dyDescent="0.15">
      <c r="B1268" s="434"/>
      <c r="C1268" s="434"/>
    </row>
    <row r="1269" spans="2:3" x14ac:dyDescent="0.15">
      <c r="B1269" s="434"/>
      <c r="C1269" s="434"/>
    </row>
    <row r="1270" spans="2:3" x14ac:dyDescent="0.15">
      <c r="B1270" s="434"/>
      <c r="C1270" s="434"/>
    </row>
    <row r="1271" spans="2:3" x14ac:dyDescent="0.15">
      <c r="B1271" s="434"/>
      <c r="C1271" s="434"/>
    </row>
    <row r="1272" spans="2:3" x14ac:dyDescent="0.15">
      <c r="B1272" s="434"/>
      <c r="C1272" s="434"/>
    </row>
    <row r="1273" spans="2:3" x14ac:dyDescent="0.15">
      <c r="B1273" s="434"/>
      <c r="C1273" s="434"/>
    </row>
    <row r="1274" spans="2:3" x14ac:dyDescent="0.15">
      <c r="B1274" s="434"/>
      <c r="C1274" s="434"/>
    </row>
    <row r="1275" spans="2:3" x14ac:dyDescent="0.15">
      <c r="B1275" s="434"/>
      <c r="C1275" s="434"/>
    </row>
    <row r="1276" spans="2:3" x14ac:dyDescent="0.15">
      <c r="B1276" s="434"/>
      <c r="C1276" s="434"/>
    </row>
    <row r="1277" spans="2:3" x14ac:dyDescent="0.15">
      <c r="B1277" s="434"/>
      <c r="C1277" s="434"/>
    </row>
    <row r="1278" spans="2:3" x14ac:dyDescent="0.15">
      <c r="B1278" s="434"/>
      <c r="C1278" s="434"/>
    </row>
    <row r="1279" spans="2:3" x14ac:dyDescent="0.15">
      <c r="B1279" s="434"/>
      <c r="C1279" s="434"/>
    </row>
    <row r="1280" spans="2:3" x14ac:dyDescent="0.15">
      <c r="B1280" s="434"/>
      <c r="C1280" s="434"/>
    </row>
    <row r="1281" spans="2:3" x14ac:dyDescent="0.15">
      <c r="B1281" s="434"/>
      <c r="C1281" s="434"/>
    </row>
    <row r="1282" spans="2:3" x14ac:dyDescent="0.15">
      <c r="B1282" s="434"/>
      <c r="C1282" s="434"/>
    </row>
    <row r="1283" spans="2:3" x14ac:dyDescent="0.15">
      <c r="B1283" s="434"/>
      <c r="C1283" s="434"/>
    </row>
    <row r="1284" spans="2:3" x14ac:dyDescent="0.15">
      <c r="B1284" s="434"/>
      <c r="C1284" s="434"/>
    </row>
    <row r="1285" spans="2:3" x14ac:dyDescent="0.15">
      <c r="B1285" s="434"/>
      <c r="C1285" s="434"/>
    </row>
    <row r="1286" spans="2:3" x14ac:dyDescent="0.15">
      <c r="B1286" s="434"/>
      <c r="C1286" s="434"/>
    </row>
    <row r="1287" spans="2:3" x14ac:dyDescent="0.15">
      <c r="B1287" s="434"/>
      <c r="C1287" s="434"/>
    </row>
    <row r="1288" spans="2:3" x14ac:dyDescent="0.15">
      <c r="B1288" s="434"/>
      <c r="C1288" s="434"/>
    </row>
    <row r="1289" spans="2:3" x14ac:dyDescent="0.15">
      <c r="B1289" s="434"/>
      <c r="C1289" s="434"/>
    </row>
    <row r="1290" spans="2:3" x14ac:dyDescent="0.15">
      <c r="B1290" s="434"/>
      <c r="C1290" s="434"/>
    </row>
    <row r="1291" spans="2:3" x14ac:dyDescent="0.15">
      <c r="B1291" s="434"/>
      <c r="C1291" s="434"/>
    </row>
    <row r="1292" spans="2:3" x14ac:dyDescent="0.15">
      <c r="B1292" s="434"/>
      <c r="C1292" s="434"/>
    </row>
    <row r="1293" spans="2:3" x14ac:dyDescent="0.15">
      <c r="B1293" s="434"/>
      <c r="C1293" s="434"/>
    </row>
    <row r="1294" spans="2:3" x14ac:dyDescent="0.15">
      <c r="B1294" s="434"/>
      <c r="C1294" s="434"/>
    </row>
    <row r="1295" spans="2:3" x14ac:dyDescent="0.15">
      <c r="B1295" s="434"/>
      <c r="C1295" s="434"/>
    </row>
    <row r="1296" spans="2:3" x14ac:dyDescent="0.15">
      <c r="B1296" s="434"/>
      <c r="C1296" s="434"/>
    </row>
    <row r="1297" spans="2:3" x14ac:dyDescent="0.15">
      <c r="B1297" s="434"/>
      <c r="C1297" s="434"/>
    </row>
    <row r="1298" spans="2:3" x14ac:dyDescent="0.15">
      <c r="B1298" s="434"/>
      <c r="C1298" s="434"/>
    </row>
    <row r="1299" spans="2:3" x14ac:dyDescent="0.15">
      <c r="B1299" s="434"/>
      <c r="C1299" s="434"/>
    </row>
    <row r="1300" spans="2:3" x14ac:dyDescent="0.15">
      <c r="B1300" s="434"/>
      <c r="C1300" s="434"/>
    </row>
    <row r="1301" spans="2:3" x14ac:dyDescent="0.15">
      <c r="B1301" s="434"/>
      <c r="C1301" s="434"/>
    </row>
    <row r="1302" spans="2:3" x14ac:dyDescent="0.15">
      <c r="B1302" s="434"/>
      <c r="C1302" s="434"/>
    </row>
    <row r="1303" spans="2:3" x14ac:dyDescent="0.15">
      <c r="B1303" s="434"/>
      <c r="C1303" s="434"/>
    </row>
    <row r="1304" spans="2:3" x14ac:dyDescent="0.15">
      <c r="B1304" s="434"/>
      <c r="C1304" s="434"/>
    </row>
    <row r="1305" spans="2:3" x14ac:dyDescent="0.15">
      <c r="B1305" s="434"/>
      <c r="C1305" s="434"/>
    </row>
    <row r="1306" spans="2:3" x14ac:dyDescent="0.15">
      <c r="B1306" s="434"/>
      <c r="C1306" s="434"/>
    </row>
    <row r="1307" spans="2:3" x14ac:dyDescent="0.15">
      <c r="B1307" s="434"/>
      <c r="C1307" s="434"/>
    </row>
    <row r="1308" spans="2:3" x14ac:dyDescent="0.15">
      <c r="B1308" s="434"/>
      <c r="C1308" s="434"/>
    </row>
    <row r="1309" spans="2:3" x14ac:dyDescent="0.15">
      <c r="B1309" s="434"/>
      <c r="C1309" s="434"/>
    </row>
    <row r="1310" spans="2:3" x14ac:dyDescent="0.15">
      <c r="B1310" s="434"/>
      <c r="C1310" s="434"/>
    </row>
    <row r="1311" spans="2:3" x14ac:dyDescent="0.15">
      <c r="B1311" s="434"/>
      <c r="C1311" s="434"/>
    </row>
    <row r="1312" spans="2:3" x14ac:dyDescent="0.15">
      <c r="B1312" s="434"/>
      <c r="C1312" s="434"/>
    </row>
    <row r="1313" spans="2:3" x14ac:dyDescent="0.15">
      <c r="B1313" s="434"/>
      <c r="C1313" s="434"/>
    </row>
    <row r="1314" spans="2:3" x14ac:dyDescent="0.15">
      <c r="B1314" s="434"/>
      <c r="C1314" s="434"/>
    </row>
    <row r="1315" spans="2:3" x14ac:dyDescent="0.15">
      <c r="B1315" s="434"/>
      <c r="C1315" s="434"/>
    </row>
    <row r="1316" spans="2:3" x14ac:dyDescent="0.15">
      <c r="B1316" s="434"/>
      <c r="C1316" s="434"/>
    </row>
    <row r="1317" spans="2:3" x14ac:dyDescent="0.15">
      <c r="B1317" s="434"/>
      <c r="C1317" s="434"/>
    </row>
    <row r="1318" spans="2:3" x14ac:dyDescent="0.15">
      <c r="B1318" s="434"/>
      <c r="C1318" s="434"/>
    </row>
    <row r="1319" spans="2:3" x14ac:dyDescent="0.15">
      <c r="B1319" s="434"/>
      <c r="C1319" s="434"/>
    </row>
    <row r="1320" spans="2:3" x14ac:dyDescent="0.15">
      <c r="B1320" s="434"/>
      <c r="C1320" s="434"/>
    </row>
    <row r="1321" spans="2:3" x14ac:dyDescent="0.15">
      <c r="B1321" s="434"/>
      <c r="C1321" s="434"/>
    </row>
    <row r="1322" spans="2:3" x14ac:dyDescent="0.15">
      <c r="B1322" s="434"/>
      <c r="C1322" s="434"/>
    </row>
    <row r="1323" spans="2:3" x14ac:dyDescent="0.15">
      <c r="B1323" s="434"/>
      <c r="C1323" s="434"/>
    </row>
    <row r="1324" spans="2:3" x14ac:dyDescent="0.15">
      <c r="B1324" s="434"/>
      <c r="C1324" s="434"/>
    </row>
    <row r="1325" spans="2:3" x14ac:dyDescent="0.15">
      <c r="B1325" s="434"/>
      <c r="C1325" s="434"/>
    </row>
    <row r="1326" spans="2:3" x14ac:dyDescent="0.15">
      <c r="B1326" s="434"/>
      <c r="C1326" s="434"/>
    </row>
    <row r="1327" spans="2:3" x14ac:dyDescent="0.15">
      <c r="B1327" s="434"/>
      <c r="C1327" s="434"/>
    </row>
    <row r="1328" spans="2:3" x14ac:dyDescent="0.15">
      <c r="B1328" s="434"/>
      <c r="C1328" s="434"/>
    </row>
    <row r="1329" spans="2:3" x14ac:dyDescent="0.15">
      <c r="B1329" s="434"/>
      <c r="C1329" s="434"/>
    </row>
    <row r="1330" spans="2:3" x14ac:dyDescent="0.15">
      <c r="B1330" s="434"/>
      <c r="C1330" s="434"/>
    </row>
    <row r="1331" spans="2:3" x14ac:dyDescent="0.15">
      <c r="B1331" s="434"/>
      <c r="C1331" s="434"/>
    </row>
    <row r="1332" spans="2:3" x14ac:dyDescent="0.15">
      <c r="B1332" s="434"/>
      <c r="C1332" s="434"/>
    </row>
    <row r="1333" spans="2:3" x14ac:dyDescent="0.15">
      <c r="B1333" s="434"/>
      <c r="C1333" s="434"/>
    </row>
    <row r="1334" spans="2:3" x14ac:dyDescent="0.15">
      <c r="B1334" s="434"/>
      <c r="C1334" s="434"/>
    </row>
    <row r="1335" spans="2:3" x14ac:dyDescent="0.15">
      <c r="B1335" s="434"/>
      <c r="C1335" s="434"/>
    </row>
    <row r="1336" spans="2:3" x14ac:dyDescent="0.15">
      <c r="B1336" s="434"/>
      <c r="C1336" s="434"/>
    </row>
    <row r="1337" spans="2:3" x14ac:dyDescent="0.15">
      <c r="B1337" s="434"/>
      <c r="C1337" s="434"/>
    </row>
    <row r="1338" spans="2:3" x14ac:dyDescent="0.15">
      <c r="B1338" s="434"/>
      <c r="C1338" s="434"/>
    </row>
    <row r="1339" spans="2:3" x14ac:dyDescent="0.15">
      <c r="B1339" s="434"/>
      <c r="C1339" s="434"/>
    </row>
    <row r="1340" spans="2:3" x14ac:dyDescent="0.15">
      <c r="B1340" s="434"/>
      <c r="C1340" s="434"/>
    </row>
    <row r="1341" spans="2:3" x14ac:dyDescent="0.15">
      <c r="B1341" s="434"/>
      <c r="C1341" s="434"/>
    </row>
    <row r="1342" spans="2:3" x14ac:dyDescent="0.15">
      <c r="B1342" s="434"/>
      <c r="C1342" s="434"/>
    </row>
    <row r="1343" spans="2:3" x14ac:dyDescent="0.15">
      <c r="B1343" s="434"/>
      <c r="C1343" s="434"/>
    </row>
    <row r="1344" spans="2:3" x14ac:dyDescent="0.15">
      <c r="B1344" s="434"/>
      <c r="C1344" s="434"/>
    </row>
    <row r="1345" spans="2:3" x14ac:dyDescent="0.15">
      <c r="B1345" s="434"/>
      <c r="C1345" s="434"/>
    </row>
    <row r="1346" spans="2:3" x14ac:dyDescent="0.15">
      <c r="B1346" s="434"/>
      <c r="C1346" s="434"/>
    </row>
    <row r="1347" spans="2:3" x14ac:dyDescent="0.15">
      <c r="B1347" s="434"/>
      <c r="C1347" s="434"/>
    </row>
    <row r="1348" spans="2:3" x14ac:dyDescent="0.15">
      <c r="B1348" s="434"/>
      <c r="C1348" s="434"/>
    </row>
    <row r="1349" spans="2:3" x14ac:dyDescent="0.15">
      <c r="B1349" s="434"/>
      <c r="C1349" s="434"/>
    </row>
    <row r="1350" spans="2:3" x14ac:dyDescent="0.15">
      <c r="B1350" s="434"/>
      <c r="C1350" s="434"/>
    </row>
    <row r="1351" spans="2:3" x14ac:dyDescent="0.15">
      <c r="B1351" s="434"/>
      <c r="C1351" s="434"/>
    </row>
    <row r="1352" spans="2:3" x14ac:dyDescent="0.15">
      <c r="B1352" s="434"/>
      <c r="C1352" s="434"/>
    </row>
    <row r="1353" spans="2:3" x14ac:dyDescent="0.15">
      <c r="B1353" s="434"/>
      <c r="C1353" s="434"/>
    </row>
    <row r="1354" spans="2:3" x14ac:dyDescent="0.15">
      <c r="B1354" s="434"/>
      <c r="C1354" s="434"/>
    </row>
    <row r="1355" spans="2:3" x14ac:dyDescent="0.15">
      <c r="B1355" s="434"/>
      <c r="C1355" s="434"/>
    </row>
    <row r="1356" spans="2:3" x14ac:dyDescent="0.15">
      <c r="B1356" s="434"/>
      <c r="C1356" s="434"/>
    </row>
    <row r="1357" spans="2:3" x14ac:dyDescent="0.15">
      <c r="B1357" s="434"/>
      <c r="C1357" s="434"/>
    </row>
    <row r="1358" spans="2:3" x14ac:dyDescent="0.15">
      <c r="B1358" s="434"/>
      <c r="C1358" s="434"/>
    </row>
    <row r="1359" spans="2:3" x14ac:dyDescent="0.15">
      <c r="B1359" s="434"/>
      <c r="C1359" s="434"/>
    </row>
    <row r="1360" spans="2:3" x14ac:dyDescent="0.15">
      <c r="B1360" s="434"/>
      <c r="C1360" s="434"/>
    </row>
    <row r="1361" spans="2:3" x14ac:dyDescent="0.15">
      <c r="B1361" s="434"/>
      <c r="C1361" s="434"/>
    </row>
    <row r="1362" spans="2:3" x14ac:dyDescent="0.15">
      <c r="B1362" s="434"/>
      <c r="C1362" s="434"/>
    </row>
    <row r="1363" spans="2:3" x14ac:dyDescent="0.15">
      <c r="B1363" s="434"/>
      <c r="C1363" s="434"/>
    </row>
    <row r="1364" spans="2:3" x14ac:dyDescent="0.15">
      <c r="B1364" s="434"/>
      <c r="C1364" s="434"/>
    </row>
    <row r="1365" spans="2:3" x14ac:dyDescent="0.15">
      <c r="B1365" s="434"/>
      <c r="C1365" s="434"/>
    </row>
    <row r="1366" spans="2:3" x14ac:dyDescent="0.15">
      <c r="B1366" s="434"/>
      <c r="C1366" s="434"/>
    </row>
    <row r="1367" spans="2:3" x14ac:dyDescent="0.15">
      <c r="B1367" s="434"/>
      <c r="C1367" s="434"/>
    </row>
    <row r="1368" spans="2:3" x14ac:dyDescent="0.15">
      <c r="B1368" s="434"/>
      <c r="C1368" s="434"/>
    </row>
    <row r="1369" spans="2:3" x14ac:dyDescent="0.15">
      <c r="B1369" s="434"/>
      <c r="C1369" s="434"/>
    </row>
    <row r="1370" spans="2:3" x14ac:dyDescent="0.15">
      <c r="B1370" s="434"/>
      <c r="C1370" s="434"/>
    </row>
    <row r="1371" spans="2:3" x14ac:dyDescent="0.15">
      <c r="B1371" s="434"/>
      <c r="C1371" s="434"/>
    </row>
    <row r="1372" spans="2:3" x14ac:dyDescent="0.15">
      <c r="B1372" s="434"/>
      <c r="C1372" s="434"/>
    </row>
    <row r="1373" spans="2:3" x14ac:dyDescent="0.15">
      <c r="B1373" s="434"/>
      <c r="C1373" s="434"/>
    </row>
  </sheetData>
  <sheetProtection password="CB03" sheet="1" formatCells="0" formatColumns="0" formatRows="0"/>
  <phoneticPr fontId="15" type="noConversion"/>
  <pageMargins left="0.75" right="0.75" top="1" bottom="1" header="0.5" footer="0.5"/>
  <pageSetup scale="58" firstPageNumber="4" fitToHeight="0" orientation="portrait" horizontalDpi="300" verticalDpi="300" r:id="rId1"/>
  <headerFooter alignWithMargins="0">
    <oddFooter>&amp;LCDE, Public Scool Finance Unit&amp;C&amp;P&amp;RRevised  March, 2009</oddFooter>
  </headerFooter>
  <rowBreaks count="15" manualBreakCount="15">
    <brk id="81" max="8" man="1"/>
    <brk id="153" max="8" man="1"/>
    <brk id="224" max="8" man="1"/>
    <brk id="260" max="8" man="1"/>
    <brk id="332" max="8" man="1"/>
    <brk id="406" max="8" man="1"/>
    <brk id="480" max="8" man="1"/>
    <brk id="554" max="8" man="1"/>
    <brk id="628" max="8" man="1"/>
    <brk id="703" max="8" man="1"/>
    <brk id="777" max="8" man="1"/>
    <brk id="851" max="8" man="1"/>
    <brk id="925" max="8" man="1"/>
    <brk id="999" max="8" man="1"/>
    <brk id="1076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5"/>
  <sheetViews>
    <sheetView zoomScaleNormal="100" workbookViewId="0">
      <selection activeCell="I4" sqref="I4"/>
    </sheetView>
  </sheetViews>
  <sheetFormatPr defaultRowHeight="10.5" customHeight="1" x14ac:dyDescent="0.15"/>
  <cols>
    <col min="1" max="1" width="4.83203125" style="158" customWidth="1"/>
    <col min="2" max="2" width="7.6640625" style="158" customWidth="1"/>
    <col min="3" max="3" width="70.83203125" style="158" customWidth="1"/>
    <col min="4" max="4" width="15.83203125" style="158" customWidth="1"/>
    <col min="5" max="5" width="14.1640625" style="158" bestFit="1" customWidth="1"/>
    <col min="6" max="6" width="14" style="158" bestFit="1" customWidth="1"/>
    <col min="7" max="7" width="15.83203125" style="158" customWidth="1"/>
    <col min="8" max="8" width="15.83203125" style="309" customWidth="1"/>
    <col min="9" max="9" width="19" style="309" customWidth="1"/>
    <col min="10" max="16384" width="9.33203125" style="158"/>
  </cols>
  <sheetData>
    <row r="1" spans="1:10" ht="10.5" customHeight="1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  <c r="H1" s="313"/>
      <c r="I1" s="313"/>
    </row>
    <row r="2" spans="1:10" ht="12.75" x14ac:dyDescent="0.2">
      <c r="A2" s="207" t="s">
        <v>109</v>
      </c>
    </row>
    <row r="3" spans="1:10" ht="12.75" x14ac:dyDescent="0.2">
      <c r="A3" s="207"/>
    </row>
    <row r="4" spans="1:10" ht="42.75" x14ac:dyDescent="0.2">
      <c r="A4" s="207"/>
      <c r="D4" s="686" t="s">
        <v>1701</v>
      </c>
      <c r="E4" s="686" t="s">
        <v>1700</v>
      </c>
      <c r="F4" s="686" t="s">
        <v>1699</v>
      </c>
      <c r="G4" s="686" t="s">
        <v>1698</v>
      </c>
      <c r="H4" s="686" t="s">
        <v>1696</v>
      </c>
      <c r="I4" s="686" t="s">
        <v>1697</v>
      </c>
    </row>
    <row r="5" spans="1:10" ht="53.25" x14ac:dyDescent="0.2">
      <c r="A5" s="207"/>
      <c r="D5" s="166"/>
      <c r="E5" s="166"/>
      <c r="F5" s="166"/>
      <c r="G5" s="166"/>
      <c r="H5" s="314" t="s">
        <v>193</v>
      </c>
      <c r="I5" s="314" t="s">
        <v>192</v>
      </c>
    </row>
    <row r="6" spans="1:10" ht="12.75" x14ac:dyDescent="0.2">
      <c r="A6" s="207"/>
    </row>
    <row r="7" spans="1:10" ht="10.5" customHeight="1" x14ac:dyDescent="0.15">
      <c r="A7" s="40" t="s">
        <v>640</v>
      </c>
      <c r="D7" s="181"/>
      <c r="E7" s="181"/>
      <c r="F7" s="181"/>
      <c r="G7" s="181"/>
    </row>
    <row r="8" spans="1:10" s="182" customFormat="1" ht="10.5" customHeight="1" x14ac:dyDescent="0.15">
      <c r="B8" s="206" t="s">
        <v>739</v>
      </c>
      <c r="D8" s="146"/>
      <c r="E8" s="146"/>
      <c r="F8" s="146"/>
      <c r="G8" s="145"/>
      <c r="H8" s="310"/>
      <c r="I8" s="568"/>
    </row>
    <row r="9" spans="1:10" s="182" customFormat="1" ht="10.5" customHeight="1" x14ac:dyDescent="0.15">
      <c r="A9" s="148" t="s">
        <v>641</v>
      </c>
      <c r="B9" s="115"/>
      <c r="C9" s="115"/>
      <c r="D9" s="146"/>
      <c r="E9" s="146"/>
      <c r="F9" s="146"/>
      <c r="G9" s="145"/>
      <c r="H9" s="310"/>
      <c r="I9" s="568"/>
    </row>
    <row r="10" spans="1:10" s="309" customFormat="1" x14ac:dyDescent="0.15">
      <c r="B10" s="311" t="s">
        <v>1577</v>
      </c>
      <c r="C10" s="312" t="s">
        <v>228</v>
      </c>
      <c r="D10" s="316">
        <v>0</v>
      </c>
      <c r="E10" s="316">
        <v>0</v>
      </c>
      <c r="F10" s="316">
        <v>0</v>
      </c>
      <c r="G10" s="528">
        <f t="array" ref="G10">SUM(IF(CertFund&amp;CertProg&amp;CertObj=RIGHT(LEFT($A$2,7),2)&amp;LEFT(A9,4)&amp;B10,CertSalary))</f>
        <v>0</v>
      </c>
      <c r="H10" s="527">
        <v>0</v>
      </c>
      <c r="I10" s="566">
        <f>SUM(G10+H10)</f>
        <v>0</v>
      </c>
    </row>
    <row r="11" spans="1:10" s="309" customFormat="1" x14ac:dyDescent="0.15">
      <c r="B11" s="311" t="s">
        <v>1577</v>
      </c>
      <c r="C11" s="312" t="s">
        <v>510</v>
      </c>
      <c r="D11" s="316">
        <v>0</v>
      </c>
      <c r="E11" s="316">
        <v>0</v>
      </c>
      <c r="F11" s="316">
        <v>0</v>
      </c>
      <c r="G11" s="316">
        <v>0</v>
      </c>
      <c r="H11" s="527">
        <v>0</v>
      </c>
      <c r="I11" s="566">
        <f>SUM(G11+H11)</f>
        <v>0</v>
      </c>
    </row>
    <row r="12" spans="1:10" s="309" customFormat="1" x14ac:dyDescent="0.15">
      <c r="A12" s="312"/>
      <c r="B12" s="311" t="s">
        <v>1578</v>
      </c>
      <c r="C12" s="312" t="s">
        <v>936</v>
      </c>
      <c r="D12" s="316">
        <v>0</v>
      </c>
      <c r="E12" s="316">
        <v>0</v>
      </c>
      <c r="F12" s="316">
        <v>0</v>
      </c>
      <c r="G12" s="529">
        <f t="array" ref="G12">SUM(IF(CertFund&amp;CertProg&amp;CertObj=RIGHT(LEFT($A$2,7),2)&amp;LEFT(A9,4)&amp;B10,CertBen))</f>
        <v>0</v>
      </c>
      <c r="H12" s="527">
        <v>0</v>
      </c>
      <c r="I12" s="566">
        <f>SUM(G12+H12)</f>
        <v>0</v>
      </c>
    </row>
    <row r="13" spans="1:10" x14ac:dyDescent="0.15">
      <c r="A13" s="115"/>
      <c r="B13" s="152" t="s">
        <v>1578</v>
      </c>
      <c r="C13" s="115" t="s">
        <v>511</v>
      </c>
      <c r="D13" s="147">
        <v>0</v>
      </c>
      <c r="E13" s="147">
        <v>0</v>
      </c>
      <c r="F13" s="147">
        <v>0</v>
      </c>
      <c r="G13" s="147">
        <v>0</v>
      </c>
      <c r="H13" s="150">
        <v>0</v>
      </c>
      <c r="I13" s="567">
        <f>SUM(G13+H13)</f>
        <v>0</v>
      </c>
      <c r="J13" s="309"/>
    </row>
    <row r="14" spans="1:10" s="182" customFormat="1" ht="10.5" customHeight="1" x14ac:dyDescent="0.15">
      <c r="A14" s="148"/>
      <c r="B14" s="152" t="s">
        <v>1579</v>
      </c>
      <c r="C14" s="115" t="s">
        <v>118</v>
      </c>
      <c r="D14" s="147">
        <v>0</v>
      </c>
      <c r="E14" s="147">
        <v>0</v>
      </c>
      <c r="F14" s="147">
        <v>0</v>
      </c>
      <c r="G14" s="147">
        <v>0</v>
      </c>
      <c r="H14" s="315">
        <v>0</v>
      </c>
      <c r="I14" s="572">
        <f t="shared" ref="I14:I43" si="0">SUM(G14+H14)</f>
        <v>0</v>
      </c>
    </row>
    <row r="15" spans="1:10" s="182" customFormat="1" ht="10.5" customHeight="1" x14ac:dyDescent="0.15">
      <c r="A15" s="148"/>
      <c r="B15" s="152" t="s">
        <v>1580</v>
      </c>
      <c r="C15" s="115" t="s">
        <v>119</v>
      </c>
      <c r="D15" s="147">
        <v>0</v>
      </c>
      <c r="E15" s="147">
        <v>0</v>
      </c>
      <c r="F15" s="147">
        <v>0</v>
      </c>
      <c r="G15" s="147">
        <v>0</v>
      </c>
      <c r="H15" s="315">
        <v>0</v>
      </c>
      <c r="I15" s="572">
        <f t="shared" si="0"/>
        <v>0</v>
      </c>
    </row>
    <row r="16" spans="1:10" s="182" customFormat="1" ht="10.5" customHeight="1" x14ac:dyDescent="0.15">
      <c r="A16" s="148"/>
      <c r="B16" s="152" t="s">
        <v>120</v>
      </c>
      <c r="C16" s="115" t="s">
        <v>121</v>
      </c>
      <c r="D16" s="147">
        <v>0</v>
      </c>
      <c r="E16" s="147">
        <v>0</v>
      </c>
      <c r="F16" s="147">
        <v>0</v>
      </c>
      <c r="G16" s="147">
        <v>0</v>
      </c>
      <c r="H16" s="315">
        <v>0</v>
      </c>
      <c r="I16" s="572">
        <f t="shared" si="0"/>
        <v>0</v>
      </c>
    </row>
    <row r="17" spans="1:9" s="182" customFormat="1" ht="10.5" customHeight="1" x14ac:dyDescent="0.15">
      <c r="A17" s="148"/>
      <c r="B17" s="152" t="s">
        <v>122</v>
      </c>
      <c r="C17" s="115" t="s">
        <v>123</v>
      </c>
      <c r="D17" s="147">
        <v>0</v>
      </c>
      <c r="E17" s="147">
        <v>0</v>
      </c>
      <c r="F17" s="147">
        <v>0</v>
      </c>
      <c r="G17" s="147">
        <v>0</v>
      </c>
      <c r="H17" s="315">
        <v>0</v>
      </c>
      <c r="I17" s="572">
        <f t="shared" si="0"/>
        <v>0</v>
      </c>
    </row>
    <row r="18" spans="1:9" s="182" customFormat="1" ht="10.5" customHeight="1" x14ac:dyDescent="0.15">
      <c r="A18" s="148"/>
      <c r="B18" s="152" t="s">
        <v>1581</v>
      </c>
      <c r="C18" s="115" t="s">
        <v>124</v>
      </c>
      <c r="D18" s="147">
        <v>0</v>
      </c>
      <c r="E18" s="147">
        <v>0</v>
      </c>
      <c r="F18" s="147">
        <v>0</v>
      </c>
      <c r="G18" s="147">
        <v>0</v>
      </c>
      <c r="H18" s="315">
        <v>0</v>
      </c>
      <c r="I18" s="572">
        <f t="shared" si="0"/>
        <v>0</v>
      </c>
    </row>
    <row r="19" spans="1:9" s="182" customFormat="1" ht="10.5" customHeight="1" x14ac:dyDescent="0.15">
      <c r="A19" s="148"/>
      <c r="B19" s="152" t="s">
        <v>125</v>
      </c>
      <c r="C19" s="115" t="s">
        <v>133</v>
      </c>
      <c r="D19" s="147">
        <v>0</v>
      </c>
      <c r="E19" s="147">
        <v>0</v>
      </c>
      <c r="F19" s="147">
        <v>0</v>
      </c>
      <c r="G19" s="147">
        <v>0</v>
      </c>
      <c r="H19" s="315">
        <v>0</v>
      </c>
      <c r="I19" s="572">
        <f t="shared" si="0"/>
        <v>0</v>
      </c>
    </row>
    <row r="20" spans="1:9" s="182" customFormat="1" ht="10.5" customHeight="1" x14ac:dyDescent="0.15">
      <c r="A20" s="148"/>
      <c r="B20" s="152" t="s">
        <v>126</v>
      </c>
      <c r="C20" s="115" t="s">
        <v>187</v>
      </c>
      <c r="D20" s="147">
        <v>0</v>
      </c>
      <c r="E20" s="147">
        <v>0</v>
      </c>
      <c r="F20" s="147">
        <v>0</v>
      </c>
      <c r="G20" s="147">
        <v>0</v>
      </c>
      <c r="H20" s="315">
        <v>0</v>
      </c>
      <c r="I20" s="572">
        <f t="shared" si="0"/>
        <v>0</v>
      </c>
    </row>
    <row r="21" spans="1:9" s="182" customFormat="1" ht="10.5" customHeight="1" x14ac:dyDescent="0.15">
      <c r="A21" s="148"/>
      <c r="B21" s="152" t="s">
        <v>127</v>
      </c>
      <c r="C21" s="115" t="s">
        <v>134</v>
      </c>
      <c r="D21" s="147">
        <v>0</v>
      </c>
      <c r="E21" s="147">
        <v>0</v>
      </c>
      <c r="F21" s="147">
        <v>0</v>
      </c>
      <c r="G21" s="147">
        <v>0</v>
      </c>
      <c r="H21" s="315">
        <v>0</v>
      </c>
      <c r="I21" s="572">
        <f t="shared" si="0"/>
        <v>0</v>
      </c>
    </row>
    <row r="22" spans="1:9" s="182" customFormat="1" ht="10.5" customHeight="1" x14ac:dyDescent="0.15">
      <c r="A22" s="148"/>
      <c r="B22" s="152" t="s">
        <v>128</v>
      </c>
      <c r="C22" s="115" t="s">
        <v>135</v>
      </c>
      <c r="D22" s="147">
        <v>0</v>
      </c>
      <c r="E22" s="147">
        <v>0</v>
      </c>
      <c r="F22" s="147">
        <v>0</v>
      </c>
      <c r="G22" s="147">
        <v>0</v>
      </c>
      <c r="H22" s="315">
        <v>0</v>
      </c>
      <c r="I22" s="572">
        <f t="shared" si="0"/>
        <v>0</v>
      </c>
    </row>
    <row r="23" spans="1:9" s="182" customFormat="1" ht="10.5" customHeight="1" x14ac:dyDescent="0.15">
      <c r="A23" s="148"/>
      <c r="B23" s="152" t="s">
        <v>129</v>
      </c>
      <c r="C23" s="115" t="s">
        <v>136</v>
      </c>
      <c r="D23" s="147">
        <v>0</v>
      </c>
      <c r="E23" s="147">
        <v>0</v>
      </c>
      <c r="F23" s="147">
        <v>0</v>
      </c>
      <c r="G23" s="147">
        <v>0</v>
      </c>
      <c r="H23" s="315">
        <v>0</v>
      </c>
      <c r="I23" s="572">
        <f t="shared" si="0"/>
        <v>0</v>
      </c>
    </row>
    <row r="24" spans="1:9" s="182" customFormat="1" ht="10.5" customHeight="1" x14ac:dyDescent="0.15">
      <c r="A24" s="148"/>
      <c r="B24" s="152" t="s">
        <v>131</v>
      </c>
      <c r="C24" s="115" t="s">
        <v>137</v>
      </c>
      <c r="D24" s="147">
        <v>0</v>
      </c>
      <c r="E24" s="147">
        <v>0</v>
      </c>
      <c r="F24" s="147">
        <v>0</v>
      </c>
      <c r="G24" s="147">
        <v>0</v>
      </c>
      <c r="H24" s="315">
        <v>0</v>
      </c>
      <c r="I24" s="572">
        <f t="shared" si="0"/>
        <v>0</v>
      </c>
    </row>
    <row r="25" spans="1:9" s="182" customFormat="1" ht="10.5" customHeight="1" x14ac:dyDescent="0.15">
      <c r="A25" s="148"/>
      <c r="B25" s="152" t="s">
        <v>132</v>
      </c>
      <c r="C25" s="115" t="s">
        <v>1617</v>
      </c>
      <c r="D25" s="147">
        <v>0</v>
      </c>
      <c r="E25" s="147">
        <v>0</v>
      </c>
      <c r="F25" s="147">
        <v>0</v>
      </c>
      <c r="G25" s="147">
        <v>0</v>
      </c>
      <c r="H25" s="315">
        <v>0</v>
      </c>
      <c r="I25" s="572">
        <f t="shared" si="0"/>
        <v>0</v>
      </c>
    </row>
    <row r="26" spans="1:9" s="182" customFormat="1" ht="10.5" customHeight="1" x14ac:dyDescent="0.15">
      <c r="A26" s="148"/>
      <c r="B26" s="152" t="s">
        <v>1624</v>
      </c>
      <c r="C26" s="115" t="s">
        <v>840</v>
      </c>
      <c r="D26" s="147">
        <v>0</v>
      </c>
      <c r="E26" s="147">
        <v>0</v>
      </c>
      <c r="F26" s="147">
        <v>0</v>
      </c>
      <c r="G26" s="147">
        <v>0</v>
      </c>
      <c r="H26" s="315">
        <v>0</v>
      </c>
      <c r="I26" s="572">
        <f t="shared" si="0"/>
        <v>0</v>
      </c>
    </row>
    <row r="27" spans="1:9" s="182" customFormat="1" ht="10.5" customHeight="1" x14ac:dyDescent="0.15">
      <c r="A27" s="148"/>
      <c r="B27" s="152" t="s">
        <v>1625</v>
      </c>
      <c r="C27" s="115" t="s">
        <v>842</v>
      </c>
      <c r="D27" s="147">
        <v>0</v>
      </c>
      <c r="E27" s="147">
        <v>0</v>
      </c>
      <c r="F27" s="147">
        <v>0</v>
      </c>
      <c r="G27" s="147">
        <v>0</v>
      </c>
      <c r="H27" s="315">
        <v>0</v>
      </c>
      <c r="I27" s="572">
        <f t="shared" si="0"/>
        <v>0</v>
      </c>
    </row>
    <row r="28" spans="1:9" s="182" customFormat="1" ht="10.5" customHeight="1" x14ac:dyDescent="0.15">
      <c r="A28" s="148"/>
      <c r="B28" s="152" t="s">
        <v>843</v>
      </c>
      <c r="C28" s="115" t="s">
        <v>848</v>
      </c>
      <c r="D28" s="147">
        <v>0</v>
      </c>
      <c r="E28" s="147">
        <v>0</v>
      </c>
      <c r="F28" s="147">
        <v>0</v>
      </c>
      <c r="G28" s="147">
        <v>0</v>
      </c>
      <c r="H28" s="315">
        <v>0</v>
      </c>
      <c r="I28" s="572">
        <f t="shared" si="0"/>
        <v>0</v>
      </c>
    </row>
    <row r="29" spans="1:9" s="182" customFormat="1" ht="10.5" customHeight="1" x14ac:dyDescent="0.15">
      <c r="A29" s="148"/>
      <c r="B29" s="152" t="s">
        <v>844</v>
      </c>
      <c r="C29" s="115" t="s">
        <v>186</v>
      </c>
      <c r="D29" s="147">
        <v>0</v>
      </c>
      <c r="E29" s="147">
        <v>0</v>
      </c>
      <c r="F29" s="147">
        <v>0</v>
      </c>
      <c r="G29" s="147">
        <v>0</v>
      </c>
      <c r="H29" s="315">
        <v>0</v>
      </c>
      <c r="I29" s="572">
        <f t="shared" si="0"/>
        <v>0</v>
      </c>
    </row>
    <row r="30" spans="1:9" s="182" customFormat="1" ht="10.5" customHeight="1" x14ac:dyDescent="0.15">
      <c r="A30" s="148"/>
      <c r="B30" s="152" t="s">
        <v>845</v>
      </c>
      <c r="C30" s="115" t="s">
        <v>154</v>
      </c>
      <c r="D30" s="147">
        <v>0</v>
      </c>
      <c r="E30" s="147">
        <v>0</v>
      </c>
      <c r="F30" s="147">
        <v>0</v>
      </c>
      <c r="G30" s="147">
        <v>0</v>
      </c>
      <c r="H30" s="315">
        <v>0</v>
      </c>
      <c r="I30" s="572">
        <f t="shared" si="0"/>
        <v>0</v>
      </c>
    </row>
    <row r="31" spans="1:9" s="182" customFormat="1" ht="10.5" customHeight="1" x14ac:dyDescent="0.15">
      <c r="A31" s="148"/>
      <c r="B31" s="152" t="s">
        <v>846</v>
      </c>
      <c r="C31" s="115" t="s">
        <v>155</v>
      </c>
      <c r="D31" s="147">
        <v>0</v>
      </c>
      <c r="E31" s="147">
        <v>0</v>
      </c>
      <c r="F31" s="147">
        <v>0</v>
      </c>
      <c r="G31" s="147">
        <v>0</v>
      </c>
      <c r="H31" s="315">
        <v>0</v>
      </c>
      <c r="I31" s="572">
        <f t="shared" si="0"/>
        <v>0</v>
      </c>
    </row>
    <row r="32" spans="1:9" s="182" customFormat="1" ht="10.5" customHeight="1" x14ac:dyDescent="0.15">
      <c r="A32" s="148"/>
      <c r="B32" s="152" t="s">
        <v>1582</v>
      </c>
      <c r="C32" s="115" t="s">
        <v>156</v>
      </c>
      <c r="D32" s="147">
        <v>0</v>
      </c>
      <c r="E32" s="147">
        <v>0</v>
      </c>
      <c r="F32" s="147">
        <v>0</v>
      </c>
      <c r="G32" s="147">
        <v>0</v>
      </c>
      <c r="H32" s="315">
        <v>0</v>
      </c>
      <c r="I32" s="572">
        <f t="shared" si="0"/>
        <v>0</v>
      </c>
    </row>
    <row r="33" spans="1:9" s="182" customFormat="1" ht="10.5" customHeight="1" x14ac:dyDescent="0.15">
      <c r="A33" s="148"/>
      <c r="B33" s="152" t="s">
        <v>847</v>
      </c>
      <c r="C33" s="115" t="s">
        <v>157</v>
      </c>
      <c r="D33" s="147">
        <v>0</v>
      </c>
      <c r="E33" s="147">
        <v>0</v>
      </c>
      <c r="F33" s="147">
        <v>0</v>
      </c>
      <c r="G33" s="147">
        <v>0</v>
      </c>
      <c r="H33" s="315">
        <v>0</v>
      </c>
      <c r="I33" s="572">
        <f t="shared" si="0"/>
        <v>0</v>
      </c>
    </row>
    <row r="34" spans="1:9" s="182" customFormat="1" ht="10.5" customHeight="1" x14ac:dyDescent="0.15">
      <c r="A34" s="148"/>
      <c r="B34" s="152" t="s">
        <v>1583</v>
      </c>
      <c r="C34" s="115" t="s">
        <v>160</v>
      </c>
      <c r="D34" s="147">
        <v>0</v>
      </c>
      <c r="E34" s="147">
        <v>0</v>
      </c>
      <c r="F34" s="147">
        <v>0</v>
      </c>
      <c r="G34" s="147">
        <v>0</v>
      </c>
      <c r="H34" s="315">
        <v>0</v>
      </c>
      <c r="I34" s="572">
        <f t="shared" si="0"/>
        <v>0</v>
      </c>
    </row>
    <row r="35" spans="1:9" s="182" customFormat="1" ht="10.5" customHeight="1" x14ac:dyDescent="0.15">
      <c r="A35" s="148"/>
      <c r="B35" s="152" t="s">
        <v>634</v>
      </c>
      <c r="C35" s="115" t="s">
        <v>165</v>
      </c>
      <c r="D35" s="147">
        <v>0</v>
      </c>
      <c r="E35" s="147">
        <v>0</v>
      </c>
      <c r="F35" s="147">
        <v>0</v>
      </c>
      <c r="G35" s="147">
        <v>0</v>
      </c>
      <c r="H35" s="315">
        <v>0</v>
      </c>
      <c r="I35" s="572">
        <f t="shared" si="0"/>
        <v>0</v>
      </c>
    </row>
    <row r="36" spans="1:9" s="182" customFormat="1" ht="10.5" customHeight="1" x14ac:dyDescent="0.15">
      <c r="A36" s="148"/>
      <c r="B36" s="152" t="s">
        <v>630</v>
      </c>
      <c r="C36" s="115" t="s">
        <v>172</v>
      </c>
      <c r="D36" s="147">
        <v>0</v>
      </c>
      <c r="E36" s="147">
        <v>0</v>
      </c>
      <c r="F36" s="147">
        <v>0</v>
      </c>
      <c r="G36" s="147">
        <v>0</v>
      </c>
      <c r="H36" s="315">
        <v>0</v>
      </c>
      <c r="I36" s="572">
        <f t="shared" si="0"/>
        <v>0</v>
      </c>
    </row>
    <row r="37" spans="1:9" s="182" customFormat="1" ht="10.5" customHeight="1" x14ac:dyDescent="0.15">
      <c r="A37" s="148"/>
      <c r="B37" s="652" t="s">
        <v>631</v>
      </c>
      <c r="C37" s="653" t="s">
        <v>173</v>
      </c>
      <c r="D37" s="147">
        <v>0</v>
      </c>
      <c r="E37" s="147">
        <v>0</v>
      </c>
      <c r="F37" s="147">
        <v>0</v>
      </c>
      <c r="G37" s="147">
        <v>0</v>
      </c>
      <c r="H37" s="315">
        <v>0</v>
      </c>
      <c r="I37" s="572">
        <f t="shared" si="0"/>
        <v>0</v>
      </c>
    </row>
    <row r="38" spans="1:9" s="182" customFormat="1" ht="10.5" customHeight="1" x14ac:dyDescent="0.15">
      <c r="A38" s="148"/>
      <c r="B38" s="152" t="s">
        <v>1584</v>
      </c>
      <c r="C38" s="115" t="s">
        <v>178</v>
      </c>
      <c r="D38" s="147">
        <v>0</v>
      </c>
      <c r="E38" s="147">
        <v>0</v>
      </c>
      <c r="F38" s="147">
        <v>0</v>
      </c>
      <c r="G38" s="147">
        <v>0</v>
      </c>
      <c r="H38" s="315">
        <v>0</v>
      </c>
      <c r="I38" s="572">
        <f t="shared" si="0"/>
        <v>0</v>
      </c>
    </row>
    <row r="39" spans="1:9" s="182" customFormat="1" ht="10.5" customHeight="1" x14ac:dyDescent="0.15">
      <c r="A39" s="148"/>
      <c r="B39" s="152" t="s">
        <v>174</v>
      </c>
      <c r="C39" s="115" t="s">
        <v>179</v>
      </c>
      <c r="D39" s="147">
        <v>0</v>
      </c>
      <c r="E39" s="147">
        <v>0</v>
      </c>
      <c r="F39" s="147">
        <v>0</v>
      </c>
      <c r="G39" s="147">
        <v>0</v>
      </c>
      <c r="H39" s="315">
        <v>0</v>
      </c>
      <c r="I39" s="572">
        <f t="shared" si="0"/>
        <v>0</v>
      </c>
    </row>
    <row r="40" spans="1:9" s="182" customFormat="1" ht="10.5" customHeight="1" x14ac:dyDescent="0.15">
      <c r="A40" s="148"/>
      <c r="B40" s="152" t="s">
        <v>175</v>
      </c>
      <c r="C40" s="115" t="s">
        <v>180</v>
      </c>
      <c r="D40" s="147">
        <v>0</v>
      </c>
      <c r="E40" s="147">
        <v>0</v>
      </c>
      <c r="F40" s="147">
        <v>0</v>
      </c>
      <c r="G40" s="147">
        <v>0</v>
      </c>
      <c r="H40" s="315">
        <v>0</v>
      </c>
      <c r="I40" s="572">
        <f t="shared" si="0"/>
        <v>0</v>
      </c>
    </row>
    <row r="41" spans="1:9" s="182" customFormat="1" ht="10.5" customHeight="1" x14ac:dyDescent="0.15">
      <c r="A41" s="148"/>
      <c r="B41" s="152" t="s">
        <v>176</v>
      </c>
      <c r="C41" s="115" t="s">
        <v>181</v>
      </c>
      <c r="D41" s="147">
        <v>0</v>
      </c>
      <c r="E41" s="147">
        <v>0</v>
      </c>
      <c r="F41" s="147">
        <v>0</v>
      </c>
      <c r="G41" s="147">
        <v>0</v>
      </c>
      <c r="H41" s="315">
        <v>0</v>
      </c>
      <c r="I41" s="572">
        <f t="shared" si="0"/>
        <v>0</v>
      </c>
    </row>
    <row r="42" spans="1:9" s="182" customFormat="1" ht="10.5" customHeight="1" x14ac:dyDescent="0.15">
      <c r="A42" s="148"/>
      <c r="B42" s="152" t="s">
        <v>177</v>
      </c>
      <c r="C42" s="115" t="s">
        <v>182</v>
      </c>
      <c r="D42" s="147">
        <v>0</v>
      </c>
      <c r="E42" s="147">
        <v>0</v>
      </c>
      <c r="F42" s="147">
        <v>0</v>
      </c>
      <c r="G42" s="147">
        <v>0</v>
      </c>
      <c r="H42" s="315">
        <v>0</v>
      </c>
      <c r="I42" s="572">
        <f t="shared" si="0"/>
        <v>0</v>
      </c>
    </row>
    <row r="43" spans="1:9" s="182" customFormat="1" ht="10.5" customHeight="1" thickBot="1" x14ac:dyDescent="0.2">
      <c r="A43" s="148"/>
      <c r="B43" s="152" t="s">
        <v>632</v>
      </c>
      <c r="C43" s="115" t="s">
        <v>183</v>
      </c>
      <c r="D43" s="144">
        <v>0</v>
      </c>
      <c r="E43" s="144">
        <v>0</v>
      </c>
      <c r="F43" s="144">
        <v>0</v>
      </c>
      <c r="G43" s="144">
        <v>0</v>
      </c>
      <c r="H43" s="315">
        <v>0</v>
      </c>
      <c r="I43" s="572">
        <f t="shared" si="0"/>
        <v>0</v>
      </c>
    </row>
    <row r="44" spans="1:9" s="182" customFormat="1" ht="10.5" customHeight="1" thickTop="1" thickBot="1" x14ac:dyDescent="0.2">
      <c r="A44" s="148"/>
      <c r="B44" s="152"/>
      <c r="C44" s="115" t="s">
        <v>643</v>
      </c>
      <c r="D44" s="169">
        <f>SUM(D10:D43)</f>
        <v>0</v>
      </c>
      <c r="E44" s="169">
        <f>SUM(E10:E43)</f>
        <v>0</v>
      </c>
      <c r="F44" s="169">
        <f>SUM(F10:F43)</f>
        <v>0</v>
      </c>
      <c r="G44" s="169">
        <f>SUM(G10:G43)</f>
        <v>0</v>
      </c>
      <c r="H44" s="169">
        <f>SUM(H10:H43)</f>
        <v>0</v>
      </c>
      <c r="I44" s="304">
        <f>SUM(G44+H44)</f>
        <v>0</v>
      </c>
    </row>
    <row r="45" spans="1:9" s="182" customFormat="1" ht="10.5" customHeight="1" thickTop="1" x14ac:dyDescent="0.15">
      <c r="A45" s="148"/>
      <c r="B45" s="152"/>
      <c r="C45" s="115"/>
      <c r="D45" s="14"/>
      <c r="E45" s="14"/>
      <c r="F45" s="14"/>
      <c r="G45" s="14"/>
      <c r="H45" s="310"/>
      <c r="I45" s="568"/>
    </row>
    <row r="46" spans="1:9" ht="10.5" customHeight="1" x14ac:dyDescent="0.15">
      <c r="A46" s="35" t="s">
        <v>642</v>
      </c>
      <c r="D46" s="14"/>
      <c r="E46" s="14"/>
      <c r="F46" s="14"/>
      <c r="G46" s="14"/>
      <c r="H46" s="305"/>
      <c r="I46" s="305"/>
    </row>
    <row r="47" spans="1:9" s="309" customFormat="1" x14ac:dyDescent="0.15">
      <c r="B47" s="311" t="s">
        <v>1577</v>
      </c>
      <c r="C47" s="312" t="s">
        <v>228</v>
      </c>
      <c r="D47" s="316">
        <v>0</v>
      </c>
      <c r="E47" s="316">
        <v>0</v>
      </c>
      <c r="F47" s="316">
        <v>0</v>
      </c>
      <c r="G47" s="528">
        <f t="array" ref="G47">SUM(IF(CertFund&amp;CertProg&amp;CertObj=RIGHT(LEFT($A$2,7),2)&amp;LEFT(A46,4)&amp;B47,CertSalary))</f>
        <v>0</v>
      </c>
      <c r="H47" s="527">
        <v>0</v>
      </c>
      <c r="I47" s="566">
        <f>SUM(G47+H47)</f>
        <v>0</v>
      </c>
    </row>
    <row r="48" spans="1:9" s="309" customFormat="1" x14ac:dyDescent="0.15">
      <c r="B48" s="311" t="s">
        <v>1577</v>
      </c>
      <c r="C48" s="312" t="s">
        <v>510</v>
      </c>
      <c r="D48" s="316">
        <v>0</v>
      </c>
      <c r="E48" s="316">
        <v>0</v>
      </c>
      <c r="F48" s="316">
        <v>0</v>
      </c>
      <c r="G48" s="316">
        <v>0</v>
      </c>
      <c r="H48" s="527">
        <v>0</v>
      </c>
      <c r="I48" s="566">
        <f>SUM(G48+H48)</f>
        <v>0</v>
      </c>
    </row>
    <row r="49" spans="1:10" s="309" customFormat="1" x14ac:dyDescent="0.15">
      <c r="A49" s="312"/>
      <c r="B49" s="311" t="s">
        <v>1578</v>
      </c>
      <c r="C49" s="312" t="s">
        <v>936</v>
      </c>
      <c r="D49" s="316">
        <v>0</v>
      </c>
      <c r="E49" s="316">
        <v>0</v>
      </c>
      <c r="F49" s="316">
        <v>0</v>
      </c>
      <c r="G49" s="529">
        <f t="array" ref="G49">SUM(IF(CertFund&amp;CertProg&amp;CertObj=RIGHT(LEFT($A$2,7),2)&amp;LEFT(A46,4)&amp;B47,CertBen))</f>
        <v>0</v>
      </c>
      <c r="H49" s="527">
        <v>0</v>
      </c>
      <c r="I49" s="566">
        <f>SUM(G49+H49)</f>
        <v>0</v>
      </c>
    </row>
    <row r="50" spans="1:10" x14ac:dyDescent="0.15">
      <c r="A50" s="115"/>
      <c r="B50" s="152" t="s">
        <v>1578</v>
      </c>
      <c r="C50" s="115" t="s">
        <v>511</v>
      </c>
      <c r="D50" s="147">
        <v>0</v>
      </c>
      <c r="E50" s="147">
        <v>0</v>
      </c>
      <c r="F50" s="147">
        <v>0</v>
      </c>
      <c r="G50" s="147">
        <v>0</v>
      </c>
      <c r="H50" s="150">
        <v>0</v>
      </c>
      <c r="I50" s="567">
        <f>SUM(G50+H50)</f>
        <v>0</v>
      </c>
      <c r="J50" s="309"/>
    </row>
    <row r="51" spans="1:10" ht="10.5" customHeight="1" x14ac:dyDescent="0.15">
      <c r="A51" s="35"/>
      <c r="B51" s="152" t="s">
        <v>1579</v>
      </c>
      <c r="C51" s="115" t="s">
        <v>118</v>
      </c>
      <c r="D51" s="147">
        <v>0</v>
      </c>
      <c r="E51" s="147">
        <v>0</v>
      </c>
      <c r="F51" s="147">
        <v>0</v>
      </c>
      <c r="G51" s="147">
        <v>0</v>
      </c>
      <c r="H51" s="315">
        <v>0</v>
      </c>
      <c r="I51" s="572">
        <f t="shared" ref="I51:I80" si="1">SUM(G51+H51)</f>
        <v>0</v>
      </c>
    </row>
    <row r="52" spans="1:10" ht="10.5" customHeight="1" x14ac:dyDescent="0.15">
      <c r="A52" s="35"/>
      <c r="B52" s="152" t="s">
        <v>1580</v>
      </c>
      <c r="C52" s="115" t="s">
        <v>119</v>
      </c>
      <c r="D52" s="147">
        <v>0</v>
      </c>
      <c r="E52" s="147">
        <v>0</v>
      </c>
      <c r="F52" s="147">
        <v>0</v>
      </c>
      <c r="G52" s="147">
        <v>0</v>
      </c>
      <c r="H52" s="315">
        <v>0</v>
      </c>
      <c r="I52" s="572">
        <f t="shared" si="1"/>
        <v>0</v>
      </c>
    </row>
    <row r="53" spans="1:10" ht="10.5" customHeight="1" x14ac:dyDescent="0.15">
      <c r="A53" s="35"/>
      <c r="B53" s="152" t="s">
        <v>120</v>
      </c>
      <c r="C53" s="115" t="s">
        <v>121</v>
      </c>
      <c r="D53" s="147">
        <v>0</v>
      </c>
      <c r="E53" s="147">
        <v>0</v>
      </c>
      <c r="F53" s="147">
        <v>0</v>
      </c>
      <c r="G53" s="147">
        <v>0</v>
      </c>
      <c r="H53" s="315">
        <v>0</v>
      </c>
      <c r="I53" s="572">
        <f t="shared" si="1"/>
        <v>0</v>
      </c>
    </row>
    <row r="54" spans="1:10" ht="10.5" customHeight="1" x14ac:dyDescent="0.15">
      <c r="A54" s="35"/>
      <c r="B54" s="152" t="s">
        <v>122</v>
      </c>
      <c r="C54" s="115" t="s">
        <v>123</v>
      </c>
      <c r="D54" s="147">
        <v>0</v>
      </c>
      <c r="E54" s="147">
        <v>0</v>
      </c>
      <c r="F54" s="147">
        <v>0</v>
      </c>
      <c r="G54" s="147">
        <v>0</v>
      </c>
      <c r="H54" s="315">
        <v>0</v>
      </c>
      <c r="I54" s="572">
        <f t="shared" si="1"/>
        <v>0</v>
      </c>
    </row>
    <row r="55" spans="1:10" ht="10.5" customHeight="1" x14ac:dyDescent="0.15">
      <c r="A55" s="35"/>
      <c r="B55" s="152" t="s">
        <v>1581</v>
      </c>
      <c r="C55" s="115" t="s">
        <v>124</v>
      </c>
      <c r="D55" s="147">
        <v>0</v>
      </c>
      <c r="E55" s="147">
        <v>0</v>
      </c>
      <c r="F55" s="147">
        <v>0</v>
      </c>
      <c r="G55" s="147">
        <v>0</v>
      </c>
      <c r="H55" s="315">
        <v>0</v>
      </c>
      <c r="I55" s="572">
        <f t="shared" si="1"/>
        <v>0</v>
      </c>
    </row>
    <row r="56" spans="1:10" ht="10.5" customHeight="1" x14ac:dyDescent="0.15">
      <c r="A56" s="35"/>
      <c r="B56" s="152" t="s">
        <v>125</v>
      </c>
      <c r="C56" s="115" t="s">
        <v>133</v>
      </c>
      <c r="D56" s="147">
        <v>0</v>
      </c>
      <c r="E56" s="147">
        <v>0</v>
      </c>
      <c r="F56" s="147">
        <v>0</v>
      </c>
      <c r="G56" s="147">
        <v>0</v>
      </c>
      <c r="H56" s="315">
        <v>0</v>
      </c>
      <c r="I56" s="572">
        <f t="shared" si="1"/>
        <v>0</v>
      </c>
    </row>
    <row r="57" spans="1:10" ht="10.5" customHeight="1" x14ac:dyDescent="0.15">
      <c r="A57" s="35"/>
      <c r="B57" s="152" t="s">
        <v>126</v>
      </c>
      <c r="C57" s="115" t="s">
        <v>187</v>
      </c>
      <c r="D57" s="147">
        <v>0</v>
      </c>
      <c r="E57" s="147">
        <v>0</v>
      </c>
      <c r="F57" s="147">
        <v>0</v>
      </c>
      <c r="G57" s="147">
        <v>0</v>
      </c>
      <c r="H57" s="315">
        <v>0</v>
      </c>
      <c r="I57" s="572">
        <f t="shared" si="1"/>
        <v>0</v>
      </c>
    </row>
    <row r="58" spans="1:10" ht="10.5" customHeight="1" x14ac:dyDescent="0.15">
      <c r="A58" s="35"/>
      <c r="B58" s="152" t="s">
        <v>127</v>
      </c>
      <c r="C58" s="115" t="s">
        <v>134</v>
      </c>
      <c r="D58" s="147">
        <v>0</v>
      </c>
      <c r="E58" s="147">
        <v>0</v>
      </c>
      <c r="F58" s="147">
        <v>0</v>
      </c>
      <c r="G58" s="147">
        <v>0</v>
      </c>
      <c r="H58" s="315">
        <v>0</v>
      </c>
      <c r="I58" s="572">
        <f t="shared" si="1"/>
        <v>0</v>
      </c>
    </row>
    <row r="59" spans="1:10" ht="10.5" customHeight="1" x14ac:dyDescent="0.15">
      <c r="A59" s="35"/>
      <c r="B59" s="152" t="s">
        <v>128</v>
      </c>
      <c r="C59" s="115" t="s">
        <v>135</v>
      </c>
      <c r="D59" s="147">
        <v>0</v>
      </c>
      <c r="E59" s="147">
        <v>0</v>
      </c>
      <c r="F59" s="147">
        <v>0</v>
      </c>
      <c r="G59" s="147">
        <v>0</v>
      </c>
      <c r="H59" s="315">
        <v>0</v>
      </c>
      <c r="I59" s="572">
        <f t="shared" si="1"/>
        <v>0</v>
      </c>
    </row>
    <row r="60" spans="1:10" ht="10.5" customHeight="1" x14ac:dyDescent="0.15">
      <c r="A60" s="35"/>
      <c r="B60" s="152" t="s">
        <v>129</v>
      </c>
      <c r="C60" s="115" t="s">
        <v>136</v>
      </c>
      <c r="D60" s="147">
        <v>0</v>
      </c>
      <c r="E60" s="147">
        <v>0</v>
      </c>
      <c r="F60" s="147">
        <v>0</v>
      </c>
      <c r="G60" s="147">
        <v>0</v>
      </c>
      <c r="H60" s="315">
        <v>0</v>
      </c>
      <c r="I60" s="572">
        <f t="shared" si="1"/>
        <v>0</v>
      </c>
    </row>
    <row r="61" spans="1:10" ht="10.5" customHeight="1" x14ac:dyDescent="0.15">
      <c r="A61" s="35"/>
      <c r="B61" s="152" t="s">
        <v>131</v>
      </c>
      <c r="C61" s="115" t="s">
        <v>137</v>
      </c>
      <c r="D61" s="147">
        <v>0</v>
      </c>
      <c r="E61" s="147">
        <v>0</v>
      </c>
      <c r="F61" s="147">
        <v>0</v>
      </c>
      <c r="G61" s="147">
        <v>0</v>
      </c>
      <c r="H61" s="315">
        <v>0</v>
      </c>
      <c r="I61" s="572">
        <f t="shared" si="1"/>
        <v>0</v>
      </c>
    </row>
    <row r="62" spans="1:10" ht="10.5" customHeight="1" x14ac:dyDescent="0.15">
      <c r="A62" s="35"/>
      <c r="B62" s="152" t="s">
        <v>132</v>
      </c>
      <c r="C62" s="115" t="s">
        <v>1617</v>
      </c>
      <c r="D62" s="147">
        <v>0</v>
      </c>
      <c r="E62" s="147">
        <v>0</v>
      </c>
      <c r="F62" s="147">
        <v>0</v>
      </c>
      <c r="G62" s="147">
        <v>0</v>
      </c>
      <c r="H62" s="315">
        <v>0</v>
      </c>
      <c r="I62" s="572">
        <f t="shared" si="1"/>
        <v>0</v>
      </c>
    </row>
    <row r="63" spans="1:10" ht="10.5" customHeight="1" x14ac:dyDescent="0.15">
      <c r="A63" s="35"/>
      <c r="B63" s="152" t="s">
        <v>1624</v>
      </c>
      <c r="C63" s="115" t="s">
        <v>840</v>
      </c>
      <c r="D63" s="147">
        <v>0</v>
      </c>
      <c r="E63" s="147">
        <v>0</v>
      </c>
      <c r="F63" s="147">
        <v>0</v>
      </c>
      <c r="G63" s="147">
        <v>0</v>
      </c>
      <c r="H63" s="315">
        <v>0</v>
      </c>
      <c r="I63" s="572">
        <f t="shared" si="1"/>
        <v>0</v>
      </c>
    </row>
    <row r="64" spans="1:10" ht="10.5" customHeight="1" x14ac:dyDescent="0.15">
      <c r="A64" s="35"/>
      <c r="B64" s="152" t="s">
        <v>1625</v>
      </c>
      <c r="C64" s="115" t="s">
        <v>842</v>
      </c>
      <c r="D64" s="147">
        <v>0</v>
      </c>
      <c r="E64" s="147">
        <v>0</v>
      </c>
      <c r="F64" s="147">
        <v>0</v>
      </c>
      <c r="G64" s="147">
        <v>0</v>
      </c>
      <c r="H64" s="315">
        <v>0</v>
      </c>
      <c r="I64" s="572">
        <f t="shared" si="1"/>
        <v>0</v>
      </c>
    </row>
    <row r="65" spans="1:9" ht="10.5" customHeight="1" x14ac:dyDescent="0.15">
      <c r="A65" s="35"/>
      <c r="B65" s="152" t="s">
        <v>843</v>
      </c>
      <c r="C65" s="115" t="s">
        <v>848</v>
      </c>
      <c r="D65" s="147">
        <v>0</v>
      </c>
      <c r="E65" s="147">
        <v>0</v>
      </c>
      <c r="F65" s="147">
        <v>0</v>
      </c>
      <c r="G65" s="147">
        <v>0</v>
      </c>
      <c r="H65" s="315">
        <v>0</v>
      </c>
      <c r="I65" s="572">
        <f t="shared" si="1"/>
        <v>0</v>
      </c>
    </row>
    <row r="66" spans="1:9" ht="10.5" customHeight="1" x14ac:dyDescent="0.15">
      <c r="A66" s="35"/>
      <c r="B66" s="152" t="s">
        <v>844</v>
      </c>
      <c r="C66" s="115" t="s">
        <v>186</v>
      </c>
      <c r="D66" s="147">
        <v>0</v>
      </c>
      <c r="E66" s="147">
        <v>0</v>
      </c>
      <c r="F66" s="147">
        <v>0</v>
      </c>
      <c r="G66" s="147">
        <v>0</v>
      </c>
      <c r="H66" s="315">
        <v>0</v>
      </c>
      <c r="I66" s="572">
        <f t="shared" si="1"/>
        <v>0</v>
      </c>
    </row>
    <row r="67" spans="1:9" ht="10.5" customHeight="1" x14ac:dyDescent="0.15">
      <c r="A67" s="35"/>
      <c r="B67" s="152" t="s">
        <v>845</v>
      </c>
      <c r="C67" s="115" t="s">
        <v>154</v>
      </c>
      <c r="D67" s="147">
        <v>0</v>
      </c>
      <c r="E67" s="147">
        <v>0</v>
      </c>
      <c r="F67" s="147">
        <v>0</v>
      </c>
      <c r="G67" s="147">
        <v>0</v>
      </c>
      <c r="H67" s="315">
        <v>0</v>
      </c>
      <c r="I67" s="572">
        <f t="shared" si="1"/>
        <v>0</v>
      </c>
    </row>
    <row r="68" spans="1:9" ht="10.5" customHeight="1" x14ac:dyDescent="0.15">
      <c r="A68" s="35"/>
      <c r="B68" s="152" t="s">
        <v>846</v>
      </c>
      <c r="C68" s="115" t="s">
        <v>155</v>
      </c>
      <c r="D68" s="147">
        <v>0</v>
      </c>
      <c r="E68" s="147">
        <v>0</v>
      </c>
      <c r="F68" s="147">
        <v>0</v>
      </c>
      <c r="G68" s="147">
        <v>0</v>
      </c>
      <c r="H68" s="315">
        <v>0</v>
      </c>
      <c r="I68" s="572">
        <f t="shared" si="1"/>
        <v>0</v>
      </c>
    </row>
    <row r="69" spans="1:9" ht="10.5" customHeight="1" x14ac:dyDescent="0.15">
      <c r="A69" s="35"/>
      <c r="B69" s="152" t="s">
        <v>1582</v>
      </c>
      <c r="C69" s="115" t="s">
        <v>156</v>
      </c>
      <c r="D69" s="147">
        <v>0</v>
      </c>
      <c r="E69" s="147">
        <v>0</v>
      </c>
      <c r="F69" s="147">
        <v>0</v>
      </c>
      <c r="G69" s="147">
        <v>0</v>
      </c>
      <c r="H69" s="315">
        <v>0</v>
      </c>
      <c r="I69" s="572">
        <f t="shared" si="1"/>
        <v>0</v>
      </c>
    </row>
    <row r="70" spans="1:9" ht="10.5" customHeight="1" x14ac:dyDescent="0.15">
      <c r="A70" s="35"/>
      <c r="B70" s="152" t="s">
        <v>847</v>
      </c>
      <c r="C70" s="115" t="s">
        <v>157</v>
      </c>
      <c r="D70" s="147">
        <v>0</v>
      </c>
      <c r="E70" s="147">
        <v>0</v>
      </c>
      <c r="F70" s="147">
        <v>0</v>
      </c>
      <c r="G70" s="147">
        <v>0</v>
      </c>
      <c r="H70" s="315">
        <v>0</v>
      </c>
      <c r="I70" s="572">
        <f t="shared" si="1"/>
        <v>0</v>
      </c>
    </row>
    <row r="71" spans="1:9" ht="10.5" customHeight="1" x14ac:dyDescent="0.15">
      <c r="A71" s="35"/>
      <c r="B71" s="152" t="s">
        <v>1583</v>
      </c>
      <c r="C71" s="115" t="s">
        <v>160</v>
      </c>
      <c r="D71" s="147">
        <v>0</v>
      </c>
      <c r="E71" s="147">
        <v>0</v>
      </c>
      <c r="F71" s="147">
        <v>0</v>
      </c>
      <c r="G71" s="147">
        <v>0</v>
      </c>
      <c r="H71" s="315">
        <v>0</v>
      </c>
      <c r="I71" s="572">
        <f t="shared" si="1"/>
        <v>0</v>
      </c>
    </row>
    <row r="72" spans="1:9" ht="10.5" customHeight="1" x14ac:dyDescent="0.15">
      <c r="A72" s="35"/>
      <c r="B72" s="152" t="s">
        <v>634</v>
      </c>
      <c r="C72" s="115" t="s">
        <v>165</v>
      </c>
      <c r="D72" s="147">
        <v>0</v>
      </c>
      <c r="E72" s="147">
        <v>0</v>
      </c>
      <c r="F72" s="147">
        <v>0</v>
      </c>
      <c r="G72" s="147">
        <v>0</v>
      </c>
      <c r="H72" s="315">
        <v>0</v>
      </c>
      <c r="I72" s="572">
        <f t="shared" si="1"/>
        <v>0</v>
      </c>
    </row>
    <row r="73" spans="1:9" ht="10.5" customHeight="1" x14ac:dyDescent="0.15">
      <c r="A73" s="35"/>
      <c r="B73" s="152" t="s">
        <v>630</v>
      </c>
      <c r="C73" s="115" t="s">
        <v>172</v>
      </c>
      <c r="D73" s="147">
        <v>0</v>
      </c>
      <c r="E73" s="147">
        <v>0</v>
      </c>
      <c r="F73" s="147">
        <v>0</v>
      </c>
      <c r="G73" s="147">
        <v>0</v>
      </c>
      <c r="H73" s="315">
        <v>0</v>
      </c>
      <c r="I73" s="572">
        <f t="shared" si="1"/>
        <v>0</v>
      </c>
    </row>
    <row r="74" spans="1:9" ht="10.5" customHeight="1" x14ac:dyDescent="0.15">
      <c r="A74" s="35"/>
      <c r="B74" s="652" t="s">
        <v>631</v>
      </c>
      <c r="C74" s="653" t="s">
        <v>173</v>
      </c>
      <c r="D74" s="147">
        <v>0</v>
      </c>
      <c r="E74" s="147">
        <v>0</v>
      </c>
      <c r="F74" s="147">
        <v>0</v>
      </c>
      <c r="G74" s="147">
        <v>0</v>
      </c>
      <c r="H74" s="315">
        <v>0</v>
      </c>
      <c r="I74" s="572">
        <f t="shared" si="1"/>
        <v>0</v>
      </c>
    </row>
    <row r="75" spans="1:9" ht="10.5" customHeight="1" x14ac:dyDescent="0.15">
      <c r="A75" s="35"/>
      <c r="B75" s="152" t="s">
        <v>1584</v>
      </c>
      <c r="C75" s="115" t="s">
        <v>178</v>
      </c>
      <c r="D75" s="147">
        <v>0</v>
      </c>
      <c r="E75" s="147">
        <v>0</v>
      </c>
      <c r="F75" s="147">
        <v>0</v>
      </c>
      <c r="G75" s="147">
        <v>0</v>
      </c>
      <c r="H75" s="315">
        <v>0</v>
      </c>
      <c r="I75" s="572">
        <f t="shared" si="1"/>
        <v>0</v>
      </c>
    </row>
    <row r="76" spans="1:9" ht="10.5" customHeight="1" x14ac:dyDescent="0.15">
      <c r="A76" s="35"/>
      <c r="B76" s="152" t="s">
        <v>174</v>
      </c>
      <c r="C76" s="115" t="s">
        <v>179</v>
      </c>
      <c r="D76" s="147">
        <v>0</v>
      </c>
      <c r="E76" s="147">
        <v>0</v>
      </c>
      <c r="F76" s="147">
        <v>0</v>
      </c>
      <c r="G76" s="147">
        <v>0</v>
      </c>
      <c r="H76" s="315">
        <v>0</v>
      </c>
      <c r="I76" s="572">
        <f t="shared" si="1"/>
        <v>0</v>
      </c>
    </row>
    <row r="77" spans="1:9" ht="10.5" customHeight="1" x14ac:dyDescent="0.15">
      <c r="A77" s="35"/>
      <c r="B77" s="152" t="s">
        <v>175</v>
      </c>
      <c r="C77" s="115" t="s">
        <v>180</v>
      </c>
      <c r="D77" s="147">
        <v>0</v>
      </c>
      <c r="E77" s="147">
        <v>0</v>
      </c>
      <c r="F77" s="147">
        <v>0</v>
      </c>
      <c r="G77" s="147">
        <v>0</v>
      </c>
      <c r="H77" s="315">
        <v>0</v>
      </c>
      <c r="I77" s="572">
        <f t="shared" si="1"/>
        <v>0</v>
      </c>
    </row>
    <row r="78" spans="1:9" ht="10.5" customHeight="1" x14ac:dyDescent="0.15">
      <c r="A78" s="35"/>
      <c r="B78" s="152" t="s">
        <v>176</v>
      </c>
      <c r="C78" s="115" t="s">
        <v>181</v>
      </c>
      <c r="D78" s="147">
        <v>0</v>
      </c>
      <c r="E78" s="147">
        <v>0</v>
      </c>
      <c r="F78" s="147">
        <v>0</v>
      </c>
      <c r="G78" s="147">
        <v>0</v>
      </c>
      <c r="H78" s="315">
        <v>0</v>
      </c>
      <c r="I78" s="572">
        <f t="shared" si="1"/>
        <v>0</v>
      </c>
    </row>
    <row r="79" spans="1:9" ht="10.5" customHeight="1" x14ac:dyDescent="0.15">
      <c r="A79" s="35"/>
      <c r="B79" s="152" t="s">
        <v>177</v>
      </c>
      <c r="C79" s="115" t="s">
        <v>182</v>
      </c>
      <c r="D79" s="147">
        <v>0</v>
      </c>
      <c r="E79" s="147">
        <v>0</v>
      </c>
      <c r="F79" s="147">
        <v>0</v>
      </c>
      <c r="G79" s="147">
        <v>0</v>
      </c>
      <c r="H79" s="315">
        <v>0</v>
      </c>
      <c r="I79" s="572">
        <f t="shared" si="1"/>
        <v>0</v>
      </c>
    </row>
    <row r="80" spans="1:9" ht="10.5" customHeight="1" thickBot="1" x14ac:dyDescent="0.2">
      <c r="A80" s="35"/>
      <c r="B80" s="152" t="s">
        <v>632</v>
      </c>
      <c r="C80" s="115" t="s">
        <v>183</v>
      </c>
      <c r="D80" s="144">
        <v>0</v>
      </c>
      <c r="E80" s="144">
        <v>0</v>
      </c>
      <c r="F80" s="144">
        <v>0</v>
      </c>
      <c r="G80" s="144">
        <v>0</v>
      </c>
      <c r="H80" s="315">
        <v>0</v>
      </c>
      <c r="I80" s="572">
        <f t="shared" si="1"/>
        <v>0</v>
      </c>
    </row>
    <row r="81" spans="1:10" ht="10.5" customHeight="1" thickTop="1" thickBot="1" x14ac:dyDescent="0.2">
      <c r="A81" s="35"/>
      <c r="B81" s="152"/>
      <c r="C81" s="115" t="s">
        <v>644</v>
      </c>
      <c r="D81" s="169">
        <f>SUM(D47:D80)</f>
        <v>0</v>
      </c>
      <c r="E81" s="169">
        <f>SUM(E47:E80)</f>
        <v>0</v>
      </c>
      <c r="F81" s="169">
        <f>SUM(F47:F80)</f>
        <v>0</v>
      </c>
      <c r="G81" s="169">
        <f>SUM(G47:G80)</f>
        <v>0</v>
      </c>
      <c r="H81" s="169">
        <f>SUM(H47:H80)</f>
        <v>0</v>
      </c>
      <c r="I81" s="304">
        <f>SUM(G81+H81)</f>
        <v>0</v>
      </c>
    </row>
    <row r="82" spans="1:10" ht="10.5" customHeight="1" thickTop="1" x14ac:dyDescent="0.15">
      <c r="A82" s="35"/>
      <c r="B82" s="152"/>
      <c r="C82" s="115"/>
      <c r="D82" s="14"/>
      <c r="E82" s="14"/>
      <c r="F82" s="14"/>
      <c r="G82" s="14"/>
      <c r="H82" s="305"/>
      <c r="I82" s="305"/>
    </row>
    <row r="83" spans="1:10" ht="10.5" customHeight="1" x14ac:dyDescent="0.15">
      <c r="A83" s="35" t="s">
        <v>262</v>
      </c>
      <c r="D83" s="14"/>
      <c r="E83" s="14"/>
      <c r="F83" s="14"/>
      <c r="G83" s="14"/>
      <c r="H83" s="305"/>
      <c r="I83" s="305"/>
    </row>
    <row r="84" spans="1:10" s="309" customFormat="1" x14ac:dyDescent="0.15">
      <c r="B84" s="311" t="s">
        <v>1577</v>
      </c>
      <c r="C84" s="312" t="s">
        <v>228</v>
      </c>
      <c r="D84" s="316">
        <v>0</v>
      </c>
      <c r="E84" s="316">
        <v>0</v>
      </c>
      <c r="F84" s="316">
        <v>0</v>
      </c>
      <c r="G84" s="528">
        <f t="array" ref="G84">SUM(IF(CertFund&amp;CertProg&amp;CertObj=RIGHT(LEFT($A$2,7),2)&amp;LEFT(A83,4)&amp;B84,CertSalary))</f>
        <v>0</v>
      </c>
      <c r="H84" s="527">
        <v>0</v>
      </c>
      <c r="I84" s="566">
        <f>SUM(G84+H84)</f>
        <v>0</v>
      </c>
    </row>
    <row r="85" spans="1:10" s="309" customFormat="1" x14ac:dyDescent="0.15">
      <c r="B85" s="311" t="s">
        <v>1577</v>
      </c>
      <c r="C85" s="312" t="s">
        <v>510</v>
      </c>
      <c r="D85" s="316">
        <v>0</v>
      </c>
      <c r="E85" s="316">
        <v>0</v>
      </c>
      <c r="F85" s="316">
        <v>0</v>
      </c>
      <c r="G85" s="316">
        <v>0</v>
      </c>
      <c r="H85" s="527">
        <v>0</v>
      </c>
      <c r="I85" s="566">
        <f>SUM(G85+H85)</f>
        <v>0</v>
      </c>
    </row>
    <row r="86" spans="1:10" s="309" customFormat="1" x14ac:dyDescent="0.15">
      <c r="A86" s="312"/>
      <c r="B86" s="311" t="s">
        <v>1578</v>
      </c>
      <c r="C86" s="312" t="s">
        <v>936</v>
      </c>
      <c r="D86" s="316">
        <v>0</v>
      </c>
      <c r="E86" s="316">
        <v>0</v>
      </c>
      <c r="F86" s="316">
        <v>0</v>
      </c>
      <c r="G86" s="529">
        <f t="array" ref="G86">SUM(IF(CertFund&amp;CertProg&amp;CertObj=RIGHT(LEFT($A$2,7),2)&amp;LEFT(A83,4)&amp;B84,CertBen))</f>
        <v>0</v>
      </c>
      <c r="H86" s="527">
        <v>0</v>
      </c>
      <c r="I86" s="566">
        <f>SUM(G86+H86)</f>
        <v>0</v>
      </c>
    </row>
    <row r="87" spans="1:10" x14ac:dyDescent="0.15">
      <c r="A87" s="115"/>
      <c r="B87" s="152" t="s">
        <v>1578</v>
      </c>
      <c r="C87" s="115" t="s">
        <v>511</v>
      </c>
      <c r="D87" s="147">
        <v>0</v>
      </c>
      <c r="E87" s="147">
        <v>0</v>
      </c>
      <c r="F87" s="147">
        <v>0</v>
      </c>
      <c r="G87" s="147">
        <v>0</v>
      </c>
      <c r="H87" s="150">
        <v>0</v>
      </c>
      <c r="I87" s="567">
        <f>SUM(G87+H87)</f>
        <v>0</v>
      </c>
      <c r="J87" s="309"/>
    </row>
    <row r="88" spans="1:10" ht="10.5" customHeight="1" x14ac:dyDescent="0.15">
      <c r="A88" s="35"/>
      <c r="B88" s="152" t="s">
        <v>1579</v>
      </c>
      <c r="C88" s="115" t="s">
        <v>118</v>
      </c>
      <c r="D88" s="147">
        <v>0</v>
      </c>
      <c r="E88" s="147">
        <v>0</v>
      </c>
      <c r="F88" s="147">
        <v>0</v>
      </c>
      <c r="G88" s="147">
        <v>0</v>
      </c>
      <c r="H88" s="315">
        <v>0</v>
      </c>
      <c r="I88" s="572">
        <f t="shared" ref="I88:I117" si="2">SUM(G88+H88)</f>
        <v>0</v>
      </c>
    </row>
    <row r="89" spans="1:10" ht="10.5" customHeight="1" x14ac:dyDescent="0.15">
      <c r="A89" s="35"/>
      <c r="B89" s="152" t="s">
        <v>1580</v>
      </c>
      <c r="C89" s="115" t="s">
        <v>119</v>
      </c>
      <c r="D89" s="147">
        <v>0</v>
      </c>
      <c r="E89" s="147">
        <v>0</v>
      </c>
      <c r="F89" s="147">
        <v>0</v>
      </c>
      <c r="G89" s="147">
        <v>0</v>
      </c>
      <c r="H89" s="315">
        <v>0</v>
      </c>
      <c r="I89" s="572">
        <f t="shared" si="2"/>
        <v>0</v>
      </c>
    </row>
    <row r="90" spans="1:10" ht="10.5" customHeight="1" x14ac:dyDescent="0.15">
      <c r="A90" s="35"/>
      <c r="B90" s="152" t="s">
        <v>120</v>
      </c>
      <c r="C90" s="115" t="s">
        <v>121</v>
      </c>
      <c r="D90" s="147">
        <v>0</v>
      </c>
      <c r="E90" s="147">
        <v>0</v>
      </c>
      <c r="F90" s="147">
        <v>0</v>
      </c>
      <c r="G90" s="147">
        <v>0</v>
      </c>
      <c r="H90" s="315">
        <v>0</v>
      </c>
      <c r="I90" s="572">
        <f t="shared" si="2"/>
        <v>0</v>
      </c>
    </row>
    <row r="91" spans="1:10" ht="10.5" customHeight="1" x14ac:dyDescent="0.15">
      <c r="A91" s="35"/>
      <c r="B91" s="152" t="s">
        <v>122</v>
      </c>
      <c r="C91" s="115" t="s">
        <v>123</v>
      </c>
      <c r="D91" s="147">
        <v>0</v>
      </c>
      <c r="E91" s="147">
        <v>0</v>
      </c>
      <c r="F91" s="147">
        <v>0</v>
      </c>
      <c r="G91" s="147">
        <v>0</v>
      </c>
      <c r="H91" s="315">
        <v>0</v>
      </c>
      <c r="I91" s="572">
        <f t="shared" si="2"/>
        <v>0</v>
      </c>
    </row>
    <row r="92" spans="1:10" ht="10.5" customHeight="1" x14ac:dyDescent="0.15">
      <c r="A92" s="35"/>
      <c r="B92" s="152" t="s">
        <v>1581</v>
      </c>
      <c r="C92" s="115" t="s">
        <v>124</v>
      </c>
      <c r="D92" s="147">
        <v>0</v>
      </c>
      <c r="E92" s="147">
        <v>0</v>
      </c>
      <c r="F92" s="147">
        <v>0</v>
      </c>
      <c r="G92" s="147">
        <v>0</v>
      </c>
      <c r="H92" s="315">
        <v>0</v>
      </c>
      <c r="I92" s="572">
        <f t="shared" si="2"/>
        <v>0</v>
      </c>
    </row>
    <row r="93" spans="1:10" ht="10.5" customHeight="1" x14ac:dyDescent="0.15">
      <c r="A93" s="35"/>
      <c r="B93" s="152" t="s">
        <v>125</v>
      </c>
      <c r="C93" s="115" t="s">
        <v>133</v>
      </c>
      <c r="D93" s="147">
        <v>0</v>
      </c>
      <c r="E93" s="147">
        <v>0</v>
      </c>
      <c r="F93" s="147">
        <v>0</v>
      </c>
      <c r="G93" s="147">
        <v>0</v>
      </c>
      <c r="H93" s="315">
        <v>0</v>
      </c>
      <c r="I93" s="572">
        <f t="shared" si="2"/>
        <v>0</v>
      </c>
    </row>
    <row r="94" spans="1:10" ht="10.5" customHeight="1" x14ac:dyDescent="0.15">
      <c r="A94" s="35"/>
      <c r="B94" s="152" t="s">
        <v>126</v>
      </c>
      <c r="C94" s="115" t="s">
        <v>187</v>
      </c>
      <c r="D94" s="147">
        <v>0</v>
      </c>
      <c r="E94" s="147">
        <v>0</v>
      </c>
      <c r="F94" s="147">
        <v>0</v>
      </c>
      <c r="G94" s="147">
        <v>0</v>
      </c>
      <c r="H94" s="315">
        <v>0</v>
      </c>
      <c r="I94" s="572">
        <f t="shared" si="2"/>
        <v>0</v>
      </c>
    </row>
    <row r="95" spans="1:10" ht="10.5" customHeight="1" x14ac:dyDescent="0.15">
      <c r="A95" s="35"/>
      <c r="B95" s="152" t="s">
        <v>127</v>
      </c>
      <c r="C95" s="115" t="s">
        <v>134</v>
      </c>
      <c r="D95" s="147">
        <v>0</v>
      </c>
      <c r="E95" s="147">
        <v>0</v>
      </c>
      <c r="F95" s="147">
        <v>0</v>
      </c>
      <c r="G95" s="147">
        <v>0</v>
      </c>
      <c r="H95" s="315">
        <v>0</v>
      </c>
      <c r="I95" s="572">
        <f t="shared" si="2"/>
        <v>0</v>
      </c>
    </row>
    <row r="96" spans="1:10" ht="10.5" customHeight="1" x14ac:dyDescent="0.15">
      <c r="A96" s="35"/>
      <c r="B96" s="152" t="s">
        <v>128</v>
      </c>
      <c r="C96" s="115" t="s">
        <v>135</v>
      </c>
      <c r="D96" s="147">
        <v>0</v>
      </c>
      <c r="E96" s="147">
        <v>0</v>
      </c>
      <c r="F96" s="147">
        <v>0</v>
      </c>
      <c r="G96" s="147">
        <v>0</v>
      </c>
      <c r="H96" s="315">
        <v>0</v>
      </c>
      <c r="I96" s="572">
        <f t="shared" si="2"/>
        <v>0</v>
      </c>
    </row>
    <row r="97" spans="1:9" ht="10.5" customHeight="1" x14ac:dyDescent="0.15">
      <c r="A97" s="35"/>
      <c r="B97" s="152" t="s">
        <v>129</v>
      </c>
      <c r="C97" s="115" t="s">
        <v>136</v>
      </c>
      <c r="D97" s="147">
        <v>0</v>
      </c>
      <c r="E97" s="147">
        <v>0</v>
      </c>
      <c r="F97" s="147">
        <v>0</v>
      </c>
      <c r="G97" s="147">
        <v>0</v>
      </c>
      <c r="H97" s="315">
        <v>0</v>
      </c>
      <c r="I97" s="572">
        <f t="shared" si="2"/>
        <v>0</v>
      </c>
    </row>
    <row r="98" spans="1:9" ht="10.5" customHeight="1" x14ac:dyDescent="0.15">
      <c r="A98" s="35"/>
      <c r="B98" s="152" t="s">
        <v>131</v>
      </c>
      <c r="C98" s="115" t="s">
        <v>137</v>
      </c>
      <c r="D98" s="147">
        <v>0</v>
      </c>
      <c r="E98" s="147">
        <v>0</v>
      </c>
      <c r="F98" s="147">
        <v>0</v>
      </c>
      <c r="G98" s="147">
        <v>0</v>
      </c>
      <c r="H98" s="315">
        <v>0</v>
      </c>
      <c r="I98" s="572">
        <f t="shared" si="2"/>
        <v>0</v>
      </c>
    </row>
    <row r="99" spans="1:9" ht="10.5" customHeight="1" x14ac:dyDescent="0.15">
      <c r="A99" s="35"/>
      <c r="B99" s="152" t="s">
        <v>132</v>
      </c>
      <c r="C99" s="115" t="s">
        <v>1617</v>
      </c>
      <c r="D99" s="147">
        <v>0</v>
      </c>
      <c r="E99" s="147">
        <v>0</v>
      </c>
      <c r="F99" s="147">
        <v>0</v>
      </c>
      <c r="G99" s="147">
        <v>0</v>
      </c>
      <c r="H99" s="315">
        <v>0</v>
      </c>
      <c r="I99" s="572">
        <f t="shared" si="2"/>
        <v>0</v>
      </c>
    </row>
    <row r="100" spans="1:9" ht="10.5" customHeight="1" x14ac:dyDescent="0.15">
      <c r="A100" s="35"/>
      <c r="B100" s="152" t="s">
        <v>1624</v>
      </c>
      <c r="C100" s="115" t="s">
        <v>840</v>
      </c>
      <c r="D100" s="147">
        <v>0</v>
      </c>
      <c r="E100" s="147">
        <v>0</v>
      </c>
      <c r="F100" s="147">
        <v>0</v>
      </c>
      <c r="G100" s="147">
        <v>0</v>
      </c>
      <c r="H100" s="315">
        <v>0</v>
      </c>
      <c r="I100" s="572">
        <f t="shared" si="2"/>
        <v>0</v>
      </c>
    </row>
    <row r="101" spans="1:9" ht="10.5" customHeight="1" x14ac:dyDescent="0.15">
      <c r="A101" s="35"/>
      <c r="B101" s="152" t="s">
        <v>1625</v>
      </c>
      <c r="C101" s="115" t="s">
        <v>842</v>
      </c>
      <c r="D101" s="147">
        <v>0</v>
      </c>
      <c r="E101" s="147">
        <v>0</v>
      </c>
      <c r="F101" s="147">
        <v>0</v>
      </c>
      <c r="G101" s="147">
        <v>0</v>
      </c>
      <c r="H101" s="315">
        <v>0</v>
      </c>
      <c r="I101" s="572">
        <f t="shared" si="2"/>
        <v>0</v>
      </c>
    </row>
    <row r="102" spans="1:9" ht="10.5" customHeight="1" x14ac:dyDescent="0.15">
      <c r="A102" s="35"/>
      <c r="B102" s="152" t="s">
        <v>843</v>
      </c>
      <c r="C102" s="115" t="s">
        <v>848</v>
      </c>
      <c r="D102" s="147">
        <v>0</v>
      </c>
      <c r="E102" s="147">
        <v>0</v>
      </c>
      <c r="F102" s="147">
        <v>0</v>
      </c>
      <c r="G102" s="147">
        <v>0</v>
      </c>
      <c r="H102" s="315">
        <v>0</v>
      </c>
      <c r="I102" s="572">
        <f t="shared" si="2"/>
        <v>0</v>
      </c>
    </row>
    <row r="103" spans="1:9" ht="10.5" customHeight="1" x14ac:dyDescent="0.15">
      <c r="A103" s="35"/>
      <c r="B103" s="152" t="s">
        <v>844</v>
      </c>
      <c r="C103" s="115" t="s">
        <v>186</v>
      </c>
      <c r="D103" s="147">
        <v>0</v>
      </c>
      <c r="E103" s="147">
        <v>0</v>
      </c>
      <c r="F103" s="147">
        <v>0</v>
      </c>
      <c r="G103" s="147">
        <v>0</v>
      </c>
      <c r="H103" s="315">
        <v>0</v>
      </c>
      <c r="I103" s="572">
        <f t="shared" si="2"/>
        <v>0</v>
      </c>
    </row>
    <row r="104" spans="1:9" ht="10.5" customHeight="1" x14ac:dyDescent="0.15">
      <c r="A104" s="35"/>
      <c r="B104" s="152" t="s">
        <v>845</v>
      </c>
      <c r="C104" s="115" t="s">
        <v>154</v>
      </c>
      <c r="D104" s="147">
        <v>0</v>
      </c>
      <c r="E104" s="147">
        <v>0</v>
      </c>
      <c r="F104" s="147">
        <v>0</v>
      </c>
      <c r="G104" s="147">
        <v>0</v>
      </c>
      <c r="H104" s="315">
        <v>0</v>
      </c>
      <c r="I104" s="572">
        <f t="shared" si="2"/>
        <v>0</v>
      </c>
    </row>
    <row r="105" spans="1:9" ht="10.5" customHeight="1" x14ac:dyDescent="0.15">
      <c r="A105" s="35"/>
      <c r="B105" s="152" t="s">
        <v>846</v>
      </c>
      <c r="C105" s="115" t="s">
        <v>155</v>
      </c>
      <c r="D105" s="147">
        <v>0</v>
      </c>
      <c r="E105" s="147">
        <v>0</v>
      </c>
      <c r="F105" s="147">
        <v>0</v>
      </c>
      <c r="G105" s="147">
        <v>0</v>
      </c>
      <c r="H105" s="315">
        <v>0</v>
      </c>
      <c r="I105" s="572">
        <f t="shared" si="2"/>
        <v>0</v>
      </c>
    </row>
    <row r="106" spans="1:9" ht="10.5" customHeight="1" x14ac:dyDescent="0.15">
      <c r="A106" s="35"/>
      <c r="B106" s="152" t="s">
        <v>1582</v>
      </c>
      <c r="C106" s="115" t="s">
        <v>156</v>
      </c>
      <c r="D106" s="147">
        <v>0</v>
      </c>
      <c r="E106" s="147">
        <v>0</v>
      </c>
      <c r="F106" s="147">
        <v>0</v>
      </c>
      <c r="G106" s="147">
        <v>0</v>
      </c>
      <c r="H106" s="315">
        <v>0</v>
      </c>
      <c r="I106" s="572">
        <f t="shared" si="2"/>
        <v>0</v>
      </c>
    </row>
    <row r="107" spans="1:9" ht="10.5" customHeight="1" x14ac:dyDescent="0.15">
      <c r="A107" s="35"/>
      <c r="B107" s="152" t="s">
        <v>847</v>
      </c>
      <c r="C107" s="115" t="s">
        <v>157</v>
      </c>
      <c r="D107" s="147">
        <v>0</v>
      </c>
      <c r="E107" s="147">
        <v>0</v>
      </c>
      <c r="F107" s="147">
        <v>0</v>
      </c>
      <c r="G107" s="147">
        <v>0</v>
      </c>
      <c r="H107" s="315">
        <v>0</v>
      </c>
      <c r="I107" s="572">
        <f t="shared" si="2"/>
        <v>0</v>
      </c>
    </row>
    <row r="108" spans="1:9" ht="10.5" customHeight="1" x14ac:dyDescent="0.15">
      <c r="A108" s="35"/>
      <c r="B108" s="152" t="s">
        <v>1583</v>
      </c>
      <c r="C108" s="115" t="s">
        <v>160</v>
      </c>
      <c r="D108" s="147">
        <v>0</v>
      </c>
      <c r="E108" s="147">
        <v>0</v>
      </c>
      <c r="F108" s="147">
        <v>0</v>
      </c>
      <c r="G108" s="147">
        <v>0</v>
      </c>
      <c r="H108" s="315">
        <v>0</v>
      </c>
      <c r="I108" s="572">
        <f t="shared" si="2"/>
        <v>0</v>
      </c>
    </row>
    <row r="109" spans="1:9" ht="10.5" customHeight="1" x14ac:dyDescent="0.15">
      <c r="A109" s="35"/>
      <c r="B109" s="152" t="s">
        <v>634</v>
      </c>
      <c r="C109" s="115" t="s">
        <v>165</v>
      </c>
      <c r="D109" s="147">
        <v>0</v>
      </c>
      <c r="E109" s="147">
        <v>0</v>
      </c>
      <c r="F109" s="147">
        <v>0</v>
      </c>
      <c r="G109" s="147">
        <v>0</v>
      </c>
      <c r="H109" s="315">
        <v>0</v>
      </c>
      <c r="I109" s="572">
        <f t="shared" si="2"/>
        <v>0</v>
      </c>
    </row>
    <row r="110" spans="1:9" ht="10.5" customHeight="1" x14ac:dyDescent="0.15">
      <c r="A110" s="35"/>
      <c r="B110" s="152" t="s">
        <v>630</v>
      </c>
      <c r="C110" s="115" t="s">
        <v>172</v>
      </c>
      <c r="D110" s="147">
        <v>0</v>
      </c>
      <c r="E110" s="147">
        <v>0</v>
      </c>
      <c r="F110" s="147">
        <v>0</v>
      </c>
      <c r="G110" s="147">
        <v>0</v>
      </c>
      <c r="H110" s="315">
        <v>0</v>
      </c>
      <c r="I110" s="572">
        <f t="shared" si="2"/>
        <v>0</v>
      </c>
    </row>
    <row r="111" spans="1:9" ht="10.5" customHeight="1" x14ac:dyDescent="0.15">
      <c r="A111" s="35"/>
      <c r="B111" s="652" t="s">
        <v>631</v>
      </c>
      <c r="C111" s="653" t="s">
        <v>173</v>
      </c>
      <c r="D111" s="147">
        <v>0</v>
      </c>
      <c r="E111" s="147">
        <v>0</v>
      </c>
      <c r="F111" s="147">
        <v>0</v>
      </c>
      <c r="G111" s="147">
        <v>0</v>
      </c>
      <c r="H111" s="315">
        <v>0</v>
      </c>
      <c r="I111" s="572">
        <f t="shared" si="2"/>
        <v>0</v>
      </c>
    </row>
    <row r="112" spans="1:9" ht="10.5" customHeight="1" x14ac:dyDescent="0.15">
      <c r="A112" s="35"/>
      <c r="B112" s="152" t="s">
        <v>1584</v>
      </c>
      <c r="C112" s="115" t="s">
        <v>178</v>
      </c>
      <c r="D112" s="147">
        <v>0</v>
      </c>
      <c r="E112" s="147">
        <v>0</v>
      </c>
      <c r="F112" s="147">
        <v>0</v>
      </c>
      <c r="G112" s="147">
        <v>0</v>
      </c>
      <c r="H112" s="315">
        <v>0</v>
      </c>
      <c r="I112" s="572">
        <f t="shared" si="2"/>
        <v>0</v>
      </c>
    </row>
    <row r="113" spans="1:10" ht="10.5" customHeight="1" x14ac:dyDescent="0.15">
      <c r="A113" s="35"/>
      <c r="B113" s="152" t="s">
        <v>174</v>
      </c>
      <c r="C113" s="115" t="s">
        <v>179</v>
      </c>
      <c r="D113" s="147">
        <v>0</v>
      </c>
      <c r="E113" s="147">
        <v>0</v>
      </c>
      <c r="F113" s="147">
        <v>0</v>
      </c>
      <c r="G113" s="147">
        <v>0</v>
      </c>
      <c r="H113" s="315">
        <v>0</v>
      </c>
      <c r="I113" s="572">
        <f t="shared" si="2"/>
        <v>0</v>
      </c>
    </row>
    <row r="114" spans="1:10" ht="10.5" customHeight="1" x14ac:dyDescent="0.15">
      <c r="A114" s="35"/>
      <c r="B114" s="152" t="s">
        <v>175</v>
      </c>
      <c r="C114" s="115" t="s">
        <v>180</v>
      </c>
      <c r="D114" s="147">
        <v>0</v>
      </c>
      <c r="E114" s="147">
        <v>0</v>
      </c>
      <c r="F114" s="147">
        <v>0</v>
      </c>
      <c r="G114" s="147">
        <v>0</v>
      </c>
      <c r="H114" s="315">
        <v>0</v>
      </c>
      <c r="I114" s="572">
        <f t="shared" si="2"/>
        <v>0</v>
      </c>
    </row>
    <row r="115" spans="1:10" ht="10.5" customHeight="1" x14ac:dyDescent="0.15">
      <c r="A115" s="35"/>
      <c r="B115" s="152" t="s">
        <v>176</v>
      </c>
      <c r="C115" s="115" t="s">
        <v>181</v>
      </c>
      <c r="D115" s="147">
        <v>0</v>
      </c>
      <c r="E115" s="147">
        <v>0</v>
      </c>
      <c r="F115" s="147">
        <v>0</v>
      </c>
      <c r="G115" s="147">
        <v>0</v>
      </c>
      <c r="H115" s="315">
        <v>0</v>
      </c>
      <c r="I115" s="572">
        <f t="shared" si="2"/>
        <v>0</v>
      </c>
    </row>
    <row r="116" spans="1:10" ht="10.5" customHeight="1" x14ac:dyDescent="0.15">
      <c r="A116" s="35"/>
      <c r="B116" s="152" t="s">
        <v>177</v>
      </c>
      <c r="C116" s="115" t="s">
        <v>182</v>
      </c>
      <c r="D116" s="147">
        <v>0</v>
      </c>
      <c r="E116" s="147">
        <v>0</v>
      </c>
      <c r="F116" s="147">
        <v>0</v>
      </c>
      <c r="G116" s="147">
        <v>0</v>
      </c>
      <c r="H116" s="315">
        <v>0</v>
      </c>
      <c r="I116" s="572">
        <f t="shared" si="2"/>
        <v>0</v>
      </c>
    </row>
    <row r="117" spans="1:10" ht="10.5" customHeight="1" thickBot="1" x14ac:dyDescent="0.2">
      <c r="A117" s="35"/>
      <c r="B117" s="152" t="s">
        <v>632</v>
      </c>
      <c r="C117" s="115" t="s">
        <v>183</v>
      </c>
      <c r="D117" s="144">
        <v>0</v>
      </c>
      <c r="E117" s="144">
        <v>0</v>
      </c>
      <c r="F117" s="144">
        <v>0</v>
      </c>
      <c r="G117" s="144">
        <v>0</v>
      </c>
      <c r="H117" s="315">
        <v>0</v>
      </c>
      <c r="I117" s="572">
        <f t="shared" si="2"/>
        <v>0</v>
      </c>
    </row>
    <row r="118" spans="1:10" ht="10.5" customHeight="1" thickTop="1" thickBot="1" x14ac:dyDescent="0.2">
      <c r="A118" s="35"/>
      <c r="B118" s="152"/>
      <c r="C118" s="115" t="s">
        <v>263</v>
      </c>
      <c r="D118" s="169">
        <f>SUM(D84:D117)</f>
        <v>0</v>
      </c>
      <c r="E118" s="169">
        <f>SUM(E84:E117)</f>
        <v>0</v>
      </c>
      <c r="F118" s="169">
        <f>SUM(F84:F117)</f>
        <v>0</v>
      </c>
      <c r="G118" s="169">
        <f>SUM(G84:G117)</f>
        <v>0</v>
      </c>
      <c r="H118" s="169">
        <f>SUM(H84:H117)</f>
        <v>0</v>
      </c>
      <c r="I118" s="304">
        <f>SUM(G118+H118)</f>
        <v>0</v>
      </c>
    </row>
    <row r="119" spans="1:10" ht="10.5" customHeight="1" thickTop="1" x14ac:dyDescent="0.15">
      <c r="A119" s="35"/>
      <c r="B119" s="152"/>
      <c r="C119" s="115"/>
      <c r="D119" s="14"/>
      <c r="E119" s="14"/>
      <c r="F119" s="14"/>
      <c r="G119" s="14"/>
      <c r="H119" s="305"/>
      <c r="I119" s="305"/>
    </row>
    <row r="120" spans="1:10" ht="10.5" customHeight="1" x14ac:dyDescent="0.15">
      <c r="A120" s="35" t="s">
        <v>645</v>
      </c>
      <c r="C120" s="115"/>
      <c r="D120" s="14"/>
      <c r="E120" s="14"/>
      <c r="F120" s="14"/>
      <c r="G120" s="14"/>
      <c r="H120" s="305"/>
      <c r="I120" s="305"/>
    </row>
    <row r="121" spans="1:10" s="309" customFormat="1" x14ac:dyDescent="0.15">
      <c r="B121" s="311" t="s">
        <v>1577</v>
      </c>
      <c r="C121" s="312" t="s">
        <v>228</v>
      </c>
      <c r="D121" s="316">
        <v>0</v>
      </c>
      <c r="E121" s="316">
        <v>0</v>
      </c>
      <c r="F121" s="316">
        <v>0</v>
      </c>
      <c r="G121" s="528">
        <f t="array" ref="G121">SUM(IF(CertFund&amp;CertProg&amp;CertObj=RIGHT(LEFT($A$2,7),2)&amp;LEFT(A120,4)&amp;B121,CertSalary))</f>
        <v>0</v>
      </c>
      <c r="H121" s="527">
        <v>0</v>
      </c>
      <c r="I121" s="566">
        <f>SUM(G121+H121)</f>
        <v>0</v>
      </c>
    </row>
    <row r="122" spans="1:10" s="309" customFormat="1" x14ac:dyDescent="0.15">
      <c r="B122" s="311" t="s">
        <v>1577</v>
      </c>
      <c r="C122" s="312" t="s">
        <v>510</v>
      </c>
      <c r="D122" s="316">
        <v>0</v>
      </c>
      <c r="E122" s="316">
        <v>0</v>
      </c>
      <c r="F122" s="316">
        <v>0</v>
      </c>
      <c r="G122" s="316">
        <v>0</v>
      </c>
      <c r="H122" s="527">
        <v>0</v>
      </c>
      <c r="I122" s="566">
        <f>SUM(G122+H122)</f>
        <v>0</v>
      </c>
    </row>
    <row r="123" spans="1:10" s="309" customFormat="1" x14ac:dyDescent="0.15">
      <c r="A123" s="312"/>
      <c r="B123" s="311" t="s">
        <v>1578</v>
      </c>
      <c r="C123" s="312" t="s">
        <v>936</v>
      </c>
      <c r="D123" s="316">
        <v>0</v>
      </c>
      <c r="E123" s="316">
        <v>0</v>
      </c>
      <c r="F123" s="316">
        <v>0</v>
      </c>
      <c r="G123" s="529">
        <f t="array" ref="G123">SUM(IF(CertFund&amp;CertProg&amp;CertObj=RIGHT(LEFT($A$2,7),2)&amp;LEFT(A120,4)&amp;B121,CertBen))</f>
        <v>0</v>
      </c>
      <c r="H123" s="527">
        <v>0</v>
      </c>
      <c r="I123" s="566">
        <f>SUM(G123+H123)</f>
        <v>0</v>
      </c>
    </row>
    <row r="124" spans="1:10" x14ac:dyDescent="0.15">
      <c r="A124" s="115"/>
      <c r="B124" s="152" t="s">
        <v>1578</v>
      </c>
      <c r="C124" s="115" t="s">
        <v>511</v>
      </c>
      <c r="D124" s="147">
        <v>0</v>
      </c>
      <c r="E124" s="147">
        <v>0</v>
      </c>
      <c r="F124" s="147">
        <v>0</v>
      </c>
      <c r="G124" s="147">
        <v>0</v>
      </c>
      <c r="H124" s="150">
        <v>0</v>
      </c>
      <c r="I124" s="567">
        <f>SUM(G124+H124)</f>
        <v>0</v>
      </c>
      <c r="J124" s="309"/>
    </row>
    <row r="125" spans="1:10" ht="10.5" customHeight="1" x14ac:dyDescent="0.15">
      <c r="A125" s="35"/>
      <c r="B125" s="152" t="s">
        <v>1579</v>
      </c>
      <c r="C125" s="115" t="s">
        <v>118</v>
      </c>
      <c r="D125" s="147">
        <v>0</v>
      </c>
      <c r="E125" s="147">
        <v>0</v>
      </c>
      <c r="F125" s="147">
        <v>0</v>
      </c>
      <c r="G125" s="147">
        <v>0</v>
      </c>
      <c r="H125" s="316">
        <v>0</v>
      </c>
      <c r="I125" s="535">
        <f t="shared" ref="I125:I148" si="3">SUM(G125+H125)</f>
        <v>0</v>
      </c>
    </row>
    <row r="126" spans="1:10" ht="10.5" customHeight="1" x14ac:dyDescent="0.15">
      <c r="A126" s="35"/>
      <c r="B126" s="152" t="s">
        <v>1580</v>
      </c>
      <c r="C126" s="115" t="s">
        <v>119</v>
      </c>
      <c r="D126" s="147">
        <v>0</v>
      </c>
      <c r="E126" s="147">
        <v>0</v>
      </c>
      <c r="F126" s="147">
        <v>0</v>
      </c>
      <c r="G126" s="147">
        <v>0</v>
      </c>
      <c r="H126" s="316">
        <v>0</v>
      </c>
      <c r="I126" s="535">
        <f t="shared" si="3"/>
        <v>0</v>
      </c>
    </row>
    <row r="127" spans="1:10" ht="10.5" customHeight="1" x14ac:dyDescent="0.15">
      <c r="A127" s="35"/>
      <c r="B127" s="152" t="s">
        <v>120</v>
      </c>
      <c r="C127" s="115" t="s">
        <v>121</v>
      </c>
      <c r="D127" s="147">
        <v>0</v>
      </c>
      <c r="E127" s="147">
        <v>0</v>
      </c>
      <c r="F127" s="147">
        <v>0</v>
      </c>
      <c r="G127" s="147">
        <v>0</v>
      </c>
      <c r="H127" s="316">
        <v>0</v>
      </c>
      <c r="I127" s="535">
        <f t="shared" si="3"/>
        <v>0</v>
      </c>
    </row>
    <row r="128" spans="1:10" ht="10.5" customHeight="1" x14ac:dyDescent="0.15">
      <c r="A128" s="35"/>
      <c r="B128" s="152" t="s">
        <v>122</v>
      </c>
      <c r="C128" s="115" t="s">
        <v>123</v>
      </c>
      <c r="D128" s="147">
        <v>0</v>
      </c>
      <c r="E128" s="147">
        <v>0</v>
      </c>
      <c r="F128" s="147">
        <v>0</v>
      </c>
      <c r="G128" s="147">
        <v>0</v>
      </c>
      <c r="H128" s="316">
        <v>0</v>
      </c>
      <c r="I128" s="535">
        <f t="shared" si="3"/>
        <v>0</v>
      </c>
    </row>
    <row r="129" spans="1:9" ht="10.5" customHeight="1" x14ac:dyDescent="0.15">
      <c r="A129" s="35"/>
      <c r="B129" s="152" t="s">
        <v>1581</v>
      </c>
      <c r="C129" s="115" t="s">
        <v>124</v>
      </c>
      <c r="D129" s="147">
        <v>0</v>
      </c>
      <c r="E129" s="147">
        <v>0</v>
      </c>
      <c r="F129" s="147">
        <v>0</v>
      </c>
      <c r="G129" s="147">
        <v>0</v>
      </c>
      <c r="H129" s="316">
        <v>0</v>
      </c>
      <c r="I129" s="535">
        <f t="shared" si="3"/>
        <v>0</v>
      </c>
    </row>
    <row r="130" spans="1:9" ht="10.5" customHeight="1" x14ac:dyDescent="0.15">
      <c r="A130" s="35"/>
      <c r="B130" s="152" t="s">
        <v>1624</v>
      </c>
      <c r="C130" s="115" t="s">
        <v>840</v>
      </c>
      <c r="D130" s="147">
        <v>0</v>
      </c>
      <c r="E130" s="147">
        <v>0</v>
      </c>
      <c r="F130" s="147">
        <v>0</v>
      </c>
      <c r="G130" s="147">
        <v>0</v>
      </c>
      <c r="H130" s="316">
        <v>0</v>
      </c>
      <c r="I130" s="535">
        <f t="shared" si="3"/>
        <v>0</v>
      </c>
    </row>
    <row r="131" spans="1:9" ht="10.5" customHeight="1" x14ac:dyDescent="0.15">
      <c r="A131" s="35"/>
      <c r="B131" s="152" t="s">
        <v>1625</v>
      </c>
      <c r="C131" s="115" t="s">
        <v>842</v>
      </c>
      <c r="D131" s="147">
        <v>0</v>
      </c>
      <c r="E131" s="147">
        <v>0</v>
      </c>
      <c r="F131" s="147">
        <v>0</v>
      </c>
      <c r="G131" s="147">
        <v>0</v>
      </c>
      <c r="H131" s="316">
        <v>0</v>
      </c>
      <c r="I131" s="535">
        <f t="shared" si="3"/>
        <v>0</v>
      </c>
    </row>
    <row r="132" spans="1:9" ht="10.5" customHeight="1" x14ac:dyDescent="0.15">
      <c r="A132" s="35"/>
      <c r="B132" s="152" t="s">
        <v>843</v>
      </c>
      <c r="C132" s="115" t="s">
        <v>848</v>
      </c>
      <c r="D132" s="147">
        <v>0</v>
      </c>
      <c r="E132" s="147">
        <v>0</v>
      </c>
      <c r="F132" s="147">
        <v>0</v>
      </c>
      <c r="G132" s="147">
        <v>0</v>
      </c>
      <c r="H132" s="316">
        <v>0</v>
      </c>
      <c r="I132" s="535">
        <f t="shared" si="3"/>
        <v>0</v>
      </c>
    </row>
    <row r="133" spans="1:9" ht="10.5" customHeight="1" x14ac:dyDescent="0.15">
      <c r="A133" s="35"/>
      <c r="B133" s="152" t="s">
        <v>844</v>
      </c>
      <c r="C133" s="115" t="s">
        <v>186</v>
      </c>
      <c r="D133" s="147">
        <v>0</v>
      </c>
      <c r="E133" s="147">
        <v>0</v>
      </c>
      <c r="F133" s="147">
        <v>0</v>
      </c>
      <c r="G133" s="147">
        <v>0</v>
      </c>
      <c r="H133" s="316">
        <v>0</v>
      </c>
      <c r="I133" s="535">
        <f t="shared" si="3"/>
        <v>0</v>
      </c>
    </row>
    <row r="134" spans="1:9" ht="10.5" customHeight="1" x14ac:dyDescent="0.15">
      <c r="A134" s="35"/>
      <c r="B134" s="152" t="s">
        <v>845</v>
      </c>
      <c r="C134" s="115" t="s">
        <v>154</v>
      </c>
      <c r="D134" s="147">
        <v>0</v>
      </c>
      <c r="E134" s="147">
        <v>0</v>
      </c>
      <c r="F134" s="147">
        <v>0</v>
      </c>
      <c r="G134" s="147">
        <v>0</v>
      </c>
      <c r="H134" s="316">
        <v>0</v>
      </c>
      <c r="I134" s="535">
        <f t="shared" si="3"/>
        <v>0</v>
      </c>
    </row>
    <row r="135" spans="1:9" ht="10.5" customHeight="1" x14ac:dyDescent="0.15">
      <c r="A135" s="35"/>
      <c r="B135" s="152" t="s">
        <v>846</v>
      </c>
      <c r="C135" s="115" t="s">
        <v>155</v>
      </c>
      <c r="D135" s="147">
        <v>0</v>
      </c>
      <c r="E135" s="147">
        <v>0</v>
      </c>
      <c r="F135" s="147">
        <v>0</v>
      </c>
      <c r="G135" s="147">
        <v>0</v>
      </c>
      <c r="H135" s="316">
        <v>0</v>
      </c>
      <c r="I135" s="535">
        <f t="shared" si="3"/>
        <v>0</v>
      </c>
    </row>
    <row r="136" spans="1:9" ht="10.5" customHeight="1" x14ac:dyDescent="0.15">
      <c r="A136" s="35"/>
      <c r="B136" s="152" t="s">
        <v>332</v>
      </c>
      <c r="C136" s="115" t="s">
        <v>463</v>
      </c>
      <c r="D136" s="147">
        <v>0</v>
      </c>
      <c r="E136" s="147">
        <v>0</v>
      </c>
      <c r="F136" s="147">
        <v>0</v>
      </c>
      <c r="G136" s="147">
        <v>0</v>
      </c>
      <c r="H136" s="316">
        <v>0</v>
      </c>
      <c r="I136" s="535">
        <f t="shared" si="3"/>
        <v>0</v>
      </c>
    </row>
    <row r="137" spans="1:9" ht="10.5" customHeight="1" x14ac:dyDescent="0.15">
      <c r="A137" s="35"/>
      <c r="B137" s="152" t="s">
        <v>1582</v>
      </c>
      <c r="C137" s="115" t="s">
        <v>156</v>
      </c>
      <c r="D137" s="147">
        <v>0</v>
      </c>
      <c r="E137" s="147">
        <v>0</v>
      </c>
      <c r="F137" s="147">
        <v>0</v>
      </c>
      <c r="G137" s="147">
        <v>0</v>
      </c>
      <c r="H137" s="316">
        <v>0</v>
      </c>
      <c r="I137" s="535">
        <f t="shared" si="3"/>
        <v>0</v>
      </c>
    </row>
    <row r="138" spans="1:9" ht="10.5" customHeight="1" x14ac:dyDescent="0.15">
      <c r="A138" s="35"/>
      <c r="B138" s="152" t="s">
        <v>847</v>
      </c>
      <c r="C138" s="115" t="s">
        <v>157</v>
      </c>
      <c r="D138" s="147">
        <v>0</v>
      </c>
      <c r="E138" s="147">
        <v>0</v>
      </c>
      <c r="F138" s="147">
        <v>0</v>
      </c>
      <c r="G138" s="147">
        <v>0</v>
      </c>
      <c r="H138" s="316">
        <v>0</v>
      </c>
      <c r="I138" s="535">
        <f t="shared" si="3"/>
        <v>0</v>
      </c>
    </row>
    <row r="139" spans="1:9" ht="10.5" customHeight="1" x14ac:dyDescent="0.15">
      <c r="A139" s="35"/>
      <c r="B139" s="152" t="s">
        <v>1583</v>
      </c>
      <c r="C139" s="115" t="s">
        <v>160</v>
      </c>
      <c r="D139" s="147">
        <v>0</v>
      </c>
      <c r="E139" s="147">
        <v>0</v>
      </c>
      <c r="F139" s="147">
        <v>0</v>
      </c>
      <c r="G139" s="147">
        <v>0</v>
      </c>
      <c r="H139" s="316">
        <v>0</v>
      </c>
      <c r="I139" s="535">
        <f t="shared" si="3"/>
        <v>0</v>
      </c>
    </row>
    <row r="140" spans="1:9" ht="10.5" customHeight="1" x14ac:dyDescent="0.15">
      <c r="A140" s="35"/>
      <c r="B140" s="152" t="s">
        <v>634</v>
      </c>
      <c r="C140" s="115" t="s">
        <v>165</v>
      </c>
      <c r="D140" s="147">
        <v>0</v>
      </c>
      <c r="E140" s="147">
        <v>0</v>
      </c>
      <c r="F140" s="147">
        <v>0</v>
      </c>
      <c r="G140" s="147">
        <v>0</v>
      </c>
      <c r="H140" s="316">
        <v>0</v>
      </c>
      <c r="I140" s="535">
        <f t="shared" si="3"/>
        <v>0</v>
      </c>
    </row>
    <row r="141" spans="1:9" ht="10.5" customHeight="1" x14ac:dyDescent="0.15">
      <c r="A141" s="35"/>
      <c r="B141" s="152" t="s">
        <v>630</v>
      </c>
      <c r="C141" s="115" t="s">
        <v>172</v>
      </c>
      <c r="D141" s="147">
        <v>0</v>
      </c>
      <c r="E141" s="147">
        <v>0</v>
      </c>
      <c r="F141" s="147">
        <v>0</v>
      </c>
      <c r="G141" s="147">
        <v>0</v>
      </c>
      <c r="H141" s="316">
        <v>0</v>
      </c>
      <c r="I141" s="535">
        <f t="shared" si="3"/>
        <v>0</v>
      </c>
    </row>
    <row r="142" spans="1:9" ht="10.5" customHeight="1" x14ac:dyDescent="0.15">
      <c r="A142" s="35"/>
      <c r="B142" s="652" t="s">
        <v>631</v>
      </c>
      <c r="C142" s="653" t="s">
        <v>173</v>
      </c>
      <c r="D142" s="147">
        <v>0</v>
      </c>
      <c r="E142" s="147">
        <v>0</v>
      </c>
      <c r="F142" s="147">
        <v>0</v>
      </c>
      <c r="G142" s="147">
        <v>0</v>
      </c>
      <c r="H142" s="316">
        <v>0</v>
      </c>
      <c r="I142" s="535">
        <f t="shared" si="3"/>
        <v>0</v>
      </c>
    </row>
    <row r="143" spans="1:9" ht="10.5" customHeight="1" x14ac:dyDescent="0.15">
      <c r="A143" s="35"/>
      <c r="B143" s="152" t="s">
        <v>1584</v>
      </c>
      <c r="C143" s="115" t="s">
        <v>178</v>
      </c>
      <c r="D143" s="147">
        <v>0</v>
      </c>
      <c r="E143" s="147">
        <v>0</v>
      </c>
      <c r="F143" s="147">
        <v>0</v>
      </c>
      <c r="G143" s="147">
        <v>0</v>
      </c>
      <c r="H143" s="316">
        <v>0</v>
      </c>
      <c r="I143" s="535">
        <f t="shared" si="3"/>
        <v>0</v>
      </c>
    </row>
    <row r="144" spans="1:9" ht="10.5" customHeight="1" x14ac:dyDescent="0.15">
      <c r="A144" s="35"/>
      <c r="B144" s="152" t="s">
        <v>174</v>
      </c>
      <c r="C144" s="115" t="s">
        <v>179</v>
      </c>
      <c r="D144" s="147">
        <v>0</v>
      </c>
      <c r="E144" s="147">
        <v>0</v>
      </c>
      <c r="F144" s="147">
        <v>0</v>
      </c>
      <c r="G144" s="147">
        <v>0</v>
      </c>
      <c r="H144" s="316">
        <v>0</v>
      </c>
      <c r="I144" s="535">
        <f t="shared" si="3"/>
        <v>0</v>
      </c>
    </row>
    <row r="145" spans="1:9" ht="10.5" customHeight="1" x14ac:dyDescent="0.15">
      <c r="A145" s="35"/>
      <c r="B145" s="152" t="s">
        <v>175</v>
      </c>
      <c r="C145" s="115" t="s">
        <v>180</v>
      </c>
      <c r="D145" s="147">
        <v>0</v>
      </c>
      <c r="E145" s="147">
        <v>0</v>
      </c>
      <c r="F145" s="147">
        <v>0</v>
      </c>
      <c r="G145" s="147">
        <v>0</v>
      </c>
      <c r="H145" s="316">
        <v>0</v>
      </c>
      <c r="I145" s="535">
        <f t="shared" si="3"/>
        <v>0</v>
      </c>
    </row>
    <row r="146" spans="1:9" ht="10.5" customHeight="1" x14ac:dyDescent="0.15">
      <c r="A146" s="35"/>
      <c r="B146" s="152" t="s">
        <v>176</v>
      </c>
      <c r="C146" s="115" t="s">
        <v>181</v>
      </c>
      <c r="D146" s="147">
        <v>0</v>
      </c>
      <c r="E146" s="147">
        <v>0</v>
      </c>
      <c r="F146" s="147">
        <v>0</v>
      </c>
      <c r="G146" s="147">
        <v>0</v>
      </c>
      <c r="H146" s="316">
        <v>0</v>
      </c>
      <c r="I146" s="535">
        <f t="shared" si="3"/>
        <v>0</v>
      </c>
    </row>
    <row r="147" spans="1:9" ht="10.5" customHeight="1" x14ac:dyDescent="0.15">
      <c r="A147" s="35"/>
      <c r="B147" s="152" t="s">
        <v>177</v>
      </c>
      <c r="C147" s="115" t="s">
        <v>182</v>
      </c>
      <c r="D147" s="147">
        <v>0</v>
      </c>
      <c r="E147" s="147">
        <v>0</v>
      </c>
      <c r="F147" s="147">
        <v>0</v>
      </c>
      <c r="G147" s="147">
        <v>0</v>
      </c>
      <c r="H147" s="316">
        <v>0</v>
      </c>
      <c r="I147" s="535">
        <f t="shared" si="3"/>
        <v>0</v>
      </c>
    </row>
    <row r="148" spans="1:9" ht="10.5" customHeight="1" thickBot="1" x14ac:dyDescent="0.2">
      <c r="A148" s="35"/>
      <c r="B148" s="152" t="s">
        <v>632</v>
      </c>
      <c r="C148" s="115" t="s">
        <v>183</v>
      </c>
      <c r="D148" s="144">
        <v>0</v>
      </c>
      <c r="E148" s="144">
        <v>0</v>
      </c>
      <c r="F148" s="144">
        <v>0</v>
      </c>
      <c r="G148" s="147">
        <v>0</v>
      </c>
      <c r="H148" s="317">
        <v>0</v>
      </c>
      <c r="I148" s="573">
        <f t="shared" si="3"/>
        <v>0</v>
      </c>
    </row>
    <row r="149" spans="1:9" ht="10.5" customHeight="1" thickTop="1" thickBot="1" x14ac:dyDescent="0.2">
      <c r="A149" s="35"/>
      <c r="B149" s="152"/>
      <c r="C149" s="115" t="s">
        <v>646</v>
      </c>
      <c r="D149" s="169">
        <f>SUM(D121:D148)</f>
        <v>0</v>
      </c>
      <c r="E149" s="169">
        <f>SUM(E121:E148)</f>
        <v>0</v>
      </c>
      <c r="F149" s="169">
        <f>SUM(F121:F148)</f>
        <v>0</v>
      </c>
      <c r="G149" s="169">
        <f>SUM(G121:G148)</f>
        <v>0</v>
      </c>
      <c r="H149" s="169">
        <f>SUM(H121:H148)</f>
        <v>0</v>
      </c>
      <c r="I149" s="304">
        <f>SUM(G149+H149)</f>
        <v>0</v>
      </c>
    </row>
    <row r="150" spans="1:9" ht="10.5" customHeight="1" thickTop="1" x14ac:dyDescent="0.15">
      <c r="A150" s="35"/>
      <c r="B150" s="152"/>
      <c r="C150" s="115"/>
      <c r="D150" s="14"/>
      <c r="E150" s="14"/>
      <c r="F150" s="14"/>
      <c r="G150" s="14"/>
      <c r="H150" s="308"/>
      <c r="I150" s="570"/>
    </row>
    <row r="151" spans="1:9" ht="10.5" customHeight="1" x14ac:dyDescent="0.15">
      <c r="A151" s="35" t="s">
        <v>621</v>
      </c>
      <c r="C151" s="115"/>
      <c r="D151" s="14"/>
      <c r="E151" s="14"/>
      <c r="F151" s="14"/>
      <c r="G151" s="14"/>
      <c r="H151" s="308"/>
      <c r="I151" s="570"/>
    </row>
    <row r="152" spans="1:9" s="309" customFormat="1" x14ac:dyDescent="0.15">
      <c r="B152" s="311" t="s">
        <v>1577</v>
      </c>
      <c r="C152" s="312" t="s">
        <v>228</v>
      </c>
      <c r="D152" s="316">
        <v>0</v>
      </c>
      <c r="E152" s="316">
        <v>0</v>
      </c>
      <c r="F152" s="316">
        <v>0</v>
      </c>
      <c r="G152" s="528">
        <f t="array" ref="G152">SUM(IF(CertFund&amp;CertProg&amp;CertObj=RIGHT(LEFT($A$2,7),2)&amp;LEFT(A151,4)&amp;B152,CertSalary))</f>
        <v>0</v>
      </c>
      <c r="H152" s="527">
        <v>0</v>
      </c>
      <c r="I152" s="566">
        <f>SUM(G152+H152)</f>
        <v>0</v>
      </c>
    </row>
    <row r="153" spans="1:9" s="309" customFormat="1" x14ac:dyDescent="0.15">
      <c r="B153" s="311" t="s">
        <v>1577</v>
      </c>
      <c r="C153" s="312" t="s">
        <v>510</v>
      </c>
      <c r="D153" s="316">
        <v>0</v>
      </c>
      <c r="E153" s="316">
        <v>0</v>
      </c>
      <c r="F153" s="316">
        <v>0</v>
      </c>
      <c r="G153" s="316">
        <v>0</v>
      </c>
      <c r="H153" s="527">
        <v>0</v>
      </c>
      <c r="I153" s="566">
        <f>SUM(G153+H153)</f>
        <v>0</v>
      </c>
    </row>
    <row r="154" spans="1:9" s="309" customFormat="1" x14ac:dyDescent="0.15">
      <c r="A154" s="312"/>
      <c r="B154" s="311" t="s">
        <v>1578</v>
      </c>
      <c r="C154" s="312" t="s">
        <v>936</v>
      </c>
      <c r="D154" s="316">
        <v>0</v>
      </c>
      <c r="E154" s="316">
        <v>0</v>
      </c>
      <c r="F154" s="316">
        <v>0</v>
      </c>
      <c r="G154" s="529">
        <f t="array" ref="G154">SUM(IF(CertFund&amp;CertProg&amp;CertObj=RIGHT(LEFT($A$2,7),2)&amp;LEFT(A151,4)&amp;B152,CertBen))</f>
        <v>0</v>
      </c>
      <c r="H154" s="527">
        <v>0</v>
      </c>
      <c r="I154" s="566">
        <f>SUM(G154+H154)</f>
        <v>0</v>
      </c>
    </row>
    <row r="155" spans="1:9" s="309" customFormat="1" x14ac:dyDescent="0.15">
      <c r="A155" s="312"/>
      <c r="B155" s="311" t="s">
        <v>1578</v>
      </c>
      <c r="C155" s="312" t="s">
        <v>511</v>
      </c>
      <c r="D155" s="316">
        <v>0</v>
      </c>
      <c r="E155" s="316">
        <v>0</v>
      </c>
      <c r="F155" s="316">
        <v>0</v>
      </c>
      <c r="G155" s="316">
        <v>0</v>
      </c>
      <c r="H155" s="527">
        <v>0</v>
      </c>
      <c r="I155" s="566">
        <f>SUM(G155+H155)</f>
        <v>0</v>
      </c>
    </row>
    <row r="156" spans="1:9" ht="10.5" customHeight="1" x14ac:dyDescent="0.15">
      <c r="A156" s="35"/>
      <c r="B156" s="152" t="s">
        <v>1579</v>
      </c>
      <c r="C156" s="115" t="s">
        <v>118</v>
      </c>
      <c r="D156" s="147">
        <v>0</v>
      </c>
      <c r="E156" s="147">
        <v>0</v>
      </c>
      <c r="F156" s="147">
        <v>0</v>
      </c>
      <c r="G156" s="147">
        <v>0</v>
      </c>
      <c r="H156" s="316">
        <v>0</v>
      </c>
      <c r="I156" s="535">
        <f t="shared" ref="I156:I185" si="4">SUM(G156+H156)</f>
        <v>0</v>
      </c>
    </row>
    <row r="157" spans="1:9" ht="10.5" customHeight="1" x14ac:dyDescent="0.15">
      <c r="A157" s="35"/>
      <c r="B157" s="152" t="s">
        <v>1580</v>
      </c>
      <c r="C157" s="115" t="s">
        <v>119</v>
      </c>
      <c r="D157" s="147">
        <v>0</v>
      </c>
      <c r="E157" s="147">
        <v>0</v>
      </c>
      <c r="F157" s="147">
        <v>0</v>
      </c>
      <c r="G157" s="147">
        <v>0</v>
      </c>
      <c r="H157" s="316">
        <v>0</v>
      </c>
      <c r="I157" s="535">
        <f t="shared" si="4"/>
        <v>0</v>
      </c>
    </row>
    <row r="158" spans="1:9" ht="10.5" customHeight="1" x14ac:dyDescent="0.15">
      <c r="A158" s="35"/>
      <c r="B158" s="152" t="s">
        <v>120</v>
      </c>
      <c r="C158" s="115" t="s">
        <v>121</v>
      </c>
      <c r="D158" s="147">
        <v>0</v>
      </c>
      <c r="E158" s="147">
        <v>0</v>
      </c>
      <c r="F158" s="147">
        <v>0</v>
      </c>
      <c r="G158" s="147">
        <v>0</v>
      </c>
      <c r="H158" s="316">
        <v>0</v>
      </c>
      <c r="I158" s="535">
        <f t="shared" si="4"/>
        <v>0</v>
      </c>
    </row>
    <row r="159" spans="1:9" ht="10.5" customHeight="1" x14ac:dyDescent="0.15">
      <c r="A159" s="35"/>
      <c r="B159" s="152" t="s">
        <v>122</v>
      </c>
      <c r="C159" s="115" t="s">
        <v>123</v>
      </c>
      <c r="D159" s="147">
        <v>0</v>
      </c>
      <c r="E159" s="147">
        <v>0</v>
      </c>
      <c r="F159" s="147">
        <v>0</v>
      </c>
      <c r="G159" s="147">
        <v>0</v>
      </c>
      <c r="H159" s="316">
        <v>0</v>
      </c>
      <c r="I159" s="535">
        <f t="shared" si="4"/>
        <v>0</v>
      </c>
    </row>
    <row r="160" spans="1:9" ht="10.5" customHeight="1" x14ac:dyDescent="0.15">
      <c r="A160" s="35"/>
      <c r="B160" s="152" t="s">
        <v>1581</v>
      </c>
      <c r="C160" s="115" t="s">
        <v>124</v>
      </c>
      <c r="D160" s="147">
        <v>0</v>
      </c>
      <c r="E160" s="147">
        <v>0</v>
      </c>
      <c r="F160" s="147">
        <v>0</v>
      </c>
      <c r="G160" s="147">
        <v>0</v>
      </c>
      <c r="H160" s="316">
        <v>0</v>
      </c>
      <c r="I160" s="535">
        <f t="shared" si="4"/>
        <v>0</v>
      </c>
    </row>
    <row r="161" spans="1:9" ht="10.5" customHeight="1" x14ac:dyDescent="0.15">
      <c r="A161" s="35"/>
      <c r="B161" s="152" t="s">
        <v>125</v>
      </c>
      <c r="C161" s="115" t="s">
        <v>133</v>
      </c>
      <c r="D161" s="147">
        <v>0</v>
      </c>
      <c r="E161" s="147">
        <v>0</v>
      </c>
      <c r="F161" s="147">
        <v>0</v>
      </c>
      <c r="G161" s="147">
        <v>0</v>
      </c>
      <c r="H161" s="316">
        <v>0</v>
      </c>
      <c r="I161" s="535">
        <f t="shared" si="4"/>
        <v>0</v>
      </c>
    </row>
    <row r="162" spans="1:9" ht="10.5" customHeight="1" x14ac:dyDescent="0.15">
      <c r="A162" s="35"/>
      <c r="B162" s="152" t="s">
        <v>126</v>
      </c>
      <c r="C162" s="115" t="s">
        <v>187</v>
      </c>
      <c r="D162" s="147">
        <v>0</v>
      </c>
      <c r="E162" s="147">
        <v>0</v>
      </c>
      <c r="F162" s="147">
        <v>0</v>
      </c>
      <c r="G162" s="147">
        <v>0</v>
      </c>
      <c r="H162" s="316">
        <v>0</v>
      </c>
      <c r="I162" s="535">
        <f t="shared" si="4"/>
        <v>0</v>
      </c>
    </row>
    <row r="163" spans="1:9" ht="10.5" customHeight="1" x14ac:dyDescent="0.15">
      <c r="A163" s="35"/>
      <c r="B163" s="152" t="s">
        <v>127</v>
      </c>
      <c r="C163" s="115" t="s">
        <v>134</v>
      </c>
      <c r="D163" s="147">
        <v>0</v>
      </c>
      <c r="E163" s="147">
        <v>0</v>
      </c>
      <c r="F163" s="147">
        <v>0</v>
      </c>
      <c r="G163" s="147">
        <v>0</v>
      </c>
      <c r="H163" s="316">
        <v>0</v>
      </c>
      <c r="I163" s="535">
        <f t="shared" si="4"/>
        <v>0</v>
      </c>
    </row>
    <row r="164" spans="1:9" ht="10.5" customHeight="1" x14ac:dyDescent="0.15">
      <c r="A164" s="35"/>
      <c r="B164" s="152" t="s">
        <v>128</v>
      </c>
      <c r="C164" s="115" t="s">
        <v>135</v>
      </c>
      <c r="D164" s="147">
        <v>0</v>
      </c>
      <c r="E164" s="147">
        <v>0</v>
      </c>
      <c r="F164" s="147">
        <v>0</v>
      </c>
      <c r="G164" s="147">
        <v>0</v>
      </c>
      <c r="H164" s="316">
        <v>0</v>
      </c>
      <c r="I164" s="535">
        <f t="shared" si="4"/>
        <v>0</v>
      </c>
    </row>
    <row r="165" spans="1:9" ht="10.5" customHeight="1" x14ac:dyDescent="0.15">
      <c r="A165" s="35"/>
      <c r="B165" s="152" t="s">
        <v>129</v>
      </c>
      <c r="C165" s="115" t="s">
        <v>136</v>
      </c>
      <c r="D165" s="147">
        <v>0</v>
      </c>
      <c r="E165" s="147">
        <v>0</v>
      </c>
      <c r="F165" s="147">
        <v>0</v>
      </c>
      <c r="G165" s="147">
        <v>0</v>
      </c>
      <c r="H165" s="316">
        <v>0</v>
      </c>
      <c r="I165" s="535">
        <f t="shared" si="4"/>
        <v>0</v>
      </c>
    </row>
    <row r="166" spans="1:9" ht="10.5" customHeight="1" x14ac:dyDescent="0.15">
      <c r="A166" s="35"/>
      <c r="B166" s="152" t="s">
        <v>130</v>
      </c>
      <c r="C166" s="115" t="s">
        <v>188</v>
      </c>
      <c r="D166" s="147">
        <v>0</v>
      </c>
      <c r="E166" s="147">
        <v>0</v>
      </c>
      <c r="F166" s="147">
        <v>0</v>
      </c>
      <c r="G166" s="147">
        <v>0</v>
      </c>
      <c r="H166" s="316">
        <v>0</v>
      </c>
      <c r="I166" s="535">
        <f t="shared" si="4"/>
        <v>0</v>
      </c>
    </row>
    <row r="167" spans="1:9" ht="10.5" customHeight="1" x14ac:dyDescent="0.15">
      <c r="A167" s="35"/>
      <c r="B167" s="152" t="s">
        <v>131</v>
      </c>
      <c r="C167" s="115" t="s">
        <v>137</v>
      </c>
      <c r="D167" s="147">
        <v>0</v>
      </c>
      <c r="E167" s="147">
        <v>0</v>
      </c>
      <c r="F167" s="147">
        <v>0</v>
      </c>
      <c r="G167" s="147">
        <v>0</v>
      </c>
      <c r="H167" s="316">
        <v>0</v>
      </c>
      <c r="I167" s="535">
        <f t="shared" si="4"/>
        <v>0</v>
      </c>
    </row>
    <row r="168" spans="1:9" ht="10.5" customHeight="1" x14ac:dyDescent="0.15">
      <c r="A168" s="35"/>
      <c r="B168" s="152" t="s">
        <v>132</v>
      </c>
      <c r="C168" s="115" t="s">
        <v>1617</v>
      </c>
      <c r="D168" s="147">
        <v>0</v>
      </c>
      <c r="E168" s="147">
        <v>0</v>
      </c>
      <c r="F168" s="147">
        <v>0</v>
      </c>
      <c r="G168" s="147">
        <v>0</v>
      </c>
      <c r="H168" s="316">
        <v>0</v>
      </c>
      <c r="I168" s="535">
        <f t="shared" si="4"/>
        <v>0</v>
      </c>
    </row>
    <row r="169" spans="1:9" ht="10.5" customHeight="1" x14ac:dyDescent="0.15">
      <c r="A169" s="35"/>
      <c r="B169" s="152" t="s">
        <v>1624</v>
      </c>
      <c r="C169" s="115" t="s">
        <v>840</v>
      </c>
      <c r="D169" s="147">
        <v>0</v>
      </c>
      <c r="E169" s="147">
        <v>0</v>
      </c>
      <c r="F169" s="147">
        <v>0</v>
      </c>
      <c r="G169" s="147">
        <v>0</v>
      </c>
      <c r="H169" s="316">
        <v>0</v>
      </c>
      <c r="I169" s="535">
        <f t="shared" si="4"/>
        <v>0</v>
      </c>
    </row>
    <row r="170" spans="1:9" ht="10.5" customHeight="1" x14ac:dyDescent="0.15">
      <c r="A170" s="35"/>
      <c r="B170" s="152" t="s">
        <v>1625</v>
      </c>
      <c r="C170" s="115" t="s">
        <v>842</v>
      </c>
      <c r="D170" s="147">
        <v>0</v>
      </c>
      <c r="E170" s="147">
        <v>0</v>
      </c>
      <c r="F170" s="147">
        <v>0</v>
      </c>
      <c r="G170" s="147">
        <v>0</v>
      </c>
      <c r="H170" s="316">
        <v>0</v>
      </c>
      <c r="I170" s="535">
        <f t="shared" si="4"/>
        <v>0</v>
      </c>
    </row>
    <row r="171" spans="1:9" ht="10.5" customHeight="1" x14ac:dyDescent="0.15">
      <c r="A171" s="35"/>
      <c r="B171" s="152" t="s">
        <v>843</v>
      </c>
      <c r="C171" s="115" t="s">
        <v>848</v>
      </c>
      <c r="D171" s="147">
        <v>0</v>
      </c>
      <c r="E171" s="147">
        <v>0</v>
      </c>
      <c r="F171" s="147">
        <v>0</v>
      </c>
      <c r="G171" s="147">
        <v>0</v>
      </c>
      <c r="H171" s="316">
        <v>0</v>
      </c>
      <c r="I171" s="535">
        <f t="shared" si="4"/>
        <v>0</v>
      </c>
    </row>
    <row r="172" spans="1:9" ht="10.5" customHeight="1" x14ac:dyDescent="0.15">
      <c r="A172" s="35"/>
      <c r="B172" s="152" t="s">
        <v>844</v>
      </c>
      <c r="C172" s="115" t="s">
        <v>186</v>
      </c>
      <c r="D172" s="147">
        <v>0</v>
      </c>
      <c r="E172" s="147">
        <v>0</v>
      </c>
      <c r="F172" s="147">
        <v>0</v>
      </c>
      <c r="G172" s="147">
        <v>0</v>
      </c>
      <c r="H172" s="316">
        <v>0</v>
      </c>
      <c r="I172" s="535">
        <f t="shared" si="4"/>
        <v>0</v>
      </c>
    </row>
    <row r="173" spans="1:9" ht="10.5" customHeight="1" x14ac:dyDescent="0.15">
      <c r="A173" s="35"/>
      <c r="B173" s="152" t="s">
        <v>845</v>
      </c>
      <c r="C173" s="115" t="s">
        <v>154</v>
      </c>
      <c r="D173" s="147">
        <v>0</v>
      </c>
      <c r="E173" s="147">
        <v>0</v>
      </c>
      <c r="F173" s="147">
        <v>0</v>
      </c>
      <c r="G173" s="147">
        <v>0</v>
      </c>
      <c r="H173" s="316">
        <v>0</v>
      </c>
      <c r="I173" s="535">
        <f t="shared" si="4"/>
        <v>0</v>
      </c>
    </row>
    <row r="174" spans="1:9" ht="10.5" customHeight="1" x14ac:dyDescent="0.15">
      <c r="A174" s="35"/>
      <c r="B174" s="152" t="s">
        <v>846</v>
      </c>
      <c r="C174" s="115" t="s">
        <v>155</v>
      </c>
      <c r="D174" s="147">
        <v>0</v>
      </c>
      <c r="E174" s="147">
        <v>0</v>
      </c>
      <c r="F174" s="147">
        <v>0</v>
      </c>
      <c r="G174" s="147">
        <v>0</v>
      </c>
      <c r="H174" s="316">
        <v>0</v>
      </c>
      <c r="I174" s="535">
        <f t="shared" si="4"/>
        <v>0</v>
      </c>
    </row>
    <row r="175" spans="1:9" ht="10.5" customHeight="1" x14ac:dyDescent="0.15">
      <c r="A175" s="35"/>
      <c r="B175" s="152" t="s">
        <v>1582</v>
      </c>
      <c r="C175" s="115" t="s">
        <v>156</v>
      </c>
      <c r="D175" s="147">
        <v>0</v>
      </c>
      <c r="E175" s="147">
        <v>0</v>
      </c>
      <c r="F175" s="147">
        <v>0</v>
      </c>
      <c r="G175" s="147">
        <v>0</v>
      </c>
      <c r="H175" s="316">
        <v>0</v>
      </c>
      <c r="I175" s="535">
        <f t="shared" si="4"/>
        <v>0</v>
      </c>
    </row>
    <row r="176" spans="1:9" ht="10.5" customHeight="1" x14ac:dyDescent="0.15">
      <c r="A176" s="35"/>
      <c r="B176" s="152" t="s">
        <v>847</v>
      </c>
      <c r="C176" s="115" t="s">
        <v>157</v>
      </c>
      <c r="D176" s="147">
        <v>0</v>
      </c>
      <c r="E176" s="147">
        <v>0</v>
      </c>
      <c r="F176" s="147">
        <v>0</v>
      </c>
      <c r="G176" s="147">
        <v>0</v>
      </c>
      <c r="H176" s="316">
        <v>0</v>
      </c>
      <c r="I176" s="535">
        <f t="shared" si="4"/>
        <v>0</v>
      </c>
    </row>
    <row r="177" spans="1:9" ht="10.5" customHeight="1" x14ac:dyDescent="0.15">
      <c r="A177" s="35"/>
      <c r="B177" s="152" t="s">
        <v>1583</v>
      </c>
      <c r="C177" s="115" t="s">
        <v>160</v>
      </c>
      <c r="D177" s="147">
        <v>0</v>
      </c>
      <c r="E177" s="147">
        <v>0</v>
      </c>
      <c r="F177" s="147">
        <v>0</v>
      </c>
      <c r="G177" s="147">
        <v>0</v>
      </c>
      <c r="H177" s="316">
        <v>0</v>
      </c>
      <c r="I177" s="535">
        <f t="shared" si="4"/>
        <v>0</v>
      </c>
    </row>
    <row r="178" spans="1:9" ht="10.5" customHeight="1" x14ac:dyDescent="0.15">
      <c r="A178" s="35"/>
      <c r="B178" s="152" t="s">
        <v>634</v>
      </c>
      <c r="C178" s="115" t="s">
        <v>165</v>
      </c>
      <c r="D178" s="147">
        <v>0</v>
      </c>
      <c r="E178" s="147">
        <v>0</v>
      </c>
      <c r="F178" s="147">
        <v>0</v>
      </c>
      <c r="G178" s="147">
        <v>0</v>
      </c>
      <c r="H178" s="316">
        <v>0</v>
      </c>
      <c r="I178" s="535">
        <f t="shared" si="4"/>
        <v>0</v>
      </c>
    </row>
    <row r="179" spans="1:9" ht="10.5" customHeight="1" x14ac:dyDescent="0.15">
      <c r="A179" s="35"/>
      <c r="B179" s="152" t="s">
        <v>630</v>
      </c>
      <c r="C179" s="115" t="s">
        <v>172</v>
      </c>
      <c r="D179" s="147">
        <v>0</v>
      </c>
      <c r="E179" s="147">
        <v>0</v>
      </c>
      <c r="F179" s="147">
        <v>0</v>
      </c>
      <c r="G179" s="147">
        <v>0</v>
      </c>
      <c r="H179" s="316">
        <v>0</v>
      </c>
      <c r="I179" s="535">
        <f t="shared" si="4"/>
        <v>0</v>
      </c>
    </row>
    <row r="180" spans="1:9" ht="10.5" customHeight="1" x14ac:dyDescent="0.15">
      <c r="A180" s="35"/>
      <c r="B180" s="652" t="s">
        <v>631</v>
      </c>
      <c r="C180" s="653" t="s">
        <v>173</v>
      </c>
      <c r="D180" s="147">
        <v>0</v>
      </c>
      <c r="E180" s="147">
        <v>0</v>
      </c>
      <c r="F180" s="147">
        <v>0</v>
      </c>
      <c r="G180" s="147">
        <v>0</v>
      </c>
      <c r="H180" s="316">
        <v>0</v>
      </c>
      <c r="I180" s="535">
        <f t="shared" si="4"/>
        <v>0</v>
      </c>
    </row>
    <row r="181" spans="1:9" ht="10.5" customHeight="1" x14ac:dyDescent="0.15">
      <c r="A181" s="35"/>
      <c r="B181" s="152" t="s">
        <v>1584</v>
      </c>
      <c r="C181" s="115" t="s">
        <v>178</v>
      </c>
      <c r="D181" s="147">
        <v>0</v>
      </c>
      <c r="E181" s="147">
        <v>0</v>
      </c>
      <c r="F181" s="147">
        <v>0</v>
      </c>
      <c r="G181" s="147">
        <v>0</v>
      </c>
      <c r="H181" s="316">
        <v>0</v>
      </c>
      <c r="I181" s="535">
        <f t="shared" si="4"/>
        <v>0</v>
      </c>
    </row>
    <row r="182" spans="1:9" ht="10.5" customHeight="1" x14ac:dyDescent="0.15">
      <c r="A182" s="35"/>
      <c r="B182" s="152" t="s">
        <v>174</v>
      </c>
      <c r="C182" s="115" t="s">
        <v>179</v>
      </c>
      <c r="D182" s="147">
        <v>0</v>
      </c>
      <c r="E182" s="147">
        <v>0</v>
      </c>
      <c r="F182" s="147">
        <v>0</v>
      </c>
      <c r="G182" s="147">
        <v>0</v>
      </c>
      <c r="H182" s="316">
        <v>0</v>
      </c>
      <c r="I182" s="535">
        <f t="shared" si="4"/>
        <v>0</v>
      </c>
    </row>
    <row r="183" spans="1:9" ht="10.5" customHeight="1" x14ac:dyDescent="0.15">
      <c r="A183" s="35"/>
      <c r="B183" s="152" t="s">
        <v>175</v>
      </c>
      <c r="C183" s="115" t="s">
        <v>180</v>
      </c>
      <c r="D183" s="147">
        <v>0</v>
      </c>
      <c r="E183" s="147">
        <v>0</v>
      </c>
      <c r="F183" s="147">
        <v>0</v>
      </c>
      <c r="G183" s="147">
        <v>0</v>
      </c>
      <c r="H183" s="316">
        <v>0</v>
      </c>
      <c r="I183" s="535">
        <f t="shared" si="4"/>
        <v>0</v>
      </c>
    </row>
    <row r="184" spans="1:9" ht="10.5" customHeight="1" x14ac:dyDescent="0.15">
      <c r="A184" s="35"/>
      <c r="B184" s="152" t="s">
        <v>176</v>
      </c>
      <c r="C184" s="115" t="s">
        <v>181</v>
      </c>
      <c r="D184" s="147">
        <v>0</v>
      </c>
      <c r="E184" s="147">
        <v>0</v>
      </c>
      <c r="F184" s="147">
        <v>0</v>
      </c>
      <c r="G184" s="147">
        <v>0</v>
      </c>
      <c r="H184" s="316">
        <v>0</v>
      </c>
      <c r="I184" s="535">
        <f t="shared" si="4"/>
        <v>0</v>
      </c>
    </row>
    <row r="185" spans="1:9" ht="10.5" customHeight="1" x14ac:dyDescent="0.15">
      <c r="A185" s="35"/>
      <c r="B185" s="152" t="s">
        <v>177</v>
      </c>
      <c r="C185" s="115" t="s">
        <v>182</v>
      </c>
      <c r="D185" s="147">
        <v>0</v>
      </c>
      <c r="E185" s="147">
        <v>0</v>
      </c>
      <c r="F185" s="147">
        <v>0</v>
      </c>
      <c r="G185" s="147">
        <v>0</v>
      </c>
      <c r="H185" s="316">
        <v>0</v>
      </c>
      <c r="I185" s="535">
        <f t="shared" si="4"/>
        <v>0</v>
      </c>
    </row>
    <row r="186" spans="1:9" ht="10.5" customHeight="1" thickBot="1" x14ac:dyDescent="0.2">
      <c r="A186" s="35"/>
      <c r="B186" s="152" t="s">
        <v>632</v>
      </c>
      <c r="C186" s="115" t="s">
        <v>183</v>
      </c>
      <c r="D186" s="144">
        <v>0</v>
      </c>
      <c r="E186" s="144">
        <v>0</v>
      </c>
      <c r="F186" s="144">
        <v>0</v>
      </c>
      <c r="G186" s="147">
        <v>0</v>
      </c>
      <c r="H186" s="317">
        <v>0</v>
      </c>
      <c r="I186" s="573">
        <f>SUM(G186+H186)</f>
        <v>0</v>
      </c>
    </row>
    <row r="187" spans="1:9" ht="10.5" customHeight="1" thickTop="1" thickBot="1" x14ac:dyDescent="0.2">
      <c r="B187" s="152"/>
      <c r="C187" s="115" t="s">
        <v>622</v>
      </c>
      <c r="D187" s="169">
        <f>SUM(D152:D186)</f>
        <v>0</v>
      </c>
      <c r="E187" s="169">
        <f>SUM(E152:E186)</f>
        <v>0</v>
      </c>
      <c r="F187" s="169">
        <f>SUM(F152:F186)</f>
        <v>0</v>
      </c>
      <c r="G187" s="169">
        <f>SUM(G152:G186)</f>
        <v>0</v>
      </c>
      <c r="H187" s="169">
        <f>SUM(H152:H186)</f>
        <v>0</v>
      </c>
      <c r="I187" s="304">
        <f>SUM(G187+H187)</f>
        <v>0</v>
      </c>
    </row>
    <row r="188" spans="1:9" ht="10.5" customHeight="1" thickTop="1" x14ac:dyDescent="0.15">
      <c r="B188" s="152"/>
      <c r="C188" s="115"/>
      <c r="D188" s="14"/>
      <c r="E188" s="14"/>
      <c r="F188" s="14"/>
      <c r="G188" s="14"/>
      <c r="H188" s="305"/>
      <c r="I188" s="305"/>
    </row>
    <row r="189" spans="1:9" ht="10.5" customHeight="1" x14ac:dyDescent="0.15">
      <c r="A189" s="35" t="s">
        <v>623</v>
      </c>
      <c r="C189" s="115"/>
      <c r="D189" s="14"/>
      <c r="E189" s="14"/>
      <c r="F189" s="14"/>
      <c r="G189" s="14"/>
      <c r="H189" s="305"/>
      <c r="I189" s="305"/>
    </row>
    <row r="190" spans="1:9" s="309" customFormat="1" x14ac:dyDescent="0.15">
      <c r="B190" s="311" t="s">
        <v>1577</v>
      </c>
      <c r="C190" s="312" t="s">
        <v>228</v>
      </c>
      <c r="D190" s="316">
        <v>0</v>
      </c>
      <c r="E190" s="316">
        <v>0</v>
      </c>
      <c r="F190" s="316">
        <v>0</v>
      </c>
      <c r="G190" s="528">
        <f t="array" ref="G190">SUM(IF(CertFund&amp;CertProg&amp;CertObj=RIGHT(LEFT($A$2,7),2)&amp;LEFT(A189,4)&amp;B190,CertSalary))</f>
        <v>0</v>
      </c>
      <c r="H190" s="527">
        <v>0</v>
      </c>
      <c r="I190" s="566">
        <f>SUM(G190+H190)</f>
        <v>0</v>
      </c>
    </row>
    <row r="191" spans="1:9" s="309" customFormat="1" x14ac:dyDescent="0.15">
      <c r="B191" s="311" t="s">
        <v>1577</v>
      </c>
      <c r="C191" s="312" t="s">
        <v>510</v>
      </c>
      <c r="D191" s="316">
        <v>0</v>
      </c>
      <c r="E191" s="316">
        <v>0</v>
      </c>
      <c r="F191" s="316">
        <v>0</v>
      </c>
      <c r="G191" s="316">
        <v>0</v>
      </c>
      <c r="H191" s="527">
        <v>0</v>
      </c>
      <c r="I191" s="566">
        <f>SUM(G191+H191)</f>
        <v>0</v>
      </c>
    </row>
    <row r="192" spans="1:9" s="309" customFormat="1" x14ac:dyDescent="0.15">
      <c r="A192" s="312"/>
      <c r="B192" s="311" t="s">
        <v>1578</v>
      </c>
      <c r="C192" s="312" t="s">
        <v>936</v>
      </c>
      <c r="D192" s="316">
        <v>0</v>
      </c>
      <c r="E192" s="316">
        <v>0</v>
      </c>
      <c r="F192" s="316">
        <v>0</v>
      </c>
      <c r="G192" s="529">
        <f t="array" ref="G192">SUM(IF(CertFund&amp;CertProg&amp;CertObj=RIGHT(LEFT($A$2,7),2)&amp;LEFT(A189,4)&amp;B190,CertBen))</f>
        <v>0</v>
      </c>
      <c r="H192" s="527">
        <v>0</v>
      </c>
      <c r="I192" s="566">
        <f>SUM(G192+H192)</f>
        <v>0</v>
      </c>
    </row>
    <row r="193" spans="1:10" x14ac:dyDescent="0.15">
      <c r="A193" s="115"/>
      <c r="B193" s="152" t="s">
        <v>1578</v>
      </c>
      <c r="C193" s="115" t="s">
        <v>511</v>
      </c>
      <c r="D193" s="147">
        <v>0</v>
      </c>
      <c r="E193" s="147">
        <v>0</v>
      </c>
      <c r="F193" s="147">
        <v>0</v>
      </c>
      <c r="G193" s="147">
        <v>0</v>
      </c>
      <c r="H193" s="150">
        <v>0</v>
      </c>
      <c r="I193" s="567">
        <f>SUM(G193+H193)</f>
        <v>0</v>
      </c>
      <c r="J193" s="309"/>
    </row>
    <row r="194" spans="1:10" ht="10.5" customHeight="1" x14ac:dyDescent="0.15">
      <c r="A194" s="35"/>
      <c r="B194" s="152" t="s">
        <v>1579</v>
      </c>
      <c r="C194" s="115" t="s">
        <v>118</v>
      </c>
      <c r="D194" s="147">
        <v>0</v>
      </c>
      <c r="E194" s="147">
        <v>0</v>
      </c>
      <c r="F194" s="147">
        <v>0</v>
      </c>
      <c r="G194" s="147">
        <v>0</v>
      </c>
      <c r="H194" s="316">
        <v>0</v>
      </c>
      <c r="I194" s="535">
        <f t="shared" ref="I194:I217" si="5">SUM(G194+H194)</f>
        <v>0</v>
      </c>
    </row>
    <row r="195" spans="1:10" ht="10.5" customHeight="1" x14ac:dyDescent="0.15">
      <c r="A195" s="35"/>
      <c r="B195" s="152" t="s">
        <v>1580</v>
      </c>
      <c r="C195" s="115" t="s">
        <v>119</v>
      </c>
      <c r="D195" s="147">
        <v>0</v>
      </c>
      <c r="E195" s="147">
        <v>0</v>
      </c>
      <c r="F195" s="147">
        <v>0</v>
      </c>
      <c r="G195" s="147">
        <v>0</v>
      </c>
      <c r="H195" s="316">
        <v>0</v>
      </c>
      <c r="I195" s="535">
        <f t="shared" si="5"/>
        <v>0</v>
      </c>
    </row>
    <row r="196" spans="1:10" ht="10.5" customHeight="1" x14ac:dyDescent="0.15">
      <c r="A196" s="35"/>
      <c r="B196" s="152" t="s">
        <v>120</v>
      </c>
      <c r="C196" s="115" t="s">
        <v>121</v>
      </c>
      <c r="D196" s="147">
        <v>0</v>
      </c>
      <c r="E196" s="147">
        <v>0</v>
      </c>
      <c r="F196" s="147">
        <v>0</v>
      </c>
      <c r="G196" s="147">
        <v>0</v>
      </c>
      <c r="H196" s="316">
        <v>0</v>
      </c>
      <c r="I196" s="535">
        <f t="shared" si="5"/>
        <v>0</v>
      </c>
    </row>
    <row r="197" spans="1:10" ht="10.5" customHeight="1" x14ac:dyDescent="0.15">
      <c r="A197" s="35"/>
      <c r="B197" s="152" t="s">
        <v>122</v>
      </c>
      <c r="C197" s="115" t="s">
        <v>123</v>
      </c>
      <c r="D197" s="147">
        <v>0</v>
      </c>
      <c r="E197" s="147">
        <v>0</v>
      </c>
      <c r="F197" s="147">
        <v>0</v>
      </c>
      <c r="G197" s="147">
        <v>0</v>
      </c>
      <c r="H197" s="316">
        <v>0</v>
      </c>
      <c r="I197" s="535">
        <f t="shared" si="5"/>
        <v>0</v>
      </c>
    </row>
    <row r="198" spans="1:10" ht="10.5" customHeight="1" x14ac:dyDescent="0.15">
      <c r="A198" s="35"/>
      <c r="B198" s="152" t="s">
        <v>1581</v>
      </c>
      <c r="C198" s="115" t="s">
        <v>124</v>
      </c>
      <c r="D198" s="147">
        <v>0</v>
      </c>
      <c r="E198" s="147">
        <v>0</v>
      </c>
      <c r="F198" s="147">
        <v>0</v>
      </c>
      <c r="G198" s="147">
        <v>0</v>
      </c>
      <c r="H198" s="316">
        <v>0</v>
      </c>
      <c r="I198" s="535">
        <f t="shared" si="5"/>
        <v>0</v>
      </c>
    </row>
    <row r="199" spans="1:10" ht="10.5" customHeight="1" x14ac:dyDescent="0.15">
      <c r="A199" s="35"/>
      <c r="B199" s="152" t="s">
        <v>1624</v>
      </c>
      <c r="C199" s="115" t="s">
        <v>840</v>
      </c>
      <c r="D199" s="147">
        <v>0</v>
      </c>
      <c r="E199" s="147">
        <v>0</v>
      </c>
      <c r="F199" s="147">
        <v>0</v>
      </c>
      <c r="G199" s="147">
        <v>0</v>
      </c>
      <c r="H199" s="316">
        <v>0</v>
      </c>
      <c r="I199" s="535">
        <f t="shared" si="5"/>
        <v>0</v>
      </c>
    </row>
    <row r="200" spans="1:10" ht="10.5" customHeight="1" x14ac:dyDescent="0.15">
      <c r="A200" s="35"/>
      <c r="B200" s="152" t="s">
        <v>1625</v>
      </c>
      <c r="C200" s="115" t="s">
        <v>842</v>
      </c>
      <c r="D200" s="147">
        <v>0</v>
      </c>
      <c r="E200" s="147">
        <v>0</v>
      </c>
      <c r="F200" s="147">
        <v>0</v>
      </c>
      <c r="G200" s="147">
        <v>0</v>
      </c>
      <c r="H200" s="316">
        <v>0</v>
      </c>
      <c r="I200" s="535">
        <f t="shared" si="5"/>
        <v>0</v>
      </c>
    </row>
    <row r="201" spans="1:10" ht="10.5" customHeight="1" x14ac:dyDescent="0.15">
      <c r="A201" s="35"/>
      <c r="B201" s="152" t="s">
        <v>843</v>
      </c>
      <c r="C201" s="115" t="s">
        <v>848</v>
      </c>
      <c r="D201" s="147">
        <v>0</v>
      </c>
      <c r="E201" s="147">
        <v>0</v>
      </c>
      <c r="F201" s="147">
        <v>0</v>
      </c>
      <c r="G201" s="147">
        <v>0</v>
      </c>
      <c r="H201" s="316">
        <v>0</v>
      </c>
      <c r="I201" s="535">
        <f t="shared" si="5"/>
        <v>0</v>
      </c>
    </row>
    <row r="202" spans="1:10" ht="10.5" customHeight="1" x14ac:dyDescent="0.15">
      <c r="A202" s="35"/>
      <c r="B202" s="152" t="s">
        <v>844</v>
      </c>
      <c r="C202" s="115" t="s">
        <v>186</v>
      </c>
      <c r="D202" s="147">
        <v>0</v>
      </c>
      <c r="E202" s="147">
        <v>0</v>
      </c>
      <c r="F202" s="147">
        <v>0</v>
      </c>
      <c r="G202" s="147">
        <v>0</v>
      </c>
      <c r="H202" s="316">
        <v>0</v>
      </c>
      <c r="I202" s="535">
        <f t="shared" si="5"/>
        <v>0</v>
      </c>
    </row>
    <row r="203" spans="1:10" ht="10.5" customHeight="1" x14ac:dyDescent="0.15">
      <c r="A203" s="35"/>
      <c r="B203" s="152" t="s">
        <v>845</v>
      </c>
      <c r="C203" s="115" t="s">
        <v>154</v>
      </c>
      <c r="D203" s="147">
        <v>0</v>
      </c>
      <c r="E203" s="147">
        <v>0</v>
      </c>
      <c r="F203" s="147">
        <v>0</v>
      </c>
      <c r="G203" s="147">
        <v>0</v>
      </c>
      <c r="H203" s="316">
        <v>0</v>
      </c>
      <c r="I203" s="535">
        <f t="shared" si="5"/>
        <v>0</v>
      </c>
    </row>
    <row r="204" spans="1:10" ht="10.5" customHeight="1" x14ac:dyDescent="0.15">
      <c r="A204" s="35"/>
      <c r="B204" s="152" t="s">
        <v>846</v>
      </c>
      <c r="C204" s="115" t="s">
        <v>155</v>
      </c>
      <c r="D204" s="147">
        <v>0</v>
      </c>
      <c r="E204" s="147">
        <v>0</v>
      </c>
      <c r="F204" s="147">
        <v>0</v>
      </c>
      <c r="G204" s="147">
        <v>0</v>
      </c>
      <c r="H204" s="316">
        <v>0</v>
      </c>
      <c r="I204" s="535">
        <f t="shared" si="5"/>
        <v>0</v>
      </c>
    </row>
    <row r="205" spans="1:10" ht="10.5" customHeight="1" x14ac:dyDescent="0.15">
      <c r="A205" s="35"/>
      <c r="B205" s="152" t="s">
        <v>332</v>
      </c>
      <c r="C205" s="115" t="s">
        <v>463</v>
      </c>
      <c r="D205" s="147">
        <v>0</v>
      </c>
      <c r="E205" s="147">
        <v>0</v>
      </c>
      <c r="F205" s="147">
        <v>0</v>
      </c>
      <c r="G205" s="147">
        <v>0</v>
      </c>
      <c r="H205" s="316">
        <v>0</v>
      </c>
      <c r="I205" s="535">
        <f t="shared" si="5"/>
        <v>0</v>
      </c>
    </row>
    <row r="206" spans="1:10" ht="10.5" customHeight="1" x14ac:dyDescent="0.15">
      <c r="A206" s="35"/>
      <c r="B206" s="152" t="s">
        <v>1582</v>
      </c>
      <c r="C206" s="115" t="s">
        <v>156</v>
      </c>
      <c r="D206" s="147">
        <v>0</v>
      </c>
      <c r="E206" s="147">
        <v>0</v>
      </c>
      <c r="F206" s="147">
        <v>0</v>
      </c>
      <c r="G206" s="147">
        <v>0</v>
      </c>
      <c r="H206" s="316">
        <v>0</v>
      </c>
      <c r="I206" s="535">
        <f t="shared" si="5"/>
        <v>0</v>
      </c>
    </row>
    <row r="207" spans="1:10" ht="10.5" customHeight="1" x14ac:dyDescent="0.15">
      <c r="A207" s="35"/>
      <c r="B207" s="152" t="s">
        <v>847</v>
      </c>
      <c r="C207" s="115" t="s">
        <v>157</v>
      </c>
      <c r="D207" s="147">
        <v>0</v>
      </c>
      <c r="E207" s="147">
        <v>0</v>
      </c>
      <c r="F207" s="147">
        <v>0</v>
      </c>
      <c r="G207" s="147">
        <v>0</v>
      </c>
      <c r="H207" s="316">
        <v>0</v>
      </c>
      <c r="I207" s="535">
        <f t="shared" si="5"/>
        <v>0</v>
      </c>
    </row>
    <row r="208" spans="1:10" ht="10.5" customHeight="1" x14ac:dyDescent="0.15">
      <c r="A208" s="35"/>
      <c r="B208" s="152" t="s">
        <v>1583</v>
      </c>
      <c r="C208" s="115" t="s">
        <v>160</v>
      </c>
      <c r="D208" s="147">
        <v>0</v>
      </c>
      <c r="E208" s="147">
        <v>0</v>
      </c>
      <c r="F208" s="147">
        <v>0</v>
      </c>
      <c r="G208" s="147">
        <v>0</v>
      </c>
      <c r="H208" s="316">
        <v>0</v>
      </c>
      <c r="I208" s="535">
        <f t="shared" si="5"/>
        <v>0</v>
      </c>
    </row>
    <row r="209" spans="1:10" ht="10.5" customHeight="1" x14ac:dyDescent="0.15">
      <c r="A209" s="35"/>
      <c r="B209" s="152" t="s">
        <v>634</v>
      </c>
      <c r="C209" s="115" t="s">
        <v>165</v>
      </c>
      <c r="D209" s="147">
        <v>0</v>
      </c>
      <c r="E209" s="147">
        <v>0</v>
      </c>
      <c r="F209" s="147">
        <v>0</v>
      </c>
      <c r="G209" s="147">
        <v>0</v>
      </c>
      <c r="H209" s="316">
        <v>0</v>
      </c>
      <c r="I209" s="535">
        <f t="shared" si="5"/>
        <v>0</v>
      </c>
    </row>
    <row r="210" spans="1:10" ht="10.5" customHeight="1" x14ac:dyDescent="0.15">
      <c r="A210" s="35"/>
      <c r="B210" s="152" t="s">
        <v>630</v>
      </c>
      <c r="C210" s="115" t="s">
        <v>172</v>
      </c>
      <c r="D210" s="147">
        <v>0</v>
      </c>
      <c r="E210" s="147">
        <v>0</v>
      </c>
      <c r="F210" s="147">
        <v>0</v>
      </c>
      <c r="G210" s="147">
        <v>0</v>
      </c>
      <c r="H210" s="316">
        <v>0</v>
      </c>
      <c r="I210" s="535">
        <f t="shared" si="5"/>
        <v>0</v>
      </c>
    </row>
    <row r="211" spans="1:10" ht="10.5" customHeight="1" x14ac:dyDescent="0.15">
      <c r="A211" s="35"/>
      <c r="B211" s="652" t="s">
        <v>631</v>
      </c>
      <c r="C211" s="653" t="s">
        <v>173</v>
      </c>
      <c r="D211" s="147">
        <v>0</v>
      </c>
      <c r="E211" s="147">
        <v>0</v>
      </c>
      <c r="F211" s="147">
        <v>0</v>
      </c>
      <c r="G211" s="147">
        <v>0</v>
      </c>
      <c r="H211" s="316">
        <v>0</v>
      </c>
      <c r="I211" s="535">
        <f t="shared" si="5"/>
        <v>0</v>
      </c>
    </row>
    <row r="212" spans="1:10" ht="10.5" customHeight="1" x14ac:dyDescent="0.15">
      <c r="A212" s="35"/>
      <c r="B212" s="152" t="s">
        <v>1584</v>
      </c>
      <c r="C212" s="115" t="s">
        <v>178</v>
      </c>
      <c r="D212" s="147">
        <v>0</v>
      </c>
      <c r="E212" s="147">
        <v>0</v>
      </c>
      <c r="F212" s="147">
        <v>0</v>
      </c>
      <c r="G212" s="147">
        <v>0</v>
      </c>
      <c r="H212" s="316">
        <v>0</v>
      </c>
      <c r="I212" s="535">
        <f t="shared" si="5"/>
        <v>0</v>
      </c>
    </row>
    <row r="213" spans="1:10" ht="10.5" customHeight="1" x14ac:dyDescent="0.15">
      <c r="A213" s="35"/>
      <c r="B213" s="152" t="s">
        <v>174</v>
      </c>
      <c r="C213" s="115" t="s">
        <v>179</v>
      </c>
      <c r="D213" s="147">
        <v>0</v>
      </c>
      <c r="E213" s="147">
        <v>0</v>
      </c>
      <c r="F213" s="147">
        <v>0</v>
      </c>
      <c r="G213" s="147">
        <v>0</v>
      </c>
      <c r="H213" s="316">
        <v>0</v>
      </c>
      <c r="I213" s="535">
        <f t="shared" si="5"/>
        <v>0</v>
      </c>
    </row>
    <row r="214" spans="1:10" ht="10.5" customHeight="1" x14ac:dyDescent="0.15">
      <c r="A214" s="35"/>
      <c r="B214" s="152" t="s">
        <v>175</v>
      </c>
      <c r="C214" s="115" t="s">
        <v>180</v>
      </c>
      <c r="D214" s="147">
        <v>0</v>
      </c>
      <c r="E214" s="147">
        <v>0</v>
      </c>
      <c r="F214" s="147">
        <v>0</v>
      </c>
      <c r="G214" s="147">
        <v>0</v>
      </c>
      <c r="H214" s="316">
        <v>0</v>
      </c>
      <c r="I214" s="535">
        <f t="shared" si="5"/>
        <v>0</v>
      </c>
    </row>
    <row r="215" spans="1:10" ht="10.5" customHeight="1" x14ac:dyDescent="0.15">
      <c r="A215" s="35"/>
      <c r="B215" s="152" t="s">
        <v>176</v>
      </c>
      <c r="C215" s="115" t="s">
        <v>181</v>
      </c>
      <c r="D215" s="147">
        <v>0</v>
      </c>
      <c r="E215" s="147">
        <v>0</v>
      </c>
      <c r="F215" s="147">
        <v>0</v>
      </c>
      <c r="G215" s="147">
        <v>0</v>
      </c>
      <c r="H215" s="316">
        <v>0</v>
      </c>
      <c r="I215" s="535">
        <f t="shared" si="5"/>
        <v>0</v>
      </c>
    </row>
    <row r="216" spans="1:10" ht="10.5" customHeight="1" x14ac:dyDescent="0.15">
      <c r="A216" s="35"/>
      <c r="B216" s="152" t="s">
        <v>177</v>
      </c>
      <c r="C216" s="115" t="s">
        <v>182</v>
      </c>
      <c r="D216" s="147">
        <v>0</v>
      </c>
      <c r="E216" s="147">
        <v>0</v>
      </c>
      <c r="F216" s="147">
        <v>0</v>
      </c>
      <c r="G216" s="147">
        <v>0</v>
      </c>
      <c r="H216" s="316">
        <v>0</v>
      </c>
      <c r="I216" s="535">
        <f t="shared" si="5"/>
        <v>0</v>
      </c>
    </row>
    <row r="217" spans="1:10" ht="10.5" customHeight="1" thickBot="1" x14ac:dyDescent="0.2">
      <c r="A217" s="35"/>
      <c r="B217" s="152" t="s">
        <v>632</v>
      </c>
      <c r="C217" s="115" t="s">
        <v>183</v>
      </c>
      <c r="D217" s="144">
        <v>0</v>
      </c>
      <c r="E217" s="144">
        <v>0</v>
      </c>
      <c r="F217" s="144">
        <v>0</v>
      </c>
      <c r="G217" s="147">
        <v>0</v>
      </c>
      <c r="H217" s="318">
        <v>0</v>
      </c>
      <c r="I217" s="574">
        <f t="shared" si="5"/>
        <v>0</v>
      </c>
    </row>
    <row r="218" spans="1:10" ht="10.5" customHeight="1" thickTop="1" thickBot="1" x14ac:dyDescent="0.2">
      <c r="A218" s="35"/>
      <c r="B218" s="152"/>
      <c r="C218" s="115" t="s">
        <v>624</v>
      </c>
      <c r="D218" s="169">
        <f>SUM(D190:D217)</f>
        <v>0</v>
      </c>
      <c r="E218" s="169">
        <f>SUM(E190:E217)</f>
        <v>0</v>
      </c>
      <c r="F218" s="169">
        <f>SUM(F190:F217)</f>
        <v>0</v>
      </c>
      <c r="G218" s="169">
        <f>SUM(G190:G217)</f>
        <v>0</v>
      </c>
      <c r="H218" s="169">
        <f>SUM(H190:H217)</f>
        <v>0</v>
      </c>
      <c r="I218" s="304">
        <f>G218+H218</f>
        <v>0</v>
      </c>
    </row>
    <row r="219" spans="1:10" ht="10.5" customHeight="1" thickTop="1" x14ac:dyDescent="0.15">
      <c r="A219" s="35"/>
      <c r="B219" s="152"/>
      <c r="C219" s="115"/>
      <c r="D219" s="14"/>
      <c r="E219" s="14"/>
      <c r="F219" s="14"/>
      <c r="G219" s="14"/>
      <c r="H219" s="319"/>
      <c r="I219" s="571"/>
    </row>
    <row r="220" spans="1:10" ht="10.5" customHeight="1" x14ac:dyDescent="0.15">
      <c r="A220" s="35" t="s">
        <v>656</v>
      </c>
      <c r="C220" s="115"/>
      <c r="D220" s="14"/>
      <c r="E220" s="14"/>
      <c r="F220" s="14"/>
      <c r="G220" s="14"/>
      <c r="H220" s="315"/>
      <c r="I220" s="569"/>
    </row>
    <row r="221" spans="1:10" s="309" customFormat="1" x14ac:dyDescent="0.15">
      <c r="B221" s="311" t="s">
        <v>1577</v>
      </c>
      <c r="C221" s="312" t="s">
        <v>228</v>
      </c>
      <c r="D221" s="316">
        <v>0</v>
      </c>
      <c r="E221" s="316">
        <v>0</v>
      </c>
      <c r="F221" s="316">
        <v>0</v>
      </c>
      <c r="G221" s="528">
        <f t="array" ref="G221">SUM(IF(CertFund&amp;CertProg&amp;CertObj=RIGHT(LEFT($A$2,7),2)&amp;LEFT(A220,4)&amp;B221,CertSalary))</f>
        <v>0</v>
      </c>
      <c r="H221" s="527">
        <v>0</v>
      </c>
      <c r="I221" s="566">
        <f>SUM(G221+H221)</f>
        <v>0</v>
      </c>
    </row>
    <row r="222" spans="1:10" s="309" customFormat="1" x14ac:dyDescent="0.15">
      <c r="B222" s="311" t="s">
        <v>1577</v>
      </c>
      <c r="C222" s="312" t="s">
        <v>510</v>
      </c>
      <c r="D222" s="316">
        <v>0</v>
      </c>
      <c r="E222" s="316">
        <v>0</v>
      </c>
      <c r="F222" s="316">
        <v>0</v>
      </c>
      <c r="G222" s="316">
        <v>0</v>
      </c>
      <c r="H222" s="527">
        <v>0</v>
      </c>
      <c r="I222" s="566">
        <f>SUM(G222+H222)</f>
        <v>0</v>
      </c>
    </row>
    <row r="223" spans="1:10" s="309" customFormat="1" x14ac:dyDescent="0.15">
      <c r="A223" s="312"/>
      <c r="B223" s="311" t="s">
        <v>1578</v>
      </c>
      <c r="C223" s="312" t="s">
        <v>936</v>
      </c>
      <c r="D223" s="316">
        <v>0</v>
      </c>
      <c r="E223" s="316">
        <v>0</v>
      </c>
      <c r="F223" s="316">
        <v>0</v>
      </c>
      <c r="G223" s="529">
        <f t="array" ref="G223">SUM(IF(CertFund&amp;CertProg&amp;CertObj=RIGHT(LEFT($A$2,7),2)&amp;LEFT(A220,4)&amp;B221,CertBen))</f>
        <v>0</v>
      </c>
      <c r="H223" s="527">
        <v>0</v>
      </c>
      <c r="I223" s="566">
        <f>SUM(G223+H223)</f>
        <v>0</v>
      </c>
    </row>
    <row r="224" spans="1:10" x14ac:dyDescent="0.15">
      <c r="A224" s="115"/>
      <c r="B224" s="152" t="s">
        <v>1578</v>
      </c>
      <c r="C224" s="115" t="s">
        <v>511</v>
      </c>
      <c r="D224" s="147">
        <v>0</v>
      </c>
      <c r="E224" s="147">
        <v>0</v>
      </c>
      <c r="F224" s="147">
        <v>0</v>
      </c>
      <c r="G224" s="147">
        <v>0</v>
      </c>
      <c r="H224" s="150">
        <v>0</v>
      </c>
      <c r="I224" s="567">
        <f>SUM(G224+H224)</f>
        <v>0</v>
      </c>
      <c r="J224" s="309"/>
    </row>
    <row r="225" spans="1:9" ht="10.5" customHeight="1" x14ac:dyDescent="0.15">
      <c r="A225" s="35"/>
      <c r="B225" s="152" t="s">
        <v>1579</v>
      </c>
      <c r="C225" s="115" t="s">
        <v>118</v>
      </c>
      <c r="D225" s="147">
        <v>0</v>
      </c>
      <c r="E225" s="147">
        <v>0</v>
      </c>
      <c r="F225" s="147">
        <v>0</v>
      </c>
      <c r="G225" s="147">
        <v>0</v>
      </c>
      <c r="H225" s="316">
        <v>0</v>
      </c>
      <c r="I225" s="535">
        <f t="shared" ref="I225:I248" si="6">SUM(G225+H225)</f>
        <v>0</v>
      </c>
    </row>
    <row r="226" spans="1:9" ht="10.5" customHeight="1" x14ac:dyDescent="0.15">
      <c r="A226" s="35"/>
      <c r="B226" s="152" t="s">
        <v>1580</v>
      </c>
      <c r="C226" s="115" t="s">
        <v>119</v>
      </c>
      <c r="D226" s="147">
        <v>0</v>
      </c>
      <c r="E226" s="147">
        <v>0</v>
      </c>
      <c r="F226" s="147">
        <v>0</v>
      </c>
      <c r="G226" s="147">
        <v>0</v>
      </c>
      <c r="H226" s="316">
        <v>0</v>
      </c>
      <c r="I226" s="535">
        <f t="shared" si="6"/>
        <v>0</v>
      </c>
    </row>
    <row r="227" spans="1:9" ht="10.5" customHeight="1" x14ac:dyDescent="0.15">
      <c r="A227" s="35"/>
      <c r="B227" s="152" t="s">
        <v>120</v>
      </c>
      <c r="C227" s="115" t="s">
        <v>121</v>
      </c>
      <c r="D227" s="147">
        <v>0</v>
      </c>
      <c r="E227" s="147">
        <v>0</v>
      </c>
      <c r="F227" s="147">
        <v>0</v>
      </c>
      <c r="G227" s="147">
        <v>0</v>
      </c>
      <c r="H227" s="316">
        <v>0</v>
      </c>
      <c r="I227" s="535">
        <f t="shared" si="6"/>
        <v>0</v>
      </c>
    </row>
    <row r="228" spans="1:9" ht="10.5" customHeight="1" x14ac:dyDescent="0.15">
      <c r="A228" s="35"/>
      <c r="B228" s="152" t="s">
        <v>122</v>
      </c>
      <c r="C228" s="115" t="s">
        <v>123</v>
      </c>
      <c r="D228" s="147">
        <v>0</v>
      </c>
      <c r="E228" s="147">
        <v>0</v>
      </c>
      <c r="F228" s="147">
        <v>0</v>
      </c>
      <c r="G228" s="147">
        <v>0</v>
      </c>
      <c r="H228" s="316">
        <v>0</v>
      </c>
      <c r="I228" s="535">
        <f t="shared" si="6"/>
        <v>0</v>
      </c>
    </row>
    <row r="229" spans="1:9" ht="10.5" customHeight="1" x14ac:dyDescent="0.15">
      <c r="A229" s="35"/>
      <c r="B229" s="152" t="s">
        <v>1581</v>
      </c>
      <c r="C229" s="115" t="s">
        <v>124</v>
      </c>
      <c r="D229" s="147">
        <v>0</v>
      </c>
      <c r="E229" s="147">
        <v>0</v>
      </c>
      <c r="F229" s="147">
        <v>0</v>
      </c>
      <c r="G229" s="147">
        <v>0</v>
      </c>
      <c r="H229" s="316">
        <v>0</v>
      </c>
      <c r="I229" s="535">
        <f t="shared" si="6"/>
        <v>0</v>
      </c>
    </row>
    <row r="230" spans="1:9" ht="10.5" customHeight="1" x14ac:dyDescent="0.15">
      <c r="A230" s="35"/>
      <c r="B230" s="152" t="s">
        <v>132</v>
      </c>
      <c r="C230" s="115" t="s">
        <v>1617</v>
      </c>
      <c r="D230" s="147">
        <v>0</v>
      </c>
      <c r="E230" s="147">
        <v>0</v>
      </c>
      <c r="F230" s="147">
        <v>0</v>
      </c>
      <c r="G230" s="147">
        <v>0</v>
      </c>
      <c r="H230" s="316">
        <v>0</v>
      </c>
      <c r="I230" s="535">
        <f t="shared" si="6"/>
        <v>0</v>
      </c>
    </row>
    <row r="231" spans="1:9" ht="10.5" customHeight="1" x14ac:dyDescent="0.15">
      <c r="A231" s="35"/>
      <c r="B231" s="152" t="s">
        <v>675</v>
      </c>
      <c r="C231" s="115" t="s">
        <v>698</v>
      </c>
      <c r="D231" s="147">
        <v>0</v>
      </c>
      <c r="E231" s="147">
        <v>0</v>
      </c>
      <c r="F231" s="147">
        <v>0</v>
      </c>
      <c r="G231" s="147">
        <v>0</v>
      </c>
      <c r="H231" s="316">
        <v>0</v>
      </c>
      <c r="I231" s="535">
        <f t="shared" si="6"/>
        <v>0</v>
      </c>
    </row>
    <row r="232" spans="1:9" ht="10.5" customHeight="1" x14ac:dyDescent="0.15">
      <c r="A232" s="35"/>
      <c r="B232" s="152" t="s">
        <v>1624</v>
      </c>
      <c r="C232" s="115" t="s">
        <v>840</v>
      </c>
      <c r="D232" s="147">
        <v>0</v>
      </c>
      <c r="E232" s="147">
        <v>0</v>
      </c>
      <c r="F232" s="147">
        <v>0</v>
      </c>
      <c r="G232" s="147">
        <v>0</v>
      </c>
      <c r="H232" s="316">
        <v>0</v>
      </c>
      <c r="I232" s="535">
        <f t="shared" si="6"/>
        <v>0</v>
      </c>
    </row>
    <row r="233" spans="1:9" ht="10.5" customHeight="1" x14ac:dyDescent="0.15">
      <c r="A233" s="35"/>
      <c r="B233" s="152" t="s">
        <v>1625</v>
      </c>
      <c r="C233" s="115" t="s">
        <v>842</v>
      </c>
      <c r="D233" s="147">
        <v>0</v>
      </c>
      <c r="E233" s="147">
        <v>0</v>
      </c>
      <c r="F233" s="147">
        <v>0</v>
      </c>
      <c r="G233" s="147">
        <v>0</v>
      </c>
      <c r="H233" s="316">
        <v>0</v>
      </c>
      <c r="I233" s="535">
        <f t="shared" si="6"/>
        <v>0</v>
      </c>
    </row>
    <row r="234" spans="1:9" ht="10.5" customHeight="1" x14ac:dyDescent="0.15">
      <c r="A234" s="35"/>
      <c r="B234" s="152" t="s">
        <v>843</v>
      </c>
      <c r="C234" s="115" t="s">
        <v>848</v>
      </c>
      <c r="D234" s="147">
        <v>0</v>
      </c>
      <c r="E234" s="147">
        <v>0</v>
      </c>
      <c r="F234" s="147">
        <v>0</v>
      </c>
      <c r="G234" s="147">
        <v>0</v>
      </c>
      <c r="H234" s="316">
        <v>0</v>
      </c>
      <c r="I234" s="535">
        <f t="shared" si="6"/>
        <v>0</v>
      </c>
    </row>
    <row r="235" spans="1:9" ht="10.5" customHeight="1" x14ac:dyDescent="0.15">
      <c r="A235" s="35"/>
      <c r="B235" s="152" t="s">
        <v>844</v>
      </c>
      <c r="C235" s="115" t="s">
        <v>186</v>
      </c>
      <c r="D235" s="147">
        <v>0</v>
      </c>
      <c r="E235" s="147">
        <v>0</v>
      </c>
      <c r="F235" s="147">
        <v>0</v>
      </c>
      <c r="G235" s="147">
        <v>0</v>
      </c>
      <c r="H235" s="316">
        <v>0</v>
      </c>
      <c r="I235" s="535">
        <f t="shared" si="6"/>
        <v>0</v>
      </c>
    </row>
    <row r="236" spans="1:9" ht="10.5" customHeight="1" x14ac:dyDescent="0.15">
      <c r="A236" s="35"/>
      <c r="B236" s="152" t="s">
        <v>845</v>
      </c>
      <c r="C236" s="115" t="s">
        <v>154</v>
      </c>
      <c r="D236" s="147">
        <v>0</v>
      </c>
      <c r="E236" s="147">
        <v>0</v>
      </c>
      <c r="F236" s="147">
        <v>0</v>
      </c>
      <c r="G236" s="147">
        <v>0</v>
      </c>
      <c r="H236" s="316">
        <v>0</v>
      </c>
      <c r="I236" s="535">
        <f t="shared" si="6"/>
        <v>0</v>
      </c>
    </row>
    <row r="237" spans="1:9" ht="10.5" customHeight="1" x14ac:dyDescent="0.15">
      <c r="A237" s="35"/>
      <c r="B237" s="152" t="s">
        <v>846</v>
      </c>
      <c r="C237" s="115" t="s">
        <v>155</v>
      </c>
      <c r="D237" s="147">
        <v>0</v>
      </c>
      <c r="E237" s="147">
        <v>0</v>
      </c>
      <c r="F237" s="147">
        <v>0</v>
      </c>
      <c r="G237" s="147">
        <v>0</v>
      </c>
      <c r="H237" s="316">
        <v>0</v>
      </c>
      <c r="I237" s="535">
        <f t="shared" si="6"/>
        <v>0</v>
      </c>
    </row>
    <row r="238" spans="1:9" ht="10.5" customHeight="1" x14ac:dyDescent="0.15">
      <c r="A238" s="35"/>
      <c r="B238" s="152" t="s">
        <v>1582</v>
      </c>
      <c r="C238" s="115" t="s">
        <v>156</v>
      </c>
      <c r="D238" s="147">
        <v>0</v>
      </c>
      <c r="E238" s="147">
        <v>0</v>
      </c>
      <c r="F238" s="147">
        <v>0</v>
      </c>
      <c r="G238" s="147">
        <v>0</v>
      </c>
      <c r="H238" s="316">
        <v>0</v>
      </c>
      <c r="I238" s="535">
        <f t="shared" si="6"/>
        <v>0</v>
      </c>
    </row>
    <row r="239" spans="1:9" ht="10.5" customHeight="1" x14ac:dyDescent="0.15">
      <c r="A239" s="35"/>
      <c r="B239" s="152" t="s">
        <v>847</v>
      </c>
      <c r="C239" s="115" t="s">
        <v>157</v>
      </c>
      <c r="D239" s="147">
        <v>0</v>
      </c>
      <c r="E239" s="147">
        <v>0</v>
      </c>
      <c r="F239" s="147">
        <v>0</v>
      </c>
      <c r="G239" s="147">
        <v>0</v>
      </c>
      <c r="H239" s="316">
        <v>0</v>
      </c>
      <c r="I239" s="535">
        <f t="shared" si="6"/>
        <v>0</v>
      </c>
    </row>
    <row r="240" spans="1:9" ht="10.5" customHeight="1" x14ac:dyDescent="0.15">
      <c r="A240" s="35"/>
      <c r="B240" s="152" t="s">
        <v>1583</v>
      </c>
      <c r="C240" s="115" t="s">
        <v>160</v>
      </c>
      <c r="D240" s="147">
        <v>0</v>
      </c>
      <c r="E240" s="147">
        <v>0</v>
      </c>
      <c r="F240" s="147">
        <v>0</v>
      </c>
      <c r="G240" s="147">
        <v>0</v>
      </c>
      <c r="H240" s="316">
        <v>0</v>
      </c>
      <c r="I240" s="535">
        <f t="shared" si="6"/>
        <v>0</v>
      </c>
    </row>
    <row r="241" spans="1:9" ht="10.5" customHeight="1" x14ac:dyDescent="0.15">
      <c r="A241" s="35"/>
      <c r="B241" s="152" t="s">
        <v>634</v>
      </c>
      <c r="C241" s="115" t="s">
        <v>165</v>
      </c>
      <c r="D241" s="147">
        <v>0</v>
      </c>
      <c r="E241" s="147">
        <v>0</v>
      </c>
      <c r="F241" s="147">
        <v>0</v>
      </c>
      <c r="G241" s="147">
        <v>0</v>
      </c>
      <c r="H241" s="316">
        <v>0</v>
      </c>
      <c r="I241" s="535">
        <f t="shared" si="6"/>
        <v>0</v>
      </c>
    </row>
    <row r="242" spans="1:9" ht="10.5" customHeight="1" x14ac:dyDescent="0.15">
      <c r="A242" s="35"/>
      <c r="B242" s="152" t="s">
        <v>202</v>
      </c>
      <c r="C242" s="115" t="s">
        <v>171</v>
      </c>
      <c r="D242" s="147">
        <v>0</v>
      </c>
      <c r="E242" s="147">
        <v>0</v>
      </c>
      <c r="F242" s="147">
        <v>0</v>
      </c>
      <c r="G242" s="147">
        <v>0</v>
      </c>
      <c r="H242" s="316">
        <v>0</v>
      </c>
      <c r="I242" s="535">
        <f t="shared" si="6"/>
        <v>0</v>
      </c>
    </row>
    <row r="243" spans="1:9" ht="10.5" customHeight="1" x14ac:dyDescent="0.15">
      <c r="A243" s="35"/>
      <c r="B243" s="152" t="s">
        <v>630</v>
      </c>
      <c r="C243" s="115" t="s">
        <v>172</v>
      </c>
      <c r="D243" s="147">
        <v>0</v>
      </c>
      <c r="E243" s="147">
        <v>0</v>
      </c>
      <c r="F243" s="147">
        <v>0</v>
      </c>
      <c r="G243" s="147">
        <v>0</v>
      </c>
      <c r="H243" s="316">
        <v>0</v>
      </c>
      <c r="I243" s="535">
        <f t="shared" si="6"/>
        <v>0</v>
      </c>
    </row>
    <row r="244" spans="1:9" ht="10.5" customHeight="1" x14ac:dyDescent="0.15">
      <c r="A244" s="35"/>
      <c r="B244" s="652" t="s">
        <v>631</v>
      </c>
      <c r="C244" s="653" t="s">
        <v>173</v>
      </c>
      <c r="D244" s="147">
        <v>0</v>
      </c>
      <c r="E244" s="147">
        <v>0</v>
      </c>
      <c r="F244" s="147">
        <v>0</v>
      </c>
      <c r="G244" s="147">
        <v>0</v>
      </c>
      <c r="H244" s="316">
        <v>0</v>
      </c>
      <c r="I244" s="535">
        <f t="shared" si="6"/>
        <v>0</v>
      </c>
    </row>
    <row r="245" spans="1:9" ht="10.5" customHeight="1" x14ac:dyDescent="0.15">
      <c r="A245" s="35"/>
      <c r="B245" s="152" t="s">
        <v>1584</v>
      </c>
      <c r="C245" s="115" t="s">
        <v>178</v>
      </c>
      <c r="D245" s="147">
        <v>0</v>
      </c>
      <c r="E245" s="147">
        <v>0</v>
      </c>
      <c r="F245" s="147">
        <v>0</v>
      </c>
      <c r="G245" s="147">
        <v>0</v>
      </c>
      <c r="H245" s="316">
        <v>0</v>
      </c>
      <c r="I245" s="535">
        <f t="shared" si="6"/>
        <v>0</v>
      </c>
    </row>
    <row r="246" spans="1:9" ht="10.5" customHeight="1" x14ac:dyDescent="0.15">
      <c r="A246" s="35"/>
      <c r="B246" s="152" t="s">
        <v>174</v>
      </c>
      <c r="C246" s="115" t="s">
        <v>179</v>
      </c>
      <c r="D246" s="147">
        <v>0</v>
      </c>
      <c r="E246" s="147">
        <v>0</v>
      </c>
      <c r="F246" s="147">
        <v>0</v>
      </c>
      <c r="G246" s="147">
        <v>0</v>
      </c>
      <c r="H246" s="316">
        <v>0</v>
      </c>
      <c r="I246" s="535">
        <f t="shared" si="6"/>
        <v>0</v>
      </c>
    </row>
    <row r="247" spans="1:9" ht="10.5" customHeight="1" x14ac:dyDescent="0.15">
      <c r="A247" s="35"/>
      <c r="B247" s="152" t="s">
        <v>175</v>
      </c>
      <c r="C247" s="115" t="s">
        <v>180</v>
      </c>
      <c r="D247" s="147">
        <v>0</v>
      </c>
      <c r="E247" s="147">
        <v>0</v>
      </c>
      <c r="F247" s="147">
        <v>0</v>
      </c>
      <c r="G247" s="147">
        <v>0</v>
      </c>
      <c r="H247" s="316">
        <v>0</v>
      </c>
      <c r="I247" s="535">
        <f t="shared" si="6"/>
        <v>0</v>
      </c>
    </row>
    <row r="248" spans="1:9" ht="10.5" customHeight="1" x14ac:dyDescent="0.15">
      <c r="A248" s="35"/>
      <c r="B248" s="152" t="s">
        <v>176</v>
      </c>
      <c r="C248" s="115" t="s">
        <v>181</v>
      </c>
      <c r="D248" s="147">
        <v>0</v>
      </c>
      <c r="E248" s="147">
        <v>0</v>
      </c>
      <c r="F248" s="147">
        <v>0</v>
      </c>
      <c r="G248" s="147">
        <v>0</v>
      </c>
      <c r="H248" s="316">
        <v>0</v>
      </c>
      <c r="I248" s="535">
        <f t="shared" si="6"/>
        <v>0</v>
      </c>
    </row>
    <row r="249" spans="1:9" ht="10.5" customHeight="1" x14ac:dyDescent="0.15">
      <c r="A249" s="35"/>
      <c r="B249" s="152" t="s">
        <v>177</v>
      </c>
      <c r="C249" s="115" t="s">
        <v>182</v>
      </c>
      <c r="D249" s="147">
        <v>0</v>
      </c>
      <c r="E249" s="147">
        <v>0</v>
      </c>
      <c r="F249" s="147">
        <v>0</v>
      </c>
      <c r="G249" s="147">
        <v>0</v>
      </c>
      <c r="H249" s="316">
        <v>0</v>
      </c>
      <c r="I249" s="535">
        <f>SUM(G249+H249)</f>
        <v>0</v>
      </c>
    </row>
    <row r="250" spans="1:9" ht="10.5" customHeight="1" thickBot="1" x14ac:dyDescent="0.2">
      <c r="A250" s="35"/>
      <c r="B250" s="152" t="s">
        <v>632</v>
      </c>
      <c r="C250" s="115" t="s">
        <v>183</v>
      </c>
      <c r="D250" s="144">
        <v>0</v>
      </c>
      <c r="E250" s="144">
        <v>0</v>
      </c>
      <c r="F250" s="144">
        <v>0</v>
      </c>
      <c r="G250" s="147">
        <v>0</v>
      </c>
      <c r="H250" s="317">
        <v>0</v>
      </c>
      <c r="I250" s="573">
        <f>SUM(G250+H250)</f>
        <v>0</v>
      </c>
    </row>
    <row r="251" spans="1:9" ht="10.5" customHeight="1" thickTop="1" thickBot="1" x14ac:dyDescent="0.2">
      <c r="A251" s="35"/>
      <c r="B251" s="152"/>
      <c r="C251" s="115" t="s">
        <v>657</v>
      </c>
      <c r="D251" s="169">
        <f>SUM(D221:D250)</f>
        <v>0</v>
      </c>
      <c r="E251" s="169">
        <f>SUM(E221:E250)</f>
        <v>0</v>
      </c>
      <c r="F251" s="169">
        <f>SUM(F221:F250)</f>
        <v>0</v>
      </c>
      <c r="G251" s="169">
        <f>SUM(G221:G250)</f>
        <v>0</v>
      </c>
      <c r="H251" s="169">
        <f>SUM(H221:H250)</f>
        <v>0</v>
      </c>
      <c r="I251" s="304">
        <f>G251+H251</f>
        <v>0</v>
      </c>
    </row>
    <row r="252" spans="1:9" ht="10.5" customHeight="1" thickTop="1" x14ac:dyDescent="0.15">
      <c r="A252" s="35"/>
      <c r="B252" s="152"/>
      <c r="C252" s="115"/>
      <c r="D252" s="14"/>
      <c r="E252" s="14"/>
      <c r="F252" s="14"/>
      <c r="G252" s="14"/>
      <c r="H252" s="305"/>
      <c r="I252" s="305"/>
    </row>
    <row r="253" spans="1:9" ht="10.5" customHeight="1" x14ac:dyDescent="0.15">
      <c r="A253" s="35" t="s">
        <v>658</v>
      </c>
      <c r="C253" s="115"/>
      <c r="D253" s="14"/>
      <c r="E253" s="14"/>
      <c r="F253" s="14"/>
      <c r="G253" s="14"/>
      <c r="H253" s="305"/>
      <c r="I253" s="305"/>
    </row>
    <row r="254" spans="1:9" s="309" customFormat="1" x14ac:dyDescent="0.15">
      <c r="B254" s="311" t="s">
        <v>1577</v>
      </c>
      <c r="C254" s="312" t="s">
        <v>228</v>
      </c>
      <c r="D254" s="316">
        <v>0</v>
      </c>
      <c r="E254" s="316">
        <v>0</v>
      </c>
      <c r="F254" s="316">
        <v>0</v>
      </c>
      <c r="G254" s="528">
        <f t="array" ref="G254">SUM(IF(CertFund&amp;CertProg&amp;CertObj=RIGHT(LEFT($A$2,7),2)&amp;LEFT(A253,4)&amp;B254,CertSalary))</f>
        <v>0</v>
      </c>
      <c r="H254" s="527">
        <v>0</v>
      </c>
      <c r="I254" s="566">
        <f>SUM(G254+H254)</f>
        <v>0</v>
      </c>
    </row>
    <row r="255" spans="1:9" s="309" customFormat="1" x14ac:dyDescent="0.15">
      <c r="B255" s="311" t="s">
        <v>1577</v>
      </c>
      <c r="C255" s="312" t="s">
        <v>510</v>
      </c>
      <c r="D255" s="316">
        <v>0</v>
      </c>
      <c r="E255" s="316">
        <v>0</v>
      </c>
      <c r="F255" s="316">
        <v>0</v>
      </c>
      <c r="G255" s="316">
        <v>0</v>
      </c>
      <c r="H255" s="527">
        <v>0</v>
      </c>
      <c r="I255" s="566">
        <f>SUM(G255+H255)</f>
        <v>0</v>
      </c>
    </row>
    <row r="256" spans="1:9" s="309" customFormat="1" x14ac:dyDescent="0.15">
      <c r="A256" s="312"/>
      <c r="B256" s="311" t="s">
        <v>1578</v>
      </c>
      <c r="C256" s="312" t="s">
        <v>936</v>
      </c>
      <c r="D256" s="316">
        <v>0</v>
      </c>
      <c r="E256" s="316">
        <v>0</v>
      </c>
      <c r="F256" s="316">
        <v>0</v>
      </c>
      <c r="G256" s="529">
        <f t="array" ref="G256">SUM(IF(CertFund&amp;CertProg&amp;CertObj=RIGHT(LEFT($A$2,7),2)&amp;LEFT(A253,4)&amp;B254,CertBen))</f>
        <v>0</v>
      </c>
      <c r="H256" s="527">
        <v>0</v>
      </c>
      <c r="I256" s="566">
        <f>SUM(G256+H256)</f>
        <v>0</v>
      </c>
    </row>
    <row r="257" spans="1:10" x14ac:dyDescent="0.15">
      <c r="A257" s="115"/>
      <c r="B257" s="152" t="s">
        <v>1578</v>
      </c>
      <c r="C257" s="115" t="s">
        <v>511</v>
      </c>
      <c r="D257" s="147">
        <v>0</v>
      </c>
      <c r="E257" s="147">
        <v>0</v>
      </c>
      <c r="F257" s="147">
        <v>0</v>
      </c>
      <c r="G257" s="147">
        <v>0</v>
      </c>
      <c r="H257" s="150">
        <v>0</v>
      </c>
      <c r="I257" s="567">
        <f>SUM(G257+H257)</f>
        <v>0</v>
      </c>
      <c r="J257" s="309"/>
    </row>
    <row r="258" spans="1:10" ht="10.5" customHeight="1" x14ac:dyDescent="0.15">
      <c r="A258" s="35"/>
      <c r="B258" s="152" t="s">
        <v>1579</v>
      </c>
      <c r="C258" s="115" t="s">
        <v>118</v>
      </c>
      <c r="D258" s="147">
        <v>0</v>
      </c>
      <c r="E258" s="147">
        <v>0</v>
      </c>
      <c r="F258" s="147">
        <v>0</v>
      </c>
      <c r="G258" s="147">
        <v>0</v>
      </c>
      <c r="H258" s="316">
        <v>0</v>
      </c>
      <c r="I258" s="535">
        <f t="shared" ref="I258:I288" si="7">SUM(G258+H258)</f>
        <v>0</v>
      </c>
    </row>
    <row r="259" spans="1:10" ht="10.5" customHeight="1" x14ac:dyDescent="0.15">
      <c r="A259" s="35"/>
      <c r="B259" s="152" t="s">
        <v>1580</v>
      </c>
      <c r="C259" s="115" t="s">
        <v>119</v>
      </c>
      <c r="D259" s="147">
        <v>0</v>
      </c>
      <c r="E259" s="147">
        <v>0</v>
      </c>
      <c r="F259" s="147">
        <v>0</v>
      </c>
      <c r="G259" s="147">
        <v>0</v>
      </c>
      <c r="H259" s="316">
        <v>0</v>
      </c>
      <c r="I259" s="535">
        <f t="shared" si="7"/>
        <v>0</v>
      </c>
    </row>
    <row r="260" spans="1:10" ht="10.5" customHeight="1" x14ac:dyDescent="0.15">
      <c r="A260" s="35"/>
      <c r="B260" s="152" t="s">
        <v>120</v>
      </c>
      <c r="C260" s="115" t="s">
        <v>121</v>
      </c>
      <c r="D260" s="147">
        <v>0</v>
      </c>
      <c r="E260" s="147">
        <v>0</v>
      </c>
      <c r="F260" s="147">
        <v>0</v>
      </c>
      <c r="G260" s="147">
        <v>0</v>
      </c>
      <c r="H260" s="316">
        <v>0</v>
      </c>
      <c r="I260" s="535">
        <f t="shared" si="7"/>
        <v>0</v>
      </c>
    </row>
    <row r="261" spans="1:10" ht="10.5" customHeight="1" x14ac:dyDescent="0.15">
      <c r="A261" s="35"/>
      <c r="B261" s="152" t="s">
        <v>122</v>
      </c>
      <c r="C261" s="115" t="s">
        <v>123</v>
      </c>
      <c r="D261" s="147">
        <v>0</v>
      </c>
      <c r="E261" s="147">
        <v>0</v>
      </c>
      <c r="F261" s="147">
        <v>0</v>
      </c>
      <c r="G261" s="147">
        <v>0</v>
      </c>
      <c r="H261" s="316">
        <v>0</v>
      </c>
      <c r="I261" s="535">
        <f t="shared" si="7"/>
        <v>0</v>
      </c>
    </row>
    <row r="262" spans="1:10" ht="10.5" customHeight="1" x14ac:dyDescent="0.15">
      <c r="A262" s="35"/>
      <c r="B262" s="152" t="s">
        <v>1581</v>
      </c>
      <c r="C262" s="115" t="s">
        <v>124</v>
      </c>
      <c r="D262" s="147">
        <v>0</v>
      </c>
      <c r="E262" s="147">
        <v>0</v>
      </c>
      <c r="F262" s="147">
        <v>0</v>
      </c>
      <c r="G262" s="147">
        <v>0</v>
      </c>
      <c r="H262" s="316">
        <v>0</v>
      </c>
      <c r="I262" s="535">
        <f t="shared" si="7"/>
        <v>0</v>
      </c>
    </row>
    <row r="263" spans="1:10" ht="10.5" customHeight="1" x14ac:dyDescent="0.15">
      <c r="A263" s="35"/>
      <c r="B263" s="152" t="s">
        <v>125</v>
      </c>
      <c r="C263" s="115" t="s">
        <v>133</v>
      </c>
      <c r="D263" s="147">
        <v>0</v>
      </c>
      <c r="E263" s="147">
        <v>0</v>
      </c>
      <c r="F263" s="147">
        <v>0</v>
      </c>
      <c r="G263" s="147">
        <v>0</v>
      </c>
      <c r="H263" s="316">
        <v>0</v>
      </c>
      <c r="I263" s="535">
        <f t="shared" si="7"/>
        <v>0</v>
      </c>
    </row>
    <row r="264" spans="1:10" ht="10.5" customHeight="1" x14ac:dyDescent="0.15">
      <c r="A264" s="35"/>
      <c r="B264" s="152" t="s">
        <v>126</v>
      </c>
      <c r="C264" s="115" t="s">
        <v>187</v>
      </c>
      <c r="D264" s="147">
        <v>0</v>
      </c>
      <c r="E264" s="147">
        <v>0</v>
      </c>
      <c r="F264" s="147">
        <v>0</v>
      </c>
      <c r="G264" s="147">
        <v>0</v>
      </c>
      <c r="H264" s="316">
        <v>0</v>
      </c>
      <c r="I264" s="535">
        <f t="shared" si="7"/>
        <v>0</v>
      </c>
    </row>
    <row r="265" spans="1:10" ht="10.5" customHeight="1" x14ac:dyDescent="0.15">
      <c r="A265" s="35"/>
      <c r="B265" s="152" t="s">
        <v>127</v>
      </c>
      <c r="C265" s="115" t="s">
        <v>134</v>
      </c>
      <c r="D265" s="147">
        <v>0</v>
      </c>
      <c r="E265" s="147">
        <v>0</v>
      </c>
      <c r="F265" s="147">
        <v>0</v>
      </c>
      <c r="G265" s="147">
        <v>0</v>
      </c>
      <c r="H265" s="316">
        <v>0</v>
      </c>
      <c r="I265" s="535">
        <f t="shared" si="7"/>
        <v>0</v>
      </c>
    </row>
    <row r="266" spans="1:10" ht="10.5" customHeight="1" x14ac:dyDescent="0.15">
      <c r="A266" s="35"/>
      <c r="B266" s="152" t="s">
        <v>128</v>
      </c>
      <c r="C266" s="115" t="s">
        <v>135</v>
      </c>
      <c r="D266" s="147">
        <v>0</v>
      </c>
      <c r="E266" s="147">
        <v>0</v>
      </c>
      <c r="F266" s="147">
        <v>0</v>
      </c>
      <c r="G266" s="147">
        <v>0</v>
      </c>
      <c r="H266" s="316">
        <v>0</v>
      </c>
      <c r="I266" s="535">
        <f t="shared" si="7"/>
        <v>0</v>
      </c>
    </row>
    <row r="267" spans="1:10" ht="10.5" customHeight="1" x14ac:dyDescent="0.15">
      <c r="A267" s="35"/>
      <c r="B267" s="152" t="s">
        <v>129</v>
      </c>
      <c r="C267" s="115" t="s">
        <v>136</v>
      </c>
      <c r="D267" s="147">
        <v>0</v>
      </c>
      <c r="E267" s="147">
        <v>0</v>
      </c>
      <c r="F267" s="147">
        <v>0</v>
      </c>
      <c r="G267" s="147">
        <v>0</v>
      </c>
      <c r="H267" s="316">
        <v>0</v>
      </c>
      <c r="I267" s="535">
        <f t="shared" si="7"/>
        <v>0</v>
      </c>
    </row>
    <row r="268" spans="1:10" ht="10.5" customHeight="1" x14ac:dyDescent="0.15">
      <c r="A268" s="35"/>
      <c r="B268" s="152" t="s">
        <v>130</v>
      </c>
      <c r="C268" s="115" t="s">
        <v>188</v>
      </c>
      <c r="D268" s="147">
        <v>0</v>
      </c>
      <c r="E268" s="147">
        <v>0</v>
      </c>
      <c r="F268" s="147">
        <v>0</v>
      </c>
      <c r="G268" s="147">
        <v>0</v>
      </c>
      <c r="H268" s="316">
        <v>0</v>
      </c>
      <c r="I268" s="535">
        <f t="shared" si="7"/>
        <v>0</v>
      </c>
    </row>
    <row r="269" spans="1:10" ht="10.5" customHeight="1" x14ac:dyDescent="0.15">
      <c r="A269" s="35"/>
      <c r="B269" s="152" t="s">
        <v>131</v>
      </c>
      <c r="C269" s="115" t="s">
        <v>137</v>
      </c>
      <c r="D269" s="147">
        <v>0</v>
      </c>
      <c r="E269" s="147">
        <v>0</v>
      </c>
      <c r="F269" s="147">
        <v>0</v>
      </c>
      <c r="G269" s="147">
        <v>0</v>
      </c>
      <c r="H269" s="316">
        <v>0</v>
      </c>
      <c r="I269" s="535">
        <f t="shared" si="7"/>
        <v>0</v>
      </c>
    </row>
    <row r="270" spans="1:10" ht="10.5" customHeight="1" x14ac:dyDescent="0.15">
      <c r="A270" s="35"/>
      <c r="B270" s="152" t="s">
        <v>132</v>
      </c>
      <c r="C270" s="115" t="s">
        <v>1617</v>
      </c>
      <c r="D270" s="147">
        <v>0</v>
      </c>
      <c r="E270" s="147">
        <v>0</v>
      </c>
      <c r="F270" s="147">
        <v>0</v>
      </c>
      <c r="G270" s="147">
        <v>0</v>
      </c>
      <c r="H270" s="316">
        <v>0</v>
      </c>
      <c r="I270" s="535">
        <f t="shared" si="7"/>
        <v>0</v>
      </c>
    </row>
    <row r="271" spans="1:10" ht="10.5" customHeight="1" x14ac:dyDescent="0.15">
      <c r="A271" s="35"/>
      <c r="B271" s="152" t="s">
        <v>675</v>
      </c>
      <c r="C271" s="115" t="s">
        <v>698</v>
      </c>
      <c r="D271" s="147">
        <v>0</v>
      </c>
      <c r="E271" s="147">
        <v>0</v>
      </c>
      <c r="F271" s="147">
        <v>0</v>
      </c>
      <c r="G271" s="147">
        <v>0</v>
      </c>
      <c r="H271" s="316">
        <v>0</v>
      </c>
      <c r="I271" s="535">
        <f t="shared" si="7"/>
        <v>0</v>
      </c>
    </row>
    <row r="272" spans="1:10" ht="10.5" customHeight="1" x14ac:dyDescent="0.15">
      <c r="A272" s="35"/>
      <c r="B272" s="152" t="s">
        <v>1624</v>
      </c>
      <c r="C272" s="115" t="s">
        <v>840</v>
      </c>
      <c r="D272" s="147">
        <v>0</v>
      </c>
      <c r="E272" s="147">
        <v>0</v>
      </c>
      <c r="F272" s="147">
        <v>0</v>
      </c>
      <c r="G272" s="147">
        <v>0</v>
      </c>
      <c r="H272" s="316">
        <v>0</v>
      </c>
      <c r="I272" s="535">
        <f t="shared" si="7"/>
        <v>0</v>
      </c>
    </row>
    <row r="273" spans="1:9" ht="10.5" customHeight="1" x14ac:dyDescent="0.15">
      <c r="A273" s="35"/>
      <c r="B273" s="152" t="s">
        <v>1625</v>
      </c>
      <c r="C273" s="115" t="s">
        <v>842</v>
      </c>
      <c r="D273" s="147">
        <v>0</v>
      </c>
      <c r="E273" s="147">
        <v>0</v>
      </c>
      <c r="F273" s="147">
        <v>0</v>
      </c>
      <c r="G273" s="147">
        <v>0</v>
      </c>
      <c r="H273" s="316">
        <v>0</v>
      </c>
      <c r="I273" s="535">
        <f t="shared" si="7"/>
        <v>0</v>
      </c>
    </row>
    <row r="274" spans="1:9" ht="10.5" customHeight="1" x14ac:dyDescent="0.15">
      <c r="A274" s="35"/>
      <c r="B274" s="152" t="s">
        <v>843</v>
      </c>
      <c r="C274" s="115" t="s">
        <v>848</v>
      </c>
      <c r="D274" s="147">
        <v>0</v>
      </c>
      <c r="E274" s="147">
        <v>0</v>
      </c>
      <c r="F274" s="147">
        <v>0</v>
      </c>
      <c r="G274" s="147">
        <v>0</v>
      </c>
      <c r="H274" s="316">
        <v>0</v>
      </c>
      <c r="I274" s="535">
        <f t="shared" si="7"/>
        <v>0</v>
      </c>
    </row>
    <row r="275" spans="1:9" ht="10.5" customHeight="1" x14ac:dyDescent="0.15">
      <c r="A275" s="35"/>
      <c r="B275" s="152" t="s">
        <v>844</v>
      </c>
      <c r="C275" s="115" t="s">
        <v>186</v>
      </c>
      <c r="D275" s="147">
        <v>0</v>
      </c>
      <c r="E275" s="147">
        <v>0</v>
      </c>
      <c r="F275" s="147">
        <v>0</v>
      </c>
      <c r="G275" s="147">
        <v>0</v>
      </c>
      <c r="H275" s="316">
        <v>0</v>
      </c>
      <c r="I275" s="535">
        <f t="shared" si="7"/>
        <v>0</v>
      </c>
    </row>
    <row r="276" spans="1:9" ht="10.5" customHeight="1" x14ac:dyDescent="0.15">
      <c r="A276" s="35"/>
      <c r="B276" s="152" t="s">
        <v>845</v>
      </c>
      <c r="C276" s="115" t="s">
        <v>154</v>
      </c>
      <c r="D276" s="147">
        <v>0</v>
      </c>
      <c r="E276" s="147">
        <v>0</v>
      </c>
      <c r="F276" s="147">
        <v>0</v>
      </c>
      <c r="G276" s="147">
        <v>0</v>
      </c>
      <c r="H276" s="316">
        <v>0</v>
      </c>
      <c r="I276" s="535">
        <f t="shared" si="7"/>
        <v>0</v>
      </c>
    </row>
    <row r="277" spans="1:9" ht="10.5" customHeight="1" x14ac:dyDescent="0.15">
      <c r="A277" s="35"/>
      <c r="B277" s="152" t="s">
        <v>846</v>
      </c>
      <c r="C277" s="115" t="s">
        <v>155</v>
      </c>
      <c r="D277" s="147">
        <v>0</v>
      </c>
      <c r="E277" s="147">
        <v>0</v>
      </c>
      <c r="F277" s="147">
        <v>0</v>
      </c>
      <c r="G277" s="147">
        <v>0</v>
      </c>
      <c r="H277" s="316">
        <v>0</v>
      </c>
      <c r="I277" s="535">
        <f t="shared" si="7"/>
        <v>0</v>
      </c>
    </row>
    <row r="278" spans="1:9" ht="10.5" customHeight="1" x14ac:dyDescent="0.15">
      <c r="A278" s="35"/>
      <c r="B278" s="152" t="s">
        <v>1582</v>
      </c>
      <c r="C278" s="115" t="s">
        <v>156</v>
      </c>
      <c r="D278" s="147">
        <v>0</v>
      </c>
      <c r="E278" s="147">
        <v>0</v>
      </c>
      <c r="F278" s="147">
        <v>0</v>
      </c>
      <c r="G278" s="147">
        <v>0</v>
      </c>
      <c r="H278" s="316">
        <v>0</v>
      </c>
      <c r="I278" s="535">
        <f t="shared" si="7"/>
        <v>0</v>
      </c>
    </row>
    <row r="279" spans="1:9" ht="10.5" customHeight="1" x14ac:dyDescent="0.15">
      <c r="A279" s="35"/>
      <c r="B279" s="152" t="s">
        <v>847</v>
      </c>
      <c r="C279" s="115" t="s">
        <v>157</v>
      </c>
      <c r="D279" s="147">
        <v>0</v>
      </c>
      <c r="E279" s="147">
        <v>0</v>
      </c>
      <c r="F279" s="147">
        <v>0</v>
      </c>
      <c r="G279" s="147">
        <v>0</v>
      </c>
      <c r="H279" s="316">
        <v>0</v>
      </c>
      <c r="I279" s="535">
        <f t="shared" si="7"/>
        <v>0</v>
      </c>
    </row>
    <row r="280" spans="1:9" ht="10.5" customHeight="1" x14ac:dyDescent="0.15">
      <c r="A280" s="35"/>
      <c r="B280" s="152" t="s">
        <v>1583</v>
      </c>
      <c r="C280" s="115" t="s">
        <v>160</v>
      </c>
      <c r="D280" s="147">
        <v>0</v>
      </c>
      <c r="E280" s="147">
        <v>0</v>
      </c>
      <c r="F280" s="147">
        <v>0</v>
      </c>
      <c r="G280" s="147">
        <v>0</v>
      </c>
      <c r="H280" s="316">
        <v>0</v>
      </c>
      <c r="I280" s="535">
        <f t="shared" si="7"/>
        <v>0</v>
      </c>
    </row>
    <row r="281" spans="1:9" ht="10.5" customHeight="1" x14ac:dyDescent="0.15">
      <c r="A281" s="35"/>
      <c r="B281" s="152" t="s">
        <v>634</v>
      </c>
      <c r="C281" s="115" t="s">
        <v>165</v>
      </c>
      <c r="D281" s="147">
        <v>0</v>
      </c>
      <c r="E281" s="147">
        <v>0</v>
      </c>
      <c r="F281" s="147">
        <v>0</v>
      </c>
      <c r="G281" s="147">
        <v>0</v>
      </c>
      <c r="H281" s="316">
        <v>0</v>
      </c>
      <c r="I281" s="535">
        <f t="shared" si="7"/>
        <v>0</v>
      </c>
    </row>
    <row r="282" spans="1:9" ht="10.5" customHeight="1" x14ac:dyDescent="0.15">
      <c r="A282" s="35"/>
      <c r="B282" s="152" t="s">
        <v>202</v>
      </c>
      <c r="C282" s="115" t="s">
        <v>171</v>
      </c>
      <c r="D282" s="147">
        <v>0</v>
      </c>
      <c r="E282" s="147">
        <v>0</v>
      </c>
      <c r="F282" s="147">
        <v>0</v>
      </c>
      <c r="G282" s="147">
        <v>0</v>
      </c>
      <c r="H282" s="316">
        <v>0</v>
      </c>
      <c r="I282" s="535">
        <f t="shared" si="7"/>
        <v>0</v>
      </c>
    </row>
    <row r="283" spans="1:9" ht="10.5" customHeight="1" x14ac:dyDescent="0.15">
      <c r="A283" s="35"/>
      <c r="B283" s="152" t="s">
        <v>630</v>
      </c>
      <c r="C283" s="115" t="s">
        <v>172</v>
      </c>
      <c r="D283" s="147">
        <v>0</v>
      </c>
      <c r="E283" s="147">
        <v>0</v>
      </c>
      <c r="F283" s="147">
        <v>0</v>
      </c>
      <c r="G283" s="147">
        <v>0</v>
      </c>
      <c r="H283" s="316">
        <v>0</v>
      </c>
      <c r="I283" s="535">
        <f t="shared" si="7"/>
        <v>0</v>
      </c>
    </row>
    <row r="284" spans="1:9" ht="10.5" customHeight="1" x14ac:dyDescent="0.15">
      <c r="A284" s="35"/>
      <c r="B284" s="652" t="s">
        <v>631</v>
      </c>
      <c r="C284" s="653" t="s">
        <v>173</v>
      </c>
      <c r="D284" s="147">
        <v>0</v>
      </c>
      <c r="E284" s="147">
        <v>0</v>
      </c>
      <c r="F284" s="147">
        <v>0</v>
      </c>
      <c r="G284" s="147">
        <v>0</v>
      </c>
      <c r="H284" s="316">
        <v>0</v>
      </c>
      <c r="I284" s="535">
        <f t="shared" si="7"/>
        <v>0</v>
      </c>
    </row>
    <row r="285" spans="1:9" ht="10.5" customHeight="1" x14ac:dyDescent="0.15">
      <c r="A285" s="35"/>
      <c r="B285" s="152" t="s">
        <v>1584</v>
      </c>
      <c r="C285" s="115" t="s">
        <v>178</v>
      </c>
      <c r="D285" s="147">
        <v>0</v>
      </c>
      <c r="E285" s="147">
        <v>0</v>
      </c>
      <c r="F285" s="147">
        <v>0</v>
      </c>
      <c r="G285" s="147">
        <v>0</v>
      </c>
      <c r="H285" s="316">
        <v>0</v>
      </c>
      <c r="I285" s="535">
        <f t="shared" si="7"/>
        <v>0</v>
      </c>
    </row>
    <row r="286" spans="1:9" ht="10.5" customHeight="1" x14ac:dyDescent="0.15">
      <c r="A286" s="35"/>
      <c r="B286" s="152" t="s">
        <v>174</v>
      </c>
      <c r="C286" s="115" t="s">
        <v>179</v>
      </c>
      <c r="D286" s="147">
        <v>0</v>
      </c>
      <c r="E286" s="147">
        <v>0</v>
      </c>
      <c r="F286" s="147">
        <v>0</v>
      </c>
      <c r="G286" s="147">
        <v>0</v>
      </c>
      <c r="H286" s="316">
        <v>0</v>
      </c>
      <c r="I286" s="535">
        <f t="shared" si="7"/>
        <v>0</v>
      </c>
    </row>
    <row r="287" spans="1:9" ht="10.5" customHeight="1" x14ac:dyDescent="0.15">
      <c r="A287" s="35"/>
      <c r="B287" s="152" t="s">
        <v>175</v>
      </c>
      <c r="C287" s="115" t="s">
        <v>180</v>
      </c>
      <c r="D287" s="147">
        <v>0</v>
      </c>
      <c r="E287" s="147">
        <v>0</v>
      </c>
      <c r="F287" s="147">
        <v>0</v>
      </c>
      <c r="G287" s="147">
        <v>0</v>
      </c>
      <c r="H287" s="316">
        <v>0</v>
      </c>
      <c r="I287" s="535">
        <f t="shared" si="7"/>
        <v>0</v>
      </c>
    </row>
    <row r="288" spans="1:9" ht="10.5" customHeight="1" x14ac:dyDescent="0.15">
      <c r="A288" s="35"/>
      <c r="B288" s="152" t="s">
        <v>176</v>
      </c>
      <c r="C288" s="115" t="s">
        <v>181</v>
      </c>
      <c r="D288" s="147">
        <v>0</v>
      </c>
      <c r="E288" s="147">
        <v>0</v>
      </c>
      <c r="F288" s="147">
        <v>0</v>
      </c>
      <c r="G288" s="147">
        <v>0</v>
      </c>
      <c r="H288" s="316">
        <v>0</v>
      </c>
      <c r="I288" s="535">
        <f t="shared" si="7"/>
        <v>0</v>
      </c>
    </row>
    <row r="289" spans="1:9" ht="10.5" customHeight="1" x14ac:dyDescent="0.15">
      <c r="A289" s="35"/>
      <c r="B289" s="152" t="s">
        <v>177</v>
      </c>
      <c r="C289" s="115" t="s">
        <v>182</v>
      </c>
      <c r="D289" s="147">
        <v>0</v>
      </c>
      <c r="E289" s="147">
        <v>0</v>
      </c>
      <c r="F289" s="147">
        <v>0</v>
      </c>
      <c r="G289" s="147">
        <v>0</v>
      </c>
      <c r="H289" s="316">
        <v>0</v>
      </c>
      <c r="I289" s="535">
        <f>SUM(G289+H289)</f>
        <v>0</v>
      </c>
    </row>
    <row r="290" spans="1:9" ht="10.5" customHeight="1" thickBot="1" x14ac:dyDescent="0.2">
      <c r="A290" s="35"/>
      <c r="B290" s="152" t="s">
        <v>632</v>
      </c>
      <c r="C290" s="115" t="s">
        <v>183</v>
      </c>
      <c r="D290" s="144">
        <v>0</v>
      </c>
      <c r="E290" s="144">
        <v>0</v>
      </c>
      <c r="F290" s="144">
        <v>0</v>
      </c>
      <c r="G290" s="147">
        <v>0</v>
      </c>
      <c r="H290" s="317">
        <v>0</v>
      </c>
      <c r="I290" s="573">
        <f>SUM(G290+H290)</f>
        <v>0</v>
      </c>
    </row>
    <row r="291" spans="1:9" ht="10.5" customHeight="1" thickTop="1" thickBot="1" x14ac:dyDescent="0.2">
      <c r="A291" s="35"/>
      <c r="B291" s="152"/>
      <c r="C291" s="115" t="s">
        <v>659</v>
      </c>
      <c r="D291" s="169">
        <f>SUM(D254:D290)</f>
        <v>0</v>
      </c>
      <c r="E291" s="169">
        <f>SUM(E254:E290)</f>
        <v>0</v>
      </c>
      <c r="F291" s="169">
        <f>SUM(F254:F290)</f>
        <v>0</v>
      </c>
      <c r="G291" s="169">
        <f>SUM(G254:G290)</f>
        <v>0</v>
      </c>
      <c r="H291" s="169">
        <f>SUM(H254:H290)</f>
        <v>0</v>
      </c>
      <c r="I291" s="304">
        <f>G291+H291</f>
        <v>0</v>
      </c>
    </row>
    <row r="292" spans="1:9" ht="10.5" customHeight="1" thickTop="1" x14ac:dyDescent="0.15">
      <c r="A292" s="35"/>
      <c r="B292" s="152"/>
      <c r="C292" s="115"/>
      <c r="D292" s="14"/>
      <c r="E292" s="14"/>
      <c r="F292" s="14"/>
      <c r="G292" s="14"/>
      <c r="H292" s="305"/>
      <c r="I292" s="305"/>
    </row>
    <row r="293" spans="1:9" ht="10.5" customHeight="1" x14ac:dyDescent="0.15">
      <c r="A293" s="35" t="s">
        <v>660</v>
      </c>
      <c r="C293" s="115"/>
      <c r="D293" s="14"/>
      <c r="E293" s="14"/>
      <c r="F293" s="14"/>
      <c r="G293" s="14"/>
      <c r="H293" s="305"/>
      <c r="I293" s="305"/>
    </row>
    <row r="294" spans="1:9" s="309" customFormat="1" x14ac:dyDescent="0.15">
      <c r="B294" s="311" t="s">
        <v>1577</v>
      </c>
      <c r="C294" s="312" t="s">
        <v>228</v>
      </c>
      <c r="D294" s="316">
        <v>0</v>
      </c>
      <c r="E294" s="316">
        <v>0</v>
      </c>
      <c r="F294" s="316">
        <v>0</v>
      </c>
      <c r="G294" s="528">
        <f t="array" ref="G294">SUM(IF(CertFund&amp;CertProg&amp;CertObj=RIGHT(LEFT($A$2,7),2)&amp;LEFT(A293,4)&amp;B294,CertSalary))</f>
        <v>0</v>
      </c>
      <c r="H294" s="527">
        <v>0</v>
      </c>
      <c r="I294" s="566">
        <f>SUM(G294+H294)</f>
        <v>0</v>
      </c>
    </row>
    <row r="295" spans="1:9" s="309" customFormat="1" x14ac:dyDescent="0.15">
      <c r="B295" s="311" t="s">
        <v>1577</v>
      </c>
      <c r="C295" s="312" t="s">
        <v>510</v>
      </c>
      <c r="D295" s="316">
        <v>0</v>
      </c>
      <c r="E295" s="316">
        <v>0</v>
      </c>
      <c r="F295" s="316">
        <v>0</v>
      </c>
      <c r="G295" s="316">
        <v>0</v>
      </c>
      <c r="H295" s="527">
        <v>0</v>
      </c>
      <c r="I295" s="566">
        <f>SUM(G295+H295)</f>
        <v>0</v>
      </c>
    </row>
    <row r="296" spans="1:9" s="309" customFormat="1" x14ac:dyDescent="0.15">
      <c r="A296" s="312"/>
      <c r="B296" s="311" t="s">
        <v>1578</v>
      </c>
      <c r="C296" s="312" t="s">
        <v>936</v>
      </c>
      <c r="D296" s="316">
        <v>0</v>
      </c>
      <c r="E296" s="316">
        <v>0</v>
      </c>
      <c r="F296" s="316">
        <v>0</v>
      </c>
      <c r="G296" s="529">
        <f t="array" ref="G296">SUM(IF(CertFund&amp;CertProg&amp;CertObj=RIGHT(LEFT($A$2,7),2)&amp;LEFT(A293,4)&amp;B294,CertBen))</f>
        <v>0</v>
      </c>
      <c r="H296" s="527">
        <v>0</v>
      </c>
      <c r="I296" s="566">
        <f>SUM(G296+H296)</f>
        <v>0</v>
      </c>
    </row>
    <row r="297" spans="1:9" s="309" customFormat="1" x14ac:dyDescent="0.15">
      <c r="A297" s="312"/>
      <c r="B297" s="311" t="s">
        <v>1578</v>
      </c>
      <c r="C297" s="312" t="s">
        <v>511</v>
      </c>
      <c r="D297" s="316">
        <v>0</v>
      </c>
      <c r="E297" s="316">
        <v>0</v>
      </c>
      <c r="F297" s="316">
        <v>0</v>
      </c>
      <c r="G297" s="316">
        <v>0</v>
      </c>
      <c r="H297" s="527">
        <v>0</v>
      </c>
      <c r="I297" s="566">
        <f>SUM(G297+H297)</f>
        <v>0</v>
      </c>
    </row>
    <row r="298" spans="1:9" ht="10.5" customHeight="1" x14ac:dyDescent="0.15">
      <c r="A298" s="35"/>
      <c r="B298" s="152" t="s">
        <v>1579</v>
      </c>
      <c r="C298" s="115" t="s">
        <v>118</v>
      </c>
      <c r="D298" s="147">
        <v>0</v>
      </c>
      <c r="E298" s="147">
        <v>0</v>
      </c>
      <c r="F298" s="147">
        <v>0</v>
      </c>
      <c r="G298" s="147">
        <v>0</v>
      </c>
      <c r="H298" s="315">
        <v>0</v>
      </c>
      <c r="I298" s="572">
        <f t="shared" ref="I298:I322" si="8">SUM(G298+H298)</f>
        <v>0</v>
      </c>
    </row>
    <row r="299" spans="1:9" ht="10.5" customHeight="1" x14ac:dyDescent="0.15">
      <c r="A299" s="35"/>
      <c r="B299" s="152" t="s">
        <v>1580</v>
      </c>
      <c r="C299" s="115" t="s">
        <v>119</v>
      </c>
      <c r="D299" s="147">
        <v>0</v>
      </c>
      <c r="E299" s="147">
        <v>0</v>
      </c>
      <c r="F299" s="147">
        <v>0</v>
      </c>
      <c r="G299" s="147">
        <v>0</v>
      </c>
      <c r="H299" s="315">
        <v>0</v>
      </c>
      <c r="I299" s="572">
        <f t="shared" si="8"/>
        <v>0</v>
      </c>
    </row>
    <row r="300" spans="1:9" ht="10.5" customHeight="1" x14ac:dyDescent="0.15">
      <c r="A300" s="35"/>
      <c r="B300" s="152" t="s">
        <v>120</v>
      </c>
      <c r="C300" s="115" t="s">
        <v>121</v>
      </c>
      <c r="D300" s="147">
        <v>0</v>
      </c>
      <c r="E300" s="147">
        <v>0</v>
      </c>
      <c r="F300" s="147">
        <v>0</v>
      </c>
      <c r="G300" s="147">
        <v>0</v>
      </c>
      <c r="H300" s="315">
        <v>0</v>
      </c>
      <c r="I300" s="572">
        <f t="shared" si="8"/>
        <v>0</v>
      </c>
    </row>
    <row r="301" spans="1:9" ht="10.5" customHeight="1" x14ac:dyDescent="0.15">
      <c r="A301" s="35"/>
      <c r="B301" s="152" t="s">
        <v>122</v>
      </c>
      <c r="C301" s="115" t="s">
        <v>123</v>
      </c>
      <c r="D301" s="147">
        <v>0</v>
      </c>
      <c r="E301" s="147">
        <v>0</v>
      </c>
      <c r="F301" s="147">
        <v>0</v>
      </c>
      <c r="G301" s="147">
        <v>0</v>
      </c>
      <c r="H301" s="315">
        <v>0</v>
      </c>
      <c r="I301" s="572">
        <f t="shared" si="8"/>
        <v>0</v>
      </c>
    </row>
    <row r="302" spans="1:9" ht="10.5" customHeight="1" x14ac:dyDescent="0.15">
      <c r="A302" s="35"/>
      <c r="B302" s="152" t="s">
        <v>1581</v>
      </c>
      <c r="C302" s="115" t="s">
        <v>124</v>
      </c>
      <c r="D302" s="147">
        <v>0</v>
      </c>
      <c r="E302" s="147">
        <v>0</v>
      </c>
      <c r="F302" s="147">
        <v>0</v>
      </c>
      <c r="G302" s="147">
        <v>0</v>
      </c>
      <c r="H302" s="315">
        <v>0</v>
      </c>
      <c r="I302" s="572">
        <f t="shared" si="8"/>
        <v>0</v>
      </c>
    </row>
    <row r="303" spans="1:9" ht="10.5" customHeight="1" x14ac:dyDescent="0.15">
      <c r="A303" s="35"/>
      <c r="B303" s="152" t="s">
        <v>675</v>
      </c>
      <c r="C303" s="115" t="s">
        <v>698</v>
      </c>
      <c r="D303" s="147">
        <v>0</v>
      </c>
      <c r="E303" s="147">
        <v>0</v>
      </c>
      <c r="F303" s="147">
        <v>0</v>
      </c>
      <c r="G303" s="147">
        <v>0</v>
      </c>
      <c r="H303" s="315">
        <v>0</v>
      </c>
      <c r="I303" s="572">
        <f t="shared" si="8"/>
        <v>0</v>
      </c>
    </row>
    <row r="304" spans="1:9" ht="10.5" customHeight="1" x14ac:dyDescent="0.15">
      <c r="A304" s="35"/>
      <c r="B304" s="152" t="s">
        <v>1624</v>
      </c>
      <c r="C304" s="115" t="s">
        <v>840</v>
      </c>
      <c r="D304" s="147">
        <v>0</v>
      </c>
      <c r="E304" s="147">
        <v>0</v>
      </c>
      <c r="F304" s="147">
        <v>0</v>
      </c>
      <c r="G304" s="147">
        <v>0</v>
      </c>
      <c r="H304" s="315">
        <v>0</v>
      </c>
      <c r="I304" s="572">
        <f t="shared" si="8"/>
        <v>0</v>
      </c>
    </row>
    <row r="305" spans="1:9" ht="10.5" customHeight="1" x14ac:dyDescent="0.15">
      <c r="A305" s="35"/>
      <c r="B305" s="152" t="s">
        <v>1625</v>
      </c>
      <c r="C305" s="115" t="s">
        <v>842</v>
      </c>
      <c r="D305" s="147">
        <v>0</v>
      </c>
      <c r="E305" s="147">
        <v>0</v>
      </c>
      <c r="F305" s="147">
        <v>0</v>
      </c>
      <c r="G305" s="147">
        <v>0</v>
      </c>
      <c r="H305" s="315">
        <v>0</v>
      </c>
      <c r="I305" s="572">
        <f t="shared" si="8"/>
        <v>0</v>
      </c>
    </row>
    <row r="306" spans="1:9" ht="10.5" customHeight="1" x14ac:dyDescent="0.15">
      <c r="A306" s="35"/>
      <c r="B306" s="152" t="s">
        <v>843</v>
      </c>
      <c r="C306" s="115" t="s">
        <v>848</v>
      </c>
      <c r="D306" s="147">
        <v>0</v>
      </c>
      <c r="E306" s="147">
        <v>0</v>
      </c>
      <c r="F306" s="147">
        <v>0</v>
      </c>
      <c r="G306" s="147">
        <v>0</v>
      </c>
      <c r="H306" s="315">
        <v>0</v>
      </c>
      <c r="I306" s="572">
        <f t="shared" si="8"/>
        <v>0</v>
      </c>
    </row>
    <row r="307" spans="1:9" ht="10.5" customHeight="1" x14ac:dyDescent="0.15">
      <c r="A307" s="35"/>
      <c r="B307" s="152" t="s">
        <v>844</v>
      </c>
      <c r="C307" s="115" t="s">
        <v>186</v>
      </c>
      <c r="D307" s="147">
        <v>0</v>
      </c>
      <c r="E307" s="147">
        <v>0</v>
      </c>
      <c r="F307" s="147">
        <v>0</v>
      </c>
      <c r="G307" s="147">
        <v>0</v>
      </c>
      <c r="H307" s="315">
        <v>0</v>
      </c>
      <c r="I307" s="572">
        <f t="shared" si="8"/>
        <v>0</v>
      </c>
    </row>
    <row r="308" spans="1:9" ht="10.5" customHeight="1" x14ac:dyDescent="0.15">
      <c r="A308" s="35"/>
      <c r="B308" s="152" t="s">
        <v>845</v>
      </c>
      <c r="C308" s="115" t="s">
        <v>154</v>
      </c>
      <c r="D308" s="147">
        <v>0</v>
      </c>
      <c r="E308" s="147">
        <v>0</v>
      </c>
      <c r="F308" s="147">
        <v>0</v>
      </c>
      <c r="G308" s="147">
        <v>0</v>
      </c>
      <c r="H308" s="315">
        <v>0</v>
      </c>
      <c r="I308" s="572">
        <f t="shared" si="8"/>
        <v>0</v>
      </c>
    </row>
    <row r="309" spans="1:9" ht="10.5" customHeight="1" x14ac:dyDescent="0.15">
      <c r="A309" s="35"/>
      <c r="B309" s="152" t="s">
        <v>846</v>
      </c>
      <c r="C309" s="115" t="s">
        <v>155</v>
      </c>
      <c r="D309" s="147">
        <v>0</v>
      </c>
      <c r="E309" s="147">
        <v>0</v>
      </c>
      <c r="F309" s="147">
        <v>0</v>
      </c>
      <c r="G309" s="147">
        <v>0</v>
      </c>
      <c r="H309" s="315">
        <v>0</v>
      </c>
      <c r="I309" s="572">
        <f t="shared" si="8"/>
        <v>0</v>
      </c>
    </row>
    <row r="310" spans="1:9" ht="10.5" customHeight="1" x14ac:dyDescent="0.15">
      <c r="A310" s="35"/>
      <c r="B310" s="152" t="s">
        <v>332</v>
      </c>
      <c r="C310" s="115" t="s">
        <v>463</v>
      </c>
      <c r="D310" s="147">
        <v>0</v>
      </c>
      <c r="E310" s="147">
        <v>0</v>
      </c>
      <c r="F310" s="147">
        <v>0</v>
      </c>
      <c r="G310" s="147">
        <v>0</v>
      </c>
      <c r="H310" s="315">
        <v>0</v>
      </c>
      <c r="I310" s="572">
        <f t="shared" si="8"/>
        <v>0</v>
      </c>
    </row>
    <row r="311" spans="1:9" ht="10.5" customHeight="1" x14ac:dyDescent="0.15">
      <c r="A311" s="35"/>
      <c r="B311" s="152" t="s">
        <v>1582</v>
      </c>
      <c r="C311" s="115" t="s">
        <v>156</v>
      </c>
      <c r="D311" s="147">
        <v>0</v>
      </c>
      <c r="E311" s="147">
        <v>0</v>
      </c>
      <c r="F311" s="147">
        <v>0</v>
      </c>
      <c r="G311" s="147">
        <v>0</v>
      </c>
      <c r="H311" s="315">
        <v>0</v>
      </c>
      <c r="I311" s="572">
        <f t="shared" si="8"/>
        <v>0</v>
      </c>
    </row>
    <row r="312" spans="1:9" ht="10.5" customHeight="1" x14ac:dyDescent="0.15">
      <c r="A312" s="35"/>
      <c r="B312" s="152" t="s">
        <v>847</v>
      </c>
      <c r="C312" s="115" t="s">
        <v>157</v>
      </c>
      <c r="D312" s="147">
        <v>0</v>
      </c>
      <c r="E312" s="147">
        <v>0</v>
      </c>
      <c r="F312" s="147">
        <v>0</v>
      </c>
      <c r="G312" s="147">
        <v>0</v>
      </c>
      <c r="H312" s="315">
        <v>0</v>
      </c>
      <c r="I312" s="572">
        <f t="shared" si="8"/>
        <v>0</v>
      </c>
    </row>
    <row r="313" spans="1:9" ht="10.5" customHeight="1" x14ac:dyDescent="0.15">
      <c r="A313" s="35"/>
      <c r="B313" s="152" t="s">
        <v>1583</v>
      </c>
      <c r="C313" s="115" t="s">
        <v>160</v>
      </c>
      <c r="D313" s="147">
        <v>0</v>
      </c>
      <c r="E313" s="147">
        <v>0</v>
      </c>
      <c r="F313" s="147">
        <v>0</v>
      </c>
      <c r="G313" s="147">
        <v>0</v>
      </c>
      <c r="H313" s="315">
        <v>0</v>
      </c>
      <c r="I313" s="572">
        <f t="shared" si="8"/>
        <v>0</v>
      </c>
    </row>
    <row r="314" spans="1:9" ht="10.5" customHeight="1" x14ac:dyDescent="0.15">
      <c r="A314" s="35"/>
      <c r="B314" s="152" t="s">
        <v>634</v>
      </c>
      <c r="C314" s="115" t="s">
        <v>165</v>
      </c>
      <c r="D314" s="147">
        <v>0</v>
      </c>
      <c r="E314" s="147">
        <v>0</v>
      </c>
      <c r="F314" s="147">
        <v>0</v>
      </c>
      <c r="G314" s="147">
        <v>0</v>
      </c>
      <c r="H314" s="315">
        <v>0</v>
      </c>
      <c r="I314" s="572">
        <f t="shared" si="8"/>
        <v>0</v>
      </c>
    </row>
    <row r="315" spans="1:9" ht="10.5" customHeight="1" x14ac:dyDescent="0.15">
      <c r="A315" s="35"/>
      <c r="B315" s="152" t="s">
        <v>630</v>
      </c>
      <c r="C315" s="115" t="s">
        <v>172</v>
      </c>
      <c r="D315" s="147">
        <v>0</v>
      </c>
      <c r="E315" s="147">
        <v>0</v>
      </c>
      <c r="F315" s="147">
        <v>0</v>
      </c>
      <c r="G315" s="147">
        <v>0</v>
      </c>
      <c r="H315" s="315">
        <v>0</v>
      </c>
      <c r="I315" s="572">
        <f t="shared" si="8"/>
        <v>0</v>
      </c>
    </row>
    <row r="316" spans="1:9" ht="10.5" customHeight="1" x14ac:dyDescent="0.15">
      <c r="A316" s="35"/>
      <c r="B316" s="652" t="s">
        <v>631</v>
      </c>
      <c r="C316" s="653" t="s">
        <v>173</v>
      </c>
      <c r="D316" s="147">
        <v>0</v>
      </c>
      <c r="E316" s="147">
        <v>0</v>
      </c>
      <c r="F316" s="147">
        <v>0</v>
      </c>
      <c r="G316" s="147">
        <v>0</v>
      </c>
      <c r="H316" s="315">
        <v>0</v>
      </c>
      <c r="I316" s="572">
        <f t="shared" si="8"/>
        <v>0</v>
      </c>
    </row>
    <row r="317" spans="1:9" ht="10.5" customHeight="1" x14ac:dyDescent="0.15">
      <c r="A317" s="35"/>
      <c r="B317" s="152" t="s">
        <v>1584</v>
      </c>
      <c r="C317" s="115" t="s">
        <v>178</v>
      </c>
      <c r="D317" s="147">
        <v>0</v>
      </c>
      <c r="E317" s="147">
        <v>0</v>
      </c>
      <c r="F317" s="147">
        <v>0</v>
      </c>
      <c r="G317" s="147">
        <v>0</v>
      </c>
      <c r="H317" s="315">
        <v>0</v>
      </c>
      <c r="I317" s="572">
        <f t="shared" si="8"/>
        <v>0</v>
      </c>
    </row>
    <row r="318" spans="1:9" ht="10.5" customHeight="1" x14ac:dyDescent="0.15">
      <c r="A318" s="35"/>
      <c r="B318" s="152" t="s">
        <v>174</v>
      </c>
      <c r="C318" s="115" t="s">
        <v>179</v>
      </c>
      <c r="D318" s="147">
        <v>0</v>
      </c>
      <c r="E318" s="147">
        <v>0</v>
      </c>
      <c r="F318" s="147">
        <v>0</v>
      </c>
      <c r="G318" s="147">
        <v>0</v>
      </c>
      <c r="H318" s="315">
        <v>0</v>
      </c>
      <c r="I318" s="572">
        <f t="shared" si="8"/>
        <v>0</v>
      </c>
    </row>
    <row r="319" spans="1:9" ht="10.5" customHeight="1" x14ac:dyDescent="0.15">
      <c r="A319" s="35"/>
      <c r="B319" s="152" t="s">
        <v>175</v>
      </c>
      <c r="C319" s="115" t="s">
        <v>180</v>
      </c>
      <c r="D319" s="147">
        <v>0</v>
      </c>
      <c r="E319" s="147">
        <v>0</v>
      </c>
      <c r="F319" s="147">
        <v>0</v>
      </c>
      <c r="G319" s="147">
        <v>0</v>
      </c>
      <c r="H319" s="315">
        <v>0</v>
      </c>
      <c r="I319" s="572">
        <f t="shared" si="8"/>
        <v>0</v>
      </c>
    </row>
    <row r="320" spans="1:9" ht="10.5" customHeight="1" x14ac:dyDescent="0.15">
      <c r="A320" s="35"/>
      <c r="B320" s="152" t="s">
        <v>176</v>
      </c>
      <c r="C320" s="115" t="s">
        <v>181</v>
      </c>
      <c r="D320" s="147">
        <v>0</v>
      </c>
      <c r="E320" s="147">
        <v>0</v>
      </c>
      <c r="F320" s="147">
        <v>0</v>
      </c>
      <c r="G320" s="147">
        <v>0</v>
      </c>
      <c r="H320" s="315">
        <v>0</v>
      </c>
      <c r="I320" s="572">
        <f t="shared" si="8"/>
        <v>0</v>
      </c>
    </row>
    <row r="321" spans="1:9" ht="10.5" customHeight="1" x14ac:dyDescent="0.15">
      <c r="A321" s="35"/>
      <c r="B321" s="152" t="s">
        <v>177</v>
      </c>
      <c r="C321" s="115" t="s">
        <v>182</v>
      </c>
      <c r="D321" s="147">
        <v>0</v>
      </c>
      <c r="E321" s="147">
        <v>0</v>
      </c>
      <c r="F321" s="147">
        <v>0</v>
      </c>
      <c r="G321" s="147">
        <v>0</v>
      </c>
      <c r="H321" s="315">
        <v>0</v>
      </c>
      <c r="I321" s="572">
        <f t="shared" si="8"/>
        <v>0</v>
      </c>
    </row>
    <row r="322" spans="1:9" ht="10.5" customHeight="1" thickBot="1" x14ac:dyDescent="0.2">
      <c r="A322" s="35"/>
      <c r="B322" s="152" t="s">
        <v>632</v>
      </c>
      <c r="C322" s="115" t="s">
        <v>183</v>
      </c>
      <c r="D322" s="144">
        <v>0</v>
      </c>
      <c r="E322" s="144">
        <v>0</v>
      </c>
      <c r="F322" s="144">
        <v>0</v>
      </c>
      <c r="G322" s="144">
        <v>0</v>
      </c>
      <c r="H322" s="315">
        <v>0</v>
      </c>
      <c r="I322" s="572">
        <f t="shared" si="8"/>
        <v>0</v>
      </c>
    </row>
    <row r="323" spans="1:9" ht="10.5" customHeight="1" thickTop="1" thickBot="1" x14ac:dyDescent="0.2">
      <c r="A323" s="35"/>
      <c r="B323" s="152"/>
      <c r="C323" s="115" t="s">
        <v>661</v>
      </c>
      <c r="D323" s="169">
        <f>SUM(D294:D322)</f>
        <v>0</v>
      </c>
      <c r="E323" s="169">
        <f>SUM(E294:E322)</f>
        <v>0</v>
      </c>
      <c r="F323" s="169">
        <f>SUM(F294:F322)</f>
        <v>0</v>
      </c>
      <c r="G323" s="169">
        <f>SUM(G294:G322)</f>
        <v>0</v>
      </c>
      <c r="H323" s="169">
        <f>SUM(H294:H322)</f>
        <v>0</v>
      </c>
      <c r="I323" s="304">
        <f>G323+H323</f>
        <v>0</v>
      </c>
    </row>
    <row r="324" spans="1:9" ht="10.5" customHeight="1" thickTop="1" x14ac:dyDescent="0.15">
      <c r="A324" s="35"/>
      <c r="B324" s="152"/>
      <c r="C324" s="115"/>
      <c r="D324" s="14"/>
      <c r="E324" s="14"/>
      <c r="F324" s="14"/>
      <c r="G324" s="14"/>
      <c r="H324" s="320"/>
      <c r="I324" s="305"/>
    </row>
    <row r="325" spans="1:9" ht="10.5" customHeight="1" x14ac:dyDescent="0.15">
      <c r="A325" s="35" t="s">
        <v>662</v>
      </c>
      <c r="C325" s="115"/>
      <c r="D325" s="14"/>
      <c r="E325" s="14"/>
      <c r="F325" s="14"/>
      <c r="G325" s="14"/>
      <c r="H325" s="305"/>
      <c r="I325" s="305"/>
    </row>
    <row r="326" spans="1:9" s="309" customFormat="1" x14ac:dyDescent="0.15">
      <c r="B326" s="311" t="s">
        <v>1577</v>
      </c>
      <c r="C326" s="312" t="s">
        <v>228</v>
      </c>
      <c r="D326" s="316">
        <v>0</v>
      </c>
      <c r="E326" s="316">
        <v>0</v>
      </c>
      <c r="F326" s="316">
        <v>0</v>
      </c>
      <c r="G326" s="528">
        <f t="array" ref="G326">SUM(IF(CertFund&amp;CertProg&amp;CertObj=RIGHT(LEFT($A$2,7),2)&amp;LEFT(A325,4)&amp;B326,CertSalary))</f>
        <v>0</v>
      </c>
      <c r="H326" s="527">
        <v>0</v>
      </c>
      <c r="I326" s="566">
        <f>SUM(G326+H326)</f>
        <v>0</v>
      </c>
    </row>
    <row r="327" spans="1:9" s="309" customFormat="1" x14ac:dyDescent="0.15">
      <c r="B327" s="311" t="s">
        <v>1577</v>
      </c>
      <c r="C327" s="312" t="s">
        <v>510</v>
      </c>
      <c r="D327" s="316">
        <v>0</v>
      </c>
      <c r="E327" s="316">
        <v>0</v>
      </c>
      <c r="F327" s="316">
        <v>0</v>
      </c>
      <c r="G327" s="316">
        <v>0</v>
      </c>
      <c r="H327" s="527">
        <v>0</v>
      </c>
      <c r="I327" s="566">
        <f>SUM(G327+H327)</f>
        <v>0</v>
      </c>
    </row>
    <row r="328" spans="1:9" s="309" customFormat="1" x14ac:dyDescent="0.15">
      <c r="A328" s="312"/>
      <c r="B328" s="311" t="s">
        <v>1578</v>
      </c>
      <c r="C328" s="312" t="s">
        <v>936</v>
      </c>
      <c r="D328" s="316">
        <v>0</v>
      </c>
      <c r="E328" s="316">
        <v>0</v>
      </c>
      <c r="F328" s="316">
        <v>0</v>
      </c>
      <c r="G328" s="529">
        <f t="array" ref="G328">SUM(IF(CertFund&amp;CertProg&amp;CertObj=RIGHT(LEFT($A$2,7),2)&amp;LEFT(A325,4)&amp;B326,CertBen))</f>
        <v>0</v>
      </c>
      <c r="H328" s="527">
        <v>0</v>
      </c>
      <c r="I328" s="566">
        <f>SUM(G328+H328)</f>
        <v>0</v>
      </c>
    </row>
    <row r="329" spans="1:9" s="309" customFormat="1" x14ac:dyDescent="0.15">
      <c r="A329" s="312"/>
      <c r="B329" s="311" t="s">
        <v>1578</v>
      </c>
      <c r="C329" s="312" t="s">
        <v>511</v>
      </c>
      <c r="D329" s="316">
        <v>0</v>
      </c>
      <c r="E329" s="316">
        <v>0</v>
      </c>
      <c r="F329" s="316">
        <v>0</v>
      </c>
      <c r="G329" s="316">
        <v>0</v>
      </c>
      <c r="H329" s="527">
        <v>0</v>
      </c>
      <c r="I329" s="566">
        <f>SUM(G329+H329)</f>
        <v>0</v>
      </c>
    </row>
    <row r="330" spans="1:9" ht="10.5" customHeight="1" x14ac:dyDescent="0.15">
      <c r="A330" s="35"/>
      <c r="B330" s="152" t="s">
        <v>1579</v>
      </c>
      <c r="C330" s="115" t="s">
        <v>118</v>
      </c>
      <c r="D330" s="147">
        <v>0</v>
      </c>
      <c r="E330" s="147">
        <v>0</v>
      </c>
      <c r="F330" s="147">
        <v>0</v>
      </c>
      <c r="G330" s="147">
        <v>0</v>
      </c>
      <c r="H330" s="315">
        <v>0</v>
      </c>
      <c r="I330" s="572">
        <f t="shared" ref="I330:I352" si="9">SUM(G330+H330)</f>
        <v>0</v>
      </c>
    </row>
    <row r="331" spans="1:9" ht="10.5" customHeight="1" x14ac:dyDescent="0.15">
      <c r="A331" s="35"/>
      <c r="B331" s="152" t="s">
        <v>1580</v>
      </c>
      <c r="C331" s="115" t="s">
        <v>119</v>
      </c>
      <c r="D331" s="147">
        <v>0</v>
      </c>
      <c r="E331" s="147">
        <v>0</v>
      </c>
      <c r="F331" s="147">
        <v>0</v>
      </c>
      <c r="G331" s="147">
        <v>0</v>
      </c>
      <c r="H331" s="315">
        <v>0</v>
      </c>
      <c r="I331" s="572">
        <f t="shared" si="9"/>
        <v>0</v>
      </c>
    </row>
    <row r="332" spans="1:9" ht="10.5" customHeight="1" x14ac:dyDescent="0.15">
      <c r="A332" s="35"/>
      <c r="B332" s="152" t="s">
        <v>120</v>
      </c>
      <c r="C332" s="115" t="s">
        <v>121</v>
      </c>
      <c r="D332" s="147">
        <v>0</v>
      </c>
      <c r="E332" s="147">
        <v>0</v>
      </c>
      <c r="F332" s="147">
        <v>0</v>
      </c>
      <c r="G332" s="147">
        <v>0</v>
      </c>
      <c r="H332" s="315">
        <v>0</v>
      </c>
      <c r="I332" s="572">
        <f t="shared" si="9"/>
        <v>0</v>
      </c>
    </row>
    <row r="333" spans="1:9" ht="10.5" customHeight="1" x14ac:dyDescent="0.15">
      <c r="A333" s="35"/>
      <c r="B333" s="152" t="s">
        <v>122</v>
      </c>
      <c r="C333" s="115" t="s">
        <v>123</v>
      </c>
      <c r="D333" s="147">
        <v>0</v>
      </c>
      <c r="E333" s="147">
        <v>0</v>
      </c>
      <c r="F333" s="147">
        <v>0</v>
      </c>
      <c r="G333" s="147">
        <v>0</v>
      </c>
      <c r="H333" s="315">
        <v>0</v>
      </c>
      <c r="I333" s="572">
        <f t="shared" si="9"/>
        <v>0</v>
      </c>
    </row>
    <row r="334" spans="1:9" ht="10.5" customHeight="1" x14ac:dyDescent="0.15">
      <c r="A334" s="35"/>
      <c r="B334" s="152" t="s">
        <v>1581</v>
      </c>
      <c r="C334" s="115" t="s">
        <v>124</v>
      </c>
      <c r="D334" s="147">
        <v>0</v>
      </c>
      <c r="E334" s="147">
        <v>0</v>
      </c>
      <c r="F334" s="147">
        <v>0</v>
      </c>
      <c r="G334" s="147">
        <v>0</v>
      </c>
      <c r="H334" s="315">
        <v>0</v>
      </c>
      <c r="I334" s="572">
        <f t="shared" si="9"/>
        <v>0</v>
      </c>
    </row>
    <row r="335" spans="1:9" ht="10.5" customHeight="1" x14ac:dyDescent="0.15">
      <c r="A335" s="35"/>
      <c r="B335" s="152" t="s">
        <v>1624</v>
      </c>
      <c r="C335" s="115" t="s">
        <v>840</v>
      </c>
      <c r="D335" s="147">
        <v>0</v>
      </c>
      <c r="E335" s="147">
        <v>0</v>
      </c>
      <c r="F335" s="147">
        <v>0</v>
      </c>
      <c r="G335" s="147">
        <v>0</v>
      </c>
      <c r="H335" s="315">
        <v>0</v>
      </c>
      <c r="I335" s="572">
        <f t="shared" si="9"/>
        <v>0</v>
      </c>
    </row>
    <row r="336" spans="1:9" ht="10.5" customHeight="1" x14ac:dyDescent="0.15">
      <c r="A336" s="35"/>
      <c r="B336" s="152" t="s">
        <v>1625</v>
      </c>
      <c r="C336" s="115" t="s">
        <v>842</v>
      </c>
      <c r="D336" s="147">
        <v>0</v>
      </c>
      <c r="E336" s="147">
        <v>0</v>
      </c>
      <c r="F336" s="147">
        <v>0</v>
      </c>
      <c r="G336" s="147">
        <v>0</v>
      </c>
      <c r="H336" s="315">
        <v>0</v>
      </c>
      <c r="I336" s="572">
        <f t="shared" si="9"/>
        <v>0</v>
      </c>
    </row>
    <row r="337" spans="1:9" ht="10.5" customHeight="1" x14ac:dyDescent="0.15">
      <c r="A337" s="35"/>
      <c r="B337" s="152" t="s">
        <v>843</v>
      </c>
      <c r="C337" s="115" t="s">
        <v>848</v>
      </c>
      <c r="D337" s="147">
        <v>0</v>
      </c>
      <c r="E337" s="147">
        <v>0</v>
      </c>
      <c r="F337" s="147">
        <v>0</v>
      </c>
      <c r="G337" s="147">
        <v>0</v>
      </c>
      <c r="H337" s="315">
        <v>0</v>
      </c>
      <c r="I337" s="572">
        <f t="shared" si="9"/>
        <v>0</v>
      </c>
    </row>
    <row r="338" spans="1:9" ht="10.5" customHeight="1" x14ac:dyDescent="0.15">
      <c r="A338" s="35"/>
      <c r="B338" s="152" t="s">
        <v>844</v>
      </c>
      <c r="C338" s="115" t="s">
        <v>186</v>
      </c>
      <c r="D338" s="147">
        <v>0</v>
      </c>
      <c r="E338" s="147">
        <v>0</v>
      </c>
      <c r="F338" s="147">
        <v>0</v>
      </c>
      <c r="G338" s="147">
        <v>0</v>
      </c>
      <c r="H338" s="315">
        <v>0</v>
      </c>
      <c r="I338" s="572">
        <f t="shared" si="9"/>
        <v>0</v>
      </c>
    </row>
    <row r="339" spans="1:9" ht="10.5" customHeight="1" x14ac:dyDescent="0.15">
      <c r="A339" s="35"/>
      <c r="B339" s="152" t="s">
        <v>845</v>
      </c>
      <c r="C339" s="115" t="s">
        <v>154</v>
      </c>
      <c r="D339" s="147">
        <v>0</v>
      </c>
      <c r="E339" s="147">
        <v>0</v>
      </c>
      <c r="F339" s="147">
        <v>0</v>
      </c>
      <c r="G339" s="147">
        <v>0</v>
      </c>
      <c r="H339" s="315">
        <v>0</v>
      </c>
      <c r="I339" s="572">
        <f t="shared" si="9"/>
        <v>0</v>
      </c>
    </row>
    <row r="340" spans="1:9" ht="10.5" customHeight="1" x14ac:dyDescent="0.15">
      <c r="A340" s="35"/>
      <c r="B340" s="152" t="s">
        <v>846</v>
      </c>
      <c r="C340" s="115" t="s">
        <v>155</v>
      </c>
      <c r="D340" s="147">
        <v>0</v>
      </c>
      <c r="E340" s="147">
        <v>0</v>
      </c>
      <c r="F340" s="147">
        <v>0</v>
      </c>
      <c r="G340" s="147">
        <v>0</v>
      </c>
      <c r="H340" s="315">
        <v>0</v>
      </c>
      <c r="I340" s="572">
        <f t="shared" si="9"/>
        <v>0</v>
      </c>
    </row>
    <row r="341" spans="1:9" ht="10.5" customHeight="1" x14ac:dyDescent="0.15">
      <c r="A341" s="35"/>
      <c r="B341" s="152" t="s">
        <v>1582</v>
      </c>
      <c r="C341" s="115" t="s">
        <v>156</v>
      </c>
      <c r="D341" s="147">
        <v>0</v>
      </c>
      <c r="E341" s="147">
        <v>0</v>
      </c>
      <c r="F341" s="147">
        <v>0</v>
      </c>
      <c r="G341" s="147">
        <v>0</v>
      </c>
      <c r="H341" s="315">
        <v>0</v>
      </c>
      <c r="I341" s="572">
        <f t="shared" si="9"/>
        <v>0</v>
      </c>
    </row>
    <row r="342" spans="1:9" ht="10.5" customHeight="1" x14ac:dyDescent="0.15">
      <c r="A342" s="35"/>
      <c r="B342" s="152" t="s">
        <v>847</v>
      </c>
      <c r="C342" s="115" t="s">
        <v>157</v>
      </c>
      <c r="D342" s="147">
        <v>0</v>
      </c>
      <c r="E342" s="147">
        <v>0</v>
      </c>
      <c r="F342" s="147">
        <v>0</v>
      </c>
      <c r="G342" s="147">
        <v>0</v>
      </c>
      <c r="H342" s="315">
        <v>0</v>
      </c>
      <c r="I342" s="572">
        <f t="shared" si="9"/>
        <v>0</v>
      </c>
    </row>
    <row r="343" spans="1:9" ht="10.5" customHeight="1" x14ac:dyDescent="0.15">
      <c r="A343" s="35"/>
      <c r="B343" s="152" t="s">
        <v>1583</v>
      </c>
      <c r="C343" s="115" t="s">
        <v>160</v>
      </c>
      <c r="D343" s="147">
        <v>0</v>
      </c>
      <c r="E343" s="147">
        <v>0</v>
      </c>
      <c r="F343" s="147">
        <v>0</v>
      </c>
      <c r="G343" s="147">
        <v>0</v>
      </c>
      <c r="H343" s="315">
        <v>0</v>
      </c>
      <c r="I343" s="572">
        <f t="shared" si="9"/>
        <v>0</v>
      </c>
    </row>
    <row r="344" spans="1:9" ht="10.5" customHeight="1" x14ac:dyDescent="0.15">
      <c r="A344" s="35"/>
      <c r="B344" s="152" t="s">
        <v>634</v>
      </c>
      <c r="C344" s="115" t="s">
        <v>165</v>
      </c>
      <c r="D344" s="147">
        <v>0</v>
      </c>
      <c r="E344" s="147">
        <v>0</v>
      </c>
      <c r="F344" s="147">
        <v>0</v>
      </c>
      <c r="G344" s="147">
        <v>0</v>
      </c>
      <c r="H344" s="315">
        <v>0</v>
      </c>
      <c r="I344" s="572">
        <f t="shared" si="9"/>
        <v>0</v>
      </c>
    </row>
    <row r="345" spans="1:9" ht="10.5" customHeight="1" x14ac:dyDescent="0.15">
      <c r="A345" s="35"/>
      <c r="B345" s="152" t="s">
        <v>630</v>
      </c>
      <c r="C345" s="115" t="s">
        <v>172</v>
      </c>
      <c r="D345" s="147">
        <v>0</v>
      </c>
      <c r="E345" s="147">
        <v>0</v>
      </c>
      <c r="F345" s="147">
        <v>0</v>
      </c>
      <c r="G345" s="147">
        <v>0</v>
      </c>
      <c r="H345" s="315">
        <v>0</v>
      </c>
      <c r="I345" s="572">
        <f t="shared" si="9"/>
        <v>0</v>
      </c>
    </row>
    <row r="346" spans="1:9" ht="10.5" customHeight="1" x14ac:dyDescent="0.15">
      <c r="A346" s="35"/>
      <c r="B346" s="652" t="s">
        <v>631</v>
      </c>
      <c r="C346" s="653" t="s">
        <v>173</v>
      </c>
      <c r="D346" s="147">
        <v>0</v>
      </c>
      <c r="E346" s="147">
        <v>0</v>
      </c>
      <c r="F346" s="147">
        <v>0</v>
      </c>
      <c r="G346" s="147">
        <v>0</v>
      </c>
      <c r="H346" s="315">
        <v>0</v>
      </c>
      <c r="I346" s="572">
        <f t="shared" si="9"/>
        <v>0</v>
      </c>
    </row>
    <row r="347" spans="1:9" ht="10.5" customHeight="1" x14ac:dyDescent="0.15">
      <c r="A347" s="35"/>
      <c r="B347" s="152" t="s">
        <v>1584</v>
      </c>
      <c r="C347" s="115" t="s">
        <v>178</v>
      </c>
      <c r="D347" s="147">
        <v>0</v>
      </c>
      <c r="E347" s="147">
        <v>0</v>
      </c>
      <c r="F347" s="147">
        <v>0</v>
      </c>
      <c r="G347" s="147">
        <v>0</v>
      </c>
      <c r="H347" s="315">
        <v>0</v>
      </c>
      <c r="I347" s="572">
        <f t="shared" si="9"/>
        <v>0</v>
      </c>
    </row>
    <row r="348" spans="1:9" ht="10.5" customHeight="1" x14ac:dyDescent="0.15">
      <c r="A348" s="35"/>
      <c r="B348" s="152" t="s">
        <v>174</v>
      </c>
      <c r="C348" s="115" t="s">
        <v>179</v>
      </c>
      <c r="D348" s="147">
        <v>0</v>
      </c>
      <c r="E348" s="147">
        <v>0</v>
      </c>
      <c r="F348" s="147">
        <v>0</v>
      </c>
      <c r="G348" s="147">
        <v>0</v>
      </c>
      <c r="H348" s="315">
        <v>0</v>
      </c>
      <c r="I348" s="572">
        <f t="shared" si="9"/>
        <v>0</v>
      </c>
    </row>
    <row r="349" spans="1:9" ht="10.5" customHeight="1" x14ac:dyDescent="0.15">
      <c r="A349" s="35"/>
      <c r="B349" s="152" t="s">
        <v>175</v>
      </c>
      <c r="C349" s="115" t="s">
        <v>180</v>
      </c>
      <c r="D349" s="147">
        <v>0</v>
      </c>
      <c r="E349" s="147">
        <v>0</v>
      </c>
      <c r="F349" s="147">
        <v>0</v>
      </c>
      <c r="G349" s="147">
        <v>0</v>
      </c>
      <c r="H349" s="315">
        <v>0</v>
      </c>
      <c r="I349" s="572">
        <f t="shared" si="9"/>
        <v>0</v>
      </c>
    </row>
    <row r="350" spans="1:9" ht="10.5" customHeight="1" x14ac:dyDescent="0.15">
      <c r="A350" s="35"/>
      <c r="B350" s="152" t="s">
        <v>176</v>
      </c>
      <c r="C350" s="115" t="s">
        <v>181</v>
      </c>
      <c r="D350" s="147">
        <v>0</v>
      </c>
      <c r="E350" s="147">
        <v>0</v>
      </c>
      <c r="F350" s="147">
        <v>0</v>
      </c>
      <c r="G350" s="147">
        <v>0</v>
      </c>
      <c r="H350" s="315">
        <v>0</v>
      </c>
      <c r="I350" s="572">
        <f t="shared" si="9"/>
        <v>0</v>
      </c>
    </row>
    <row r="351" spans="1:9" ht="10.5" customHeight="1" x14ac:dyDescent="0.15">
      <c r="A351" s="35"/>
      <c r="B351" s="152" t="s">
        <v>177</v>
      </c>
      <c r="C351" s="115" t="s">
        <v>182</v>
      </c>
      <c r="D351" s="147">
        <v>0</v>
      </c>
      <c r="E351" s="147">
        <v>0</v>
      </c>
      <c r="F351" s="147">
        <v>0</v>
      </c>
      <c r="G351" s="147">
        <v>0</v>
      </c>
      <c r="H351" s="315">
        <v>0</v>
      </c>
      <c r="I351" s="572">
        <f t="shared" si="9"/>
        <v>0</v>
      </c>
    </row>
    <row r="352" spans="1:9" ht="10.5" customHeight="1" thickBot="1" x14ac:dyDescent="0.2">
      <c r="A352" s="35"/>
      <c r="B352" s="152" t="s">
        <v>632</v>
      </c>
      <c r="C352" s="115" t="s">
        <v>183</v>
      </c>
      <c r="D352" s="144">
        <v>0</v>
      </c>
      <c r="E352" s="144">
        <v>0</v>
      </c>
      <c r="F352" s="144">
        <v>0</v>
      </c>
      <c r="G352" s="144">
        <v>0</v>
      </c>
      <c r="H352" s="315">
        <v>0</v>
      </c>
      <c r="I352" s="572">
        <f t="shared" si="9"/>
        <v>0</v>
      </c>
    </row>
    <row r="353" spans="1:10" ht="10.5" customHeight="1" thickTop="1" thickBot="1" x14ac:dyDescent="0.2">
      <c r="A353" s="35"/>
      <c r="B353" s="152"/>
      <c r="C353" s="115" t="s">
        <v>663</v>
      </c>
      <c r="D353" s="169">
        <f>SUM(D326:D352)</f>
        <v>0</v>
      </c>
      <c r="E353" s="169">
        <f>SUM(E326:E352)</f>
        <v>0</v>
      </c>
      <c r="F353" s="169">
        <f>SUM(F326:F352)</f>
        <v>0</v>
      </c>
      <c r="G353" s="169">
        <f>SUM(G326:G352)</f>
        <v>0</v>
      </c>
      <c r="H353" s="169">
        <f>SUM(H326:H352)</f>
        <v>0</v>
      </c>
      <c r="I353" s="304">
        <f>G353+H353</f>
        <v>0</v>
      </c>
    </row>
    <row r="354" spans="1:10" ht="10.5" customHeight="1" thickTop="1" x14ac:dyDescent="0.15">
      <c r="A354" s="35"/>
      <c r="B354" s="152"/>
      <c r="C354" s="115"/>
      <c r="D354" s="14"/>
      <c r="E354" s="14"/>
      <c r="F354" s="14"/>
      <c r="G354" s="14"/>
      <c r="H354" s="308"/>
      <c r="I354" s="570"/>
    </row>
    <row r="355" spans="1:10" ht="10.5" customHeight="1" x14ac:dyDescent="0.15">
      <c r="A355" s="35" t="s">
        <v>664</v>
      </c>
      <c r="C355" s="115"/>
      <c r="D355" s="14"/>
      <c r="E355" s="14"/>
      <c r="F355" s="14"/>
      <c r="G355" s="14"/>
      <c r="H355" s="320"/>
      <c r="I355" s="305"/>
    </row>
    <row r="356" spans="1:10" s="309" customFormat="1" x14ac:dyDescent="0.15">
      <c r="B356" s="311" t="s">
        <v>1577</v>
      </c>
      <c r="C356" s="312" t="s">
        <v>228</v>
      </c>
      <c r="D356" s="316">
        <v>0</v>
      </c>
      <c r="E356" s="316">
        <v>0</v>
      </c>
      <c r="F356" s="316">
        <v>0</v>
      </c>
      <c r="G356" s="528">
        <f t="array" ref="G356">SUM(IF(CertFund&amp;CertProg&amp;CertObj=RIGHT(LEFT($A$2,7),2)&amp;LEFT(A355,4)&amp;B356,CertSalary))</f>
        <v>0</v>
      </c>
      <c r="H356" s="527">
        <v>0</v>
      </c>
      <c r="I356" s="566">
        <f>SUM(G356+H356)</f>
        <v>0</v>
      </c>
    </row>
    <row r="357" spans="1:10" s="309" customFormat="1" x14ac:dyDescent="0.15">
      <c r="B357" s="311" t="s">
        <v>1577</v>
      </c>
      <c r="C357" s="312" t="s">
        <v>510</v>
      </c>
      <c r="D357" s="316">
        <v>0</v>
      </c>
      <c r="E357" s="316">
        <v>0</v>
      </c>
      <c r="F357" s="316">
        <v>0</v>
      </c>
      <c r="G357" s="316">
        <v>0</v>
      </c>
      <c r="H357" s="527">
        <v>0</v>
      </c>
      <c r="I357" s="566">
        <f>SUM(G357+H357)</f>
        <v>0</v>
      </c>
    </row>
    <row r="358" spans="1:10" s="309" customFormat="1" x14ac:dyDescent="0.15">
      <c r="A358" s="312"/>
      <c r="B358" s="311" t="s">
        <v>1578</v>
      </c>
      <c r="C358" s="312" t="s">
        <v>936</v>
      </c>
      <c r="D358" s="316">
        <v>0</v>
      </c>
      <c r="E358" s="316">
        <v>0</v>
      </c>
      <c r="F358" s="316">
        <v>0</v>
      </c>
      <c r="G358" s="529">
        <f t="array" ref="G358">SUM(IF(CertFund&amp;CertProg&amp;CertObj=RIGHT(LEFT($A$2,7),2)&amp;LEFT(A355,4)&amp;B356,CertBen))</f>
        <v>0</v>
      </c>
      <c r="H358" s="527">
        <v>0</v>
      </c>
      <c r="I358" s="566">
        <f>SUM(G358+H358)</f>
        <v>0</v>
      </c>
    </row>
    <row r="359" spans="1:10" x14ac:dyDescent="0.15">
      <c r="A359" s="115"/>
      <c r="B359" s="152" t="s">
        <v>1578</v>
      </c>
      <c r="C359" s="115" t="s">
        <v>511</v>
      </c>
      <c r="D359" s="147">
        <v>0</v>
      </c>
      <c r="E359" s="147">
        <v>0</v>
      </c>
      <c r="F359" s="147">
        <v>0</v>
      </c>
      <c r="G359" s="147">
        <v>0</v>
      </c>
      <c r="H359" s="150">
        <v>0</v>
      </c>
      <c r="I359" s="567">
        <f>SUM(G359+H359)</f>
        <v>0</v>
      </c>
      <c r="J359" s="309"/>
    </row>
    <row r="360" spans="1:10" ht="10.5" customHeight="1" x14ac:dyDescent="0.15">
      <c r="A360" s="35"/>
      <c r="B360" s="152" t="s">
        <v>1579</v>
      </c>
      <c r="C360" s="115" t="s">
        <v>118</v>
      </c>
      <c r="D360" s="147">
        <v>0</v>
      </c>
      <c r="E360" s="147">
        <v>0</v>
      </c>
      <c r="F360" s="147">
        <v>0</v>
      </c>
      <c r="G360" s="147">
        <v>0</v>
      </c>
      <c r="H360" s="316">
        <v>0</v>
      </c>
      <c r="I360" s="535">
        <f t="shared" ref="I360:I382" si="10">SUM(G360+H360)</f>
        <v>0</v>
      </c>
    </row>
    <row r="361" spans="1:10" ht="10.5" customHeight="1" x14ac:dyDescent="0.15">
      <c r="A361" s="35"/>
      <c r="B361" s="152" t="s">
        <v>1580</v>
      </c>
      <c r="C361" s="115" t="s">
        <v>119</v>
      </c>
      <c r="D361" s="147">
        <v>0</v>
      </c>
      <c r="E361" s="147">
        <v>0</v>
      </c>
      <c r="F361" s="147">
        <v>0</v>
      </c>
      <c r="G361" s="147">
        <v>0</v>
      </c>
      <c r="H361" s="316">
        <v>0</v>
      </c>
      <c r="I361" s="535">
        <f t="shared" si="10"/>
        <v>0</v>
      </c>
    </row>
    <row r="362" spans="1:10" ht="10.5" customHeight="1" x14ac:dyDescent="0.15">
      <c r="A362" s="35"/>
      <c r="B362" s="152" t="s">
        <v>120</v>
      </c>
      <c r="C362" s="115" t="s">
        <v>121</v>
      </c>
      <c r="D362" s="147">
        <v>0</v>
      </c>
      <c r="E362" s="147">
        <v>0</v>
      </c>
      <c r="F362" s="147">
        <v>0</v>
      </c>
      <c r="G362" s="147">
        <v>0</v>
      </c>
      <c r="H362" s="316">
        <v>0</v>
      </c>
      <c r="I362" s="535">
        <f t="shared" si="10"/>
        <v>0</v>
      </c>
    </row>
    <row r="363" spans="1:10" ht="10.5" customHeight="1" x14ac:dyDescent="0.15">
      <c r="A363" s="35"/>
      <c r="B363" s="152" t="s">
        <v>122</v>
      </c>
      <c r="C363" s="115" t="s">
        <v>123</v>
      </c>
      <c r="D363" s="147">
        <v>0</v>
      </c>
      <c r="E363" s="147">
        <v>0</v>
      </c>
      <c r="F363" s="147">
        <v>0</v>
      </c>
      <c r="G363" s="147">
        <v>0</v>
      </c>
      <c r="H363" s="316">
        <v>0</v>
      </c>
      <c r="I363" s="535">
        <f t="shared" si="10"/>
        <v>0</v>
      </c>
    </row>
    <row r="364" spans="1:10" ht="10.5" customHeight="1" x14ac:dyDescent="0.15">
      <c r="A364" s="35"/>
      <c r="B364" s="152" t="s">
        <v>1581</v>
      </c>
      <c r="C364" s="115" t="s">
        <v>124</v>
      </c>
      <c r="D364" s="147">
        <v>0</v>
      </c>
      <c r="E364" s="147">
        <v>0</v>
      </c>
      <c r="F364" s="147">
        <v>0</v>
      </c>
      <c r="G364" s="147">
        <v>0</v>
      </c>
      <c r="H364" s="316">
        <v>0</v>
      </c>
      <c r="I364" s="535">
        <f t="shared" si="10"/>
        <v>0</v>
      </c>
    </row>
    <row r="365" spans="1:10" ht="10.5" customHeight="1" x14ac:dyDescent="0.15">
      <c r="A365" s="35"/>
      <c r="B365" s="152" t="s">
        <v>1624</v>
      </c>
      <c r="C365" s="115" t="s">
        <v>840</v>
      </c>
      <c r="D365" s="147">
        <v>0</v>
      </c>
      <c r="E365" s="147">
        <v>0</v>
      </c>
      <c r="F365" s="147">
        <v>0</v>
      </c>
      <c r="G365" s="147">
        <v>0</v>
      </c>
      <c r="H365" s="316">
        <v>0</v>
      </c>
      <c r="I365" s="535">
        <f t="shared" si="10"/>
        <v>0</v>
      </c>
    </row>
    <row r="366" spans="1:10" ht="10.5" customHeight="1" x14ac:dyDescent="0.15">
      <c r="A366" s="35"/>
      <c r="B366" s="152" t="s">
        <v>1625</v>
      </c>
      <c r="C366" s="115" t="s">
        <v>842</v>
      </c>
      <c r="D366" s="147">
        <v>0</v>
      </c>
      <c r="E366" s="147">
        <v>0</v>
      </c>
      <c r="F366" s="147">
        <v>0</v>
      </c>
      <c r="G366" s="147">
        <v>0</v>
      </c>
      <c r="H366" s="316">
        <v>0</v>
      </c>
      <c r="I366" s="535">
        <f t="shared" si="10"/>
        <v>0</v>
      </c>
    </row>
    <row r="367" spans="1:10" ht="10.5" customHeight="1" x14ac:dyDescent="0.15">
      <c r="A367" s="35"/>
      <c r="B367" s="152" t="s">
        <v>843</v>
      </c>
      <c r="C367" s="115" t="s">
        <v>848</v>
      </c>
      <c r="D367" s="147">
        <v>0</v>
      </c>
      <c r="E367" s="147">
        <v>0</v>
      </c>
      <c r="F367" s="147">
        <v>0</v>
      </c>
      <c r="G367" s="147">
        <v>0</v>
      </c>
      <c r="H367" s="316">
        <v>0</v>
      </c>
      <c r="I367" s="535">
        <f t="shared" si="10"/>
        <v>0</v>
      </c>
    </row>
    <row r="368" spans="1:10" ht="10.5" customHeight="1" x14ac:dyDescent="0.15">
      <c r="A368" s="35"/>
      <c r="B368" s="152" t="s">
        <v>844</v>
      </c>
      <c r="C368" s="115" t="s">
        <v>186</v>
      </c>
      <c r="D368" s="147">
        <v>0</v>
      </c>
      <c r="E368" s="147">
        <v>0</v>
      </c>
      <c r="F368" s="147">
        <v>0</v>
      </c>
      <c r="G368" s="147">
        <v>0</v>
      </c>
      <c r="H368" s="316">
        <v>0</v>
      </c>
      <c r="I368" s="535">
        <f t="shared" si="10"/>
        <v>0</v>
      </c>
    </row>
    <row r="369" spans="1:9" ht="10.5" customHeight="1" x14ac:dyDescent="0.15">
      <c r="A369" s="35"/>
      <c r="B369" s="152" t="s">
        <v>845</v>
      </c>
      <c r="C369" s="115" t="s">
        <v>154</v>
      </c>
      <c r="D369" s="147">
        <v>0</v>
      </c>
      <c r="E369" s="147">
        <v>0</v>
      </c>
      <c r="F369" s="147">
        <v>0</v>
      </c>
      <c r="G369" s="147">
        <v>0</v>
      </c>
      <c r="H369" s="316">
        <v>0</v>
      </c>
      <c r="I369" s="535">
        <f t="shared" si="10"/>
        <v>0</v>
      </c>
    </row>
    <row r="370" spans="1:9" ht="10.5" customHeight="1" x14ac:dyDescent="0.15">
      <c r="A370" s="35"/>
      <c r="B370" s="152" t="s">
        <v>846</v>
      </c>
      <c r="C370" s="115" t="s">
        <v>155</v>
      </c>
      <c r="D370" s="147">
        <v>0</v>
      </c>
      <c r="E370" s="147">
        <v>0</v>
      </c>
      <c r="F370" s="147">
        <v>0</v>
      </c>
      <c r="G370" s="147">
        <v>0</v>
      </c>
      <c r="H370" s="316">
        <v>0</v>
      </c>
      <c r="I370" s="535">
        <f t="shared" si="10"/>
        <v>0</v>
      </c>
    </row>
    <row r="371" spans="1:9" ht="10.5" customHeight="1" x14ac:dyDescent="0.15">
      <c r="A371" s="35"/>
      <c r="B371" s="152" t="s">
        <v>1582</v>
      </c>
      <c r="C371" s="115" t="s">
        <v>156</v>
      </c>
      <c r="D371" s="147">
        <v>0</v>
      </c>
      <c r="E371" s="147">
        <v>0</v>
      </c>
      <c r="F371" s="147">
        <v>0</v>
      </c>
      <c r="G371" s="147">
        <v>0</v>
      </c>
      <c r="H371" s="316">
        <v>0</v>
      </c>
      <c r="I371" s="535">
        <f t="shared" si="10"/>
        <v>0</v>
      </c>
    </row>
    <row r="372" spans="1:9" ht="10.5" customHeight="1" x14ac:dyDescent="0.15">
      <c r="A372" s="35"/>
      <c r="B372" s="152" t="s">
        <v>665</v>
      </c>
      <c r="C372" s="115" t="s">
        <v>1362</v>
      </c>
      <c r="D372" s="147">
        <v>0</v>
      </c>
      <c r="E372" s="147">
        <v>0</v>
      </c>
      <c r="F372" s="147">
        <v>0</v>
      </c>
      <c r="G372" s="147">
        <v>0</v>
      </c>
      <c r="H372" s="316">
        <v>0</v>
      </c>
      <c r="I372" s="535">
        <f t="shared" si="10"/>
        <v>0</v>
      </c>
    </row>
    <row r="373" spans="1:9" ht="10.5" customHeight="1" x14ac:dyDescent="0.15">
      <c r="A373" s="35"/>
      <c r="B373" s="152" t="s">
        <v>847</v>
      </c>
      <c r="C373" s="115" t="s">
        <v>157</v>
      </c>
      <c r="D373" s="147">
        <v>0</v>
      </c>
      <c r="E373" s="147">
        <v>0</v>
      </c>
      <c r="F373" s="147">
        <v>0</v>
      </c>
      <c r="G373" s="147">
        <v>0</v>
      </c>
      <c r="H373" s="316">
        <v>0</v>
      </c>
      <c r="I373" s="535">
        <f t="shared" si="10"/>
        <v>0</v>
      </c>
    </row>
    <row r="374" spans="1:9" ht="10.5" customHeight="1" x14ac:dyDescent="0.15">
      <c r="A374" s="35"/>
      <c r="B374" s="152" t="s">
        <v>1583</v>
      </c>
      <c r="C374" s="115" t="s">
        <v>160</v>
      </c>
      <c r="D374" s="147">
        <v>0</v>
      </c>
      <c r="E374" s="147">
        <v>0</v>
      </c>
      <c r="F374" s="147">
        <v>0</v>
      </c>
      <c r="G374" s="147">
        <v>0</v>
      </c>
      <c r="H374" s="316">
        <v>0</v>
      </c>
      <c r="I374" s="535">
        <f t="shared" si="10"/>
        <v>0</v>
      </c>
    </row>
    <row r="375" spans="1:9" ht="10.5" customHeight="1" x14ac:dyDescent="0.15">
      <c r="A375" s="35"/>
      <c r="B375" s="152" t="s">
        <v>634</v>
      </c>
      <c r="C375" s="115" t="s">
        <v>165</v>
      </c>
      <c r="D375" s="147">
        <v>0</v>
      </c>
      <c r="E375" s="147">
        <v>0</v>
      </c>
      <c r="F375" s="147">
        <v>0</v>
      </c>
      <c r="G375" s="147">
        <v>0</v>
      </c>
      <c r="H375" s="316">
        <v>0</v>
      </c>
      <c r="I375" s="535">
        <f t="shared" si="10"/>
        <v>0</v>
      </c>
    </row>
    <row r="376" spans="1:9" ht="10.5" customHeight="1" x14ac:dyDescent="0.15">
      <c r="A376" s="35"/>
      <c r="B376" s="152" t="s">
        <v>630</v>
      </c>
      <c r="C376" s="115" t="s">
        <v>172</v>
      </c>
      <c r="D376" s="147">
        <v>0</v>
      </c>
      <c r="E376" s="147">
        <v>0</v>
      </c>
      <c r="F376" s="147">
        <v>0</v>
      </c>
      <c r="G376" s="147">
        <v>0</v>
      </c>
      <c r="H376" s="316">
        <v>0</v>
      </c>
      <c r="I376" s="535">
        <f t="shared" si="10"/>
        <v>0</v>
      </c>
    </row>
    <row r="377" spans="1:9" ht="10.5" customHeight="1" x14ac:dyDescent="0.15">
      <c r="A377" s="35"/>
      <c r="B377" s="652" t="s">
        <v>631</v>
      </c>
      <c r="C377" s="653" t="s">
        <v>173</v>
      </c>
      <c r="D377" s="147">
        <v>0</v>
      </c>
      <c r="E377" s="147">
        <v>0</v>
      </c>
      <c r="F377" s="147">
        <v>0</v>
      </c>
      <c r="G377" s="147">
        <v>0</v>
      </c>
      <c r="H377" s="316">
        <v>0</v>
      </c>
      <c r="I377" s="535">
        <f t="shared" si="10"/>
        <v>0</v>
      </c>
    </row>
    <row r="378" spans="1:9" ht="10.5" customHeight="1" x14ac:dyDescent="0.15">
      <c r="A378" s="35"/>
      <c r="B378" s="152" t="s">
        <v>1584</v>
      </c>
      <c r="C378" s="115" t="s">
        <v>178</v>
      </c>
      <c r="D378" s="147">
        <v>0</v>
      </c>
      <c r="E378" s="147">
        <v>0</v>
      </c>
      <c r="F378" s="147">
        <v>0</v>
      </c>
      <c r="G378" s="147">
        <v>0</v>
      </c>
      <c r="H378" s="316">
        <v>0</v>
      </c>
      <c r="I378" s="535">
        <f t="shared" si="10"/>
        <v>0</v>
      </c>
    </row>
    <row r="379" spans="1:9" ht="10.5" customHeight="1" x14ac:dyDescent="0.15">
      <c r="A379" s="35"/>
      <c r="B379" s="152" t="s">
        <v>174</v>
      </c>
      <c r="C379" s="115" t="s">
        <v>179</v>
      </c>
      <c r="D379" s="147">
        <v>0</v>
      </c>
      <c r="E379" s="147">
        <v>0</v>
      </c>
      <c r="F379" s="147">
        <v>0</v>
      </c>
      <c r="G379" s="147">
        <v>0</v>
      </c>
      <c r="H379" s="316">
        <v>0</v>
      </c>
      <c r="I379" s="535">
        <f t="shared" si="10"/>
        <v>0</v>
      </c>
    </row>
    <row r="380" spans="1:9" ht="10.5" customHeight="1" x14ac:dyDescent="0.15">
      <c r="A380" s="35"/>
      <c r="B380" s="152" t="s">
        <v>175</v>
      </c>
      <c r="C380" s="115" t="s">
        <v>180</v>
      </c>
      <c r="D380" s="147">
        <v>0</v>
      </c>
      <c r="E380" s="147">
        <v>0</v>
      </c>
      <c r="F380" s="147">
        <v>0</v>
      </c>
      <c r="G380" s="147">
        <v>0</v>
      </c>
      <c r="H380" s="316">
        <v>0</v>
      </c>
      <c r="I380" s="535">
        <f t="shared" si="10"/>
        <v>0</v>
      </c>
    </row>
    <row r="381" spans="1:9" ht="10.5" customHeight="1" x14ac:dyDescent="0.15">
      <c r="A381" s="35"/>
      <c r="B381" s="152" t="s">
        <v>176</v>
      </c>
      <c r="C381" s="115" t="s">
        <v>181</v>
      </c>
      <c r="D381" s="147">
        <v>0</v>
      </c>
      <c r="E381" s="147">
        <v>0</v>
      </c>
      <c r="F381" s="147">
        <v>0</v>
      </c>
      <c r="G381" s="147">
        <v>0</v>
      </c>
      <c r="H381" s="316">
        <v>0</v>
      </c>
      <c r="I381" s="535">
        <f t="shared" si="10"/>
        <v>0</v>
      </c>
    </row>
    <row r="382" spans="1:9" ht="10.5" customHeight="1" x14ac:dyDescent="0.15">
      <c r="A382" s="35"/>
      <c r="B382" s="152" t="s">
        <v>177</v>
      </c>
      <c r="C382" s="115" t="s">
        <v>182</v>
      </c>
      <c r="D382" s="147">
        <v>0</v>
      </c>
      <c r="E382" s="147">
        <v>0</v>
      </c>
      <c r="F382" s="147">
        <v>0</v>
      </c>
      <c r="G382" s="147">
        <v>0</v>
      </c>
      <c r="H382" s="316">
        <v>0</v>
      </c>
      <c r="I382" s="535">
        <f t="shared" si="10"/>
        <v>0</v>
      </c>
    </row>
    <row r="383" spans="1:9" ht="10.5" customHeight="1" thickBot="1" x14ac:dyDescent="0.2">
      <c r="A383" s="35"/>
      <c r="B383" s="152" t="s">
        <v>632</v>
      </c>
      <c r="C383" s="115" t="s">
        <v>183</v>
      </c>
      <c r="D383" s="144">
        <v>0</v>
      </c>
      <c r="E383" s="144">
        <v>0</v>
      </c>
      <c r="F383" s="144">
        <v>0</v>
      </c>
      <c r="G383" s="291">
        <v>0</v>
      </c>
      <c r="H383" s="317">
        <v>0</v>
      </c>
      <c r="I383" s="573">
        <f>SUM(G383+H383)</f>
        <v>0</v>
      </c>
    </row>
    <row r="384" spans="1:9" ht="10.5" customHeight="1" thickTop="1" thickBot="1" x14ac:dyDescent="0.2">
      <c r="A384" s="35"/>
      <c r="B384" s="152"/>
      <c r="C384" s="115" t="s">
        <v>666</v>
      </c>
      <c r="D384" s="169">
        <f>SUM(D356:D383)</f>
        <v>0</v>
      </c>
      <c r="E384" s="169">
        <f>SUM(E356:E383)</f>
        <v>0</v>
      </c>
      <c r="F384" s="169">
        <f>SUM(F356:F383)</f>
        <v>0</v>
      </c>
      <c r="G384" s="169">
        <f>SUM(G356:G383)</f>
        <v>0</v>
      </c>
      <c r="H384" s="169">
        <f>SUM(H356:H383)</f>
        <v>0</v>
      </c>
      <c r="I384" s="304">
        <f>G384+H384</f>
        <v>0</v>
      </c>
    </row>
    <row r="385" spans="1:10" ht="10.5" customHeight="1" thickTop="1" x14ac:dyDescent="0.15">
      <c r="A385" s="35"/>
      <c r="B385" s="152"/>
      <c r="C385" s="115"/>
      <c r="D385" s="14"/>
      <c r="E385" s="14"/>
      <c r="F385" s="14"/>
      <c r="G385" s="14"/>
      <c r="H385" s="305"/>
      <c r="I385" s="305"/>
    </row>
    <row r="386" spans="1:10" ht="10.5" customHeight="1" x14ac:dyDescent="0.15">
      <c r="A386" s="35" t="s">
        <v>266</v>
      </c>
      <c r="C386" s="115"/>
      <c r="D386" s="14"/>
      <c r="E386" s="14"/>
      <c r="F386" s="14"/>
      <c r="G386" s="14"/>
      <c r="H386" s="305"/>
      <c r="I386" s="305"/>
    </row>
    <row r="387" spans="1:10" s="309" customFormat="1" x14ac:dyDescent="0.15">
      <c r="B387" s="311" t="s">
        <v>1577</v>
      </c>
      <c r="C387" s="312" t="s">
        <v>228</v>
      </c>
      <c r="D387" s="316">
        <v>0</v>
      </c>
      <c r="E387" s="316">
        <v>0</v>
      </c>
      <c r="F387" s="316">
        <v>0</v>
      </c>
      <c r="G387" s="528">
        <f t="array" ref="G387">SUM(IF(CertFund&amp;CertProg&amp;CertObj=RIGHT(LEFT($A$2,7),2)&amp;LEFT(A386,4)&amp;B387,CertSalary))</f>
        <v>0</v>
      </c>
      <c r="H387" s="527">
        <v>0</v>
      </c>
      <c r="I387" s="566">
        <f>SUM(G387+H387)</f>
        <v>0</v>
      </c>
    </row>
    <row r="388" spans="1:10" s="309" customFormat="1" x14ac:dyDescent="0.15">
      <c r="B388" s="311" t="s">
        <v>1577</v>
      </c>
      <c r="C388" s="312" t="s">
        <v>510</v>
      </c>
      <c r="D388" s="316">
        <v>0</v>
      </c>
      <c r="E388" s="316">
        <v>0</v>
      </c>
      <c r="F388" s="316">
        <v>0</v>
      </c>
      <c r="G388" s="316">
        <v>0</v>
      </c>
      <c r="H388" s="527">
        <v>0</v>
      </c>
      <c r="I388" s="566">
        <f>SUM(G388+H388)</f>
        <v>0</v>
      </c>
    </row>
    <row r="389" spans="1:10" s="309" customFormat="1" x14ac:dyDescent="0.15">
      <c r="A389" s="312"/>
      <c r="B389" s="311" t="s">
        <v>1578</v>
      </c>
      <c r="C389" s="312" t="s">
        <v>936</v>
      </c>
      <c r="D389" s="316">
        <v>0</v>
      </c>
      <c r="E389" s="316">
        <v>0</v>
      </c>
      <c r="F389" s="316">
        <v>0</v>
      </c>
      <c r="G389" s="529">
        <f t="array" ref="G389">SUM(IF(CertFund&amp;CertProg&amp;CertObj=RIGHT(LEFT($A$2,7),2)&amp;LEFT(A386,4)&amp;B387,CertBen))</f>
        <v>0</v>
      </c>
      <c r="H389" s="527">
        <v>0</v>
      </c>
      <c r="I389" s="566">
        <f>SUM(G389+H389)</f>
        <v>0</v>
      </c>
    </row>
    <row r="390" spans="1:10" x14ac:dyDescent="0.15">
      <c r="A390" s="115"/>
      <c r="B390" s="152" t="s">
        <v>1578</v>
      </c>
      <c r="C390" s="115" t="s">
        <v>511</v>
      </c>
      <c r="D390" s="147">
        <v>0</v>
      </c>
      <c r="E390" s="147">
        <v>0</v>
      </c>
      <c r="F390" s="147">
        <v>0</v>
      </c>
      <c r="G390" s="147">
        <v>0</v>
      </c>
      <c r="H390" s="150">
        <v>0</v>
      </c>
      <c r="I390" s="567">
        <f>SUM(G390+H390)</f>
        <v>0</v>
      </c>
      <c r="J390" s="309"/>
    </row>
    <row r="391" spans="1:10" ht="10.5" customHeight="1" x14ac:dyDescent="0.15">
      <c r="A391" s="35"/>
      <c r="B391" s="152" t="s">
        <v>1579</v>
      </c>
      <c r="C391" s="115" t="s">
        <v>118</v>
      </c>
      <c r="D391" s="147">
        <v>0</v>
      </c>
      <c r="E391" s="147">
        <v>0</v>
      </c>
      <c r="F391" s="147">
        <v>0</v>
      </c>
      <c r="G391" s="147">
        <v>0</v>
      </c>
      <c r="H391" s="315">
        <v>0</v>
      </c>
      <c r="I391" s="572">
        <f t="shared" ref="I391:I406" si="11">SUM(G391+H391)</f>
        <v>0</v>
      </c>
    </row>
    <row r="392" spans="1:10" ht="10.5" customHeight="1" x14ac:dyDescent="0.15">
      <c r="A392" s="35"/>
      <c r="B392" s="152" t="s">
        <v>1580</v>
      </c>
      <c r="C392" s="115" t="s">
        <v>119</v>
      </c>
      <c r="D392" s="147">
        <v>0</v>
      </c>
      <c r="E392" s="147">
        <v>0</v>
      </c>
      <c r="F392" s="147">
        <v>0</v>
      </c>
      <c r="G392" s="147">
        <v>0</v>
      </c>
      <c r="H392" s="315">
        <v>0</v>
      </c>
      <c r="I392" s="572">
        <f t="shared" si="11"/>
        <v>0</v>
      </c>
    </row>
    <row r="393" spans="1:10" ht="10.5" customHeight="1" x14ac:dyDescent="0.15">
      <c r="A393" s="35"/>
      <c r="B393" s="152" t="s">
        <v>120</v>
      </c>
      <c r="C393" s="115" t="s">
        <v>121</v>
      </c>
      <c r="D393" s="147">
        <v>0</v>
      </c>
      <c r="E393" s="147">
        <v>0</v>
      </c>
      <c r="F393" s="147">
        <v>0</v>
      </c>
      <c r="G393" s="147">
        <v>0</v>
      </c>
      <c r="H393" s="315">
        <v>0</v>
      </c>
      <c r="I393" s="572">
        <f t="shared" si="11"/>
        <v>0</v>
      </c>
    </row>
    <row r="394" spans="1:10" ht="10.5" customHeight="1" x14ac:dyDescent="0.15">
      <c r="A394" s="35"/>
      <c r="B394" s="152" t="s">
        <v>122</v>
      </c>
      <c r="C394" s="115" t="s">
        <v>123</v>
      </c>
      <c r="D394" s="147">
        <v>0</v>
      </c>
      <c r="E394" s="147">
        <v>0</v>
      </c>
      <c r="F394" s="147">
        <v>0</v>
      </c>
      <c r="G394" s="147">
        <v>0</v>
      </c>
      <c r="H394" s="315">
        <v>0</v>
      </c>
      <c r="I394" s="572">
        <f t="shared" si="11"/>
        <v>0</v>
      </c>
    </row>
    <row r="395" spans="1:10" ht="10.5" customHeight="1" x14ac:dyDescent="0.15">
      <c r="A395" s="35"/>
      <c r="B395" s="152" t="s">
        <v>1581</v>
      </c>
      <c r="C395" s="115" t="s">
        <v>124</v>
      </c>
      <c r="D395" s="147">
        <v>0</v>
      </c>
      <c r="E395" s="147">
        <v>0</v>
      </c>
      <c r="F395" s="147">
        <v>0</v>
      </c>
      <c r="G395" s="147">
        <v>0</v>
      </c>
      <c r="H395" s="315">
        <v>0</v>
      </c>
      <c r="I395" s="572">
        <f t="shared" si="11"/>
        <v>0</v>
      </c>
    </row>
    <row r="396" spans="1:10" ht="10.5" customHeight="1" x14ac:dyDescent="0.15">
      <c r="A396" s="35"/>
      <c r="B396" s="152" t="s">
        <v>1625</v>
      </c>
      <c r="C396" s="115" t="s">
        <v>842</v>
      </c>
      <c r="D396" s="147">
        <v>0</v>
      </c>
      <c r="E396" s="147">
        <v>0</v>
      </c>
      <c r="F396" s="147">
        <v>0</v>
      </c>
      <c r="G396" s="147">
        <v>0</v>
      </c>
      <c r="H396" s="315">
        <v>0</v>
      </c>
      <c r="I396" s="572">
        <f t="shared" si="11"/>
        <v>0</v>
      </c>
    </row>
    <row r="397" spans="1:10" ht="10.5" customHeight="1" x14ac:dyDescent="0.15">
      <c r="A397" s="35"/>
      <c r="B397" s="152" t="s">
        <v>1582</v>
      </c>
      <c r="C397" s="115" t="s">
        <v>156</v>
      </c>
      <c r="D397" s="147">
        <v>0</v>
      </c>
      <c r="E397" s="147">
        <v>0</v>
      </c>
      <c r="F397" s="147">
        <v>0</v>
      </c>
      <c r="G397" s="147">
        <v>0</v>
      </c>
      <c r="H397" s="315">
        <v>0</v>
      </c>
      <c r="I397" s="572">
        <f t="shared" si="11"/>
        <v>0</v>
      </c>
    </row>
    <row r="398" spans="1:10" ht="10.5" customHeight="1" x14ac:dyDescent="0.15">
      <c r="A398" s="35"/>
      <c r="B398" s="152" t="s">
        <v>847</v>
      </c>
      <c r="C398" s="115" t="s">
        <v>157</v>
      </c>
      <c r="D398" s="147">
        <v>0</v>
      </c>
      <c r="E398" s="147">
        <v>0</v>
      </c>
      <c r="F398" s="147">
        <v>0</v>
      </c>
      <c r="G398" s="147">
        <v>0</v>
      </c>
      <c r="H398" s="315">
        <v>0</v>
      </c>
      <c r="I398" s="572">
        <f t="shared" si="11"/>
        <v>0</v>
      </c>
    </row>
    <row r="399" spans="1:10" ht="10.5" customHeight="1" x14ac:dyDescent="0.15">
      <c r="A399" s="35"/>
      <c r="B399" s="152" t="s">
        <v>1583</v>
      </c>
      <c r="C399" s="115" t="s">
        <v>160</v>
      </c>
      <c r="D399" s="147">
        <v>0</v>
      </c>
      <c r="E399" s="147">
        <v>0</v>
      </c>
      <c r="F399" s="147">
        <v>0</v>
      </c>
      <c r="G399" s="147">
        <v>0</v>
      </c>
      <c r="H399" s="315">
        <v>0</v>
      </c>
      <c r="I399" s="572">
        <f t="shared" si="11"/>
        <v>0</v>
      </c>
    </row>
    <row r="400" spans="1:10" ht="10.5" customHeight="1" x14ac:dyDescent="0.15">
      <c r="A400" s="35"/>
      <c r="B400" s="152" t="s">
        <v>634</v>
      </c>
      <c r="C400" s="115" t="s">
        <v>165</v>
      </c>
      <c r="D400" s="147">
        <v>0</v>
      </c>
      <c r="E400" s="147">
        <v>0</v>
      </c>
      <c r="F400" s="147">
        <v>0</v>
      </c>
      <c r="G400" s="147">
        <v>0</v>
      </c>
      <c r="H400" s="315">
        <v>0</v>
      </c>
      <c r="I400" s="572">
        <f t="shared" si="11"/>
        <v>0</v>
      </c>
    </row>
    <row r="401" spans="1:10" ht="10.5" customHeight="1" x14ac:dyDescent="0.15">
      <c r="A401" s="35"/>
      <c r="B401" s="152" t="s">
        <v>630</v>
      </c>
      <c r="C401" s="115" t="s">
        <v>172</v>
      </c>
      <c r="D401" s="147">
        <v>0</v>
      </c>
      <c r="E401" s="147">
        <v>0</v>
      </c>
      <c r="F401" s="147">
        <v>0</v>
      </c>
      <c r="G401" s="147">
        <v>0</v>
      </c>
      <c r="H401" s="315">
        <v>0</v>
      </c>
      <c r="I401" s="572">
        <f t="shared" si="11"/>
        <v>0</v>
      </c>
    </row>
    <row r="402" spans="1:10" ht="10.5" customHeight="1" x14ac:dyDescent="0.15">
      <c r="A402" s="35"/>
      <c r="B402" s="652" t="s">
        <v>631</v>
      </c>
      <c r="C402" s="653" t="s">
        <v>173</v>
      </c>
      <c r="D402" s="147">
        <v>0</v>
      </c>
      <c r="E402" s="147">
        <v>0</v>
      </c>
      <c r="F402" s="147">
        <v>0</v>
      </c>
      <c r="G402" s="147">
        <v>0</v>
      </c>
      <c r="H402" s="315">
        <v>0</v>
      </c>
      <c r="I402" s="572">
        <f t="shared" si="11"/>
        <v>0</v>
      </c>
    </row>
    <row r="403" spans="1:10" ht="10.5" customHeight="1" x14ac:dyDescent="0.15">
      <c r="A403" s="35"/>
      <c r="B403" s="152" t="s">
        <v>1584</v>
      </c>
      <c r="C403" s="115" t="s">
        <v>178</v>
      </c>
      <c r="D403" s="147">
        <v>0</v>
      </c>
      <c r="E403" s="147">
        <v>0</v>
      </c>
      <c r="F403" s="147">
        <v>0</v>
      </c>
      <c r="G403" s="147">
        <v>0</v>
      </c>
      <c r="H403" s="315">
        <v>0</v>
      </c>
      <c r="I403" s="572">
        <f t="shared" si="11"/>
        <v>0</v>
      </c>
    </row>
    <row r="404" spans="1:10" ht="10.5" customHeight="1" x14ac:dyDescent="0.15">
      <c r="A404" s="35"/>
      <c r="B404" s="152" t="s">
        <v>174</v>
      </c>
      <c r="C404" s="115" t="s">
        <v>179</v>
      </c>
      <c r="D404" s="147">
        <v>0</v>
      </c>
      <c r="E404" s="147">
        <v>0</v>
      </c>
      <c r="F404" s="147">
        <v>0</v>
      </c>
      <c r="G404" s="147">
        <v>0</v>
      </c>
      <c r="H404" s="315">
        <v>0</v>
      </c>
      <c r="I404" s="572">
        <f t="shared" si="11"/>
        <v>0</v>
      </c>
    </row>
    <row r="405" spans="1:10" ht="10.5" customHeight="1" x14ac:dyDescent="0.15">
      <c r="A405" s="35"/>
      <c r="B405" s="152" t="s">
        <v>175</v>
      </c>
      <c r="C405" s="115" t="s">
        <v>180</v>
      </c>
      <c r="D405" s="147">
        <v>0</v>
      </c>
      <c r="E405" s="147">
        <v>0</v>
      </c>
      <c r="F405" s="147">
        <v>0</v>
      </c>
      <c r="G405" s="147">
        <v>0</v>
      </c>
      <c r="H405" s="315">
        <v>0</v>
      </c>
      <c r="I405" s="572">
        <f t="shared" si="11"/>
        <v>0</v>
      </c>
    </row>
    <row r="406" spans="1:10" ht="10.5" customHeight="1" thickBot="1" x14ac:dyDescent="0.2">
      <c r="A406" s="35"/>
      <c r="B406" s="152" t="s">
        <v>176</v>
      </c>
      <c r="C406" s="115" t="s">
        <v>181</v>
      </c>
      <c r="D406" s="147">
        <v>0</v>
      </c>
      <c r="E406" s="147">
        <v>0</v>
      </c>
      <c r="F406" s="147">
        <v>0</v>
      </c>
      <c r="G406" s="147">
        <v>0</v>
      </c>
      <c r="H406" s="315">
        <v>0</v>
      </c>
      <c r="I406" s="572">
        <f t="shared" si="11"/>
        <v>0</v>
      </c>
    </row>
    <row r="407" spans="1:10" ht="10.5" customHeight="1" thickTop="1" thickBot="1" x14ac:dyDescent="0.2">
      <c r="A407" s="35"/>
      <c r="B407" s="152"/>
      <c r="C407" s="115" t="s">
        <v>330</v>
      </c>
      <c r="D407" s="169">
        <f>SUM(D387:D406)</f>
        <v>0</v>
      </c>
      <c r="E407" s="169">
        <f>SUM(E387:E406)</f>
        <v>0</v>
      </c>
      <c r="F407" s="169">
        <f>SUM(F387:F406)</f>
        <v>0</v>
      </c>
      <c r="G407" s="169">
        <f>SUM(G387:G406)</f>
        <v>0</v>
      </c>
      <c r="H407" s="169">
        <f>SUM(H387:H406)</f>
        <v>0</v>
      </c>
      <c r="I407" s="304">
        <f>G407+H407</f>
        <v>0</v>
      </c>
    </row>
    <row r="408" spans="1:10" ht="10.5" customHeight="1" thickTop="1" x14ac:dyDescent="0.15">
      <c r="A408" s="35"/>
      <c r="B408" s="152"/>
      <c r="C408" s="115"/>
      <c r="D408" s="14"/>
      <c r="E408" s="14"/>
      <c r="F408" s="14"/>
      <c r="G408" s="14"/>
      <c r="H408" s="305"/>
      <c r="I408" s="305"/>
    </row>
    <row r="409" spans="1:10" ht="10.5" customHeight="1" x14ac:dyDescent="0.15">
      <c r="A409" s="35" t="s">
        <v>265</v>
      </c>
      <c r="C409" s="115"/>
      <c r="D409" s="14"/>
      <c r="E409" s="14"/>
      <c r="F409" s="14"/>
      <c r="G409" s="14"/>
      <c r="H409" s="305"/>
      <c r="I409" s="305"/>
    </row>
    <row r="410" spans="1:10" s="309" customFormat="1" x14ac:dyDescent="0.15">
      <c r="B410" s="311" t="s">
        <v>1577</v>
      </c>
      <c r="C410" s="312" t="s">
        <v>228</v>
      </c>
      <c r="D410" s="316">
        <v>0</v>
      </c>
      <c r="E410" s="316">
        <v>0</v>
      </c>
      <c r="F410" s="316">
        <v>0</v>
      </c>
      <c r="G410" s="528">
        <f t="array" ref="G410">SUM(IF(CertFund&amp;CertProg&amp;CertObj=RIGHT(LEFT($A$2,7),2)&amp;LEFT(A409,4)&amp;B410,CertSalary))</f>
        <v>0</v>
      </c>
      <c r="H410" s="527">
        <v>0</v>
      </c>
      <c r="I410" s="566">
        <f>SUM(G410+H410)</f>
        <v>0</v>
      </c>
    </row>
    <row r="411" spans="1:10" s="309" customFormat="1" x14ac:dyDescent="0.15">
      <c r="B411" s="311" t="s">
        <v>1577</v>
      </c>
      <c r="C411" s="312" t="s">
        <v>510</v>
      </c>
      <c r="D411" s="316">
        <v>0</v>
      </c>
      <c r="E411" s="316">
        <v>0</v>
      </c>
      <c r="F411" s="316">
        <v>0</v>
      </c>
      <c r="G411" s="316">
        <v>0</v>
      </c>
      <c r="H411" s="527">
        <v>0</v>
      </c>
      <c r="I411" s="566">
        <f>SUM(G411+H411)</f>
        <v>0</v>
      </c>
    </row>
    <row r="412" spans="1:10" s="309" customFormat="1" x14ac:dyDescent="0.15">
      <c r="A412" s="312"/>
      <c r="B412" s="311" t="s">
        <v>1578</v>
      </c>
      <c r="C412" s="312" t="s">
        <v>936</v>
      </c>
      <c r="D412" s="316">
        <v>0</v>
      </c>
      <c r="E412" s="316">
        <v>0</v>
      </c>
      <c r="F412" s="316">
        <v>0</v>
      </c>
      <c r="G412" s="529">
        <f t="array" ref="G412">SUM(IF(CertFund&amp;CertProg&amp;CertObj=RIGHT(LEFT($A$2,7),2)&amp;LEFT(A409,4)&amp;B410,CertBen))</f>
        <v>0</v>
      </c>
      <c r="H412" s="527">
        <v>0</v>
      </c>
      <c r="I412" s="566">
        <f>SUM(G412+H412)</f>
        <v>0</v>
      </c>
    </row>
    <row r="413" spans="1:10" x14ac:dyDescent="0.15">
      <c r="A413" s="115"/>
      <c r="B413" s="152" t="s">
        <v>1578</v>
      </c>
      <c r="C413" s="115" t="s">
        <v>511</v>
      </c>
      <c r="D413" s="147">
        <v>0</v>
      </c>
      <c r="E413" s="147">
        <v>0</v>
      </c>
      <c r="F413" s="147">
        <v>0</v>
      </c>
      <c r="G413" s="147">
        <v>0</v>
      </c>
      <c r="H413" s="150">
        <v>0</v>
      </c>
      <c r="I413" s="567">
        <f>SUM(G413+H413)</f>
        <v>0</v>
      </c>
      <c r="J413" s="309"/>
    </row>
    <row r="414" spans="1:10" ht="10.5" customHeight="1" x14ac:dyDescent="0.15">
      <c r="A414" s="35"/>
      <c r="B414" s="152" t="s">
        <v>1579</v>
      </c>
      <c r="C414" s="115" t="s">
        <v>118</v>
      </c>
      <c r="D414" s="147">
        <v>0</v>
      </c>
      <c r="E414" s="147">
        <v>0</v>
      </c>
      <c r="F414" s="147">
        <v>0</v>
      </c>
      <c r="G414" s="147">
        <v>0</v>
      </c>
      <c r="H414" s="315">
        <v>0</v>
      </c>
      <c r="I414" s="572">
        <f t="shared" ref="I414:I429" si="12">SUM(G414+H414)</f>
        <v>0</v>
      </c>
    </row>
    <row r="415" spans="1:10" ht="10.5" customHeight="1" x14ac:dyDescent="0.15">
      <c r="A415" s="35"/>
      <c r="B415" s="152" t="s">
        <v>1580</v>
      </c>
      <c r="C415" s="115" t="s">
        <v>119</v>
      </c>
      <c r="D415" s="147">
        <v>0</v>
      </c>
      <c r="E415" s="147">
        <v>0</v>
      </c>
      <c r="F415" s="147">
        <v>0</v>
      </c>
      <c r="G415" s="147">
        <v>0</v>
      </c>
      <c r="H415" s="315">
        <v>0</v>
      </c>
      <c r="I415" s="572">
        <f t="shared" si="12"/>
        <v>0</v>
      </c>
    </row>
    <row r="416" spans="1:10" ht="10.5" customHeight="1" x14ac:dyDescent="0.15">
      <c r="A416" s="35"/>
      <c r="B416" s="152" t="s">
        <v>120</v>
      </c>
      <c r="C416" s="115" t="s">
        <v>121</v>
      </c>
      <c r="D416" s="147">
        <v>0</v>
      </c>
      <c r="E416" s="147">
        <v>0</v>
      </c>
      <c r="F416" s="147">
        <v>0</v>
      </c>
      <c r="G416" s="147">
        <v>0</v>
      </c>
      <c r="H416" s="315">
        <v>0</v>
      </c>
      <c r="I416" s="572">
        <f t="shared" si="12"/>
        <v>0</v>
      </c>
    </row>
    <row r="417" spans="1:9" ht="10.5" customHeight="1" x14ac:dyDescent="0.15">
      <c r="A417" s="35"/>
      <c r="B417" s="152" t="s">
        <v>122</v>
      </c>
      <c r="C417" s="115" t="s">
        <v>123</v>
      </c>
      <c r="D417" s="147">
        <v>0</v>
      </c>
      <c r="E417" s="147">
        <v>0</v>
      </c>
      <c r="F417" s="147">
        <v>0</v>
      </c>
      <c r="G417" s="147">
        <v>0</v>
      </c>
      <c r="H417" s="315">
        <v>0</v>
      </c>
      <c r="I417" s="572">
        <f t="shared" si="12"/>
        <v>0</v>
      </c>
    </row>
    <row r="418" spans="1:9" ht="10.5" customHeight="1" x14ac:dyDescent="0.15">
      <c r="A418" s="35"/>
      <c r="B418" s="152" t="s">
        <v>1581</v>
      </c>
      <c r="C418" s="115" t="s">
        <v>124</v>
      </c>
      <c r="D418" s="147">
        <v>0</v>
      </c>
      <c r="E418" s="147">
        <v>0</v>
      </c>
      <c r="F418" s="147">
        <v>0</v>
      </c>
      <c r="G418" s="147">
        <v>0</v>
      </c>
      <c r="H418" s="315">
        <v>0</v>
      </c>
      <c r="I418" s="572">
        <f t="shared" si="12"/>
        <v>0</v>
      </c>
    </row>
    <row r="419" spans="1:9" ht="10.5" customHeight="1" x14ac:dyDescent="0.15">
      <c r="A419" s="35"/>
      <c r="B419" s="152" t="s">
        <v>1625</v>
      </c>
      <c r="C419" s="115" t="s">
        <v>842</v>
      </c>
      <c r="D419" s="147">
        <v>0</v>
      </c>
      <c r="E419" s="147">
        <v>0</v>
      </c>
      <c r="F419" s="147">
        <v>0</v>
      </c>
      <c r="G419" s="147">
        <v>0</v>
      </c>
      <c r="H419" s="315">
        <v>0</v>
      </c>
      <c r="I419" s="572">
        <f t="shared" si="12"/>
        <v>0</v>
      </c>
    </row>
    <row r="420" spans="1:9" ht="10.5" customHeight="1" x14ac:dyDescent="0.15">
      <c r="A420" s="35"/>
      <c r="B420" s="152" t="s">
        <v>1582</v>
      </c>
      <c r="C420" s="115" t="s">
        <v>156</v>
      </c>
      <c r="D420" s="147">
        <v>0</v>
      </c>
      <c r="E420" s="147">
        <v>0</v>
      </c>
      <c r="F420" s="147">
        <v>0</v>
      </c>
      <c r="G420" s="147">
        <v>0</v>
      </c>
      <c r="H420" s="315">
        <v>0</v>
      </c>
      <c r="I420" s="572">
        <f t="shared" si="12"/>
        <v>0</v>
      </c>
    </row>
    <row r="421" spans="1:9" ht="10.5" customHeight="1" x14ac:dyDescent="0.15">
      <c r="A421" s="35"/>
      <c r="B421" s="152" t="s">
        <v>847</v>
      </c>
      <c r="C421" s="115" t="s">
        <v>157</v>
      </c>
      <c r="D421" s="147">
        <v>0</v>
      </c>
      <c r="E421" s="147">
        <v>0</v>
      </c>
      <c r="F421" s="147">
        <v>0</v>
      </c>
      <c r="G421" s="147">
        <v>0</v>
      </c>
      <c r="H421" s="315">
        <v>0</v>
      </c>
      <c r="I421" s="572">
        <f t="shared" si="12"/>
        <v>0</v>
      </c>
    </row>
    <row r="422" spans="1:9" ht="10.5" customHeight="1" x14ac:dyDescent="0.15">
      <c r="A422" s="35"/>
      <c r="B422" s="152" t="s">
        <v>1583</v>
      </c>
      <c r="C422" s="115" t="s">
        <v>160</v>
      </c>
      <c r="D422" s="147">
        <v>0</v>
      </c>
      <c r="E422" s="147">
        <v>0</v>
      </c>
      <c r="F422" s="147">
        <v>0</v>
      </c>
      <c r="G422" s="147">
        <v>0</v>
      </c>
      <c r="H422" s="315">
        <v>0</v>
      </c>
      <c r="I422" s="572">
        <f t="shared" si="12"/>
        <v>0</v>
      </c>
    </row>
    <row r="423" spans="1:9" ht="10.5" customHeight="1" x14ac:dyDescent="0.15">
      <c r="A423" s="35"/>
      <c r="B423" s="152" t="s">
        <v>634</v>
      </c>
      <c r="C423" s="115" t="s">
        <v>165</v>
      </c>
      <c r="D423" s="147">
        <v>0</v>
      </c>
      <c r="E423" s="147">
        <v>0</v>
      </c>
      <c r="F423" s="147">
        <v>0</v>
      </c>
      <c r="G423" s="147">
        <v>0</v>
      </c>
      <c r="H423" s="315">
        <v>0</v>
      </c>
      <c r="I423" s="572">
        <f t="shared" si="12"/>
        <v>0</v>
      </c>
    </row>
    <row r="424" spans="1:9" ht="10.5" customHeight="1" x14ac:dyDescent="0.15">
      <c r="A424" s="35"/>
      <c r="B424" s="152" t="s">
        <v>630</v>
      </c>
      <c r="C424" s="115" t="s">
        <v>172</v>
      </c>
      <c r="D424" s="147">
        <v>0</v>
      </c>
      <c r="E424" s="147">
        <v>0</v>
      </c>
      <c r="F424" s="147">
        <v>0</v>
      </c>
      <c r="G424" s="147">
        <v>0</v>
      </c>
      <c r="H424" s="315">
        <v>0</v>
      </c>
      <c r="I424" s="572">
        <f t="shared" si="12"/>
        <v>0</v>
      </c>
    </row>
    <row r="425" spans="1:9" ht="10.5" customHeight="1" x14ac:dyDescent="0.15">
      <c r="A425" s="35"/>
      <c r="B425" s="652" t="s">
        <v>631</v>
      </c>
      <c r="C425" s="653" t="s">
        <v>173</v>
      </c>
      <c r="D425" s="147">
        <v>0</v>
      </c>
      <c r="E425" s="147">
        <v>0</v>
      </c>
      <c r="F425" s="147">
        <v>0</v>
      </c>
      <c r="G425" s="147">
        <v>0</v>
      </c>
      <c r="H425" s="315">
        <v>0</v>
      </c>
      <c r="I425" s="572">
        <f t="shared" si="12"/>
        <v>0</v>
      </c>
    </row>
    <row r="426" spans="1:9" ht="10.5" customHeight="1" x14ac:dyDescent="0.15">
      <c r="A426" s="35"/>
      <c r="B426" s="152" t="s">
        <v>1584</v>
      </c>
      <c r="C426" s="115" t="s">
        <v>178</v>
      </c>
      <c r="D426" s="147">
        <v>0</v>
      </c>
      <c r="E426" s="147">
        <v>0</v>
      </c>
      <c r="F426" s="147">
        <v>0</v>
      </c>
      <c r="G426" s="147">
        <v>0</v>
      </c>
      <c r="H426" s="315">
        <v>0</v>
      </c>
      <c r="I426" s="572">
        <f t="shared" si="12"/>
        <v>0</v>
      </c>
    </row>
    <row r="427" spans="1:9" ht="10.5" customHeight="1" x14ac:dyDescent="0.15">
      <c r="A427" s="35"/>
      <c r="B427" s="152" t="s">
        <v>174</v>
      </c>
      <c r="C427" s="115" t="s">
        <v>179</v>
      </c>
      <c r="D427" s="147">
        <v>0</v>
      </c>
      <c r="E427" s="147">
        <v>0</v>
      </c>
      <c r="F427" s="147">
        <v>0</v>
      </c>
      <c r="G427" s="147">
        <v>0</v>
      </c>
      <c r="H427" s="315">
        <v>0</v>
      </c>
      <c r="I427" s="572">
        <f t="shared" si="12"/>
        <v>0</v>
      </c>
    </row>
    <row r="428" spans="1:9" ht="10.5" customHeight="1" x14ac:dyDescent="0.15">
      <c r="A428" s="35"/>
      <c r="B428" s="152" t="s">
        <v>175</v>
      </c>
      <c r="C428" s="115" t="s">
        <v>180</v>
      </c>
      <c r="D428" s="147">
        <v>0</v>
      </c>
      <c r="E428" s="147">
        <v>0</v>
      </c>
      <c r="F428" s="147">
        <v>0</v>
      </c>
      <c r="G428" s="147">
        <v>0</v>
      </c>
      <c r="H428" s="315">
        <v>0</v>
      </c>
      <c r="I428" s="572">
        <f t="shared" si="12"/>
        <v>0</v>
      </c>
    </row>
    <row r="429" spans="1:9" ht="10.5" customHeight="1" thickBot="1" x14ac:dyDescent="0.2">
      <c r="A429" s="35"/>
      <c r="B429" s="152" t="s">
        <v>176</v>
      </c>
      <c r="C429" s="115" t="s">
        <v>181</v>
      </c>
      <c r="D429" s="147">
        <v>0</v>
      </c>
      <c r="E429" s="147">
        <v>0</v>
      </c>
      <c r="F429" s="147">
        <v>0</v>
      </c>
      <c r="G429" s="147">
        <v>0</v>
      </c>
      <c r="H429" s="315">
        <v>0</v>
      </c>
      <c r="I429" s="572">
        <f t="shared" si="12"/>
        <v>0</v>
      </c>
    </row>
    <row r="430" spans="1:9" ht="10.5" customHeight="1" thickTop="1" thickBot="1" x14ac:dyDescent="0.2">
      <c r="A430" s="35"/>
      <c r="B430" s="152"/>
      <c r="C430" s="115" t="s">
        <v>331</v>
      </c>
      <c r="D430" s="169">
        <f>SUM(D410:D429)</f>
        <v>0</v>
      </c>
      <c r="E430" s="169">
        <f>SUM(E410:E429)</f>
        <v>0</v>
      </c>
      <c r="F430" s="169">
        <f>SUM(F410:F429)</f>
        <v>0</v>
      </c>
      <c r="G430" s="169">
        <f>SUM(G410:G429)</f>
        <v>0</v>
      </c>
      <c r="H430" s="169">
        <f>SUM(H410:H429)</f>
        <v>0</v>
      </c>
      <c r="I430" s="304">
        <f>G430+H430</f>
        <v>0</v>
      </c>
    </row>
    <row r="431" spans="1:9" ht="10.5" customHeight="1" thickTop="1" x14ac:dyDescent="0.15">
      <c r="A431" s="35"/>
      <c r="B431" s="152"/>
      <c r="C431" s="115"/>
      <c r="D431" s="14"/>
      <c r="E431" s="14"/>
      <c r="F431" s="14"/>
      <c r="G431" s="14"/>
      <c r="H431" s="305"/>
      <c r="I431" s="305"/>
    </row>
    <row r="432" spans="1:9" ht="10.5" customHeight="1" x14ac:dyDescent="0.15">
      <c r="A432" s="35" t="s">
        <v>667</v>
      </c>
      <c r="C432" s="115"/>
      <c r="D432" s="14"/>
      <c r="E432" s="14"/>
      <c r="F432" s="14"/>
      <c r="G432" s="14"/>
      <c r="H432" s="305"/>
      <c r="I432" s="305"/>
    </row>
    <row r="433" spans="1:10" s="309" customFormat="1" x14ac:dyDescent="0.15">
      <c r="B433" s="311" t="s">
        <v>1577</v>
      </c>
      <c r="C433" s="312" t="s">
        <v>228</v>
      </c>
      <c r="D433" s="316">
        <v>0</v>
      </c>
      <c r="E433" s="316">
        <v>0</v>
      </c>
      <c r="F433" s="316">
        <v>0</v>
      </c>
      <c r="G433" s="528">
        <f t="array" ref="G433">SUM(IF(CertFund&amp;CertProg&amp;CertObj=RIGHT(LEFT($A$2,7),2)&amp;LEFT(A432,4)&amp;B433,CertSalary))</f>
        <v>0</v>
      </c>
      <c r="H433" s="527">
        <v>0</v>
      </c>
      <c r="I433" s="566">
        <f>SUM(G433+H433)</f>
        <v>0</v>
      </c>
    </row>
    <row r="434" spans="1:10" s="309" customFormat="1" x14ac:dyDescent="0.15">
      <c r="B434" s="311" t="s">
        <v>1577</v>
      </c>
      <c r="C434" s="312" t="s">
        <v>510</v>
      </c>
      <c r="D434" s="316">
        <v>0</v>
      </c>
      <c r="E434" s="316">
        <v>0</v>
      </c>
      <c r="F434" s="316">
        <v>0</v>
      </c>
      <c r="G434" s="316">
        <v>0</v>
      </c>
      <c r="H434" s="527">
        <v>0</v>
      </c>
      <c r="I434" s="566">
        <f>SUM(G434+H434)</f>
        <v>0</v>
      </c>
    </row>
    <row r="435" spans="1:10" s="309" customFormat="1" x14ac:dyDescent="0.15">
      <c r="A435" s="312"/>
      <c r="B435" s="311" t="s">
        <v>1578</v>
      </c>
      <c r="C435" s="312" t="s">
        <v>936</v>
      </c>
      <c r="D435" s="316">
        <v>0</v>
      </c>
      <c r="E435" s="316">
        <v>0</v>
      </c>
      <c r="F435" s="316">
        <v>0</v>
      </c>
      <c r="G435" s="529">
        <f t="array" ref="G435">SUM(IF(CertFund&amp;CertProg&amp;CertObj=RIGHT(LEFT($A$2,7),2)&amp;LEFT(A432,4)&amp;B433,CertBen))</f>
        <v>0</v>
      </c>
      <c r="H435" s="527">
        <v>0</v>
      </c>
      <c r="I435" s="566">
        <f>SUM(G435+H435)</f>
        <v>0</v>
      </c>
    </row>
    <row r="436" spans="1:10" x14ac:dyDescent="0.15">
      <c r="A436" s="115"/>
      <c r="B436" s="152" t="s">
        <v>1578</v>
      </c>
      <c r="C436" s="115" t="s">
        <v>511</v>
      </c>
      <c r="D436" s="147">
        <v>0</v>
      </c>
      <c r="E436" s="147">
        <v>0</v>
      </c>
      <c r="F436" s="147">
        <v>0</v>
      </c>
      <c r="G436" s="147">
        <v>0</v>
      </c>
      <c r="H436" s="150">
        <v>0</v>
      </c>
      <c r="I436" s="567">
        <f>SUM(G436+H436)</f>
        <v>0</v>
      </c>
      <c r="J436" s="309"/>
    </row>
    <row r="437" spans="1:10" ht="10.5" customHeight="1" x14ac:dyDescent="0.15">
      <c r="A437" s="35"/>
      <c r="B437" s="152" t="s">
        <v>1579</v>
      </c>
      <c r="C437" s="115" t="s">
        <v>118</v>
      </c>
      <c r="D437" s="147">
        <v>0</v>
      </c>
      <c r="E437" s="147">
        <v>0</v>
      </c>
      <c r="F437" s="147">
        <v>0</v>
      </c>
      <c r="G437" s="147">
        <v>0</v>
      </c>
      <c r="H437" s="315">
        <v>0</v>
      </c>
      <c r="I437" s="572">
        <f t="shared" ref="I437:I460" si="13">SUM(G437+H437)</f>
        <v>0</v>
      </c>
    </row>
    <row r="438" spans="1:10" ht="10.5" customHeight="1" x14ac:dyDescent="0.15">
      <c r="A438" s="35"/>
      <c r="B438" s="152" t="s">
        <v>1580</v>
      </c>
      <c r="C438" s="115" t="s">
        <v>119</v>
      </c>
      <c r="D438" s="147">
        <v>0</v>
      </c>
      <c r="E438" s="147">
        <v>0</v>
      </c>
      <c r="F438" s="147">
        <v>0</v>
      </c>
      <c r="G438" s="147">
        <v>0</v>
      </c>
      <c r="H438" s="315">
        <v>0</v>
      </c>
      <c r="I438" s="572">
        <f t="shared" si="13"/>
        <v>0</v>
      </c>
    </row>
    <row r="439" spans="1:10" ht="10.5" customHeight="1" x14ac:dyDescent="0.15">
      <c r="A439" s="35"/>
      <c r="B439" s="152" t="s">
        <v>120</v>
      </c>
      <c r="C439" s="115" t="s">
        <v>121</v>
      </c>
      <c r="D439" s="147">
        <v>0</v>
      </c>
      <c r="E439" s="147">
        <v>0</v>
      </c>
      <c r="F439" s="147">
        <v>0</v>
      </c>
      <c r="G439" s="147">
        <v>0</v>
      </c>
      <c r="H439" s="315">
        <v>0</v>
      </c>
      <c r="I439" s="572">
        <f t="shared" si="13"/>
        <v>0</v>
      </c>
    </row>
    <row r="440" spans="1:10" ht="10.5" customHeight="1" x14ac:dyDescent="0.15">
      <c r="A440" s="35"/>
      <c r="B440" s="152" t="s">
        <v>122</v>
      </c>
      <c r="C440" s="115" t="s">
        <v>123</v>
      </c>
      <c r="D440" s="147">
        <v>0</v>
      </c>
      <c r="E440" s="147">
        <v>0</v>
      </c>
      <c r="F440" s="147">
        <v>0</v>
      </c>
      <c r="G440" s="147">
        <v>0</v>
      </c>
      <c r="H440" s="315">
        <v>0</v>
      </c>
      <c r="I440" s="572">
        <f t="shared" si="13"/>
        <v>0</v>
      </c>
    </row>
    <row r="441" spans="1:10" ht="10.5" customHeight="1" x14ac:dyDescent="0.15">
      <c r="A441" s="35"/>
      <c r="B441" s="152" t="s">
        <v>1581</v>
      </c>
      <c r="C441" s="115" t="s">
        <v>124</v>
      </c>
      <c r="D441" s="147">
        <v>0</v>
      </c>
      <c r="E441" s="147">
        <v>0</v>
      </c>
      <c r="F441" s="147">
        <v>0</v>
      </c>
      <c r="G441" s="147">
        <v>0</v>
      </c>
      <c r="H441" s="315">
        <v>0</v>
      </c>
      <c r="I441" s="572">
        <f t="shared" si="13"/>
        <v>0</v>
      </c>
    </row>
    <row r="442" spans="1:10" ht="10.5" customHeight="1" x14ac:dyDescent="0.15">
      <c r="A442" s="35"/>
      <c r="B442" s="152" t="s">
        <v>1624</v>
      </c>
      <c r="C442" s="115" t="s">
        <v>840</v>
      </c>
      <c r="D442" s="147">
        <v>0</v>
      </c>
      <c r="E442" s="147">
        <v>0</v>
      </c>
      <c r="F442" s="147">
        <v>0</v>
      </c>
      <c r="G442" s="147">
        <v>0</v>
      </c>
      <c r="H442" s="315">
        <v>0</v>
      </c>
      <c r="I442" s="572">
        <f t="shared" si="13"/>
        <v>0</v>
      </c>
    </row>
    <row r="443" spans="1:10" ht="10.5" customHeight="1" x14ac:dyDescent="0.15">
      <c r="A443" s="35"/>
      <c r="B443" s="152" t="s">
        <v>1625</v>
      </c>
      <c r="C443" s="115" t="s">
        <v>842</v>
      </c>
      <c r="D443" s="147">
        <v>0</v>
      </c>
      <c r="E443" s="147">
        <v>0</v>
      </c>
      <c r="F443" s="147">
        <v>0</v>
      </c>
      <c r="G443" s="147">
        <v>0</v>
      </c>
      <c r="H443" s="315">
        <v>0</v>
      </c>
      <c r="I443" s="572">
        <f t="shared" si="13"/>
        <v>0</v>
      </c>
    </row>
    <row r="444" spans="1:10" ht="10.5" customHeight="1" x14ac:dyDescent="0.15">
      <c r="B444" s="152" t="s">
        <v>843</v>
      </c>
      <c r="C444" s="115" t="s">
        <v>848</v>
      </c>
      <c r="D444" s="147">
        <v>0</v>
      </c>
      <c r="E444" s="147">
        <v>0</v>
      </c>
      <c r="F444" s="147">
        <v>0</v>
      </c>
      <c r="G444" s="147">
        <v>0</v>
      </c>
      <c r="H444" s="315">
        <v>0</v>
      </c>
      <c r="I444" s="572">
        <f t="shared" si="13"/>
        <v>0</v>
      </c>
    </row>
    <row r="445" spans="1:10" ht="10.5" customHeight="1" x14ac:dyDescent="0.15">
      <c r="B445" s="152" t="s">
        <v>844</v>
      </c>
      <c r="C445" s="115" t="s">
        <v>186</v>
      </c>
      <c r="D445" s="147">
        <v>0</v>
      </c>
      <c r="E445" s="147">
        <v>0</v>
      </c>
      <c r="F445" s="147">
        <v>0</v>
      </c>
      <c r="G445" s="147">
        <v>0</v>
      </c>
      <c r="H445" s="315">
        <v>0</v>
      </c>
      <c r="I445" s="572">
        <f t="shared" si="13"/>
        <v>0</v>
      </c>
    </row>
    <row r="446" spans="1:10" ht="10.5" customHeight="1" x14ac:dyDescent="0.15">
      <c r="B446" s="152" t="s">
        <v>845</v>
      </c>
      <c r="C446" s="115" t="s">
        <v>154</v>
      </c>
      <c r="D446" s="147">
        <v>0</v>
      </c>
      <c r="E446" s="147">
        <v>0</v>
      </c>
      <c r="F446" s="147">
        <v>0</v>
      </c>
      <c r="G446" s="147">
        <v>0</v>
      </c>
      <c r="H446" s="315">
        <v>0</v>
      </c>
      <c r="I446" s="572">
        <f t="shared" si="13"/>
        <v>0</v>
      </c>
    </row>
    <row r="447" spans="1:10" ht="10.5" customHeight="1" x14ac:dyDescent="0.15">
      <c r="B447" s="152" t="s">
        <v>846</v>
      </c>
      <c r="C447" s="115" t="s">
        <v>155</v>
      </c>
      <c r="D447" s="147">
        <v>0</v>
      </c>
      <c r="E447" s="147">
        <v>0</v>
      </c>
      <c r="F447" s="147">
        <v>0</v>
      </c>
      <c r="G447" s="147">
        <v>0</v>
      </c>
      <c r="H447" s="315">
        <v>0</v>
      </c>
      <c r="I447" s="572">
        <f t="shared" si="13"/>
        <v>0</v>
      </c>
    </row>
    <row r="448" spans="1:10" ht="10.5" customHeight="1" x14ac:dyDescent="0.15">
      <c r="A448" s="35"/>
      <c r="B448" s="152" t="s">
        <v>1582</v>
      </c>
      <c r="C448" s="115" t="s">
        <v>156</v>
      </c>
      <c r="D448" s="147">
        <v>0</v>
      </c>
      <c r="E448" s="147">
        <v>0</v>
      </c>
      <c r="F448" s="147">
        <v>0</v>
      </c>
      <c r="G448" s="147">
        <v>0</v>
      </c>
      <c r="H448" s="315">
        <v>0</v>
      </c>
      <c r="I448" s="572">
        <f t="shared" si="13"/>
        <v>0</v>
      </c>
    </row>
    <row r="449" spans="1:9" ht="10.5" customHeight="1" x14ac:dyDescent="0.15">
      <c r="A449" s="35"/>
      <c r="B449" s="152" t="s">
        <v>847</v>
      </c>
      <c r="C449" s="115" t="s">
        <v>157</v>
      </c>
      <c r="D449" s="147">
        <v>0</v>
      </c>
      <c r="E449" s="147">
        <v>0</v>
      </c>
      <c r="F449" s="147">
        <v>0</v>
      </c>
      <c r="G449" s="147">
        <v>0</v>
      </c>
      <c r="H449" s="315">
        <v>0</v>
      </c>
      <c r="I449" s="572">
        <f t="shared" si="13"/>
        <v>0</v>
      </c>
    </row>
    <row r="450" spans="1:9" ht="10.5" customHeight="1" x14ac:dyDescent="0.15">
      <c r="A450" s="35"/>
      <c r="B450" s="152" t="s">
        <v>1583</v>
      </c>
      <c r="C450" s="115" t="s">
        <v>160</v>
      </c>
      <c r="D450" s="147">
        <v>0</v>
      </c>
      <c r="E450" s="147">
        <v>0</v>
      </c>
      <c r="F450" s="147">
        <v>0</v>
      </c>
      <c r="G450" s="147">
        <v>0</v>
      </c>
      <c r="H450" s="315">
        <v>0</v>
      </c>
      <c r="I450" s="572">
        <f t="shared" si="13"/>
        <v>0</v>
      </c>
    </row>
    <row r="451" spans="1:9" ht="10.5" customHeight="1" x14ac:dyDescent="0.15">
      <c r="A451" s="35"/>
      <c r="B451" s="152" t="s">
        <v>634</v>
      </c>
      <c r="C451" s="115" t="s">
        <v>165</v>
      </c>
      <c r="D451" s="147">
        <v>0</v>
      </c>
      <c r="E451" s="147">
        <v>0</v>
      </c>
      <c r="F451" s="147">
        <v>0</v>
      </c>
      <c r="G451" s="147">
        <v>0</v>
      </c>
      <c r="H451" s="315">
        <v>0</v>
      </c>
      <c r="I451" s="572">
        <f t="shared" si="13"/>
        <v>0</v>
      </c>
    </row>
    <row r="452" spans="1:9" ht="10.5" customHeight="1" x14ac:dyDescent="0.15">
      <c r="A452" s="35"/>
      <c r="B452" s="152" t="s">
        <v>202</v>
      </c>
      <c r="C452" s="115" t="s">
        <v>171</v>
      </c>
      <c r="D452" s="147">
        <v>0</v>
      </c>
      <c r="E452" s="147">
        <v>0</v>
      </c>
      <c r="F452" s="147">
        <v>0</v>
      </c>
      <c r="G452" s="147">
        <v>0</v>
      </c>
      <c r="H452" s="315">
        <v>0</v>
      </c>
      <c r="I452" s="572">
        <f t="shared" si="13"/>
        <v>0</v>
      </c>
    </row>
    <row r="453" spans="1:9" ht="10.5" customHeight="1" x14ac:dyDescent="0.15">
      <c r="A453" s="35"/>
      <c r="B453" s="152" t="s">
        <v>630</v>
      </c>
      <c r="C453" s="115" t="s">
        <v>172</v>
      </c>
      <c r="D453" s="147">
        <v>0</v>
      </c>
      <c r="E453" s="147">
        <v>0</v>
      </c>
      <c r="F453" s="147">
        <v>0</v>
      </c>
      <c r="G453" s="147">
        <v>0</v>
      </c>
      <c r="H453" s="315">
        <v>0</v>
      </c>
      <c r="I453" s="572">
        <f t="shared" si="13"/>
        <v>0</v>
      </c>
    </row>
    <row r="454" spans="1:9" ht="10.5" customHeight="1" x14ac:dyDescent="0.15">
      <c r="A454" s="35"/>
      <c r="B454" s="652" t="s">
        <v>631</v>
      </c>
      <c r="C454" s="653" t="s">
        <v>173</v>
      </c>
      <c r="D454" s="147">
        <v>0</v>
      </c>
      <c r="E454" s="147">
        <v>0</v>
      </c>
      <c r="F454" s="147">
        <v>0</v>
      </c>
      <c r="G454" s="147">
        <v>0</v>
      </c>
      <c r="H454" s="315">
        <v>0</v>
      </c>
      <c r="I454" s="572">
        <f t="shared" si="13"/>
        <v>0</v>
      </c>
    </row>
    <row r="455" spans="1:9" ht="10.5" customHeight="1" x14ac:dyDescent="0.15">
      <c r="A455" s="35"/>
      <c r="B455" s="152" t="s">
        <v>1584</v>
      </c>
      <c r="C455" s="115" t="s">
        <v>178</v>
      </c>
      <c r="D455" s="147">
        <v>0</v>
      </c>
      <c r="E455" s="147">
        <v>0</v>
      </c>
      <c r="F455" s="147">
        <v>0</v>
      </c>
      <c r="G455" s="147">
        <v>0</v>
      </c>
      <c r="H455" s="315">
        <v>0</v>
      </c>
      <c r="I455" s="572">
        <f t="shared" si="13"/>
        <v>0</v>
      </c>
    </row>
    <row r="456" spans="1:9" ht="10.5" customHeight="1" x14ac:dyDescent="0.15">
      <c r="A456" s="35"/>
      <c r="B456" s="152" t="s">
        <v>174</v>
      </c>
      <c r="C456" s="115" t="s">
        <v>179</v>
      </c>
      <c r="D456" s="147">
        <v>0</v>
      </c>
      <c r="E456" s="147">
        <v>0</v>
      </c>
      <c r="F456" s="147">
        <v>0</v>
      </c>
      <c r="G456" s="147">
        <v>0</v>
      </c>
      <c r="H456" s="315">
        <v>0</v>
      </c>
      <c r="I456" s="572">
        <f t="shared" si="13"/>
        <v>0</v>
      </c>
    </row>
    <row r="457" spans="1:9" ht="10.5" customHeight="1" x14ac:dyDescent="0.15">
      <c r="A457" s="35"/>
      <c r="B457" s="152" t="s">
        <v>175</v>
      </c>
      <c r="C457" s="115" t="s">
        <v>180</v>
      </c>
      <c r="D457" s="147">
        <v>0</v>
      </c>
      <c r="E457" s="147">
        <v>0</v>
      </c>
      <c r="F457" s="147">
        <v>0</v>
      </c>
      <c r="G457" s="147">
        <v>0</v>
      </c>
      <c r="H457" s="315">
        <v>0</v>
      </c>
      <c r="I457" s="572">
        <f t="shared" si="13"/>
        <v>0</v>
      </c>
    </row>
    <row r="458" spans="1:9" ht="10.5" customHeight="1" x14ac:dyDescent="0.15">
      <c r="A458" s="35"/>
      <c r="B458" s="152" t="s">
        <v>176</v>
      </c>
      <c r="C458" s="115" t="s">
        <v>181</v>
      </c>
      <c r="D458" s="147">
        <v>0</v>
      </c>
      <c r="E458" s="147">
        <v>0</v>
      </c>
      <c r="F458" s="147">
        <v>0</v>
      </c>
      <c r="G458" s="147">
        <v>0</v>
      </c>
      <c r="H458" s="315">
        <v>0</v>
      </c>
      <c r="I458" s="572">
        <f t="shared" si="13"/>
        <v>0</v>
      </c>
    </row>
    <row r="459" spans="1:9" ht="10.5" customHeight="1" x14ac:dyDescent="0.15">
      <c r="A459" s="35"/>
      <c r="B459" s="152" t="s">
        <v>177</v>
      </c>
      <c r="C459" s="115" t="s">
        <v>182</v>
      </c>
      <c r="D459" s="147">
        <v>0</v>
      </c>
      <c r="E459" s="147">
        <v>0</v>
      </c>
      <c r="F459" s="147">
        <v>0</v>
      </c>
      <c r="G459" s="147">
        <v>0</v>
      </c>
      <c r="H459" s="315">
        <v>0</v>
      </c>
      <c r="I459" s="572">
        <f t="shared" si="13"/>
        <v>0</v>
      </c>
    </row>
    <row r="460" spans="1:9" ht="10.5" customHeight="1" thickBot="1" x14ac:dyDescent="0.2">
      <c r="A460" s="35"/>
      <c r="B460" s="152" t="s">
        <v>632</v>
      </c>
      <c r="C460" s="115" t="s">
        <v>183</v>
      </c>
      <c r="D460" s="144">
        <v>0</v>
      </c>
      <c r="E460" s="144">
        <v>0</v>
      </c>
      <c r="F460" s="144">
        <v>0</v>
      </c>
      <c r="G460" s="144">
        <v>0</v>
      </c>
      <c r="H460" s="315">
        <v>0</v>
      </c>
      <c r="I460" s="572">
        <f t="shared" si="13"/>
        <v>0</v>
      </c>
    </row>
    <row r="461" spans="1:9" ht="10.5" customHeight="1" thickTop="1" thickBot="1" x14ac:dyDescent="0.2">
      <c r="A461" s="35"/>
      <c r="B461" s="152"/>
      <c r="C461" s="115" t="s">
        <v>668</v>
      </c>
      <c r="D461" s="169">
        <f>SUM(D433:D460)</f>
        <v>0</v>
      </c>
      <c r="E461" s="169">
        <f>SUM(E433:E460)</f>
        <v>0</v>
      </c>
      <c r="F461" s="169">
        <f>SUM(F433:F460)</f>
        <v>0</v>
      </c>
      <c r="G461" s="169">
        <f>SUM(G433:G460)</f>
        <v>0</v>
      </c>
      <c r="H461" s="169">
        <f>SUM(H433:H460)</f>
        <v>0</v>
      </c>
      <c r="I461" s="304">
        <f>G461+H461</f>
        <v>0</v>
      </c>
    </row>
    <row r="462" spans="1:9" ht="10.5" customHeight="1" thickTop="1" x14ac:dyDescent="0.15">
      <c r="A462" s="35"/>
      <c r="B462" s="152"/>
      <c r="C462" s="115"/>
      <c r="D462" s="14"/>
      <c r="E462" s="14"/>
      <c r="F462" s="14"/>
      <c r="G462" s="14"/>
      <c r="H462" s="305"/>
      <c r="I462" s="305"/>
    </row>
    <row r="463" spans="1:9" ht="10.5" customHeight="1" x14ac:dyDescent="0.15">
      <c r="A463" s="35" t="s">
        <v>669</v>
      </c>
      <c r="C463" s="115"/>
      <c r="D463" s="14"/>
      <c r="E463" s="14"/>
      <c r="F463" s="14"/>
      <c r="G463" s="14"/>
      <c r="H463" s="305"/>
      <c r="I463" s="305"/>
    </row>
    <row r="464" spans="1:9" s="309" customFormat="1" x14ac:dyDescent="0.15">
      <c r="B464" s="311" t="s">
        <v>1577</v>
      </c>
      <c r="C464" s="312" t="s">
        <v>228</v>
      </c>
      <c r="D464" s="316">
        <v>0</v>
      </c>
      <c r="E464" s="316">
        <v>0</v>
      </c>
      <c r="F464" s="316">
        <v>0</v>
      </c>
      <c r="G464" s="528">
        <f t="array" ref="G464">SUM(IF(CertFund&amp;CertProg&amp;CertObj=RIGHT(LEFT($A$2,7),2)&amp;LEFT(A463,4)&amp;B464,CertSalary))</f>
        <v>0</v>
      </c>
      <c r="H464" s="527">
        <v>0</v>
      </c>
      <c r="I464" s="566">
        <f>SUM(G464+H464)</f>
        <v>0</v>
      </c>
    </row>
    <row r="465" spans="1:9" s="309" customFormat="1" x14ac:dyDescent="0.15">
      <c r="B465" s="311" t="s">
        <v>1577</v>
      </c>
      <c r="C465" s="312" t="s">
        <v>510</v>
      </c>
      <c r="D465" s="316">
        <v>0</v>
      </c>
      <c r="E465" s="316">
        <v>0</v>
      </c>
      <c r="F465" s="316">
        <v>0</v>
      </c>
      <c r="G465" s="316">
        <v>0</v>
      </c>
      <c r="H465" s="527">
        <v>0</v>
      </c>
      <c r="I465" s="566">
        <f>SUM(G465+H465)</f>
        <v>0</v>
      </c>
    </row>
    <row r="466" spans="1:9" s="309" customFormat="1" x14ac:dyDescent="0.15">
      <c r="A466" s="312"/>
      <c r="B466" s="311" t="s">
        <v>1578</v>
      </c>
      <c r="C466" s="312" t="s">
        <v>936</v>
      </c>
      <c r="D466" s="316">
        <v>0</v>
      </c>
      <c r="E466" s="316">
        <v>0</v>
      </c>
      <c r="F466" s="316">
        <v>0</v>
      </c>
      <c r="G466" s="529">
        <f t="array" ref="G466">SUM(IF(CertFund&amp;CertProg&amp;CertObj=RIGHT(LEFT($A$2,7),2)&amp;LEFT(A463,4)&amp;B464,CertBen))</f>
        <v>0</v>
      </c>
      <c r="H466" s="527">
        <v>0</v>
      </c>
      <c r="I466" s="566">
        <f>SUM(G466+H466)</f>
        <v>0</v>
      </c>
    </row>
    <row r="467" spans="1:9" s="309" customFormat="1" x14ac:dyDescent="0.15">
      <c r="A467" s="312"/>
      <c r="B467" s="311" t="s">
        <v>1578</v>
      </c>
      <c r="C467" s="312" t="s">
        <v>511</v>
      </c>
      <c r="D467" s="316">
        <v>0</v>
      </c>
      <c r="E467" s="316">
        <v>0</v>
      </c>
      <c r="F467" s="316">
        <v>0</v>
      </c>
      <c r="G467" s="316">
        <v>0</v>
      </c>
      <c r="H467" s="527">
        <v>0</v>
      </c>
      <c r="I467" s="566">
        <f>SUM(G467+H467)</f>
        <v>0</v>
      </c>
    </row>
    <row r="468" spans="1:9" ht="10.5" customHeight="1" x14ac:dyDescent="0.15">
      <c r="B468" s="152" t="s">
        <v>1579</v>
      </c>
      <c r="C468" s="115" t="s">
        <v>118</v>
      </c>
      <c r="D468" s="147">
        <v>0</v>
      </c>
      <c r="E468" s="147">
        <v>0</v>
      </c>
      <c r="F468" s="147">
        <v>0</v>
      </c>
      <c r="G468" s="147">
        <v>0</v>
      </c>
      <c r="H468" s="315">
        <v>0</v>
      </c>
      <c r="I468" s="572">
        <f t="shared" ref="I468:I491" si="14">SUM(G468+H468)</f>
        <v>0</v>
      </c>
    </row>
    <row r="469" spans="1:9" ht="10.5" customHeight="1" x14ac:dyDescent="0.15">
      <c r="B469" s="152" t="s">
        <v>1580</v>
      </c>
      <c r="C469" s="115" t="s">
        <v>119</v>
      </c>
      <c r="D469" s="147">
        <v>0</v>
      </c>
      <c r="E469" s="147">
        <v>0</v>
      </c>
      <c r="F469" s="147">
        <v>0</v>
      </c>
      <c r="G469" s="147">
        <v>0</v>
      </c>
      <c r="H469" s="315">
        <v>0</v>
      </c>
      <c r="I469" s="572">
        <f t="shared" si="14"/>
        <v>0</v>
      </c>
    </row>
    <row r="470" spans="1:9" ht="10.5" customHeight="1" x14ac:dyDescent="0.15">
      <c r="B470" s="152" t="s">
        <v>120</v>
      </c>
      <c r="C470" s="115" t="s">
        <v>121</v>
      </c>
      <c r="D470" s="147">
        <v>0</v>
      </c>
      <c r="E470" s="147">
        <v>0</v>
      </c>
      <c r="F470" s="147">
        <v>0</v>
      </c>
      <c r="G470" s="147">
        <v>0</v>
      </c>
      <c r="H470" s="315">
        <v>0</v>
      </c>
      <c r="I470" s="572">
        <f t="shared" si="14"/>
        <v>0</v>
      </c>
    </row>
    <row r="471" spans="1:9" ht="10.5" customHeight="1" x14ac:dyDescent="0.15">
      <c r="B471" s="152" t="s">
        <v>122</v>
      </c>
      <c r="C471" s="115" t="s">
        <v>123</v>
      </c>
      <c r="D471" s="147">
        <v>0</v>
      </c>
      <c r="E471" s="147">
        <v>0</v>
      </c>
      <c r="F471" s="147">
        <v>0</v>
      </c>
      <c r="G471" s="147">
        <v>0</v>
      </c>
      <c r="H471" s="315">
        <v>0</v>
      </c>
      <c r="I471" s="572">
        <f t="shared" si="14"/>
        <v>0</v>
      </c>
    </row>
    <row r="472" spans="1:9" ht="10.5" customHeight="1" x14ac:dyDescent="0.15">
      <c r="B472" s="152" t="s">
        <v>1581</v>
      </c>
      <c r="C472" s="115" t="s">
        <v>124</v>
      </c>
      <c r="D472" s="147">
        <v>0</v>
      </c>
      <c r="E472" s="147">
        <v>0</v>
      </c>
      <c r="F472" s="147">
        <v>0</v>
      </c>
      <c r="G472" s="147">
        <v>0</v>
      </c>
      <c r="H472" s="315">
        <v>0</v>
      </c>
      <c r="I472" s="572">
        <f t="shared" si="14"/>
        <v>0</v>
      </c>
    </row>
    <row r="473" spans="1:9" ht="10.5" customHeight="1" x14ac:dyDescent="0.15">
      <c r="B473" s="152" t="s">
        <v>127</v>
      </c>
      <c r="C473" s="115" t="s">
        <v>134</v>
      </c>
      <c r="D473" s="147">
        <v>0</v>
      </c>
      <c r="E473" s="147">
        <v>0</v>
      </c>
      <c r="F473" s="147">
        <v>0</v>
      </c>
      <c r="G473" s="147">
        <v>0</v>
      </c>
      <c r="H473" s="315">
        <v>0</v>
      </c>
      <c r="I473" s="572">
        <f t="shared" si="14"/>
        <v>0</v>
      </c>
    </row>
    <row r="474" spans="1:9" ht="10.5" customHeight="1" x14ac:dyDescent="0.15">
      <c r="B474" s="152" t="s">
        <v>1624</v>
      </c>
      <c r="C474" s="115" t="s">
        <v>840</v>
      </c>
      <c r="D474" s="147">
        <v>0</v>
      </c>
      <c r="E474" s="147">
        <v>0</v>
      </c>
      <c r="F474" s="147">
        <v>0</v>
      </c>
      <c r="G474" s="147">
        <v>0</v>
      </c>
      <c r="H474" s="315">
        <v>0</v>
      </c>
      <c r="I474" s="572">
        <f t="shared" si="14"/>
        <v>0</v>
      </c>
    </row>
    <row r="475" spans="1:9" ht="10.5" customHeight="1" x14ac:dyDescent="0.15">
      <c r="B475" s="152" t="s">
        <v>1625</v>
      </c>
      <c r="C475" s="115" t="s">
        <v>842</v>
      </c>
      <c r="D475" s="147">
        <v>0</v>
      </c>
      <c r="E475" s="147">
        <v>0</v>
      </c>
      <c r="F475" s="147">
        <v>0</v>
      </c>
      <c r="G475" s="147">
        <v>0</v>
      </c>
      <c r="H475" s="315">
        <v>0</v>
      </c>
      <c r="I475" s="572">
        <f t="shared" si="14"/>
        <v>0</v>
      </c>
    </row>
    <row r="476" spans="1:9" ht="10.5" customHeight="1" x14ac:dyDescent="0.15">
      <c r="B476" s="152" t="s">
        <v>843</v>
      </c>
      <c r="C476" s="115" t="s">
        <v>848</v>
      </c>
      <c r="D476" s="147">
        <v>0</v>
      </c>
      <c r="E476" s="147">
        <v>0</v>
      </c>
      <c r="F476" s="147">
        <v>0</v>
      </c>
      <c r="G476" s="147">
        <v>0</v>
      </c>
      <c r="H476" s="315">
        <v>0</v>
      </c>
      <c r="I476" s="572">
        <f t="shared" si="14"/>
        <v>0</v>
      </c>
    </row>
    <row r="477" spans="1:9" ht="10.5" customHeight="1" x14ac:dyDescent="0.15">
      <c r="B477" s="152" t="s">
        <v>844</v>
      </c>
      <c r="C477" s="115" t="s">
        <v>186</v>
      </c>
      <c r="D477" s="147">
        <v>0</v>
      </c>
      <c r="E477" s="147">
        <v>0</v>
      </c>
      <c r="F477" s="147">
        <v>0</v>
      </c>
      <c r="G477" s="147">
        <v>0</v>
      </c>
      <c r="H477" s="315">
        <v>0</v>
      </c>
      <c r="I477" s="572">
        <f t="shared" si="14"/>
        <v>0</v>
      </c>
    </row>
    <row r="478" spans="1:9" ht="10.5" customHeight="1" x14ac:dyDescent="0.15">
      <c r="B478" s="152" t="s">
        <v>845</v>
      </c>
      <c r="C478" s="115" t="s">
        <v>154</v>
      </c>
      <c r="D478" s="147">
        <v>0</v>
      </c>
      <c r="E478" s="147">
        <v>0</v>
      </c>
      <c r="F478" s="147">
        <v>0</v>
      </c>
      <c r="G478" s="147">
        <v>0</v>
      </c>
      <c r="H478" s="315">
        <v>0</v>
      </c>
      <c r="I478" s="572">
        <f t="shared" si="14"/>
        <v>0</v>
      </c>
    </row>
    <row r="479" spans="1:9" ht="10.5" customHeight="1" x14ac:dyDescent="0.15">
      <c r="B479" s="152" t="s">
        <v>846</v>
      </c>
      <c r="C479" s="115" t="s">
        <v>155</v>
      </c>
      <c r="D479" s="147">
        <v>0</v>
      </c>
      <c r="E479" s="147">
        <v>0</v>
      </c>
      <c r="F479" s="147">
        <v>0</v>
      </c>
      <c r="G479" s="147">
        <v>0</v>
      </c>
      <c r="H479" s="315">
        <v>0</v>
      </c>
      <c r="I479" s="572">
        <f t="shared" si="14"/>
        <v>0</v>
      </c>
    </row>
    <row r="480" spans="1:9" ht="10.5" customHeight="1" x14ac:dyDescent="0.15">
      <c r="B480" s="152" t="s">
        <v>1582</v>
      </c>
      <c r="C480" s="115" t="s">
        <v>156</v>
      </c>
      <c r="D480" s="147">
        <v>0</v>
      </c>
      <c r="E480" s="147">
        <v>0</v>
      </c>
      <c r="F480" s="147">
        <v>0</v>
      </c>
      <c r="G480" s="147">
        <v>0</v>
      </c>
      <c r="H480" s="315">
        <v>0</v>
      </c>
      <c r="I480" s="572">
        <f t="shared" si="14"/>
        <v>0</v>
      </c>
    </row>
    <row r="481" spans="1:9" ht="10.5" customHeight="1" x14ac:dyDescent="0.15">
      <c r="B481" s="152" t="s">
        <v>847</v>
      </c>
      <c r="C481" s="115" t="s">
        <v>157</v>
      </c>
      <c r="D481" s="147">
        <v>0</v>
      </c>
      <c r="E481" s="147">
        <v>0</v>
      </c>
      <c r="F481" s="147">
        <v>0</v>
      </c>
      <c r="G481" s="147">
        <v>0</v>
      </c>
      <c r="H481" s="315">
        <v>0</v>
      </c>
      <c r="I481" s="572">
        <f t="shared" si="14"/>
        <v>0</v>
      </c>
    </row>
    <row r="482" spans="1:9" ht="10.5" customHeight="1" x14ac:dyDescent="0.15">
      <c r="B482" s="152" t="s">
        <v>1583</v>
      </c>
      <c r="C482" s="115" t="s">
        <v>160</v>
      </c>
      <c r="D482" s="147">
        <v>0</v>
      </c>
      <c r="E482" s="147">
        <v>0</v>
      </c>
      <c r="F482" s="147">
        <v>0</v>
      </c>
      <c r="G482" s="147">
        <v>0</v>
      </c>
      <c r="H482" s="315">
        <v>0</v>
      </c>
      <c r="I482" s="572">
        <f t="shared" si="14"/>
        <v>0</v>
      </c>
    </row>
    <row r="483" spans="1:9" ht="10.5" customHeight="1" x14ac:dyDescent="0.15">
      <c r="B483" s="152" t="s">
        <v>634</v>
      </c>
      <c r="C483" s="115" t="s">
        <v>165</v>
      </c>
      <c r="D483" s="147">
        <v>0</v>
      </c>
      <c r="E483" s="147">
        <v>0</v>
      </c>
      <c r="F483" s="147">
        <v>0</v>
      </c>
      <c r="G483" s="147">
        <v>0</v>
      </c>
      <c r="H483" s="315">
        <v>0</v>
      </c>
      <c r="I483" s="572">
        <f t="shared" si="14"/>
        <v>0</v>
      </c>
    </row>
    <row r="484" spans="1:9" ht="10.5" customHeight="1" x14ac:dyDescent="0.15">
      <c r="B484" s="152" t="s">
        <v>630</v>
      </c>
      <c r="C484" s="115" t="s">
        <v>172</v>
      </c>
      <c r="D484" s="147">
        <v>0</v>
      </c>
      <c r="E484" s="147">
        <v>0</v>
      </c>
      <c r="F484" s="147">
        <v>0</v>
      </c>
      <c r="G484" s="147">
        <v>0</v>
      </c>
      <c r="H484" s="315">
        <v>0</v>
      </c>
      <c r="I484" s="572">
        <f t="shared" si="14"/>
        <v>0</v>
      </c>
    </row>
    <row r="485" spans="1:9" ht="10.5" customHeight="1" x14ac:dyDescent="0.15">
      <c r="B485" s="652" t="s">
        <v>631</v>
      </c>
      <c r="C485" s="653" t="s">
        <v>173</v>
      </c>
      <c r="D485" s="147">
        <v>0</v>
      </c>
      <c r="E485" s="147">
        <v>0</v>
      </c>
      <c r="F485" s="147">
        <v>0</v>
      </c>
      <c r="G485" s="147">
        <v>0</v>
      </c>
      <c r="H485" s="315">
        <v>0</v>
      </c>
      <c r="I485" s="572">
        <f t="shared" si="14"/>
        <v>0</v>
      </c>
    </row>
    <row r="486" spans="1:9" ht="10.5" customHeight="1" x14ac:dyDescent="0.15">
      <c r="B486" s="152" t="s">
        <v>1584</v>
      </c>
      <c r="C486" s="115" t="s">
        <v>178</v>
      </c>
      <c r="D486" s="147">
        <v>0</v>
      </c>
      <c r="E486" s="147">
        <v>0</v>
      </c>
      <c r="F486" s="147">
        <v>0</v>
      </c>
      <c r="G486" s="147">
        <v>0</v>
      </c>
      <c r="H486" s="315">
        <v>0</v>
      </c>
      <c r="I486" s="572">
        <f t="shared" si="14"/>
        <v>0</v>
      </c>
    </row>
    <row r="487" spans="1:9" ht="10.5" customHeight="1" x14ac:dyDescent="0.15">
      <c r="B487" s="152" t="s">
        <v>174</v>
      </c>
      <c r="C487" s="115" t="s">
        <v>179</v>
      </c>
      <c r="D487" s="147">
        <v>0</v>
      </c>
      <c r="E487" s="147">
        <v>0</v>
      </c>
      <c r="F487" s="147">
        <v>0</v>
      </c>
      <c r="G487" s="147">
        <v>0</v>
      </c>
      <c r="H487" s="315">
        <v>0</v>
      </c>
      <c r="I487" s="572">
        <f t="shared" si="14"/>
        <v>0</v>
      </c>
    </row>
    <row r="488" spans="1:9" ht="10.5" customHeight="1" x14ac:dyDescent="0.15">
      <c r="B488" s="152" t="s">
        <v>175</v>
      </c>
      <c r="C488" s="115" t="s">
        <v>180</v>
      </c>
      <c r="D488" s="147">
        <v>0</v>
      </c>
      <c r="E488" s="147">
        <v>0</v>
      </c>
      <c r="F488" s="147">
        <v>0</v>
      </c>
      <c r="G488" s="147">
        <v>0</v>
      </c>
      <c r="H488" s="315">
        <v>0</v>
      </c>
      <c r="I488" s="572">
        <f t="shared" si="14"/>
        <v>0</v>
      </c>
    </row>
    <row r="489" spans="1:9" ht="10.5" customHeight="1" x14ac:dyDescent="0.15">
      <c r="B489" s="152" t="s">
        <v>176</v>
      </c>
      <c r="C489" s="115" t="s">
        <v>181</v>
      </c>
      <c r="D489" s="147">
        <v>0</v>
      </c>
      <c r="E489" s="147">
        <v>0</v>
      </c>
      <c r="F489" s="147">
        <v>0</v>
      </c>
      <c r="G489" s="147">
        <v>0</v>
      </c>
      <c r="H489" s="315">
        <v>0</v>
      </c>
      <c r="I489" s="572">
        <f t="shared" si="14"/>
        <v>0</v>
      </c>
    </row>
    <row r="490" spans="1:9" ht="10.5" customHeight="1" x14ac:dyDescent="0.15">
      <c r="B490" s="152" t="s">
        <v>177</v>
      </c>
      <c r="C490" s="115" t="s">
        <v>182</v>
      </c>
      <c r="D490" s="147">
        <v>0</v>
      </c>
      <c r="E490" s="147">
        <v>0</v>
      </c>
      <c r="F490" s="147">
        <v>0</v>
      </c>
      <c r="G490" s="147">
        <v>0</v>
      </c>
      <c r="H490" s="315">
        <v>0</v>
      </c>
      <c r="I490" s="572">
        <f t="shared" si="14"/>
        <v>0</v>
      </c>
    </row>
    <row r="491" spans="1:9" ht="10.5" customHeight="1" thickBot="1" x14ac:dyDescent="0.2">
      <c r="B491" s="152" t="s">
        <v>632</v>
      </c>
      <c r="C491" s="115" t="s">
        <v>183</v>
      </c>
      <c r="D491" s="144">
        <v>0</v>
      </c>
      <c r="E491" s="144">
        <v>0</v>
      </c>
      <c r="F491" s="144">
        <v>0</v>
      </c>
      <c r="G491" s="144">
        <v>0</v>
      </c>
      <c r="H491" s="315">
        <v>0</v>
      </c>
      <c r="I491" s="572">
        <f t="shared" si="14"/>
        <v>0</v>
      </c>
    </row>
    <row r="492" spans="1:9" ht="10.5" customHeight="1" thickTop="1" thickBot="1" x14ac:dyDescent="0.2">
      <c r="B492" s="152"/>
      <c r="C492" s="115" t="s">
        <v>670</v>
      </c>
      <c r="D492" s="169">
        <f>SUM(D464:D491)</f>
        <v>0</v>
      </c>
      <c r="E492" s="169">
        <f>SUM(E464:E491)</f>
        <v>0</v>
      </c>
      <c r="F492" s="169">
        <f>SUM(F464:F491)</f>
        <v>0</v>
      </c>
      <c r="G492" s="169">
        <f>SUM(G464:G491)</f>
        <v>0</v>
      </c>
      <c r="H492" s="169">
        <f>SUM(H464:H491)</f>
        <v>0</v>
      </c>
      <c r="I492" s="304">
        <f>G492+H492</f>
        <v>0</v>
      </c>
    </row>
    <row r="493" spans="1:9" ht="10.5" customHeight="1" thickTop="1" x14ac:dyDescent="0.15">
      <c r="B493" s="152"/>
      <c r="C493" s="115"/>
      <c r="D493" s="14"/>
      <c r="E493" s="14"/>
      <c r="F493" s="14"/>
      <c r="G493" s="14"/>
      <c r="H493" s="305"/>
      <c r="I493" s="305"/>
    </row>
    <row r="494" spans="1:9" ht="10.5" customHeight="1" x14ac:dyDescent="0.15">
      <c r="A494" s="35" t="s">
        <v>671</v>
      </c>
      <c r="C494" s="115"/>
      <c r="D494" s="14"/>
      <c r="E494" s="14"/>
      <c r="F494" s="14"/>
      <c r="G494" s="14"/>
      <c r="H494" s="305"/>
      <c r="I494" s="305"/>
    </row>
    <row r="495" spans="1:9" s="309" customFormat="1" x14ac:dyDescent="0.15">
      <c r="B495" s="311" t="s">
        <v>1577</v>
      </c>
      <c r="C495" s="312" t="s">
        <v>228</v>
      </c>
      <c r="D495" s="316">
        <v>0</v>
      </c>
      <c r="E495" s="316">
        <v>0</v>
      </c>
      <c r="F495" s="316">
        <v>0</v>
      </c>
      <c r="G495" s="528">
        <f t="array" ref="G495">SUM(IF(CertFund&amp;CertProg&amp;CertObj=RIGHT(LEFT($A$2,7),2)&amp;LEFT(A494,4)&amp;B495,CertSalary))</f>
        <v>0</v>
      </c>
      <c r="H495" s="527">
        <v>0</v>
      </c>
      <c r="I495" s="566">
        <f>SUM(G495+H495)</f>
        <v>0</v>
      </c>
    </row>
    <row r="496" spans="1:9" s="309" customFormat="1" x14ac:dyDescent="0.15">
      <c r="B496" s="311" t="s">
        <v>1577</v>
      </c>
      <c r="C496" s="312" t="s">
        <v>510</v>
      </c>
      <c r="D496" s="316">
        <v>0</v>
      </c>
      <c r="E496" s="316">
        <v>0</v>
      </c>
      <c r="F496" s="316">
        <v>0</v>
      </c>
      <c r="G496" s="316">
        <v>0</v>
      </c>
      <c r="H496" s="527">
        <v>0</v>
      </c>
      <c r="I496" s="566">
        <f>SUM(G496+H496)</f>
        <v>0</v>
      </c>
    </row>
    <row r="497" spans="1:10" s="309" customFormat="1" x14ac:dyDescent="0.15">
      <c r="A497" s="312"/>
      <c r="B497" s="311" t="s">
        <v>1578</v>
      </c>
      <c r="C497" s="312" t="s">
        <v>936</v>
      </c>
      <c r="D497" s="316">
        <v>0</v>
      </c>
      <c r="E497" s="316">
        <v>0</v>
      </c>
      <c r="F497" s="316">
        <v>0</v>
      </c>
      <c r="G497" s="529">
        <f t="array" ref="G497">SUM(IF(CertFund&amp;CertProg&amp;CertObj=RIGHT(LEFT($A$2,7),2)&amp;LEFT(A494,4)&amp;B495,CertBen))</f>
        <v>0</v>
      </c>
      <c r="H497" s="527">
        <v>0</v>
      </c>
      <c r="I497" s="566">
        <f>SUM(G497+H497)</f>
        <v>0</v>
      </c>
    </row>
    <row r="498" spans="1:10" x14ac:dyDescent="0.15">
      <c r="A498" s="115"/>
      <c r="B498" s="152" t="s">
        <v>1578</v>
      </c>
      <c r="C498" s="115" t="s">
        <v>511</v>
      </c>
      <c r="D498" s="147">
        <v>0</v>
      </c>
      <c r="E498" s="147">
        <v>0</v>
      </c>
      <c r="F498" s="147">
        <v>0</v>
      </c>
      <c r="G498" s="147">
        <v>0</v>
      </c>
      <c r="H498" s="150">
        <v>0</v>
      </c>
      <c r="I498" s="567">
        <f>SUM(G498+H498)</f>
        <v>0</v>
      </c>
      <c r="J498" s="309"/>
    </row>
    <row r="499" spans="1:10" ht="10.5" customHeight="1" x14ac:dyDescent="0.15">
      <c r="B499" s="152" t="s">
        <v>1579</v>
      </c>
      <c r="C499" s="115" t="s">
        <v>118</v>
      </c>
      <c r="D499" s="147">
        <v>0</v>
      </c>
      <c r="E499" s="147">
        <v>0</v>
      </c>
      <c r="F499" s="147">
        <v>0</v>
      </c>
      <c r="G499" s="147">
        <v>0</v>
      </c>
      <c r="H499" s="315">
        <v>0</v>
      </c>
      <c r="I499" s="572">
        <f t="shared" ref="I499:I524" si="15">SUM(G499+H499)</f>
        <v>0</v>
      </c>
    </row>
    <row r="500" spans="1:10" ht="10.5" customHeight="1" x14ac:dyDescent="0.15">
      <c r="B500" s="152" t="s">
        <v>1580</v>
      </c>
      <c r="C500" s="115" t="s">
        <v>119</v>
      </c>
      <c r="D500" s="147">
        <v>0</v>
      </c>
      <c r="E500" s="147">
        <v>0</v>
      </c>
      <c r="F500" s="147">
        <v>0</v>
      </c>
      <c r="G500" s="147">
        <v>0</v>
      </c>
      <c r="H500" s="315">
        <v>0</v>
      </c>
      <c r="I500" s="572">
        <f t="shared" si="15"/>
        <v>0</v>
      </c>
    </row>
    <row r="501" spans="1:10" ht="10.5" customHeight="1" x14ac:dyDescent="0.15">
      <c r="B501" s="152" t="s">
        <v>120</v>
      </c>
      <c r="C501" s="115" t="s">
        <v>121</v>
      </c>
      <c r="D501" s="147">
        <v>0</v>
      </c>
      <c r="E501" s="147">
        <v>0</v>
      </c>
      <c r="F501" s="147">
        <v>0</v>
      </c>
      <c r="G501" s="147">
        <v>0</v>
      </c>
      <c r="H501" s="315">
        <v>0</v>
      </c>
      <c r="I501" s="572">
        <f t="shared" si="15"/>
        <v>0</v>
      </c>
    </row>
    <row r="502" spans="1:10" ht="10.5" customHeight="1" x14ac:dyDescent="0.15">
      <c r="B502" s="152" t="s">
        <v>122</v>
      </c>
      <c r="C502" s="115" t="s">
        <v>123</v>
      </c>
      <c r="D502" s="147">
        <v>0</v>
      </c>
      <c r="E502" s="147">
        <v>0</v>
      </c>
      <c r="F502" s="147">
        <v>0</v>
      </c>
      <c r="G502" s="147">
        <v>0</v>
      </c>
      <c r="H502" s="315">
        <v>0</v>
      </c>
      <c r="I502" s="572">
        <f t="shared" si="15"/>
        <v>0</v>
      </c>
    </row>
    <row r="503" spans="1:10" ht="10.5" customHeight="1" x14ac:dyDescent="0.15">
      <c r="B503" s="152" t="s">
        <v>1581</v>
      </c>
      <c r="C503" s="115" t="s">
        <v>124</v>
      </c>
      <c r="D503" s="147">
        <v>0</v>
      </c>
      <c r="E503" s="147">
        <v>0</v>
      </c>
      <c r="F503" s="147">
        <v>0</v>
      </c>
      <c r="G503" s="147">
        <v>0</v>
      </c>
      <c r="H503" s="315">
        <v>0</v>
      </c>
      <c r="I503" s="572">
        <f t="shared" si="15"/>
        <v>0</v>
      </c>
    </row>
    <row r="504" spans="1:10" ht="10.5" customHeight="1" x14ac:dyDescent="0.15">
      <c r="B504" s="152" t="s">
        <v>1625</v>
      </c>
      <c r="C504" s="115" t="s">
        <v>842</v>
      </c>
      <c r="D504" s="147">
        <v>0</v>
      </c>
      <c r="E504" s="147">
        <v>0</v>
      </c>
      <c r="F504" s="147">
        <v>0</v>
      </c>
      <c r="G504" s="147">
        <v>0</v>
      </c>
      <c r="H504" s="315">
        <v>0</v>
      </c>
      <c r="I504" s="572">
        <f t="shared" si="15"/>
        <v>0</v>
      </c>
    </row>
    <row r="505" spans="1:10" ht="10.5" customHeight="1" x14ac:dyDescent="0.15">
      <c r="B505" s="152" t="s">
        <v>843</v>
      </c>
      <c r="C505" s="115" t="s">
        <v>848</v>
      </c>
      <c r="D505" s="147">
        <v>0</v>
      </c>
      <c r="E505" s="147">
        <v>0</v>
      </c>
      <c r="F505" s="147">
        <v>0</v>
      </c>
      <c r="G505" s="147">
        <v>0</v>
      </c>
      <c r="H505" s="315">
        <v>0</v>
      </c>
      <c r="I505" s="572">
        <f t="shared" si="15"/>
        <v>0</v>
      </c>
    </row>
    <row r="506" spans="1:10" ht="10.5" customHeight="1" x14ac:dyDescent="0.15">
      <c r="B506" s="152" t="s">
        <v>844</v>
      </c>
      <c r="C506" s="115" t="s">
        <v>186</v>
      </c>
      <c r="D506" s="147">
        <v>0</v>
      </c>
      <c r="E506" s="147">
        <v>0</v>
      </c>
      <c r="F506" s="147">
        <v>0</v>
      </c>
      <c r="G506" s="147">
        <v>0</v>
      </c>
      <c r="H506" s="315">
        <v>0</v>
      </c>
      <c r="I506" s="572">
        <f t="shared" si="15"/>
        <v>0</v>
      </c>
    </row>
    <row r="507" spans="1:10" ht="10.5" customHeight="1" x14ac:dyDescent="0.15">
      <c r="B507" s="152" t="s">
        <v>845</v>
      </c>
      <c r="C507" s="115" t="s">
        <v>154</v>
      </c>
      <c r="D507" s="147">
        <v>0</v>
      </c>
      <c r="E507" s="147">
        <v>0</v>
      </c>
      <c r="F507" s="147">
        <v>0</v>
      </c>
      <c r="G507" s="147">
        <v>0</v>
      </c>
      <c r="H507" s="315">
        <v>0</v>
      </c>
      <c r="I507" s="572">
        <f t="shared" si="15"/>
        <v>0</v>
      </c>
    </row>
    <row r="508" spans="1:10" ht="10.5" customHeight="1" x14ac:dyDescent="0.15">
      <c r="B508" s="152" t="s">
        <v>846</v>
      </c>
      <c r="C508" s="115" t="s">
        <v>155</v>
      </c>
      <c r="D508" s="147">
        <v>0</v>
      </c>
      <c r="E508" s="147">
        <v>0</v>
      </c>
      <c r="F508" s="147">
        <v>0</v>
      </c>
      <c r="G508" s="147">
        <v>0</v>
      </c>
      <c r="H508" s="315">
        <v>0</v>
      </c>
      <c r="I508" s="572">
        <f t="shared" si="15"/>
        <v>0</v>
      </c>
    </row>
    <row r="509" spans="1:10" ht="10.5" customHeight="1" x14ac:dyDescent="0.15">
      <c r="B509" s="152" t="s">
        <v>1582</v>
      </c>
      <c r="C509" s="115" t="s">
        <v>156</v>
      </c>
      <c r="D509" s="147">
        <v>0</v>
      </c>
      <c r="E509" s="147">
        <v>0</v>
      </c>
      <c r="F509" s="147">
        <v>0</v>
      </c>
      <c r="G509" s="147">
        <v>0</v>
      </c>
      <c r="H509" s="315">
        <v>0</v>
      </c>
      <c r="I509" s="572">
        <f t="shared" si="15"/>
        <v>0</v>
      </c>
    </row>
    <row r="510" spans="1:10" ht="10.5" customHeight="1" x14ac:dyDescent="0.15">
      <c r="B510" s="152" t="s">
        <v>847</v>
      </c>
      <c r="C510" s="115" t="s">
        <v>157</v>
      </c>
      <c r="D510" s="147">
        <v>0</v>
      </c>
      <c r="E510" s="147">
        <v>0</v>
      </c>
      <c r="F510" s="147">
        <v>0</v>
      </c>
      <c r="G510" s="147">
        <v>0</v>
      </c>
      <c r="H510" s="315">
        <v>0</v>
      </c>
      <c r="I510" s="572">
        <f t="shared" si="15"/>
        <v>0</v>
      </c>
    </row>
    <row r="511" spans="1:10" ht="10.5" customHeight="1" x14ac:dyDescent="0.15">
      <c r="B511" s="152" t="s">
        <v>1583</v>
      </c>
      <c r="C511" s="115" t="s">
        <v>160</v>
      </c>
      <c r="D511" s="147">
        <v>0</v>
      </c>
      <c r="E511" s="147">
        <v>0</v>
      </c>
      <c r="F511" s="147">
        <v>0</v>
      </c>
      <c r="G511" s="147">
        <v>0</v>
      </c>
      <c r="H511" s="315">
        <v>0</v>
      </c>
      <c r="I511" s="572">
        <f t="shared" si="15"/>
        <v>0</v>
      </c>
    </row>
    <row r="512" spans="1:10" ht="10.5" customHeight="1" x14ac:dyDescent="0.15">
      <c r="B512" s="152" t="s">
        <v>200</v>
      </c>
      <c r="C512" s="115" t="s">
        <v>161</v>
      </c>
      <c r="D512" s="147">
        <v>0</v>
      </c>
      <c r="E512" s="147">
        <v>0</v>
      </c>
      <c r="F512" s="147">
        <v>0</v>
      </c>
      <c r="G512" s="147">
        <v>0</v>
      </c>
      <c r="H512" s="315">
        <v>0</v>
      </c>
      <c r="I512" s="572">
        <f t="shared" si="15"/>
        <v>0</v>
      </c>
    </row>
    <row r="513" spans="2:9" ht="10.5" customHeight="1" x14ac:dyDescent="0.15">
      <c r="B513" s="152" t="s">
        <v>201</v>
      </c>
      <c r="C513" s="115" t="s">
        <v>162</v>
      </c>
      <c r="D513" s="147">
        <v>0</v>
      </c>
      <c r="E513" s="147">
        <v>0</v>
      </c>
      <c r="F513" s="147">
        <v>0</v>
      </c>
      <c r="G513" s="147">
        <v>0</v>
      </c>
      <c r="H513" s="315">
        <v>0</v>
      </c>
      <c r="I513" s="572">
        <f t="shared" si="15"/>
        <v>0</v>
      </c>
    </row>
    <row r="514" spans="2:9" ht="10.5" customHeight="1" x14ac:dyDescent="0.15">
      <c r="B514" s="152" t="s">
        <v>158</v>
      </c>
      <c r="C514" s="115" t="s">
        <v>464</v>
      </c>
      <c r="D514" s="147">
        <v>0</v>
      </c>
      <c r="E514" s="147">
        <v>0</v>
      </c>
      <c r="F514" s="147">
        <v>0</v>
      </c>
      <c r="G514" s="147">
        <v>0</v>
      </c>
      <c r="H514" s="315">
        <v>0</v>
      </c>
      <c r="I514" s="572">
        <f t="shared" si="15"/>
        <v>0</v>
      </c>
    </row>
    <row r="515" spans="2:9" ht="10.5" customHeight="1" x14ac:dyDescent="0.15">
      <c r="B515" s="152" t="s">
        <v>159</v>
      </c>
      <c r="C515" s="115" t="s">
        <v>465</v>
      </c>
      <c r="D515" s="147">
        <v>0</v>
      </c>
      <c r="E515" s="147">
        <v>0</v>
      </c>
      <c r="F515" s="147">
        <v>0</v>
      </c>
      <c r="G515" s="147">
        <v>0</v>
      </c>
      <c r="H515" s="315">
        <v>0</v>
      </c>
      <c r="I515" s="572">
        <f t="shared" si="15"/>
        <v>0</v>
      </c>
    </row>
    <row r="516" spans="2:9" ht="10.5" customHeight="1" x14ac:dyDescent="0.15">
      <c r="B516" s="152" t="s">
        <v>466</v>
      </c>
      <c r="C516" s="115" t="s">
        <v>468</v>
      </c>
      <c r="D516" s="147">
        <v>0</v>
      </c>
      <c r="E516" s="147">
        <v>0</v>
      </c>
      <c r="F516" s="147">
        <v>0</v>
      </c>
      <c r="G516" s="147">
        <v>0</v>
      </c>
      <c r="H516" s="315">
        <v>0</v>
      </c>
      <c r="I516" s="572">
        <f t="shared" si="15"/>
        <v>0</v>
      </c>
    </row>
    <row r="517" spans="2:9" ht="10.5" customHeight="1" x14ac:dyDescent="0.15">
      <c r="B517" s="152" t="s">
        <v>634</v>
      </c>
      <c r="C517" s="115" t="s">
        <v>165</v>
      </c>
      <c r="D517" s="147">
        <v>0</v>
      </c>
      <c r="E517" s="147">
        <v>0</v>
      </c>
      <c r="F517" s="147">
        <v>0</v>
      </c>
      <c r="G517" s="147">
        <v>0</v>
      </c>
      <c r="H517" s="315">
        <v>0</v>
      </c>
      <c r="I517" s="572">
        <f t="shared" si="15"/>
        <v>0</v>
      </c>
    </row>
    <row r="518" spans="2:9" ht="10.5" customHeight="1" x14ac:dyDescent="0.15">
      <c r="B518" s="152" t="s">
        <v>202</v>
      </c>
      <c r="C518" s="115" t="s">
        <v>171</v>
      </c>
      <c r="D518" s="147">
        <v>0</v>
      </c>
      <c r="E518" s="147">
        <v>0</v>
      </c>
      <c r="F518" s="147">
        <v>0</v>
      </c>
      <c r="G518" s="147">
        <v>0</v>
      </c>
      <c r="H518" s="315">
        <v>0</v>
      </c>
      <c r="I518" s="572">
        <f t="shared" si="15"/>
        <v>0</v>
      </c>
    </row>
    <row r="519" spans="2:9" ht="10.5" customHeight="1" x14ac:dyDescent="0.15">
      <c r="B519" s="152" t="s">
        <v>630</v>
      </c>
      <c r="C519" s="115" t="s">
        <v>172</v>
      </c>
      <c r="D519" s="147">
        <v>0</v>
      </c>
      <c r="E519" s="147">
        <v>0</v>
      </c>
      <c r="F519" s="147">
        <v>0</v>
      </c>
      <c r="G519" s="147">
        <v>0</v>
      </c>
      <c r="H519" s="315">
        <v>0</v>
      </c>
      <c r="I519" s="572">
        <f t="shared" si="15"/>
        <v>0</v>
      </c>
    </row>
    <row r="520" spans="2:9" ht="10.5" customHeight="1" x14ac:dyDescent="0.15">
      <c r="B520" s="652" t="s">
        <v>631</v>
      </c>
      <c r="C520" s="653" t="s">
        <v>173</v>
      </c>
      <c r="D520" s="147">
        <v>0</v>
      </c>
      <c r="E520" s="147">
        <v>0</v>
      </c>
      <c r="F520" s="147">
        <v>0</v>
      </c>
      <c r="G520" s="147">
        <v>0</v>
      </c>
      <c r="H520" s="315">
        <v>0</v>
      </c>
      <c r="I520" s="572">
        <f t="shared" si="15"/>
        <v>0</v>
      </c>
    </row>
    <row r="521" spans="2:9" ht="10.5" customHeight="1" x14ac:dyDescent="0.15">
      <c r="B521" s="152" t="s">
        <v>1584</v>
      </c>
      <c r="C521" s="115" t="s">
        <v>178</v>
      </c>
      <c r="D521" s="147">
        <v>0</v>
      </c>
      <c r="E521" s="147">
        <v>0</v>
      </c>
      <c r="F521" s="147">
        <v>0</v>
      </c>
      <c r="G521" s="147">
        <v>0</v>
      </c>
      <c r="H521" s="315">
        <v>0</v>
      </c>
      <c r="I521" s="572">
        <f t="shared" si="15"/>
        <v>0</v>
      </c>
    </row>
    <row r="522" spans="2:9" ht="10.5" customHeight="1" x14ac:dyDescent="0.15">
      <c r="B522" s="152" t="s">
        <v>174</v>
      </c>
      <c r="C522" s="115" t="s">
        <v>179</v>
      </c>
      <c r="D522" s="147">
        <v>0</v>
      </c>
      <c r="E522" s="147">
        <v>0</v>
      </c>
      <c r="F522" s="147">
        <v>0</v>
      </c>
      <c r="G522" s="147">
        <v>0</v>
      </c>
      <c r="H522" s="315">
        <v>0</v>
      </c>
      <c r="I522" s="572">
        <f t="shared" si="15"/>
        <v>0</v>
      </c>
    </row>
    <row r="523" spans="2:9" ht="10.5" customHeight="1" x14ac:dyDescent="0.15">
      <c r="B523" s="152" t="s">
        <v>175</v>
      </c>
      <c r="C523" s="115" t="s">
        <v>180</v>
      </c>
      <c r="D523" s="147">
        <v>0</v>
      </c>
      <c r="E523" s="147">
        <v>0</v>
      </c>
      <c r="F523" s="147">
        <v>0</v>
      </c>
      <c r="G523" s="147">
        <v>0</v>
      </c>
      <c r="H523" s="315">
        <v>0</v>
      </c>
      <c r="I523" s="572">
        <f t="shared" si="15"/>
        <v>0</v>
      </c>
    </row>
    <row r="524" spans="2:9" ht="10.5" customHeight="1" thickBot="1" x14ac:dyDescent="0.2">
      <c r="B524" s="152" t="s">
        <v>176</v>
      </c>
      <c r="C524" s="115" t="s">
        <v>181</v>
      </c>
      <c r="D524" s="147">
        <v>0</v>
      </c>
      <c r="E524" s="147">
        <v>0</v>
      </c>
      <c r="F524" s="147">
        <v>0</v>
      </c>
      <c r="G524" s="147">
        <v>0</v>
      </c>
      <c r="H524" s="315">
        <v>0</v>
      </c>
      <c r="I524" s="569">
        <f t="shared" si="15"/>
        <v>0</v>
      </c>
    </row>
    <row r="525" spans="2:9" ht="10.5" customHeight="1" thickTop="1" thickBot="1" x14ac:dyDescent="0.2">
      <c r="B525" s="152"/>
      <c r="C525" s="115" t="s">
        <v>672</v>
      </c>
      <c r="D525" s="169">
        <f>SUM(D495:D524)</f>
        <v>0</v>
      </c>
      <c r="E525" s="169">
        <f>SUM(E495:E524)</f>
        <v>0</v>
      </c>
      <c r="F525" s="169">
        <f>SUM(F495:F524)</f>
        <v>0</v>
      </c>
      <c r="G525" s="169">
        <f>SUM(G495:G524)</f>
        <v>0</v>
      </c>
      <c r="H525" s="169">
        <f>SUM(H495:H524)</f>
        <v>0</v>
      </c>
      <c r="I525" s="304">
        <f>G525+H525</f>
        <v>0</v>
      </c>
    </row>
    <row r="526" spans="2:9" ht="10.5" customHeight="1" thickTop="1" thickBot="1" x14ac:dyDescent="0.2">
      <c r="B526" s="115"/>
      <c r="C526" s="115"/>
      <c r="D526" s="14"/>
      <c r="E526" s="14"/>
      <c r="F526" s="14"/>
      <c r="G526" s="14"/>
      <c r="H526" s="305"/>
      <c r="I526" s="305"/>
    </row>
    <row r="527" spans="2:9" ht="10.5" customHeight="1" thickTop="1" thickBot="1" x14ac:dyDescent="0.2">
      <c r="B527" s="115" t="s">
        <v>1501</v>
      </c>
      <c r="D527" s="169">
        <f>D44+D81+D118+D149+D187+D218+D251+D291+D323+D353+D384+D407+D430+D461+D492+D525</f>
        <v>0</v>
      </c>
      <c r="E527" s="169">
        <f>E44+E81+E118+E149+E187+E218+E251+E291+E323+E353+E384+E407+E430+E461+E492+E525</f>
        <v>0</v>
      </c>
      <c r="F527" s="169">
        <f>F44+F81+F118+F149+F187+F218+F251+F291+F323+F353+F384+F407+F430+F461+F492+F525</f>
        <v>0</v>
      </c>
      <c r="G527" s="169">
        <f>G44+G81+G118+G149+G187+G218+G251+G291+G323+G353+G384+G407+G430+G461+G492+G525</f>
        <v>0</v>
      </c>
      <c r="H527" s="304">
        <f>H44+H81+H118+H149+H187+H218+H251+H291+H323+H353+H384+H407+H430+H461+H492+H525</f>
        <v>0</v>
      </c>
      <c r="I527" s="304">
        <f>G527+H527</f>
        <v>0</v>
      </c>
    </row>
    <row r="528" spans="2:9" ht="10.5" customHeight="1" thickTop="1" thickBot="1" x14ac:dyDescent="0.2">
      <c r="D528" s="159"/>
      <c r="E528" s="159"/>
      <c r="F528" s="159"/>
      <c r="G528" s="159"/>
      <c r="H528" s="306"/>
      <c r="I528" s="306"/>
    </row>
    <row r="529" spans="1:9" ht="10.5" customHeight="1" thickTop="1" thickBot="1" x14ac:dyDescent="0.2">
      <c r="B529" s="35" t="s">
        <v>254</v>
      </c>
      <c r="D529" s="169">
        <f>GenFundExp!D1074+GenFundExp2!D527</f>
        <v>0</v>
      </c>
      <c r="E529" s="169">
        <f>GenFundExp!E1074+GenFundExp2!E527</f>
        <v>0</v>
      </c>
      <c r="F529" s="169">
        <f>GenFundExp!F1074+GenFundExp2!F527</f>
        <v>0</v>
      </c>
      <c r="G529" s="169">
        <f>GenFundExp!G1074+GenFundExp2!G527</f>
        <v>0</v>
      </c>
      <c r="H529" s="304">
        <f>GenFundExp!H1074+GenFundExp2!H527</f>
        <v>0</v>
      </c>
      <c r="I529" s="304">
        <f>G529+H529</f>
        <v>0</v>
      </c>
    </row>
    <row r="530" spans="1:9" ht="10.5" customHeight="1" thickTop="1" x14ac:dyDescent="0.15">
      <c r="D530" s="159"/>
      <c r="E530" s="159"/>
      <c r="F530" s="159"/>
      <c r="G530" s="159"/>
      <c r="H530" s="306"/>
      <c r="I530" s="306"/>
    </row>
    <row r="531" spans="1:9" ht="10.5" customHeight="1" x14ac:dyDescent="0.15">
      <c r="A531" s="40" t="s">
        <v>391</v>
      </c>
      <c r="D531" s="159"/>
      <c r="E531" s="159"/>
      <c r="F531" s="159"/>
      <c r="G531" s="159"/>
      <c r="H531" s="306"/>
      <c r="I531" s="306"/>
    </row>
    <row r="532" spans="1:9" ht="10.5" customHeight="1" x14ac:dyDescent="0.15">
      <c r="A532" s="35" t="s">
        <v>736</v>
      </c>
      <c r="D532" s="147">
        <v>0</v>
      </c>
      <c r="E532" s="147">
        <v>0</v>
      </c>
      <c r="F532" s="147">
        <v>0</v>
      </c>
      <c r="G532" s="147">
        <v>0</v>
      </c>
      <c r="H532" s="315">
        <v>0</v>
      </c>
      <c r="I532" s="572">
        <f>SUM(G532+H532)</f>
        <v>0</v>
      </c>
    </row>
    <row r="533" spans="1:9" ht="10.5" customHeight="1" x14ac:dyDescent="0.15">
      <c r="A533" s="35" t="s">
        <v>728</v>
      </c>
      <c r="C533" s="115"/>
      <c r="I533" s="385"/>
    </row>
    <row r="534" spans="1:9" ht="10.5" customHeight="1" x14ac:dyDescent="0.15">
      <c r="B534" s="160" t="s">
        <v>434</v>
      </c>
      <c r="C534" s="115" t="s">
        <v>413</v>
      </c>
      <c r="D534" s="147">
        <v>0</v>
      </c>
      <c r="E534" s="147">
        <v>0</v>
      </c>
      <c r="F534" s="147">
        <v>0</v>
      </c>
      <c r="G534" s="147">
        <v>0</v>
      </c>
      <c r="H534" s="315">
        <v>0</v>
      </c>
      <c r="I534" s="572">
        <f>SUM(G534+H534)</f>
        <v>0</v>
      </c>
    </row>
    <row r="535" spans="1:9" ht="10.5" customHeight="1" x14ac:dyDescent="0.15">
      <c r="B535" s="160" t="s">
        <v>433</v>
      </c>
      <c r="C535" s="115" t="s">
        <v>414</v>
      </c>
      <c r="D535" s="161">
        <v>0</v>
      </c>
      <c r="E535" s="161">
        <v>0</v>
      </c>
      <c r="F535" s="161">
        <v>0</v>
      </c>
      <c r="G535" s="161">
        <v>0</v>
      </c>
      <c r="H535" s="315">
        <v>0</v>
      </c>
      <c r="I535" s="572">
        <f>SUM(G535+H535)</f>
        <v>0</v>
      </c>
    </row>
    <row r="536" spans="1:9" ht="10.5" customHeight="1" x14ac:dyDescent="0.15">
      <c r="A536" s="18" t="s">
        <v>822</v>
      </c>
      <c r="B536" s="160"/>
      <c r="C536" s="115"/>
      <c r="D536" s="161"/>
      <c r="E536" s="161"/>
      <c r="F536" s="161"/>
      <c r="G536" s="161"/>
      <c r="H536" s="315"/>
      <c r="I536" s="572"/>
    </row>
    <row r="537" spans="1:9" ht="10.5" customHeight="1" thickBot="1" x14ac:dyDescent="0.2">
      <c r="B537" s="160"/>
      <c r="C537" s="658" t="s">
        <v>823</v>
      </c>
      <c r="D537" s="661">
        <f>+GenFundREV!D113+GenFundREV!D117+GenFundREV!D118+GenFundREV!D119</f>
        <v>0</v>
      </c>
      <c r="E537" s="661">
        <f>+GenFundREV!E113+GenFundREV!E117+GenFundREV!E118+GenFundREV!E119</f>
        <v>0</v>
      </c>
      <c r="F537" s="661">
        <f>+GenFundREV!F113+GenFundREV!F117+GenFundREV!F118+GenFundREV!F119</f>
        <v>0</v>
      </c>
      <c r="G537" s="661">
        <f>+GenFundREV!G113+GenFundREV!G117+GenFundREV!G118+GenFundREV!G119</f>
        <v>0</v>
      </c>
      <c r="H537" s="661">
        <f>+GenFundREV!H113+GenFundREV!H117+GenFundREV!H118+GenFundREV!H119</f>
        <v>0</v>
      </c>
      <c r="I537" s="661">
        <f>+GenFundREV!I113+GenFundREV!I117+GenFundREV!I118+GenFundREV!I119</f>
        <v>0</v>
      </c>
    </row>
    <row r="538" spans="1:9" ht="10.5" customHeight="1" thickTop="1" thickBot="1" x14ac:dyDescent="0.2">
      <c r="A538" s="35"/>
      <c r="C538" s="115" t="s">
        <v>1275</v>
      </c>
      <c r="D538" s="173">
        <f>SUM(D532:D537)</f>
        <v>0</v>
      </c>
      <c r="E538" s="173">
        <f>SUM(E532:E537)</f>
        <v>0</v>
      </c>
      <c r="F538" s="173">
        <f>SUM(F532:F537)</f>
        <v>0</v>
      </c>
      <c r="G538" s="173">
        <f>SUM(G532:G537)</f>
        <v>0</v>
      </c>
      <c r="H538" s="321">
        <f>SUM(H532:H537)</f>
        <v>0</v>
      </c>
      <c r="I538" s="321">
        <f>G538+H538</f>
        <v>0</v>
      </c>
    </row>
    <row r="539" spans="1:9" ht="10.5" customHeight="1" thickTop="1" thickBot="1" x14ac:dyDescent="0.2">
      <c r="A539" s="35"/>
      <c r="C539" s="115"/>
      <c r="D539" s="14"/>
      <c r="E539" s="14"/>
      <c r="F539" s="14"/>
      <c r="G539" s="14"/>
      <c r="I539" s="385"/>
    </row>
    <row r="540" spans="1:9" ht="10.5" customHeight="1" thickTop="1" thickBot="1" x14ac:dyDescent="0.2">
      <c r="B540" s="35" t="s">
        <v>729</v>
      </c>
      <c r="D540" s="173">
        <f>D529+D538</f>
        <v>0</v>
      </c>
      <c r="E540" s="173">
        <f>E529+E538</f>
        <v>0</v>
      </c>
      <c r="F540" s="173">
        <f>F529+F538</f>
        <v>0</v>
      </c>
      <c r="G540" s="173">
        <f>G529+G538</f>
        <v>0</v>
      </c>
      <c r="H540" s="321">
        <f>H529+H538</f>
        <v>0</v>
      </c>
      <c r="I540" s="321">
        <f>G540+H540</f>
        <v>0</v>
      </c>
    </row>
    <row r="541" spans="1:9" ht="10.5" customHeight="1" thickTop="1" x14ac:dyDescent="0.15">
      <c r="D541" s="159"/>
      <c r="E541" s="159"/>
      <c r="F541" s="159"/>
      <c r="G541" s="159"/>
      <c r="H541" s="306"/>
      <c r="I541" s="306"/>
    </row>
    <row r="542" spans="1:9" ht="10.5" customHeight="1" x14ac:dyDescent="0.15">
      <c r="A542" s="155" t="s">
        <v>110</v>
      </c>
      <c r="C542" s="210" t="s">
        <v>737</v>
      </c>
      <c r="D542" s="159"/>
      <c r="E542" s="159"/>
      <c r="F542" s="159"/>
      <c r="G542" s="159"/>
      <c r="H542" s="306"/>
      <c r="I542" s="306"/>
    </row>
    <row r="543" spans="1:9" ht="10.5" customHeight="1" x14ac:dyDescent="0.15">
      <c r="A543" s="154" t="s">
        <v>1522</v>
      </c>
      <c r="C543" s="115" t="s">
        <v>1516</v>
      </c>
      <c r="D543" s="41">
        <v>0</v>
      </c>
      <c r="E543" s="41">
        <v>0</v>
      </c>
      <c r="F543" s="41">
        <v>0</v>
      </c>
      <c r="G543" s="41">
        <v>0</v>
      </c>
      <c r="H543" s="315">
        <v>0</v>
      </c>
      <c r="I543" s="572">
        <f t="shared" ref="I543:I549" si="16">SUM(G543+H543)</f>
        <v>0</v>
      </c>
    </row>
    <row r="544" spans="1:9" ht="10.5" customHeight="1" x14ac:dyDescent="0.15">
      <c r="A544" s="154" t="s">
        <v>1523</v>
      </c>
      <c r="C544" s="115" t="s">
        <v>1517</v>
      </c>
      <c r="D544" s="41">
        <v>0</v>
      </c>
      <c r="E544" s="41">
        <v>0</v>
      </c>
      <c r="F544" s="41">
        <v>0</v>
      </c>
      <c r="G544" s="41">
        <v>0</v>
      </c>
      <c r="H544" s="315">
        <v>0</v>
      </c>
      <c r="I544" s="572">
        <f t="shared" si="16"/>
        <v>0</v>
      </c>
    </row>
    <row r="545" spans="1:9" ht="10.5" customHeight="1" x14ac:dyDescent="0.15">
      <c r="A545" s="690">
        <v>9315</v>
      </c>
      <c r="B545" s="309"/>
      <c r="C545" s="312" t="s">
        <v>892</v>
      </c>
      <c r="D545" s="41">
        <v>0</v>
      </c>
      <c r="E545" s="41">
        <v>0</v>
      </c>
      <c r="F545" s="41">
        <v>0</v>
      </c>
      <c r="G545" s="41">
        <v>0</v>
      </c>
      <c r="H545" s="315">
        <v>0</v>
      </c>
      <c r="I545" s="572">
        <f t="shared" si="16"/>
        <v>0</v>
      </c>
    </row>
    <row r="546" spans="1:9" ht="10.5" customHeight="1" x14ac:dyDescent="0.15">
      <c r="A546" s="154" t="s">
        <v>1524</v>
      </c>
      <c r="C546" s="115" t="s">
        <v>1518</v>
      </c>
      <c r="D546" s="41">
        <v>0</v>
      </c>
      <c r="E546" s="41">
        <v>0</v>
      </c>
      <c r="F546" s="41">
        <v>0</v>
      </c>
      <c r="G546" s="41">
        <v>0</v>
      </c>
      <c r="H546" s="315">
        <v>0</v>
      </c>
      <c r="I546" s="572">
        <f t="shared" si="16"/>
        <v>0</v>
      </c>
    </row>
    <row r="547" spans="1:9" ht="10.5" hidden="1" customHeight="1" x14ac:dyDescent="0.15">
      <c r="A547" s="681">
        <v>9330</v>
      </c>
      <c r="B547" s="682"/>
      <c r="C547" s="683" t="s">
        <v>36</v>
      </c>
      <c r="D547" s="41">
        <v>0</v>
      </c>
      <c r="E547" s="41">
        <v>0</v>
      </c>
      <c r="F547" s="41">
        <v>0</v>
      </c>
      <c r="G547" s="41">
        <v>0</v>
      </c>
      <c r="H547" s="315">
        <v>0</v>
      </c>
      <c r="I547" s="572">
        <f t="shared" si="16"/>
        <v>0</v>
      </c>
    </row>
    <row r="548" spans="1:9" ht="10.5" customHeight="1" x14ac:dyDescent="0.15">
      <c r="A548" s="154" t="s">
        <v>1525</v>
      </c>
      <c r="C548" s="115" t="s">
        <v>1519</v>
      </c>
      <c r="D548" s="41">
        <v>0</v>
      </c>
      <c r="E548" s="41">
        <v>0</v>
      </c>
      <c r="F548" s="41">
        <v>0</v>
      </c>
      <c r="G548" s="41">
        <v>0</v>
      </c>
      <c r="H548" s="315">
        <v>0</v>
      </c>
      <c r="I548" s="572">
        <f t="shared" si="16"/>
        <v>0</v>
      </c>
    </row>
    <row r="549" spans="1:9" ht="10.5" customHeight="1" thickBot="1" x14ac:dyDescent="0.2">
      <c r="A549" s="154" t="s">
        <v>1526</v>
      </c>
      <c r="C549" s="115" t="s">
        <v>1520</v>
      </c>
      <c r="D549" s="150">
        <v>0</v>
      </c>
      <c r="E549" s="150">
        <v>0</v>
      </c>
      <c r="F549" s="150">
        <v>0</v>
      </c>
      <c r="G549" s="150">
        <v>0</v>
      </c>
      <c r="H549" s="315">
        <v>0</v>
      </c>
      <c r="I549" s="572">
        <f t="shared" si="16"/>
        <v>0</v>
      </c>
    </row>
    <row r="550" spans="1:9" ht="10.5" customHeight="1" thickTop="1" thickBot="1" x14ac:dyDescent="0.2">
      <c r="A550" s="149"/>
      <c r="C550" s="115" t="s">
        <v>724</v>
      </c>
      <c r="D550" s="169">
        <f>SUM(D543:D549)</f>
        <v>0</v>
      </c>
      <c r="E550" s="169">
        <f>SUM(E543:E549)</f>
        <v>0</v>
      </c>
      <c r="F550" s="169">
        <f>SUM(F543:F549)</f>
        <v>0</v>
      </c>
      <c r="G550" s="169">
        <f>SUM(G543:G549)</f>
        <v>0</v>
      </c>
      <c r="H550" s="304">
        <f>SUM(H543:H549)</f>
        <v>0</v>
      </c>
      <c r="I550" s="304">
        <f>G550+H550</f>
        <v>0</v>
      </c>
    </row>
    <row r="551" spans="1:9" ht="10.5" customHeight="1" thickTop="1" thickBot="1" x14ac:dyDescent="0.2">
      <c r="A551" s="149"/>
      <c r="C551" s="115"/>
      <c r="D551" s="159"/>
      <c r="E551" s="159"/>
      <c r="F551" s="159"/>
      <c r="G551" s="159"/>
      <c r="H551" s="308"/>
      <c r="I551" s="570"/>
    </row>
    <row r="552" spans="1:9" ht="10.5" customHeight="1" thickBot="1" x14ac:dyDescent="0.2">
      <c r="B552" s="35" t="s">
        <v>723</v>
      </c>
      <c r="D552" s="171">
        <f>D540+D550</f>
        <v>0</v>
      </c>
      <c r="E552" s="171">
        <f>E540+E550</f>
        <v>0</v>
      </c>
      <c r="F552" s="171">
        <f>F540+F550</f>
        <v>0</v>
      </c>
      <c r="G552" s="171">
        <f>G540+G550</f>
        <v>0</v>
      </c>
      <c r="H552" s="322">
        <f>H540+H550</f>
        <v>0</v>
      </c>
      <c r="I552" s="322">
        <f>G552+H552</f>
        <v>0</v>
      </c>
    </row>
    <row r="553" spans="1:9" ht="10.5" customHeight="1" x14ac:dyDescent="0.15">
      <c r="A553" s="149"/>
      <c r="C553" s="115" t="s">
        <v>725</v>
      </c>
      <c r="D553" s="159"/>
      <c r="E553" s="159"/>
      <c r="F553" s="159"/>
      <c r="G553" s="159"/>
      <c r="H553" s="308"/>
      <c r="I553" s="570"/>
    </row>
    <row r="554" spans="1:9" ht="10.5" customHeight="1" x14ac:dyDescent="0.15">
      <c r="A554" s="149"/>
      <c r="C554" s="115"/>
      <c r="D554" s="159"/>
      <c r="E554" s="159"/>
      <c r="F554" s="159"/>
      <c r="G554" s="159"/>
      <c r="H554" s="308"/>
      <c r="I554" s="570"/>
    </row>
    <row r="555" spans="1:9" ht="10.5" customHeight="1" x14ac:dyDescent="0.15">
      <c r="C555" s="210" t="s">
        <v>738</v>
      </c>
      <c r="D555" s="159"/>
      <c r="E555" s="159"/>
      <c r="F555" s="159"/>
      <c r="G555" s="159"/>
      <c r="H555" s="308"/>
      <c r="I555" s="570"/>
    </row>
    <row r="556" spans="1:9" x14ac:dyDescent="0.15">
      <c r="A556" s="160" t="s">
        <v>633</v>
      </c>
      <c r="C556" s="197" t="s">
        <v>1504</v>
      </c>
      <c r="D556" s="41">
        <v>0</v>
      </c>
      <c r="E556" s="41">
        <v>0</v>
      </c>
      <c r="F556" s="41">
        <v>0</v>
      </c>
      <c r="G556" s="41">
        <v>0</v>
      </c>
      <c r="H556" s="307">
        <v>0</v>
      </c>
      <c r="I556" s="575">
        <f>G556+H556</f>
        <v>0</v>
      </c>
    </row>
    <row r="557" spans="1:9" ht="10.5" customHeight="1" thickBot="1" x14ac:dyDescent="0.2">
      <c r="C557" s="201" t="s">
        <v>1503</v>
      </c>
      <c r="I557" s="385"/>
    </row>
    <row r="558" spans="1:9" ht="10.5" customHeight="1" thickBot="1" x14ac:dyDescent="0.2">
      <c r="B558" s="35" t="s">
        <v>730</v>
      </c>
      <c r="D558" s="212">
        <f>D552+D556</f>
        <v>0</v>
      </c>
      <c r="E558" s="212">
        <f>E552+E556</f>
        <v>0</v>
      </c>
      <c r="F558" s="212">
        <f>F552+F556</f>
        <v>0</v>
      </c>
      <c r="G558" s="212">
        <f>G552+G556</f>
        <v>0</v>
      </c>
      <c r="H558" s="323">
        <f>H552+H556</f>
        <v>0</v>
      </c>
      <c r="I558" s="323">
        <f>G558+H558</f>
        <v>0</v>
      </c>
    </row>
    <row r="559" spans="1:9" ht="10.5" customHeight="1" thickBot="1" x14ac:dyDescent="0.2">
      <c r="C559" s="115"/>
      <c r="D559" s="159"/>
      <c r="E559" s="159"/>
      <c r="F559" s="159"/>
      <c r="G559" s="159"/>
      <c r="H559" s="308"/>
      <c r="I559" s="570"/>
    </row>
    <row r="560" spans="1:9" ht="10.5" customHeight="1" thickTop="1" thickBot="1" x14ac:dyDescent="0.2">
      <c r="C560" s="172" t="s">
        <v>726</v>
      </c>
      <c r="D560" s="173">
        <f>GenFundREV!D110</f>
        <v>0</v>
      </c>
      <c r="E560" s="173">
        <f>GenFundREV!E110</f>
        <v>0</v>
      </c>
      <c r="F560" s="173">
        <f>GenFundREV!F110</f>
        <v>0</v>
      </c>
      <c r="G560" s="173">
        <f>GenFundREV!G110</f>
        <v>0</v>
      </c>
      <c r="H560" s="321">
        <f>GenFundREV!H110</f>
        <v>0</v>
      </c>
      <c r="I560" s="321">
        <f>G560+H560</f>
        <v>0</v>
      </c>
    </row>
    <row r="561" spans="3:9" ht="10.5" customHeight="1" thickTop="1" x14ac:dyDescent="0.15">
      <c r="D561" s="605"/>
      <c r="E561" s="605"/>
      <c r="F561" s="605"/>
      <c r="G561" s="605"/>
      <c r="H561" s="305"/>
      <c r="I561" s="305"/>
    </row>
    <row r="562" spans="3:9" ht="10.5" customHeight="1" x14ac:dyDescent="0.15">
      <c r="C562" s="172" t="s">
        <v>727</v>
      </c>
      <c r="D562" s="167">
        <f>D558-D560</f>
        <v>0</v>
      </c>
      <c r="E562" s="167">
        <f>E558-E560</f>
        <v>0</v>
      </c>
      <c r="F562" s="167">
        <f>F558-F560</f>
        <v>0</v>
      </c>
      <c r="G562" s="167">
        <f>G558-G560</f>
        <v>0</v>
      </c>
      <c r="H562" s="385">
        <f>H558-H560</f>
        <v>0</v>
      </c>
      <c r="I562" s="385">
        <f>G562+H562</f>
        <v>0</v>
      </c>
    </row>
    <row r="563" spans="3:9" ht="10.5" customHeight="1" x14ac:dyDescent="0.15">
      <c r="I563" s="385"/>
    </row>
    <row r="564" spans="3:9" ht="10.5" customHeight="1" x14ac:dyDescent="0.15">
      <c r="I564" s="385"/>
    </row>
    <row r="565" spans="3:9" ht="10.5" customHeight="1" x14ac:dyDescent="0.15">
      <c r="C565" s="115"/>
    </row>
  </sheetData>
  <sheetProtection password="CB03" sheet="1" formatCells="0" formatColumns="0" formatRows="0"/>
  <phoneticPr fontId="15" type="noConversion"/>
  <pageMargins left="0.75" right="0.75" top="1" bottom="1" header="0.5" footer="0.5"/>
  <pageSetup scale="62" firstPageNumber="19" fitToHeight="0" orientation="portrait" horizontalDpi="300" verticalDpi="300" r:id="rId1"/>
  <headerFooter alignWithMargins="0">
    <oddFooter>&amp;LCDE, Public Scool Finance Unit&amp;C&amp;P&amp;RRevised  March, 2009</oddFooter>
  </headerFooter>
  <rowBreaks count="1" manualBreakCount="1">
    <brk id="299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zoomScaleNormal="100" workbookViewId="0">
      <selection activeCell="H104" sqref="H104"/>
    </sheetView>
  </sheetViews>
  <sheetFormatPr defaultRowHeight="10.5" x14ac:dyDescent="0.15"/>
  <cols>
    <col min="1" max="1" width="10" style="490" customWidth="1"/>
    <col min="2" max="2" width="5" style="424" bestFit="1" customWidth="1"/>
    <col min="3" max="3" width="70.83203125" style="423" customWidth="1"/>
    <col min="4" max="4" width="15.83203125" style="423" customWidth="1"/>
    <col min="5" max="5" width="17.33203125" style="423" customWidth="1"/>
    <col min="6" max="6" width="17.1640625" style="423" customWidth="1"/>
    <col min="7" max="7" width="18.33203125" style="423" customWidth="1"/>
    <col min="8" max="8" width="18.83203125" style="423" customWidth="1"/>
    <col min="9" max="9" width="20.5" style="423" customWidth="1"/>
    <col min="10" max="16384" width="9.33203125" style="423"/>
  </cols>
  <sheetData>
    <row r="1" spans="1:9" x14ac:dyDescent="0.15">
      <c r="A1" s="423" t="s">
        <v>106</v>
      </c>
      <c r="C1" s="425">
        <f>+'Page 1 - FY2013-14'!B5</f>
        <v>0</v>
      </c>
      <c r="D1" s="138" t="s">
        <v>1586</v>
      </c>
      <c r="E1" s="428">
        <f>+'Page 1 - FY2013-14'!F7</f>
        <v>0</v>
      </c>
      <c r="G1" s="485" t="s">
        <v>1588</v>
      </c>
    </row>
    <row r="2" spans="1:9" ht="15.75" x14ac:dyDescent="0.25">
      <c r="A2" s="487" t="s">
        <v>545</v>
      </c>
      <c r="B2" s="488"/>
      <c r="C2" s="489"/>
    </row>
    <row r="3" spans="1:9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6.25" customHeight="1" thickBot="1" x14ac:dyDescent="0.2">
      <c r="D4" s="491"/>
      <c r="E4" s="491"/>
      <c r="F4" s="491"/>
      <c r="G4" s="491"/>
      <c r="H4" s="492" t="s">
        <v>193</v>
      </c>
      <c r="I4" s="251" t="s">
        <v>192</v>
      </c>
    </row>
    <row r="5" spans="1:9" ht="11.25" thickBot="1" x14ac:dyDescent="0.2">
      <c r="A5" s="493" t="s">
        <v>1593</v>
      </c>
      <c r="B5" s="494" t="s">
        <v>1589</v>
      </c>
      <c r="C5" s="495"/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171">
        <f>SUM(G5+H5)</f>
        <v>0</v>
      </c>
    </row>
    <row r="6" spans="1:9" x14ac:dyDescent="0.15">
      <c r="A6" s="496" t="s">
        <v>1592</v>
      </c>
      <c r="B6" s="497" t="s">
        <v>1594</v>
      </c>
      <c r="D6" s="498"/>
      <c r="E6" s="498"/>
      <c r="F6" s="498"/>
      <c r="G6" s="498"/>
      <c r="H6" s="498"/>
      <c r="I6" s="159"/>
    </row>
    <row r="7" spans="1:9" x14ac:dyDescent="0.15">
      <c r="A7" s="425" t="s">
        <v>1595</v>
      </c>
      <c r="B7" s="499" t="s">
        <v>1159</v>
      </c>
      <c r="C7" s="138" t="s">
        <v>256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564">
        <f t="shared" ref="I7:I43" si="0">SUM(G7+H7)</f>
        <v>0</v>
      </c>
    </row>
    <row r="8" spans="1:9" x14ac:dyDescent="0.15">
      <c r="A8" s="425" t="s">
        <v>1596</v>
      </c>
      <c r="B8" s="499" t="s">
        <v>1160</v>
      </c>
      <c r="C8" s="138" t="s">
        <v>257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 t="shared" si="0"/>
        <v>0</v>
      </c>
    </row>
    <row r="9" spans="1:9" x14ac:dyDescent="0.15">
      <c r="A9" s="425" t="s">
        <v>1597</v>
      </c>
      <c r="B9" s="499" t="s">
        <v>1161</v>
      </c>
      <c r="C9" s="138" t="s">
        <v>258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si="0"/>
        <v>0</v>
      </c>
    </row>
    <row r="10" spans="1:9" x14ac:dyDescent="0.15">
      <c r="A10" s="425" t="s">
        <v>1598</v>
      </c>
      <c r="B10" s="499" t="s">
        <v>1228</v>
      </c>
      <c r="C10" s="138" t="s">
        <v>558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425" t="s">
        <v>255</v>
      </c>
      <c r="B11" s="499" t="s">
        <v>1229</v>
      </c>
      <c r="C11" s="138" t="s">
        <v>559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425" t="s">
        <v>1599</v>
      </c>
      <c r="B12" s="499" t="s">
        <v>1230</v>
      </c>
      <c r="C12" s="138" t="s">
        <v>560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425" t="s">
        <v>1600</v>
      </c>
      <c r="B13" s="499" t="s">
        <v>1231</v>
      </c>
      <c r="C13" s="138" t="s">
        <v>561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425" t="s">
        <v>599</v>
      </c>
      <c r="B14" s="499" t="s">
        <v>1232</v>
      </c>
      <c r="C14" s="138" t="s">
        <v>604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425" t="s">
        <v>600</v>
      </c>
      <c r="B15" s="499" t="s">
        <v>1240</v>
      </c>
      <c r="C15" s="138" t="s">
        <v>613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425" t="s">
        <v>601</v>
      </c>
      <c r="B16" s="499" t="s">
        <v>1244</v>
      </c>
      <c r="C16" s="138" t="s">
        <v>605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425" t="s">
        <v>602</v>
      </c>
      <c r="B17" s="499" t="s">
        <v>1245</v>
      </c>
      <c r="C17" s="138" t="s">
        <v>606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A18" s="425" t="s">
        <v>603</v>
      </c>
      <c r="B18" s="499" t="s">
        <v>1241</v>
      </c>
      <c r="C18" s="138" t="s">
        <v>607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x14ac:dyDescent="0.15">
      <c r="A19" s="500" t="s">
        <v>701</v>
      </c>
      <c r="B19" s="499" t="s">
        <v>1242</v>
      </c>
      <c r="C19" s="138" t="s">
        <v>608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9" x14ac:dyDescent="0.15">
      <c r="A20" s="425" t="s">
        <v>609</v>
      </c>
      <c r="B20" s="499" t="s">
        <v>1247</v>
      </c>
      <c r="C20" s="138" t="s">
        <v>442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9" x14ac:dyDescent="0.15">
      <c r="A21" s="425" t="s">
        <v>610</v>
      </c>
      <c r="B21" s="499" t="s">
        <v>1248</v>
      </c>
      <c r="C21" s="138" t="s">
        <v>611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564">
        <f t="shared" si="0"/>
        <v>0</v>
      </c>
    </row>
    <row r="22" spans="1:9" x14ac:dyDescent="0.15">
      <c r="A22" s="425" t="s">
        <v>612</v>
      </c>
      <c r="B22" s="499" t="s">
        <v>1249</v>
      </c>
      <c r="C22" s="138" t="s">
        <v>528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564">
        <f t="shared" si="0"/>
        <v>0</v>
      </c>
    </row>
    <row r="23" spans="1:9" x14ac:dyDescent="0.15">
      <c r="A23" s="425" t="s">
        <v>614</v>
      </c>
      <c r="B23" s="499" t="s">
        <v>1250</v>
      </c>
      <c r="C23" s="138" t="s">
        <v>521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si="0"/>
        <v>0</v>
      </c>
    </row>
    <row r="24" spans="1:9" x14ac:dyDescent="0.15">
      <c r="A24" s="425" t="s">
        <v>522</v>
      </c>
      <c r="B24" s="499" t="s">
        <v>1251</v>
      </c>
      <c r="C24" s="138" t="s">
        <v>523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si="0"/>
        <v>0</v>
      </c>
    </row>
    <row r="25" spans="1:9" x14ac:dyDescent="0.15">
      <c r="A25" s="425" t="s">
        <v>524</v>
      </c>
      <c r="B25" s="499" t="s">
        <v>1252</v>
      </c>
      <c r="C25" s="138" t="s">
        <v>525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0"/>
        <v>0</v>
      </c>
    </row>
    <row r="26" spans="1:9" x14ac:dyDescent="0.15">
      <c r="A26" s="425" t="s">
        <v>526</v>
      </c>
      <c r="B26" s="499" t="s">
        <v>1253</v>
      </c>
      <c r="C26" s="138" t="s">
        <v>527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0"/>
        <v>0</v>
      </c>
    </row>
    <row r="27" spans="1:9" x14ac:dyDescent="0.15">
      <c r="A27" s="425" t="s">
        <v>1602</v>
      </c>
      <c r="B27" s="499" t="s">
        <v>1254</v>
      </c>
      <c r="C27" s="138" t="s">
        <v>443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0"/>
        <v>0</v>
      </c>
    </row>
    <row r="28" spans="1:9" x14ac:dyDescent="0.15">
      <c r="A28" s="425" t="s">
        <v>529</v>
      </c>
      <c r="B28" s="499" t="s">
        <v>1255</v>
      </c>
      <c r="C28" s="138" t="s">
        <v>530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0"/>
        <v>0</v>
      </c>
    </row>
    <row r="29" spans="1:9" x14ac:dyDescent="0.15">
      <c r="A29" s="425" t="s">
        <v>113</v>
      </c>
      <c r="B29" s="499" t="s">
        <v>1260</v>
      </c>
      <c r="C29" s="138" t="s">
        <v>531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0"/>
        <v>0</v>
      </c>
    </row>
    <row r="30" spans="1:9" x14ac:dyDescent="0.15">
      <c r="A30" s="425" t="s">
        <v>532</v>
      </c>
      <c r="B30" s="499" t="s">
        <v>1261</v>
      </c>
      <c r="C30" s="138" t="s">
        <v>533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0"/>
        <v>0</v>
      </c>
    </row>
    <row r="31" spans="1:9" x14ac:dyDescent="0.15">
      <c r="A31" s="425">
        <v>1800</v>
      </c>
      <c r="B31" s="499" t="s">
        <v>1262</v>
      </c>
      <c r="C31" s="138" t="s">
        <v>444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0"/>
        <v>0</v>
      </c>
    </row>
    <row r="32" spans="1:9" x14ac:dyDescent="0.15">
      <c r="A32" s="425">
        <v>1850</v>
      </c>
      <c r="B32" s="499" t="s">
        <v>1263</v>
      </c>
      <c r="C32" s="138" t="s">
        <v>445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0"/>
        <v>0</v>
      </c>
    </row>
    <row r="33" spans="1:9" x14ac:dyDescent="0.15">
      <c r="A33" s="425" t="s">
        <v>577</v>
      </c>
      <c r="B33" s="499" t="s">
        <v>1266</v>
      </c>
      <c r="C33" s="138" t="s">
        <v>578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0"/>
        <v>0</v>
      </c>
    </row>
    <row r="34" spans="1:9" x14ac:dyDescent="0.15">
      <c r="A34" s="500" t="s">
        <v>505</v>
      </c>
      <c r="B34" s="499" t="s">
        <v>1267</v>
      </c>
      <c r="C34" s="138" t="s">
        <v>508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0"/>
        <v>0</v>
      </c>
    </row>
    <row r="35" spans="1:9" x14ac:dyDescent="0.15">
      <c r="A35" s="500" t="s">
        <v>506</v>
      </c>
      <c r="B35" s="499" t="s">
        <v>1268</v>
      </c>
      <c r="C35" s="138" t="s">
        <v>509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0"/>
        <v>0</v>
      </c>
    </row>
    <row r="36" spans="1:9" x14ac:dyDescent="0.15">
      <c r="A36" s="500" t="s">
        <v>507</v>
      </c>
      <c r="B36" s="499" t="s">
        <v>1269</v>
      </c>
      <c r="C36" s="138" t="s">
        <v>512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si="0"/>
        <v>0</v>
      </c>
    </row>
    <row r="37" spans="1:9" x14ac:dyDescent="0.15">
      <c r="A37" s="425" t="s">
        <v>1603</v>
      </c>
      <c r="B37" s="499" t="s">
        <v>1270</v>
      </c>
      <c r="C37" s="138" t="s">
        <v>446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0"/>
        <v>0</v>
      </c>
    </row>
    <row r="38" spans="1:9" x14ac:dyDescent="0.15">
      <c r="A38" s="500" t="s">
        <v>756</v>
      </c>
      <c r="B38" s="499" t="s">
        <v>1271</v>
      </c>
      <c r="C38" s="138" t="s">
        <v>447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0"/>
        <v>0</v>
      </c>
    </row>
    <row r="39" spans="1:9" x14ac:dyDescent="0.15">
      <c r="A39" s="500" t="s">
        <v>757</v>
      </c>
      <c r="B39" s="499" t="s">
        <v>1272</v>
      </c>
      <c r="C39" s="138" t="s">
        <v>448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0"/>
        <v>0</v>
      </c>
    </row>
    <row r="40" spans="1:9" x14ac:dyDescent="0.15">
      <c r="A40" s="500" t="s">
        <v>513</v>
      </c>
      <c r="B40" s="499" t="s">
        <v>1273</v>
      </c>
      <c r="C40" s="138" t="s">
        <v>514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0"/>
        <v>0</v>
      </c>
    </row>
    <row r="41" spans="1:9" x14ac:dyDescent="0.15">
      <c r="A41" s="500" t="s">
        <v>758</v>
      </c>
      <c r="B41" s="499" t="s">
        <v>1274</v>
      </c>
      <c r="C41" s="138" t="s">
        <v>449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0"/>
        <v>0</v>
      </c>
    </row>
    <row r="42" spans="1:9" x14ac:dyDescent="0.15">
      <c r="A42" s="425" t="s">
        <v>1604</v>
      </c>
      <c r="B42" s="499" t="s">
        <v>252</v>
      </c>
      <c r="C42" s="138" t="s">
        <v>450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0"/>
        <v>0</v>
      </c>
    </row>
    <row r="43" spans="1:9" x14ac:dyDescent="0.15">
      <c r="B43" s="499" t="s">
        <v>253</v>
      </c>
      <c r="C43" s="138" t="s">
        <v>702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0"/>
        <v>0</v>
      </c>
    </row>
    <row r="44" spans="1:9" ht="11.25" thickBot="1" x14ac:dyDescent="0.2">
      <c r="B44" s="501"/>
      <c r="C44" s="138"/>
      <c r="D44" s="14"/>
      <c r="E44" s="14"/>
      <c r="F44" s="14"/>
      <c r="G44" s="14"/>
      <c r="H44" s="14"/>
      <c r="I44" s="563"/>
    </row>
    <row r="45" spans="1:9" ht="12" thickTop="1" thickBot="1" x14ac:dyDescent="0.2">
      <c r="B45" s="502" t="s">
        <v>1276</v>
      </c>
      <c r="C45" s="138" t="s">
        <v>516</v>
      </c>
      <c r="D45" s="169">
        <f t="shared" ref="D45:I45" si="1">SUM(D7:D43)</f>
        <v>0</v>
      </c>
      <c r="E45" s="169">
        <f t="shared" si="1"/>
        <v>0</v>
      </c>
      <c r="F45" s="169">
        <f t="shared" si="1"/>
        <v>0</v>
      </c>
      <c r="G45" s="169">
        <f t="shared" si="1"/>
        <v>0</v>
      </c>
      <c r="H45" s="169">
        <f t="shared" si="1"/>
        <v>0</v>
      </c>
      <c r="I45" s="169">
        <f t="shared" si="1"/>
        <v>0</v>
      </c>
    </row>
    <row r="46" spans="1:9" ht="11.25" thickTop="1" x14ac:dyDescent="0.15">
      <c r="B46" s="501"/>
      <c r="C46" s="138"/>
      <c r="D46" s="198"/>
      <c r="E46" s="198"/>
      <c r="F46" s="198"/>
      <c r="G46" s="198"/>
      <c r="I46" s="167"/>
    </row>
    <row r="47" spans="1:9" ht="11.25" thickBot="1" x14ac:dyDescent="0.2">
      <c r="B47" s="497" t="s">
        <v>94</v>
      </c>
      <c r="D47" s="498"/>
      <c r="E47" s="498"/>
      <c r="F47" s="498"/>
      <c r="G47" s="498"/>
      <c r="H47" s="498"/>
      <c r="I47" s="159"/>
    </row>
    <row r="48" spans="1:9" ht="12" thickTop="1" thickBot="1" x14ac:dyDescent="0.2">
      <c r="A48" s="425" t="s">
        <v>95</v>
      </c>
      <c r="B48" s="502" t="s">
        <v>1277</v>
      </c>
      <c r="C48" s="138" t="s">
        <v>451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169">
        <f>SUM(G48+H48)</f>
        <v>0</v>
      </c>
    </row>
    <row r="49" spans="1:9" ht="11.25" thickTop="1" x14ac:dyDescent="0.15">
      <c r="A49" s="425"/>
      <c r="B49" s="501"/>
      <c r="C49" s="138"/>
      <c r="D49" s="14"/>
      <c r="E49" s="14"/>
      <c r="F49" s="14"/>
      <c r="G49" s="14"/>
      <c r="I49" s="167"/>
    </row>
    <row r="50" spans="1:9" x14ac:dyDescent="0.15">
      <c r="B50" s="497" t="s">
        <v>96</v>
      </c>
      <c r="D50" s="498"/>
      <c r="E50" s="498"/>
      <c r="F50" s="498"/>
      <c r="G50" s="498"/>
      <c r="H50" s="498"/>
      <c r="I50" s="159"/>
    </row>
    <row r="51" spans="1:9" x14ac:dyDescent="0.15">
      <c r="A51" s="425" t="s">
        <v>97</v>
      </c>
      <c r="B51" s="502" t="s">
        <v>1278</v>
      </c>
      <c r="C51" s="138" t="s">
        <v>452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564">
        <f t="shared" ref="I51:I72" si="2">SUM(G51+H51)</f>
        <v>0</v>
      </c>
    </row>
    <row r="52" spans="1:9" x14ac:dyDescent="0.15">
      <c r="A52" s="500" t="s">
        <v>759</v>
      </c>
      <c r="B52" s="502" t="s">
        <v>1279</v>
      </c>
      <c r="C52" s="138" t="s">
        <v>453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 t="shared" si="2"/>
        <v>0</v>
      </c>
    </row>
    <row r="53" spans="1:9" x14ac:dyDescent="0.15">
      <c r="A53" s="500" t="s">
        <v>760</v>
      </c>
      <c r="B53" s="499" t="s">
        <v>1280</v>
      </c>
      <c r="C53" s="138" t="s">
        <v>454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 t="shared" si="2"/>
        <v>0</v>
      </c>
    </row>
    <row r="54" spans="1:9" x14ac:dyDescent="0.15">
      <c r="A54" s="425" t="s">
        <v>579</v>
      </c>
      <c r="B54" s="499" t="s">
        <v>1281</v>
      </c>
      <c r="C54" s="138" t="s">
        <v>581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 t="shared" si="2"/>
        <v>0</v>
      </c>
    </row>
    <row r="55" spans="1:9" x14ac:dyDescent="0.15">
      <c r="A55" s="425" t="s">
        <v>580</v>
      </c>
      <c r="B55" s="499" t="s">
        <v>1282</v>
      </c>
      <c r="C55" s="138" t="s">
        <v>582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564">
        <f t="shared" si="2"/>
        <v>0</v>
      </c>
    </row>
    <row r="56" spans="1:9" x14ac:dyDescent="0.15">
      <c r="A56" s="425" t="s">
        <v>534</v>
      </c>
      <c r="B56" s="499" t="s">
        <v>1287</v>
      </c>
      <c r="C56" s="138" t="s">
        <v>535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564">
        <f t="shared" si="2"/>
        <v>0</v>
      </c>
    </row>
    <row r="57" spans="1:9" x14ac:dyDescent="0.15">
      <c r="A57" s="425" t="s">
        <v>98</v>
      </c>
      <c r="B57" s="499" t="s">
        <v>1288</v>
      </c>
      <c r="C57" s="138" t="s">
        <v>455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564">
        <f t="shared" si="2"/>
        <v>0</v>
      </c>
    </row>
    <row r="58" spans="1:9" x14ac:dyDescent="0.15">
      <c r="A58" s="425" t="s">
        <v>99</v>
      </c>
      <c r="B58" s="499" t="s">
        <v>1289</v>
      </c>
      <c r="C58" s="138" t="s">
        <v>456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564">
        <f t="shared" si="2"/>
        <v>0</v>
      </c>
    </row>
    <row r="59" spans="1:9" x14ac:dyDescent="0.15">
      <c r="A59" s="425" t="s">
        <v>100</v>
      </c>
      <c r="B59" s="499" t="s">
        <v>1290</v>
      </c>
      <c r="C59" s="138" t="s">
        <v>457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564">
        <f t="shared" si="2"/>
        <v>0</v>
      </c>
    </row>
    <row r="60" spans="1:9" x14ac:dyDescent="0.15">
      <c r="A60" s="425" t="s">
        <v>101</v>
      </c>
      <c r="B60" s="499" t="s">
        <v>1291</v>
      </c>
      <c r="C60" s="138" t="s">
        <v>458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564">
        <f t="shared" si="2"/>
        <v>0</v>
      </c>
    </row>
    <row r="61" spans="1:9" x14ac:dyDescent="0.15">
      <c r="A61" s="425" t="s">
        <v>102</v>
      </c>
      <c r="B61" s="499" t="s">
        <v>1292</v>
      </c>
      <c r="C61" s="138" t="s">
        <v>459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564">
        <f t="shared" si="2"/>
        <v>0</v>
      </c>
    </row>
    <row r="62" spans="1:9" x14ac:dyDescent="0.15">
      <c r="A62" s="425" t="s">
        <v>597</v>
      </c>
      <c r="B62" s="503" t="s">
        <v>1293</v>
      </c>
      <c r="C62" s="138" t="s">
        <v>598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564">
        <f t="shared" si="2"/>
        <v>0</v>
      </c>
    </row>
    <row r="63" spans="1:9" x14ac:dyDescent="0.15">
      <c r="A63" s="500" t="s">
        <v>761</v>
      </c>
      <c r="B63" s="499" t="s">
        <v>1294</v>
      </c>
      <c r="C63" s="138" t="s">
        <v>460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564">
        <f t="shared" si="2"/>
        <v>0</v>
      </c>
    </row>
    <row r="64" spans="1:9" x14ac:dyDescent="0.15">
      <c r="A64" s="425" t="s">
        <v>583</v>
      </c>
      <c r="B64" s="499" t="s">
        <v>1295</v>
      </c>
      <c r="C64" s="138" t="s">
        <v>584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564">
        <f t="shared" si="2"/>
        <v>0</v>
      </c>
    </row>
    <row r="65" spans="1:9" x14ac:dyDescent="0.15">
      <c r="A65" s="504" t="s">
        <v>114</v>
      </c>
      <c r="B65" s="499" t="s">
        <v>1296</v>
      </c>
      <c r="C65" s="138" t="s">
        <v>1345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564">
        <f t="shared" si="2"/>
        <v>0</v>
      </c>
    </row>
    <row r="66" spans="1:9" x14ac:dyDescent="0.15">
      <c r="A66" s="425" t="s">
        <v>103</v>
      </c>
      <c r="B66" s="499" t="s">
        <v>1297</v>
      </c>
      <c r="C66" s="138" t="s">
        <v>116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564">
        <f t="shared" si="2"/>
        <v>0</v>
      </c>
    </row>
    <row r="67" spans="1:9" x14ac:dyDescent="0.15">
      <c r="A67" s="425" t="s">
        <v>585</v>
      </c>
      <c r="B67" s="499" t="s">
        <v>1298</v>
      </c>
      <c r="C67" s="138" t="s">
        <v>586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564">
        <f t="shared" si="2"/>
        <v>0</v>
      </c>
    </row>
    <row r="68" spans="1:9" x14ac:dyDescent="0.15">
      <c r="A68" s="425" t="s">
        <v>587</v>
      </c>
      <c r="B68" s="505" t="s">
        <v>1299</v>
      </c>
      <c r="C68" s="138" t="s">
        <v>589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564">
        <f t="shared" si="2"/>
        <v>0</v>
      </c>
    </row>
    <row r="69" spans="1:9" x14ac:dyDescent="0.15">
      <c r="A69" s="500" t="s">
        <v>762</v>
      </c>
      <c r="B69" s="499" t="s">
        <v>1300</v>
      </c>
      <c r="C69" s="138" t="s">
        <v>461</v>
      </c>
      <c r="D69" s="41">
        <v>0</v>
      </c>
      <c r="E69" s="41">
        <v>0</v>
      </c>
      <c r="F69" s="41">
        <v>0</v>
      </c>
      <c r="G69" s="41">
        <v>0</v>
      </c>
      <c r="H69" s="41">
        <v>0</v>
      </c>
      <c r="I69" s="564">
        <f t="shared" si="2"/>
        <v>0</v>
      </c>
    </row>
    <row r="70" spans="1:9" x14ac:dyDescent="0.15">
      <c r="A70" s="500" t="s">
        <v>763</v>
      </c>
      <c r="B70" s="499" t="s">
        <v>1301</v>
      </c>
      <c r="C70" s="138" t="s">
        <v>462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564">
        <f t="shared" si="2"/>
        <v>0</v>
      </c>
    </row>
    <row r="71" spans="1:9" x14ac:dyDescent="0.15">
      <c r="A71" s="500" t="s">
        <v>515</v>
      </c>
      <c r="B71" s="499" t="s">
        <v>1302</v>
      </c>
      <c r="C71" s="138" t="s">
        <v>519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564">
        <f t="shared" si="2"/>
        <v>0</v>
      </c>
    </row>
    <row r="72" spans="1:9" ht="11.25" thickBot="1" x14ac:dyDescent="0.2">
      <c r="A72" s="500" t="s">
        <v>764</v>
      </c>
      <c r="B72" s="499" t="s">
        <v>1303</v>
      </c>
      <c r="C72" s="138" t="s">
        <v>572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578">
        <f t="shared" si="2"/>
        <v>0</v>
      </c>
    </row>
    <row r="73" spans="1:9" ht="12" thickTop="1" thickBot="1" x14ac:dyDescent="0.2">
      <c r="A73" s="500"/>
      <c r="B73" s="501"/>
      <c r="C73" s="138"/>
      <c r="D73" s="199"/>
      <c r="E73" s="199"/>
      <c r="F73" s="199"/>
      <c r="G73" s="199"/>
      <c r="H73" s="199"/>
      <c r="I73" s="576"/>
    </row>
    <row r="74" spans="1:9" ht="12" thickTop="1" thickBot="1" x14ac:dyDescent="0.2">
      <c r="B74" s="499" t="s">
        <v>1304</v>
      </c>
      <c r="C74" s="138" t="s">
        <v>517</v>
      </c>
      <c r="D74" s="173">
        <f t="shared" ref="D74:I74" si="3">SUM(D51:D72)</f>
        <v>0</v>
      </c>
      <c r="E74" s="577">
        <f t="shared" si="3"/>
        <v>0</v>
      </c>
      <c r="F74" s="577">
        <f t="shared" si="3"/>
        <v>0</v>
      </c>
      <c r="G74" s="577">
        <f t="shared" si="3"/>
        <v>0</v>
      </c>
      <c r="H74" s="577">
        <f t="shared" si="3"/>
        <v>0</v>
      </c>
      <c r="I74" s="577">
        <f t="shared" si="3"/>
        <v>0</v>
      </c>
    </row>
    <row r="75" spans="1:9" ht="11.25" thickTop="1" x14ac:dyDescent="0.15">
      <c r="B75" s="506"/>
      <c r="C75" s="138"/>
      <c r="D75" s="198"/>
      <c r="E75" s="198"/>
      <c r="F75" s="198"/>
      <c r="G75" s="198"/>
      <c r="H75" s="198"/>
      <c r="I75" s="170"/>
    </row>
    <row r="76" spans="1:9" x14ac:dyDescent="0.15">
      <c r="B76" s="501"/>
      <c r="C76" s="507" t="s">
        <v>104</v>
      </c>
      <c r="I76" s="167"/>
    </row>
    <row r="77" spans="1:9" x14ac:dyDescent="0.15">
      <c r="A77" s="490" t="s">
        <v>389</v>
      </c>
      <c r="B77" s="499" t="s">
        <v>1305</v>
      </c>
      <c r="C77" s="138" t="s">
        <v>679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564">
        <f t="shared" ref="I77:I87" si="4">SUM(G77+H77)</f>
        <v>0</v>
      </c>
    </row>
    <row r="78" spans="1:9" x14ac:dyDescent="0.15">
      <c r="A78" s="504" t="s">
        <v>682</v>
      </c>
      <c r="B78" s="499" t="s">
        <v>1306</v>
      </c>
      <c r="C78" s="138" t="s">
        <v>680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564">
        <f t="shared" si="4"/>
        <v>0</v>
      </c>
    </row>
    <row r="79" spans="1:9" x14ac:dyDescent="0.15">
      <c r="A79" s="504" t="s">
        <v>683</v>
      </c>
      <c r="B79" s="499" t="s">
        <v>1307</v>
      </c>
      <c r="C79" s="138" t="s">
        <v>681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564">
        <f t="shared" si="4"/>
        <v>0</v>
      </c>
    </row>
    <row r="80" spans="1:9" x14ac:dyDescent="0.15">
      <c r="A80" s="490" t="s">
        <v>590</v>
      </c>
      <c r="B80" s="499" t="s">
        <v>1308</v>
      </c>
      <c r="C80" s="138" t="s">
        <v>591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564">
        <f t="shared" si="4"/>
        <v>0</v>
      </c>
    </row>
    <row r="81" spans="1:9" x14ac:dyDescent="0.15">
      <c r="A81" s="490" t="s">
        <v>592</v>
      </c>
      <c r="B81" s="499" t="s">
        <v>1309</v>
      </c>
      <c r="C81" s="138" t="s">
        <v>593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564">
        <f t="shared" si="4"/>
        <v>0</v>
      </c>
    </row>
    <row r="82" spans="1:9" x14ac:dyDescent="0.15">
      <c r="A82" s="504" t="s">
        <v>518</v>
      </c>
      <c r="B82" s="499" t="s">
        <v>1310</v>
      </c>
      <c r="C82" s="138" t="s">
        <v>520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564">
        <f t="shared" si="4"/>
        <v>0</v>
      </c>
    </row>
    <row r="83" spans="1:9" x14ac:dyDescent="0.15">
      <c r="A83" s="490" t="s">
        <v>594</v>
      </c>
      <c r="B83" s="499" t="s">
        <v>1311</v>
      </c>
      <c r="C83" s="138" t="s">
        <v>595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564">
        <f t="shared" si="4"/>
        <v>0</v>
      </c>
    </row>
    <row r="84" spans="1:9" x14ac:dyDescent="0.15">
      <c r="B84" s="508" t="s">
        <v>1312</v>
      </c>
      <c r="C84" s="138" t="s">
        <v>573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564">
        <f t="shared" si="4"/>
        <v>0</v>
      </c>
    </row>
    <row r="85" spans="1:9" x14ac:dyDescent="0.15">
      <c r="B85" s="508" t="s">
        <v>1313</v>
      </c>
      <c r="C85" s="138" t="s">
        <v>455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564">
        <f t="shared" si="4"/>
        <v>0</v>
      </c>
    </row>
    <row r="86" spans="1:9" x14ac:dyDescent="0.15">
      <c r="B86" s="499" t="s">
        <v>1314</v>
      </c>
      <c r="C86" s="138" t="s">
        <v>574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564">
        <f t="shared" si="4"/>
        <v>0</v>
      </c>
    </row>
    <row r="87" spans="1:9" x14ac:dyDescent="0.15">
      <c r="B87" s="499" t="s">
        <v>1315</v>
      </c>
      <c r="C87" s="138" t="s">
        <v>575</v>
      </c>
      <c r="D87" s="41">
        <v>0</v>
      </c>
      <c r="E87" s="41">
        <v>0</v>
      </c>
      <c r="F87" s="41">
        <v>0</v>
      </c>
      <c r="G87" s="41">
        <v>0</v>
      </c>
      <c r="H87" s="41">
        <v>0</v>
      </c>
      <c r="I87" s="564">
        <f t="shared" si="4"/>
        <v>0</v>
      </c>
    </row>
    <row r="88" spans="1:9" ht="11.25" thickBot="1" x14ac:dyDescent="0.2">
      <c r="B88" s="501"/>
      <c r="C88" s="138"/>
      <c r="D88" s="14"/>
      <c r="E88" s="14"/>
      <c r="F88" s="14"/>
      <c r="G88" s="14"/>
      <c r="H88" s="14"/>
      <c r="I88" s="563"/>
    </row>
    <row r="89" spans="1:9" ht="12" thickTop="1" thickBot="1" x14ac:dyDescent="0.2">
      <c r="B89" s="499" t="s">
        <v>1316</v>
      </c>
      <c r="C89" s="138" t="s">
        <v>394</v>
      </c>
      <c r="D89" s="169">
        <f t="shared" ref="D89:I89" si="5">SUM(D77:D87)</f>
        <v>0</v>
      </c>
      <c r="E89" s="169">
        <f t="shared" si="5"/>
        <v>0</v>
      </c>
      <c r="F89" s="169">
        <f t="shared" si="5"/>
        <v>0</v>
      </c>
      <c r="G89" s="169">
        <f t="shared" si="5"/>
        <v>0</v>
      </c>
      <c r="H89" s="169">
        <f t="shared" si="5"/>
        <v>0</v>
      </c>
      <c r="I89" s="169">
        <f t="shared" si="5"/>
        <v>0</v>
      </c>
    </row>
    <row r="90" spans="1:9" ht="11.25" thickTop="1" x14ac:dyDescent="0.15">
      <c r="B90" s="501"/>
      <c r="C90" s="138"/>
      <c r="D90" s="198"/>
      <c r="E90" s="198"/>
      <c r="F90" s="198"/>
      <c r="G90" s="198"/>
      <c r="H90" s="198"/>
      <c r="I90" s="170"/>
    </row>
    <row r="91" spans="1:9" x14ac:dyDescent="0.15">
      <c r="B91" s="501"/>
      <c r="C91" s="507" t="s">
        <v>831</v>
      </c>
      <c r="D91" s="498"/>
      <c r="E91" s="498"/>
      <c r="F91" s="498"/>
      <c r="G91" s="498"/>
      <c r="H91" s="498"/>
      <c r="I91" s="159"/>
    </row>
    <row r="92" spans="1:9" x14ac:dyDescent="0.15">
      <c r="A92" s="425" t="s">
        <v>105</v>
      </c>
      <c r="B92" s="499" t="s">
        <v>1317</v>
      </c>
      <c r="C92" s="2" t="s">
        <v>1033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564">
        <f>SUM(G92+H92)</f>
        <v>0</v>
      </c>
    </row>
    <row r="93" spans="1:9" x14ac:dyDescent="0.15">
      <c r="A93" s="425" t="s">
        <v>537</v>
      </c>
      <c r="B93" s="499" t="s">
        <v>1318</v>
      </c>
      <c r="C93" s="138" t="s">
        <v>538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564">
        <f>SUM(G93+H93)</f>
        <v>0</v>
      </c>
    </row>
    <row r="94" spans="1:9" x14ac:dyDescent="0.15">
      <c r="A94" s="425" t="s">
        <v>536</v>
      </c>
      <c r="B94" s="499" t="s">
        <v>1319</v>
      </c>
      <c r="C94" s="138" t="s">
        <v>115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564">
        <f>SUM(G94+H94)</f>
        <v>0</v>
      </c>
    </row>
    <row r="95" spans="1:9" ht="11.25" thickBot="1" x14ac:dyDescent="0.2">
      <c r="A95" s="490" t="s">
        <v>596</v>
      </c>
      <c r="B95" s="499" t="s">
        <v>1320</v>
      </c>
      <c r="C95" s="138" t="s">
        <v>576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564">
        <f>SUM(G95+H95)</f>
        <v>0</v>
      </c>
    </row>
    <row r="96" spans="1:9" ht="12" thickTop="1" thickBot="1" x14ac:dyDescent="0.2">
      <c r="B96" s="499" t="s">
        <v>796</v>
      </c>
      <c r="C96" s="138" t="s">
        <v>395</v>
      </c>
      <c r="D96" s="169">
        <f t="shared" ref="D96:I96" si="6">SUM(D92:D95)</f>
        <v>0</v>
      </c>
      <c r="E96" s="169">
        <f t="shared" si="6"/>
        <v>0</v>
      </c>
      <c r="F96" s="169">
        <f t="shared" si="6"/>
        <v>0</v>
      </c>
      <c r="G96" s="169">
        <f t="shared" si="6"/>
        <v>0</v>
      </c>
      <c r="H96" s="169">
        <f t="shared" si="6"/>
        <v>0</v>
      </c>
      <c r="I96" s="169">
        <f t="shared" si="6"/>
        <v>0</v>
      </c>
    </row>
    <row r="97" spans="1:9" ht="12" thickTop="1" thickBot="1" x14ac:dyDescent="0.2">
      <c r="B97" s="501"/>
      <c r="C97" s="138"/>
      <c r="D97" s="198"/>
      <c r="E97" s="198"/>
      <c r="F97" s="198"/>
      <c r="G97" s="198"/>
      <c r="H97" s="198"/>
      <c r="I97" s="170"/>
    </row>
    <row r="98" spans="1:9" ht="22.5" thickTop="1" thickBot="1" x14ac:dyDescent="0.2">
      <c r="B98" s="499" t="s">
        <v>805</v>
      </c>
      <c r="C98" s="510" t="s">
        <v>396</v>
      </c>
      <c r="D98" s="169">
        <f t="shared" ref="D98:I98" si="7">SUM(D45+D48+D74+D89+D96)</f>
        <v>0</v>
      </c>
      <c r="E98" s="169">
        <f t="shared" si="7"/>
        <v>0</v>
      </c>
      <c r="F98" s="169">
        <f t="shared" si="7"/>
        <v>0</v>
      </c>
      <c r="G98" s="169">
        <f t="shared" si="7"/>
        <v>0</v>
      </c>
      <c r="H98" s="169">
        <f t="shared" si="7"/>
        <v>0</v>
      </c>
      <c r="I98" s="169">
        <f t="shared" si="7"/>
        <v>0</v>
      </c>
    </row>
    <row r="99" spans="1:9" ht="12" thickTop="1" thickBot="1" x14ac:dyDescent="0.2">
      <c r="B99" s="501"/>
      <c r="C99" s="138"/>
      <c r="D99" s="198"/>
      <c r="E99" s="198"/>
      <c r="F99" s="198"/>
      <c r="G99" s="198"/>
      <c r="H99" s="198"/>
      <c r="I99" s="170"/>
    </row>
    <row r="100" spans="1:9" ht="22.5" thickTop="1" thickBot="1" x14ac:dyDescent="0.2">
      <c r="B100" s="499" t="s">
        <v>398</v>
      </c>
      <c r="C100" s="510" t="s">
        <v>397</v>
      </c>
      <c r="D100" s="169">
        <f t="shared" ref="D100:I100" si="8">D98+D5</f>
        <v>0</v>
      </c>
      <c r="E100" s="169">
        <f t="shared" si="8"/>
        <v>0</v>
      </c>
      <c r="F100" s="169">
        <f t="shared" si="8"/>
        <v>0</v>
      </c>
      <c r="G100" s="169">
        <f t="shared" si="8"/>
        <v>0</v>
      </c>
      <c r="H100" s="169">
        <f t="shared" si="8"/>
        <v>0</v>
      </c>
      <c r="I100" s="169">
        <f t="shared" si="8"/>
        <v>0</v>
      </c>
    </row>
    <row r="101" spans="1:9" ht="11.25" thickTop="1" x14ac:dyDescent="0.15">
      <c r="B101" s="501"/>
      <c r="C101" s="138" t="s">
        <v>47</v>
      </c>
      <c r="D101" s="198"/>
      <c r="E101" s="198"/>
      <c r="F101" s="198"/>
      <c r="G101" s="198"/>
      <c r="H101" s="198"/>
      <c r="I101" s="170"/>
    </row>
    <row r="102" spans="1:9" x14ac:dyDescent="0.15">
      <c r="A102" s="504" t="s">
        <v>765</v>
      </c>
      <c r="B102" s="511" t="s">
        <v>399</v>
      </c>
      <c r="C102" s="651" t="s">
        <v>1225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564">
        <f>SUM(G102+H102)</f>
        <v>0</v>
      </c>
    </row>
    <row r="103" spans="1:9" x14ac:dyDescent="0.15">
      <c r="A103" s="504" t="s">
        <v>1514</v>
      </c>
      <c r="B103" s="511" t="s">
        <v>400</v>
      </c>
      <c r="C103" s="138" t="s">
        <v>48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564">
        <f>SUM(G103+H103)</f>
        <v>0</v>
      </c>
    </row>
    <row r="104" spans="1:9" x14ac:dyDescent="0.15">
      <c r="A104" s="504" t="s">
        <v>684</v>
      </c>
      <c r="B104" s="511" t="s">
        <v>401</v>
      </c>
      <c r="C104" s="138" t="s">
        <v>264</v>
      </c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564">
        <f>SUM(G104+H104)</f>
        <v>0</v>
      </c>
    </row>
    <row r="105" spans="1:9" ht="11.25" thickBot="1" x14ac:dyDescent="0.2">
      <c r="A105" s="504"/>
      <c r="B105" s="499"/>
      <c r="C105" s="138"/>
      <c r="D105" s="14"/>
      <c r="E105" s="14"/>
      <c r="F105" s="14"/>
      <c r="G105" s="14"/>
      <c r="H105" s="14"/>
      <c r="I105" s="563"/>
    </row>
    <row r="106" spans="1:9" ht="12" thickTop="1" thickBot="1" x14ac:dyDescent="0.2">
      <c r="A106" s="504"/>
      <c r="B106" s="511" t="s">
        <v>402</v>
      </c>
      <c r="C106" s="138" t="s">
        <v>404</v>
      </c>
      <c r="D106" s="169">
        <f t="shared" ref="D106:I106" si="9">SUM(D102:D104)</f>
        <v>0</v>
      </c>
      <c r="E106" s="169">
        <f t="shared" si="9"/>
        <v>0</v>
      </c>
      <c r="F106" s="169">
        <f t="shared" si="9"/>
        <v>0</v>
      </c>
      <c r="G106" s="169">
        <f t="shared" si="9"/>
        <v>0</v>
      </c>
      <c r="H106" s="169">
        <f t="shared" si="9"/>
        <v>0</v>
      </c>
      <c r="I106" s="169">
        <f t="shared" si="9"/>
        <v>0</v>
      </c>
    </row>
    <row r="107" spans="1:9" ht="12" thickTop="1" thickBot="1" x14ac:dyDescent="0.2">
      <c r="A107" s="504"/>
      <c r="B107" s="501"/>
      <c r="C107" s="138"/>
      <c r="D107" s="14"/>
      <c r="E107" s="14"/>
      <c r="F107" s="14"/>
      <c r="G107" s="14"/>
      <c r="H107" s="14"/>
      <c r="I107" s="563"/>
    </row>
    <row r="108" spans="1:9" ht="11.25" thickBot="1" x14ac:dyDescent="0.2">
      <c r="B108" s="511" t="s">
        <v>403</v>
      </c>
      <c r="C108" s="512" t="s">
        <v>405</v>
      </c>
      <c r="D108" s="171">
        <f t="shared" ref="D108:I108" si="10">D100-D106</f>
        <v>0</v>
      </c>
      <c r="E108" s="171">
        <f t="shared" si="10"/>
        <v>0</v>
      </c>
      <c r="F108" s="171">
        <f t="shared" si="10"/>
        <v>0</v>
      </c>
      <c r="G108" s="171">
        <f t="shared" si="10"/>
        <v>0</v>
      </c>
      <c r="H108" s="171">
        <f t="shared" si="10"/>
        <v>0</v>
      </c>
      <c r="I108" s="171">
        <f t="shared" si="10"/>
        <v>0</v>
      </c>
    </row>
    <row r="109" spans="1:9" x14ac:dyDescent="0.15">
      <c r="I109" s="167"/>
    </row>
    <row r="110" spans="1:9" x14ac:dyDescent="0.15">
      <c r="A110" s="660" t="s">
        <v>824</v>
      </c>
      <c r="C110" s="495" t="s">
        <v>816</v>
      </c>
      <c r="I110" s="179"/>
    </row>
    <row r="111" spans="1:9" x14ac:dyDescent="0.15">
      <c r="A111" s="436" t="s">
        <v>105</v>
      </c>
      <c r="B111" s="499" t="s">
        <v>818</v>
      </c>
      <c r="C111" s="2" t="s">
        <v>827</v>
      </c>
      <c r="D111" s="41">
        <v>0</v>
      </c>
      <c r="E111" s="41">
        <v>0</v>
      </c>
      <c r="F111" s="41">
        <v>0</v>
      </c>
      <c r="G111" s="41">
        <v>0</v>
      </c>
      <c r="H111" s="534">
        <v>0</v>
      </c>
      <c r="I111" s="535">
        <f>SUM(G111+H111)</f>
        <v>0</v>
      </c>
    </row>
    <row r="113" spans="1:9" x14ac:dyDescent="0.15">
      <c r="A113" s="660" t="s">
        <v>825</v>
      </c>
      <c r="C113" s="495" t="s">
        <v>817</v>
      </c>
    </row>
    <row r="114" spans="1:9" x14ac:dyDescent="0.15">
      <c r="A114" s="660"/>
      <c r="C114" s="423" t="s">
        <v>0</v>
      </c>
    </row>
    <row r="115" spans="1:9" x14ac:dyDescent="0.15">
      <c r="A115" s="689" t="s">
        <v>765</v>
      </c>
      <c r="B115" s="511" t="s">
        <v>819</v>
      </c>
      <c r="C115" s="651" t="s">
        <v>1225</v>
      </c>
      <c r="D115" s="41">
        <v>0</v>
      </c>
      <c r="E115" s="41">
        <v>0</v>
      </c>
      <c r="F115" s="41">
        <v>0</v>
      </c>
      <c r="G115" s="41">
        <v>0</v>
      </c>
      <c r="H115" s="532">
        <v>0</v>
      </c>
      <c r="I115" s="535">
        <f>SUM(G115+H115)</f>
        <v>0</v>
      </c>
    </row>
    <row r="116" spans="1:9" x14ac:dyDescent="0.15">
      <c r="A116" s="691" t="s">
        <v>1514</v>
      </c>
      <c r="B116" s="675" t="s">
        <v>820</v>
      </c>
      <c r="C116" s="651" t="s">
        <v>1210</v>
      </c>
      <c r="D116" s="664">
        <v>0</v>
      </c>
      <c r="E116" s="664">
        <v>0</v>
      </c>
      <c r="F116" s="664">
        <v>0</v>
      </c>
      <c r="G116" s="664">
        <v>0</v>
      </c>
      <c r="H116" s="676">
        <v>0</v>
      </c>
      <c r="I116" s="529">
        <f>SUM(G116+H116)</f>
        <v>0</v>
      </c>
    </row>
    <row r="117" spans="1:9" x14ac:dyDescent="0.15">
      <c r="A117" s="689" t="s">
        <v>684</v>
      </c>
      <c r="B117" s="511" t="s">
        <v>821</v>
      </c>
      <c r="C117" s="138" t="s">
        <v>189</v>
      </c>
      <c r="D117" s="41">
        <v>0</v>
      </c>
      <c r="E117" s="41">
        <v>0</v>
      </c>
      <c r="F117" s="41">
        <v>0</v>
      </c>
      <c r="G117" s="41">
        <v>0</v>
      </c>
      <c r="H117" s="532">
        <v>0</v>
      </c>
      <c r="I117" s="535">
        <f>SUM(G117+H117)</f>
        <v>0</v>
      </c>
    </row>
    <row r="119" spans="1:9" x14ac:dyDescent="0.15">
      <c r="B119" s="423" t="s">
        <v>856</v>
      </c>
    </row>
    <row r="121" spans="1:9" x14ac:dyDescent="0.15">
      <c r="A121" s="662" t="s">
        <v>828</v>
      </c>
      <c r="B121" s="424" t="s">
        <v>829</v>
      </c>
    </row>
  </sheetData>
  <sheetProtection formatCells="0" formatColumns="0" formatRows="0"/>
  <phoneticPr fontId="15" type="noConversion"/>
  <pageMargins left="0.75" right="0.75" top="1" bottom="1" header="0.5" footer="0.5"/>
  <pageSetup scale="58" orientation="portrait" r:id="rId1"/>
  <headerFooter alignWithMargins="0">
    <oddFooter>&amp;LCDE, Public School Finance Unit&amp;C&amp;P&amp;RRevised, March 2009</oddFooter>
  </headerFooter>
  <rowBreaks count="1" manualBreakCount="1">
    <brk id="8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5"/>
  <sheetViews>
    <sheetView zoomScaleNormal="100" workbookViewId="0">
      <selection activeCell="E1066" sqref="E1066"/>
    </sheetView>
  </sheetViews>
  <sheetFormatPr defaultRowHeight="10.5" x14ac:dyDescent="0.15"/>
  <cols>
    <col min="1" max="1" width="4.83203125" style="423" customWidth="1"/>
    <col min="2" max="2" width="17.5" style="423" customWidth="1"/>
    <col min="3" max="3" width="58.33203125" style="423" customWidth="1"/>
    <col min="4" max="4" width="15.83203125" style="423" customWidth="1"/>
    <col min="5" max="5" width="17" style="423" customWidth="1"/>
    <col min="6" max="6" width="17.33203125" style="423" customWidth="1"/>
    <col min="7" max="7" width="18.33203125" style="423" customWidth="1"/>
    <col min="8" max="8" width="20.33203125" style="423" customWidth="1"/>
    <col min="9" max="9" width="21.1640625" style="423" customWidth="1"/>
    <col min="10" max="16384" width="9.33203125" style="423"/>
  </cols>
  <sheetData>
    <row r="1" spans="1:10" x14ac:dyDescent="0.15">
      <c r="A1" s="423" t="s">
        <v>106</v>
      </c>
      <c r="C1" s="138">
        <f>+'Page 1 - FY2013-14'!B5</f>
        <v>0</v>
      </c>
      <c r="D1" s="423" t="s">
        <v>1586</v>
      </c>
      <c r="E1" s="428">
        <f>+'Page 1 - FY2013-14'!F7</f>
        <v>0</v>
      </c>
      <c r="G1" s="485" t="s">
        <v>1588</v>
      </c>
    </row>
    <row r="2" spans="1:10" ht="12.75" x14ac:dyDescent="0.2">
      <c r="A2" s="514" t="s">
        <v>546</v>
      </c>
      <c r="B2" s="515"/>
      <c r="H2" s="485"/>
      <c r="I2" s="485"/>
    </row>
    <row r="3" spans="1:10" x14ac:dyDescent="0.15">
      <c r="A3" s="515"/>
      <c r="B3" s="515"/>
      <c r="G3" s="485"/>
      <c r="H3" s="485"/>
      <c r="I3" s="485"/>
    </row>
    <row r="4" spans="1:10" ht="35.25" customHeight="1" x14ac:dyDescent="0.15">
      <c r="A4" s="515"/>
      <c r="B4" s="515"/>
      <c r="D4" s="686" t="s">
        <v>1701</v>
      </c>
      <c r="E4" s="686" t="s">
        <v>1700</v>
      </c>
      <c r="F4" s="686" t="s">
        <v>1699</v>
      </c>
      <c r="G4" s="686" t="s">
        <v>1698</v>
      </c>
      <c r="H4" s="686" t="s">
        <v>1696</v>
      </c>
      <c r="I4" s="686" t="s">
        <v>1697</v>
      </c>
    </row>
    <row r="5" spans="1:10" ht="54.75" customHeight="1" x14ac:dyDescent="0.15">
      <c r="A5" s="515"/>
      <c r="B5" s="515"/>
      <c r="D5" s="491"/>
      <c r="E5" s="491"/>
      <c r="F5" s="491"/>
      <c r="G5" s="491"/>
      <c r="H5" s="492" t="s">
        <v>193</v>
      </c>
      <c r="I5" s="492" t="s">
        <v>192</v>
      </c>
    </row>
    <row r="6" spans="1:10" x14ac:dyDescent="0.15">
      <c r="A6" s="515"/>
      <c r="B6" s="515"/>
      <c r="G6" s="485"/>
      <c r="H6" s="485"/>
      <c r="I6" s="485"/>
    </row>
    <row r="7" spans="1:10" x14ac:dyDescent="0.15">
      <c r="A7" s="515"/>
      <c r="B7" s="515"/>
      <c r="G7" s="485"/>
      <c r="H7" s="485"/>
      <c r="I7" s="485"/>
    </row>
    <row r="8" spans="1:10" x14ac:dyDescent="0.15">
      <c r="A8" s="507" t="s">
        <v>117</v>
      </c>
      <c r="D8" s="516"/>
      <c r="E8" s="516"/>
      <c r="F8" s="516"/>
      <c r="G8" s="516"/>
    </row>
    <row r="9" spans="1:10" s="518" customFormat="1" x14ac:dyDescent="0.15">
      <c r="B9" s="519" t="s">
        <v>739</v>
      </c>
      <c r="D9" s="146"/>
      <c r="E9" s="146"/>
      <c r="F9" s="146"/>
      <c r="G9" s="145"/>
      <c r="I9" s="530"/>
    </row>
    <row r="10" spans="1:10" x14ac:dyDescent="0.15">
      <c r="A10" s="512" t="s">
        <v>69</v>
      </c>
      <c r="I10" s="167"/>
    </row>
    <row r="11" spans="1:10" s="434" customFormat="1" x14ac:dyDescent="0.15">
      <c r="B11" s="523" t="s">
        <v>1577</v>
      </c>
      <c r="C11" s="524" t="s">
        <v>228</v>
      </c>
      <c r="D11" s="316">
        <v>0</v>
      </c>
      <c r="E11" s="316">
        <v>0</v>
      </c>
      <c r="F11" s="316">
        <v>0</v>
      </c>
      <c r="G11" s="528">
        <f t="array" ref="G11">SUM(IF(CertFund&amp;CertProg&amp;CertObj=RIGHT(LEFT($A$2,7),2)&amp;LEFT(A10,4)&amp;B11,CertSalary))</f>
        <v>0</v>
      </c>
      <c r="H11" s="527">
        <v>0</v>
      </c>
      <c r="I11" s="566">
        <f>SUM(G11+H11)</f>
        <v>0</v>
      </c>
    </row>
    <row r="12" spans="1:10" s="434" customFormat="1" x14ac:dyDescent="0.15">
      <c r="B12" s="523" t="s">
        <v>1577</v>
      </c>
      <c r="C12" s="524" t="s">
        <v>510</v>
      </c>
      <c r="D12" s="316">
        <v>0</v>
      </c>
      <c r="E12" s="316">
        <v>0</v>
      </c>
      <c r="F12" s="316">
        <v>0</v>
      </c>
      <c r="G12" s="316">
        <v>0</v>
      </c>
      <c r="H12" s="527">
        <v>0</v>
      </c>
      <c r="I12" s="566">
        <f>SUM(G12+H12)</f>
        <v>0</v>
      </c>
    </row>
    <row r="13" spans="1:10" s="434" customFormat="1" x14ac:dyDescent="0.15">
      <c r="A13" s="524"/>
      <c r="B13" s="523" t="s">
        <v>1578</v>
      </c>
      <c r="C13" s="524" t="s">
        <v>936</v>
      </c>
      <c r="D13" s="316">
        <v>0</v>
      </c>
      <c r="E13" s="316">
        <v>0</v>
      </c>
      <c r="F13" s="316">
        <v>0</v>
      </c>
      <c r="G13" s="529">
        <f t="array" ref="G13">SUM(IF(CertFund&amp;CertProg&amp;CertObj=RIGHT(LEFT($A$2,7),2)&amp;LEFT(A10,4)&amp;B11,CertBen))</f>
        <v>0</v>
      </c>
      <c r="H13" s="527">
        <v>0</v>
      </c>
      <c r="I13" s="566">
        <f>SUM(G13+H13)</f>
        <v>0</v>
      </c>
    </row>
    <row r="14" spans="1:10" x14ac:dyDescent="0.15">
      <c r="A14" s="138"/>
      <c r="B14" s="521" t="s">
        <v>1578</v>
      </c>
      <c r="C14" s="138" t="s">
        <v>511</v>
      </c>
      <c r="D14" s="147">
        <v>0</v>
      </c>
      <c r="E14" s="147">
        <v>0</v>
      </c>
      <c r="F14" s="147">
        <v>0</v>
      </c>
      <c r="G14" s="147">
        <v>0</v>
      </c>
      <c r="H14" s="150">
        <v>0</v>
      </c>
      <c r="I14" s="567">
        <f>SUM(G14+H14)</f>
        <v>0</v>
      </c>
      <c r="J14" s="434"/>
    </row>
    <row r="15" spans="1:10" x14ac:dyDescent="0.15">
      <c r="A15" s="138"/>
      <c r="B15" s="521" t="s">
        <v>1579</v>
      </c>
      <c r="C15" s="138" t="s">
        <v>118</v>
      </c>
      <c r="D15" s="147">
        <v>0</v>
      </c>
      <c r="E15" s="147">
        <v>0</v>
      </c>
      <c r="F15" s="147">
        <v>0</v>
      </c>
      <c r="G15" s="291">
        <v>0</v>
      </c>
      <c r="H15" s="150">
        <v>0</v>
      </c>
      <c r="I15" s="567">
        <f t="shared" ref="I15:I44" si="0">SUM(G15+H15)</f>
        <v>0</v>
      </c>
    </row>
    <row r="16" spans="1:10" x14ac:dyDescent="0.15">
      <c r="A16" s="138"/>
      <c r="B16" s="521" t="s">
        <v>1580</v>
      </c>
      <c r="C16" s="138" t="s">
        <v>119</v>
      </c>
      <c r="D16" s="147">
        <v>0</v>
      </c>
      <c r="E16" s="147">
        <v>0</v>
      </c>
      <c r="F16" s="147">
        <v>0</v>
      </c>
      <c r="G16" s="291">
        <v>0</v>
      </c>
      <c r="H16" s="150">
        <v>0</v>
      </c>
      <c r="I16" s="567">
        <f t="shared" si="0"/>
        <v>0</v>
      </c>
    </row>
    <row r="17" spans="1:9" x14ac:dyDescent="0.15">
      <c r="A17" s="138"/>
      <c r="B17" s="521" t="s">
        <v>120</v>
      </c>
      <c r="C17" s="138" t="s">
        <v>121</v>
      </c>
      <c r="D17" s="147">
        <v>0</v>
      </c>
      <c r="E17" s="147">
        <v>0</v>
      </c>
      <c r="F17" s="147">
        <v>0</v>
      </c>
      <c r="G17" s="291">
        <v>0</v>
      </c>
      <c r="H17" s="150">
        <v>0</v>
      </c>
      <c r="I17" s="567">
        <f t="shared" si="0"/>
        <v>0</v>
      </c>
    </row>
    <row r="18" spans="1:9" x14ac:dyDescent="0.15">
      <c r="A18" s="138"/>
      <c r="B18" s="521" t="s">
        <v>122</v>
      </c>
      <c r="C18" s="138" t="s">
        <v>123</v>
      </c>
      <c r="D18" s="147">
        <v>0</v>
      </c>
      <c r="E18" s="147">
        <v>0</v>
      </c>
      <c r="F18" s="147">
        <v>0</v>
      </c>
      <c r="G18" s="291">
        <v>0</v>
      </c>
      <c r="H18" s="150">
        <v>0</v>
      </c>
      <c r="I18" s="567">
        <f t="shared" si="0"/>
        <v>0</v>
      </c>
    </row>
    <row r="19" spans="1:9" x14ac:dyDescent="0.15">
      <c r="A19" s="138"/>
      <c r="B19" s="521" t="s">
        <v>1581</v>
      </c>
      <c r="C19" s="138" t="s">
        <v>124</v>
      </c>
      <c r="D19" s="147">
        <v>0</v>
      </c>
      <c r="E19" s="147">
        <v>0</v>
      </c>
      <c r="F19" s="147">
        <v>0</v>
      </c>
      <c r="G19" s="291">
        <v>0</v>
      </c>
      <c r="H19" s="150">
        <v>0</v>
      </c>
      <c r="I19" s="567">
        <f t="shared" si="0"/>
        <v>0</v>
      </c>
    </row>
    <row r="20" spans="1:9" x14ac:dyDescent="0.15">
      <c r="A20" s="138"/>
      <c r="B20" s="521" t="s">
        <v>127</v>
      </c>
      <c r="C20" s="138" t="s">
        <v>134</v>
      </c>
      <c r="D20" s="147">
        <v>0</v>
      </c>
      <c r="E20" s="147">
        <v>0</v>
      </c>
      <c r="F20" s="147">
        <v>0</v>
      </c>
      <c r="G20" s="291">
        <v>0</v>
      </c>
      <c r="H20" s="150">
        <v>0</v>
      </c>
      <c r="I20" s="567">
        <f t="shared" si="0"/>
        <v>0</v>
      </c>
    </row>
    <row r="21" spans="1:9" x14ac:dyDescent="0.15">
      <c r="A21" s="138"/>
      <c r="B21" s="521" t="s">
        <v>132</v>
      </c>
      <c r="C21" s="138" t="s">
        <v>1617</v>
      </c>
      <c r="D21" s="147">
        <v>0</v>
      </c>
      <c r="E21" s="147">
        <v>0</v>
      </c>
      <c r="F21" s="147">
        <v>0</v>
      </c>
      <c r="G21" s="291">
        <v>0</v>
      </c>
      <c r="H21" s="150">
        <v>0</v>
      </c>
      <c r="I21" s="567">
        <f t="shared" si="0"/>
        <v>0</v>
      </c>
    </row>
    <row r="22" spans="1:9" x14ac:dyDescent="0.15">
      <c r="A22" s="138"/>
      <c r="B22" s="521" t="s">
        <v>1618</v>
      </c>
      <c r="C22" s="138" t="s">
        <v>836</v>
      </c>
      <c r="D22" s="147">
        <v>0</v>
      </c>
      <c r="E22" s="147">
        <v>0</v>
      </c>
      <c r="F22" s="147">
        <v>0</v>
      </c>
      <c r="G22" s="291">
        <v>0</v>
      </c>
      <c r="H22" s="150">
        <v>0</v>
      </c>
      <c r="I22" s="567">
        <f t="shared" si="0"/>
        <v>0</v>
      </c>
    </row>
    <row r="23" spans="1:9" x14ac:dyDescent="0.15">
      <c r="A23" s="138"/>
      <c r="B23" s="521" t="s">
        <v>1619</v>
      </c>
      <c r="C23" s="138" t="s">
        <v>185</v>
      </c>
      <c r="D23" s="147">
        <v>0</v>
      </c>
      <c r="E23" s="147">
        <v>0</v>
      </c>
      <c r="F23" s="147">
        <v>0</v>
      </c>
      <c r="G23" s="291">
        <v>0</v>
      </c>
      <c r="H23" s="150">
        <v>0</v>
      </c>
      <c r="I23" s="567">
        <f t="shared" si="0"/>
        <v>0</v>
      </c>
    </row>
    <row r="24" spans="1:9" x14ac:dyDescent="0.15">
      <c r="A24" s="138"/>
      <c r="B24" s="521" t="s">
        <v>1620</v>
      </c>
      <c r="C24" s="138" t="s">
        <v>838</v>
      </c>
      <c r="D24" s="147">
        <v>0</v>
      </c>
      <c r="E24" s="147">
        <v>0</v>
      </c>
      <c r="F24" s="147">
        <v>0</v>
      </c>
      <c r="G24" s="291">
        <v>0</v>
      </c>
      <c r="H24" s="150">
        <v>0</v>
      </c>
      <c r="I24" s="567">
        <f t="shared" si="0"/>
        <v>0</v>
      </c>
    </row>
    <row r="25" spans="1:9" x14ac:dyDescent="0.15">
      <c r="A25" s="138"/>
      <c r="B25" s="521" t="s">
        <v>1621</v>
      </c>
      <c r="C25" s="138" t="s">
        <v>839</v>
      </c>
      <c r="D25" s="147">
        <v>0</v>
      </c>
      <c r="E25" s="147">
        <v>0</v>
      </c>
      <c r="F25" s="147">
        <v>0</v>
      </c>
      <c r="G25" s="291">
        <v>0</v>
      </c>
      <c r="H25" s="150">
        <v>0</v>
      </c>
      <c r="I25" s="567">
        <f t="shared" si="0"/>
        <v>0</v>
      </c>
    </row>
    <row r="26" spans="1:9" x14ac:dyDescent="0.15">
      <c r="A26" s="138"/>
      <c r="B26" s="521" t="s">
        <v>1622</v>
      </c>
      <c r="C26" s="138" t="s">
        <v>190</v>
      </c>
      <c r="D26" s="147">
        <v>0</v>
      </c>
      <c r="E26" s="147">
        <v>0</v>
      </c>
      <c r="F26" s="147">
        <v>0</v>
      </c>
      <c r="G26" s="291">
        <v>0</v>
      </c>
      <c r="H26" s="150">
        <v>0</v>
      </c>
      <c r="I26" s="567">
        <f t="shared" si="0"/>
        <v>0</v>
      </c>
    </row>
    <row r="27" spans="1:9" x14ac:dyDescent="0.15">
      <c r="A27" s="138"/>
      <c r="B27" s="521" t="s">
        <v>1623</v>
      </c>
      <c r="C27" s="138" t="s">
        <v>191</v>
      </c>
      <c r="D27" s="147">
        <v>0</v>
      </c>
      <c r="E27" s="147">
        <v>0</v>
      </c>
      <c r="F27" s="147">
        <v>0</v>
      </c>
      <c r="G27" s="291">
        <v>0</v>
      </c>
      <c r="H27" s="150">
        <v>0</v>
      </c>
      <c r="I27" s="567">
        <f t="shared" si="0"/>
        <v>0</v>
      </c>
    </row>
    <row r="28" spans="1:9" x14ac:dyDescent="0.15">
      <c r="A28" s="138"/>
      <c r="B28" s="521" t="s">
        <v>1624</v>
      </c>
      <c r="C28" s="138" t="s">
        <v>840</v>
      </c>
      <c r="D28" s="147">
        <v>0</v>
      </c>
      <c r="E28" s="147">
        <v>0</v>
      </c>
      <c r="F28" s="147">
        <v>0</v>
      </c>
      <c r="G28" s="291">
        <v>0</v>
      </c>
      <c r="H28" s="150">
        <v>0</v>
      </c>
      <c r="I28" s="567">
        <f t="shared" si="0"/>
        <v>0</v>
      </c>
    </row>
    <row r="29" spans="1:9" x14ac:dyDescent="0.15">
      <c r="A29" s="138"/>
      <c r="B29" s="521" t="s">
        <v>1625</v>
      </c>
      <c r="C29" s="138" t="s">
        <v>842</v>
      </c>
      <c r="D29" s="147">
        <v>0</v>
      </c>
      <c r="E29" s="147">
        <v>0</v>
      </c>
      <c r="F29" s="147">
        <v>0</v>
      </c>
      <c r="G29" s="291">
        <v>0</v>
      </c>
      <c r="H29" s="150">
        <v>0</v>
      </c>
      <c r="I29" s="567">
        <f t="shared" si="0"/>
        <v>0</v>
      </c>
    </row>
    <row r="30" spans="1:9" x14ac:dyDescent="0.15">
      <c r="A30" s="138"/>
      <c r="B30" s="521" t="s">
        <v>843</v>
      </c>
      <c r="C30" s="138" t="s">
        <v>848</v>
      </c>
      <c r="D30" s="147">
        <v>0</v>
      </c>
      <c r="E30" s="147">
        <v>0</v>
      </c>
      <c r="F30" s="147">
        <v>0</v>
      </c>
      <c r="G30" s="291">
        <v>0</v>
      </c>
      <c r="H30" s="150">
        <v>0</v>
      </c>
      <c r="I30" s="567">
        <f t="shared" si="0"/>
        <v>0</v>
      </c>
    </row>
    <row r="31" spans="1:9" x14ac:dyDescent="0.15">
      <c r="A31" s="138"/>
      <c r="B31" s="521" t="s">
        <v>844</v>
      </c>
      <c r="C31" s="138" t="s">
        <v>186</v>
      </c>
      <c r="D31" s="147">
        <v>0</v>
      </c>
      <c r="E31" s="147">
        <v>0</v>
      </c>
      <c r="F31" s="147">
        <v>0</v>
      </c>
      <c r="G31" s="291">
        <v>0</v>
      </c>
      <c r="H31" s="150">
        <v>0</v>
      </c>
      <c r="I31" s="567">
        <f t="shared" si="0"/>
        <v>0</v>
      </c>
    </row>
    <row r="32" spans="1:9" x14ac:dyDescent="0.15">
      <c r="A32" s="138"/>
      <c r="B32" s="521" t="s">
        <v>845</v>
      </c>
      <c r="C32" s="138" t="s">
        <v>154</v>
      </c>
      <c r="D32" s="147">
        <v>0</v>
      </c>
      <c r="E32" s="147">
        <v>0</v>
      </c>
      <c r="F32" s="147">
        <v>0</v>
      </c>
      <c r="G32" s="291">
        <v>0</v>
      </c>
      <c r="H32" s="150">
        <v>0</v>
      </c>
      <c r="I32" s="567">
        <f t="shared" si="0"/>
        <v>0</v>
      </c>
    </row>
    <row r="33" spans="1:9" x14ac:dyDescent="0.15">
      <c r="A33" s="138"/>
      <c r="B33" s="521" t="s">
        <v>846</v>
      </c>
      <c r="C33" s="138" t="s">
        <v>155</v>
      </c>
      <c r="D33" s="147">
        <v>0</v>
      </c>
      <c r="E33" s="147">
        <v>0</v>
      </c>
      <c r="F33" s="147">
        <v>0</v>
      </c>
      <c r="G33" s="291">
        <v>0</v>
      </c>
      <c r="H33" s="150">
        <v>0</v>
      </c>
      <c r="I33" s="567">
        <f t="shared" si="0"/>
        <v>0</v>
      </c>
    </row>
    <row r="34" spans="1:9" x14ac:dyDescent="0.15">
      <c r="A34" s="138"/>
      <c r="B34" s="521" t="s">
        <v>1582</v>
      </c>
      <c r="C34" s="138" t="s">
        <v>156</v>
      </c>
      <c r="D34" s="147">
        <v>0</v>
      </c>
      <c r="E34" s="147">
        <v>0</v>
      </c>
      <c r="F34" s="147">
        <v>0</v>
      </c>
      <c r="G34" s="291">
        <v>0</v>
      </c>
      <c r="H34" s="150">
        <v>0</v>
      </c>
      <c r="I34" s="567">
        <f t="shared" si="0"/>
        <v>0</v>
      </c>
    </row>
    <row r="35" spans="1:9" x14ac:dyDescent="0.15">
      <c r="A35" s="138"/>
      <c r="B35" s="521" t="s">
        <v>847</v>
      </c>
      <c r="C35" s="138" t="s">
        <v>157</v>
      </c>
      <c r="D35" s="147">
        <v>0</v>
      </c>
      <c r="E35" s="147">
        <v>0</v>
      </c>
      <c r="F35" s="147">
        <v>0</v>
      </c>
      <c r="G35" s="291">
        <v>0</v>
      </c>
      <c r="H35" s="150">
        <v>0</v>
      </c>
      <c r="I35" s="567">
        <f t="shared" si="0"/>
        <v>0</v>
      </c>
    </row>
    <row r="36" spans="1:9" x14ac:dyDescent="0.15">
      <c r="A36" s="138"/>
      <c r="B36" s="521" t="s">
        <v>1583</v>
      </c>
      <c r="C36" s="138" t="s">
        <v>160</v>
      </c>
      <c r="D36" s="147">
        <v>0</v>
      </c>
      <c r="E36" s="147">
        <v>0</v>
      </c>
      <c r="F36" s="147">
        <v>0</v>
      </c>
      <c r="G36" s="291">
        <v>0</v>
      </c>
      <c r="H36" s="150">
        <v>0</v>
      </c>
      <c r="I36" s="567">
        <f t="shared" si="0"/>
        <v>0</v>
      </c>
    </row>
    <row r="37" spans="1:9" x14ac:dyDescent="0.15">
      <c r="A37" s="138"/>
      <c r="B37" s="521" t="s">
        <v>634</v>
      </c>
      <c r="C37" s="138" t="s">
        <v>165</v>
      </c>
      <c r="D37" s="147">
        <v>0</v>
      </c>
      <c r="E37" s="147">
        <v>0</v>
      </c>
      <c r="F37" s="147">
        <v>0</v>
      </c>
      <c r="G37" s="291">
        <v>0</v>
      </c>
      <c r="H37" s="150">
        <v>0</v>
      </c>
      <c r="I37" s="567">
        <f t="shared" si="0"/>
        <v>0</v>
      </c>
    </row>
    <row r="38" spans="1:9" x14ac:dyDescent="0.15">
      <c r="A38" s="138"/>
      <c r="B38" s="521" t="s">
        <v>630</v>
      </c>
      <c r="C38" s="138" t="s">
        <v>172</v>
      </c>
      <c r="D38" s="147">
        <v>0</v>
      </c>
      <c r="E38" s="147">
        <v>0</v>
      </c>
      <c r="F38" s="147">
        <v>0</v>
      </c>
      <c r="G38" s="291">
        <v>0</v>
      </c>
      <c r="H38" s="150">
        <v>0</v>
      </c>
      <c r="I38" s="567">
        <f t="shared" si="0"/>
        <v>0</v>
      </c>
    </row>
    <row r="39" spans="1:9" x14ac:dyDescent="0.15">
      <c r="A39" s="138"/>
      <c r="B39" s="650" t="s">
        <v>631</v>
      </c>
      <c r="C39" s="651" t="s">
        <v>173</v>
      </c>
      <c r="D39" s="147">
        <v>0</v>
      </c>
      <c r="E39" s="147">
        <v>0</v>
      </c>
      <c r="F39" s="147">
        <v>0</v>
      </c>
      <c r="G39" s="291">
        <v>0</v>
      </c>
      <c r="H39" s="150">
        <v>0</v>
      </c>
      <c r="I39" s="567">
        <f t="shared" si="0"/>
        <v>0</v>
      </c>
    </row>
    <row r="40" spans="1:9" x14ac:dyDescent="0.15">
      <c r="A40" s="138"/>
      <c r="B40" s="521" t="s">
        <v>1584</v>
      </c>
      <c r="C40" s="138" t="s">
        <v>178</v>
      </c>
      <c r="D40" s="147">
        <v>0</v>
      </c>
      <c r="E40" s="147">
        <v>0</v>
      </c>
      <c r="F40" s="147">
        <v>0</v>
      </c>
      <c r="G40" s="291">
        <v>0</v>
      </c>
      <c r="H40" s="150">
        <v>0</v>
      </c>
      <c r="I40" s="567">
        <f t="shared" si="0"/>
        <v>0</v>
      </c>
    </row>
    <row r="41" spans="1:9" x14ac:dyDescent="0.15">
      <c r="A41" s="138"/>
      <c r="B41" s="521" t="s">
        <v>174</v>
      </c>
      <c r="C41" s="138" t="s">
        <v>179</v>
      </c>
      <c r="D41" s="147">
        <v>0</v>
      </c>
      <c r="E41" s="147">
        <v>0</v>
      </c>
      <c r="F41" s="147">
        <v>0</v>
      </c>
      <c r="G41" s="291">
        <v>0</v>
      </c>
      <c r="H41" s="150">
        <v>0</v>
      </c>
      <c r="I41" s="567">
        <f t="shared" si="0"/>
        <v>0</v>
      </c>
    </row>
    <row r="42" spans="1:9" x14ac:dyDescent="0.15">
      <c r="A42" s="138"/>
      <c r="B42" s="521" t="s">
        <v>175</v>
      </c>
      <c r="C42" s="138" t="s">
        <v>180</v>
      </c>
      <c r="D42" s="147">
        <v>0</v>
      </c>
      <c r="E42" s="147">
        <v>0</v>
      </c>
      <c r="F42" s="147">
        <v>0</v>
      </c>
      <c r="G42" s="291">
        <v>0</v>
      </c>
      <c r="H42" s="150">
        <v>0</v>
      </c>
      <c r="I42" s="567">
        <f t="shared" si="0"/>
        <v>0</v>
      </c>
    </row>
    <row r="43" spans="1:9" ht="11.25" thickBot="1" x14ac:dyDescent="0.2">
      <c r="A43" s="138"/>
      <c r="B43" s="521" t="s">
        <v>176</v>
      </c>
      <c r="C43" s="138" t="s">
        <v>181</v>
      </c>
      <c r="D43" s="147">
        <v>0</v>
      </c>
      <c r="E43" s="147">
        <v>0</v>
      </c>
      <c r="F43" s="147">
        <v>0</v>
      </c>
      <c r="G43" s="291">
        <v>0</v>
      </c>
      <c r="H43" s="150">
        <v>0</v>
      </c>
      <c r="I43" s="567">
        <f t="shared" si="0"/>
        <v>0</v>
      </c>
    </row>
    <row r="44" spans="1:9" ht="12" thickTop="1" thickBot="1" x14ac:dyDescent="0.2">
      <c r="A44" s="138"/>
      <c r="B44" s="521"/>
      <c r="C44" s="138" t="s">
        <v>184</v>
      </c>
      <c r="D44" s="169">
        <f>SUM(D11:D43)</f>
        <v>0</v>
      </c>
      <c r="E44" s="169">
        <f>SUM(E11:E43)</f>
        <v>0</v>
      </c>
      <c r="F44" s="169">
        <f>SUM(F11:F43)</f>
        <v>0</v>
      </c>
      <c r="G44" s="169">
        <f>SUM(G11:G43)</f>
        <v>0</v>
      </c>
      <c r="H44" s="169">
        <f>SUM(H11:H43)</f>
        <v>0</v>
      </c>
      <c r="I44" s="169">
        <f t="shared" si="0"/>
        <v>0</v>
      </c>
    </row>
    <row r="45" spans="1:9" ht="11.25" thickTop="1" x14ac:dyDescent="0.15">
      <c r="A45" s="138"/>
      <c r="B45" s="521"/>
      <c r="C45" s="138"/>
      <c r="D45" s="14"/>
      <c r="E45" s="14"/>
      <c r="F45" s="14"/>
      <c r="G45" s="14"/>
      <c r="H45" s="14"/>
      <c r="I45" s="563"/>
    </row>
    <row r="46" spans="1:9" x14ac:dyDescent="0.15">
      <c r="A46" s="512" t="s">
        <v>71</v>
      </c>
      <c r="B46" s="138"/>
      <c r="C46" s="138"/>
      <c r="D46" s="14"/>
      <c r="E46" s="14"/>
      <c r="F46" s="14"/>
      <c r="G46" s="14"/>
      <c r="H46" s="14"/>
      <c r="I46" s="563"/>
    </row>
    <row r="47" spans="1:9" s="434" customFormat="1" x14ac:dyDescent="0.15">
      <c r="B47" s="523" t="s">
        <v>1577</v>
      </c>
      <c r="C47" s="524" t="s">
        <v>228</v>
      </c>
      <c r="D47" s="316">
        <v>0</v>
      </c>
      <c r="E47" s="316">
        <v>0</v>
      </c>
      <c r="F47" s="316">
        <v>0</v>
      </c>
      <c r="G47" s="528">
        <f t="array" ref="G47">SUM(IF(CertFund&amp;CertProg&amp;CertObj=RIGHT(LEFT($A$2,7),2)&amp;LEFT(A46,4)&amp;B47,CertSalary))</f>
        <v>0</v>
      </c>
      <c r="H47" s="527">
        <v>0</v>
      </c>
      <c r="I47" s="566">
        <f>SUM(G47+H47)</f>
        <v>0</v>
      </c>
    </row>
    <row r="48" spans="1:9" s="434" customFormat="1" x14ac:dyDescent="0.15">
      <c r="B48" s="523" t="s">
        <v>1577</v>
      </c>
      <c r="C48" s="524" t="s">
        <v>510</v>
      </c>
      <c r="D48" s="316">
        <v>0</v>
      </c>
      <c r="E48" s="316">
        <v>0</v>
      </c>
      <c r="F48" s="316">
        <v>0</v>
      </c>
      <c r="G48" s="316">
        <v>0</v>
      </c>
      <c r="H48" s="527">
        <v>0</v>
      </c>
      <c r="I48" s="566">
        <f>SUM(G48+H48)</f>
        <v>0</v>
      </c>
    </row>
    <row r="49" spans="1:10" s="434" customFormat="1" x14ac:dyDescent="0.15">
      <c r="A49" s="524"/>
      <c r="B49" s="523" t="s">
        <v>1578</v>
      </c>
      <c r="C49" s="524" t="s">
        <v>936</v>
      </c>
      <c r="D49" s="316">
        <v>0</v>
      </c>
      <c r="E49" s="316">
        <v>0</v>
      </c>
      <c r="F49" s="316">
        <v>0</v>
      </c>
      <c r="G49" s="529">
        <f t="array" ref="G49">SUM(IF(CertFund&amp;CertProg&amp;CertObj=RIGHT(LEFT($A$2,7),2)&amp;LEFT(A46,4)&amp;B47,CertBen))</f>
        <v>0</v>
      </c>
      <c r="H49" s="527">
        <v>0</v>
      </c>
      <c r="I49" s="566">
        <f>SUM(G49+H49)</f>
        <v>0</v>
      </c>
    </row>
    <row r="50" spans="1:10" x14ac:dyDescent="0.15">
      <c r="A50" s="138"/>
      <c r="B50" s="521" t="s">
        <v>1578</v>
      </c>
      <c r="C50" s="138" t="s">
        <v>511</v>
      </c>
      <c r="D50" s="147">
        <v>0</v>
      </c>
      <c r="E50" s="147">
        <v>0</v>
      </c>
      <c r="F50" s="147">
        <v>0</v>
      </c>
      <c r="G50" s="147">
        <v>0</v>
      </c>
      <c r="H50" s="150">
        <v>0</v>
      </c>
      <c r="I50" s="567">
        <f>SUM(G50+H50)</f>
        <v>0</v>
      </c>
      <c r="J50" s="434"/>
    </row>
    <row r="51" spans="1:10" x14ac:dyDescent="0.15">
      <c r="A51" s="138"/>
      <c r="B51" s="521" t="s">
        <v>1579</v>
      </c>
      <c r="C51" s="138" t="s">
        <v>118</v>
      </c>
      <c r="D51" s="144">
        <v>0</v>
      </c>
      <c r="E51" s="144">
        <v>0</v>
      </c>
      <c r="F51" s="144">
        <v>0</v>
      </c>
      <c r="G51" s="291">
        <v>0</v>
      </c>
      <c r="H51" s="150">
        <v>0</v>
      </c>
      <c r="I51" s="567">
        <f t="shared" ref="I51:I80" si="1">SUM(G51+H51)</f>
        <v>0</v>
      </c>
    </row>
    <row r="52" spans="1:10" x14ac:dyDescent="0.15">
      <c r="A52" s="138"/>
      <c r="B52" s="521" t="s">
        <v>1580</v>
      </c>
      <c r="C52" s="138" t="s">
        <v>119</v>
      </c>
      <c r="D52" s="144">
        <v>0</v>
      </c>
      <c r="E52" s="144">
        <v>0</v>
      </c>
      <c r="F52" s="144">
        <v>0</v>
      </c>
      <c r="G52" s="291">
        <v>0</v>
      </c>
      <c r="H52" s="150">
        <v>0</v>
      </c>
      <c r="I52" s="567">
        <f t="shared" si="1"/>
        <v>0</v>
      </c>
    </row>
    <row r="53" spans="1:10" x14ac:dyDescent="0.15">
      <c r="A53" s="138"/>
      <c r="B53" s="521" t="s">
        <v>120</v>
      </c>
      <c r="C53" s="138" t="s">
        <v>121</v>
      </c>
      <c r="D53" s="144">
        <v>0</v>
      </c>
      <c r="E53" s="144">
        <v>0</v>
      </c>
      <c r="F53" s="144">
        <v>0</v>
      </c>
      <c r="G53" s="291">
        <v>0</v>
      </c>
      <c r="H53" s="150">
        <v>0</v>
      </c>
      <c r="I53" s="567">
        <f t="shared" si="1"/>
        <v>0</v>
      </c>
    </row>
    <row r="54" spans="1:10" x14ac:dyDescent="0.15">
      <c r="A54" s="138"/>
      <c r="B54" s="521" t="s">
        <v>122</v>
      </c>
      <c r="C54" s="138" t="s">
        <v>123</v>
      </c>
      <c r="D54" s="144">
        <v>0</v>
      </c>
      <c r="E54" s="144">
        <v>0</v>
      </c>
      <c r="F54" s="144">
        <v>0</v>
      </c>
      <c r="G54" s="291">
        <v>0</v>
      </c>
      <c r="H54" s="150">
        <v>0</v>
      </c>
      <c r="I54" s="567">
        <f t="shared" si="1"/>
        <v>0</v>
      </c>
    </row>
    <row r="55" spans="1:10" x14ac:dyDescent="0.15">
      <c r="A55" s="138"/>
      <c r="B55" s="521" t="s">
        <v>1581</v>
      </c>
      <c r="C55" s="138" t="s">
        <v>124</v>
      </c>
      <c r="D55" s="144">
        <v>0</v>
      </c>
      <c r="E55" s="144">
        <v>0</v>
      </c>
      <c r="F55" s="144">
        <v>0</v>
      </c>
      <c r="G55" s="291">
        <v>0</v>
      </c>
      <c r="H55" s="150">
        <v>0</v>
      </c>
      <c r="I55" s="567">
        <f t="shared" si="1"/>
        <v>0</v>
      </c>
    </row>
    <row r="56" spans="1:10" x14ac:dyDescent="0.15">
      <c r="A56" s="138"/>
      <c r="B56" s="521" t="s">
        <v>127</v>
      </c>
      <c r="C56" s="138" t="s">
        <v>134</v>
      </c>
      <c r="D56" s="144">
        <v>0</v>
      </c>
      <c r="E56" s="144">
        <v>0</v>
      </c>
      <c r="F56" s="144">
        <v>0</v>
      </c>
      <c r="G56" s="291">
        <v>0</v>
      </c>
      <c r="H56" s="150">
        <v>0</v>
      </c>
      <c r="I56" s="567">
        <f t="shared" si="1"/>
        <v>0</v>
      </c>
    </row>
    <row r="57" spans="1:10" x14ac:dyDescent="0.15">
      <c r="A57" s="138"/>
      <c r="B57" s="521" t="s">
        <v>132</v>
      </c>
      <c r="C57" s="138" t="s">
        <v>1617</v>
      </c>
      <c r="D57" s="144">
        <v>0</v>
      </c>
      <c r="E57" s="144">
        <v>0</v>
      </c>
      <c r="F57" s="144">
        <v>0</v>
      </c>
      <c r="G57" s="291">
        <v>0</v>
      </c>
      <c r="H57" s="150">
        <v>0</v>
      </c>
      <c r="I57" s="567">
        <f t="shared" si="1"/>
        <v>0</v>
      </c>
    </row>
    <row r="58" spans="1:10" x14ac:dyDescent="0.15">
      <c r="A58" s="138"/>
      <c r="B58" s="521" t="s">
        <v>1618</v>
      </c>
      <c r="C58" s="138" t="s">
        <v>836</v>
      </c>
      <c r="D58" s="144">
        <v>0</v>
      </c>
      <c r="E58" s="144">
        <v>0</v>
      </c>
      <c r="F58" s="144">
        <v>0</v>
      </c>
      <c r="G58" s="291">
        <v>0</v>
      </c>
      <c r="H58" s="150">
        <v>0</v>
      </c>
      <c r="I58" s="567">
        <f t="shared" si="1"/>
        <v>0</v>
      </c>
    </row>
    <row r="59" spans="1:10" x14ac:dyDescent="0.15">
      <c r="A59" s="138"/>
      <c r="B59" s="521" t="s">
        <v>1619</v>
      </c>
      <c r="C59" s="138" t="s">
        <v>185</v>
      </c>
      <c r="D59" s="144">
        <v>0</v>
      </c>
      <c r="E59" s="144">
        <v>0</v>
      </c>
      <c r="F59" s="144">
        <v>0</v>
      </c>
      <c r="G59" s="291">
        <v>0</v>
      </c>
      <c r="H59" s="150">
        <v>0</v>
      </c>
      <c r="I59" s="567">
        <f t="shared" si="1"/>
        <v>0</v>
      </c>
    </row>
    <row r="60" spans="1:10" x14ac:dyDescent="0.15">
      <c r="A60" s="138"/>
      <c r="B60" s="521" t="s">
        <v>1620</v>
      </c>
      <c r="C60" s="138" t="s">
        <v>838</v>
      </c>
      <c r="D60" s="144">
        <v>0</v>
      </c>
      <c r="E60" s="144">
        <v>0</v>
      </c>
      <c r="F60" s="144">
        <v>0</v>
      </c>
      <c r="G60" s="291">
        <v>0</v>
      </c>
      <c r="H60" s="150">
        <v>0</v>
      </c>
      <c r="I60" s="567">
        <f t="shared" si="1"/>
        <v>0</v>
      </c>
    </row>
    <row r="61" spans="1:10" x14ac:dyDescent="0.15">
      <c r="A61" s="138"/>
      <c r="B61" s="521" t="s">
        <v>1621</v>
      </c>
      <c r="C61" s="138" t="s">
        <v>839</v>
      </c>
      <c r="D61" s="144">
        <v>0</v>
      </c>
      <c r="E61" s="144">
        <v>0</v>
      </c>
      <c r="F61" s="144">
        <v>0</v>
      </c>
      <c r="G61" s="291">
        <v>0</v>
      </c>
      <c r="H61" s="150">
        <v>0</v>
      </c>
      <c r="I61" s="567">
        <f t="shared" si="1"/>
        <v>0</v>
      </c>
    </row>
    <row r="62" spans="1:10" x14ac:dyDescent="0.15">
      <c r="A62" s="138"/>
      <c r="B62" s="521" t="s">
        <v>1622</v>
      </c>
      <c r="C62" s="138" t="s">
        <v>190</v>
      </c>
      <c r="D62" s="144">
        <v>0</v>
      </c>
      <c r="E62" s="144">
        <v>0</v>
      </c>
      <c r="F62" s="144">
        <v>0</v>
      </c>
      <c r="G62" s="291">
        <v>0</v>
      </c>
      <c r="H62" s="150">
        <v>0</v>
      </c>
      <c r="I62" s="567">
        <f t="shared" si="1"/>
        <v>0</v>
      </c>
    </row>
    <row r="63" spans="1:10" x14ac:dyDescent="0.15">
      <c r="A63" s="138"/>
      <c r="B63" s="521" t="s">
        <v>1623</v>
      </c>
      <c r="C63" s="138" t="s">
        <v>191</v>
      </c>
      <c r="D63" s="144">
        <v>0</v>
      </c>
      <c r="E63" s="144">
        <v>0</v>
      </c>
      <c r="F63" s="144">
        <v>0</v>
      </c>
      <c r="G63" s="291">
        <v>0</v>
      </c>
      <c r="H63" s="150">
        <v>0</v>
      </c>
      <c r="I63" s="567">
        <f t="shared" si="1"/>
        <v>0</v>
      </c>
    </row>
    <row r="64" spans="1:10" x14ac:dyDescent="0.15">
      <c r="A64" s="138"/>
      <c r="B64" s="521" t="s">
        <v>1624</v>
      </c>
      <c r="C64" s="138" t="s">
        <v>840</v>
      </c>
      <c r="D64" s="144">
        <v>0</v>
      </c>
      <c r="E64" s="144">
        <v>0</v>
      </c>
      <c r="F64" s="144">
        <v>0</v>
      </c>
      <c r="G64" s="291">
        <v>0</v>
      </c>
      <c r="H64" s="150">
        <v>0</v>
      </c>
      <c r="I64" s="567">
        <f t="shared" si="1"/>
        <v>0</v>
      </c>
    </row>
    <row r="65" spans="1:9" x14ac:dyDescent="0.15">
      <c r="A65" s="138"/>
      <c r="B65" s="521" t="s">
        <v>1625</v>
      </c>
      <c r="C65" s="138" t="s">
        <v>842</v>
      </c>
      <c r="D65" s="144">
        <v>0</v>
      </c>
      <c r="E65" s="144">
        <v>0</v>
      </c>
      <c r="F65" s="144">
        <v>0</v>
      </c>
      <c r="G65" s="291">
        <v>0</v>
      </c>
      <c r="H65" s="150">
        <v>0</v>
      </c>
      <c r="I65" s="567">
        <f t="shared" si="1"/>
        <v>0</v>
      </c>
    </row>
    <row r="66" spans="1:9" x14ac:dyDescent="0.15">
      <c r="A66" s="138"/>
      <c r="B66" s="521" t="s">
        <v>843</v>
      </c>
      <c r="C66" s="138" t="s">
        <v>848</v>
      </c>
      <c r="D66" s="144">
        <v>0</v>
      </c>
      <c r="E66" s="144">
        <v>0</v>
      </c>
      <c r="F66" s="144">
        <v>0</v>
      </c>
      <c r="G66" s="291">
        <v>0</v>
      </c>
      <c r="H66" s="150">
        <v>0</v>
      </c>
      <c r="I66" s="567">
        <f t="shared" si="1"/>
        <v>0</v>
      </c>
    </row>
    <row r="67" spans="1:9" x14ac:dyDescent="0.15">
      <c r="A67" s="138"/>
      <c r="B67" s="521" t="s">
        <v>844</v>
      </c>
      <c r="C67" s="138" t="s">
        <v>186</v>
      </c>
      <c r="D67" s="144">
        <v>0</v>
      </c>
      <c r="E67" s="144">
        <v>0</v>
      </c>
      <c r="F67" s="144">
        <v>0</v>
      </c>
      <c r="G67" s="291">
        <v>0</v>
      </c>
      <c r="H67" s="150">
        <v>0</v>
      </c>
      <c r="I67" s="567">
        <f t="shared" si="1"/>
        <v>0</v>
      </c>
    </row>
    <row r="68" spans="1:9" x14ac:dyDescent="0.15">
      <c r="A68" s="138"/>
      <c r="B68" s="521" t="s">
        <v>845</v>
      </c>
      <c r="C68" s="138" t="s">
        <v>154</v>
      </c>
      <c r="D68" s="144">
        <v>0</v>
      </c>
      <c r="E68" s="144">
        <v>0</v>
      </c>
      <c r="F68" s="144">
        <v>0</v>
      </c>
      <c r="G68" s="291">
        <v>0</v>
      </c>
      <c r="H68" s="150">
        <v>0</v>
      </c>
      <c r="I68" s="567">
        <f t="shared" si="1"/>
        <v>0</v>
      </c>
    </row>
    <row r="69" spans="1:9" x14ac:dyDescent="0.15">
      <c r="A69" s="138"/>
      <c r="B69" s="521" t="s">
        <v>846</v>
      </c>
      <c r="C69" s="138" t="s">
        <v>155</v>
      </c>
      <c r="D69" s="144">
        <v>0</v>
      </c>
      <c r="E69" s="144">
        <v>0</v>
      </c>
      <c r="F69" s="144">
        <v>0</v>
      </c>
      <c r="G69" s="291">
        <v>0</v>
      </c>
      <c r="H69" s="150">
        <v>0</v>
      </c>
      <c r="I69" s="567">
        <f t="shared" si="1"/>
        <v>0</v>
      </c>
    </row>
    <row r="70" spans="1:9" x14ac:dyDescent="0.15">
      <c r="A70" s="138"/>
      <c r="B70" s="521" t="s">
        <v>1582</v>
      </c>
      <c r="C70" s="138" t="s">
        <v>156</v>
      </c>
      <c r="D70" s="144">
        <v>0</v>
      </c>
      <c r="E70" s="144">
        <v>0</v>
      </c>
      <c r="F70" s="144">
        <v>0</v>
      </c>
      <c r="G70" s="291">
        <v>0</v>
      </c>
      <c r="H70" s="150">
        <v>0</v>
      </c>
      <c r="I70" s="567">
        <f t="shared" si="1"/>
        <v>0</v>
      </c>
    </row>
    <row r="71" spans="1:9" x14ac:dyDescent="0.15">
      <c r="A71" s="138"/>
      <c r="B71" s="521" t="s">
        <v>847</v>
      </c>
      <c r="C71" s="138" t="s">
        <v>157</v>
      </c>
      <c r="D71" s="144">
        <v>0</v>
      </c>
      <c r="E71" s="144">
        <v>0</v>
      </c>
      <c r="F71" s="144">
        <v>0</v>
      </c>
      <c r="G71" s="291">
        <v>0</v>
      </c>
      <c r="H71" s="150">
        <v>0</v>
      </c>
      <c r="I71" s="567">
        <f t="shared" si="1"/>
        <v>0</v>
      </c>
    </row>
    <row r="72" spans="1:9" x14ac:dyDescent="0.15">
      <c r="A72" s="138"/>
      <c r="B72" s="521" t="s">
        <v>1583</v>
      </c>
      <c r="C72" s="138" t="s">
        <v>160</v>
      </c>
      <c r="D72" s="144">
        <v>0</v>
      </c>
      <c r="E72" s="144">
        <v>0</v>
      </c>
      <c r="F72" s="144">
        <v>0</v>
      </c>
      <c r="G72" s="291">
        <v>0</v>
      </c>
      <c r="H72" s="150">
        <v>0</v>
      </c>
      <c r="I72" s="567">
        <f t="shared" si="1"/>
        <v>0</v>
      </c>
    </row>
    <row r="73" spans="1:9" x14ac:dyDescent="0.15">
      <c r="A73" s="138"/>
      <c r="B73" s="521" t="s">
        <v>634</v>
      </c>
      <c r="C73" s="138" t="s">
        <v>165</v>
      </c>
      <c r="D73" s="144">
        <v>0</v>
      </c>
      <c r="E73" s="144">
        <v>0</v>
      </c>
      <c r="F73" s="144">
        <v>0</v>
      </c>
      <c r="G73" s="291">
        <v>0</v>
      </c>
      <c r="H73" s="150">
        <v>0</v>
      </c>
      <c r="I73" s="567">
        <f t="shared" si="1"/>
        <v>0</v>
      </c>
    </row>
    <row r="74" spans="1:9" x14ac:dyDescent="0.15">
      <c r="A74" s="138"/>
      <c r="B74" s="521" t="s">
        <v>630</v>
      </c>
      <c r="C74" s="138" t="s">
        <v>172</v>
      </c>
      <c r="D74" s="144">
        <v>0</v>
      </c>
      <c r="E74" s="144">
        <v>0</v>
      </c>
      <c r="F74" s="144">
        <v>0</v>
      </c>
      <c r="G74" s="291">
        <v>0</v>
      </c>
      <c r="H74" s="150">
        <v>0</v>
      </c>
      <c r="I74" s="567">
        <f t="shared" si="1"/>
        <v>0</v>
      </c>
    </row>
    <row r="75" spans="1:9" x14ac:dyDescent="0.15">
      <c r="A75" s="138"/>
      <c r="B75" s="650" t="s">
        <v>631</v>
      </c>
      <c r="C75" s="651" t="s">
        <v>173</v>
      </c>
      <c r="D75" s="144">
        <v>0</v>
      </c>
      <c r="E75" s="144">
        <v>0</v>
      </c>
      <c r="F75" s="144">
        <v>0</v>
      </c>
      <c r="G75" s="291">
        <v>0</v>
      </c>
      <c r="H75" s="150">
        <v>0</v>
      </c>
      <c r="I75" s="567">
        <f t="shared" si="1"/>
        <v>0</v>
      </c>
    </row>
    <row r="76" spans="1:9" x14ac:dyDescent="0.15">
      <c r="A76" s="138"/>
      <c r="B76" s="521" t="s">
        <v>1584</v>
      </c>
      <c r="C76" s="138" t="s">
        <v>178</v>
      </c>
      <c r="D76" s="144">
        <v>0</v>
      </c>
      <c r="E76" s="144">
        <v>0</v>
      </c>
      <c r="F76" s="144">
        <v>0</v>
      </c>
      <c r="G76" s="291">
        <v>0</v>
      </c>
      <c r="H76" s="150">
        <v>0</v>
      </c>
      <c r="I76" s="567">
        <f t="shared" si="1"/>
        <v>0</v>
      </c>
    </row>
    <row r="77" spans="1:9" x14ac:dyDescent="0.15">
      <c r="A77" s="138"/>
      <c r="B77" s="521" t="s">
        <v>174</v>
      </c>
      <c r="C77" s="138" t="s">
        <v>179</v>
      </c>
      <c r="D77" s="144">
        <v>0</v>
      </c>
      <c r="E77" s="144">
        <v>0</v>
      </c>
      <c r="F77" s="144">
        <v>0</v>
      </c>
      <c r="G77" s="291">
        <v>0</v>
      </c>
      <c r="H77" s="150">
        <v>0</v>
      </c>
      <c r="I77" s="567">
        <f t="shared" si="1"/>
        <v>0</v>
      </c>
    </row>
    <row r="78" spans="1:9" x14ac:dyDescent="0.15">
      <c r="A78" s="138"/>
      <c r="B78" s="521" t="s">
        <v>175</v>
      </c>
      <c r="C78" s="138" t="s">
        <v>180</v>
      </c>
      <c r="D78" s="144">
        <v>0</v>
      </c>
      <c r="E78" s="144">
        <v>0</v>
      </c>
      <c r="F78" s="144">
        <v>0</v>
      </c>
      <c r="G78" s="291">
        <v>0</v>
      </c>
      <c r="H78" s="150">
        <v>0</v>
      </c>
      <c r="I78" s="567">
        <f t="shared" si="1"/>
        <v>0</v>
      </c>
    </row>
    <row r="79" spans="1:9" ht="11.25" thickBot="1" x14ac:dyDescent="0.2">
      <c r="A79" s="138"/>
      <c r="B79" s="521" t="s">
        <v>176</v>
      </c>
      <c r="C79" s="138" t="s">
        <v>181</v>
      </c>
      <c r="D79" s="144">
        <v>0</v>
      </c>
      <c r="E79" s="144">
        <v>0</v>
      </c>
      <c r="F79" s="144">
        <v>0</v>
      </c>
      <c r="G79" s="291">
        <v>0</v>
      </c>
      <c r="H79" s="150">
        <v>0</v>
      </c>
      <c r="I79" s="567">
        <f t="shared" si="1"/>
        <v>0</v>
      </c>
    </row>
    <row r="80" spans="1:9" ht="12" thickTop="1" thickBot="1" x14ac:dyDescent="0.2">
      <c r="A80" s="138"/>
      <c r="B80" s="521"/>
      <c r="C80" s="138" t="s">
        <v>72</v>
      </c>
      <c r="D80" s="169">
        <f>SUM(D47:D79)</f>
        <v>0</v>
      </c>
      <c r="E80" s="169">
        <f>SUM(E47:E79)</f>
        <v>0</v>
      </c>
      <c r="F80" s="169">
        <f>SUM(F47:F79)</f>
        <v>0</v>
      </c>
      <c r="G80" s="169">
        <f>SUM(G47:G79)</f>
        <v>0</v>
      </c>
      <c r="H80" s="169">
        <f>SUM(H47:H79)</f>
        <v>0</v>
      </c>
      <c r="I80" s="169">
        <f t="shared" si="1"/>
        <v>0</v>
      </c>
    </row>
    <row r="81" spans="1:10" ht="11.25" thickTop="1" x14ac:dyDescent="0.15">
      <c r="A81" s="138"/>
      <c r="B81" s="138"/>
      <c r="C81" s="138"/>
      <c r="D81" s="14"/>
      <c r="E81" s="14"/>
      <c r="F81" s="14"/>
      <c r="G81" s="14"/>
      <c r="H81" s="14"/>
      <c r="I81" s="563"/>
    </row>
    <row r="82" spans="1:10" x14ac:dyDescent="0.15">
      <c r="A82" s="512" t="s">
        <v>70</v>
      </c>
      <c r="B82" s="512"/>
      <c r="C82" s="512"/>
      <c r="D82" s="14"/>
      <c r="E82" s="14"/>
      <c r="F82" s="14"/>
      <c r="G82" s="14"/>
      <c r="H82" s="14"/>
      <c r="I82" s="563"/>
    </row>
    <row r="83" spans="1:10" s="434" customFormat="1" x14ac:dyDescent="0.15">
      <c r="B83" s="523" t="s">
        <v>1577</v>
      </c>
      <c r="C83" s="524" t="s">
        <v>228</v>
      </c>
      <c r="D83" s="316">
        <v>0</v>
      </c>
      <c r="E83" s="316">
        <v>0</v>
      </c>
      <c r="F83" s="316">
        <v>0</v>
      </c>
      <c r="G83" s="528">
        <f t="array" ref="G83">SUM(IF(CertFund&amp;CertProg&amp;CertObj=RIGHT(LEFT($A$2,7),2)&amp;LEFT(A82,4)&amp;B83,CertSalary))</f>
        <v>0</v>
      </c>
      <c r="H83" s="527">
        <v>0</v>
      </c>
      <c r="I83" s="566">
        <f>SUM(G83+H83)</f>
        <v>0</v>
      </c>
    </row>
    <row r="84" spans="1:10" s="434" customFormat="1" x14ac:dyDescent="0.15">
      <c r="B84" s="523" t="s">
        <v>1577</v>
      </c>
      <c r="C84" s="524" t="s">
        <v>510</v>
      </c>
      <c r="D84" s="316">
        <v>0</v>
      </c>
      <c r="E84" s="316">
        <v>0</v>
      </c>
      <c r="F84" s="316">
        <v>0</v>
      </c>
      <c r="G84" s="316">
        <v>0</v>
      </c>
      <c r="H84" s="527">
        <v>0</v>
      </c>
      <c r="I84" s="566">
        <f>SUM(G84+H84)</f>
        <v>0</v>
      </c>
    </row>
    <row r="85" spans="1:10" s="434" customFormat="1" x14ac:dyDescent="0.15">
      <c r="A85" s="524"/>
      <c r="B85" s="523" t="s">
        <v>1578</v>
      </c>
      <c r="C85" s="524" t="s">
        <v>936</v>
      </c>
      <c r="D85" s="316">
        <v>0</v>
      </c>
      <c r="E85" s="316">
        <v>0</v>
      </c>
      <c r="F85" s="316">
        <v>0</v>
      </c>
      <c r="G85" s="529">
        <f t="array" ref="G85">SUM(IF(CertFund&amp;CertProg&amp;CertObj=RIGHT(LEFT($A$2,7),2)&amp;LEFT(A82,4)&amp;B83,CertBen))</f>
        <v>0</v>
      </c>
      <c r="H85" s="527">
        <v>0</v>
      </c>
      <c r="I85" s="566">
        <f>SUM(G85+H85)</f>
        <v>0</v>
      </c>
    </row>
    <row r="86" spans="1:10" x14ac:dyDescent="0.15">
      <c r="A86" s="138"/>
      <c r="B86" s="521" t="s">
        <v>1578</v>
      </c>
      <c r="C86" s="138" t="s">
        <v>511</v>
      </c>
      <c r="D86" s="147">
        <v>0</v>
      </c>
      <c r="E86" s="147">
        <v>0</v>
      </c>
      <c r="F86" s="147">
        <v>0</v>
      </c>
      <c r="G86" s="147">
        <v>0</v>
      </c>
      <c r="H86" s="150">
        <v>0</v>
      </c>
      <c r="I86" s="567">
        <f>SUM(G86+H86)</f>
        <v>0</v>
      </c>
      <c r="J86" s="434"/>
    </row>
    <row r="87" spans="1:10" x14ac:dyDescent="0.15">
      <c r="A87" s="138"/>
      <c r="B87" s="521" t="s">
        <v>1579</v>
      </c>
      <c r="C87" s="138" t="s">
        <v>118</v>
      </c>
      <c r="D87" s="144">
        <v>0</v>
      </c>
      <c r="E87" s="144">
        <v>0</v>
      </c>
      <c r="F87" s="144">
        <v>0</v>
      </c>
      <c r="G87" s="291">
        <v>0</v>
      </c>
      <c r="H87" s="150">
        <v>0</v>
      </c>
      <c r="I87" s="567">
        <f t="shared" ref="I87:I116" si="2">SUM(G87+H87)</f>
        <v>0</v>
      </c>
    </row>
    <row r="88" spans="1:10" x14ac:dyDescent="0.15">
      <c r="A88" s="138"/>
      <c r="B88" s="521" t="s">
        <v>1580</v>
      </c>
      <c r="C88" s="138" t="s">
        <v>119</v>
      </c>
      <c r="D88" s="144">
        <v>0</v>
      </c>
      <c r="E88" s="144">
        <v>0</v>
      </c>
      <c r="F88" s="144">
        <v>0</v>
      </c>
      <c r="G88" s="291">
        <v>0</v>
      </c>
      <c r="H88" s="150">
        <v>0</v>
      </c>
      <c r="I88" s="567">
        <f t="shared" si="2"/>
        <v>0</v>
      </c>
    </row>
    <row r="89" spans="1:10" x14ac:dyDescent="0.15">
      <c r="A89" s="138"/>
      <c r="B89" s="521" t="s">
        <v>120</v>
      </c>
      <c r="C89" s="138" t="s">
        <v>121</v>
      </c>
      <c r="D89" s="144">
        <v>0</v>
      </c>
      <c r="E89" s="144">
        <v>0</v>
      </c>
      <c r="F89" s="144">
        <v>0</v>
      </c>
      <c r="G89" s="291">
        <v>0</v>
      </c>
      <c r="H89" s="150">
        <v>0</v>
      </c>
      <c r="I89" s="567">
        <f t="shared" si="2"/>
        <v>0</v>
      </c>
    </row>
    <row r="90" spans="1:10" x14ac:dyDescent="0.15">
      <c r="A90" s="138"/>
      <c r="B90" s="521" t="s">
        <v>122</v>
      </c>
      <c r="C90" s="138" t="s">
        <v>123</v>
      </c>
      <c r="D90" s="144">
        <v>0</v>
      </c>
      <c r="E90" s="144">
        <v>0</v>
      </c>
      <c r="F90" s="144">
        <v>0</v>
      </c>
      <c r="G90" s="291">
        <v>0</v>
      </c>
      <c r="H90" s="150">
        <v>0</v>
      </c>
      <c r="I90" s="567">
        <f t="shared" si="2"/>
        <v>0</v>
      </c>
    </row>
    <row r="91" spans="1:10" x14ac:dyDescent="0.15">
      <c r="A91" s="138"/>
      <c r="B91" s="521" t="s">
        <v>1581</v>
      </c>
      <c r="C91" s="138" t="s">
        <v>124</v>
      </c>
      <c r="D91" s="144">
        <v>0</v>
      </c>
      <c r="E91" s="144">
        <v>0</v>
      </c>
      <c r="F91" s="144">
        <v>0</v>
      </c>
      <c r="G91" s="291">
        <v>0</v>
      </c>
      <c r="H91" s="150">
        <v>0</v>
      </c>
      <c r="I91" s="567">
        <f t="shared" si="2"/>
        <v>0</v>
      </c>
    </row>
    <row r="92" spans="1:10" x14ac:dyDescent="0.15">
      <c r="A92" s="138"/>
      <c r="B92" s="521" t="s">
        <v>127</v>
      </c>
      <c r="C92" s="138" t="s">
        <v>134</v>
      </c>
      <c r="D92" s="144">
        <v>0</v>
      </c>
      <c r="E92" s="144">
        <v>0</v>
      </c>
      <c r="F92" s="144">
        <v>0</v>
      </c>
      <c r="G92" s="291">
        <v>0</v>
      </c>
      <c r="H92" s="150">
        <v>0</v>
      </c>
      <c r="I92" s="567">
        <f t="shared" si="2"/>
        <v>0</v>
      </c>
    </row>
    <row r="93" spans="1:10" x14ac:dyDescent="0.15">
      <c r="A93" s="138"/>
      <c r="B93" s="521" t="s">
        <v>132</v>
      </c>
      <c r="C93" s="138" t="s">
        <v>1617</v>
      </c>
      <c r="D93" s="144">
        <v>0</v>
      </c>
      <c r="E93" s="144">
        <v>0</v>
      </c>
      <c r="F93" s="144">
        <v>0</v>
      </c>
      <c r="G93" s="291">
        <v>0</v>
      </c>
      <c r="H93" s="150">
        <v>0</v>
      </c>
      <c r="I93" s="567">
        <f t="shared" si="2"/>
        <v>0</v>
      </c>
    </row>
    <row r="94" spans="1:10" x14ac:dyDescent="0.15">
      <c r="A94" s="138"/>
      <c r="B94" s="521" t="s">
        <v>1618</v>
      </c>
      <c r="C94" s="138" t="s">
        <v>836</v>
      </c>
      <c r="D94" s="144">
        <v>0</v>
      </c>
      <c r="E94" s="144">
        <v>0</v>
      </c>
      <c r="F94" s="144">
        <v>0</v>
      </c>
      <c r="G94" s="291">
        <v>0</v>
      </c>
      <c r="H94" s="150">
        <v>0</v>
      </c>
      <c r="I94" s="567">
        <f t="shared" si="2"/>
        <v>0</v>
      </c>
    </row>
    <row r="95" spans="1:10" x14ac:dyDescent="0.15">
      <c r="A95" s="138"/>
      <c r="B95" s="521" t="s">
        <v>1619</v>
      </c>
      <c r="C95" s="138" t="s">
        <v>185</v>
      </c>
      <c r="D95" s="144">
        <v>0</v>
      </c>
      <c r="E95" s="144">
        <v>0</v>
      </c>
      <c r="F95" s="144">
        <v>0</v>
      </c>
      <c r="G95" s="291">
        <v>0</v>
      </c>
      <c r="H95" s="150">
        <v>0</v>
      </c>
      <c r="I95" s="567">
        <f t="shared" si="2"/>
        <v>0</v>
      </c>
    </row>
    <row r="96" spans="1:10" x14ac:dyDescent="0.15">
      <c r="A96" s="138"/>
      <c r="B96" s="521" t="s">
        <v>1620</v>
      </c>
      <c r="C96" s="138" t="s">
        <v>838</v>
      </c>
      <c r="D96" s="144">
        <v>0</v>
      </c>
      <c r="E96" s="144">
        <v>0</v>
      </c>
      <c r="F96" s="144">
        <v>0</v>
      </c>
      <c r="G96" s="291">
        <v>0</v>
      </c>
      <c r="H96" s="150">
        <v>0</v>
      </c>
      <c r="I96" s="567">
        <f t="shared" si="2"/>
        <v>0</v>
      </c>
    </row>
    <row r="97" spans="1:9" x14ac:dyDescent="0.15">
      <c r="A97" s="138"/>
      <c r="B97" s="521" t="s">
        <v>1621</v>
      </c>
      <c r="C97" s="138" t="s">
        <v>839</v>
      </c>
      <c r="D97" s="144">
        <v>0</v>
      </c>
      <c r="E97" s="144">
        <v>0</v>
      </c>
      <c r="F97" s="144">
        <v>0</v>
      </c>
      <c r="G97" s="291">
        <v>0</v>
      </c>
      <c r="H97" s="150">
        <v>0</v>
      </c>
      <c r="I97" s="567">
        <f t="shared" si="2"/>
        <v>0</v>
      </c>
    </row>
    <row r="98" spans="1:9" x14ac:dyDescent="0.15">
      <c r="A98" s="138"/>
      <c r="B98" s="521" t="s">
        <v>1622</v>
      </c>
      <c r="C98" s="138" t="s">
        <v>190</v>
      </c>
      <c r="D98" s="144">
        <v>0</v>
      </c>
      <c r="E98" s="144">
        <v>0</v>
      </c>
      <c r="F98" s="144">
        <v>0</v>
      </c>
      <c r="G98" s="291">
        <v>0</v>
      </c>
      <c r="H98" s="150">
        <v>0</v>
      </c>
      <c r="I98" s="567">
        <f t="shared" si="2"/>
        <v>0</v>
      </c>
    </row>
    <row r="99" spans="1:9" x14ac:dyDescent="0.15">
      <c r="A99" s="138"/>
      <c r="B99" s="521" t="s">
        <v>1623</v>
      </c>
      <c r="C99" s="138" t="s">
        <v>191</v>
      </c>
      <c r="D99" s="144">
        <v>0</v>
      </c>
      <c r="E99" s="144">
        <v>0</v>
      </c>
      <c r="F99" s="144">
        <v>0</v>
      </c>
      <c r="G99" s="291">
        <v>0</v>
      </c>
      <c r="H99" s="150">
        <v>0</v>
      </c>
      <c r="I99" s="567">
        <f t="shared" si="2"/>
        <v>0</v>
      </c>
    </row>
    <row r="100" spans="1:9" x14ac:dyDescent="0.15">
      <c r="A100" s="138"/>
      <c r="B100" s="521" t="s">
        <v>1624</v>
      </c>
      <c r="C100" s="138" t="s">
        <v>840</v>
      </c>
      <c r="D100" s="144">
        <v>0</v>
      </c>
      <c r="E100" s="144">
        <v>0</v>
      </c>
      <c r="F100" s="144">
        <v>0</v>
      </c>
      <c r="G100" s="291">
        <v>0</v>
      </c>
      <c r="H100" s="150">
        <v>0</v>
      </c>
      <c r="I100" s="567">
        <f t="shared" si="2"/>
        <v>0</v>
      </c>
    </row>
    <row r="101" spans="1:9" x14ac:dyDescent="0.15">
      <c r="A101" s="138"/>
      <c r="B101" s="521" t="s">
        <v>1625</v>
      </c>
      <c r="C101" s="138" t="s">
        <v>842</v>
      </c>
      <c r="D101" s="144">
        <v>0</v>
      </c>
      <c r="E101" s="144">
        <v>0</v>
      </c>
      <c r="F101" s="144">
        <v>0</v>
      </c>
      <c r="G101" s="291">
        <v>0</v>
      </c>
      <c r="H101" s="150">
        <v>0</v>
      </c>
      <c r="I101" s="567">
        <f t="shared" si="2"/>
        <v>0</v>
      </c>
    </row>
    <row r="102" spans="1:9" x14ac:dyDescent="0.15">
      <c r="A102" s="138"/>
      <c r="B102" s="521" t="s">
        <v>843</v>
      </c>
      <c r="C102" s="138" t="s">
        <v>848</v>
      </c>
      <c r="D102" s="144">
        <v>0</v>
      </c>
      <c r="E102" s="144">
        <v>0</v>
      </c>
      <c r="F102" s="144">
        <v>0</v>
      </c>
      <c r="G102" s="291">
        <v>0</v>
      </c>
      <c r="H102" s="150">
        <v>0</v>
      </c>
      <c r="I102" s="567">
        <f t="shared" si="2"/>
        <v>0</v>
      </c>
    </row>
    <row r="103" spans="1:9" x14ac:dyDescent="0.15">
      <c r="A103" s="138"/>
      <c r="B103" s="521" t="s">
        <v>844</v>
      </c>
      <c r="C103" s="138" t="s">
        <v>186</v>
      </c>
      <c r="D103" s="144">
        <v>0</v>
      </c>
      <c r="E103" s="144">
        <v>0</v>
      </c>
      <c r="F103" s="144">
        <v>0</v>
      </c>
      <c r="G103" s="291">
        <v>0</v>
      </c>
      <c r="H103" s="150">
        <v>0</v>
      </c>
      <c r="I103" s="567">
        <f t="shared" si="2"/>
        <v>0</v>
      </c>
    </row>
    <row r="104" spans="1:9" x14ac:dyDescent="0.15">
      <c r="A104" s="138"/>
      <c r="B104" s="521" t="s">
        <v>845</v>
      </c>
      <c r="C104" s="138" t="s">
        <v>154</v>
      </c>
      <c r="D104" s="144">
        <v>0</v>
      </c>
      <c r="E104" s="144">
        <v>0</v>
      </c>
      <c r="F104" s="144">
        <v>0</v>
      </c>
      <c r="G104" s="291">
        <v>0</v>
      </c>
      <c r="H104" s="150">
        <v>0</v>
      </c>
      <c r="I104" s="567">
        <f t="shared" si="2"/>
        <v>0</v>
      </c>
    </row>
    <row r="105" spans="1:9" x14ac:dyDescent="0.15">
      <c r="A105" s="138"/>
      <c r="B105" s="521" t="s">
        <v>846</v>
      </c>
      <c r="C105" s="138" t="s">
        <v>155</v>
      </c>
      <c r="D105" s="144">
        <v>0</v>
      </c>
      <c r="E105" s="144">
        <v>0</v>
      </c>
      <c r="F105" s="144">
        <v>0</v>
      </c>
      <c r="G105" s="291">
        <v>0</v>
      </c>
      <c r="H105" s="150">
        <v>0</v>
      </c>
      <c r="I105" s="567">
        <f t="shared" si="2"/>
        <v>0</v>
      </c>
    </row>
    <row r="106" spans="1:9" x14ac:dyDescent="0.15">
      <c r="A106" s="138"/>
      <c r="B106" s="521" t="s">
        <v>1582</v>
      </c>
      <c r="C106" s="138" t="s">
        <v>156</v>
      </c>
      <c r="D106" s="144">
        <v>0</v>
      </c>
      <c r="E106" s="144">
        <v>0</v>
      </c>
      <c r="F106" s="144">
        <v>0</v>
      </c>
      <c r="G106" s="291">
        <v>0</v>
      </c>
      <c r="H106" s="150">
        <v>0</v>
      </c>
      <c r="I106" s="567">
        <f t="shared" si="2"/>
        <v>0</v>
      </c>
    </row>
    <row r="107" spans="1:9" x14ac:dyDescent="0.15">
      <c r="A107" s="138"/>
      <c r="B107" s="521" t="s">
        <v>847</v>
      </c>
      <c r="C107" s="138" t="s">
        <v>157</v>
      </c>
      <c r="D107" s="144">
        <v>0</v>
      </c>
      <c r="E107" s="144">
        <v>0</v>
      </c>
      <c r="F107" s="144">
        <v>0</v>
      </c>
      <c r="G107" s="291">
        <v>0</v>
      </c>
      <c r="H107" s="150">
        <v>0</v>
      </c>
      <c r="I107" s="567">
        <f t="shared" si="2"/>
        <v>0</v>
      </c>
    </row>
    <row r="108" spans="1:9" x14ac:dyDescent="0.15">
      <c r="A108" s="138"/>
      <c r="B108" s="521" t="s">
        <v>1583</v>
      </c>
      <c r="C108" s="138" t="s">
        <v>160</v>
      </c>
      <c r="D108" s="144">
        <v>0</v>
      </c>
      <c r="E108" s="144">
        <v>0</v>
      </c>
      <c r="F108" s="144">
        <v>0</v>
      </c>
      <c r="G108" s="291">
        <v>0</v>
      </c>
      <c r="H108" s="150">
        <v>0</v>
      </c>
      <c r="I108" s="567">
        <f t="shared" si="2"/>
        <v>0</v>
      </c>
    </row>
    <row r="109" spans="1:9" x14ac:dyDescent="0.15">
      <c r="A109" s="138"/>
      <c r="B109" s="521" t="s">
        <v>634</v>
      </c>
      <c r="C109" s="138" t="s">
        <v>165</v>
      </c>
      <c r="D109" s="144">
        <v>0</v>
      </c>
      <c r="E109" s="144">
        <v>0</v>
      </c>
      <c r="F109" s="144">
        <v>0</v>
      </c>
      <c r="G109" s="291">
        <v>0</v>
      </c>
      <c r="H109" s="150">
        <v>0</v>
      </c>
      <c r="I109" s="567">
        <f t="shared" si="2"/>
        <v>0</v>
      </c>
    </row>
    <row r="110" spans="1:9" x14ac:dyDescent="0.15">
      <c r="A110" s="138"/>
      <c r="B110" s="521" t="s">
        <v>630</v>
      </c>
      <c r="C110" s="138" t="s">
        <v>172</v>
      </c>
      <c r="D110" s="144">
        <v>0</v>
      </c>
      <c r="E110" s="144">
        <v>0</v>
      </c>
      <c r="F110" s="144">
        <v>0</v>
      </c>
      <c r="G110" s="291">
        <v>0</v>
      </c>
      <c r="H110" s="150">
        <v>0</v>
      </c>
      <c r="I110" s="567">
        <f t="shared" si="2"/>
        <v>0</v>
      </c>
    </row>
    <row r="111" spans="1:9" x14ac:dyDescent="0.15">
      <c r="A111" s="138"/>
      <c r="B111" s="650" t="s">
        <v>631</v>
      </c>
      <c r="C111" s="651" t="s">
        <v>173</v>
      </c>
      <c r="D111" s="144">
        <v>0</v>
      </c>
      <c r="E111" s="144">
        <v>0</v>
      </c>
      <c r="F111" s="144">
        <v>0</v>
      </c>
      <c r="G111" s="291">
        <v>0</v>
      </c>
      <c r="H111" s="150">
        <v>0</v>
      </c>
      <c r="I111" s="567">
        <f t="shared" si="2"/>
        <v>0</v>
      </c>
    </row>
    <row r="112" spans="1:9" x14ac:dyDescent="0.15">
      <c r="A112" s="138"/>
      <c r="B112" s="521" t="s">
        <v>1584</v>
      </c>
      <c r="C112" s="138" t="s">
        <v>178</v>
      </c>
      <c r="D112" s="144">
        <v>0</v>
      </c>
      <c r="E112" s="144">
        <v>0</v>
      </c>
      <c r="F112" s="144">
        <v>0</v>
      </c>
      <c r="G112" s="291">
        <v>0</v>
      </c>
      <c r="H112" s="150">
        <v>0</v>
      </c>
      <c r="I112" s="567">
        <f t="shared" si="2"/>
        <v>0</v>
      </c>
    </row>
    <row r="113" spans="1:10" x14ac:dyDescent="0.15">
      <c r="A113" s="138"/>
      <c r="B113" s="521" t="s">
        <v>174</v>
      </c>
      <c r="C113" s="138" t="s">
        <v>179</v>
      </c>
      <c r="D113" s="144">
        <v>0</v>
      </c>
      <c r="E113" s="144">
        <v>0</v>
      </c>
      <c r="F113" s="144">
        <v>0</v>
      </c>
      <c r="G113" s="291">
        <v>0</v>
      </c>
      <c r="H113" s="150">
        <v>0</v>
      </c>
      <c r="I113" s="567">
        <f t="shared" si="2"/>
        <v>0</v>
      </c>
    </row>
    <row r="114" spans="1:10" x14ac:dyDescent="0.15">
      <c r="A114" s="138"/>
      <c r="B114" s="521" t="s">
        <v>175</v>
      </c>
      <c r="C114" s="138" t="s">
        <v>180</v>
      </c>
      <c r="D114" s="144">
        <v>0</v>
      </c>
      <c r="E114" s="144">
        <v>0</v>
      </c>
      <c r="F114" s="144">
        <v>0</v>
      </c>
      <c r="G114" s="291">
        <v>0</v>
      </c>
      <c r="H114" s="150">
        <v>0</v>
      </c>
      <c r="I114" s="567">
        <f t="shared" si="2"/>
        <v>0</v>
      </c>
    </row>
    <row r="115" spans="1:10" ht="11.25" thickBot="1" x14ac:dyDescent="0.2">
      <c r="A115" s="138"/>
      <c r="B115" s="521" t="s">
        <v>176</v>
      </c>
      <c r="C115" s="138" t="s">
        <v>181</v>
      </c>
      <c r="D115" s="144">
        <v>0</v>
      </c>
      <c r="E115" s="144">
        <v>0</v>
      </c>
      <c r="F115" s="144">
        <v>0</v>
      </c>
      <c r="G115" s="291">
        <v>0</v>
      </c>
      <c r="H115" s="150">
        <v>0</v>
      </c>
      <c r="I115" s="567">
        <f t="shared" si="2"/>
        <v>0</v>
      </c>
    </row>
    <row r="116" spans="1:10" ht="12" thickTop="1" thickBot="1" x14ac:dyDescent="0.2">
      <c r="A116" s="138"/>
      <c r="B116" s="521"/>
      <c r="C116" s="138" t="s">
        <v>67</v>
      </c>
      <c r="D116" s="169">
        <f>SUM(D83:D115)</f>
        <v>0</v>
      </c>
      <c r="E116" s="169">
        <f>SUM(E83:E115)</f>
        <v>0</v>
      </c>
      <c r="F116" s="169">
        <f>SUM(F83:F115)</f>
        <v>0</v>
      </c>
      <c r="G116" s="169">
        <f>SUM(G83:G115)</f>
        <v>0</v>
      </c>
      <c r="H116" s="169">
        <f>SUM(H83:H115)</f>
        <v>0</v>
      </c>
      <c r="I116" s="169">
        <f t="shared" si="2"/>
        <v>0</v>
      </c>
    </row>
    <row r="117" spans="1:10" ht="11.25" thickTop="1" x14ac:dyDescent="0.15">
      <c r="A117" s="512"/>
      <c r="B117" s="512"/>
      <c r="C117" s="512"/>
      <c r="D117" s="14"/>
      <c r="E117" s="14"/>
      <c r="F117" s="14"/>
      <c r="G117" s="14"/>
      <c r="H117" s="14"/>
      <c r="I117" s="563"/>
    </row>
    <row r="118" spans="1:10" x14ac:dyDescent="0.15">
      <c r="A118" s="512" t="s">
        <v>68</v>
      </c>
      <c r="B118" s="512"/>
      <c r="C118" s="512"/>
      <c r="D118" s="14"/>
      <c r="E118" s="14"/>
      <c r="F118" s="14"/>
      <c r="G118" s="14"/>
      <c r="H118" s="14"/>
      <c r="I118" s="563"/>
    </row>
    <row r="119" spans="1:10" s="434" customFormat="1" x14ac:dyDescent="0.15">
      <c r="B119" s="523" t="s">
        <v>1577</v>
      </c>
      <c r="C119" s="524" t="s">
        <v>228</v>
      </c>
      <c r="D119" s="316">
        <v>0</v>
      </c>
      <c r="E119" s="316">
        <v>0</v>
      </c>
      <c r="F119" s="316">
        <v>0</v>
      </c>
      <c r="G119" s="528">
        <f t="array" ref="G119">SUM(IF(CertFund&amp;CertProg&amp;CertObj=RIGHT(LEFT($A$2,7),2)&amp;LEFT(A118,4)&amp;B119,CertSalary))</f>
        <v>0</v>
      </c>
      <c r="H119" s="527">
        <v>0</v>
      </c>
      <c r="I119" s="566">
        <f>SUM(G119+H119)</f>
        <v>0</v>
      </c>
    </row>
    <row r="120" spans="1:10" s="434" customFormat="1" x14ac:dyDescent="0.15">
      <c r="B120" s="523" t="s">
        <v>1577</v>
      </c>
      <c r="C120" s="524" t="s">
        <v>510</v>
      </c>
      <c r="D120" s="316">
        <v>0</v>
      </c>
      <c r="E120" s="316">
        <v>0</v>
      </c>
      <c r="F120" s="316">
        <v>0</v>
      </c>
      <c r="G120" s="316">
        <v>0</v>
      </c>
      <c r="H120" s="527">
        <v>0</v>
      </c>
      <c r="I120" s="566">
        <f>SUM(G120+H120)</f>
        <v>0</v>
      </c>
    </row>
    <row r="121" spans="1:10" s="434" customFormat="1" x14ac:dyDescent="0.15">
      <c r="A121" s="524"/>
      <c r="B121" s="523" t="s">
        <v>1578</v>
      </c>
      <c r="C121" s="524" t="s">
        <v>936</v>
      </c>
      <c r="D121" s="316">
        <v>0</v>
      </c>
      <c r="E121" s="316">
        <v>0</v>
      </c>
      <c r="F121" s="316">
        <v>0</v>
      </c>
      <c r="G121" s="529">
        <f t="array" ref="G121">SUM(IF(CertFund&amp;CertProg&amp;CertObj=RIGHT(LEFT($A$2,7),2)&amp;LEFT(A118,4)&amp;B119,CertBen))</f>
        <v>0</v>
      </c>
      <c r="H121" s="527">
        <v>0</v>
      </c>
      <c r="I121" s="566">
        <f>SUM(G121+H121)</f>
        <v>0</v>
      </c>
    </row>
    <row r="122" spans="1:10" x14ac:dyDescent="0.15">
      <c r="A122" s="138"/>
      <c r="B122" s="521" t="s">
        <v>1578</v>
      </c>
      <c r="C122" s="138" t="s">
        <v>511</v>
      </c>
      <c r="D122" s="147">
        <v>0</v>
      </c>
      <c r="E122" s="147">
        <v>0</v>
      </c>
      <c r="F122" s="147">
        <v>0</v>
      </c>
      <c r="G122" s="147">
        <v>0</v>
      </c>
      <c r="H122" s="150">
        <v>0</v>
      </c>
      <c r="I122" s="567">
        <f>SUM(G122+H122)</f>
        <v>0</v>
      </c>
      <c r="J122" s="434"/>
    </row>
    <row r="123" spans="1:10" x14ac:dyDescent="0.15">
      <c r="A123" s="138"/>
      <c r="B123" s="521" t="s">
        <v>1579</v>
      </c>
      <c r="C123" s="138" t="s">
        <v>118</v>
      </c>
      <c r="D123" s="144">
        <v>0</v>
      </c>
      <c r="E123" s="144">
        <v>0</v>
      </c>
      <c r="F123" s="144">
        <v>0</v>
      </c>
      <c r="G123" s="291">
        <v>0</v>
      </c>
      <c r="H123" s="150">
        <v>0</v>
      </c>
      <c r="I123" s="567">
        <f t="shared" ref="I123:I152" si="3">SUM(G123+H123)</f>
        <v>0</v>
      </c>
    </row>
    <row r="124" spans="1:10" x14ac:dyDescent="0.15">
      <c r="A124" s="138"/>
      <c r="B124" s="521" t="s">
        <v>1580</v>
      </c>
      <c r="C124" s="138" t="s">
        <v>119</v>
      </c>
      <c r="D124" s="144">
        <v>0</v>
      </c>
      <c r="E124" s="144">
        <v>0</v>
      </c>
      <c r="F124" s="144">
        <v>0</v>
      </c>
      <c r="G124" s="291">
        <v>0</v>
      </c>
      <c r="H124" s="150">
        <v>0</v>
      </c>
      <c r="I124" s="567">
        <f t="shared" si="3"/>
        <v>0</v>
      </c>
    </row>
    <row r="125" spans="1:10" x14ac:dyDescent="0.15">
      <c r="A125" s="138"/>
      <c r="B125" s="521" t="s">
        <v>120</v>
      </c>
      <c r="C125" s="138" t="s">
        <v>121</v>
      </c>
      <c r="D125" s="144">
        <v>0</v>
      </c>
      <c r="E125" s="144">
        <v>0</v>
      </c>
      <c r="F125" s="144">
        <v>0</v>
      </c>
      <c r="G125" s="291">
        <v>0</v>
      </c>
      <c r="H125" s="150">
        <v>0</v>
      </c>
      <c r="I125" s="567">
        <f t="shared" si="3"/>
        <v>0</v>
      </c>
    </row>
    <row r="126" spans="1:10" x14ac:dyDescent="0.15">
      <c r="A126" s="138"/>
      <c r="B126" s="521" t="s">
        <v>122</v>
      </c>
      <c r="C126" s="138" t="s">
        <v>123</v>
      </c>
      <c r="D126" s="144">
        <v>0</v>
      </c>
      <c r="E126" s="144">
        <v>0</v>
      </c>
      <c r="F126" s="144">
        <v>0</v>
      </c>
      <c r="G126" s="291">
        <v>0</v>
      </c>
      <c r="H126" s="150">
        <v>0</v>
      </c>
      <c r="I126" s="567">
        <f t="shared" si="3"/>
        <v>0</v>
      </c>
    </row>
    <row r="127" spans="1:10" x14ac:dyDescent="0.15">
      <c r="A127" s="138"/>
      <c r="B127" s="521" t="s">
        <v>1581</v>
      </c>
      <c r="C127" s="138" t="s">
        <v>124</v>
      </c>
      <c r="D127" s="144">
        <v>0</v>
      </c>
      <c r="E127" s="144">
        <v>0</v>
      </c>
      <c r="F127" s="144">
        <v>0</v>
      </c>
      <c r="G127" s="291">
        <v>0</v>
      </c>
      <c r="H127" s="150">
        <v>0</v>
      </c>
      <c r="I127" s="567">
        <f t="shared" si="3"/>
        <v>0</v>
      </c>
    </row>
    <row r="128" spans="1:10" x14ac:dyDescent="0.15">
      <c r="A128" s="138"/>
      <c r="B128" s="521" t="s">
        <v>127</v>
      </c>
      <c r="C128" s="138" t="s">
        <v>134</v>
      </c>
      <c r="D128" s="144">
        <v>0</v>
      </c>
      <c r="E128" s="144">
        <v>0</v>
      </c>
      <c r="F128" s="144">
        <v>0</v>
      </c>
      <c r="G128" s="291">
        <v>0</v>
      </c>
      <c r="H128" s="150">
        <v>0</v>
      </c>
      <c r="I128" s="567">
        <f t="shared" si="3"/>
        <v>0</v>
      </c>
    </row>
    <row r="129" spans="1:9" x14ac:dyDescent="0.15">
      <c r="A129" s="138"/>
      <c r="B129" s="521" t="s">
        <v>132</v>
      </c>
      <c r="C129" s="138" t="s">
        <v>1617</v>
      </c>
      <c r="D129" s="144">
        <v>0</v>
      </c>
      <c r="E129" s="144">
        <v>0</v>
      </c>
      <c r="F129" s="144">
        <v>0</v>
      </c>
      <c r="G129" s="291">
        <v>0</v>
      </c>
      <c r="H129" s="150">
        <v>0</v>
      </c>
      <c r="I129" s="567">
        <f t="shared" si="3"/>
        <v>0</v>
      </c>
    </row>
    <row r="130" spans="1:9" x14ac:dyDescent="0.15">
      <c r="A130" s="138"/>
      <c r="B130" s="521" t="s">
        <v>1618</v>
      </c>
      <c r="C130" s="138" t="s">
        <v>836</v>
      </c>
      <c r="D130" s="144">
        <v>0</v>
      </c>
      <c r="E130" s="144">
        <v>0</v>
      </c>
      <c r="F130" s="144">
        <v>0</v>
      </c>
      <c r="G130" s="291">
        <v>0</v>
      </c>
      <c r="H130" s="150">
        <v>0</v>
      </c>
      <c r="I130" s="567">
        <f t="shared" si="3"/>
        <v>0</v>
      </c>
    </row>
    <row r="131" spans="1:9" x14ac:dyDescent="0.15">
      <c r="A131" s="138"/>
      <c r="B131" s="521" t="s">
        <v>1619</v>
      </c>
      <c r="C131" s="138" t="s">
        <v>185</v>
      </c>
      <c r="D131" s="144">
        <v>0</v>
      </c>
      <c r="E131" s="144">
        <v>0</v>
      </c>
      <c r="F131" s="144">
        <v>0</v>
      </c>
      <c r="G131" s="291">
        <v>0</v>
      </c>
      <c r="H131" s="150">
        <v>0</v>
      </c>
      <c r="I131" s="567">
        <f t="shared" si="3"/>
        <v>0</v>
      </c>
    </row>
    <row r="132" spans="1:9" x14ac:dyDescent="0.15">
      <c r="A132" s="138"/>
      <c r="B132" s="521" t="s">
        <v>1620</v>
      </c>
      <c r="C132" s="138" t="s">
        <v>838</v>
      </c>
      <c r="D132" s="144">
        <v>0</v>
      </c>
      <c r="E132" s="144">
        <v>0</v>
      </c>
      <c r="F132" s="144">
        <v>0</v>
      </c>
      <c r="G132" s="291">
        <v>0</v>
      </c>
      <c r="H132" s="150">
        <v>0</v>
      </c>
      <c r="I132" s="567">
        <f t="shared" si="3"/>
        <v>0</v>
      </c>
    </row>
    <row r="133" spans="1:9" x14ac:dyDescent="0.15">
      <c r="A133" s="138"/>
      <c r="B133" s="521" t="s">
        <v>1621</v>
      </c>
      <c r="C133" s="138" t="s">
        <v>839</v>
      </c>
      <c r="D133" s="144">
        <v>0</v>
      </c>
      <c r="E133" s="144">
        <v>0</v>
      </c>
      <c r="F133" s="144">
        <v>0</v>
      </c>
      <c r="G133" s="291">
        <v>0</v>
      </c>
      <c r="H133" s="150">
        <v>0</v>
      </c>
      <c r="I133" s="567">
        <f t="shared" si="3"/>
        <v>0</v>
      </c>
    </row>
    <row r="134" spans="1:9" x14ac:dyDescent="0.15">
      <c r="A134" s="138"/>
      <c r="B134" s="521" t="s">
        <v>1622</v>
      </c>
      <c r="C134" s="138" t="s">
        <v>190</v>
      </c>
      <c r="D134" s="144">
        <v>0</v>
      </c>
      <c r="E134" s="144">
        <v>0</v>
      </c>
      <c r="F134" s="144">
        <v>0</v>
      </c>
      <c r="G134" s="291">
        <v>0</v>
      </c>
      <c r="H134" s="150">
        <v>0</v>
      </c>
      <c r="I134" s="567">
        <f t="shared" si="3"/>
        <v>0</v>
      </c>
    </row>
    <row r="135" spans="1:9" x14ac:dyDescent="0.15">
      <c r="A135" s="138"/>
      <c r="B135" s="521" t="s">
        <v>1623</v>
      </c>
      <c r="C135" s="138" t="s">
        <v>191</v>
      </c>
      <c r="D135" s="144">
        <v>0</v>
      </c>
      <c r="E135" s="144">
        <v>0</v>
      </c>
      <c r="F135" s="144">
        <v>0</v>
      </c>
      <c r="G135" s="291">
        <v>0</v>
      </c>
      <c r="H135" s="150">
        <v>0</v>
      </c>
      <c r="I135" s="567">
        <f t="shared" si="3"/>
        <v>0</v>
      </c>
    </row>
    <row r="136" spans="1:9" x14ac:dyDescent="0.15">
      <c r="A136" s="138"/>
      <c r="B136" s="521" t="s">
        <v>1624</v>
      </c>
      <c r="C136" s="138" t="s">
        <v>840</v>
      </c>
      <c r="D136" s="144">
        <v>0</v>
      </c>
      <c r="E136" s="144">
        <v>0</v>
      </c>
      <c r="F136" s="144">
        <v>0</v>
      </c>
      <c r="G136" s="291">
        <v>0</v>
      </c>
      <c r="H136" s="150">
        <v>0</v>
      </c>
      <c r="I136" s="567">
        <f t="shared" si="3"/>
        <v>0</v>
      </c>
    </row>
    <row r="137" spans="1:9" x14ac:dyDescent="0.15">
      <c r="A137" s="138"/>
      <c r="B137" s="521" t="s">
        <v>1625</v>
      </c>
      <c r="C137" s="138" t="s">
        <v>842</v>
      </c>
      <c r="D137" s="144">
        <v>0</v>
      </c>
      <c r="E137" s="144">
        <v>0</v>
      </c>
      <c r="F137" s="144">
        <v>0</v>
      </c>
      <c r="G137" s="291">
        <v>0</v>
      </c>
      <c r="H137" s="150">
        <v>0</v>
      </c>
      <c r="I137" s="567">
        <f t="shared" si="3"/>
        <v>0</v>
      </c>
    </row>
    <row r="138" spans="1:9" x14ac:dyDescent="0.15">
      <c r="A138" s="138"/>
      <c r="B138" s="521" t="s">
        <v>843</v>
      </c>
      <c r="C138" s="138" t="s">
        <v>848</v>
      </c>
      <c r="D138" s="144">
        <v>0</v>
      </c>
      <c r="E138" s="144">
        <v>0</v>
      </c>
      <c r="F138" s="144">
        <v>0</v>
      </c>
      <c r="G138" s="291">
        <v>0</v>
      </c>
      <c r="H138" s="150">
        <v>0</v>
      </c>
      <c r="I138" s="567">
        <f t="shared" si="3"/>
        <v>0</v>
      </c>
    </row>
    <row r="139" spans="1:9" x14ac:dyDescent="0.15">
      <c r="A139" s="138"/>
      <c r="B139" s="521" t="s">
        <v>844</v>
      </c>
      <c r="C139" s="138" t="s">
        <v>186</v>
      </c>
      <c r="D139" s="144">
        <v>0</v>
      </c>
      <c r="E139" s="144">
        <v>0</v>
      </c>
      <c r="F139" s="144">
        <v>0</v>
      </c>
      <c r="G139" s="291">
        <v>0</v>
      </c>
      <c r="H139" s="150">
        <v>0</v>
      </c>
      <c r="I139" s="567">
        <f t="shared" si="3"/>
        <v>0</v>
      </c>
    </row>
    <row r="140" spans="1:9" x14ac:dyDescent="0.15">
      <c r="A140" s="138"/>
      <c r="B140" s="521" t="s">
        <v>845</v>
      </c>
      <c r="C140" s="138" t="s">
        <v>154</v>
      </c>
      <c r="D140" s="144">
        <v>0</v>
      </c>
      <c r="E140" s="144">
        <v>0</v>
      </c>
      <c r="F140" s="144">
        <v>0</v>
      </c>
      <c r="G140" s="291">
        <v>0</v>
      </c>
      <c r="H140" s="150">
        <v>0</v>
      </c>
      <c r="I140" s="567">
        <f t="shared" si="3"/>
        <v>0</v>
      </c>
    </row>
    <row r="141" spans="1:9" x14ac:dyDescent="0.15">
      <c r="A141" s="138"/>
      <c r="B141" s="521" t="s">
        <v>846</v>
      </c>
      <c r="C141" s="138" t="s">
        <v>155</v>
      </c>
      <c r="D141" s="144">
        <v>0</v>
      </c>
      <c r="E141" s="144">
        <v>0</v>
      </c>
      <c r="F141" s="144">
        <v>0</v>
      </c>
      <c r="G141" s="291">
        <v>0</v>
      </c>
      <c r="H141" s="150">
        <v>0</v>
      </c>
      <c r="I141" s="567">
        <f t="shared" si="3"/>
        <v>0</v>
      </c>
    </row>
    <row r="142" spans="1:9" x14ac:dyDescent="0.15">
      <c r="A142" s="138"/>
      <c r="B142" s="521" t="s">
        <v>1582</v>
      </c>
      <c r="C142" s="138" t="s">
        <v>156</v>
      </c>
      <c r="D142" s="144">
        <v>0</v>
      </c>
      <c r="E142" s="144">
        <v>0</v>
      </c>
      <c r="F142" s="144">
        <v>0</v>
      </c>
      <c r="G142" s="291">
        <v>0</v>
      </c>
      <c r="H142" s="150">
        <v>0</v>
      </c>
      <c r="I142" s="567">
        <f t="shared" si="3"/>
        <v>0</v>
      </c>
    </row>
    <row r="143" spans="1:9" x14ac:dyDescent="0.15">
      <c r="A143" s="138"/>
      <c r="B143" s="521" t="s">
        <v>847</v>
      </c>
      <c r="C143" s="138" t="s">
        <v>157</v>
      </c>
      <c r="D143" s="144">
        <v>0</v>
      </c>
      <c r="E143" s="144">
        <v>0</v>
      </c>
      <c r="F143" s="144">
        <v>0</v>
      </c>
      <c r="G143" s="291">
        <v>0</v>
      </c>
      <c r="H143" s="150">
        <v>0</v>
      </c>
      <c r="I143" s="567">
        <f t="shared" si="3"/>
        <v>0</v>
      </c>
    </row>
    <row r="144" spans="1:9" x14ac:dyDescent="0.15">
      <c r="A144" s="138"/>
      <c r="B144" s="521" t="s">
        <v>1583</v>
      </c>
      <c r="C144" s="138" t="s">
        <v>160</v>
      </c>
      <c r="D144" s="144">
        <v>0</v>
      </c>
      <c r="E144" s="144">
        <v>0</v>
      </c>
      <c r="F144" s="144">
        <v>0</v>
      </c>
      <c r="G144" s="291">
        <v>0</v>
      </c>
      <c r="H144" s="150">
        <v>0</v>
      </c>
      <c r="I144" s="567">
        <f t="shared" si="3"/>
        <v>0</v>
      </c>
    </row>
    <row r="145" spans="1:10" x14ac:dyDescent="0.15">
      <c r="A145" s="138"/>
      <c r="B145" s="521" t="s">
        <v>634</v>
      </c>
      <c r="C145" s="138" t="s">
        <v>165</v>
      </c>
      <c r="D145" s="144">
        <v>0</v>
      </c>
      <c r="E145" s="144">
        <v>0</v>
      </c>
      <c r="F145" s="144">
        <v>0</v>
      </c>
      <c r="G145" s="291">
        <v>0</v>
      </c>
      <c r="H145" s="150">
        <v>0</v>
      </c>
      <c r="I145" s="567">
        <f t="shared" si="3"/>
        <v>0</v>
      </c>
    </row>
    <row r="146" spans="1:10" x14ac:dyDescent="0.15">
      <c r="A146" s="138"/>
      <c r="B146" s="521" t="s">
        <v>630</v>
      </c>
      <c r="C146" s="138" t="s">
        <v>172</v>
      </c>
      <c r="D146" s="144">
        <v>0</v>
      </c>
      <c r="E146" s="144">
        <v>0</v>
      </c>
      <c r="F146" s="144">
        <v>0</v>
      </c>
      <c r="G146" s="291">
        <v>0</v>
      </c>
      <c r="H146" s="150">
        <v>0</v>
      </c>
      <c r="I146" s="567">
        <f t="shared" si="3"/>
        <v>0</v>
      </c>
    </row>
    <row r="147" spans="1:10" x14ac:dyDescent="0.15">
      <c r="A147" s="138"/>
      <c r="B147" s="650" t="s">
        <v>631</v>
      </c>
      <c r="C147" s="651" t="s">
        <v>173</v>
      </c>
      <c r="D147" s="144">
        <v>0</v>
      </c>
      <c r="E147" s="144">
        <v>0</v>
      </c>
      <c r="F147" s="144">
        <v>0</v>
      </c>
      <c r="G147" s="291">
        <v>0</v>
      </c>
      <c r="H147" s="150">
        <v>0</v>
      </c>
      <c r="I147" s="567">
        <f t="shared" si="3"/>
        <v>0</v>
      </c>
    </row>
    <row r="148" spans="1:10" x14ac:dyDescent="0.15">
      <c r="A148" s="138"/>
      <c r="B148" s="521" t="s">
        <v>1584</v>
      </c>
      <c r="C148" s="138" t="s">
        <v>178</v>
      </c>
      <c r="D148" s="144">
        <v>0</v>
      </c>
      <c r="E148" s="144">
        <v>0</v>
      </c>
      <c r="F148" s="144">
        <v>0</v>
      </c>
      <c r="G148" s="291">
        <v>0</v>
      </c>
      <c r="H148" s="150">
        <v>0</v>
      </c>
      <c r="I148" s="567">
        <f t="shared" si="3"/>
        <v>0</v>
      </c>
    </row>
    <row r="149" spans="1:10" x14ac:dyDescent="0.15">
      <c r="A149" s="138"/>
      <c r="B149" s="521" t="s">
        <v>174</v>
      </c>
      <c r="C149" s="138" t="s">
        <v>179</v>
      </c>
      <c r="D149" s="144">
        <v>0</v>
      </c>
      <c r="E149" s="144">
        <v>0</v>
      </c>
      <c r="F149" s="144">
        <v>0</v>
      </c>
      <c r="G149" s="291">
        <v>0</v>
      </c>
      <c r="H149" s="150">
        <v>0</v>
      </c>
      <c r="I149" s="567">
        <f t="shared" si="3"/>
        <v>0</v>
      </c>
    </row>
    <row r="150" spans="1:10" x14ac:dyDescent="0.15">
      <c r="A150" s="138"/>
      <c r="B150" s="521" t="s">
        <v>175</v>
      </c>
      <c r="C150" s="138" t="s">
        <v>180</v>
      </c>
      <c r="D150" s="144">
        <v>0</v>
      </c>
      <c r="E150" s="144">
        <v>0</v>
      </c>
      <c r="F150" s="144">
        <v>0</v>
      </c>
      <c r="G150" s="291">
        <v>0</v>
      </c>
      <c r="H150" s="150">
        <v>0</v>
      </c>
      <c r="I150" s="567">
        <f t="shared" si="3"/>
        <v>0</v>
      </c>
    </row>
    <row r="151" spans="1:10" ht="11.25" thickBot="1" x14ac:dyDescent="0.2">
      <c r="A151" s="138"/>
      <c r="B151" s="521" t="s">
        <v>176</v>
      </c>
      <c r="C151" s="138" t="s">
        <v>181</v>
      </c>
      <c r="D151" s="144">
        <v>0</v>
      </c>
      <c r="E151" s="144">
        <v>0</v>
      </c>
      <c r="F151" s="144">
        <v>0</v>
      </c>
      <c r="G151" s="291">
        <v>0</v>
      </c>
      <c r="H151" s="150">
        <v>0</v>
      </c>
      <c r="I151" s="567">
        <f t="shared" si="3"/>
        <v>0</v>
      </c>
    </row>
    <row r="152" spans="1:10" ht="12" thickTop="1" thickBot="1" x14ac:dyDescent="0.2">
      <c r="A152" s="138"/>
      <c r="B152" s="521"/>
      <c r="C152" s="138" t="s">
        <v>220</v>
      </c>
      <c r="D152" s="169">
        <f>SUM(D119:D151)</f>
        <v>0</v>
      </c>
      <c r="E152" s="169">
        <f>SUM(E119:E151)</f>
        <v>0</v>
      </c>
      <c r="F152" s="169">
        <f>SUM(F119:F151)</f>
        <v>0</v>
      </c>
      <c r="G152" s="169">
        <f>SUM(G119:G151)</f>
        <v>0</v>
      </c>
      <c r="H152" s="169">
        <f>SUM(H119:H151)</f>
        <v>0</v>
      </c>
      <c r="I152" s="169">
        <f t="shared" si="3"/>
        <v>0</v>
      </c>
    </row>
    <row r="153" spans="1:10" ht="11.25" thickTop="1" x14ac:dyDescent="0.15">
      <c r="A153" s="512"/>
      <c r="B153" s="512"/>
      <c r="C153" s="512"/>
      <c r="D153" s="14"/>
      <c r="E153" s="14"/>
      <c r="F153" s="14"/>
      <c r="G153" s="14"/>
      <c r="H153" s="14"/>
      <c r="I153" s="563"/>
    </row>
    <row r="154" spans="1:10" x14ac:dyDescent="0.15">
      <c r="A154" s="512" t="s">
        <v>221</v>
      </c>
      <c r="B154" s="138"/>
      <c r="C154" s="138"/>
      <c r="D154" s="14"/>
      <c r="E154" s="14"/>
      <c r="F154" s="14"/>
      <c r="G154" s="14"/>
      <c r="H154" s="14"/>
      <c r="I154" s="563"/>
    </row>
    <row r="155" spans="1:10" s="434" customFormat="1" x14ac:dyDescent="0.15">
      <c r="B155" s="523" t="s">
        <v>1577</v>
      </c>
      <c r="C155" s="524" t="s">
        <v>228</v>
      </c>
      <c r="D155" s="316">
        <v>0</v>
      </c>
      <c r="E155" s="316">
        <v>0</v>
      </c>
      <c r="F155" s="316">
        <v>0</v>
      </c>
      <c r="G155" s="528">
        <f t="array" ref="G155">SUM(IF(CertFund&amp;CertProg&amp;CertObj=RIGHT(LEFT($A$2,7),2)&amp;LEFT(A154,4)&amp;B155,CertSalary))</f>
        <v>0</v>
      </c>
      <c r="H155" s="527">
        <v>0</v>
      </c>
      <c r="I155" s="566">
        <f>SUM(G155+H155)</f>
        <v>0</v>
      </c>
    </row>
    <row r="156" spans="1:10" s="434" customFormat="1" x14ac:dyDescent="0.15">
      <c r="B156" s="523" t="s">
        <v>1577</v>
      </c>
      <c r="C156" s="524" t="s">
        <v>510</v>
      </c>
      <c r="D156" s="316">
        <v>0</v>
      </c>
      <c r="E156" s="316">
        <v>0</v>
      </c>
      <c r="F156" s="316">
        <v>0</v>
      </c>
      <c r="G156" s="316">
        <v>0</v>
      </c>
      <c r="H156" s="527">
        <v>0</v>
      </c>
      <c r="I156" s="566">
        <f>SUM(G156+H156)</f>
        <v>0</v>
      </c>
    </row>
    <row r="157" spans="1:10" s="434" customFormat="1" x14ac:dyDescent="0.15">
      <c r="A157" s="524"/>
      <c r="B157" s="523" t="s">
        <v>1578</v>
      </c>
      <c r="C157" s="524" t="s">
        <v>936</v>
      </c>
      <c r="D157" s="316">
        <v>0</v>
      </c>
      <c r="E157" s="316">
        <v>0</v>
      </c>
      <c r="F157" s="316">
        <v>0</v>
      </c>
      <c r="G157" s="529">
        <f t="array" ref="G157">SUM(IF(CertFund&amp;CertProg&amp;CertObj=RIGHT(LEFT($A$2,7),2)&amp;LEFT(A154,4)&amp;B155,CertBen))</f>
        <v>0</v>
      </c>
      <c r="H157" s="527">
        <v>0</v>
      </c>
      <c r="I157" s="566">
        <f>SUM(G157+H157)</f>
        <v>0</v>
      </c>
    </row>
    <row r="158" spans="1:10" x14ac:dyDescent="0.15">
      <c r="A158" s="138"/>
      <c r="B158" s="521" t="s">
        <v>1578</v>
      </c>
      <c r="C158" s="138" t="s">
        <v>511</v>
      </c>
      <c r="D158" s="147">
        <v>0</v>
      </c>
      <c r="E158" s="147">
        <v>0</v>
      </c>
      <c r="F158" s="147">
        <v>0</v>
      </c>
      <c r="G158" s="147">
        <v>0</v>
      </c>
      <c r="H158" s="150">
        <v>0</v>
      </c>
      <c r="I158" s="567">
        <f>SUM(G158+H158)</f>
        <v>0</v>
      </c>
      <c r="J158" s="434"/>
    </row>
    <row r="159" spans="1:10" x14ac:dyDescent="0.15">
      <c r="A159" s="138"/>
      <c r="B159" s="521" t="s">
        <v>1579</v>
      </c>
      <c r="C159" s="138" t="s">
        <v>118</v>
      </c>
      <c r="D159" s="144">
        <v>0</v>
      </c>
      <c r="E159" s="144">
        <v>0</v>
      </c>
      <c r="F159" s="144">
        <v>0</v>
      </c>
      <c r="G159" s="291">
        <v>0</v>
      </c>
      <c r="H159" s="150">
        <v>0</v>
      </c>
      <c r="I159" s="567">
        <f t="shared" ref="I159:I188" si="4">SUM(G159+H159)</f>
        <v>0</v>
      </c>
    </row>
    <row r="160" spans="1:10" x14ac:dyDescent="0.15">
      <c r="A160" s="138"/>
      <c r="B160" s="521" t="s">
        <v>1580</v>
      </c>
      <c r="C160" s="138" t="s">
        <v>119</v>
      </c>
      <c r="D160" s="144">
        <v>0</v>
      </c>
      <c r="E160" s="144">
        <v>0</v>
      </c>
      <c r="F160" s="144">
        <v>0</v>
      </c>
      <c r="G160" s="291">
        <v>0</v>
      </c>
      <c r="H160" s="150">
        <v>0</v>
      </c>
      <c r="I160" s="567">
        <f t="shared" si="4"/>
        <v>0</v>
      </c>
    </row>
    <row r="161" spans="1:9" x14ac:dyDescent="0.15">
      <c r="A161" s="138"/>
      <c r="B161" s="521" t="s">
        <v>120</v>
      </c>
      <c r="C161" s="138" t="s">
        <v>121</v>
      </c>
      <c r="D161" s="144">
        <v>0</v>
      </c>
      <c r="E161" s="144">
        <v>0</v>
      </c>
      <c r="F161" s="144">
        <v>0</v>
      </c>
      <c r="G161" s="291">
        <v>0</v>
      </c>
      <c r="H161" s="150">
        <v>0</v>
      </c>
      <c r="I161" s="567">
        <f t="shared" si="4"/>
        <v>0</v>
      </c>
    </row>
    <row r="162" spans="1:9" x14ac:dyDescent="0.15">
      <c r="A162" s="138"/>
      <c r="B162" s="521" t="s">
        <v>122</v>
      </c>
      <c r="C162" s="138" t="s">
        <v>123</v>
      </c>
      <c r="D162" s="144">
        <v>0</v>
      </c>
      <c r="E162" s="144">
        <v>0</v>
      </c>
      <c r="F162" s="144">
        <v>0</v>
      </c>
      <c r="G162" s="291">
        <v>0</v>
      </c>
      <c r="H162" s="150">
        <v>0</v>
      </c>
      <c r="I162" s="567">
        <f t="shared" si="4"/>
        <v>0</v>
      </c>
    </row>
    <row r="163" spans="1:9" x14ac:dyDescent="0.15">
      <c r="A163" s="138"/>
      <c r="B163" s="521" t="s">
        <v>1581</v>
      </c>
      <c r="C163" s="138" t="s">
        <v>124</v>
      </c>
      <c r="D163" s="144">
        <v>0</v>
      </c>
      <c r="E163" s="144">
        <v>0</v>
      </c>
      <c r="F163" s="144">
        <v>0</v>
      </c>
      <c r="G163" s="291">
        <v>0</v>
      </c>
      <c r="H163" s="150">
        <v>0</v>
      </c>
      <c r="I163" s="567">
        <f t="shared" si="4"/>
        <v>0</v>
      </c>
    </row>
    <row r="164" spans="1:9" x14ac:dyDescent="0.15">
      <c r="A164" s="138"/>
      <c r="B164" s="521" t="s">
        <v>127</v>
      </c>
      <c r="C164" s="138" t="s">
        <v>134</v>
      </c>
      <c r="D164" s="144">
        <v>0</v>
      </c>
      <c r="E164" s="144">
        <v>0</v>
      </c>
      <c r="F164" s="144">
        <v>0</v>
      </c>
      <c r="G164" s="291">
        <v>0</v>
      </c>
      <c r="H164" s="150">
        <v>0</v>
      </c>
      <c r="I164" s="567">
        <f t="shared" si="4"/>
        <v>0</v>
      </c>
    </row>
    <row r="165" spans="1:9" x14ac:dyDescent="0.15">
      <c r="A165" s="138"/>
      <c r="B165" s="521" t="s">
        <v>132</v>
      </c>
      <c r="C165" s="138" t="s">
        <v>1617</v>
      </c>
      <c r="D165" s="144">
        <v>0</v>
      </c>
      <c r="E165" s="144">
        <v>0</v>
      </c>
      <c r="F165" s="144">
        <v>0</v>
      </c>
      <c r="G165" s="291">
        <v>0</v>
      </c>
      <c r="H165" s="150">
        <v>0</v>
      </c>
      <c r="I165" s="567">
        <f t="shared" si="4"/>
        <v>0</v>
      </c>
    </row>
    <row r="166" spans="1:9" x14ac:dyDescent="0.15">
      <c r="A166" s="138"/>
      <c r="B166" s="521" t="s">
        <v>1618</v>
      </c>
      <c r="C166" s="138" t="s">
        <v>836</v>
      </c>
      <c r="D166" s="144">
        <v>0</v>
      </c>
      <c r="E166" s="144">
        <v>0</v>
      </c>
      <c r="F166" s="144">
        <v>0</v>
      </c>
      <c r="G166" s="291">
        <v>0</v>
      </c>
      <c r="H166" s="150">
        <v>0</v>
      </c>
      <c r="I166" s="567">
        <f t="shared" si="4"/>
        <v>0</v>
      </c>
    </row>
    <row r="167" spans="1:9" x14ac:dyDescent="0.15">
      <c r="A167" s="138"/>
      <c r="B167" s="521" t="s">
        <v>1619</v>
      </c>
      <c r="C167" s="138" t="s">
        <v>185</v>
      </c>
      <c r="D167" s="144">
        <v>0</v>
      </c>
      <c r="E167" s="144">
        <v>0</v>
      </c>
      <c r="F167" s="144">
        <v>0</v>
      </c>
      <c r="G167" s="291">
        <v>0</v>
      </c>
      <c r="H167" s="150">
        <v>0</v>
      </c>
      <c r="I167" s="567">
        <f t="shared" si="4"/>
        <v>0</v>
      </c>
    </row>
    <row r="168" spans="1:9" x14ac:dyDescent="0.15">
      <c r="A168" s="138"/>
      <c r="B168" s="521" t="s">
        <v>1620</v>
      </c>
      <c r="C168" s="138" t="s">
        <v>838</v>
      </c>
      <c r="D168" s="144">
        <v>0</v>
      </c>
      <c r="E168" s="144">
        <v>0</v>
      </c>
      <c r="F168" s="144">
        <v>0</v>
      </c>
      <c r="G168" s="291">
        <v>0</v>
      </c>
      <c r="H168" s="150">
        <v>0</v>
      </c>
      <c r="I168" s="567">
        <f t="shared" si="4"/>
        <v>0</v>
      </c>
    </row>
    <row r="169" spans="1:9" x14ac:dyDescent="0.15">
      <c r="A169" s="138"/>
      <c r="B169" s="521" t="s">
        <v>1621</v>
      </c>
      <c r="C169" s="138" t="s">
        <v>839</v>
      </c>
      <c r="D169" s="144">
        <v>0</v>
      </c>
      <c r="E169" s="144">
        <v>0</v>
      </c>
      <c r="F169" s="144">
        <v>0</v>
      </c>
      <c r="G169" s="291">
        <v>0</v>
      </c>
      <c r="H169" s="150">
        <v>0</v>
      </c>
      <c r="I169" s="567">
        <f t="shared" si="4"/>
        <v>0</v>
      </c>
    </row>
    <row r="170" spans="1:9" x14ac:dyDescent="0.15">
      <c r="A170" s="138"/>
      <c r="B170" s="521" t="s">
        <v>1622</v>
      </c>
      <c r="C170" s="138" t="s">
        <v>190</v>
      </c>
      <c r="D170" s="144">
        <v>0</v>
      </c>
      <c r="E170" s="144">
        <v>0</v>
      </c>
      <c r="F170" s="144">
        <v>0</v>
      </c>
      <c r="G170" s="291">
        <v>0</v>
      </c>
      <c r="H170" s="150">
        <v>0</v>
      </c>
      <c r="I170" s="567">
        <f t="shared" si="4"/>
        <v>0</v>
      </c>
    </row>
    <row r="171" spans="1:9" x14ac:dyDescent="0.15">
      <c r="A171" s="138"/>
      <c r="B171" s="521" t="s">
        <v>1623</v>
      </c>
      <c r="C171" s="138" t="s">
        <v>191</v>
      </c>
      <c r="D171" s="144">
        <v>0</v>
      </c>
      <c r="E171" s="144">
        <v>0</v>
      </c>
      <c r="F171" s="144">
        <v>0</v>
      </c>
      <c r="G171" s="291">
        <v>0</v>
      </c>
      <c r="H171" s="150">
        <v>0</v>
      </c>
      <c r="I171" s="567">
        <f t="shared" si="4"/>
        <v>0</v>
      </c>
    </row>
    <row r="172" spans="1:9" x14ac:dyDescent="0.15">
      <c r="A172" s="138"/>
      <c r="B172" s="521" t="s">
        <v>1624</v>
      </c>
      <c r="C172" s="138" t="s">
        <v>840</v>
      </c>
      <c r="D172" s="144">
        <v>0</v>
      </c>
      <c r="E172" s="144">
        <v>0</v>
      </c>
      <c r="F172" s="144">
        <v>0</v>
      </c>
      <c r="G172" s="291">
        <v>0</v>
      </c>
      <c r="H172" s="150">
        <v>0</v>
      </c>
      <c r="I172" s="567">
        <f t="shared" si="4"/>
        <v>0</v>
      </c>
    </row>
    <row r="173" spans="1:9" x14ac:dyDescent="0.15">
      <c r="A173" s="138"/>
      <c r="B173" s="521" t="s">
        <v>1625</v>
      </c>
      <c r="C173" s="138" t="s">
        <v>842</v>
      </c>
      <c r="D173" s="144">
        <v>0</v>
      </c>
      <c r="E173" s="144">
        <v>0</v>
      </c>
      <c r="F173" s="144">
        <v>0</v>
      </c>
      <c r="G173" s="291">
        <v>0</v>
      </c>
      <c r="H173" s="150">
        <v>0</v>
      </c>
      <c r="I173" s="567">
        <f t="shared" si="4"/>
        <v>0</v>
      </c>
    </row>
    <row r="174" spans="1:9" x14ac:dyDescent="0.15">
      <c r="A174" s="138"/>
      <c r="B174" s="521" t="s">
        <v>843</v>
      </c>
      <c r="C174" s="138" t="s">
        <v>848</v>
      </c>
      <c r="D174" s="144">
        <v>0</v>
      </c>
      <c r="E174" s="144">
        <v>0</v>
      </c>
      <c r="F174" s="144">
        <v>0</v>
      </c>
      <c r="G174" s="291">
        <v>0</v>
      </c>
      <c r="H174" s="150">
        <v>0</v>
      </c>
      <c r="I174" s="567">
        <f t="shared" si="4"/>
        <v>0</v>
      </c>
    </row>
    <row r="175" spans="1:9" x14ac:dyDescent="0.15">
      <c r="A175" s="138"/>
      <c r="B175" s="521" t="s">
        <v>844</v>
      </c>
      <c r="C175" s="138" t="s">
        <v>186</v>
      </c>
      <c r="D175" s="144">
        <v>0</v>
      </c>
      <c r="E175" s="144">
        <v>0</v>
      </c>
      <c r="F175" s="144">
        <v>0</v>
      </c>
      <c r="G175" s="291">
        <v>0</v>
      </c>
      <c r="H175" s="150">
        <v>0</v>
      </c>
      <c r="I175" s="567">
        <f t="shared" si="4"/>
        <v>0</v>
      </c>
    </row>
    <row r="176" spans="1:9" x14ac:dyDescent="0.15">
      <c r="A176" s="138"/>
      <c r="B176" s="521" t="s">
        <v>845</v>
      </c>
      <c r="C176" s="138" t="s">
        <v>154</v>
      </c>
      <c r="D176" s="144">
        <v>0</v>
      </c>
      <c r="E176" s="144">
        <v>0</v>
      </c>
      <c r="F176" s="144">
        <v>0</v>
      </c>
      <c r="G176" s="291">
        <v>0</v>
      </c>
      <c r="H176" s="150">
        <v>0</v>
      </c>
      <c r="I176" s="567">
        <f t="shared" si="4"/>
        <v>0</v>
      </c>
    </row>
    <row r="177" spans="1:9" x14ac:dyDescent="0.15">
      <c r="A177" s="138"/>
      <c r="B177" s="521" t="s">
        <v>846</v>
      </c>
      <c r="C177" s="138" t="s">
        <v>155</v>
      </c>
      <c r="D177" s="144">
        <v>0</v>
      </c>
      <c r="E177" s="144">
        <v>0</v>
      </c>
      <c r="F177" s="144">
        <v>0</v>
      </c>
      <c r="G177" s="291">
        <v>0</v>
      </c>
      <c r="H177" s="150">
        <v>0</v>
      </c>
      <c r="I177" s="567">
        <f t="shared" si="4"/>
        <v>0</v>
      </c>
    </row>
    <row r="178" spans="1:9" x14ac:dyDescent="0.15">
      <c r="A178" s="138"/>
      <c r="B178" s="521" t="s">
        <v>1582</v>
      </c>
      <c r="C178" s="138" t="s">
        <v>156</v>
      </c>
      <c r="D178" s="144">
        <v>0</v>
      </c>
      <c r="E178" s="144">
        <v>0</v>
      </c>
      <c r="F178" s="144">
        <v>0</v>
      </c>
      <c r="G178" s="291">
        <v>0</v>
      </c>
      <c r="H178" s="150">
        <v>0</v>
      </c>
      <c r="I178" s="567">
        <f t="shared" si="4"/>
        <v>0</v>
      </c>
    </row>
    <row r="179" spans="1:9" x14ac:dyDescent="0.15">
      <c r="A179" s="138"/>
      <c r="B179" s="521" t="s">
        <v>847</v>
      </c>
      <c r="C179" s="138" t="s">
        <v>157</v>
      </c>
      <c r="D179" s="144">
        <v>0</v>
      </c>
      <c r="E179" s="144">
        <v>0</v>
      </c>
      <c r="F179" s="144">
        <v>0</v>
      </c>
      <c r="G179" s="291">
        <v>0</v>
      </c>
      <c r="H179" s="150">
        <v>0</v>
      </c>
      <c r="I179" s="567">
        <f t="shared" si="4"/>
        <v>0</v>
      </c>
    </row>
    <row r="180" spans="1:9" x14ac:dyDescent="0.15">
      <c r="A180" s="138"/>
      <c r="B180" s="521" t="s">
        <v>1583</v>
      </c>
      <c r="C180" s="138" t="s">
        <v>160</v>
      </c>
      <c r="D180" s="144">
        <v>0</v>
      </c>
      <c r="E180" s="144">
        <v>0</v>
      </c>
      <c r="F180" s="144">
        <v>0</v>
      </c>
      <c r="G180" s="291">
        <v>0</v>
      </c>
      <c r="H180" s="150">
        <v>0</v>
      </c>
      <c r="I180" s="567">
        <f t="shared" si="4"/>
        <v>0</v>
      </c>
    </row>
    <row r="181" spans="1:9" x14ac:dyDescent="0.15">
      <c r="A181" s="138"/>
      <c r="B181" s="521" t="s">
        <v>634</v>
      </c>
      <c r="C181" s="138" t="s">
        <v>165</v>
      </c>
      <c r="D181" s="144">
        <v>0</v>
      </c>
      <c r="E181" s="144">
        <v>0</v>
      </c>
      <c r="F181" s="144">
        <v>0</v>
      </c>
      <c r="G181" s="291">
        <v>0</v>
      </c>
      <c r="H181" s="150">
        <v>0</v>
      </c>
      <c r="I181" s="567">
        <f t="shared" si="4"/>
        <v>0</v>
      </c>
    </row>
    <row r="182" spans="1:9" x14ac:dyDescent="0.15">
      <c r="A182" s="138"/>
      <c r="B182" s="521" t="s">
        <v>630</v>
      </c>
      <c r="C182" s="138" t="s">
        <v>172</v>
      </c>
      <c r="D182" s="144">
        <v>0</v>
      </c>
      <c r="E182" s="144">
        <v>0</v>
      </c>
      <c r="F182" s="144">
        <v>0</v>
      </c>
      <c r="G182" s="291">
        <v>0</v>
      </c>
      <c r="H182" s="150">
        <v>0</v>
      </c>
      <c r="I182" s="567">
        <f t="shared" si="4"/>
        <v>0</v>
      </c>
    </row>
    <row r="183" spans="1:9" x14ac:dyDescent="0.15">
      <c r="A183" s="138"/>
      <c r="B183" s="650" t="s">
        <v>631</v>
      </c>
      <c r="C183" s="651" t="s">
        <v>173</v>
      </c>
      <c r="D183" s="144">
        <v>0</v>
      </c>
      <c r="E183" s="144">
        <v>0</v>
      </c>
      <c r="F183" s="144">
        <v>0</v>
      </c>
      <c r="G183" s="291">
        <v>0</v>
      </c>
      <c r="H183" s="150">
        <v>0</v>
      </c>
      <c r="I183" s="567">
        <f t="shared" si="4"/>
        <v>0</v>
      </c>
    </row>
    <row r="184" spans="1:9" x14ac:dyDescent="0.15">
      <c r="A184" s="138"/>
      <c r="B184" s="521" t="s">
        <v>1584</v>
      </c>
      <c r="C184" s="138" t="s">
        <v>178</v>
      </c>
      <c r="D184" s="144">
        <v>0</v>
      </c>
      <c r="E184" s="144">
        <v>0</v>
      </c>
      <c r="F184" s="144">
        <v>0</v>
      </c>
      <c r="G184" s="291">
        <v>0</v>
      </c>
      <c r="H184" s="150">
        <v>0</v>
      </c>
      <c r="I184" s="567">
        <f t="shared" si="4"/>
        <v>0</v>
      </c>
    </row>
    <row r="185" spans="1:9" x14ac:dyDescent="0.15">
      <c r="A185" s="138"/>
      <c r="B185" s="521" t="s">
        <v>174</v>
      </c>
      <c r="C185" s="138" t="s">
        <v>179</v>
      </c>
      <c r="D185" s="144">
        <v>0</v>
      </c>
      <c r="E185" s="144">
        <v>0</v>
      </c>
      <c r="F185" s="144">
        <v>0</v>
      </c>
      <c r="G185" s="291">
        <v>0</v>
      </c>
      <c r="H185" s="150">
        <v>0</v>
      </c>
      <c r="I185" s="567">
        <f t="shared" si="4"/>
        <v>0</v>
      </c>
    </row>
    <row r="186" spans="1:9" x14ac:dyDescent="0.15">
      <c r="A186" s="138"/>
      <c r="B186" s="521" t="s">
        <v>175</v>
      </c>
      <c r="C186" s="138" t="s">
        <v>180</v>
      </c>
      <c r="D186" s="144">
        <v>0</v>
      </c>
      <c r="E186" s="144">
        <v>0</v>
      </c>
      <c r="F186" s="144">
        <v>0</v>
      </c>
      <c r="G186" s="291">
        <v>0</v>
      </c>
      <c r="H186" s="150">
        <v>0</v>
      </c>
      <c r="I186" s="567">
        <f t="shared" si="4"/>
        <v>0</v>
      </c>
    </row>
    <row r="187" spans="1:9" ht="11.25" thickBot="1" x14ac:dyDescent="0.2">
      <c r="A187" s="138"/>
      <c r="B187" s="521" t="s">
        <v>176</v>
      </c>
      <c r="C187" s="138" t="s">
        <v>181</v>
      </c>
      <c r="D187" s="144">
        <v>0</v>
      </c>
      <c r="E187" s="144">
        <v>0</v>
      </c>
      <c r="F187" s="144">
        <v>0</v>
      </c>
      <c r="G187" s="291">
        <v>0</v>
      </c>
      <c r="H187" s="150">
        <v>0</v>
      </c>
      <c r="I187" s="567">
        <f t="shared" si="4"/>
        <v>0</v>
      </c>
    </row>
    <row r="188" spans="1:9" ht="12" thickTop="1" thickBot="1" x14ac:dyDescent="0.2">
      <c r="A188" s="138"/>
      <c r="B188" s="521"/>
      <c r="C188" s="138" t="s">
        <v>222</v>
      </c>
      <c r="D188" s="169">
        <f>SUM(D155:D187)</f>
        <v>0</v>
      </c>
      <c r="E188" s="169">
        <f>SUM(E155:E187)</f>
        <v>0</v>
      </c>
      <c r="F188" s="169">
        <f>SUM(F155:F187)</f>
        <v>0</v>
      </c>
      <c r="G188" s="169">
        <f>SUM(G155:G187)</f>
        <v>0</v>
      </c>
      <c r="H188" s="169">
        <f>SUM(H155:H187)</f>
        <v>0</v>
      </c>
      <c r="I188" s="169">
        <f t="shared" si="4"/>
        <v>0</v>
      </c>
    </row>
    <row r="189" spans="1:9" ht="11.25" thickTop="1" x14ac:dyDescent="0.15">
      <c r="A189" s="512"/>
      <c r="B189" s="138"/>
      <c r="C189" s="138"/>
      <c r="D189" s="14"/>
      <c r="E189" s="14"/>
      <c r="F189" s="14"/>
      <c r="G189" s="14"/>
      <c r="H189" s="14"/>
      <c r="I189" s="563"/>
    </row>
    <row r="190" spans="1:9" x14ac:dyDescent="0.15">
      <c r="A190" s="512" t="s">
        <v>260</v>
      </c>
      <c r="B190" s="138"/>
      <c r="C190" s="138"/>
      <c r="D190" s="14"/>
      <c r="E190" s="14"/>
      <c r="F190" s="14"/>
      <c r="G190" s="14"/>
      <c r="H190" s="14"/>
      <c r="I190" s="563"/>
    </row>
    <row r="191" spans="1:9" s="434" customFormat="1" x14ac:dyDescent="0.15">
      <c r="B191" s="523" t="s">
        <v>1577</v>
      </c>
      <c r="C191" s="524" t="s">
        <v>228</v>
      </c>
      <c r="D191" s="316">
        <v>0</v>
      </c>
      <c r="E191" s="316">
        <v>0</v>
      </c>
      <c r="F191" s="316">
        <v>0</v>
      </c>
      <c r="G191" s="528">
        <f t="array" ref="G191">SUM(IF(CertFund&amp;CertProg&amp;CertObj=RIGHT(LEFT($A$2,7),2)&amp;LEFT(A190,4)&amp;B191,CertSalary))</f>
        <v>0</v>
      </c>
      <c r="H191" s="527">
        <v>0</v>
      </c>
      <c r="I191" s="566">
        <f>SUM(G191+H191)</f>
        <v>0</v>
      </c>
    </row>
    <row r="192" spans="1:9" s="434" customFormat="1" x14ac:dyDescent="0.15">
      <c r="B192" s="523" t="s">
        <v>1577</v>
      </c>
      <c r="C192" s="524" t="s">
        <v>510</v>
      </c>
      <c r="D192" s="316">
        <v>0</v>
      </c>
      <c r="E192" s="316">
        <v>0</v>
      </c>
      <c r="F192" s="316">
        <v>0</v>
      </c>
      <c r="G192" s="316">
        <v>0</v>
      </c>
      <c r="H192" s="527">
        <v>0</v>
      </c>
      <c r="I192" s="566">
        <f>SUM(G192+H192)</f>
        <v>0</v>
      </c>
    </row>
    <row r="193" spans="1:10" s="434" customFormat="1" x14ac:dyDescent="0.15">
      <c r="A193" s="524"/>
      <c r="B193" s="523" t="s">
        <v>1578</v>
      </c>
      <c r="C193" s="524" t="s">
        <v>936</v>
      </c>
      <c r="D193" s="316">
        <v>0</v>
      </c>
      <c r="E193" s="316">
        <v>0</v>
      </c>
      <c r="F193" s="316">
        <v>0</v>
      </c>
      <c r="G193" s="529">
        <f t="array" ref="G193">SUM(IF(CertFund&amp;CertProg&amp;CertObj=RIGHT(LEFT($A$2,7),2)&amp;LEFT(A190,4)&amp;B191,CertBen))</f>
        <v>0</v>
      </c>
      <c r="H193" s="527">
        <v>0</v>
      </c>
      <c r="I193" s="566">
        <f>SUM(G193+H193)</f>
        <v>0</v>
      </c>
    </row>
    <row r="194" spans="1:10" x14ac:dyDescent="0.15">
      <c r="A194" s="138"/>
      <c r="B194" s="521" t="s">
        <v>1578</v>
      </c>
      <c r="C194" s="138" t="s">
        <v>511</v>
      </c>
      <c r="D194" s="147">
        <v>0</v>
      </c>
      <c r="E194" s="147">
        <v>0</v>
      </c>
      <c r="F194" s="147">
        <v>0</v>
      </c>
      <c r="G194" s="147">
        <v>0</v>
      </c>
      <c r="H194" s="150">
        <v>0</v>
      </c>
      <c r="I194" s="567">
        <f>SUM(G194+H194)</f>
        <v>0</v>
      </c>
      <c r="J194" s="434"/>
    </row>
    <row r="195" spans="1:10" x14ac:dyDescent="0.15">
      <c r="A195" s="138"/>
      <c r="B195" s="521" t="s">
        <v>1579</v>
      </c>
      <c r="C195" s="138" t="s">
        <v>118</v>
      </c>
      <c r="D195" s="144">
        <v>0</v>
      </c>
      <c r="E195" s="144">
        <v>0</v>
      </c>
      <c r="F195" s="144">
        <v>0</v>
      </c>
      <c r="G195" s="291">
        <v>0</v>
      </c>
      <c r="H195" s="150">
        <v>0</v>
      </c>
      <c r="I195" s="567">
        <f t="shared" ref="I195:I222" si="5">SUM(G195+H195)</f>
        <v>0</v>
      </c>
    </row>
    <row r="196" spans="1:10" x14ac:dyDescent="0.15">
      <c r="A196" s="138"/>
      <c r="B196" s="521" t="s">
        <v>1580</v>
      </c>
      <c r="C196" s="138" t="s">
        <v>119</v>
      </c>
      <c r="D196" s="144">
        <v>0</v>
      </c>
      <c r="E196" s="144">
        <v>0</v>
      </c>
      <c r="F196" s="144">
        <v>0</v>
      </c>
      <c r="G196" s="291">
        <v>0</v>
      </c>
      <c r="H196" s="150">
        <v>0</v>
      </c>
      <c r="I196" s="567">
        <f t="shared" si="5"/>
        <v>0</v>
      </c>
    </row>
    <row r="197" spans="1:10" x14ac:dyDescent="0.15">
      <c r="A197" s="138"/>
      <c r="B197" s="521" t="s">
        <v>120</v>
      </c>
      <c r="C197" s="138" t="s">
        <v>121</v>
      </c>
      <c r="D197" s="144">
        <v>0</v>
      </c>
      <c r="E197" s="144">
        <v>0</v>
      </c>
      <c r="F197" s="144">
        <v>0</v>
      </c>
      <c r="G197" s="291">
        <v>0</v>
      </c>
      <c r="H197" s="150">
        <v>0</v>
      </c>
      <c r="I197" s="567">
        <f t="shared" si="5"/>
        <v>0</v>
      </c>
    </row>
    <row r="198" spans="1:10" x14ac:dyDescent="0.15">
      <c r="A198" s="138"/>
      <c r="B198" s="521" t="s">
        <v>122</v>
      </c>
      <c r="C198" s="138" t="s">
        <v>123</v>
      </c>
      <c r="D198" s="144">
        <v>0</v>
      </c>
      <c r="E198" s="144">
        <v>0</v>
      </c>
      <c r="F198" s="144">
        <v>0</v>
      </c>
      <c r="G198" s="291">
        <v>0</v>
      </c>
      <c r="H198" s="150">
        <v>0</v>
      </c>
      <c r="I198" s="567">
        <f t="shared" si="5"/>
        <v>0</v>
      </c>
    </row>
    <row r="199" spans="1:10" x14ac:dyDescent="0.15">
      <c r="A199" s="138"/>
      <c r="B199" s="521" t="s">
        <v>1581</v>
      </c>
      <c r="C199" s="138" t="s">
        <v>124</v>
      </c>
      <c r="D199" s="144">
        <v>0</v>
      </c>
      <c r="E199" s="144">
        <v>0</v>
      </c>
      <c r="F199" s="144">
        <v>0</v>
      </c>
      <c r="G199" s="291">
        <v>0</v>
      </c>
      <c r="H199" s="150">
        <v>0</v>
      </c>
      <c r="I199" s="567">
        <f t="shared" si="5"/>
        <v>0</v>
      </c>
    </row>
    <row r="200" spans="1:10" x14ac:dyDescent="0.15">
      <c r="A200" s="138"/>
      <c r="B200" s="521" t="s">
        <v>127</v>
      </c>
      <c r="C200" s="138" t="s">
        <v>134</v>
      </c>
      <c r="D200" s="144">
        <v>0</v>
      </c>
      <c r="E200" s="144">
        <v>0</v>
      </c>
      <c r="F200" s="144">
        <v>0</v>
      </c>
      <c r="G200" s="291">
        <v>0</v>
      </c>
      <c r="H200" s="150">
        <v>0</v>
      </c>
      <c r="I200" s="567">
        <f t="shared" si="5"/>
        <v>0</v>
      </c>
    </row>
    <row r="201" spans="1:10" x14ac:dyDescent="0.15">
      <c r="A201" s="138"/>
      <c r="B201" s="521" t="s">
        <v>132</v>
      </c>
      <c r="C201" s="138" t="s">
        <v>1617</v>
      </c>
      <c r="D201" s="144">
        <v>0</v>
      </c>
      <c r="E201" s="144">
        <v>0</v>
      </c>
      <c r="F201" s="144">
        <v>0</v>
      </c>
      <c r="G201" s="291">
        <v>0</v>
      </c>
      <c r="H201" s="150">
        <v>0</v>
      </c>
      <c r="I201" s="567">
        <f t="shared" si="5"/>
        <v>0</v>
      </c>
    </row>
    <row r="202" spans="1:10" x14ac:dyDescent="0.15">
      <c r="A202" s="138"/>
      <c r="B202" s="521" t="s">
        <v>1618</v>
      </c>
      <c r="C202" s="138" t="s">
        <v>836</v>
      </c>
      <c r="D202" s="144">
        <v>0</v>
      </c>
      <c r="E202" s="144">
        <v>0</v>
      </c>
      <c r="F202" s="144">
        <v>0</v>
      </c>
      <c r="G202" s="291">
        <v>0</v>
      </c>
      <c r="H202" s="150">
        <v>0</v>
      </c>
      <c r="I202" s="567">
        <f t="shared" si="5"/>
        <v>0</v>
      </c>
    </row>
    <row r="203" spans="1:10" x14ac:dyDescent="0.15">
      <c r="A203" s="138"/>
      <c r="B203" s="521" t="s">
        <v>1619</v>
      </c>
      <c r="C203" s="138" t="s">
        <v>185</v>
      </c>
      <c r="D203" s="144">
        <v>0</v>
      </c>
      <c r="E203" s="144">
        <v>0</v>
      </c>
      <c r="F203" s="144">
        <v>0</v>
      </c>
      <c r="G203" s="291">
        <v>0</v>
      </c>
      <c r="H203" s="150">
        <v>0</v>
      </c>
      <c r="I203" s="567">
        <f t="shared" si="5"/>
        <v>0</v>
      </c>
    </row>
    <row r="204" spans="1:10" x14ac:dyDescent="0.15">
      <c r="A204" s="138"/>
      <c r="B204" s="521" t="s">
        <v>1620</v>
      </c>
      <c r="C204" s="138" t="s">
        <v>838</v>
      </c>
      <c r="D204" s="144">
        <v>0</v>
      </c>
      <c r="E204" s="144">
        <v>0</v>
      </c>
      <c r="F204" s="144">
        <v>0</v>
      </c>
      <c r="G204" s="291">
        <v>0</v>
      </c>
      <c r="H204" s="150">
        <v>0</v>
      </c>
      <c r="I204" s="567">
        <f t="shared" si="5"/>
        <v>0</v>
      </c>
    </row>
    <row r="205" spans="1:10" x14ac:dyDescent="0.15">
      <c r="A205" s="138"/>
      <c r="B205" s="521" t="s">
        <v>1621</v>
      </c>
      <c r="C205" s="138" t="s">
        <v>839</v>
      </c>
      <c r="D205" s="144">
        <v>0</v>
      </c>
      <c r="E205" s="144">
        <v>0</v>
      </c>
      <c r="F205" s="144">
        <v>0</v>
      </c>
      <c r="G205" s="291">
        <v>0</v>
      </c>
      <c r="H205" s="150">
        <v>0</v>
      </c>
      <c r="I205" s="567">
        <f t="shared" si="5"/>
        <v>0</v>
      </c>
    </row>
    <row r="206" spans="1:10" x14ac:dyDescent="0.15">
      <c r="A206" s="138"/>
      <c r="B206" s="521" t="s">
        <v>1622</v>
      </c>
      <c r="C206" s="138" t="s">
        <v>190</v>
      </c>
      <c r="D206" s="144">
        <v>0</v>
      </c>
      <c r="E206" s="144">
        <v>0</v>
      </c>
      <c r="F206" s="144">
        <v>0</v>
      </c>
      <c r="G206" s="291">
        <v>0</v>
      </c>
      <c r="H206" s="150">
        <v>0</v>
      </c>
      <c r="I206" s="567">
        <f t="shared" si="5"/>
        <v>0</v>
      </c>
    </row>
    <row r="207" spans="1:10" x14ac:dyDescent="0.15">
      <c r="A207" s="138"/>
      <c r="B207" s="521" t="s">
        <v>1624</v>
      </c>
      <c r="C207" s="138" t="s">
        <v>840</v>
      </c>
      <c r="D207" s="144">
        <v>0</v>
      </c>
      <c r="E207" s="144">
        <v>0</v>
      </c>
      <c r="F207" s="144">
        <v>0</v>
      </c>
      <c r="G207" s="291">
        <v>0</v>
      </c>
      <c r="H207" s="150">
        <v>0</v>
      </c>
      <c r="I207" s="567">
        <f t="shared" si="5"/>
        <v>0</v>
      </c>
    </row>
    <row r="208" spans="1:10" x14ac:dyDescent="0.15">
      <c r="A208" s="138"/>
      <c r="B208" s="521" t="s">
        <v>1625</v>
      </c>
      <c r="C208" s="138" t="s">
        <v>842</v>
      </c>
      <c r="D208" s="144">
        <v>0</v>
      </c>
      <c r="E208" s="144">
        <v>0</v>
      </c>
      <c r="F208" s="144">
        <v>0</v>
      </c>
      <c r="G208" s="291">
        <v>0</v>
      </c>
      <c r="H208" s="150">
        <v>0</v>
      </c>
      <c r="I208" s="567">
        <f t="shared" si="5"/>
        <v>0</v>
      </c>
    </row>
    <row r="209" spans="1:9" x14ac:dyDescent="0.15">
      <c r="A209" s="138"/>
      <c r="B209" s="521" t="s">
        <v>843</v>
      </c>
      <c r="C209" s="138" t="s">
        <v>848</v>
      </c>
      <c r="D209" s="144">
        <v>0</v>
      </c>
      <c r="E209" s="144">
        <v>0</v>
      </c>
      <c r="F209" s="144">
        <v>0</v>
      </c>
      <c r="G209" s="291">
        <v>0</v>
      </c>
      <c r="H209" s="150">
        <v>0</v>
      </c>
      <c r="I209" s="567">
        <f t="shared" si="5"/>
        <v>0</v>
      </c>
    </row>
    <row r="210" spans="1:9" x14ac:dyDescent="0.15">
      <c r="A210" s="138"/>
      <c r="B210" s="521" t="s">
        <v>844</v>
      </c>
      <c r="C210" s="138" t="s">
        <v>186</v>
      </c>
      <c r="D210" s="144">
        <v>0</v>
      </c>
      <c r="E210" s="144">
        <v>0</v>
      </c>
      <c r="F210" s="144">
        <v>0</v>
      </c>
      <c r="G210" s="291">
        <v>0</v>
      </c>
      <c r="H210" s="150">
        <v>0</v>
      </c>
      <c r="I210" s="567">
        <f t="shared" si="5"/>
        <v>0</v>
      </c>
    </row>
    <row r="211" spans="1:9" x14ac:dyDescent="0.15">
      <c r="A211" s="138"/>
      <c r="B211" s="521" t="s">
        <v>845</v>
      </c>
      <c r="C211" s="138" t="s">
        <v>154</v>
      </c>
      <c r="D211" s="144">
        <v>0</v>
      </c>
      <c r="E211" s="144">
        <v>0</v>
      </c>
      <c r="F211" s="144">
        <v>0</v>
      </c>
      <c r="G211" s="291">
        <v>0</v>
      </c>
      <c r="H211" s="150">
        <v>0</v>
      </c>
      <c r="I211" s="567">
        <f t="shared" si="5"/>
        <v>0</v>
      </c>
    </row>
    <row r="212" spans="1:9" x14ac:dyDescent="0.15">
      <c r="A212" s="138"/>
      <c r="B212" s="521" t="s">
        <v>846</v>
      </c>
      <c r="C212" s="138" t="s">
        <v>155</v>
      </c>
      <c r="D212" s="144">
        <v>0</v>
      </c>
      <c r="E212" s="144">
        <v>0</v>
      </c>
      <c r="F212" s="144">
        <v>0</v>
      </c>
      <c r="G212" s="291">
        <v>0</v>
      </c>
      <c r="H212" s="150">
        <v>0</v>
      </c>
      <c r="I212" s="567">
        <f t="shared" si="5"/>
        <v>0</v>
      </c>
    </row>
    <row r="213" spans="1:9" x14ac:dyDescent="0.15">
      <c r="A213" s="138"/>
      <c r="B213" s="521" t="s">
        <v>1582</v>
      </c>
      <c r="C213" s="138" t="s">
        <v>156</v>
      </c>
      <c r="D213" s="144">
        <v>0</v>
      </c>
      <c r="E213" s="144">
        <v>0</v>
      </c>
      <c r="F213" s="144">
        <v>0</v>
      </c>
      <c r="G213" s="291">
        <v>0</v>
      </c>
      <c r="H213" s="150">
        <v>0</v>
      </c>
      <c r="I213" s="567">
        <f t="shared" si="5"/>
        <v>0</v>
      </c>
    </row>
    <row r="214" spans="1:9" x14ac:dyDescent="0.15">
      <c r="A214" s="138"/>
      <c r="B214" s="521" t="s">
        <v>847</v>
      </c>
      <c r="C214" s="138" t="s">
        <v>157</v>
      </c>
      <c r="D214" s="144">
        <v>0</v>
      </c>
      <c r="E214" s="144">
        <v>0</v>
      </c>
      <c r="F214" s="144">
        <v>0</v>
      </c>
      <c r="G214" s="291">
        <v>0</v>
      </c>
      <c r="H214" s="150">
        <v>0</v>
      </c>
      <c r="I214" s="567">
        <f t="shared" si="5"/>
        <v>0</v>
      </c>
    </row>
    <row r="215" spans="1:9" x14ac:dyDescent="0.15">
      <c r="A215" s="138"/>
      <c r="B215" s="521" t="s">
        <v>1583</v>
      </c>
      <c r="C215" s="138" t="s">
        <v>160</v>
      </c>
      <c r="D215" s="144">
        <v>0</v>
      </c>
      <c r="E215" s="144">
        <v>0</v>
      </c>
      <c r="F215" s="144">
        <v>0</v>
      </c>
      <c r="G215" s="291">
        <v>0</v>
      </c>
      <c r="H215" s="150">
        <v>0</v>
      </c>
      <c r="I215" s="567">
        <f t="shared" si="5"/>
        <v>0</v>
      </c>
    </row>
    <row r="216" spans="1:9" x14ac:dyDescent="0.15">
      <c r="A216" s="138"/>
      <c r="B216" s="521" t="s">
        <v>634</v>
      </c>
      <c r="C216" s="138" t="s">
        <v>165</v>
      </c>
      <c r="D216" s="144">
        <v>0</v>
      </c>
      <c r="E216" s="144">
        <v>0</v>
      </c>
      <c r="F216" s="144">
        <v>0</v>
      </c>
      <c r="G216" s="291">
        <v>0</v>
      </c>
      <c r="H216" s="150">
        <v>0</v>
      </c>
      <c r="I216" s="567">
        <f t="shared" si="5"/>
        <v>0</v>
      </c>
    </row>
    <row r="217" spans="1:9" x14ac:dyDescent="0.15">
      <c r="A217" s="138"/>
      <c r="B217" s="521" t="s">
        <v>630</v>
      </c>
      <c r="C217" s="138" t="s">
        <v>172</v>
      </c>
      <c r="D217" s="144">
        <v>0</v>
      </c>
      <c r="E217" s="144">
        <v>0</v>
      </c>
      <c r="F217" s="144">
        <v>0</v>
      </c>
      <c r="G217" s="291">
        <v>0</v>
      </c>
      <c r="H217" s="150">
        <v>0</v>
      </c>
      <c r="I217" s="567">
        <f t="shared" si="5"/>
        <v>0</v>
      </c>
    </row>
    <row r="218" spans="1:9" x14ac:dyDescent="0.15">
      <c r="A218" s="138"/>
      <c r="B218" s="650" t="s">
        <v>631</v>
      </c>
      <c r="C218" s="651" t="s">
        <v>173</v>
      </c>
      <c r="D218" s="144">
        <v>0</v>
      </c>
      <c r="E218" s="144">
        <v>0</v>
      </c>
      <c r="F218" s="144">
        <v>0</v>
      </c>
      <c r="G218" s="291">
        <v>0</v>
      </c>
      <c r="H218" s="150">
        <v>0</v>
      </c>
      <c r="I218" s="567">
        <f t="shared" si="5"/>
        <v>0</v>
      </c>
    </row>
    <row r="219" spans="1:9" x14ac:dyDescent="0.15">
      <c r="A219" s="138"/>
      <c r="B219" s="521" t="s">
        <v>1584</v>
      </c>
      <c r="C219" s="138" t="s">
        <v>178</v>
      </c>
      <c r="D219" s="144">
        <v>0</v>
      </c>
      <c r="E219" s="144">
        <v>0</v>
      </c>
      <c r="F219" s="144">
        <v>0</v>
      </c>
      <c r="G219" s="291">
        <v>0</v>
      </c>
      <c r="H219" s="150">
        <v>0</v>
      </c>
      <c r="I219" s="567">
        <f t="shared" si="5"/>
        <v>0</v>
      </c>
    </row>
    <row r="220" spans="1:9" x14ac:dyDescent="0.15">
      <c r="A220" s="138"/>
      <c r="B220" s="521" t="s">
        <v>174</v>
      </c>
      <c r="C220" s="138" t="s">
        <v>179</v>
      </c>
      <c r="D220" s="144">
        <v>0</v>
      </c>
      <c r="E220" s="144">
        <v>0</v>
      </c>
      <c r="F220" s="144">
        <v>0</v>
      </c>
      <c r="G220" s="291">
        <v>0</v>
      </c>
      <c r="H220" s="150">
        <v>0</v>
      </c>
      <c r="I220" s="567">
        <f t="shared" si="5"/>
        <v>0</v>
      </c>
    </row>
    <row r="221" spans="1:9" x14ac:dyDescent="0.15">
      <c r="A221" s="138"/>
      <c r="B221" s="521" t="s">
        <v>175</v>
      </c>
      <c r="C221" s="138" t="s">
        <v>180</v>
      </c>
      <c r="D221" s="144">
        <v>0</v>
      </c>
      <c r="E221" s="144">
        <v>0</v>
      </c>
      <c r="F221" s="144">
        <v>0</v>
      </c>
      <c r="G221" s="291">
        <v>0</v>
      </c>
      <c r="H221" s="150">
        <v>0</v>
      </c>
      <c r="I221" s="567">
        <f t="shared" si="5"/>
        <v>0</v>
      </c>
    </row>
    <row r="222" spans="1:9" ht="11.25" thickBot="1" x14ac:dyDescent="0.2">
      <c r="A222" s="138"/>
      <c r="B222" s="521" t="s">
        <v>176</v>
      </c>
      <c r="C222" s="138" t="s">
        <v>181</v>
      </c>
      <c r="D222" s="144">
        <v>0</v>
      </c>
      <c r="E222" s="144">
        <v>0</v>
      </c>
      <c r="F222" s="144">
        <v>0</v>
      </c>
      <c r="G222" s="291">
        <v>0</v>
      </c>
      <c r="H222" s="150">
        <v>0</v>
      </c>
      <c r="I222" s="567">
        <f t="shared" si="5"/>
        <v>0</v>
      </c>
    </row>
    <row r="223" spans="1:9" ht="12" thickTop="1" thickBot="1" x14ac:dyDescent="0.2">
      <c r="A223" s="138"/>
      <c r="B223" s="521"/>
      <c r="C223" s="138" t="s">
        <v>261</v>
      </c>
      <c r="D223" s="169">
        <f>SUM(D191:D222)</f>
        <v>0</v>
      </c>
      <c r="E223" s="169">
        <f>SUM(E191:E222)</f>
        <v>0</v>
      </c>
      <c r="F223" s="169">
        <f>SUM(F191:F222)</f>
        <v>0</v>
      </c>
      <c r="G223" s="169">
        <f>SUM(G191:G222)</f>
        <v>0</v>
      </c>
      <c r="H223" s="169">
        <f>SUM(H191:H222)</f>
        <v>0</v>
      </c>
      <c r="I223" s="169">
        <f>SUM(G224+H223)</f>
        <v>0</v>
      </c>
    </row>
    <row r="224" spans="1:9" ht="11.25" thickTop="1" x14ac:dyDescent="0.15">
      <c r="A224" s="512"/>
      <c r="B224" s="138"/>
      <c r="C224" s="138"/>
      <c r="D224" s="14"/>
      <c r="E224" s="14"/>
      <c r="F224" s="14"/>
      <c r="G224" s="14"/>
      <c r="H224" s="170"/>
      <c r="I224" s="170"/>
    </row>
    <row r="225" spans="1:10" x14ac:dyDescent="0.15">
      <c r="A225" s="512" t="s">
        <v>223</v>
      </c>
      <c r="B225" s="512"/>
      <c r="C225" s="512"/>
      <c r="D225" s="14"/>
      <c r="E225" s="14"/>
      <c r="F225" s="14"/>
      <c r="G225" s="14"/>
      <c r="H225" s="14"/>
      <c r="I225" s="563"/>
    </row>
    <row r="226" spans="1:10" s="434" customFormat="1" x14ac:dyDescent="0.15">
      <c r="B226" s="523" t="s">
        <v>1577</v>
      </c>
      <c r="C226" s="524" t="s">
        <v>228</v>
      </c>
      <c r="D226" s="316">
        <v>0</v>
      </c>
      <c r="E226" s="316">
        <v>0</v>
      </c>
      <c r="F226" s="316">
        <v>0</v>
      </c>
      <c r="G226" s="528">
        <f t="array" ref="G226">SUM(IF(CertFund&amp;CertProg&amp;CertObj=RIGHT(LEFT($A$2,7),2)&amp;LEFT(A225,4)&amp;B226,CertSalary))</f>
        <v>0</v>
      </c>
      <c r="H226" s="527">
        <v>0</v>
      </c>
      <c r="I226" s="566">
        <f t="shared" ref="I226:I259" si="6">SUM(G226+H226)</f>
        <v>0</v>
      </c>
    </row>
    <row r="227" spans="1:10" s="434" customFormat="1" x14ac:dyDescent="0.15">
      <c r="B227" s="523" t="s">
        <v>1577</v>
      </c>
      <c r="C227" s="524" t="s">
        <v>510</v>
      </c>
      <c r="D227" s="316">
        <v>0</v>
      </c>
      <c r="E227" s="316">
        <v>0</v>
      </c>
      <c r="F227" s="316">
        <v>0</v>
      </c>
      <c r="G227" s="316">
        <v>0</v>
      </c>
      <c r="H227" s="527">
        <v>0</v>
      </c>
      <c r="I227" s="566">
        <f t="shared" si="6"/>
        <v>0</v>
      </c>
    </row>
    <row r="228" spans="1:10" s="434" customFormat="1" x14ac:dyDescent="0.15">
      <c r="A228" s="524"/>
      <c r="B228" s="523" t="s">
        <v>1578</v>
      </c>
      <c r="C228" s="524" t="s">
        <v>936</v>
      </c>
      <c r="D228" s="316">
        <v>0</v>
      </c>
      <c r="E228" s="316">
        <v>0</v>
      </c>
      <c r="F228" s="316">
        <v>0</v>
      </c>
      <c r="G228" s="529">
        <f t="array" ref="G228">SUM(IF(CertFund&amp;CertProg&amp;CertObj=RIGHT(LEFT($A$2,7),2)&amp;LEFT(A225,4)&amp;B226,CertBen))</f>
        <v>0</v>
      </c>
      <c r="H228" s="527">
        <v>0</v>
      </c>
      <c r="I228" s="566">
        <f t="shared" si="6"/>
        <v>0</v>
      </c>
    </row>
    <row r="229" spans="1:10" x14ac:dyDescent="0.15">
      <c r="A229" s="138"/>
      <c r="B229" s="521" t="s">
        <v>1578</v>
      </c>
      <c r="C229" s="138" t="s">
        <v>511</v>
      </c>
      <c r="D229" s="147">
        <v>0</v>
      </c>
      <c r="E229" s="147">
        <v>0</v>
      </c>
      <c r="F229" s="147">
        <v>0</v>
      </c>
      <c r="G229" s="147">
        <v>0</v>
      </c>
      <c r="H229" s="150">
        <v>0</v>
      </c>
      <c r="I229" s="567">
        <f t="shared" si="6"/>
        <v>0</v>
      </c>
      <c r="J229" s="434"/>
    </row>
    <row r="230" spans="1:10" x14ac:dyDescent="0.15">
      <c r="A230" s="138"/>
      <c r="B230" s="521" t="s">
        <v>1579</v>
      </c>
      <c r="C230" s="138" t="s">
        <v>118</v>
      </c>
      <c r="D230" s="144">
        <v>0</v>
      </c>
      <c r="E230" s="144">
        <v>0</v>
      </c>
      <c r="F230" s="144">
        <v>0</v>
      </c>
      <c r="G230" s="291">
        <v>0</v>
      </c>
      <c r="H230" s="150">
        <v>0</v>
      </c>
      <c r="I230" s="567">
        <f t="shared" si="6"/>
        <v>0</v>
      </c>
    </row>
    <row r="231" spans="1:10" x14ac:dyDescent="0.15">
      <c r="A231" s="138"/>
      <c r="B231" s="521" t="s">
        <v>1580</v>
      </c>
      <c r="C231" s="138" t="s">
        <v>119</v>
      </c>
      <c r="D231" s="144">
        <v>0</v>
      </c>
      <c r="E231" s="144">
        <v>0</v>
      </c>
      <c r="F231" s="144">
        <v>0</v>
      </c>
      <c r="G231" s="291">
        <v>0</v>
      </c>
      <c r="H231" s="150">
        <v>0</v>
      </c>
      <c r="I231" s="567">
        <f t="shared" si="6"/>
        <v>0</v>
      </c>
    </row>
    <row r="232" spans="1:10" x14ac:dyDescent="0.15">
      <c r="A232" s="138"/>
      <c r="B232" s="521" t="s">
        <v>120</v>
      </c>
      <c r="C232" s="138" t="s">
        <v>121</v>
      </c>
      <c r="D232" s="144">
        <v>0</v>
      </c>
      <c r="E232" s="144">
        <v>0</v>
      </c>
      <c r="F232" s="144">
        <v>0</v>
      </c>
      <c r="G232" s="291">
        <v>0</v>
      </c>
      <c r="H232" s="150">
        <v>0</v>
      </c>
      <c r="I232" s="567">
        <f t="shared" si="6"/>
        <v>0</v>
      </c>
    </row>
    <row r="233" spans="1:10" x14ac:dyDescent="0.15">
      <c r="A233" s="138"/>
      <c r="B233" s="521" t="s">
        <v>122</v>
      </c>
      <c r="C233" s="138" t="s">
        <v>123</v>
      </c>
      <c r="D233" s="144">
        <v>0</v>
      </c>
      <c r="E233" s="144">
        <v>0</v>
      </c>
      <c r="F233" s="144">
        <v>0</v>
      </c>
      <c r="G233" s="291">
        <v>0</v>
      </c>
      <c r="H233" s="150">
        <v>0</v>
      </c>
      <c r="I233" s="567">
        <f t="shared" si="6"/>
        <v>0</v>
      </c>
    </row>
    <row r="234" spans="1:10" x14ac:dyDescent="0.15">
      <c r="A234" s="138"/>
      <c r="B234" s="521" t="s">
        <v>1581</v>
      </c>
      <c r="C234" s="138" t="s">
        <v>124</v>
      </c>
      <c r="D234" s="144">
        <v>0</v>
      </c>
      <c r="E234" s="144">
        <v>0</v>
      </c>
      <c r="F234" s="144">
        <v>0</v>
      </c>
      <c r="G234" s="291">
        <v>0</v>
      </c>
      <c r="H234" s="150">
        <v>0</v>
      </c>
      <c r="I234" s="567">
        <f t="shared" si="6"/>
        <v>0</v>
      </c>
    </row>
    <row r="235" spans="1:10" x14ac:dyDescent="0.15">
      <c r="A235" s="138"/>
      <c r="B235" s="521" t="s">
        <v>127</v>
      </c>
      <c r="C235" s="138" t="s">
        <v>134</v>
      </c>
      <c r="D235" s="144">
        <v>0</v>
      </c>
      <c r="E235" s="144">
        <v>0</v>
      </c>
      <c r="F235" s="144">
        <v>0</v>
      </c>
      <c r="G235" s="291">
        <v>0</v>
      </c>
      <c r="H235" s="150">
        <v>0</v>
      </c>
      <c r="I235" s="567">
        <f t="shared" si="6"/>
        <v>0</v>
      </c>
    </row>
    <row r="236" spans="1:10" x14ac:dyDescent="0.15">
      <c r="A236" s="138"/>
      <c r="B236" s="521" t="s">
        <v>132</v>
      </c>
      <c r="C236" s="138" t="s">
        <v>1617</v>
      </c>
      <c r="D236" s="144">
        <v>0</v>
      </c>
      <c r="E236" s="144">
        <v>0</v>
      </c>
      <c r="F236" s="144">
        <v>0</v>
      </c>
      <c r="G236" s="291">
        <v>0</v>
      </c>
      <c r="H236" s="150">
        <v>0</v>
      </c>
      <c r="I236" s="567">
        <f t="shared" si="6"/>
        <v>0</v>
      </c>
    </row>
    <row r="237" spans="1:10" x14ac:dyDescent="0.15">
      <c r="A237" s="138"/>
      <c r="B237" s="521" t="s">
        <v>1618</v>
      </c>
      <c r="C237" s="138" t="s">
        <v>836</v>
      </c>
      <c r="D237" s="144">
        <v>0</v>
      </c>
      <c r="E237" s="144">
        <v>0</v>
      </c>
      <c r="F237" s="144">
        <v>0</v>
      </c>
      <c r="G237" s="291">
        <v>0</v>
      </c>
      <c r="H237" s="150">
        <v>0</v>
      </c>
      <c r="I237" s="567">
        <f t="shared" si="6"/>
        <v>0</v>
      </c>
    </row>
    <row r="238" spans="1:10" x14ac:dyDescent="0.15">
      <c r="A238" s="138"/>
      <c r="B238" s="521" t="s">
        <v>1619</v>
      </c>
      <c r="C238" s="138" t="s">
        <v>185</v>
      </c>
      <c r="D238" s="144">
        <v>0</v>
      </c>
      <c r="E238" s="144">
        <v>0</v>
      </c>
      <c r="F238" s="144">
        <v>0</v>
      </c>
      <c r="G238" s="291">
        <v>0</v>
      </c>
      <c r="H238" s="150">
        <v>0</v>
      </c>
      <c r="I238" s="567">
        <f t="shared" si="6"/>
        <v>0</v>
      </c>
    </row>
    <row r="239" spans="1:10" x14ac:dyDescent="0.15">
      <c r="A239" s="138"/>
      <c r="B239" s="521" t="s">
        <v>1620</v>
      </c>
      <c r="C239" s="138" t="s">
        <v>838</v>
      </c>
      <c r="D239" s="144">
        <v>0</v>
      </c>
      <c r="E239" s="144">
        <v>0</v>
      </c>
      <c r="F239" s="144">
        <v>0</v>
      </c>
      <c r="G239" s="291">
        <v>0</v>
      </c>
      <c r="H239" s="150">
        <v>0</v>
      </c>
      <c r="I239" s="567">
        <f t="shared" si="6"/>
        <v>0</v>
      </c>
    </row>
    <row r="240" spans="1:10" x14ac:dyDescent="0.15">
      <c r="A240" s="138"/>
      <c r="B240" s="521" t="s">
        <v>1621</v>
      </c>
      <c r="C240" s="138" t="s">
        <v>839</v>
      </c>
      <c r="D240" s="144">
        <v>0</v>
      </c>
      <c r="E240" s="144">
        <v>0</v>
      </c>
      <c r="F240" s="144">
        <v>0</v>
      </c>
      <c r="G240" s="291">
        <v>0</v>
      </c>
      <c r="H240" s="150">
        <v>0</v>
      </c>
      <c r="I240" s="567">
        <f t="shared" si="6"/>
        <v>0</v>
      </c>
    </row>
    <row r="241" spans="1:9" x14ac:dyDescent="0.15">
      <c r="A241" s="138"/>
      <c r="B241" s="521" t="s">
        <v>1622</v>
      </c>
      <c r="C241" s="138" t="s">
        <v>190</v>
      </c>
      <c r="D241" s="144">
        <v>0</v>
      </c>
      <c r="E241" s="144">
        <v>0</v>
      </c>
      <c r="F241" s="144">
        <v>0</v>
      </c>
      <c r="G241" s="291">
        <v>0</v>
      </c>
      <c r="H241" s="150">
        <v>0</v>
      </c>
      <c r="I241" s="567">
        <f t="shared" si="6"/>
        <v>0</v>
      </c>
    </row>
    <row r="242" spans="1:9" x14ac:dyDescent="0.15">
      <c r="A242" s="138"/>
      <c r="B242" s="521" t="s">
        <v>1623</v>
      </c>
      <c r="C242" s="138" t="s">
        <v>191</v>
      </c>
      <c r="D242" s="144">
        <v>0</v>
      </c>
      <c r="E242" s="144">
        <v>0</v>
      </c>
      <c r="F242" s="144">
        <v>0</v>
      </c>
      <c r="G242" s="291">
        <v>0</v>
      </c>
      <c r="H242" s="150">
        <v>0</v>
      </c>
      <c r="I242" s="567">
        <f t="shared" si="6"/>
        <v>0</v>
      </c>
    </row>
    <row r="243" spans="1:9" x14ac:dyDescent="0.15">
      <c r="A243" s="138"/>
      <c r="B243" s="521" t="s">
        <v>1624</v>
      </c>
      <c r="C243" s="138" t="s">
        <v>840</v>
      </c>
      <c r="D243" s="144">
        <v>0</v>
      </c>
      <c r="E243" s="144">
        <v>0</v>
      </c>
      <c r="F243" s="144">
        <v>0</v>
      </c>
      <c r="G243" s="291">
        <v>0</v>
      </c>
      <c r="H243" s="150">
        <v>0</v>
      </c>
      <c r="I243" s="567">
        <f t="shared" si="6"/>
        <v>0</v>
      </c>
    </row>
    <row r="244" spans="1:9" x14ac:dyDescent="0.15">
      <c r="A244" s="138"/>
      <c r="B244" s="521" t="s">
        <v>1625</v>
      </c>
      <c r="C244" s="138" t="s">
        <v>842</v>
      </c>
      <c r="D244" s="144">
        <v>0</v>
      </c>
      <c r="E244" s="144">
        <v>0</v>
      </c>
      <c r="F244" s="144">
        <v>0</v>
      </c>
      <c r="G244" s="291">
        <v>0</v>
      </c>
      <c r="H244" s="150">
        <v>0</v>
      </c>
      <c r="I244" s="567">
        <f t="shared" si="6"/>
        <v>0</v>
      </c>
    </row>
    <row r="245" spans="1:9" x14ac:dyDescent="0.15">
      <c r="A245" s="138"/>
      <c r="B245" s="521" t="s">
        <v>843</v>
      </c>
      <c r="C245" s="138" t="s">
        <v>848</v>
      </c>
      <c r="D245" s="144">
        <v>0</v>
      </c>
      <c r="E245" s="144">
        <v>0</v>
      </c>
      <c r="F245" s="144">
        <v>0</v>
      </c>
      <c r="G245" s="291">
        <v>0</v>
      </c>
      <c r="H245" s="150">
        <v>0</v>
      </c>
      <c r="I245" s="567">
        <f t="shared" si="6"/>
        <v>0</v>
      </c>
    </row>
    <row r="246" spans="1:9" x14ac:dyDescent="0.15">
      <c r="A246" s="138"/>
      <c r="B246" s="521" t="s">
        <v>844</v>
      </c>
      <c r="C246" s="138" t="s">
        <v>186</v>
      </c>
      <c r="D246" s="144">
        <v>0</v>
      </c>
      <c r="E246" s="144">
        <v>0</v>
      </c>
      <c r="F246" s="144">
        <v>0</v>
      </c>
      <c r="G246" s="291">
        <v>0</v>
      </c>
      <c r="H246" s="150">
        <v>0</v>
      </c>
      <c r="I246" s="567">
        <f t="shared" si="6"/>
        <v>0</v>
      </c>
    </row>
    <row r="247" spans="1:9" x14ac:dyDescent="0.15">
      <c r="A247" s="138"/>
      <c r="B247" s="521" t="s">
        <v>845</v>
      </c>
      <c r="C247" s="138" t="s">
        <v>154</v>
      </c>
      <c r="D247" s="144">
        <v>0</v>
      </c>
      <c r="E247" s="144">
        <v>0</v>
      </c>
      <c r="F247" s="144">
        <v>0</v>
      </c>
      <c r="G247" s="291">
        <v>0</v>
      </c>
      <c r="H247" s="150">
        <v>0</v>
      </c>
      <c r="I247" s="567">
        <f t="shared" si="6"/>
        <v>0</v>
      </c>
    </row>
    <row r="248" spans="1:9" x14ac:dyDescent="0.15">
      <c r="A248" s="138"/>
      <c r="B248" s="521" t="s">
        <v>846</v>
      </c>
      <c r="C248" s="138" t="s">
        <v>155</v>
      </c>
      <c r="D248" s="144">
        <v>0</v>
      </c>
      <c r="E248" s="144">
        <v>0</v>
      </c>
      <c r="F248" s="144">
        <v>0</v>
      </c>
      <c r="G248" s="291">
        <v>0</v>
      </c>
      <c r="H248" s="150">
        <v>0</v>
      </c>
      <c r="I248" s="567">
        <f t="shared" si="6"/>
        <v>0</v>
      </c>
    </row>
    <row r="249" spans="1:9" x14ac:dyDescent="0.15">
      <c r="A249" s="138"/>
      <c r="B249" s="521" t="s">
        <v>1582</v>
      </c>
      <c r="C249" s="138" t="s">
        <v>156</v>
      </c>
      <c r="D249" s="144">
        <v>0</v>
      </c>
      <c r="E249" s="144">
        <v>0</v>
      </c>
      <c r="F249" s="144">
        <v>0</v>
      </c>
      <c r="G249" s="291">
        <v>0</v>
      </c>
      <c r="H249" s="150">
        <v>0</v>
      </c>
      <c r="I249" s="567">
        <f t="shared" si="6"/>
        <v>0</v>
      </c>
    </row>
    <row r="250" spans="1:9" x14ac:dyDescent="0.15">
      <c r="A250" s="138"/>
      <c r="B250" s="521" t="s">
        <v>847</v>
      </c>
      <c r="C250" s="138" t="s">
        <v>157</v>
      </c>
      <c r="D250" s="144">
        <v>0</v>
      </c>
      <c r="E250" s="144">
        <v>0</v>
      </c>
      <c r="F250" s="144">
        <v>0</v>
      </c>
      <c r="G250" s="291">
        <v>0</v>
      </c>
      <c r="H250" s="150">
        <v>0</v>
      </c>
      <c r="I250" s="567">
        <f t="shared" si="6"/>
        <v>0</v>
      </c>
    </row>
    <row r="251" spans="1:9" x14ac:dyDescent="0.15">
      <c r="A251" s="138"/>
      <c r="B251" s="521" t="s">
        <v>1583</v>
      </c>
      <c r="C251" s="138" t="s">
        <v>160</v>
      </c>
      <c r="D251" s="144">
        <v>0</v>
      </c>
      <c r="E251" s="144">
        <v>0</v>
      </c>
      <c r="F251" s="144">
        <v>0</v>
      </c>
      <c r="G251" s="291">
        <v>0</v>
      </c>
      <c r="H251" s="150">
        <v>0</v>
      </c>
      <c r="I251" s="567">
        <f t="shared" si="6"/>
        <v>0</v>
      </c>
    </row>
    <row r="252" spans="1:9" x14ac:dyDescent="0.15">
      <c r="A252" s="138"/>
      <c r="B252" s="521" t="s">
        <v>634</v>
      </c>
      <c r="C252" s="138" t="s">
        <v>165</v>
      </c>
      <c r="D252" s="144">
        <v>0</v>
      </c>
      <c r="E252" s="144">
        <v>0</v>
      </c>
      <c r="F252" s="144">
        <v>0</v>
      </c>
      <c r="G252" s="291">
        <v>0</v>
      </c>
      <c r="H252" s="150">
        <v>0</v>
      </c>
      <c r="I252" s="567">
        <f t="shared" si="6"/>
        <v>0</v>
      </c>
    </row>
    <row r="253" spans="1:9" x14ac:dyDescent="0.15">
      <c r="A253" s="138"/>
      <c r="B253" s="521" t="s">
        <v>630</v>
      </c>
      <c r="C253" s="138" t="s">
        <v>172</v>
      </c>
      <c r="D253" s="144">
        <v>0</v>
      </c>
      <c r="E253" s="144">
        <v>0</v>
      </c>
      <c r="F253" s="144">
        <v>0</v>
      </c>
      <c r="G253" s="291">
        <v>0</v>
      </c>
      <c r="H253" s="150">
        <v>0</v>
      </c>
      <c r="I253" s="567">
        <f t="shared" si="6"/>
        <v>0</v>
      </c>
    </row>
    <row r="254" spans="1:9" x14ac:dyDescent="0.15">
      <c r="A254" s="138"/>
      <c r="B254" s="650" t="s">
        <v>631</v>
      </c>
      <c r="C254" s="651" t="s">
        <v>173</v>
      </c>
      <c r="D254" s="144">
        <v>0</v>
      </c>
      <c r="E254" s="144">
        <v>0</v>
      </c>
      <c r="F254" s="144">
        <v>0</v>
      </c>
      <c r="G254" s="291">
        <v>0</v>
      </c>
      <c r="H254" s="150">
        <v>0</v>
      </c>
      <c r="I254" s="567">
        <f t="shared" si="6"/>
        <v>0</v>
      </c>
    </row>
    <row r="255" spans="1:9" x14ac:dyDescent="0.15">
      <c r="A255" s="138"/>
      <c r="B255" s="521" t="s">
        <v>1584</v>
      </c>
      <c r="C255" s="138" t="s">
        <v>178</v>
      </c>
      <c r="D255" s="144">
        <v>0</v>
      </c>
      <c r="E255" s="144">
        <v>0</v>
      </c>
      <c r="F255" s="144">
        <v>0</v>
      </c>
      <c r="G255" s="291">
        <v>0</v>
      </c>
      <c r="H255" s="150">
        <v>0</v>
      </c>
      <c r="I255" s="567">
        <f t="shared" si="6"/>
        <v>0</v>
      </c>
    </row>
    <row r="256" spans="1:9" x14ac:dyDescent="0.15">
      <c r="A256" s="138"/>
      <c r="B256" s="521" t="s">
        <v>174</v>
      </c>
      <c r="C256" s="138" t="s">
        <v>179</v>
      </c>
      <c r="D256" s="144">
        <v>0</v>
      </c>
      <c r="E256" s="144">
        <v>0</v>
      </c>
      <c r="F256" s="144">
        <v>0</v>
      </c>
      <c r="G256" s="291">
        <v>0</v>
      </c>
      <c r="H256" s="150">
        <v>0</v>
      </c>
      <c r="I256" s="567">
        <f t="shared" si="6"/>
        <v>0</v>
      </c>
    </row>
    <row r="257" spans="1:10" x14ac:dyDescent="0.15">
      <c r="A257" s="138"/>
      <c r="B257" s="521" t="s">
        <v>175</v>
      </c>
      <c r="C257" s="138" t="s">
        <v>180</v>
      </c>
      <c r="D257" s="144">
        <v>0</v>
      </c>
      <c r="E257" s="144">
        <v>0</v>
      </c>
      <c r="F257" s="144">
        <v>0</v>
      </c>
      <c r="G257" s="291">
        <v>0</v>
      </c>
      <c r="H257" s="150">
        <v>0</v>
      </c>
      <c r="I257" s="567">
        <f t="shared" si="6"/>
        <v>0</v>
      </c>
    </row>
    <row r="258" spans="1:10" ht="11.25" thickBot="1" x14ac:dyDescent="0.2">
      <c r="A258" s="138"/>
      <c r="B258" s="521" t="s">
        <v>176</v>
      </c>
      <c r="C258" s="138" t="s">
        <v>181</v>
      </c>
      <c r="D258" s="144">
        <v>0</v>
      </c>
      <c r="E258" s="144">
        <v>0</v>
      </c>
      <c r="F258" s="144">
        <v>0</v>
      </c>
      <c r="G258" s="291">
        <v>0</v>
      </c>
      <c r="H258" s="150">
        <v>0</v>
      </c>
      <c r="I258" s="567">
        <f t="shared" si="6"/>
        <v>0</v>
      </c>
    </row>
    <row r="259" spans="1:10" ht="12" thickTop="1" thickBot="1" x14ac:dyDescent="0.2">
      <c r="A259" s="138"/>
      <c r="B259" s="521"/>
      <c r="C259" s="138" t="s">
        <v>224</v>
      </c>
      <c r="D259" s="169">
        <f>SUM(D226:D258)</f>
        <v>0</v>
      </c>
      <c r="E259" s="169">
        <f>SUM(E226:E258)</f>
        <v>0</v>
      </c>
      <c r="F259" s="169">
        <f>SUM(F226:F258)</f>
        <v>0</v>
      </c>
      <c r="G259" s="169">
        <f>SUM(G226:G258)</f>
        <v>0</v>
      </c>
      <c r="H259" s="169">
        <f>SUM(H226:H258)</f>
        <v>0</v>
      </c>
      <c r="I259" s="169">
        <f t="shared" si="6"/>
        <v>0</v>
      </c>
    </row>
    <row r="260" spans="1:10" ht="11.25" thickTop="1" x14ac:dyDescent="0.15">
      <c r="A260" s="512"/>
      <c r="B260" s="512"/>
      <c r="C260" s="512"/>
      <c r="D260" s="14"/>
      <c r="E260" s="14"/>
      <c r="F260" s="14"/>
      <c r="G260" s="14"/>
      <c r="H260" s="14"/>
      <c r="I260" s="563"/>
    </row>
    <row r="261" spans="1:10" x14ac:dyDescent="0.15">
      <c r="A261" s="512" t="s">
        <v>647</v>
      </c>
      <c r="B261" s="138"/>
      <c r="C261" s="138"/>
      <c r="D261" s="14"/>
      <c r="E261" s="14"/>
      <c r="F261" s="14"/>
      <c r="G261" s="14"/>
      <c r="H261" s="14"/>
      <c r="I261" s="563"/>
    </row>
    <row r="262" spans="1:10" s="434" customFormat="1" x14ac:dyDescent="0.15">
      <c r="B262" s="523" t="s">
        <v>1577</v>
      </c>
      <c r="C262" s="524" t="s">
        <v>228</v>
      </c>
      <c r="D262" s="316">
        <v>0</v>
      </c>
      <c r="E262" s="316">
        <v>0</v>
      </c>
      <c r="F262" s="316">
        <v>0</v>
      </c>
      <c r="G262" s="528">
        <f t="array" ref="G262">SUM(IF(CertFund&amp;CertProg&amp;CertObj=RIGHT(LEFT($A$2,7),2)&amp;LEFT(A261,4)&amp;B262,CertSalary))</f>
        <v>0</v>
      </c>
      <c r="H262" s="527">
        <v>0</v>
      </c>
      <c r="I262" s="566">
        <f t="shared" ref="I262:I295" si="7">SUM(G262+H262)</f>
        <v>0</v>
      </c>
    </row>
    <row r="263" spans="1:10" s="434" customFormat="1" x14ac:dyDescent="0.15">
      <c r="B263" s="523" t="s">
        <v>1577</v>
      </c>
      <c r="C263" s="524" t="s">
        <v>510</v>
      </c>
      <c r="D263" s="316">
        <v>0</v>
      </c>
      <c r="E263" s="316">
        <v>0</v>
      </c>
      <c r="F263" s="316">
        <v>0</v>
      </c>
      <c r="G263" s="316">
        <v>0</v>
      </c>
      <c r="H263" s="527">
        <v>0</v>
      </c>
      <c r="I263" s="566">
        <f t="shared" si="7"/>
        <v>0</v>
      </c>
    </row>
    <row r="264" spans="1:10" s="434" customFormat="1" x14ac:dyDescent="0.15">
      <c r="A264" s="524"/>
      <c r="B264" s="523" t="s">
        <v>1578</v>
      </c>
      <c r="C264" s="524" t="s">
        <v>936</v>
      </c>
      <c r="D264" s="316">
        <v>0</v>
      </c>
      <c r="E264" s="316">
        <v>0</v>
      </c>
      <c r="F264" s="316">
        <v>0</v>
      </c>
      <c r="G264" s="529">
        <f t="array" ref="G264">SUM(IF(CertFund&amp;CertProg&amp;CertObj=RIGHT(LEFT($A$2,7),2)&amp;LEFT(A261,4)&amp;B262,CertBen))</f>
        <v>0</v>
      </c>
      <c r="H264" s="527">
        <v>0</v>
      </c>
      <c r="I264" s="566">
        <f t="shared" si="7"/>
        <v>0</v>
      </c>
    </row>
    <row r="265" spans="1:10" x14ac:dyDescent="0.15">
      <c r="A265" s="138"/>
      <c r="B265" s="521" t="s">
        <v>1578</v>
      </c>
      <c r="C265" s="138" t="s">
        <v>511</v>
      </c>
      <c r="D265" s="147">
        <v>0</v>
      </c>
      <c r="E265" s="147">
        <v>0</v>
      </c>
      <c r="F265" s="147">
        <v>0</v>
      </c>
      <c r="G265" s="147">
        <v>0</v>
      </c>
      <c r="H265" s="150">
        <v>0</v>
      </c>
      <c r="I265" s="567">
        <f t="shared" si="7"/>
        <v>0</v>
      </c>
      <c r="J265" s="434"/>
    </row>
    <row r="266" spans="1:10" x14ac:dyDescent="0.15">
      <c r="A266" s="138"/>
      <c r="B266" s="521" t="s">
        <v>1579</v>
      </c>
      <c r="C266" s="138" t="s">
        <v>118</v>
      </c>
      <c r="D266" s="144">
        <v>0</v>
      </c>
      <c r="E266" s="144">
        <v>0</v>
      </c>
      <c r="F266" s="144">
        <v>0</v>
      </c>
      <c r="G266" s="291">
        <v>0</v>
      </c>
      <c r="H266" s="150">
        <v>0</v>
      </c>
      <c r="I266" s="567">
        <f t="shared" si="7"/>
        <v>0</v>
      </c>
    </row>
    <row r="267" spans="1:10" x14ac:dyDescent="0.15">
      <c r="A267" s="138"/>
      <c r="B267" s="521" t="s">
        <v>1580</v>
      </c>
      <c r="C267" s="138" t="s">
        <v>119</v>
      </c>
      <c r="D267" s="144">
        <v>0</v>
      </c>
      <c r="E267" s="144">
        <v>0</v>
      </c>
      <c r="F267" s="144">
        <v>0</v>
      </c>
      <c r="G267" s="291">
        <v>0</v>
      </c>
      <c r="H267" s="150">
        <v>0</v>
      </c>
      <c r="I267" s="567">
        <f t="shared" si="7"/>
        <v>0</v>
      </c>
    </row>
    <row r="268" spans="1:10" x14ac:dyDescent="0.15">
      <c r="A268" s="138"/>
      <c r="B268" s="521" t="s">
        <v>120</v>
      </c>
      <c r="C268" s="138" t="s">
        <v>121</v>
      </c>
      <c r="D268" s="144">
        <v>0</v>
      </c>
      <c r="E268" s="144">
        <v>0</v>
      </c>
      <c r="F268" s="144">
        <v>0</v>
      </c>
      <c r="G268" s="291">
        <v>0</v>
      </c>
      <c r="H268" s="150">
        <v>0</v>
      </c>
      <c r="I268" s="567">
        <f t="shared" si="7"/>
        <v>0</v>
      </c>
    </row>
    <row r="269" spans="1:10" x14ac:dyDescent="0.15">
      <c r="A269" s="138"/>
      <c r="B269" s="521" t="s">
        <v>122</v>
      </c>
      <c r="C269" s="138" t="s">
        <v>123</v>
      </c>
      <c r="D269" s="144">
        <v>0</v>
      </c>
      <c r="E269" s="144">
        <v>0</v>
      </c>
      <c r="F269" s="144">
        <v>0</v>
      </c>
      <c r="G269" s="291">
        <v>0</v>
      </c>
      <c r="H269" s="150">
        <v>0</v>
      </c>
      <c r="I269" s="567">
        <f t="shared" si="7"/>
        <v>0</v>
      </c>
    </row>
    <row r="270" spans="1:10" x14ac:dyDescent="0.15">
      <c r="A270" s="138"/>
      <c r="B270" s="521" t="s">
        <v>1581</v>
      </c>
      <c r="C270" s="138" t="s">
        <v>124</v>
      </c>
      <c r="D270" s="144">
        <v>0</v>
      </c>
      <c r="E270" s="144">
        <v>0</v>
      </c>
      <c r="F270" s="144">
        <v>0</v>
      </c>
      <c r="G270" s="291">
        <v>0</v>
      </c>
      <c r="H270" s="150">
        <v>0</v>
      </c>
      <c r="I270" s="567">
        <f t="shared" si="7"/>
        <v>0</v>
      </c>
    </row>
    <row r="271" spans="1:10" x14ac:dyDescent="0.15">
      <c r="A271" s="138"/>
      <c r="B271" s="521" t="s">
        <v>127</v>
      </c>
      <c r="C271" s="138" t="s">
        <v>134</v>
      </c>
      <c r="D271" s="144">
        <v>0</v>
      </c>
      <c r="E271" s="144">
        <v>0</v>
      </c>
      <c r="F271" s="144">
        <v>0</v>
      </c>
      <c r="G271" s="291">
        <v>0</v>
      </c>
      <c r="H271" s="150">
        <v>0</v>
      </c>
      <c r="I271" s="567">
        <f t="shared" si="7"/>
        <v>0</v>
      </c>
    </row>
    <row r="272" spans="1:10" x14ac:dyDescent="0.15">
      <c r="A272" s="138"/>
      <c r="B272" s="521" t="s">
        <v>132</v>
      </c>
      <c r="C272" s="138" t="s">
        <v>1617</v>
      </c>
      <c r="D272" s="144">
        <v>0</v>
      </c>
      <c r="E272" s="144">
        <v>0</v>
      </c>
      <c r="F272" s="144">
        <v>0</v>
      </c>
      <c r="G272" s="291">
        <v>0</v>
      </c>
      <c r="H272" s="150">
        <v>0</v>
      </c>
      <c r="I272" s="567">
        <f t="shared" si="7"/>
        <v>0</v>
      </c>
    </row>
    <row r="273" spans="1:9" x14ac:dyDescent="0.15">
      <c r="A273" s="138"/>
      <c r="B273" s="521" t="s">
        <v>1618</v>
      </c>
      <c r="C273" s="138" t="s">
        <v>836</v>
      </c>
      <c r="D273" s="144">
        <v>0</v>
      </c>
      <c r="E273" s="144">
        <v>0</v>
      </c>
      <c r="F273" s="144">
        <v>0</v>
      </c>
      <c r="G273" s="291">
        <v>0</v>
      </c>
      <c r="H273" s="150">
        <v>0</v>
      </c>
      <c r="I273" s="567">
        <f t="shared" si="7"/>
        <v>0</v>
      </c>
    </row>
    <row r="274" spans="1:9" x14ac:dyDescent="0.15">
      <c r="A274" s="138"/>
      <c r="B274" s="521" t="s">
        <v>1619</v>
      </c>
      <c r="C274" s="138" t="s">
        <v>185</v>
      </c>
      <c r="D274" s="144">
        <v>0</v>
      </c>
      <c r="E274" s="144">
        <v>0</v>
      </c>
      <c r="F274" s="144">
        <v>0</v>
      </c>
      <c r="G274" s="291">
        <v>0</v>
      </c>
      <c r="H274" s="150">
        <v>0</v>
      </c>
      <c r="I274" s="567">
        <f t="shared" si="7"/>
        <v>0</v>
      </c>
    </row>
    <row r="275" spans="1:9" x14ac:dyDescent="0.15">
      <c r="A275" s="138"/>
      <c r="B275" s="521" t="s">
        <v>1620</v>
      </c>
      <c r="C275" s="138" t="s">
        <v>838</v>
      </c>
      <c r="D275" s="144">
        <v>0</v>
      </c>
      <c r="E275" s="144">
        <v>0</v>
      </c>
      <c r="F275" s="144">
        <v>0</v>
      </c>
      <c r="G275" s="291">
        <v>0</v>
      </c>
      <c r="H275" s="150">
        <v>0</v>
      </c>
      <c r="I275" s="567">
        <f t="shared" si="7"/>
        <v>0</v>
      </c>
    </row>
    <row r="276" spans="1:9" x14ac:dyDescent="0.15">
      <c r="A276" s="138"/>
      <c r="B276" s="521" t="s">
        <v>1621</v>
      </c>
      <c r="C276" s="138" t="s">
        <v>839</v>
      </c>
      <c r="D276" s="144">
        <v>0</v>
      </c>
      <c r="E276" s="144">
        <v>0</v>
      </c>
      <c r="F276" s="144">
        <v>0</v>
      </c>
      <c r="G276" s="291">
        <v>0</v>
      </c>
      <c r="H276" s="150">
        <v>0</v>
      </c>
      <c r="I276" s="567">
        <f t="shared" si="7"/>
        <v>0</v>
      </c>
    </row>
    <row r="277" spans="1:9" x14ac:dyDescent="0.15">
      <c r="A277" s="138"/>
      <c r="B277" s="521" t="s">
        <v>1622</v>
      </c>
      <c r="C277" s="138" t="s">
        <v>190</v>
      </c>
      <c r="D277" s="144">
        <v>0</v>
      </c>
      <c r="E277" s="144">
        <v>0</v>
      </c>
      <c r="F277" s="144">
        <v>0</v>
      </c>
      <c r="G277" s="291">
        <v>0</v>
      </c>
      <c r="H277" s="150">
        <v>0</v>
      </c>
      <c r="I277" s="567">
        <f t="shared" si="7"/>
        <v>0</v>
      </c>
    </row>
    <row r="278" spans="1:9" x14ac:dyDescent="0.15">
      <c r="A278" s="138"/>
      <c r="B278" s="521" t="s">
        <v>1623</v>
      </c>
      <c r="C278" s="138" t="s">
        <v>191</v>
      </c>
      <c r="D278" s="144">
        <v>0</v>
      </c>
      <c r="E278" s="144">
        <v>0</v>
      </c>
      <c r="F278" s="144">
        <v>0</v>
      </c>
      <c r="G278" s="291">
        <v>0</v>
      </c>
      <c r="H278" s="150">
        <v>0</v>
      </c>
      <c r="I278" s="567">
        <f t="shared" si="7"/>
        <v>0</v>
      </c>
    </row>
    <row r="279" spans="1:9" x14ac:dyDescent="0.15">
      <c r="A279" s="138"/>
      <c r="B279" s="521" t="s">
        <v>1624</v>
      </c>
      <c r="C279" s="138" t="s">
        <v>840</v>
      </c>
      <c r="D279" s="144">
        <v>0</v>
      </c>
      <c r="E279" s="144">
        <v>0</v>
      </c>
      <c r="F279" s="144">
        <v>0</v>
      </c>
      <c r="G279" s="291">
        <v>0</v>
      </c>
      <c r="H279" s="150">
        <v>0</v>
      </c>
      <c r="I279" s="567">
        <f t="shared" si="7"/>
        <v>0</v>
      </c>
    </row>
    <row r="280" spans="1:9" x14ac:dyDescent="0.15">
      <c r="A280" s="138"/>
      <c r="B280" s="521" t="s">
        <v>1625</v>
      </c>
      <c r="C280" s="138" t="s">
        <v>842</v>
      </c>
      <c r="D280" s="144">
        <v>0</v>
      </c>
      <c r="E280" s="144">
        <v>0</v>
      </c>
      <c r="F280" s="144">
        <v>0</v>
      </c>
      <c r="G280" s="291">
        <v>0</v>
      </c>
      <c r="H280" s="150">
        <v>0</v>
      </c>
      <c r="I280" s="567">
        <f t="shared" si="7"/>
        <v>0</v>
      </c>
    </row>
    <row r="281" spans="1:9" x14ac:dyDescent="0.15">
      <c r="A281" s="138"/>
      <c r="B281" s="521" t="s">
        <v>843</v>
      </c>
      <c r="C281" s="138" t="s">
        <v>848</v>
      </c>
      <c r="D281" s="144">
        <v>0</v>
      </c>
      <c r="E281" s="144">
        <v>0</v>
      </c>
      <c r="F281" s="144">
        <v>0</v>
      </c>
      <c r="G281" s="291">
        <v>0</v>
      </c>
      <c r="H281" s="150">
        <v>0</v>
      </c>
      <c r="I281" s="567">
        <f t="shared" si="7"/>
        <v>0</v>
      </c>
    </row>
    <row r="282" spans="1:9" x14ac:dyDescent="0.15">
      <c r="A282" s="138"/>
      <c r="B282" s="521" t="s">
        <v>844</v>
      </c>
      <c r="C282" s="138" t="s">
        <v>186</v>
      </c>
      <c r="D282" s="144">
        <v>0</v>
      </c>
      <c r="E282" s="144">
        <v>0</v>
      </c>
      <c r="F282" s="144">
        <v>0</v>
      </c>
      <c r="G282" s="291">
        <v>0</v>
      </c>
      <c r="H282" s="150">
        <v>0</v>
      </c>
      <c r="I282" s="567">
        <f t="shared" si="7"/>
        <v>0</v>
      </c>
    </row>
    <row r="283" spans="1:9" x14ac:dyDescent="0.15">
      <c r="A283" s="138"/>
      <c r="B283" s="521" t="s">
        <v>845</v>
      </c>
      <c r="C283" s="138" t="s">
        <v>154</v>
      </c>
      <c r="D283" s="144">
        <v>0</v>
      </c>
      <c r="E283" s="144">
        <v>0</v>
      </c>
      <c r="F283" s="144">
        <v>0</v>
      </c>
      <c r="G283" s="291">
        <v>0</v>
      </c>
      <c r="H283" s="150">
        <v>0</v>
      </c>
      <c r="I283" s="567">
        <f t="shared" si="7"/>
        <v>0</v>
      </c>
    </row>
    <row r="284" spans="1:9" x14ac:dyDescent="0.15">
      <c r="A284" s="138"/>
      <c r="B284" s="521" t="s">
        <v>846</v>
      </c>
      <c r="C284" s="138" t="s">
        <v>155</v>
      </c>
      <c r="D284" s="144">
        <v>0</v>
      </c>
      <c r="E284" s="144">
        <v>0</v>
      </c>
      <c r="F284" s="144">
        <v>0</v>
      </c>
      <c r="G284" s="291">
        <v>0</v>
      </c>
      <c r="H284" s="150">
        <v>0</v>
      </c>
      <c r="I284" s="567">
        <f t="shared" si="7"/>
        <v>0</v>
      </c>
    </row>
    <row r="285" spans="1:9" x14ac:dyDescent="0.15">
      <c r="A285" s="138"/>
      <c r="B285" s="521" t="s">
        <v>1582</v>
      </c>
      <c r="C285" s="138" t="s">
        <v>156</v>
      </c>
      <c r="D285" s="144">
        <v>0</v>
      </c>
      <c r="E285" s="144">
        <v>0</v>
      </c>
      <c r="F285" s="144">
        <v>0</v>
      </c>
      <c r="G285" s="291">
        <v>0</v>
      </c>
      <c r="H285" s="150">
        <v>0</v>
      </c>
      <c r="I285" s="567">
        <f t="shared" si="7"/>
        <v>0</v>
      </c>
    </row>
    <row r="286" spans="1:9" x14ac:dyDescent="0.15">
      <c r="A286" s="138"/>
      <c r="B286" s="521" t="s">
        <v>847</v>
      </c>
      <c r="C286" s="138" t="s">
        <v>157</v>
      </c>
      <c r="D286" s="144">
        <v>0</v>
      </c>
      <c r="E286" s="144">
        <v>0</v>
      </c>
      <c r="F286" s="144">
        <v>0</v>
      </c>
      <c r="G286" s="291">
        <v>0</v>
      </c>
      <c r="H286" s="150">
        <v>0</v>
      </c>
      <c r="I286" s="567">
        <f t="shared" si="7"/>
        <v>0</v>
      </c>
    </row>
    <row r="287" spans="1:9" x14ac:dyDescent="0.15">
      <c r="A287" s="138"/>
      <c r="B287" s="521" t="s">
        <v>1583</v>
      </c>
      <c r="C287" s="138" t="s">
        <v>160</v>
      </c>
      <c r="D287" s="144">
        <v>0</v>
      </c>
      <c r="E287" s="144">
        <v>0</v>
      </c>
      <c r="F287" s="144">
        <v>0</v>
      </c>
      <c r="G287" s="291">
        <v>0</v>
      </c>
      <c r="H287" s="150">
        <v>0</v>
      </c>
      <c r="I287" s="567">
        <f t="shared" si="7"/>
        <v>0</v>
      </c>
    </row>
    <row r="288" spans="1:9" x14ac:dyDescent="0.15">
      <c r="A288" s="138"/>
      <c r="B288" s="521" t="s">
        <v>634</v>
      </c>
      <c r="C288" s="138" t="s">
        <v>165</v>
      </c>
      <c r="D288" s="144">
        <v>0</v>
      </c>
      <c r="E288" s="144">
        <v>0</v>
      </c>
      <c r="F288" s="144">
        <v>0</v>
      </c>
      <c r="G288" s="291">
        <v>0</v>
      </c>
      <c r="H288" s="150">
        <v>0</v>
      </c>
      <c r="I288" s="567">
        <f t="shared" si="7"/>
        <v>0</v>
      </c>
    </row>
    <row r="289" spans="1:10" x14ac:dyDescent="0.15">
      <c r="A289" s="138"/>
      <c r="B289" s="521" t="s">
        <v>630</v>
      </c>
      <c r="C289" s="138" t="s">
        <v>172</v>
      </c>
      <c r="D289" s="144">
        <v>0</v>
      </c>
      <c r="E289" s="144">
        <v>0</v>
      </c>
      <c r="F289" s="144">
        <v>0</v>
      </c>
      <c r="G289" s="291">
        <v>0</v>
      </c>
      <c r="H289" s="150">
        <v>0</v>
      </c>
      <c r="I289" s="567">
        <f t="shared" si="7"/>
        <v>0</v>
      </c>
    </row>
    <row r="290" spans="1:10" x14ac:dyDescent="0.15">
      <c r="A290" s="138"/>
      <c r="B290" s="650" t="s">
        <v>631</v>
      </c>
      <c r="C290" s="651" t="s">
        <v>173</v>
      </c>
      <c r="D290" s="144">
        <v>0</v>
      </c>
      <c r="E290" s="144">
        <v>0</v>
      </c>
      <c r="F290" s="144">
        <v>0</v>
      </c>
      <c r="G290" s="291">
        <v>0</v>
      </c>
      <c r="H290" s="150">
        <v>0</v>
      </c>
      <c r="I290" s="567">
        <f t="shared" si="7"/>
        <v>0</v>
      </c>
    </row>
    <row r="291" spans="1:10" x14ac:dyDescent="0.15">
      <c r="A291" s="138"/>
      <c r="B291" s="521" t="s">
        <v>1584</v>
      </c>
      <c r="C291" s="138" t="s">
        <v>178</v>
      </c>
      <c r="D291" s="144">
        <v>0</v>
      </c>
      <c r="E291" s="144">
        <v>0</v>
      </c>
      <c r="F291" s="144">
        <v>0</v>
      </c>
      <c r="G291" s="291">
        <v>0</v>
      </c>
      <c r="H291" s="150">
        <v>0</v>
      </c>
      <c r="I291" s="567">
        <f t="shared" si="7"/>
        <v>0</v>
      </c>
    </row>
    <row r="292" spans="1:10" x14ac:dyDescent="0.15">
      <c r="A292" s="138"/>
      <c r="B292" s="521" t="s">
        <v>174</v>
      </c>
      <c r="C292" s="138" t="s">
        <v>179</v>
      </c>
      <c r="D292" s="144">
        <v>0</v>
      </c>
      <c r="E292" s="144">
        <v>0</v>
      </c>
      <c r="F292" s="144">
        <v>0</v>
      </c>
      <c r="G292" s="291">
        <v>0</v>
      </c>
      <c r="H292" s="150">
        <v>0</v>
      </c>
      <c r="I292" s="567">
        <f t="shared" si="7"/>
        <v>0</v>
      </c>
    </row>
    <row r="293" spans="1:10" x14ac:dyDescent="0.15">
      <c r="A293" s="138"/>
      <c r="B293" s="521" t="s">
        <v>175</v>
      </c>
      <c r="C293" s="138" t="s">
        <v>180</v>
      </c>
      <c r="D293" s="144">
        <v>0</v>
      </c>
      <c r="E293" s="144">
        <v>0</v>
      </c>
      <c r="F293" s="144">
        <v>0</v>
      </c>
      <c r="G293" s="291">
        <v>0</v>
      </c>
      <c r="H293" s="150">
        <v>0</v>
      </c>
      <c r="I293" s="567">
        <f t="shared" si="7"/>
        <v>0</v>
      </c>
    </row>
    <row r="294" spans="1:10" ht="11.25" thickBot="1" x14ac:dyDescent="0.2">
      <c r="A294" s="138"/>
      <c r="B294" s="521" t="s">
        <v>176</v>
      </c>
      <c r="C294" s="138" t="s">
        <v>181</v>
      </c>
      <c r="D294" s="144">
        <v>0</v>
      </c>
      <c r="E294" s="144">
        <v>0</v>
      </c>
      <c r="F294" s="144">
        <v>0</v>
      </c>
      <c r="G294" s="291">
        <v>0</v>
      </c>
      <c r="H294" s="150">
        <v>0</v>
      </c>
      <c r="I294" s="567">
        <f t="shared" si="7"/>
        <v>0</v>
      </c>
    </row>
    <row r="295" spans="1:10" ht="12" thickTop="1" thickBot="1" x14ac:dyDescent="0.2">
      <c r="A295" s="138"/>
      <c r="B295" s="521"/>
      <c r="C295" s="138" t="s">
        <v>226</v>
      </c>
      <c r="D295" s="169">
        <f>SUM(D262:D294)</f>
        <v>0</v>
      </c>
      <c r="E295" s="169">
        <f>SUM(E262:E294)</f>
        <v>0</v>
      </c>
      <c r="F295" s="169">
        <f>SUM(F262:F294)</f>
        <v>0</v>
      </c>
      <c r="G295" s="169">
        <f>SUM(G262:G294)</f>
        <v>0</v>
      </c>
      <c r="H295" s="169">
        <f>SUM(H262:H294)</f>
        <v>0</v>
      </c>
      <c r="I295" s="169">
        <f t="shared" si="7"/>
        <v>0</v>
      </c>
    </row>
    <row r="296" spans="1:10" ht="11.25" thickTop="1" x14ac:dyDescent="0.15">
      <c r="A296" s="138"/>
      <c r="B296" s="138"/>
      <c r="C296" s="138"/>
      <c r="D296" s="14"/>
      <c r="E296" s="14"/>
      <c r="F296" s="14"/>
      <c r="G296" s="14"/>
      <c r="H296" s="14"/>
      <c r="I296" s="563"/>
    </row>
    <row r="297" spans="1:10" x14ac:dyDescent="0.15">
      <c r="A297" s="512" t="s">
        <v>225</v>
      </c>
      <c r="B297" s="138"/>
      <c r="C297" s="138"/>
      <c r="D297" s="14"/>
      <c r="E297" s="14"/>
      <c r="F297" s="14"/>
      <c r="G297" s="14"/>
      <c r="H297" s="14"/>
      <c r="I297" s="563"/>
    </row>
    <row r="298" spans="1:10" s="434" customFormat="1" x14ac:dyDescent="0.15">
      <c r="B298" s="523" t="s">
        <v>1577</v>
      </c>
      <c r="C298" s="524" t="s">
        <v>228</v>
      </c>
      <c r="D298" s="316">
        <v>0</v>
      </c>
      <c r="E298" s="316">
        <v>0</v>
      </c>
      <c r="F298" s="316">
        <v>0</v>
      </c>
      <c r="G298" s="528">
        <f t="array" ref="G298">SUM(IF(CertFund&amp;CertProg&amp;CertObj=RIGHT(LEFT($A$2,7),2)&amp;LEFT(A297,4)&amp;B298,CertSalary))</f>
        <v>0</v>
      </c>
      <c r="H298" s="527">
        <v>0</v>
      </c>
      <c r="I298" s="566">
        <f t="shared" ref="I298:I331" si="8">SUM(G298+H298)</f>
        <v>0</v>
      </c>
    </row>
    <row r="299" spans="1:10" s="434" customFormat="1" x14ac:dyDescent="0.15">
      <c r="B299" s="523" t="s">
        <v>1577</v>
      </c>
      <c r="C299" s="524" t="s">
        <v>510</v>
      </c>
      <c r="D299" s="316">
        <v>0</v>
      </c>
      <c r="E299" s="316">
        <v>0</v>
      </c>
      <c r="F299" s="316">
        <v>0</v>
      </c>
      <c r="G299" s="316">
        <v>0</v>
      </c>
      <c r="H299" s="527">
        <v>0</v>
      </c>
      <c r="I299" s="566">
        <f t="shared" si="8"/>
        <v>0</v>
      </c>
    </row>
    <row r="300" spans="1:10" s="434" customFormat="1" x14ac:dyDescent="0.15">
      <c r="A300" s="524"/>
      <c r="B300" s="523" t="s">
        <v>1578</v>
      </c>
      <c r="C300" s="524" t="s">
        <v>936</v>
      </c>
      <c r="D300" s="316">
        <v>0</v>
      </c>
      <c r="E300" s="316">
        <v>0</v>
      </c>
      <c r="F300" s="316">
        <v>0</v>
      </c>
      <c r="G300" s="529">
        <f t="array" ref="G300">SUM(IF(CertFund&amp;CertProg&amp;CertObj=RIGHT(LEFT($A$2,7),2)&amp;LEFT(A297,4)&amp;B298,CertBen))</f>
        <v>0</v>
      </c>
      <c r="H300" s="527">
        <v>0</v>
      </c>
      <c r="I300" s="566">
        <f t="shared" si="8"/>
        <v>0</v>
      </c>
    </row>
    <row r="301" spans="1:10" x14ac:dyDescent="0.15">
      <c r="A301" s="138"/>
      <c r="B301" s="521" t="s">
        <v>1578</v>
      </c>
      <c r="C301" s="138" t="s">
        <v>511</v>
      </c>
      <c r="D301" s="147">
        <v>0</v>
      </c>
      <c r="E301" s="147">
        <v>0</v>
      </c>
      <c r="F301" s="147">
        <v>0</v>
      </c>
      <c r="G301" s="147">
        <v>0</v>
      </c>
      <c r="H301" s="150">
        <v>0</v>
      </c>
      <c r="I301" s="567">
        <f t="shared" si="8"/>
        <v>0</v>
      </c>
      <c r="J301" s="434"/>
    </row>
    <row r="302" spans="1:10" x14ac:dyDescent="0.15">
      <c r="A302" s="138"/>
      <c r="B302" s="521" t="s">
        <v>1579</v>
      </c>
      <c r="C302" s="138" t="s">
        <v>118</v>
      </c>
      <c r="D302" s="144">
        <v>0</v>
      </c>
      <c r="E302" s="144">
        <v>0</v>
      </c>
      <c r="F302" s="144">
        <v>0</v>
      </c>
      <c r="G302" s="291">
        <v>0</v>
      </c>
      <c r="H302" s="150">
        <v>0</v>
      </c>
      <c r="I302" s="567">
        <f t="shared" si="8"/>
        <v>0</v>
      </c>
    </row>
    <row r="303" spans="1:10" x14ac:dyDescent="0.15">
      <c r="A303" s="138"/>
      <c r="B303" s="521" t="s">
        <v>1580</v>
      </c>
      <c r="C303" s="138" t="s">
        <v>119</v>
      </c>
      <c r="D303" s="144">
        <v>0</v>
      </c>
      <c r="E303" s="144">
        <v>0</v>
      </c>
      <c r="F303" s="144">
        <v>0</v>
      </c>
      <c r="G303" s="291">
        <v>0</v>
      </c>
      <c r="H303" s="150">
        <v>0</v>
      </c>
      <c r="I303" s="567">
        <f t="shared" si="8"/>
        <v>0</v>
      </c>
    </row>
    <row r="304" spans="1:10" x14ac:dyDescent="0.15">
      <c r="A304" s="138"/>
      <c r="B304" s="521" t="s">
        <v>120</v>
      </c>
      <c r="C304" s="138" t="s">
        <v>121</v>
      </c>
      <c r="D304" s="144">
        <v>0</v>
      </c>
      <c r="E304" s="144">
        <v>0</v>
      </c>
      <c r="F304" s="144">
        <v>0</v>
      </c>
      <c r="G304" s="291">
        <v>0</v>
      </c>
      <c r="H304" s="150">
        <v>0</v>
      </c>
      <c r="I304" s="567">
        <f t="shared" si="8"/>
        <v>0</v>
      </c>
    </row>
    <row r="305" spans="1:9" x14ac:dyDescent="0.15">
      <c r="A305" s="138"/>
      <c r="B305" s="521" t="s">
        <v>122</v>
      </c>
      <c r="C305" s="138" t="s">
        <v>123</v>
      </c>
      <c r="D305" s="144">
        <v>0</v>
      </c>
      <c r="E305" s="144">
        <v>0</v>
      </c>
      <c r="F305" s="144">
        <v>0</v>
      </c>
      <c r="G305" s="291">
        <v>0</v>
      </c>
      <c r="H305" s="150">
        <v>0</v>
      </c>
      <c r="I305" s="567">
        <f t="shared" si="8"/>
        <v>0</v>
      </c>
    </row>
    <row r="306" spans="1:9" x14ac:dyDescent="0.15">
      <c r="A306" s="138"/>
      <c r="B306" s="521" t="s">
        <v>1581</v>
      </c>
      <c r="C306" s="138" t="s">
        <v>124</v>
      </c>
      <c r="D306" s="144">
        <v>0</v>
      </c>
      <c r="E306" s="144">
        <v>0</v>
      </c>
      <c r="F306" s="144">
        <v>0</v>
      </c>
      <c r="G306" s="291">
        <v>0</v>
      </c>
      <c r="H306" s="150">
        <v>0</v>
      </c>
      <c r="I306" s="567">
        <f t="shared" si="8"/>
        <v>0</v>
      </c>
    </row>
    <row r="307" spans="1:9" x14ac:dyDescent="0.15">
      <c r="A307" s="138"/>
      <c r="B307" s="521" t="s">
        <v>127</v>
      </c>
      <c r="C307" s="138" t="s">
        <v>134</v>
      </c>
      <c r="D307" s="144">
        <v>0</v>
      </c>
      <c r="E307" s="144">
        <v>0</v>
      </c>
      <c r="F307" s="144">
        <v>0</v>
      </c>
      <c r="G307" s="291">
        <v>0</v>
      </c>
      <c r="H307" s="150">
        <v>0</v>
      </c>
      <c r="I307" s="567">
        <f t="shared" si="8"/>
        <v>0</v>
      </c>
    </row>
    <row r="308" spans="1:9" x14ac:dyDescent="0.15">
      <c r="A308" s="138"/>
      <c r="B308" s="521" t="s">
        <v>132</v>
      </c>
      <c r="C308" s="138" t="s">
        <v>1617</v>
      </c>
      <c r="D308" s="144">
        <v>0</v>
      </c>
      <c r="E308" s="144">
        <v>0</v>
      </c>
      <c r="F308" s="144">
        <v>0</v>
      </c>
      <c r="G308" s="291">
        <v>0</v>
      </c>
      <c r="H308" s="150">
        <v>0</v>
      </c>
      <c r="I308" s="567">
        <f t="shared" si="8"/>
        <v>0</v>
      </c>
    </row>
    <row r="309" spans="1:9" x14ac:dyDescent="0.15">
      <c r="A309" s="138"/>
      <c r="B309" s="521" t="s">
        <v>1618</v>
      </c>
      <c r="C309" s="138" t="s">
        <v>836</v>
      </c>
      <c r="D309" s="144">
        <v>0</v>
      </c>
      <c r="E309" s="144">
        <v>0</v>
      </c>
      <c r="F309" s="144">
        <v>0</v>
      </c>
      <c r="G309" s="291">
        <v>0</v>
      </c>
      <c r="H309" s="150">
        <v>0</v>
      </c>
      <c r="I309" s="567">
        <f t="shared" si="8"/>
        <v>0</v>
      </c>
    </row>
    <row r="310" spans="1:9" x14ac:dyDescent="0.15">
      <c r="A310" s="138"/>
      <c r="B310" s="521" t="s">
        <v>1619</v>
      </c>
      <c r="C310" s="138" t="s">
        <v>185</v>
      </c>
      <c r="D310" s="144">
        <v>0</v>
      </c>
      <c r="E310" s="144">
        <v>0</v>
      </c>
      <c r="F310" s="144">
        <v>0</v>
      </c>
      <c r="G310" s="291">
        <v>0</v>
      </c>
      <c r="H310" s="150">
        <v>0</v>
      </c>
      <c r="I310" s="567">
        <f t="shared" si="8"/>
        <v>0</v>
      </c>
    </row>
    <row r="311" spans="1:9" x14ac:dyDescent="0.15">
      <c r="A311" s="138"/>
      <c r="B311" s="521" t="s">
        <v>1620</v>
      </c>
      <c r="C311" s="138" t="s">
        <v>838</v>
      </c>
      <c r="D311" s="144">
        <v>0</v>
      </c>
      <c r="E311" s="144">
        <v>0</v>
      </c>
      <c r="F311" s="144">
        <v>0</v>
      </c>
      <c r="G311" s="291">
        <v>0</v>
      </c>
      <c r="H311" s="150">
        <v>0</v>
      </c>
      <c r="I311" s="567">
        <f t="shared" si="8"/>
        <v>0</v>
      </c>
    </row>
    <row r="312" spans="1:9" x14ac:dyDescent="0.15">
      <c r="A312" s="138"/>
      <c r="B312" s="521" t="s">
        <v>1621</v>
      </c>
      <c r="C312" s="138" t="s">
        <v>839</v>
      </c>
      <c r="D312" s="144">
        <v>0</v>
      </c>
      <c r="E312" s="144">
        <v>0</v>
      </c>
      <c r="F312" s="144">
        <v>0</v>
      </c>
      <c r="G312" s="291">
        <v>0</v>
      </c>
      <c r="H312" s="150">
        <v>0</v>
      </c>
      <c r="I312" s="567">
        <f t="shared" si="8"/>
        <v>0</v>
      </c>
    </row>
    <row r="313" spans="1:9" x14ac:dyDescent="0.15">
      <c r="A313" s="138"/>
      <c r="B313" s="521" t="s">
        <v>1622</v>
      </c>
      <c r="C313" s="138" t="s">
        <v>190</v>
      </c>
      <c r="D313" s="144">
        <v>0</v>
      </c>
      <c r="E313" s="144">
        <v>0</v>
      </c>
      <c r="F313" s="144">
        <v>0</v>
      </c>
      <c r="G313" s="291">
        <v>0</v>
      </c>
      <c r="H313" s="150">
        <v>0</v>
      </c>
      <c r="I313" s="567">
        <f t="shared" si="8"/>
        <v>0</v>
      </c>
    </row>
    <row r="314" spans="1:9" x14ac:dyDescent="0.15">
      <c r="A314" s="138"/>
      <c r="B314" s="521" t="s">
        <v>1623</v>
      </c>
      <c r="C314" s="138" t="s">
        <v>191</v>
      </c>
      <c r="D314" s="144">
        <v>0</v>
      </c>
      <c r="E314" s="144">
        <v>0</v>
      </c>
      <c r="F314" s="144">
        <v>0</v>
      </c>
      <c r="G314" s="291">
        <v>0</v>
      </c>
      <c r="H314" s="150">
        <v>0</v>
      </c>
      <c r="I314" s="567">
        <f t="shared" si="8"/>
        <v>0</v>
      </c>
    </row>
    <row r="315" spans="1:9" x14ac:dyDescent="0.15">
      <c r="A315" s="138"/>
      <c r="B315" s="521" t="s">
        <v>1624</v>
      </c>
      <c r="C315" s="138" t="s">
        <v>840</v>
      </c>
      <c r="D315" s="144">
        <v>0</v>
      </c>
      <c r="E315" s="144">
        <v>0</v>
      </c>
      <c r="F315" s="144">
        <v>0</v>
      </c>
      <c r="G315" s="291">
        <v>0</v>
      </c>
      <c r="H315" s="150">
        <v>0</v>
      </c>
      <c r="I315" s="567">
        <f t="shared" si="8"/>
        <v>0</v>
      </c>
    </row>
    <row r="316" spans="1:9" x14ac:dyDescent="0.15">
      <c r="A316" s="138"/>
      <c r="B316" s="521" t="s">
        <v>1625</v>
      </c>
      <c r="C316" s="138" t="s">
        <v>842</v>
      </c>
      <c r="D316" s="144">
        <v>0</v>
      </c>
      <c r="E316" s="144">
        <v>0</v>
      </c>
      <c r="F316" s="144">
        <v>0</v>
      </c>
      <c r="G316" s="291">
        <v>0</v>
      </c>
      <c r="H316" s="150">
        <v>0</v>
      </c>
      <c r="I316" s="567">
        <f t="shared" si="8"/>
        <v>0</v>
      </c>
    </row>
    <row r="317" spans="1:9" x14ac:dyDescent="0.15">
      <c r="A317" s="138"/>
      <c r="B317" s="521" t="s">
        <v>843</v>
      </c>
      <c r="C317" s="138" t="s">
        <v>848</v>
      </c>
      <c r="D317" s="144">
        <v>0</v>
      </c>
      <c r="E317" s="144">
        <v>0</v>
      </c>
      <c r="F317" s="144">
        <v>0</v>
      </c>
      <c r="G317" s="291">
        <v>0</v>
      </c>
      <c r="H317" s="150">
        <v>0</v>
      </c>
      <c r="I317" s="567">
        <f t="shared" si="8"/>
        <v>0</v>
      </c>
    </row>
    <row r="318" spans="1:9" x14ac:dyDescent="0.15">
      <c r="A318" s="138"/>
      <c r="B318" s="521" t="s">
        <v>844</v>
      </c>
      <c r="C318" s="138" t="s">
        <v>186</v>
      </c>
      <c r="D318" s="144">
        <v>0</v>
      </c>
      <c r="E318" s="144">
        <v>0</v>
      </c>
      <c r="F318" s="144">
        <v>0</v>
      </c>
      <c r="G318" s="291">
        <v>0</v>
      </c>
      <c r="H318" s="150">
        <v>0</v>
      </c>
      <c r="I318" s="567">
        <f t="shared" si="8"/>
        <v>0</v>
      </c>
    </row>
    <row r="319" spans="1:9" x14ac:dyDescent="0.15">
      <c r="A319" s="138"/>
      <c r="B319" s="521" t="s">
        <v>845</v>
      </c>
      <c r="C319" s="138" t="s">
        <v>154</v>
      </c>
      <c r="D319" s="144">
        <v>0</v>
      </c>
      <c r="E319" s="144">
        <v>0</v>
      </c>
      <c r="F319" s="144">
        <v>0</v>
      </c>
      <c r="G319" s="291">
        <v>0</v>
      </c>
      <c r="H319" s="150">
        <v>0</v>
      </c>
      <c r="I319" s="567">
        <f t="shared" si="8"/>
        <v>0</v>
      </c>
    </row>
    <row r="320" spans="1:9" x14ac:dyDescent="0.15">
      <c r="A320" s="138"/>
      <c r="B320" s="521" t="s">
        <v>846</v>
      </c>
      <c r="C320" s="138" t="s">
        <v>155</v>
      </c>
      <c r="D320" s="144">
        <v>0</v>
      </c>
      <c r="E320" s="144">
        <v>0</v>
      </c>
      <c r="F320" s="144">
        <v>0</v>
      </c>
      <c r="G320" s="291">
        <v>0</v>
      </c>
      <c r="H320" s="150">
        <v>0</v>
      </c>
      <c r="I320" s="567">
        <f t="shared" si="8"/>
        <v>0</v>
      </c>
    </row>
    <row r="321" spans="1:9" x14ac:dyDescent="0.15">
      <c r="A321" s="138"/>
      <c r="B321" s="521" t="s">
        <v>1582</v>
      </c>
      <c r="C321" s="138" t="s">
        <v>156</v>
      </c>
      <c r="D321" s="144">
        <v>0</v>
      </c>
      <c r="E321" s="144">
        <v>0</v>
      </c>
      <c r="F321" s="144">
        <v>0</v>
      </c>
      <c r="G321" s="291">
        <v>0</v>
      </c>
      <c r="H321" s="150">
        <v>0</v>
      </c>
      <c r="I321" s="567">
        <f t="shared" si="8"/>
        <v>0</v>
      </c>
    </row>
    <row r="322" spans="1:9" x14ac:dyDescent="0.15">
      <c r="A322" s="138"/>
      <c r="B322" s="521" t="s">
        <v>847</v>
      </c>
      <c r="C322" s="138" t="s">
        <v>157</v>
      </c>
      <c r="D322" s="144">
        <v>0</v>
      </c>
      <c r="E322" s="144">
        <v>0</v>
      </c>
      <c r="F322" s="144">
        <v>0</v>
      </c>
      <c r="G322" s="291">
        <v>0</v>
      </c>
      <c r="H322" s="150">
        <v>0</v>
      </c>
      <c r="I322" s="567">
        <f t="shared" si="8"/>
        <v>0</v>
      </c>
    </row>
    <row r="323" spans="1:9" x14ac:dyDescent="0.15">
      <c r="A323" s="138"/>
      <c r="B323" s="521" t="s">
        <v>1583</v>
      </c>
      <c r="C323" s="138" t="s">
        <v>160</v>
      </c>
      <c r="D323" s="144">
        <v>0</v>
      </c>
      <c r="E323" s="144">
        <v>0</v>
      </c>
      <c r="F323" s="144">
        <v>0</v>
      </c>
      <c r="G323" s="291">
        <v>0</v>
      </c>
      <c r="H323" s="150">
        <v>0</v>
      </c>
      <c r="I323" s="567">
        <f t="shared" si="8"/>
        <v>0</v>
      </c>
    </row>
    <row r="324" spans="1:9" x14ac:dyDescent="0.15">
      <c r="A324" s="138"/>
      <c r="B324" s="521" t="s">
        <v>634</v>
      </c>
      <c r="C324" s="138" t="s">
        <v>165</v>
      </c>
      <c r="D324" s="144">
        <v>0</v>
      </c>
      <c r="E324" s="144">
        <v>0</v>
      </c>
      <c r="F324" s="144">
        <v>0</v>
      </c>
      <c r="G324" s="291">
        <v>0</v>
      </c>
      <c r="H324" s="150">
        <v>0</v>
      </c>
      <c r="I324" s="567">
        <f t="shared" si="8"/>
        <v>0</v>
      </c>
    </row>
    <row r="325" spans="1:9" x14ac:dyDescent="0.15">
      <c r="A325" s="138"/>
      <c r="B325" s="521" t="s">
        <v>630</v>
      </c>
      <c r="C325" s="138" t="s">
        <v>172</v>
      </c>
      <c r="D325" s="144">
        <v>0</v>
      </c>
      <c r="E325" s="144">
        <v>0</v>
      </c>
      <c r="F325" s="144">
        <v>0</v>
      </c>
      <c r="G325" s="291">
        <v>0</v>
      </c>
      <c r="H325" s="150">
        <v>0</v>
      </c>
      <c r="I325" s="567">
        <f t="shared" si="8"/>
        <v>0</v>
      </c>
    </row>
    <row r="326" spans="1:9" x14ac:dyDescent="0.15">
      <c r="A326" s="138"/>
      <c r="B326" s="650" t="s">
        <v>631</v>
      </c>
      <c r="C326" s="651" t="s">
        <v>173</v>
      </c>
      <c r="D326" s="144">
        <v>0</v>
      </c>
      <c r="E326" s="144">
        <v>0</v>
      </c>
      <c r="F326" s="144">
        <v>0</v>
      </c>
      <c r="G326" s="291">
        <v>0</v>
      </c>
      <c r="H326" s="150">
        <v>0</v>
      </c>
      <c r="I326" s="567">
        <f t="shared" si="8"/>
        <v>0</v>
      </c>
    </row>
    <row r="327" spans="1:9" x14ac:dyDescent="0.15">
      <c r="A327" s="138"/>
      <c r="B327" s="521" t="s">
        <v>1584</v>
      </c>
      <c r="C327" s="138" t="s">
        <v>178</v>
      </c>
      <c r="D327" s="144">
        <v>0</v>
      </c>
      <c r="E327" s="144">
        <v>0</v>
      </c>
      <c r="F327" s="144">
        <v>0</v>
      </c>
      <c r="G327" s="291">
        <v>0</v>
      </c>
      <c r="H327" s="150">
        <v>0</v>
      </c>
      <c r="I327" s="567">
        <f t="shared" si="8"/>
        <v>0</v>
      </c>
    </row>
    <row r="328" spans="1:9" x14ac:dyDescent="0.15">
      <c r="A328" s="138"/>
      <c r="B328" s="521" t="s">
        <v>174</v>
      </c>
      <c r="C328" s="138" t="s">
        <v>179</v>
      </c>
      <c r="D328" s="144">
        <v>0</v>
      </c>
      <c r="E328" s="144">
        <v>0</v>
      </c>
      <c r="F328" s="144">
        <v>0</v>
      </c>
      <c r="G328" s="291">
        <v>0</v>
      </c>
      <c r="H328" s="150">
        <v>0</v>
      </c>
      <c r="I328" s="567">
        <f t="shared" si="8"/>
        <v>0</v>
      </c>
    </row>
    <row r="329" spans="1:9" x14ac:dyDescent="0.15">
      <c r="A329" s="138"/>
      <c r="B329" s="521" t="s">
        <v>175</v>
      </c>
      <c r="C329" s="138" t="s">
        <v>180</v>
      </c>
      <c r="D329" s="144">
        <v>0</v>
      </c>
      <c r="E329" s="144">
        <v>0</v>
      </c>
      <c r="F329" s="144">
        <v>0</v>
      </c>
      <c r="G329" s="291">
        <v>0</v>
      </c>
      <c r="H329" s="150">
        <v>0</v>
      </c>
      <c r="I329" s="567">
        <f t="shared" si="8"/>
        <v>0</v>
      </c>
    </row>
    <row r="330" spans="1:9" ht="11.25" thickBot="1" x14ac:dyDescent="0.2">
      <c r="A330" s="138"/>
      <c r="B330" s="521" t="s">
        <v>176</v>
      </c>
      <c r="C330" s="138" t="s">
        <v>181</v>
      </c>
      <c r="D330" s="144">
        <v>0</v>
      </c>
      <c r="E330" s="144">
        <v>0</v>
      </c>
      <c r="F330" s="144">
        <v>0</v>
      </c>
      <c r="G330" s="291">
        <v>0</v>
      </c>
      <c r="H330" s="150">
        <v>0</v>
      </c>
      <c r="I330" s="567">
        <f t="shared" si="8"/>
        <v>0</v>
      </c>
    </row>
    <row r="331" spans="1:9" ht="12" thickTop="1" thickBot="1" x14ac:dyDescent="0.2">
      <c r="A331" s="138"/>
      <c r="B331" s="521"/>
      <c r="C331" s="138" t="s">
        <v>227</v>
      </c>
      <c r="D331" s="169">
        <f>SUM(D298:D330)</f>
        <v>0</v>
      </c>
      <c r="E331" s="169">
        <f>SUM(E298:E330)</f>
        <v>0</v>
      </c>
      <c r="F331" s="169">
        <f>SUM(F298:F330)</f>
        <v>0</v>
      </c>
      <c r="G331" s="169">
        <f>SUM(G298:G330)</f>
        <v>0</v>
      </c>
      <c r="H331" s="169">
        <f>SUM(H298:H330)</f>
        <v>0</v>
      </c>
      <c r="I331" s="169">
        <f t="shared" si="8"/>
        <v>0</v>
      </c>
    </row>
    <row r="332" spans="1:9" ht="11.25" thickTop="1" x14ac:dyDescent="0.15">
      <c r="A332" s="138"/>
      <c r="B332" s="138"/>
      <c r="C332" s="138"/>
      <c r="D332" s="14"/>
      <c r="E332" s="14"/>
      <c r="F332" s="14"/>
      <c r="G332" s="14"/>
      <c r="H332" s="14"/>
      <c r="I332" s="563"/>
    </row>
    <row r="333" spans="1:9" x14ac:dyDescent="0.15">
      <c r="A333" s="512" t="s">
        <v>235</v>
      </c>
      <c r="B333" s="138"/>
      <c r="C333" s="138"/>
      <c r="D333" s="14"/>
      <c r="E333" s="14"/>
      <c r="F333" s="14"/>
      <c r="G333" s="14"/>
      <c r="H333" s="14"/>
      <c r="I333" s="563"/>
    </row>
    <row r="334" spans="1:9" s="434" customFormat="1" x14ac:dyDescent="0.15">
      <c r="B334" s="523" t="s">
        <v>1577</v>
      </c>
      <c r="C334" s="524" t="s">
        <v>228</v>
      </c>
      <c r="D334" s="316">
        <v>0</v>
      </c>
      <c r="E334" s="316">
        <v>0</v>
      </c>
      <c r="F334" s="316">
        <v>0</v>
      </c>
      <c r="G334" s="528">
        <f t="array" ref="G334">SUM(IF(CertFund&amp;CertProg&amp;CertObj=RIGHT(LEFT($A$2,7),2)&amp;LEFT(A333,4)&amp;B334,CertSalary))</f>
        <v>0</v>
      </c>
      <c r="H334" s="527">
        <v>0</v>
      </c>
      <c r="I334" s="566">
        <f t="shared" ref="I334:I367" si="9">SUM(G334+H334)</f>
        <v>0</v>
      </c>
    </row>
    <row r="335" spans="1:9" s="434" customFormat="1" x14ac:dyDescent="0.15">
      <c r="B335" s="523" t="s">
        <v>1577</v>
      </c>
      <c r="C335" s="524" t="s">
        <v>510</v>
      </c>
      <c r="D335" s="316">
        <v>0</v>
      </c>
      <c r="E335" s="316">
        <v>0</v>
      </c>
      <c r="F335" s="316">
        <v>0</v>
      </c>
      <c r="G335" s="316">
        <v>0</v>
      </c>
      <c r="H335" s="527">
        <v>0</v>
      </c>
      <c r="I335" s="566">
        <f t="shared" si="9"/>
        <v>0</v>
      </c>
    </row>
    <row r="336" spans="1:9" s="434" customFormat="1" x14ac:dyDescent="0.15">
      <c r="A336" s="524"/>
      <c r="B336" s="523" t="s">
        <v>1578</v>
      </c>
      <c r="C336" s="524" t="s">
        <v>936</v>
      </c>
      <c r="D336" s="316">
        <v>0</v>
      </c>
      <c r="E336" s="316">
        <v>0</v>
      </c>
      <c r="F336" s="316">
        <v>0</v>
      </c>
      <c r="G336" s="529">
        <f t="array" ref="G336">SUM(IF(CertFund&amp;CertProg&amp;CertObj=RIGHT(LEFT($A$2,7),2)&amp;LEFT(A333,4)&amp;B334,CertBen))</f>
        <v>0</v>
      </c>
      <c r="H336" s="527">
        <v>0</v>
      </c>
      <c r="I336" s="566">
        <f t="shared" si="9"/>
        <v>0</v>
      </c>
    </row>
    <row r="337" spans="1:10" x14ac:dyDescent="0.15">
      <c r="A337" s="138"/>
      <c r="B337" s="521" t="s">
        <v>1578</v>
      </c>
      <c r="C337" s="138" t="s">
        <v>511</v>
      </c>
      <c r="D337" s="147">
        <v>0</v>
      </c>
      <c r="E337" s="147">
        <v>0</v>
      </c>
      <c r="F337" s="147">
        <v>0</v>
      </c>
      <c r="G337" s="147">
        <v>0</v>
      </c>
      <c r="H337" s="150">
        <v>0</v>
      </c>
      <c r="I337" s="567">
        <f t="shared" si="9"/>
        <v>0</v>
      </c>
      <c r="J337" s="434"/>
    </row>
    <row r="338" spans="1:10" x14ac:dyDescent="0.15">
      <c r="A338" s="138"/>
      <c r="B338" s="521" t="s">
        <v>1579</v>
      </c>
      <c r="C338" s="138" t="s">
        <v>118</v>
      </c>
      <c r="D338" s="144">
        <v>0</v>
      </c>
      <c r="E338" s="144">
        <v>0</v>
      </c>
      <c r="F338" s="144">
        <v>0</v>
      </c>
      <c r="G338" s="291">
        <v>0</v>
      </c>
      <c r="H338" s="150">
        <v>0</v>
      </c>
      <c r="I338" s="567">
        <f t="shared" si="9"/>
        <v>0</v>
      </c>
    </row>
    <row r="339" spans="1:10" x14ac:dyDescent="0.15">
      <c r="A339" s="138"/>
      <c r="B339" s="521" t="s">
        <v>1580</v>
      </c>
      <c r="C339" s="138" t="s">
        <v>119</v>
      </c>
      <c r="D339" s="144">
        <v>0</v>
      </c>
      <c r="E339" s="144">
        <v>0</v>
      </c>
      <c r="F339" s="144">
        <v>0</v>
      </c>
      <c r="G339" s="291">
        <v>0</v>
      </c>
      <c r="H339" s="150">
        <v>0</v>
      </c>
      <c r="I339" s="567">
        <f t="shared" si="9"/>
        <v>0</v>
      </c>
    </row>
    <row r="340" spans="1:10" x14ac:dyDescent="0.15">
      <c r="A340" s="138"/>
      <c r="B340" s="521" t="s">
        <v>120</v>
      </c>
      <c r="C340" s="138" t="s">
        <v>121</v>
      </c>
      <c r="D340" s="144">
        <v>0</v>
      </c>
      <c r="E340" s="144">
        <v>0</v>
      </c>
      <c r="F340" s="144">
        <v>0</v>
      </c>
      <c r="G340" s="291">
        <v>0</v>
      </c>
      <c r="H340" s="150">
        <v>0</v>
      </c>
      <c r="I340" s="567">
        <f t="shared" si="9"/>
        <v>0</v>
      </c>
    </row>
    <row r="341" spans="1:10" x14ac:dyDescent="0.15">
      <c r="A341" s="138"/>
      <c r="B341" s="521" t="s">
        <v>122</v>
      </c>
      <c r="C341" s="138" t="s">
        <v>123</v>
      </c>
      <c r="D341" s="144">
        <v>0</v>
      </c>
      <c r="E341" s="144">
        <v>0</v>
      </c>
      <c r="F341" s="144">
        <v>0</v>
      </c>
      <c r="G341" s="291">
        <v>0</v>
      </c>
      <c r="H341" s="150">
        <v>0</v>
      </c>
      <c r="I341" s="567">
        <f t="shared" si="9"/>
        <v>0</v>
      </c>
    </row>
    <row r="342" spans="1:10" x14ac:dyDescent="0.15">
      <c r="A342" s="138"/>
      <c r="B342" s="521" t="s">
        <v>1581</v>
      </c>
      <c r="C342" s="138" t="s">
        <v>124</v>
      </c>
      <c r="D342" s="144">
        <v>0</v>
      </c>
      <c r="E342" s="144">
        <v>0</v>
      </c>
      <c r="F342" s="144">
        <v>0</v>
      </c>
      <c r="G342" s="291">
        <v>0</v>
      </c>
      <c r="H342" s="150">
        <v>0</v>
      </c>
      <c r="I342" s="567">
        <f t="shared" si="9"/>
        <v>0</v>
      </c>
    </row>
    <row r="343" spans="1:10" x14ac:dyDescent="0.15">
      <c r="A343" s="138"/>
      <c r="B343" s="521" t="s">
        <v>127</v>
      </c>
      <c r="C343" s="138" t="s">
        <v>134</v>
      </c>
      <c r="D343" s="144">
        <v>0</v>
      </c>
      <c r="E343" s="144">
        <v>0</v>
      </c>
      <c r="F343" s="144">
        <v>0</v>
      </c>
      <c r="G343" s="291">
        <v>0</v>
      </c>
      <c r="H343" s="150">
        <v>0</v>
      </c>
      <c r="I343" s="567">
        <f t="shared" si="9"/>
        <v>0</v>
      </c>
    </row>
    <row r="344" spans="1:10" x14ac:dyDescent="0.15">
      <c r="A344" s="138"/>
      <c r="B344" s="521" t="s">
        <v>132</v>
      </c>
      <c r="C344" s="138" t="s">
        <v>1617</v>
      </c>
      <c r="D344" s="144">
        <v>0</v>
      </c>
      <c r="E344" s="144">
        <v>0</v>
      </c>
      <c r="F344" s="144">
        <v>0</v>
      </c>
      <c r="G344" s="291">
        <v>0</v>
      </c>
      <c r="H344" s="150">
        <v>0</v>
      </c>
      <c r="I344" s="567">
        <f t="shared" si="9"/>
        <v>0</v>
      </c>
    </row>
    <row r="345" spans="1:10" x14ac:dyDescent="0.15">
      <c r="A345" s="138"/>
      <c r="B345" s="521" t="s">
        <v>1618</v>
      </c>
      <c r="C345" s="138" t="s">
        <v>836</v>
      </c>
      <c r="D345" s="144">
        <v>0</v>
      </c>
      <c r="E345" s="144">
        <v>0</v>
      </c>
      <c r="F345" s="144">
        <v>0</v>
      </c>
      <c r="G345" s="291">
        <v>0</v>
      </c>
      <c r="H345" s="150">
        <v>0</v>
      </c>
      <c r="I345" s="567">
        <f t="shared" si="9"/>
        <v>0</v>
      </c>
    </row>
    <row r="346" spans="1:10" x14ac:dyDescent="0.15">
      <c r="A346" s="138"/>
      <c r="B346" s="521" t="s">
        <v>1619</v>
      </c>
      <c r="C346" s="138" t="s">
        <v>185</v>
      </c>
      <c r="D346" s="144">
        <v>0</v>
      </c>
      <c r="E346" s="144">
        <v>0</v>
      </c>
      <c r="F346" s="144">
        <v>0</v>
      </c>
      <c r="G346" s="291">
        <v>0</v>
      </c>
      <c r="H346" s="150">
        <v>0</v>
      </c>
      <c r="I346" s="567">
        <f t="shared" si="9"/>
        <v>0</v>
      </c>
    </row>
    <row r="347" spans="1:10" x14ac:dyDescent="0.15">
      <c r="A347" s="138"/>
      <c r="B347" s="521" t="s">
        <v>1620</v>
      </c>
      <c r="C347" s="138" t="s">
        <v>838</v>
      </c>
      <c r="D347" s="144">
        <v>0</v>
      </c>
      <c r="E347" s="144">
        <v>0</v>
      </c>
      <c r="F347" s="144">
        <v>0</v>
      </c>
      <c r="G347" s="291">
        <v>0</v>
      </c>
      <c r="H347" s="150">
        <v>0</v>
      </c>
      <c r="I347" s="567">
        <f t="shared" si="9"/>
        <v>0</v>
      </c>
    </row>
    <row r="348" spans="1:10" x14ac:dyDescent="0.15">
      <c r="A348" s="138"/>
      <c r="B348" s="521" t="s">
        <v>1621</v>
      </c>
      <c r="C348" s="138" t="s">
        <v>839</v>
      </c>
      <c r="D348" s="144">
        <v>0</v>
      </c>
      <c r="E348" s="144">
        <v>0</v>
      </c>
      <c r="F348" s="144">
        <v>0</v>
      </c>
      <c r="G348" s="291">
        <v>0</v>
      </c>
      <c r="H348" s="150">
        <v>0</v>
      </c>
      <c r="I348" s="567">
        <f t="shared" si="9"/>
        <v>0</v>
      </c>
    </row>
    <row r="349" spans="1:10" x14ac:dyDescent="0.15">
      <c r="A349" s="138"/>
      <c r="B349" s="521" t="s">
        <v>1622</v>
      </c>
      <c r="C349" s="138" t="s">
        <v>190</v>
      </c>
      <c r="D349" s="144">
        <v>0</v>
      </c>
      <c r="E349" s="144">
        <v>0</v>
      </c>
      <c r="F349" s="144">
        <v>0</v>
      </c>
      <c r="G349" s="291">
        <v>0</v>
      </c>
      <c r="H349" s="150">
        <v>0</v>
      </c>
      <c r="I349" s="567">
        <f t="shared" si="9"/>
        <v>0</v>
      </c>
    </row>
    <row r="350" spans="1:10" x14ac:dyDescent="0.15">
      <c r="A350" s="138"/>
      <c r="B350" s="521" t="s">
        <v>1623</v>
      </c>
      <c r="C350" s="138" t="s">
        <v>191</v>
      </c>
      <c r="D350" s="144">
        <v>0</v>
      </c>
      <c r="E350" s="144">
        <v>0</v>
      </c>
      <c r="F350" s="144">
        <v>0</v>
      </c>
      <c r="G350" s="291">
        <v>0</v>
      </c>
      <c r="H350" s="150">
        <v>0</v>
      </c>
      <c r="I350" s="567">
        <f t="shared" si="9"/>
        <v>0</v>
      </c>
    </row>
    <row r="351" spans="1:10" x14ac:dyDescent="0.15">
      <c r="A351" s="138"/>
      <c r="B351" s="521" t="s">
        <v>1624</v>
      </c>
      <c r="C351" s="138" t="s">
        <v>840</v>
      </c>
      <c r="D351" s="144">
        <v>0</v>
      </c>
      <c r="E351" s="144">
        <v>0</v>
      </c>
      <c r="F351" s="144">
        <v>0</v>
      </c>
      <c r="G351" s="291">
        <v>0</v>
      </c>
      <c r="H351" s="150">
        <v>0</v>
      </c>
      <c r="I351" s="567">
        <f t="shared" si="9"/>
        <v>0</v>
      </c>
    </row>
    <row r="352" spans="1:10" x14ac:dyDescent="0.15">
      <c r="A352" s="138"/>
      <c r="B352" s="521" t="s">
        <v>1625</v>
      </c>
      <c r="C352" s="138" t="s">
        <v>842</v>
      </c>
      <c r="D352" s="144">
        <v>0</v>
      </c>
      <c r="E352" s="144">
        <v>0</v>
      </c>
      <c r="F352" s="144">
        <v>0</v>
      </c>
      <c r="G352" s="291">
        <v>0</v>
      </c>
      <c r="H352" s="150">
        <v>0</v>
      </c>
      <c r="I352" s="567">
        <f t="shared" si="9"/>
        <v>0</v>
      </c>
    </row>
    <row r="353" spans="1:9" x14ac:dyDescent="0.15">
      <c r="A353" s="138"/>
      <c r="B353" s="521" t="s">
        <v>843</v>
      </c>
      <c r="C353" s="138" t="s">
        <v>848</v>
      </c>
      <c r="D353" s="144">
        <v>0</v>
      </c>
      <c r="E353" s="144">
        <v>0</v>
      </c>
      <c r="F353" s="144">
        <v>0</v>
      </c>
      <c r="G353" s="291">
        <v>0</v>
      </c>
      <c r="H353" s="150">
        <v>0</v>
      </c>
      <c r="I353" s="567">
        <f t="shared" si="9"/>
        <v>0</v>
      </c>
    </row>
    <row r="354" spans="1:9" x14ac:dyDescent="0.15">
      <c r="A354" s="138"/>
      <c r="B354" s="521" t="s">
        <v>844</v>
      </c>
      <c r="C354" s="138" t="s">
        <v>186</v>
      </c>
      <c r="D354" s="144">
        <v>0</v>
      </c>
      <c r="E354" s="144">
        <v>0</v>
      </c>
      <c r="F354" s="144">
        <v>0</v>
      </c>
      <c r="G354" s="291">
        <v>0</v>
      </c>
      <c r="H354" s="150">
        <v>0</v>
      </c>
      <c r="I354" s="567">
        <f t="shared" si="9"/>
        <v>0</v>
      </c>
    </row>
    <row r="355" spans="1:9" x14ac:dyDescent="0.15">
      <c r="A355" s="138"/>
      <c r="B355" s="521" t="s">
        <v>845</v>
      </c>
      <c r="C355" s="138" t="s">
        <v>154</v>
      </c>
      <c r="D355" s="144">
        <v>0</v>
      </c>
      <c r="E355" s="144">
        <v>0</v>
      </c>
      <c r="F355" s="144">
        <v>0</v>
      </c>
      <c r="G355" s="291">
        <v>0</v>
      </c>
      <c r="H355" s="150">
        <v>0</v>
      </c>
      <c r="I355" s="567">
        <f t="shared" si="9"/>
        <v>0</v>
      </c>
    </row>
    <row r="356" spans="1:9" x14ac:dyDescent="0.15">
      <c r="A356" s="138"/>
      <c r="B356" s="521" t="s">
        <v>846</v>
      </c>
      <c r="C356" s="138" t="s">
        <v>155</v>
      </c>
      <c r="D356" s="144">
        <v>0</v>
      </c>
      <c r="E356" s="144">
        <v>0</v>
      </c>
      <c r="F356" s="144">
        <v>0</v>
      </c>
      <c r="G356" s="291">
        <v>0</v>
      </c>
      <c r="H356" s="150">
        <v>0</v>
      </c>
      <c r="I356" s="567">
        <f t="shared" si="9"/>
        <v>0</v>
      </c>
    </row>
    <row r="357" spans="1:9" x14ac:dyDescent="0.15">
      <c r="A357" s="138"/>
      <c r="B357" s="521" t="s">
        <v>1582</v>
      </c>
      <c r="C357" s="138" t="s">
        <v>156</v>
      </c>
      <c r="D357" s="144">
        <v>0</v>
      </c>
      <c r="E357" s="144">
        <v>0</v>
      </c>
      <c r="F357" s="144">
        <v>0</v>
      </c>
      <c r="G357" s="291">
        <v>0</v>
      </c>
      <c r="H357" s="150">
        <v>0</v>
      </c>
      <c r="I357" s="567">
        <f t="shared" si="9"/>
        <v>0</v>
      </c>
    </row>
    <row r="358" spans="1:9" x14ac:dyDescent="0.15">
      <c r="A358" s="138"/>
      <c r="B358" s="521" t="s">
        <v>847</v>
      </c>
      <c r="C358" s="138" t="s">
        <v>157</v>
      </c>
      <c r="D358" s="144">
        <v>0</v>
      </c>
      <c r="E358" s="144">
        <v>0</v>
      </c>
      <c r="F358" s="144">
        <v>0</v>
      </c>
      <c r="G358" s="291">
        <v>0</v>
      </c>
      <c r="H358" s="150">
        <v>0</v>
      </c>
      <c r="I358" s="567">
        <f t="shared" si="9"/>
        <v>0</v>
      </c>
    </row>
    <row r="359" spans="1:9" x14ac:dyDescent="0.15">
      <c r="A359" s="138"/>
      <c r="B359" s="521" t="s">
        <v>1583</v>
      </c>
      <c r="C359" s="138" t="s">
        <v>160</v>
      </c>
      <c r="D359" s="144">
        <v>0</v>
      </c>
      <c r="E359" s="144">
        <v>0</v>
      </c>
      <c r="F359" s="144">
        <v>0</v>
      </c>
      <c r="G359" s="291">
        <v>0</v>
      </c>
      <c r="H359" s="150">
        <v>0</v>
      </c>
      <c r="I359" s="567">
        <f t="shared" si="9"/>
        <v>0</v>
      </c>
    </row>
    <row r="360" spans="1:9" x14ac:dyDescent="0.15">
      <c r="A360" s="138"/>
      <c r="B360" s="521" t="s">
        <v>634</v>
      </c>
      <c r="C360" s="138" t="s">
        <v>165</v>
      </c>
      <c r="D360" s="144">
        <v>0</v>
      </c>
      <c r="E360" s="144">
        <v>0</v>
      </c>
      <c r="F360" s="144">
        <v>0</v>
      </c>
      <c r="G360" s="291">
        <v>0</v>
      </c>
      <c r="H360" s="150">
        <v>0</v>
      </c>
      <c r="I360" s="567">
        <f t="shared" si="9"/>
        <v>0</v>
      </c>
    </row>
    <row r="361" spans="1:9" x14ac:dyDescent="0.15">
      <c r="A361" s="138"/>
      <c r="B361" s="521" t="s">
        <v>630</v>
      </c>
      <c r="C361" s="138" t="s">
        <v>172</v>
      </c>
      <c r="D361" s="144">
        <v>0</v>
      </c>
      <c r="E361" s="144">
        <v>0</v>
      </c>
      <c r="F361" s="144">
        <v>0</v>
      </c>
      <c r="G361" s="291">
        <v>0</v>
      </c>
      <c r="H361" s="150">
        <v>0</v>
      </c>
      <c r="I361" s="567">
        <f t="shared" si="9"/>
        <v>0</v>
      </c>
    </row>
    <row r="362" spans="1:9" x14ac:dyDescent="0.15">
      <c r="A362" s="138"/>
      <c r="B362" s="650" t="s">
        <v>631</v>
      </c>
      <c r="C362" s="651" t="s">
        <v>173</v>
      </c>
      <c r="D362" s="144">
        <v>0</v>
      </c>
      <c r="E362" s="144">
        <v>0</v>
      </c>
      <c r="F362" s="144">
        <v>0</v>
      </c>
      <c r="G362" s="291">
        <v>0</v>
      </c>
      <c r="H362" s="150">
        <v>0</v>
      </c>
      <c r="I362" s="567">
        <f t="shared" si="9"/>
        <v>0</v>
      </c>
    </row>
    <row r="363" spans="1:9" x14ac:dyDescent="0.15">
      <c r="A363" s="138"/>
      <c r="B363" s="521" t="s">
        <v>1584</v>
      </c>
      <c r="C363" s="138" t="s">
        <v>178</v>
      </c>
      <c r="D363" s="144">
        <v>0</v>
      </c>
      <c r="E363" s="144">
        <v>0</v>
      </c>
      <c r="F363" s="144">
        <v>0</v>
      </c>
      <c r="G363" s="291">
        <v>0</v>
      </c>
      <c r="H363" s="150">
        <v>0</v>
      </c>
      <c r="I363" s="567">
        <f t="shared" si="9"/>
        <v>0</v>
      </c>
    </row>
    <row r="364" spans="1:9" x14ac:dyDescent="0.15">
      <c r="A364" s="138"/>
      <c r="B364" s="521" t="s">
        <v>174</v>
      </c>
      <c r="C364" s="138" t="s">
        <v>179</v>
      </c>
      <c r="D364" s="144">
        <v>0</v>
      </c>
      <c r="E364" s="144">
        <v>0</v>
      </c>
      <c r="F364" s="144">
        <v>0</v>
      </c>
      <c r="G364" s="291">
        <v>0</v>
      </c>
      <c r="H364" s="150">
        <v>0</v>
      </c>
      <c r="I364" s="567">
        <f t="shared" si="9"/>
        <v>0</v>
      </c>
    </row>
    <row r="365" spans="1:9" x14ac:dyDescent="0.15">
      <c r="A365" s="138"/>
      <c r="B365" s="521" t="s">
        <v>175</v>
      </c>
      <c r="C365" s="138" t="s">
        <v>180</v>
      </c>
      <c r="D365" s="144">
        <v>0</v>
      </c>
      <c r="E365" s="144">
        <v>0</v>
      </c>
      <c r="F365" s="144">
        <v>0</v>
      </c>
      <c r="G365" s="291">
        <v>0</v>
      </c>
      <c r="H365" s="150">
        <v>0</v>
      </c>
      <c r="I365" s="567">
        <f t="shared" si="9"/>
        <v>0</v>
      </c>
    </row>
    <row r="366" spans="1:9" ht="11.25" thickBot="1" x14ac:dyDescent="0.2">
      <c r="A366" s="138"/>
      <c r="B366" s="521" t="s">
        <v>176</v>
      </c>
      <c r="C366" s="138" t="s">
        <v>181</v>
      </c>
      <c r="D366" s="144">
        <v>0</v>
      </c>
      <c r="E366" s="144">
        <v>0</v>
      </c>
      <c r="F366" s="144">
        <v>0</v>
      </c>
      <c r="G366" s="291">
        <v>0</v>
      </c>
      <c r="H366" s="150">
        <v>0</v>
      </c>
      <c r="I366" s="567">
        <f t="shared" si="9"/>
        <v>0</v>
      </c>
    </row>
    <row r="367" spans="1:9" ht="12" thickTop="1" thickBot="1" x14ac:dyDescent="0.2">
      <c r="A367" s="138"/>
      <c r="B367" s="521"/>
      <c r="C367" s="138" t="s">
        <v>236</v>
      </c>
      <c r="D367" s="169">
        <f>SUM(D334:D366)</f>
        <v>0</v>
      </c>
      <c r="E367" s="169">
        <f>SUM(E334:E366)</f>
        <v>0</v>
      </c>
      <c r="F367" s="169">
        <f>SUM(F334:F366)</f>
        <v>0</v>
      </c>
      <c r="G367" s="169">
        <f>SUM(G334:G366)</f>
        <v>0</v>
      </c>
      <c r="H367" s="169">
        <f>SUM(H334:H366)</f>
        <v>0</v>
      </c>
      <c r="I367" s="169">
        <f t="shared" si="9"/>
        <v>0</v>
      </c>
    </row>
    <row r="368" spans="1:9" ht="11.25" thickTop="1" x14ac:dyDescent="0.15">
      <c r="A368" s="138"/>
      <c r="B368" s="521"/>
      <c r="C368" s="138"/>
      <c r="D368" s="14"/>
      <c r="E368" s="14"/>
      <c r="F368" s="14"/>
      <c r="G368" s="14"/>
      <c r="H368" s="14"/>
      <c r="I368" s="563"/>
    </row>
    <row r="369" spans="1:10" x14ac:dyDescent="0.15">
      <c r="A369" s="512" t="s">
        <v>239</v>
      </c>
      <c r="B369" s="138"/>
      <c r="C369" s="138"/>
      <c r="D369" s="14"/>
      <c r="E369" s="14"/>
      <c r="F369" s="14"/>
      <c r="G369" s="14"/>
      <c r="H369" s="14"/>
      <c r="I369" s="563"/>
    </row>
    <row r="370" spans="1:10" x14ac:dyDescent="0.15">
      <c r="A370" s="522" t="s">
        <v>238</v>
      </c>
      <c r="B370" s="138"/>
      <c r="C370" s="138"/>
      <c r="D370" s="14"/>
      <c r="E370" s="14"/>
      <c r="F370" s="14"/>
      <c r="G370" s="14"/>
      <c r="H370" s="14"/>
      <c r="I370" s="563"/>
    </row>
    <row r="371" spans="1:10" s="434" customFormat="1" x14ac:dyDescent="0.15">
      <c r="B371" s="523" t="s">
        <v>1577</v>
      </c>
      <c r="C371" s="524" t="s">
        <v>228</v>
      </c>
      <c r="D371" s="316">
        <v>0</v>
      </c>
      <c r="E371" s="316">
        <v>0</v>
      </c>
      <c r="F371" s="316">
        <v>0</v>
      </c>
      <c r="G371" s="528">
        <f t="array" ref="G371">SUM(IF(CertFund&amp;CertProg&amp;CertObj=RIGHT(LEFT($A$2,7),2)&amp;LEFT(A370,4)&amp;B371,CertSalary))</f>
        <v>0</v>
      </c>
      <c r="H371" s="527">
        <v>0</v>
      </c>
      <c r="I371" s="566">
        <f t="shared" ref="I371:I405" si="10">SUM(G371+H371)</f>
        <v>0</v>
      </c>
    </row>
    <row r="372" spans="1:10" s="434" customFormat="1" x14ac:dyDescent="0.15">
      <c r="B372" s="523" t="s">
        <v>1577</v>
      </c>
      <c r="C372" s="524" t="s">
        <v>510</v>
      </c>
      <c r="D372" s="316">
        <v>0</v>
      </c>
      <c r="E372" s="316">
        <v>0</v>
      </c>
      <c r="F372" s="316">
        <v>0</v>
      </c>
      <c r="G372" s="316">
        <v>0</v>
      </c>
      <c r="H372" s="527">
        <v>0</v>
      </c>
      <c r="I372" s="566">
        <f t="shared" si="10"/>
        <v>0</v>
      </c>
    </row>
    <row r="373" spans="1:10" s="434" customFormat="1" x14ac:dyDescent="0.15">
      <c r="A373" s="524"/>
      <c r="B373" s="523" t="s">
        <v>1578</v>
      </c>
      <c r="C373" s="524" t="s">
        <v>936</v>
      </c>
      <c r="D373" s="316">
        <v>0</v>
      </c>
      <c r="E373" s="316">
        <v>0</v>
      </c>
      <c r="F373" s="316">
        <v>0</v>
      </c>
      <c r="G373" s="529">
        <f t="array" ref="G373">SUM(IF(CertFund&amp;CertProg&amp;CertObj=RIGHT(LEFT($A$2,7),2)&amp;LEFT(A370,4)&amp;B371,CertBen))</f>
        <v>0</v>
      </c>
      <c r="H373" s="527">
        <v>0</v>
      </c>
      <c r="I373" s="566">
        <f t="shared" si="10"/>
        <v>0</v>
      </c>
    </row>
    <row r="374" spans="1:10" x14ac:dyDescent="0.15">
      <c r="A374" s="138"/>
      <c r="B374" s="521" t="s">
        <v>1578</v>
      </c>
      <c r="C374" s="138" t="s">
        <v>511</v>
      </c>
      <c r="D374" s="147">
        <v>0</v>
      </c>
      <c r="E374" s="147">
        <v>0</v>
      </c>
      <c r="F374" s="147">
        <v>0</v>
      </c>
      <c r="G374" s="147">
        <v>0</v>
      </c>
      <c r="H374" s="150">
        <v>0</v>
      </c>
      <c r="I374" s="567">
        <f t="shared" si="10"/>
        <v>0</v>
      </c>
      <c r="J374" s="434"/>
    </row>
    <row r="375" spans="1:10" x14ac:dyDescent="0.15">
      <c r="A375" s="138"/>
      <c r="B375" s="521" t="s">
        <v>1579</v>
      </c>
      <c r="C375" s="138" t="s">
        <v>118</v>
      </c>
      <c r="D375" s="144">
        <v>0</v>
      </c>
      <c r="E375" s="144">
        <v>0</v>
      </c>
      <c r="F375" s="144">
        <v>0</v>
      </c>
      <c r="G375" s="291">
        <v>0</v>
      </c>
      <c r="H375" s="150">
        <v>0</v>
      </c>
      <c r="I375" s="567">
        <f t="shared" si="10"/>
        <v>0</v>
      </c>
    </row>
    <row r="376" spans="1:10" x14ac:dyDescent="0.15">
      <c r="A376" s="138"/>
      <c r="B376" s="521" t="s">
        <v>1580</v>
      </c>
      <c r="C376" s="138" t="s">
        <v>119</v>
      </c>
      <c r="D376" s="144">
        <v>0</v>
      </c>
      <c r="E376" s="144">
        <v>0</v>
      </c>
      <c r="F376" s="144">
        <v>0</v>
      </c>
      <c r="G376" s="291">
        <v>0</v>
      </c>
      <c r="H376" s="150">
        <v>0</v>
      </c>
      <c r="I376" s="567">
        <f t="shared" si="10"/>
        <v>0</v>
      </c>
    </row>
    <row r="377" spans="1:10" x14ac:dyDescent="0.15">
      <c r="A377" s="138"/>
      <c r="B377" s="521" t="s">
        <v>120</v>
      </c>
      <c r="C377" s="138" t="s">
        <v>121</v>
      </c>
      <c r="D377" s="144">
        <v>0</v>
      </c>
      <c r="E377" s="144">
        <v>0</v>
      </c>
      <c r="F377" s="144">
        <v>0</v>
      </c>
      <c r="G377" s="291">
        <v>0</v>
      </c>
      <c r="H377" s="150">
        <v>0</v>
      </c>
      <c r="I377" s="567">
        <f t="shared" si="10"/>
        <v>0</v>
      </c>
    </row>
    <row r="378" spans="1:10" x14ac:dyDescent="0.15">
      <c r="A378" s="138"/>
      <c r="B378" s="521" t="s">
        <v>122</v>
      </c>
      <c r="C378" s="138" t="s">
        <v>123</v>
      </c>
      <c r="D378" s="144">
        <v>0</v>
      </c>
      <c r="E378" s="144">
        <v>0</v>
      </c>
      <c r="F378" s="144">
        <v>0</v>
      </c>
      <c r="G378" s="291">
        <v>0</v>
      </c>
      <c r="H378" s="150">
        <v>0</v>
      </c>
      <c r="I378" s="567">
        <f t="shared" si="10"/>
        <v>0</v>
      </c>
    </row>
    <row r="379" spans="1:10" x14ac:dyDescent="0.15">
      <c r="A379" s="138"/>
      <c r="B379" s="521" t="s">
        <v>1581</v>
      </c>
      <c r="C379" s="138" t="s">
        <v>124</v>
      </c>
      <c r="D379" s="144">
        <v>0</v>
      </c>
      <c r="E379" s="144">
        <v>0</v>
      </c>
      <c r="F379" s="144">
        <v>0</v>
      </c>
      <c r="G379" s="291">
        <v>0</v>
      </c>
      <c r="H379" s="150">
        <v>0</v>
      </c>
      <c r="I379" s="567">
        <f t="shared" si="10"/>
        <v>0</v>
      </c>
    </row>
    <row r="380" spans="1:10" x14ac:dyDescent="0.15">
      <c r="A380" s="138"/>
      <c r="B380" s="521" t="s">
        <v>127</v>
      </c>
      <c r="C380" s="138" t="s">
        <v>134</v>
      </c>
      <c r="D380" s="144">
        <v>0</v>
      </c>
      <c r="E380" s="144">
        <v>0</v>
      </c>
      <c r="F380" s="144">
        <v>0</v>
      </c>
      <c r="G380" s="291">
        <v>0</v>
      </c>
      <c r="H380" s="150">
        <v>0</v>
      </c>
      <c r="I380" s="567">
        <f t="shared" si="10"/>
        <v>0</v>
      </c>
    </row>
    <row r="381" spans="1:10" x14ac:dyDescent="0.15">
      <c r="A381" s="138"/>
      <c r="B381" s="521" t="s">
        <v>128</v>
      </c>
      <c r="C381" s="138" t="s">
        <v>135</v>
      </c>
      <c r="D381" s="144">
        <v>0</v>
      </c>
      <c r="E381" s="144">
        <v>0</v>
      </c>
      <c r="F381" s="144">
        <v>0</v>
      </c>
      <c r="G381" s="291">
        <v>0</v>
      </c>
      <c r="H381" s="150">
        <v>0</v>
      </c>
      <c r="I381" s="567">
        <f t="shared" si="10"/>
        <v>0</v>
      </c>
    </row>
    <row r="382" spans="1:10" x14ac:dyDescent="0.15">
      <c r="A382" s="138"/>
      <c r="B382" s="521" t="s">
        <v>132</v>
      </c>
      <c r="C382" s="138" t="s">
        <v>1617</v>
      </c>
      <c r="D382" s="144">
        <v>0</v>
      </c>
      <c r="E382" s="144">
        <v>0</v>
      </c>
      <c r="F382" s="144">
        <v>0</v>
      </c>
      <c r="G382" s="291">
        <v>0</v>
      </c>
      <c r="H382" s="150">
        <v>0</v>
      </c>
      <c r="I382" s="567">
        <f t="shared" si="10"/>
        <v>0</v>
      </c>
    </row>
    <row r="383" spans="1:10" x14ac:dyDescent="0.15">
      <c r="A383" s="138"/>
      <c r="B383" s="521" t="s">
        <v>1618</v>
      </c>
      <c r="C383" s="138" t="s">
        <v>836</v>
      </c>
      <c r="D383" s="144">
        <v>0</v>
      </c>
      <c r="E383" s="144">
        <v>0</v>
      </c>
      <c r="F383" s="144">
        <v>0</v>
      </c>
      <c r="G383" s="291">
        <v>0</v>
      </c>
      <c r="H383" s="150">
        <v>0</v>
      </c>
      <c r="I383" s="567">
        <f t="shared" si="10"/>
        <v>0</v>
      </c>
    </row>
    <row r="384" spans="1:10" x14ac:dyDescent="0.15">
      <c r="A384" s="138"/>
      <c r="B384" s="521" t="s">
        <v>1619</v>
      </c>
      <c r="C384" s="138" t="s">
        <v>837</v>
      </c>
      <c r="D384" s="144">
        <v>0</v>
      </c>
      <c r="E384" s="144">
        <v>0</v>
      </c>
      <c r="F384" s="144">
        <v>0</v>
      </c>
      <c r="G384" s="291">
        <v>0</v>
      </c>
      <c r="H384" s="150">
        <v>0</v>
      </c>
      <c r="I384" s="567">
        <f t="shared" si="10"/>
        <v>0</v>
      </c>
    </row>
    <row r="385" spans="1:9" x14ac:dyDescent="0.15">
      <c r="A385" s="138"/>
      <c r="B385" s="521" t="s">
        <v>1620</v>
      </c>
      <c r="C385" s="138" t="s">
        <v>838</v>
      </c>
      <c r="D385" s="144">
        <v>0</v>
      </c>
      <c r="E385" s="144">
        <v>0</v>
      </c>
      <c r="F385" s="144">
        <v>0</v>
      </c>
      <c r="G385" s="291">
        <v>0</v>
      </c>
      <c r="H385" s="150">
        <v>0</v>
      </c>
      <c r="I385" s="567">
        <f t="shared" si="10"/>
        <v>0</v>
      </c>
    </row>
    <row r="386" spans="1:9" x14ac:dyDescent="0.15">
      <c r="A386" s="138"/>
      <c r="B386" s="521" t="s">
        <v>1621</v>
      </c>
      <c r="C386" s="138" t="s">
        <v>839</v>
      </c>
      <c r="D386" s="144">
        <v>0</v>
      </c>
      <c r="E386" s="144">
        <v>0</v>
      </c>
      <c r="F386" s="144">
        <v>0</v>
      </c>
      <c r="G386" s="291">
        <v>0</v>
      </c>
      <c r="H386" s="150">
        <v>0</v>
      </c>
      <c r="I386" s="567">
        <f t="shared" si="10"/>
        <v>0</v>
      </c>
    </row>
    <row r="387" spans="1:9" x14ac:dyDescent="0.15">
      <c r="A387" s="138"/>
      <c r="B387" s="521" t="s">
        <v>1622</v>
      </c>
      <c r="C387" s="138" t="s">
        <v>190</v>
      </c>
      <c r="D387" s="144">
        <v>0</v>
      </c>
      <c r="E387" s="144">
        <v>0</v>
      </c>
      <c r="F387" s="144">
        <v>0</v>
      </c>
      <c r="G387" s="291">
        <v>0</v>
      </c>
      <c r="H387" s="150">
        <v>0</v>
      </c>
      <c r="I387" s="567">
        <f t="shared" si="10"/>
        <v>0</v>
      </c>
    </row>
    <row r="388" spans="1:9" x14ac:dyDescent="0.15">
      <c r="A388" s="138"/>
      <c r="B388" s="521" t="s">
        <v>1623</v>
      </c>
      <c r="C388" s="138" t="s">
        <v>191</v>
      </c>
      <c r="D388" s="144">
        <v>0</v>
      </c>
      <c r="E388" s="144">
        <v>0</v>
      </c>
      <c r="F388" s="144">
        <v>0</v>
      </c>
      <c r="G388" s="291">
        <v>0</v>
      </c>
      <c r="H388" s="150">
        <v>0</v>
      </c>
      <c r="I388" s="567">
        <f t="shared" si="10"/>
        <v>0</v>
      </c>
    </row>
    <row r="389" spans="1:9" x14ac:dyDescent="0.15">
      <c r="A389" s="138"/>
      <c r="B389" s="521" t="s">
        <v>1624</v>
      </c>
      <c r="C389" s="138" t="s">
        <v>840</v>
      </c>
      <c r="D389" s="144">
        <v>0</v>
      </c>
      <c r="E389" s="144">
        <v>0</v>
      </c>
      <c r="F389" s="144">
        <v>0</v>
      </c>
      <c r="G389" s="291">
        <v>0</v>
      </c>
      <c r="H389" s="150">
        <v>0</v>
      </c>
      <c r="I389" s="567">
        <f t="shared" si="10"/>
        <v>0</v>
      </c>
    </row>
    <row r="390" spans="1:9" x14ac:dyDescent="0.15">
      <c r="A390" s="138"/>
      <c r="B390" s="521" t="s">
        <v>1625</v>
      </c>
      <c r="C390" s="138" t="s">
        <v>842</v>
      </c>
      <c r="D390" s="144">
        <v>0</v>
      </c>
      <c r="E390" s="144">
        <v>0</v>
      </c>
      <c r="F390" s="144">
        <v>0</v>
      </c>
      <c r="G390" s="291">
        <v>0</v>
      </c>
      <c r="H390" s="150">
        <v>0</v>
      </c>
      <c r="I390" s="567">
        <f t="shared" si="10"/>
        <v>0</v>
      </c>
    </row>
    <row r="391" spans="1:9" x14ac:dyDescent="0.15">
      <c r="A391" s="138"/>
      <c r="B391" s="521" t="s">
        <v>843</v>
      </c>
      <c r="C391" s="138" t="s">
        <v>848</v>
      </c>
      <c r="D391" s="144">
        <v>0</v>
      </c>
      <c r="E391" s="144">
        <v>0</v>
      </c>
      <c r="F391" s="144">
        <v>0</v>
      </c>
      <c r="G391" s="291">
        <v>0</v>
      </c>
      <c r="H391" s="150">
        <v>0</v>
      </c>
      <c r="I391" s="567">
        <f t="shared" si="10"/>
        <v>0</v>
      </c>
    </row>
    <row r="392" spans="1:9" x14ac:dyDescent="0.15">
      <c r="A392" s="138"/>
      <c r="B392" s="521" t="s">
        <v>844</v>
      </c>
      <c r="C392" s="138" t="s">
        <v>153</v>
      </c>
      <c r="D392" s="144">
        <v>0</v>
      </c>
      <c r="E392" s="144">
        <v>0</v>
      </c>
      <c r="F392" s="144">
        <v>0</v>
      </c>
      <c r="G392" s="291">
        <v>0</v>
      </c>
      <c r="H392" s="150">
        <v>0</v>
      </c>
      <c r="I392" s="567">
        <f t="shared" si="10"/>
        <v>0</v>
      </c>
    </row>
    <row r="393" spans="1:9" x14ac:dyDescent="0.15">
      <c r="A393" s="138"/>
      <c r="B393" s="521" t="s">
        <v>845</v>
      </c>
      <c r="C393" s="138" t="s">
        <v>154</v>
      </c>
      <c r="D393" s="144">
        <v>0</v>
      </c>
      <c r="E393" s="144">
        <v>0</v>
      </c>
      <c r="F393" s="144">
        <v>0</v>
      </c>
      <c r="G393" s="291">
        <v>0</v>
      </c>
      <c r="H393" s="150">
        <v>0</v>
      </c>
      <c r="I393" s="567">
        <f t="shared" si="10"/>
        <v>0</v>
      </c>
    </row>
    <row r="394" spans="1:9" x14ac:dyDescent="0.15">
      <c r="A394" s="138"/>
      <c r="B394" s="521" t="s">
        <v>846</v>
      </c>
      <c r="C394" s="138" t="s">
        <v>155</v>
      </c>
      <c r="D394" s="144">
        <v>0</v>
      </c>
      <c r="E394" s="144">
        <v>0</v>
      </c>
      <c r="F394" s="144">
        <v>0</v>
      </c>
      <c r="G394" s="291">
        <v>0</v>
      </c>
      <c r="H394" s="150">
        <v>0</v>
      </c>
      <c r="I394" s="567">
        <f t="shared" si="10"/>
        <v>0</v>
      </c>
    </row>
    <row r="395" spans="1:9" x14ac:dyDescent="0.15">
      <c r="A395" s="138"/>
      <c r="B395" s="521" t="s">
        <v>1582</v>
      </c>
      <c r="C395" s="138" t="s">
        <v>156</v>
      </c>
      <c r="D395" s="144">
        <v>0</v>
      </c>
      <c r="E395" s="144">
        <v>0</v>
      </c>
      <c r="F395" s="144">
        <v>0</v>
      </c>
      <c r="G395" s="291">
        <v>0</v>
      </c>
      <c r="H395" s="150">
        <v>0</v>
      </c>
      <c r="I395" s="567">
        <f t="shared" si="10"/>
        <v>0</v>
      </c>
    </row>
    <row r="396" spans="1:9" x14ac:dyDescent="0.15">
      <c r="A396" s="138"/>
      <c r="B396" s="521" t="s">
        <v>847</v>
      </c>
      <c r="C396" s="138" t="s">
        <v>157</v>
      </c>
      <c r="D396" s="144">
        <v>0</v>
      </c>
      <c r="E396" s="144">
        <v>0</v>
      </c>
      <c r="F396" s="144">
        <v>0</v>
      </c>
      <c r="G396" s="291">
        <v>0</v>
      </c>
      <c r="H396" s="150">
        <v>0</v>
      </c>
      <c r="I396" s="567">
        <f t="shared" si="10"/>
        <v>0</v>
      </c>
    </row>
    <row r="397" spans="1:9" x14ac:dyDescent="0.15">
      <c r="A397" s="138"/>
      <c r="B397" s="521" t="s">
        <v>1583</v>
      </c>
      <c r="C397" s="138" t="s">
        <v>160</v>
      </c>
      <c r="D397" s="144">
        <v>0</v>
      </c>
      <c r="E397" s="144">
        <v>0</v>
      </c>
      <c r="F397" s="144">
        <v>0</v>
      </c>
      <c r="G397" s="291">
        <v>0</v>
      </c>
      <c r="H397" s="150">
        <v>0</v>
      </c>
      <c r="I397" s="567">
        <f t="shared" si="10"/>
        <v>0</v>
      </c>
    </row>
    <row r="398" spans="1:9" x14ac:dyDescent="0.15">
      <c r="A398" s="138"/>
      <c r="B398" s="521" t="s">
        <v>634</v>
      </c>
      <c r="C398" s="138" t="s">
        <v>165</v>
      </c>
      <c r="D398" s="144">
        <v>0</v>
      </c>
      <c r="E398" s="144">
        <v>0</v>
      </c>
      <c r="F398" s="144">
        <v>0</v>
      </c>
      <c r="G398" s="291">
        <v>0</v>
      </c>
      <c r="H398" s="150">
        <v>0</v>
      </c>
      <c r="I398" s="567">
        <f t="shared" si="10"/>
        <v>0</v>
      </c>
    </row>
    <row r="399" spans="1:9" x14ac:dyDescent="0.15">
      <c r="A399" s="138"/>
      <c r="B399" s="521" t="s">
        <v>630</v>
      </c>
      <c r="C399" s="138" t="s">
        <v>172</v>
      </c>
      <c r="D399" s="144">
        <v>0</v>
      </c>
      <c r="E399" s="144">
        <v>0</v>
      </c>
      <c r="F399" s="144">
        <v>0</v>
      </c>
      <c r="G399" s="291">
        <v>0</v>
      </c>
      <c r="H399" s="150">
        <v>0</v>
      </c>
      <c r="I399" s="567">
        <f t="shared" si="10"/>
        <v>0</v>
      </c>
    </row>
    <row r="400" spans="1:9" x14ac:dyDescent="0.15">
      <c r="A400" s="138"/>
      <c r="B400" s="650" t="s">
        <v>631</v>
      </c>
      <c r="C400" s="651" t="s">
        <v>173</v>
      </c>
      <c r="D400" s="144">
        <v>0</v>
      </c>
      <c r="E400" s="144">
        <v>0</v>
      </c>
      <c r="F400" s="144">
        <v>0</v>
      </c>
      <c r="G400" s="291">
        <v>0</v>
      </c>
      <c r="H400" s="150">
        <v>0</v>
      </c>
      <c r="I400" s="567">
        <f t="shared" si="10"/>
        <v>0</v>
      </c>
    </row>
    <row r="401" spans="1:10" x14ac:dyDescent="0.15">
      <c r="A401" s="138"/>
      <c r="B401" s="521" t="s">
        <v>1584</v>
      </c>
      <c r="C401" s="138" t="s">
        <v>178</v>
      </c>
      <c r="D401" s="144">
        <v>0</v>
      </c>
      <c r="E401" s="144">
        <v>0</v>
      </c>
      <c r="F401" s="144">
        <v>0</v>
      </c>
      <c r="G401" s="291">
        <v>0</v>
      </c>
      <c r="H401" s="150">
        <v>0</v>
      </c>
      <c r="I401" s="567">
        <f t="shared" si="10"/>
        <v>0</v>
      </c>
    </row>
    <row r="402" spans="1:10" x14ac:dyDescent="0.15">
      <c r="A402" s="138"/>
      <c r="B402" s="521" t="s">
        <v>174</v>
      </c>
      <c r="C402" s="138" t="s">
        <v>179</v>
      </c>
      <c r="D402" s="144">
        <v>0</v>
      </c>
      <c r="E402" s="144">
        <v>0</v>
      </c>
      <c r="F402" s="144">
        <v>0</v>
      </c>
      <c r="G402" s="291">
        <v>0</v>
      </c>
      <c r="H402" s="150">
        <v>0</v>
      </c>
      <c r="I402" s="567">
        <f t="shared" si="10"/>
        <v>0</v>
      </c>
    </row>
    <row r="403" spans="1:10" x14ac:dyDescent="0.15">
      <c r="A403" s="138"/>
      <c r="B403" s="521" t="s">
        <v>175</v>
      </c>
      <c r="C403" s="138" t="s">
        <v>180</v>
      </c>
      <c r="D403" s="144">
        <v>0</v>
      </c>
      <c r="E403" s="144">
        <v>0</v>
      </c>
      <c r="F403" s="144">
        <v>0</v>
      </c>
      <c r="G403" s="291">
        <v>0</v>
      </c>
      <c r="H403" s="150">
        <v>0</v>
      </c>
      <c r="I403" s="567">
        <f t="shared" si="10"/>
        <v>0</v>
      </c>
    </row>
    <row r="404" spans="1:10" ht="11.25" thickBot="1" x14ac:dyDescent="0.2">
      <c r="A404" s="138"/>
      <c r="B404" s="521" t="s">
        <v>176</v>
      </c>
      <c r="C404" s="138" t="s">
        <v>181</v>
      </c>
      <c r="D404" s="144">
        <v>0</v>
      </c>
      <c r="E404" s="144">
        <v>0</v>
      </c>
      <c r="F404" s="144">
        <v>0</v>
      </c>
      <c r="G404" s="291">
        <v>0</v>
      </c>
      <c r="H404" s="150">
        <v>0</v>
      </c>
      <c r="I404" s="567">
        <f t="shared" si="10"/>
        <v>0</v>
      </c>
    </row>
    <row r="405" spans="1:10" ht="12" thickTop="1" thickBot="1" x14ac:dyDescent="0.2">
      <c r="A405" s="138"/>
      <c r="B405" s="521"/>
      <c r="C405" s="138" t="s">
        <v>237</v>
      </c>
      <c r="D405" s="169">
        <f>SUM(D371:D404)</f>
        <v>0</v>
      </c>
      <c r="E405" s="169">
        <f>SUM(E371:E404)</f>
        <v>0</v>
      </c>
      <c r="F405" s="169">
        <f>SUM(F371:F404)</f>
        <v>0</v>
      </c>
      <c r="G405" s="169">
        <f>SUM(G371:G404)</f>
        <v>0</v>
      </c>
      <c r="H405" s="169">
        <f>SUM(H371:H404)</f>
        <v>0</v>
      </c>
      <c r="I405" s="169">
        <f t="shared" si="10"/>
        <v>0</v>
      </c>
    </row>
    <row r="406" spans="1:10" ht="11.25" thickTop="1" x14ac:dyDescent="0.15">
      <c r="A406" s="138"/>
      <c r="B406" s="138"/>
      <c r="C406" s="138"/>
      <c r="D406" s="14"/>
      <c r="E406" s="14"/>
      <c r="F406" s="14"/>
      <c r="G406" s="14"/>
      <c r="H406" s="14"/>
      <c r="I406" s="563"/>
    </row>
    <row r="407" spans="1:10" x14ac:dyDescent="0.15">
      <c r="A407" s="522" t="s">
        <v>240</v>
      </c>
      <c r="B407" s="138"/>
      <c r="C407" s="138"/>
      <c r="D407" s="14"/>
      <c r="E407" s="14"/>
      <c r="F407" s="14"/>
      <c r="G407" s="14"/>
      <c r="H407" s="14"/>
      <c r="I407" s="563"/>
    </row>
    <row r="408" spans="1:10" s="434" customFormat="1" x14ac:dyDescent="0.15">
      <c r="B408" s="523" t="s">
        <v>1577</v>
      </c>
      <c r="C408" s="524" t="s">
        <v>228</v>
      </c>
      <c r="D408" s="316">
        <v>0</v>
      </c>
      <c r="E408" s="316">
        <v>0</v>
      </c>
      <c r="F408" s="316">
        <v>0</v>
      </c>
      <c r="G408" s="528">
        <f t="array" ref="G408">SUM(IF(CertFund&amp;CertProg&amp;CertObj=RIGHT(LEFT($A$2,7),2)&amp;LEFT(A407,4)&amp;B408,CertSalary))</f>
        <v>0</v>
      </c>
      <c r="H408" s="527">
        <v>0</v>
      </c>
      <c r="I408" s="566">
        <f t="shared" ref="I408:I442" si="11">SUM(G408+H408)</f>
        <v>0</v>
      </c>
    </row>
    <row r="409" spans="1:10" s="434" customFormat="1" x14ac:dyDescent="0.15">
      <c r="B409" s="523" t="s">
        <v>1577</v>
      </c>
      <c r="C409" s="524" t="s">
        <v>510</v>
      </c>
      <c r="D409" s="316">
        <v>0</v>
      </c>
      <c r="E409" s="316">
        <v>0</v>
      </c>
      <c r="F409" s="316">
        <v>0</v>
      </c>
      <c r="G409" s="316">
        <v>0</v>
      </c>
      <c r="H409" s="527">
        <v>0</v>
      </c>
      <c r="I409" s="566">
        <f t="shared" si="11"/>
        <v>0</v>
      </c>
    </row>
    <row r="410" spans="1:10" s="434" customFormat="1" x14ac:dyDescent="0.15">
      <c r="A410" s="524"/>
      <c r="B410" s="523" t="s">
        <v>1578</v>
      </c>
      <c r="C410" s="524" t="s">
        <v>936</v>
      </c>
      <c r="D410" s="316">
        <v>0</v>
      </c>
      <c r="E410" s="316">
        <v>0</v>
      </c>
      <c r="F410" s="316">
        <v>0</v>
      </c>
      <c r="G410" s="529">
        <f t="array" ref="G410">SUM(IF(CertFund&amp;CertProg&amp;CertObj=RIGHT(LEFT($A$2,7),2)&amp;LEFT(A407,4)&amp;B408,CertBen))</f>
        <v>0</v>
      </c>
      <c r="H410" s="527">
        <v>0</v>
      </c>
      <c r="I410" s="566">
        <f t="shared" si="11"/>
        <v>0</v>
      </c>
    </row>
    <row r="411" spans="1:10" x14ac:dyDescent="0.15">
      <c r="A411" s="138"/>
      <c r="B411" s="521" t="s">
        <v>1578</v>
      </c>
      <c r="C411" s="138" t="s">
        <v>511</v>
      </c>
      <c r="D411" s="147">
        <v>0</v>
      </c>
      <c r="E411" s="147">
        <v>0</v>
      </c>
      <c r="F411" s="147">
        <v>0</v>
      </c>
      <c r="G411" s="147">
        <v>0</v>
      </c>
      <c r="H411" s="150">
        <v>0</v>
      </c>
      <c r="I411" s="567">
        <f t="shared" si="11"/>
        <v>0</v>
      </c>
      <c r="J411" s="434"/>
    </row>
    <row r="412" spans="1:10" x14ac:dyDescent="0.15">
      <c r="A412" s="138"/>
      <c r="B412" s="521" t="s">
        <v>1579</v>
      </c>
      <c r="C412" s="138" t="s">
        <v>118</v>
      </c>
      <c r="D412" s="144">
        <v>0</v>
      </c>
      <c r="E412" s="144">
        <v>0</v>
      </c>
      <c r="F412" s="144">
        <v>0</v>
      </c>
      <c r="G412" s="291">
        <v>0</v>
      </c>
      <c r="H412" s="150">
        <v>0</v>
      </c>
      <c r="I412" s="567">
        <f t="shared" si="11"/>
        <v>0</v>
      </c>
    </row>
    <row r="413" spans="1:10" x14ac:dyDescent="0.15">
      <c r="A413" s="138"/>
      <c r="B413" s="521" t="s">
        <v>1580</v>
      </c>
      <c r="C413" s="138" t="s">
        <v>119</v>
      </c>
      <c r="D413" s="144">
        <v>0</v>
      </c>
      <c r="E413" s="144">
        <v>0</v>
      </c>
      <c r="F413" s="144">
        <v>0</v>
      </c>
      <c r="G413" s="291">
        <v>0</v>
      </c>
      <c r="H413" s="150">
        <v>0</v>
      </c>
      <c r="I413" s="567">
        <f t="shared" si="11"/>
        <v>0</v>
      </c>
    </row>
    <row r="414" spans="1:10" x14ac:dyDescent="0.15">
      <c r="A414" s="138"/>
      <c r="B414" s="521" t="s">
        <v>120</v>
      </c>
      <c r="C414" s="138" t="s">
        <v>121</v>
      </c>
      <c r="D414" s="144">
        <v>0</v>
      </c>
      <c r="E414" s="144">
        <v>0</v>
      </c>
      <c r="F414" s="144">
        <v>0</v>
      </c>
      <c r="G414" s="291">
        <v>0</v>
      </c>
      <c r="H414" s="150">
        <v>0</v>
      </c>
      <c r="I414" s="567">
        <f t="shared" si="11"/>
        <v>0</v>
      </c>
    </row>
    <row r="415" spans="1:10" x14ac:dyDescent="0.15">
      <c r="A415" s="138"/>
      <c r="B415" s="521" t="s">
        <v>122</v>
      </c>
      <c r="C415" s="138" t="s">
        <v>123</v>
      </c>
      <c r="D415" s="144">
        <v>0</v>
      </c>
      <c r="E415" s="144">
        <v>0</v>
      </c>
      <c r="F415" s="144">
        <v>0</v>
      </c>
      <c r="G415" s="291">
        <v>0</v>
      </c>
      <c r="H415" s="150">
        <v>0</v>
      </c>
      <c r="I415" s="567">
        <f t="shared" si="11"/>
        <v>0</v>
      </c>
    </row>
    <row r="416" spans="1:10" x14ac:dyDescent="0.15">
      <c r="A416" s="138"/>
      <c r="B416" s="521" t="s">
        <v>1581</v>
      </c>
      <c r="C416" s="138" t="s">
        <v>124</v>
      </c>
      <c r="D416" s="144">
        <v>0</v>
      </c>
      <c r="E416" s="144">
        <v>0</v>
      </c>
      <c r="F416" s="144">
        <v>0</v>
      </c>
      <c r="G416" s="291">
        <v>0</v>
      </c>
      <c r="H416" s="150">
        <v>0</v>
      </c>
      <c r="I416" s="567">
        <f t="shared" si="11"/>
        <v>0</v>
      </c>
    </row>
    <row r="417" spans="1:9" x14ac:dyDescent="0.15">
      <c r="A417" s="138"/>
      <c r="B417" s="521" t="s">
        <v>127</v>
      </c>
      <c r="C417" s="138" t="s">
        <v>134</v>
      </c>
      <c r="D417" s="144">
        <v>0</v>
      </c>
      <c r="E417" s="144">
        <v>0</v>
      </c>
      <c r="F417" s="144">
        <v>0</v>
      </c>
      <c r="G417" s="291">
        <v>0</v>
      </c>
      <c r="H417" s="150">
        <v>0</v>
      </c>
      <c r="I417" s="567">
        <f t="shared" si="11"/>
        <v>0</v>
      </c>
    </row>
    <row r="418" spans="1:9" x14ac:dyDescent="0.15">
      <c r="A418" s="138"/>
      <c r="B418" s="521" t="s">
        <v>128</v>
      </c>
      <c r="C418" s="138" t="s">
        <v>135</v>
      </c>
      <c r="D418" s="144">
        <v>0</v>
      </c>
      <c r="E418" s="144">
        <v>0</v>
      </c>
      <c r="F418" s="144">
        <v>0</v>
      </c>
      <c r="G418" s="291">
        <v>0</v>
      </c>
      <c r="H418" s="150">
        <v>0</v>
      </c>
      <c r="I418" s="567">
        <f t="shared" si="11"/>
        <v>0</v>
      </c>
    </row>
    <row r="419" spans="1:9" x14ac:dyDescent="0.15">
      <c r="A419" s="138"/>
      <c r="B419" s="521" t="s">
        <v>132</v>
      </c>
      <c r="C419" s="138" t="s">
        <v>1617</v>
      </c>
      <c r="D419" s="144">
        <v>0</v>
      </c>
      <c r="E419" s="144">
        <v>0</v>
      </c>
      <c r="F419" s="144">
        <v>0</v>
      </c>
      <c r="G419" s="291">
        <v>0</v>
      </c>
      <c r="H419" s="150">
        <v>0</v>
      </c>
      <c r="I419" s="567">
        <f t="shared" si="11"/>
        <v>0</v>
      </c>
    </row>
    <row r="420" spans="1:9" x14ac:dyDescent="0.15">
      <c r="A420" s="138"/>
      <c r="B420" s="521" t="s">
        <v>1618</v>
      </c>
      <c r="C420" s="138" t="s">
        <v>836</v>
      </c>
      <c r="D420" s="144">
        <v>0</v>
      </c>
      <c r="E420" s="144">
        <v>0</v>
      </c>
      <c r="F420" s="144">
        <v>0</v>
      </c>
      <c r="G420" s="291">
        <v>0</v>
      </c>
      <c r="H420" s="150">
        <v>0</v>
      </c>
      <c r="I420" s="567">
        <f t="shared" si="11"/>
        <v>0</v>
      </c>
    </row>
    <row r="421" spans="1:9" x14ac:dyDescent="0.15">
      <c r="A421" s="138"/>
      <c r="B421" s="521" t="s">
        <v>1619</v>
      </c>
      <c r="C421" s="138" t="s">
        <v>837</v>
      </c>
      <c r="D421" s="144">
        <v>0</v>
      </c>
      <c r="E421" s="144">
        <v>0</v>
      </c>
      <c r="F421" s="144">
        <v>0</v>
      </c>
      <c r="G421" s="291">
        <v>0</v>
      </c>
      <c r="H421" s="150">
        <v>0</v>
      </c>
      <c r="I421" s="567">
        <f t="shared" si="11"/>
        <v>0</v>
      </c>
    </row>
    <row r="422" spans="1:9" x14ac:dyDescent="0.15">
      <c r="A422" s="138"/>
      <c r="B422" s="521" t="s">
        <v>1620</v>
      </c>
      <c r="C422" s="138" t="s">
        <v>838</v>
      </c>
      <c r="D422" s="144">
        <v>0</v>
      </c>
      <c r="E422" s="144">
        <v>0</v>
      </c>
      <c r="F422" s="144">
        <v>0</v>
      </c>
      <c r="G422" s="291">
        <v>0</v>
      </c>
      <c r="H422" s="150">
        <v>0</v>
      </c>
      <c r="I422" s="567">
        <f t="shared" si="11"/>
        <v>0</v>
      </c>
    </row>
    <row r="423" spans="1:9" x14ac:dyDescent="0.15">
      <c r="A423" s="138"/>
      <c r="B423" s="521" t="s">
        <v>1621</v>
      </c>
      <c r="C423" s="138" t="s">
        <v>839</v>
      </c>
      <c r="D423" s="144">
        <v>0</v>
      </c>
      <c r="E423" s="144">
        <v>0</v>
      </c>
      <c r="F423" s="144">
        <v>0</v>
      </c>
      <c r="G423" s="291">
        <v>0</v>
      </c>
      <c r="H423" s="150">
        <v>0</v>
      </c>
      <c r="I423" s="567">
        <f t="shared" si="11"/>
        <v>0</v>
      </c>
    </row>
    <row r="424" spans="1:9" x14ac:dyDescent="0.15">
      <c r="A424" s="138"/>
      <c r="B424" s="521" t="s">
        <v>1622</v>
      </c>
      <c r="C424" s="138" t="s">
        <v>190</v>
      </c>
      <c r="D424" s="144">
        <v>0</v>
      </c>
      <c r="E424" s="144">
        <v>0</v>
      </c>
      <c r="F424" s="144">
        <v>0</v>
      </c>
      <c r="G424" s="291">
        <v>0</v>
      </c>
      <c r="H424" s="150">
        <v>0</v>
      </c>
      <c r="I424" s="567">
        <f t="shared" si="11"/>
        <v>0</v>
      </c>
    </row>
    <row r="425" spans="1:9" x14ac:dyDescent="0.15">
      <c r="A425" s="138"/>
      <c r="B425" s="521" t="s">
        <v>1623</v>
      </c>
      <c r="C425" s="138" t="s">
        <v>191</v>
      </c>
      <c r="D425" s="144">
        <v>0</v>
      </c>
      <c r="E425" s="144">
        <v>0</v>
      </c>
      <c r="F425" s="144">
        <v>0</v>
      </c>
      <c r="G425" s="291">
        <v>0</v>
      </c>
      <c r="H425" s="150">
        <v>0</v>
      </c>
      <c r="I425" s="567">
        <f t="shared" si="11"/>
        <v>0</v>
      </c>
    </row>
    <row r="426" spans="1:9" x14ac:dyDescent="0.15">
      <c r="A426" s="138"/>
      <c r="B426" s="521" t="s">
        <v>1624</v>
      </c>
      <c r="C426" s="138" t="s">
        <v>840</v>
      </c>
      <c r="D426" s="144">
        <v>0</v>
      </c>
      <c r="E426" s="144">
        <v>0</v>
      </c>
      <c r="F426" s="144">
        <v>0</v>
      </c>
      <c r="G426" s="291">
        <v>0</v>
      </c>
      <c r="H426" s="150">
        <v>0</v>
      </c>
      <c r="I426" s="567">
        <f t="shared" si="11"/>
        <v>0</v>
      </c>
    </row>
    <row r="427" spans="1:9" x14ac:dyDescent="0.15">
      <c r="A427" s="138"/>
      <c r="B427" s="521" t="s">
        <v>1625</v>
      </c>
      <c r="C427" s="138" t="s">
        <v>842</v>
      </c>
      <c r="D427" s="144">
        <v>0</v>
      </c>
      <c r="E427" s="144">
        <v>0</v>
      </c>
      <c r="F427" s="144">
        <v>0</v>
      </c>
      <c r="G427" s="291">
        <v>0</v>
      </c>
      <c r="H427" s="150">
        <v>0</v>
      </c>
      <c r="I427" s="567">
        <f t="shared" si="11"/>
        <v>0</v>
      </c>
    </row>
    <row r="428" spans="1:9" x14ac:dyDescent="0.15">
      <c r="A428" s="138"/>
      <c r="B428" s="521" t="s">
        <v>843</v>
      </c>
      <c r="C428" s="138" t="s">
        <v>848</v>
      </c>
      <c r="D428" s="144">
        <v>0</v>
      </c>
      <c r="E428" s="144">
        <v>0</v>
      </c>
      <c r="F428" s="144">
        <v>0</v>
      </c>
      <c r="G428" s="291">
        <v>0</v>
      </c>
      <c r="H428" s="150">
        <v>0</v>
      </c>
      <c r="I428" s="567">
        <f t="shared" si="11"/>
        <v>0</v>
      </c>
    </row>
    <row r="429" spans="1:9" x14ac:dyDescent="0.15">
      <c r="A429" s="138"/>
      <c r="B429" s="521" t="s">
        <v>844</v>
      </c>
      <c r="C429" s="138" t="s">
        <v>153</v>
      </c>
      <c r="D429" s="144">
        <v>0</v>
      </c>
      <c r="E429" s="144">
        <v>0</v>
      </c>
      <c r="F429" s="144">
        <v>0</v>
      </c>
      <c r="G429" s="291">
        <v>0</v>
      </c>
      <c r="H429" s="150">
        <v>0</v>
      </c>
      <c r="I429" s="567">
        <f t="shared" si="11"/>
        <v>0</v>
      </c>
    </row>
    <row r="430" spans="1:9" x14ac:dyDescent="0.15">
      <c r="A430" s="138"/>
      <c r="B430" s="521" t="s">
        <v>845</v>
      </c>
      <c r="C430" s="138" t="s">
        <v>154</v>
      </c>
      <c r="D430" s="144">
        <v>0</v>
      </c>
      <c r="E430" s="144">
        <v>0</v>
      </c>
      <c r="F430" s="144">
        <v>0</v>
      </c>
      <c r="G430" s="291">
        <v>0</v>
      </c>
      <c r="H430" s="150">
        <v>0</v>
      </c>
      <c r="I430" s="567">
        <f t="shared" si="11"/>
        <v>0</v>
      </c>
    </row>
    <row r="431" spans="1:9" x14ac:dyDescent="0.15">
      <c r="A431" s="138"/>
      <c r="B431" s="521" t="s">
        <v>846</v>
      </c>
      <c r="C431" s="138" t="s">
        <v>155</v>
      </c>
      <c r="D431" s="144">
        <v>0</v>
      </c>
      <c r="E431" s="144">
        <v>0</v>
      </c>
      <c r="F431" s="144">
        <v>0</v>
      </c>
      <c r="G431" s="291">
        <v>0</v>
      </c>
      <c r="H431" s="150">
        <v>0</v>
      </c>
      <c r="I431" s="567">
        <f t="shared" si="11"/>
        <v>0</v>
      </c>
    </row>
    <row r="432" spans="1:9" x14ac:dyDescent="0.15">
      <c r="A432" s="138"/>
      <c r="B432" s="521" t="s">
        <v>1582</v>
      </c>
      <c r="C432" s="138" t="s">
        <v>156</v>
      </c>
      <c r="D432" s="144">
        <v>0</v>
      </c>
      <c r="E432" s="144">
        <v>0</v>
      </c>
      <c r="F432" s="144">
        <v>0</v>
      </c>
      <c r="G432" s="291">
        <v>0</v>
      </c>
      <c r="H432" s="150">
        <v>0</v>
      </c>
      <c r="I432" s="567">
        <f t="shared" si="11"/>
        <v>0</v>
      </c>
    </row>
    <row r="433" spans="1:10" x14ac:dyDescent="0.15">
      <c r="A433" s="138"/>
      <c r="B433" s="521" t="s">
        <v>847</v>
      </c>
      <c r="C433" s="138" t="s">
        <v>157</v>
      </c>
      <c r="D433" s="144">
        <v>0</v>
      </c>
      <c r="E433" s="144">
        <v>0</v>
      </c>
      <c r="F433" s="144">
        <v>0</v>
      </c>
      <c r="G433" s="291">
        <v>0</v>
      </c>
      <c r="H433" s="150">
        <v>0</v>
      </c>
      <c r="I433" s="567">
        <f t="shared" si="11"/>
        <v>0</v>
      </c>
    </row>
    <row r="434" spans="1:10" x14ac:dyDescent="0.15">
      <c r="A434" s="138"/>
      <c r="B434" s="521" t="s">
        <v>1583</v>
      </c>
      <c r="C434" s="138" t="s">
        <v>160</v>
      </c>
      <c r="D434" s="144">
        <v>0</v>
      </c>
      <c r="E434" s="144">
        <v>0</v>
      </c>
      <c r="F434" s="144">
        <v>0</v>
      </c>
      <c r="G434" s="291">
        <v>0</v>
      </c>
      <c r="H434" s="150">
        <v>0</v>
      </c>
      <c r="I434" s="567">
        <f t="shared" si="11"/>
        <v>0</v>
      </c>
    </row>
    <row r="435" spans="1:10" x14ac:dyDescent="0.15">
      <c r="A435" s="138"/>
      <c r="B435" s="521" t="s">
        <v>634</v>
      </c>
      <c r="C435" s="138" t="s">
        <v>165</v>
      </c>
      <c r="D435" s="144">
        <v>0</v>
      </c>
      <c r="E435" s="144">
        <v>0</v>
      </c>
      <c r="F435" s="144">
        <v>0</v>
      </c>
      <c r="G435" s="291">
        <v>0</v>
      </c>
      <c r="H435" s="150">
        <v>0</v>
      </c>
      <c r="I435" s="567">
        <f t="shared" si="11"/>
        <v>0</v>
      </c>
    </row>
    <row r="436" spans="1:10" x14ac:dyDescent="0.15">
      <c r="A436" s="138"/>
      <c r="B436" s="521" t="s">
        <v>630</v>
      </c>
      <c r="C436" s="138" t="s">
        <v>172</v>
      </c>
      <c r="D436" s="144">
        <v>0</v>
      </c>
      <c r="E436" s="144">
        <v>0</v>
      </c>
      <c r="F436" s="144">
        <v>0</v>
      </c>
      <c r="G436" s="291">
        <v>0</v>
      </c>
      <c r="H436" s="150">
        <v>0</v>
      </c>
      <c r="I436" s="567">
        <f t="shared" si="11"/>
        <v>0</v>
      </c>
    </row>
    <row r="437" spans="1:10" x14ac:dyDescent="0.15">
      <c r="A437" s="138"/>
      <c r="B437" s="650" t="s">
        <v>631</v>
      </c>
      <c r="C437" s="651" t="s">
        <v>173</v>
      </c>
      <c r="D437" s="144">
        <v>0</v>
      </c>
      <c r="E437" s="144">
        <v>0</v>
      </c>
      <c r="F437" s="144">
        <v>0</v>
      </c>
      <c r="G437" s="291">
        <v>0</v>
      </c>
      <c r="H437" s="150">
        <v>0</v>
      </c>
      <c r="I437" s="567">
        <f t="shared" si="11"/>
        <v>0</v>
      </c>
    </row>
    <row r="438" spans="1:10" x14ac:dyDescent="0.15">
      <c r="A438" s="138"/>
      <c r="B438" s="521" t="s">
        <v>1584</v>
      </c>
      <c r="C438" s="138" t="s">
        <v>178</v>
      </c>
      <c r="D438" s="144">
        <v>0</v>
      </c>
      <c r="E438" s="144">
        <v>0</v>
      </c>
      <c r="F438" s="144">
        <v>0</v>
      </c>
      <c r="G438" s="291">
        <v>0</v>
      </c>
      <c r="H438" s="150">
        <v>0</v>
      </c>
      <c r="I438" s="567">
        <f t="shared" si="11"/>
        <v>0</v>
      </c>
    </row>
    <row r="439" spans="1:10" x14ac:dyDescent="0.15">
      <c r="A439" s="138"/>
      <c r="B439" s="521" t="s">
        <v>174</v>
      </c>
      <c r="C439" s="138" t="s">
        <v>179</v>
      </c>
      <c r="D439" s="144">
        <v>0</v>
      </c>
      <c r="E439" s="144">
        <v>0</v>
      </c>
      <c r="F439" s="144">
        <v>0</v>
      </c>
      <c r="G439" s="291">
        <v>0</v>
      </c>
      <c r="H439" s="150">
        <v>0</v>
      </c>
      <c r="I439" s="567">
        <f t="shared" si="11"/>
        <v>0</v>
      </c>
    </row>
    <row r="440" spans="1:10" x14ac:dyDescent="0.15">
      <c r="A440" s="138"/>
      <c r="B440" s="521" t="s">
        <v>175</v>
      </c>
      <c r="C440" s="138" t="s">
        <v>180</v>
      </c>
      <c r="D440" s="144">
        <v>0</v>
      </c>
      <c r="E440" s="144">
        <v>0</v>
      </c>
      <c r="F440" s="144">
        <v>0</v>
      </c>
      <c r="G440" s="291">
        <v>0</v>
      </c>
      <c r="H440" s="150">
        <v>0</v>
      </c>
      <c r="I440" s="567">
        <f t="shared" si="11"/>
        <v>0</v>
      </c>
    </row>
    <row r="441" spans="1:10" ht="11.25" thickBot="1" x14ac:dyDescent="0.2">
      <c r="A441" s="138"/>
      <c r="B441" s="521" t="s">
        <v>176</v>
      </c>
      <c r="C441" s="138" t="s">
        <v>181</v>
      </c>
      <c r="D441" s="144">
        <v>0</v>
      </c>
      <c r="E441" s="144">
        <v>0</v>
      </c>
      <c r="F441" s="144">
        <v>0</v>
      </c>
      <c r="G441" s="291">
        <v>0</v>
      </c>
      <c r="H441" s="150">
        <v>0</v>
      </c>
      <c r="I441" s="567">
        <f t="shared" si="11"/>
        <v>0</v>
      </c>
    </row>
    <row r="442" spans="1:10" ht="12" thickTop="1" thickBot="1" x14ac:dyDescent="0.2">
      <c r="A442" s="138"/>
      <c r="B442" s="521"/>
      <c r="C442" s="138" t="s">
        <v>241</v>
      </c>
      <c r="D442" s="169">
        <f>SUM(D408:D441)</f>
        <v>0</v>
      </c>
      <c r="E442" s="169">
        <f>SUM(E408:E441)</f>
        <v>0</v>
      </c>
      <c r="F442" s="169">
        <f>SUM(F408:F441)</f>
        <v>0</v>
      </c>
      <c r="G442" s="169">
        <f>SUM(G408:G441)</f>
        <v>0</v>
      </c>
      <c r="H442" s="169">
        <f>SUM(H408:H441)</f>
        <v>0</v>
      </c>
      <c r="I442" s="169">
        <f t="shared" si="11"/>
        <v>0</v>
      </c>
    </row>
    <row r="443" spans="1:10" ht="11.25" thickTop="1" x14ac:dyDescent="0.15">
      <c r="A443" s="138"/>
      <c r="B443" s="138"/>
      <c r="C443" s="138"/>
      <c r="D443" s="14"/>
      <c r="E443" s="14"/>
      <c r="F443" s="14"/>
      <c r="G443" s="14"/>
      <c r="H443" s="14"/>
      <c r="I443" s="563"/>
    </row>
    <row r="444" spans="1:10" x14ac:dyDescent="0.15">
      <c r="A444" s="522" t="s">
        <v>242</v>
      </c>
      <c r="B444" s="138"/>
      <c r="C444" s="138"/>
      <c r="D444" s="14"/>
      <c r="E444" s="14"/>
      <c r="F444" s="14"/>
      <c r="G444" s="14"/>
      <c r="H444" s="14"/>
      <c r="I444" s="563"/>
    </row>
    <row r="445" spans="1:10" s="434" customFormat="1" x14ac:dyDescent="0.15">
      <c r="B445" s="523" t="s">
        <v>1577</v>
      </c>
      <c r="C445" s="524" t="s">
        <v>228</v>
      </c>
      <c r="D445" s="316">
        <v>0</v>
      </c>
      <c r="E445" s="316">
        <v>0</v>
      </c>
      <c r="F445" s="316">
        <v>0</v>
      </c>
      <c r="G445" s="528">
        <f t="array" ref="G445">SUM(IF(CertFund&amp;CertProg&amp;CertObj=RIGHT(LEFT($A$2,7),2)&amp;LEFT(A444,4)&amp;B445,CertSalary))</f>
        <v>0</v>
      </c>
      <c r="H445" s="527">
        <v>0</v>
      </c>
      <c r="I445" s="566">
        <f t="shared" ref="I445:I479" si="12">SUM(G445+H445)</f>
        <v>0</v>
      </c>
    </row>
    <row r="446" spans="1:10" s="434" customFormat="1" x14ac:dyDescent="0.15">
      <c r="B446" s="523" t="s">
        <v>1577</v>
      </c>
      <c r="C446" s="524" t="s">
        <v>510</v>
      </c>
      <c r="D446" s="316">
        <v>0</v>
      </c>
      <c r="E446" s="316">
        <v>0</v>
      </c>
      <c r="F446" s="316">
        <v>0</v>
      </c>
      <c r="G446" s="316">
        <v>0</v>
      </c>
      <c r="H446" s="527">
        <v>0</v>
      </c>
      <c r="I446" s="566">
        <f t="shared" si="12"/>
        <v>0</v>
      </c>
    </row>
    <row r="447" spans="1:10" s="434" customFormat="1" x14ac:dyDescent="0.15">
      <c r="A447" s="524"/>
      <c r="B447" s="523" t="s">
        <v>1578</v>
      </c>
      <c r="C447" s="524" t="s">
        <v>936</v>
      </c>
      <c r="D447" s="316">
        <v>0</v>
      </c>
      <c r="E447" s="316">
        <v>0</v>
      </c>
      <c r="F447" s="316">
        <v>0</v>
      </c>
      <c r="G447" s="529">
        <f t="array" ref="G447">SUM(IF(CertFund&amp;CertProg&amp;CertObj=RIGHT(LEFT($A$2,7),2)&amp;LEFT(A444,4)&amp;B445,CertBen))</f>
        <v>0</v>
      </c>
      <c r="H447" s="527">
        <v>0</v>
      </c>
      <c r="I447" s="566">
        <f t="shared" si="12"/>
        <v>0</v>
      </c>
    </row>
    <row r="448" spans="1:10" x14ac:dyDescent="0.15">
      <c r="A448" s="138"/>
      <c r="B448" s="521" t="s">
        <v>1578</v>
      </c>
      <c r="C448" s="138" t="s">
        <v>511</v>
      </c>
      <c r="D448" s="147">
        <v>0</v>
      </c>
      <c r="E448" s="147">
        <v>0</v>
      </c>
      <c r="F448" s="147">
        <v>0</v>
      </c>
      <c r="G448" s="147">
        <v>0</v>
      </c>
      <c r="H448" s="150">
        <v>0</v>
      </c>
      <c r="I448" s="567">
        <f t="shared" si="12"/>
        <v>0</v>
      </c>
      <c r="J448" s="434"/>
    </row>
    <row r="449" spans="1:9" x14ac:dyDescent="0.15">
      <c r="A449" s="138"/>
      <c r="B449" s="521" t="s">
        <v>1579</v>
      </c>
      <c r="C449" s="138" t="s">
        <v>118</v>
      </c>
      <c r="D449" s="144">
        <v>0</v>
      </c>
      <c r="E449" s="144">
        <v>0</v>
      </c>
      <c r="F449" s="144">
        <v>0</v>
      </c>
      <c r="G449" s="291">
        <v>0</v>
      </c>
      <c r="H449" s="150">
        <v>0</v>
      </c>
      <c r="I449" s="567">
        <f t="shared" si="12"/>
        <v>0</v>
      </c>
    </row>
    <row r="450" spans="1:9" x14ac:dyDescent="0.15">
      <c r="A450" s="138"/>
      <c r="B450" s="521" t="s">
        <v>1580</v>
      </c>
      <c r="C450" s="138" t="s">
        <v>119</v>
      </c>
      <c r="D450" s="144">
        <v>0</v>
      </c>
      <c r="E450" s="144">
        <v>0</v>
      </c>
      <c r="F450" s="144">
        <v>0</v>
      </c>
      <c r="G450" s="291">
        <v>0</v>
      </c>
      <c r="H450" s="150">
        <v>0</v>
      </c>
      <c r="I450" s="567">
        <f t="shared" si="12"/>
        <v>0</v>
      </c>
    </row>
    <row r="451" spans="1:9" x14ac:dyDescent="0.15">
      <c r="A451" s="138"/>
      <c r="B451" s="521" t="s">
        <v>120</v>
      </c>
      <c r="C451" s="138" t="s">
        <v>121</v>
      </c>
      <c r="D451" s="144">
        <v>0</v>
      </c>
      <c r="E451" s="144">
        <v>0</v>
      </c>
      <c r="F451" s="144">
        <v>0</v>
      </c>
      <c r="G451" s="291">
        <v>0</v>
      </c>
      <c r="H451" s="150">
        <v>0</v>
      </c>
      <c r="I451" s="567">
        <f t="shared" si="12"/>
        <v>0</v>
      </c>
    </row>
    <row r="452" spans="1:9" x14ac:dyDescent="0.15">
      <c r="A452" s="138"/>
      <c r="B452" s="521" t="s">
        <v>122</v>
      </c>
      <c r="C452" s="138" t="s">
        <v>123</v>
      </c>
      <c r="D452" s="144">
        <v>0</v>
      </c>
      <c r="E452" s="144">
        <v>0</v>
      </c>
      <c r="F452" s="144">
        <v>0</v>
      </c>
      <c r="G452" s="291">
        <v>0</v>
      </c>
      <c r="H452" s="150">
        <v>0</v>
      </c>
      <c r="I452" s="567">
        <f t="shared" si="12"/>
        <v>0</v>
      </c>
    </row>
    <row r="453" spans="1:9" x14ac:dyDescent="0.15">
      <c r="A453" s="138"/>
      <c r="B453" s="521" t="s">
        <v>1581</v>
      </c>
      <c r="C453" s="138" t="s">
        <v>124</v>
      </c>
      <c r="D453" s="144">
        <v>0</v>
      </c>
      <c r="E453" s="144">
        <v>0</v>
      </c>
      <c r="F453" s="144">
        <v>0</v>
      </c>
      <c r="G453" s="291">
        <v>0</v>
      </c>
      <c r="H453" s="150">
        <v>0</v>
      </c>
      <c r="I453" s="567">
        <f t="shared" si="12"/>
        <v>0</v>
      </c>
    </row>
    <row r="454" spans="1:9" x14ac:dyDescent="0.15">
      <c r="A454" s="138"/>
      <c r="B454" s="521" t="s">
        <v>127</v>
      </c>
      <c r="C454" s="138" t="s">
        <v>134</v>
      </c>
      <c r="D454" s="144">
        <v>0</v>
      </c>
      <c r="E454" s="144">
        <v>0</v>
      </c>
      <c r="F454" s="144">
        <v>0</v>
      </c>
      <c r="G454" s="291">
        <v>0</v>
      </c>
      <c r="H454" s="150">
        <v>0</v>
      </c>
      <c r="I454" s="567">
        <f t="shared" si="12"/>
        <v>0</v>
      </c>
    </row>
    <row r="455" spans="1:9" x14ac:dyDescent="0.15">
      <c r="A455" s="138"/>
      <c r="B455" s="521" t="s">
        <v>128</v>
      </c>
      <c r="C455" s="138" t="s">
        <v>135</v>
      </c>
      <c r="D455" s="144">
        <v>0</v>
      </c>
      <c r="E455" s="144">
        <v>0</v>
      </c>
      <c r="F455" s="144">
        <v>0</v>
      </c>
      <c r="G455" s="291">
        <v>0</v>
      </c>
      <c r="H455" s="150">
        <v>0</v>
      </c>
      <c r="I455" s="567">
        <f t="shared" si="12"/>
        <v>0</v>
      </c>
    </row>
    <row r="456" spans="1:9" x14ac:dyDescent="0.15">
      <c r="A456" s="138"/>
      <c r="B456" s="521" t="s">
        <v>132</v>
      </c>
      <c r="C456" s="138" t="s">
        <v>1617</v>
      </c>
      <c r="D456" s="144">
        <v>0</v>
      </c>
      <c r="E456" s="144">
        <v>0</v>
      </c>
      <c r="F456" s="144">
        <v>0</v>
      </c>
      <c r="G456" s="291">
        <v>0</v>
      </c>
      <c r="H456" s="150">
        <v>0</v>
      </c>
      <c r="I456" s="567">
        <f t="shared" si="12"/>
        <v>0</v>
      </c>
    </row>
    <row r="457" spans="1:9" x14ac:dyDescent="0.15">
      <c r="A457" s="138"/>
      <c r="B457" s="521" t="s">
        <v>1618</v>
      </c>
      <c r="C457" s="138" t="s">
        <v>836</v>
      </c>
      <c r="D457" s="144">
        <v>0</v>
      </c>
      <c r="E457" s="144">
        <v>0</v>
      </c>
      <c r="F457" s="144">
        <v>0</v>
      </c>
      <c r="G457" s="291">
        <v>0</v>
      </c>
      <c r="H457" s="150">
        <v>0</v>
      </c>
      <c r="I457" s="567">
        <f t="shared" si="12"/>
        <v>0</v>
      </c>
    </row>
    <row r="458" spans="1:9" x14ac:dyDescent="0.15">
      <c r="A458" s="138"/>
      <c r="B458" s="521" t="s">
        <v>1619</v>
      </c>
      <c r="C458" s="138" t="s">
        <v>837</v>
      </c>
      <c r="D458" s="144">
        <v>0</v>
      </c>
      <c r="E458" s="144">
        <v>0</v>
      </c>
      <c r="F458" s="144">
        <v>0</v>
      </c>
      <c r="G458" s="291">
        <v>0</v>
      </c>
      <c r="H458" s="150">
        <v>0</v>
      </c>
      <c r="I458" s="567">
        <f t="shared" si="12"/>
        <v>0</v>
      </c>
    </row>
    <row r="459" spans="1:9" x14ac:dyDescent="0.15">
      <c r="A459" s="138"/>
      <c r="B459" s="521" t="s">
        <v>1620</v>
      </c>
      <c r="C459" s="138" t="s">
        <v>838</v>
      </c>
      <c r="D459" s="144">
        <v>0</v>
      </c>
      <c r="E459" s="144">
        <v>0</v>
      </c>
      <c r="F459" s="144">
        <v>0</v>
      </c>
      <c r="G459" s="291">
        <v>0</v>
      </c>
      <c r="H459" s="150">
        <v>0</v>
      </c>
      <c r="I459" s="567">
        <f t="shared" si="12"/>
        <v>0</v>
      </c>
    </row>
    <row r="460" spans="1:9" x14ac:dyDescent="0.15">
      <c r="A460" s="138"/>
      <c r="B460" s="521" t="s">
        <v>1621</v>
      </c>
      <c r="C460" s="138" t="s">
        <v>839</v>
      </c>
      <c r="D460" s="144">
        <v>0</v>
      </c>
      <c r="E460" s="144">
        <v>0</v>
      </c>
      <c r="F460" s="144">
        <v>0</v>
      </c>
      <c r="G460" s="291">
        <v>0</v>
      </c>
      <c r="H460" s="150">
        <v>0</v>
      </c>
      <c r="I460" s="567">
        <f t="shared" si="12"/>
        <v>0</v>
      </c>
    </row>
    <row r="461" spans="1:9" x14ac:dyDescent="0.15">
      <c r="A461" s="138"/>
      <c r="B461" s="521" t="s">
        <v>1622</v>
      </c>
      <c r="C461" s="138" t="s">
        <v>190</v>
      </c>
      <c r="D461" s="144">
        <v>0</v>
      </c>
      <c r="E461" s="144">
        <v>0</v>
      </c>
      <c r="F461" s="144">
        <v>0</v>
      </c>
      <c r="G461" s="291">
        <v>0</v>
      </c>
      <c r="H461" s="150">
        <v>0</v>
      </c>
      <c r="I461" s="567">
        <f t="shared" si="12"/>
        <v>0</v>
      </c>
    </row>
    <row r="462" spans="1:9" x14ac:dyDescent="0.15">
      <c r="A462" s="138"/>
      <c r="B462" s="521" t="s">
        <v>1623</v>
      </c>
      <c r="C462" s="138" t="s">
        <v>191</v>
      </c>
      <c r="D462" s="144">
        <v>0</v>
      </c>
      <c r="E462" s="144">
        <v>0</v>
      </c>
      <c r="F462" s="144">
        <v>0</v>
      </c>
      <c r="G462" s="291">
        <v>0</v>
      </c>
      <c r="H462" s="150">
        <v>0</v>
      </c>
      <c r="I462" s="567">
        <f t="shared" si="12"/>
        <v>0</v>
      </c>
    </row>
    <row r="463" spans="1:9" x14ac:dyDescent="0.15">
      <c r="A463" s="138"/>
      <c r="B463" s="521" t="s">
        <v>1624</v>
      </c>
      <c r="C463" s="138" t="s">
        <v>840</v>
      </c>
      <c r="D463" s="144">
        <v>0</v>
      </c>
      <c r="E463" s="144">
        <v>0</v>
      </c>
      <c r="F463" s="144">
        <v>0</v>
      </c>
      <c r="G463" s="291">
        <v>0</v>
      </c>
      <c r="H463" s="150">
        <v>0</v>
      </c>
      <c r="I463" s="567">
        <f t="shared" si="12"/>
        <v>0</v>
      </c>
    </row>
    <row r="464" spans="1:9" x14ac:dyDescent="0.15">
      <c r="A464" s="138"/>
      <c r="B464" s="521" t="s">
        <v>1625</v>
      </c>
      <c r="C464" s="138" t="s">
        <v>842</v>
      </c>
      <c r="D464" s="144">
        <v>0</v>
      </c>
      <c r="E464" s="144">
        <v>0</v>
      </c>
      <c r="F464" s="144">
        <v>0</v>
      </c>
      <c r="G464" s="291">
        <v>0</v>
      </c>
      <c r="H464" s="150">
        <v>0</v>
      </c>
      <c r="I464" s="567">
        <f t="shared" si="12"/>
        <v>0</v>
      </c>
    </row>
    <row r="465" spans="1:9" x14ac:dyDescent="0.15">
      <c r="A465" s="138"/>
      <c r="B465" s="521" t="s">
        <v>843</v>
      </c>
      <c r="C465" s="138" t="s">
        <v>848</v>
      </c>
      <c r="D465" s="144">
        <v>0</v>
      </c>
      <c r="E465" s="144">
        <v>0</v>
      </c>
      <c r="F465" s="144">
        <v>0</v>
      </c>
      <c r="G465" s="291">
        <v>0</v>
      </c>
      <c r="H465" s="150">
        <v>0</v>
      </c>
      <c r="I465" s="567">
        <f t="shared" si="12"/>
        <v>0</v>
      </c>
    </row>
    <row r="466" spans="1:9" x14ac:dyDescent="0.15">
      <c r="A466" s="138"/>
      <c r="B466" s="521" t="s">
        <v>844</v>
      </c>
      <c r="C466" s="138" t="s">
        <v>153</v>
      </c>
      <c r="D466" s="144">
        <v>0</v>
      </c>
      <c r="E466" s="144">
        <v>0</v>
      </c>
      <c r="F466" s="144">
        <v>0</v>
      </c>
      <c r="G466" s="291">
        <v>0</v>
      </c>
      <c r="H466" s="150">
        <v>0</v>
      </c>
      <c r="I466" s="567">
        <f t="shared" si="12"/>
        <v>0</v>
      </c>
    </row>
    <row r="467" spans="1:9" x14ac:dyDescent="0.15">
      <c r="A467" s="138"/>
      <c r="B467" s="521" t="s">
        <v>845</v>
      </c>
      <c r="C467" s="138" t="s">
        <v>154</v>
      </c>
      <c r="D467" s="144">
        <v>0</v>
      </c>
      <c r="E467" s="144">
        <v>0</v>
      </c>
      <c r="F467" s="144">
        <v>0</v>
      </c>
      <c r="G467" s="291">
        <v>0</v>
      </c>
      <c r="H467" s="150">
        <v>0</v>
      </c>
      <c r="I467" s="567">
        <f t="shared" si="12"/>
        <v>0</v>
      </c>
    </row>
    <row r="468" spans="1:9" x14ac:dyDescent="0.15">
      <c r="A468" s="138"/>
      <c r="B468" s="521" t="s">
        <v>846</v>
      </c>
      <c r="C468" s="138" t="s">
        <v>155</v>
      </c>
      <c r="D468" s="144">
        <v>0</v>
      </c>
      <c r="E468" s="144">
        <v>0</v>
      </c>
      <c r="F468" s="144">
        <v>0</v>
      </c>
      <c r="G468" s="291">
        <v>0</v>
      </c>
      <c r="H468" s="150">
        <v>0</v>
      </c>
      <c r="I468" s="567">
        <f t="shared" si="12"/>
        <v>0</v>
      </c>
    </row>
    <row r="469" spans="1:9" x14ac:dyDescent="0.15">
      <c r="A469" s="138"/>
      <c r="B469" s="521" t="s">
        <v>1582</v>
      </c>
      <c r="C469" s="138" t="s">
        <v>156</v>
      </c>
      <c r="D469" s="144">
        <v>0</v>
      </c>
      <c r="E469" s="144">
        <v>0</v>
      </c>
      <c r="F469" s="144">
        <v>0</v>
      </c>
      <c r="G469" s="291">
        <v>0</v>
      </c>
      <c r="H469" s="150">
        <v>0</v>
      </c>
      <c r="I469" s="567">
        <f t="shared" si="12"/>
        <v>0</v>
      </c>
    </row>
    <row r="470" spans="1:9" x14ac:dyDescent="0.15">
      <c r="A470" s="138"/>
      <c r="B470" s="521" t="s">
        <v>847</v>
      </c>
      <c r="C470" s="138" t="s">
        <v>157</v>
      </c>
      <c r="D470" s="144">
        <v>0</v>
      </c>
      <c r="E470" s="144">
        <v>0</v>
      </c>
      <c r="F470" s="144">
        <v>0</v>
      </c>
      <c r="G470" s="291">
        <v>0</v>
      </c>
      <c r="H470" s="150">
        <v>0</v>
      </c>
      <c r="I470" s="567">
        <f t="shared" si="12"/>
        <v>0</v>
      </c>
    </row>
    <row r="471" spans="1:9" x14ac:dyDescent="0.15">
      <c r="A471" s="138"/>
      <c r="B471" s="521" t="s">
        <v>1583</v>
      </c>
      <c r="C471" s="138" t="s">
        <v>160</v>
      </c>
      <c r="D471" s="144">
        <v>0</v>
      </c>
      <c r="E471" s="144">
        <v>0</v>
      </c>
      <c r="F471" s="144">
        <v>0</v>
      </c>
      <c r="G471" s="291">
        <v>0</v>
      </c>
      <c r="H471" s="150">
        <v>0</v>
      </c>
      <c r="I471" s="567">
        <f t="shared" si="12"/>
        <v>0</v>
      </c>
    </row>
    <row r="472" spans="1:9" x14ac:dyDescent="0.15">
      <c r="A472" s="138"/>
      <c r="B472" s="521" t="s">
        <v>634</v>
      </c>
      <c r="C472" s="138" t="s">
        <v>165</v>
      </c>
      <c r="D472" s="144">
        <v>0</v>
      </c>
      <c r="E472" s="144">
        <v>0</v>
      </c>
      <c r="F472" s="144">
        <v>0</v>
      </c>
      <c r="G472" s="291">
        <v>0</v>
      </c>
      <c r="H472" s="150">
        <v>0</v>
      </c>
      <c r="I472" s="567">
        <f t="shared" si="12"/>
        <v>0</v>
      </c>
    </row>
    <row r="473" spans="1:9" x14ac:dyDescent="0.15">
      <c r="A473" s="138"/>
      <c r="B473" s="521" t="s">
        <v>630</v>
      </c>
      <c r="C473" s="138" t="s">
        <v>172</v>
      </c>
      <c r="D473" s="144">
        <v>0</v>
      </c>
      <c r="E473" s="144">
        <v>0</v>
      </c>
      <c r="F473" s="144">
        <v>0</v>
      </c>
      <c r="G473" s="291">
        <v>0</v>
      </c>
      <c r="H473" s="150">
        <v>0</v>
      </c>
      <c r="I473" s="567">
        <f t="shared" si="12"/>
        <v>0</v>
      </c>
    </row>
    <row r="474" spans="1:9" x14ac:dyDescent="0.15">
      <c r="A474" s="138"/>
      <c r="B474" s="650" t="s">
        <v>631</v>
      </c>
      <c r="C474" s="651" t="s">
        <v>173</v>
      </c>
      <c r="D474" s="144">
        <v>0</v>
      </c>
      <c r="E474" s="144">
        <v>0</v>
      </c>
      <c r="F474" s="144">
        <v>0</v>
      </c>
      <c r="G474" s="291">
        <v>0</v>
      </c>
      <c r="H474" s="150">
        <v>0</v>
      </c>
      <c r="I474" s="567">
        <f t="shared" si="12"/>
        <v>0</v>
      </c>
    </row>
    <row r="475" spans="1:9" x14ac:dyDescent="0.15">
      <c r="A475" s="138"/>
      <c r="B475" s="521" t="s">
        <v>1584</v>
      </c>
      <c r="C475" s="138" t="s">
        <v>178</v>
      </c>
      <c r="D475" s="144">
        <v>0</v>
      </c>
      <c r="E475" s="144">
        <v>0</v>
      </c>
      <c r="F475" s="144">
        <v>0</v>
      </c>
      <c r="G475" s="291">
        <v>0</v>
      </c>
      <c r="H475" s="150">
        <v>0</v>
      </c>
      <c r="I475" s="567">
        <f t="shared" si="12"/>
        <v>0</v>
      </c>
    </row>
    <row r="476" spans="1:9" x14ac:dyDescent="0.15">
      <c r="A476" s="138"/>
      <c r="B476" s="521" t="s">
        <v>174</v>
      </c>
      <c r="C476" s="138" t="s">
        <v>179</v>
      </c>
      <c r="D476" s="144">
        <v>0</v>
      </c>
      <c r="E476" s="144">
        <v>0</v>
      </c>
      <c r="F476" s="144">
        <v>0</v>
      </c>
      <c r="G476" s="291">
        <v>0</v>
      </c>
      <c r="H476" s="150">
        <v>0</v>
      </c>
      <c r="I476" s="567">
        <f t="shared" si="12"/>
        <v>0</v>
      </c>
    </row>
    <row r="477" spans="1:9" x14ac:dyDescent="0.15">
      <c r="A477" s="138"/>
      <c r="B477" s="521" t="s">
        <v>175</v>
      </c>
      <c r="C477" s="138" t="s">
        <v>180</v>
      </c>
      <c r="D477" s="144">
        <v>0</v>
      </c>
      <c r="E477" s="144">
        <v>0</v>
      </c>
      <c r="F477" s="144">
        <v>0</v>
      </c>
      <c r="G477" s="291">
        <v>0</v>
      </c>
      <c r="H477" s="150">
        <v>0</v>
      </c>
      <c r="I477" s="567">
        <f t="shared" si="12"/>
        <v>0</v>
      </c>
    </row>
    <row r="478" spans="1:9" ht="11.25" thickBot="1" x14ac:dyDescent="0.2">
      <c r="A478" s="138"/>
      <c r="B478" s="521" t="s">
        <v>176</v>
      </c>
      <c r="C478" s="138" t="s">
        <v>181</v>
      </c>
      <c r="D478" s="144">
        <v>0</v>
      </c>
      <c r="E478" s="144">
        <v>0</v>
      </c>
      <c r="F478" s="144">
        <v>0</v>
      </c>
      <c r="G478" s="291">
        <v>0</v>
      </c>
      <c r="H478" s="150">
        <v>0</v>
      </c>
      <c r="I478" s="567">
        <f t="shared" si="12"/>
        <v>0</v>
      </c>
    </row>
    <row r="479" spans="1:9" ht="12" thickTop="1" thickBot="1" x14ac:dyDescent="0.2">
      <c r="A479" s="138"/>
      <c r="B479" s="521"/>
      <c r="C479" s="138" t="s">
        <v>243</v>
      </c>
      <c r="D479" s="169">
        <f>SUM(D445:D478)</f>
        <v>0</v>
      </c>
      <c r="E479" s="169">
        <f>SUM(E445:E478)</f>
        <v>0</v>
      </c>
      <c r="F479" s="169">
        <f>SUM(F445:F478)</f>
        <v>0</v>
      </c>
      <c r="G479" s="169">
        <f>SUM(G445:G478)</f>
        <v>0</v>
      </c>
      <c r="H479" s="169">
        <f>SUM(H445:H478)</f>
        <v>0</v>
      </c>
      <c r="I479" s="169">
        <f t="shared" si="12"/>
        <v>0</v>
      </c>
    </row>
    <row r="480" spans="1:9" ht="11.25" thickTop="1" x14ac:dyDescent="0.15">
      <c r="A480" s="138"/>
      <c r="B480" s="138"/>
      <c r="C480" s="138"/>
      <c r="D480" s="14"/>
      <c r="E480" s="14"/>
      <c r="F480" s="14"/>
      <c r="G480" s="14"/>
      <c r="H480" s="14"/>
      <c r="I480" s="563"/>
    </row>
    <row r="481" spans="1:9" x14ac:dyDescent="0.15">
      <c r="A481" s="522" t="s">
        <v>244</v>
      </c>
      <c r="B481" s="138"/>
      <c r="C481" s="138"/>
      <c r="D481" s="14"/>
      <c r="E481" s="14"/>
      <c r="F481" s="14"/>
      <c r="G481" s="14"/>
      <c r="H481" s="14"/>
      <c r="I481" s="563"/>
    </row>
    <row r="482" spans="1:9" s="434" customFormat="1" x14ac:dyDescent="0.15">
      <c r="B482" s="523" t="s">
        <v>1577</v>
      </c>
      <c r="C482" s="524" t="s">
        <v>228</v>
      </c>
      <c r="D482" s="316">
        <v>0</v>
      </c>
      <c r="E482" s="316">
        <v>0</v>
      </c>
      <c r="F482" s="316">
        <v>0</v>
      </c>
      <c r="G482" s="528">
        <f t="array" ref="G482">SUM(IF(CertFund&amp;CertProg&amp;CertObj=RIGHT(LEFT($A$2,7),2)&amp;LEFT(A481,4)&amp;B482,CertSalary))</f>
        <v>0</v>
      </c>
      <c r="H482" s="527">
        <v>0</v>
      </c>
      <c r="I482" s="566">
        <f t="shared" ref="I482:I516" si="13">SUM(G482+H482)</f>
        <v>0</v>
      </c>
    </row>
    <row r="483" spans="1:9" s="434" customFormat="1" x14ac:dyDescent="0.15">
      <c r="B483" s="523" t="s">
        <v>1577</v>
      </c>
      <c r="C483" s="524" t="s">
        <v>510</v>
      </c>
      <c r="D483" s="316">
        <v>0</v>
      </c>
      <c r="E483" s="316">
        <v>0</v>
      </c>
      <c r="F483" s="316">
        <v>0</v>
      </c>
      <c r="G483" s="316">
        <v>0</v>
      </c>
      <c r="H483" s="527">
        <v>0</v>
      </c>
      <c r="I483" s="566">
        <f t="shared" si="13"/>
        <v>0</v>
      </c>
    </row>
    <row r="484" spans="1:9" s="434" customFormat="1" x14ac:dyDescent="0.15">
      <c r="A484" s="524"/>
      <c r="B484" s="523" t="s">
        <v>1578</v>
      </c>
      <c r="C484" s="524" t="s">
        <v>936</v>
      </c>
      <c r="D484" s="316">
        <v>0</v>
      </c>
      <c r="E484" s="316">
        <v>0</v>
      </c>
      <c r="F484" s="316">
        <v>0</v>
      </c>
      <c r="G484" s="529">
        <f t="array" ref="G484">SUM(IF(CertFund&amp;CertProg&amp;CertObj=RIGHT(LEFT($A$2,7),2)&amp;LEFT(A481,4)&amp;B482,CertBen))</f>
        <v>0</v>
      </c>
      <c r="H484" s="527">
        <v>0</v>
      </c>
      <c r="I484" s="566">
        <f t="shared" si="13"/>
        <v>0</v>
      </c>
    </row>
    <row r="485" spans="1:9" s="434" customFormat="1" x14ac:dyDescent="0.15">
      <c r="A485" s="524"/>
      <c r="B485" s="523" t="s">
        <v>1578</v>
      </c>
      <c r="C485" s="524" t="s">
        <v>511</v>
      </c>
      <c r="D485" s="316">
        <v>0</v>
      </c>
      <c r="E485" s="316">
        <v>0</v>
      </c>
      <c r="F485" s="316">
        <v>0</v>
      </c>
      <c r="G485" s="316">
        <v>0</v>
      </c>
      <c r="H485" s="527">
        <v>0</v>
      </c>
      <c r="I485" s="566">
        <f t="shared" si="13"/>
        <v>0</v>
      </c>
    </row>
    <row r="486" spans="1:9" x14ac:dyDescent="0.15">
      <c r="A486" s="138"/>
      <c r="B486" s="521" t="s">
        <v>1579</v>
      </c>
      <c r="C486" s="138" t="s">
        <v>118</v>
      </c>
      <c r="D486" s="144">
        <v>0</v>
      </c>
      <c r="E486" s="144">
        <v>0</v>
      </c>
      <c r="F486" s="144">
        <v>0</v>
      </c>
      <c r="G486" s="291">
        <v>0</v>
      </c>
      <c r="H486" s="150">
        <v>0</v>
      </c>
      <c r="I486" s="567">
        <f t="shared" si="13"/>
        <v>0</v>
      </c>
    </row>
    <row r="487" spans="1:9" x14ac:dyDescent="0.15">
      <c r="A487" s="138"/>
      <c r="B487" s="521" t="s">
        <v>1580</v>
      </c>
      <c r="C487" s="138" t="s">
        <v>119</v>
      </c>
      <c r="D487" s="144">
        <v>0</v>
      </c>
      <c r="E487" s="144">
        <v>0</v>
      </c>
      <c r="F487" s="144">
        <v>0</v>
      </c>
      <c r="G487" s="291">
        <v>0</v>
      </c>
      <c r="H487" s="150">
        <v>0</v>
      </c>
      <c r="I487" s="567">
        <f t="shared" si="13"/>
        <v>0</v>
      </c>
    </row>
    <row r="488" spans="1:9" x14ac:dyDescent="0.15">
      <c r="A488" s="138"/>
      <c r="B488" s="521" t="s">
        <v>120</v>
      </c>
      <c r="C488" s="138" t="s">
        <v>121</v>
      </c>
      <c r="D488" s="144">
        <v>0</v>
      </c>
      <c r="E488" s="144">
        <v>0</v>
      </c>
      <c r="F488" s="144">
        <v>0</v>
      </c>
      <c r="G488" s="291">
        <v>0</v>
      </c>
      <c r="H488" s="150">
        <v>0</v>
      </c>
      <c r="I488" s="567">
        <f t="shared" si="13"/>
        <v>0</v>
      </c>
    </row>
    <row r="489" spans="1:9" x14ac:dyDescent="0.15">
      <c r="A489" s="138"/>
      <c r="B489" s="521" t="s">
        <v>122</v>
      </c>
      <c r="C489" s="138" t="s">
        <v>123</v>
      </c>
      <c r="D489" s="144">
        <v>0</v>
      </c>
      <c r="E489" s="144">
        <v>0</v>
      </c>
      <c r="F489" s="144">
        <v>0</v>
      </c>
      <c r="G489" s="291">
        <v>0</v>
      </c>
      <c r="H489" s="150">
        <v>0</v>
      </c>
      <c r="I489" s="567">
        <f t="shared" si="13"/>
        <v>0</v>
      </c>
    </row>
    <row r="490" spans="1:9" x14ac:dyDescent="0.15">
      <c r="A490" s="138"/>
      <c r="B490" s="521" t="s">
        <v>1581</v>
      </c>
      <c r="C490" s="138" t="s">
        <v>124</v>
      </c>
      <c r="D490" s="144">
        <v>0</v>
      </c>
      <c r="E490" s="144">
        <v>0</v>
      </c>
      <c r="F490" s="144">
        <v>0</v>
      </c>
      <c r="G490" s="291">
        <v>0</v>
      </c>
      <c r="H490" s="150">
        <v>0</v>
      </c>
      <c r="I490" s="567">
        <f t="shared" si="13"/>
        <v>0</v>
      </c>
    </row>
    <row r="491" spans="1:9" x14ac:dyDescent="0.15">
      <c r="A491" s="138"/>
      <c r="B491" s="521" t="s">
        <v>127</v>
      </c>
      <c r="C491" s="138" t="s">
        <v>134</v>
      </c>
      <c r="D491" s="144">
        <v>0</v>
      </c>
      <c r="E491" s="144">
        <v>0</v>
      </c>
      <c r="F491" s="144">
        <v>0</v>
      </c>
      <c r="G491" s="291">
        <v>0</v>
      </c>
      <c r="H491" s="150">
        <v>0</v>
      </c>
      <c r="I491" s="567">
        <f t="shared" si="13"/>
        <v>0</v>
      </c>
    </row>
    <row r="492" spans="1:9" x14ac:dyDescent="0.15">
      <c r="A492" s="138"/>
      <c r="B492" s="521" t="s">
        <v>128</v>
      </c>
      <c r="C492" s="138" t="s">
        <v>135</v>
      </c>
      <c r="D492" s="144">
        <v>0</v>
      </c>
      <c r="E492" s="144">
        <v>0</v>
      </c>
      <c r="F492" s="144">
        <v>0</v>
      </c>
      <c r="G492" s="291">
        <v>0</v>
      </c>
      <c r="H492" s="150">
        <v>0</v>
      </c>
      <c r="I492" s="567">
        <f t="shared" si="13"/>
        <v>0</v>
      </c>
    </row>
    <row r="493" spans="1:9" x14ac:dyDescent="0.15">
      <c r="A493" s="138"/>
      <c r="B493" s="521" t="s">
        <v>132</v>
      </c>
      <c r="C493" s="138" t="s">
        <v>1617</v>
      </c>
      <c r="D493" s="144">
        <v>0</v>
      </c>
      <c r="E493" s="144">
        <v>0</v>
      </c>
      <c r="F493" s="144">
        <v>0</v>
      </c>
      <c r="G493" s="291">
        <v>0</v>
      </c>
      <c r="H493" s="150">
        <v>0</v>
      </c>
      <c r="I493" s="567">
        <f t="shared" si="13"/>
        <v>0</v>
      </c>
    </row>
    <row r="494" spans="1:9" x14ac:dyDescent="0.15">
      <c r="A494" s="138"/>
      <c r="B494" s="521" t="s">
        <v>1618</v>
      </c>
      <c r="C494" s="138" t="s">
        <v>836</v>
      </c>
      <c r="D494" s="144">
        <v>0</v>
      </c>
      <c r="E494" s="144">
        <v>0</v>
      </c>
      <c r="F494" s="144">
        <v>0</v>
      </c>
      <c r="G494" s="291">
        <v>0</v>
      </c>
      <c r="H494" s="150">
        <v>0</v>
      </c>
      <c r="I494" s="567">
        <f t="shared" si="13"/>
        <v>0</v>
      </c>
    </row>
    <row r="495" spans="1:9" x14ac:dyDescent="0.15">
      <c r="A495" s="138"/>
      <c r="B495" s="521" t="s">
        <v>1619</v>
      </c>
      <c r="C495" s="138" t="s">
        <v>837</v>
      </c>
      <c r="D495" s="144">
        <v>0</v>
      </c>
      <c r="E495" s="144">
        <v>0</v>
      </c>
      <c r="F495" s="144">
        <v>0</v>
      </c>
      <c r="G495" s="291">
        <v>0</v>
      </c>
      <c r="H495" s="150">
        <v>0</v>
      </c>
      <c r="I495" s="567">
        <f t="shared" si="13"/>
        <v>0</v>
      </c>
    </row>
    <row r="496" spans="1:9" x14ac:dyDescent="0.15">
      <c r="A496" s="138"/>
      <c r="B496" s="521" t="s">
        <v>1620</v>
      </c>
      <c r="C496" s="138" t="s">
        <v>838</v>
      </c>
      <c r="D496" s="144">
        <v>0</v>
      </c>
      <c r="E496" s="144">
        <v>0</v>
      </c>
      <c r="F496" s="144">
        <v>0</v>
      </c>
      <c r="G496" s="291">
        <v>0</v>
      </c>
      <c r="H496" s="150">
        <v>0</v>
      </c>
      <c r="I496" s="567">
        <f t="shared" si="13"/>
        <v>0</v>
      </c>
    </row>
    <row r="497" spans="1:9" x14ac:dyDescent="0.15">
      <c r="A497" s="138"/>
      <c r="B497" s="521" t="s">
        <v>1621</v>
      </c>
      <c r="C497" s="138" t="s">
        <v>839</v>
      </c>
      <c r="D497" s="144">
        <v>0</v>
      </c>
      <c r="E497" s="144">
        <v>0</v>
      </c>
      <c r="F497" s="144">
        <v>0</v>
      </c>
      <c r="G497" s="291">
        <v>0</v>
      </c>
      <c r="H497" s="150">
        <v>0</v>
      </c>
      <c r="I497" s="567">
        <f t="shared" si="13"/>
        <v>0</v>
      </c>
    </row>
    <row r="498" spans="1:9" x14ac:dyDescent="0.15">
      <c r="A498" s="138"/>
      <c r="B498" s="521" t="s">
        <v>1622</v>
      </c>
      <c r="C498" s="138" t="s">
        <v>190</v>
      </c>
      <c r="D498" s="144">
        <v>0</v>
      </c>
      <c r="E498" s="144">
        <v>0</v>
      </c>
      <c r="F498" s="144">
        <v>0</v>
      </c>
      <c r="G498" s="291">
        <v>0</v>
      </c>
      <c r="H498" s="150">
        <v>0</v>
      </c>
      <c r="I498" s="567">
        <f t="shared" si="13"/>
        <v>0</v>
      </c>
    </row>
    <row r="499" spans="1:9" x14ac:dyDescent="0.15">
      <c r="A499" s="138"/>
      <c r="B499" s="521" t="s">
        <v>1623</v>
      </c>
      <c r="C499" s="138" t="s">
        <v>191</v>
      </c>
      <c r="D499" s="144">
        <v>0</v>
      </c>
      <c r="E499" s="144">
        <v>0</v>
      </c>
      <c r="F499" s="144">
        <v>0</v>
      </c>
      <c r="G499" s="291">
        <v>0</v>
      </c>
      <c r="H499" s="150">
        <v>0</v>
      </c>
      <c r="I499" s="567">
        <f t="shared" si="13"/>
        <v>0</v>
      </c>
    </row>
    <row r="500" spans="1:9" x14ac:dyDescent="0.15">
      <c r="A500" s="138"/>
      <c r="B500" s="521" t="s">
        <v>1624</v>
      </c>
      <c r="C500" s="138" t="s">
        <v>840</v>
      </c>
      <c r="D500" s="144">
        <v>0</v>
      </c>
      <c r="E500" s="144">
        <v>0</v>
      </c>
      <c r="F500" s="144">
        <v>0</v>
      </c>
      <c r="G500" s="291">
        <v>0</v>
      </c>
      <c r="H500" s="150">
        <v>0</v>
      </c>
      <c r="I500" s="567">
        <f t="shared" si="13"/>
        <v>0</v>
      </c>
    </row>
    <row r="501" spans="1:9" x14ac:dyDescent="0.15">
      <c r="A501" s="138"/>
      <c r="B501" s="521" t="s">
        <v>1625</v>
      </c>
      <c r="C501" s="138" t="s">
        <v>842</v>
      </c>
      <c r="D501" s="144">
        <v>0</v>
      </c>
      <c r="E501" s="144">
        <v>0</v>
      </c>
      <c r="F501" s="144">
        <v>0</v>
      </c>
      <c r="G501" s="291">
        <v>0</v>
      </c>
      <c r="H501" s="150">
        <v>0</v>
      </c>
      <c r="I501" s="567">
        <f t="shared" si="13"/>
        <v>0</v>
      </c>
    </row>
    <row r="502" spans="1:9" x14ac:dyDescent="0.15">
      <c r="A502" s="138"/>
      <c r="B502" s="521" t="s">
        <v>843</v>
      </c>
      <c r="C502" s="138" t="s">
        <v>848</v>
      </c>
      <c r="D502" s="144">
        <v>0</v>
      </c>
      <c r="E502" s="144">
        <v>0</v>
      </c>
      <c r="F502" s="144">
        <v>0</v>
      </c>
      <c r="G502" s="291">
        <v>0</v>
      </c>
      <c r="H502" s="150">
        <v>0</v>
      </c>
      <c r="I502" s="567">
        <f t="shared" si="13"/>
        <v>0</v>
      </c>
    </row>
    <row r="503" spans="1:9" x14ac:dyDescent="0.15">
      <c r="A503" s="138"/>
      <c r="B503" s="521" t="s">
        <v>844</v>
      </c>
      <c r="C503" s="138" t="s">
        <v>153</v>
      </c>
      <c r="D503" s="144">
        <v>0</v>
      </c>
      <c r="E503" s="144">
        <v>0</v>
      </c>
      <c r="F503" s="144">
        <v>0</v>
      </c>
      <c r="G503" s="291">
        <v>0</v>
      </c>
      <c r="H503" s="150">
        <v>0</v>
      </c>
      <c r="I503" s="567">
        <f t="shared" si="13"/>
        <v>0</v>
      </c>
    </row>
    <row r="504" spans="1:9" x14ac:dyDescent="0.15">
      <c r="A504" s="138"/>
      <c r="B504" s="521" t="s">
        <v>845</v>
      </c>
      <c r="C504" s="138" t="s">
        <v>154</v>
      </c>
      <c r="D504" s="144">
        <v>0</v>
      </c>
      <c r="E504" s="144">
        <v>0</v>
      </c>
      <c r="F504" s="144">
        <v>0</v>
      </c>
      <c r="G504" s="291">
        <v>0</v>
      </c>
      <c r="H504" s="150">
        <v>0</v>
      </c>
      <c r="I504" s="567">
        <f t="shared" si="13"/>
        <v>0</v>
      </c>
    </row>
    <row r="505" spans="1:9" x14ac:dyDescent="0.15">
      <c r="A505" s="138"/>
      <c r="B505" s="521" t="s">
        <v>846</v>
      </c>
      <c r="C505" s="138" t="s">
        <v>155</v>
      </c>
      <c r="D505" s="144">
        <v>0</v>
      </c>
      <c r="E505" s="144">
        <v>0</v>
      </c>
      <c r="F505" s="144">
        <v>0</v>
      </c>
      <c r="G505" s="291">
        <v>0</v>
      </c>
      <c r="H505" s="150">
        <v>0</v>
      </c>
      <c r="I505" s="567">
        <f t="shared" si="13"/>
        <v>0</v>
      </c>
    </row>
    <row r="506" spans="1:9" x14ac:dyDescent="0.15">
      <c r="A506" s="138"/>
      <c r="B506" s="521" t="s">
        <v>1582</v>
      </c>
      <c r="C506" s="138" t="s">
        <v>156</v>
      </c>
      <c r="D506" s="144">
        <v>0</v>
      </c>
      <c r="E506" s="144">
        <v>0</v>
      </c>
      <c r="F506" s="144">
        <v>0</v>
      </c>
      <c r="G506" s="291">
        <v>0</v>
      </c>
      <c r="H506" s="150">
        <v>0</v>
      </c>
      <c r="I506" s="567">
        <f t="shared" si="13"/>
        <v>0</v>
      </c>
    </row>
    <row r="507" spans="1:9" x14ac:dyDescent="0.15">
      <c r="A507" s="138"/>
      <c r="B507" s="521" t="s">
        <v>847</v>
      </c>
      <c r="C507" s="138" t="s">
        <v>157</v>
      </c>
      <c r="D507" s="144">
        <v>0</v>
      </c>
      <c r="E507" s="144">
        <v>0</v>
      </c>
      <c r="F507" s="144">
        <v>0</v>
      </c>
      <c r="G507" s="291">
        <v>0</v>
      </c>
      <c r="H507" s="150">
        <v>0</v>
      </c>
      <c r="I507" s="567">
        <f t="shared" si="13"/>
        <v>0</v>
      </c>
    </row>
    <row r="508" spans="1:9" x14ac:dyDescent="0.15">
      <c r="A508" s="138"/>
      <c r="B508" s="521" t="s">
        <v>1583</v>
      </c>
      <c r="C508" s="138" t="s">
        <v>160</v>
      </c>
      <c r="D508" s="144">
        <v>0</v>
      </c>
      <c r="E508" s="144">
        <v>0</v>
      </c>
      <c r="F508" s="144">
        <v>0</v>
      </c>
      <c r="G508" s="291">
        <v>0</v>
      </c>
      <c r="H508" s="150">
        <v>0</v>
      </c>
      <c r="I508" s="567">
        <f t="shared" si="13"/>
        <v>0</v>
      </c>
    </row>
    <row r="509" spans="1:9" x14ac:dyDescent="0.15">
      <c r="A509" s="138"/>
      <c r="B509" s="521" t="s">
        <v>634</v>
      </c>
      <c r="C509" s="138" t="s">
        <v>165</v>
      </c>
      <c r="D509" s="144">
        <v>0</v>
      </c>
      <c r="E509" s="144">
        <v>0</v>
      </c>
      <c r="F509" s="144">
        <v>0</v>
      </c>
      <c r="G509" s="291">
        <v>0</v>
      </c>
      <c r="H509" s="150">
        <v>0</v>
      </c>
      <c r="I509" s="567">
        <f t="shared" si="13"/>
        <v>0</v>
      </c>
    </row>
    <row r="510" spans="1:9" x14ac:dyDescent="0.15">
      <c r="A510" s="138"/>
      <c r="B510" s="521" t="s">
        <v>630</v>
      </c>
      <c r="C510" s="138" t="s">
        <v>172</v>
      </c>
      <c r="D510" s="144">
        <v>0</v>
      </c>
      <c r="E510" s="144">
        <v>0</v>
      </c>
      <c r="F510" s="144">
        <v>0</v>
      </c>
      <c r="G510" s="291">
        <v>0</v>
      </c>
      <c r="H510" s="150">
        <v>0</v>
      </c>
      <c r="I510" s="567">
        <f t="shared" si="13"/>
        <v>0</v>
      </c>
    </row>
    <row r="511" spans="1:9" x14ac:dyDescent="0.15">
      <c r="A511" s="138"/>
      <c r="B511" s="650" t="s">
        <v>631</v>
      </c>
      <c r="C511" s="651" t="s">
        <v>173</v>
      </c>
      <c r="D511" s="144">
        <v>0</v>
      </c>
      <c r="E511" s="144">
        <v>0</v>
      </c>
      <c r="F511" s="144">
        <v>0</v>
      </c>
      <c r="G511" s="291">
        <v>0</v>
      </c>
      <c r="H511" s="150">
        <v>0</v>
      </c>
      <c r="I511" s="567">
        <f t="shared" si="13"/>
        <v>0</v>
      </c>
    </row>
    <row r="512" spans="1:9" x14ac:dyDescent="0.15">
      <c r="A512" s="138"/>
      <c r="B512" s="521" t="s">
        <v>1584</v>
      </c>
      <c r="C512" s="138" t="s">
        <v>178</v>
      </c>
      <c r="D512" s="144">
        <v>0</v>
      </c>
      <c r="E512" s="144">
        <v>0</v>
      </c>
      <c r="F512" s="144">
        <v>0</v>
      </c>
      <c r="G512" s="291">
        <v>0</v>
      </c>
      <c r="H512" s="150">
        <v>0</v>
      </c>
      <c r="I512" s="567">
        <f t="shared" si="13"/>
        <v>0</v>
      </c>
    </row>
    <row r="513" spans="1:10" x14ac:dyDescent="0.15">
      <c r="A513" s="138"/>
      <c r="B513" s="521" t="s">
        <v>174</v>
      </c>
      <c r="C513" s="138" t="s">
        <v>179</v>
      </c>
      <c r="D513" s="144">
        <v>0</v>
      </c>
      <c r="E513" s="144">
        <v>0</v>
      </c>
      <c r="F513" s="144">
        <v>0</v>
      </c>
      <c r="G513" s="291">
        <v>0</v>
      </c>
      <c r="H513" s="150">
        <v>0</v>
      </c>
      <c r="I513" s="567">
        <f t="shared" si="13"/>
        <v>0</v>
      </c>
    </row>
    <row r="514" spans="1:10" x14ac:dyDescent="0.15">
      <c r="A514" s="138"/>
      <c r="B514" s="521" t="s">
        <v>175</v>
      </c>
      <c r="C514" s="138" t="s">
        <v>180</v>
      </c>
      <c r="D514" s="144">
        <v>0</v>
      </c>
      <c r="E514" s="144">
        <v>0</v>
      </c>
      <c r="F514" s="144">
        <v>0</v>
      </c>
      <c r="G514" s="291">
        <v>0</v>
      </c>
      <c r="H514" s="150">
        <v>0</v>
      </c>
      <c r="I514" s="567">
        <f t="shared" si="13"/>
        <v>0</v>
      </c>
    </row>
    <row r="515" spans="1:10" ht="11.25" thickBot="1" x14ac:dyDescent="0.2">
      <c r="A515" s="138"/>
      <c r="B515" s="521" t="s">
        <v>176</v>
      </c>
      <c r="C515" s="138" t="s">
        <v>181</v>
      </c>
      <c r="D515" s="144">
        <v>0</v>
      </c>
      <c r="E515" s="144">
        <v>0</v>
      </c>
      <c r="F515" s="144">
        <v>0</v>
      </c>
      <c r="G515" s="291">
        <v>0</v>
      </c>
      <c r="H515" s="150">
        <v>0</v>
      </c>
      <c r="I515" s="567">
        <f t="shared" si="13"/>
        <v>0</v>
      </c>
    </row>
    <row r="516" spans="1:10" ht="12" thickTop="1" thickBot="1" x14ac:dyDescent="0.2">
      <c r="A516" s="138"/>
      <c r="B516" s="521"/>
      <c r="C516" s="138" t="s">
        <v>245</v>
      </c>
      <c r="D516" s="169">
        <f>SUM(D482:D515)</f>
        <v>0</v>
      </c>
      <c r="E516" s="169">
        <f>SUM(E482:E515)</f>
        <v>0</v>
      </c>
      <c r="F516" s="169">
        <f>SUM(F482:F515)</f>
        <v>0</v>
      </c>
      <c r="G516" s="169">
        <f>SUM(G482:G515)</f>
        <v>0</v>
      </c>
      <c r="H516" s="169">
        <f>SUM(H482:H515)</f>
        <v>0</v>
      </c>
      <c r="I516" s="169">
        <f t="shared" si="13"/>
        <v>0</v>
      </c>
    </row>
    <row r="517" spans="1:10" ht="11.25" thickTop="1" x14ac:dyDescent="0.15">
      <c r="A517" s="138"/>
      <c r="B517" s="138"/>
      <c r="C517" s="138"/>
      <c r="D517" s="14"/>
      <c r="E517" s="14"/>
      <c r="F517" s="14"/>
      <c r="G517" s="14"/>
      <c r="H517" s="14"/>
      <c r="I517" s="563"/>
    </row>
    <row r="518" spans="1:10" x14ac:dyDescent="0.15">
      <c r="A518" s="522" t="s">
        <v>246</v>
      </c>
      <c r="B518" s="138"/>
      <c r="C518" s="138"/>
      <c r="D518" s="14"/>
      <c r="E518" s="14"/>
      <c r="F518" s="14"/>
      <c r="G518" s="14"/>
      <c r="H518" s="14"/>
      <c r="I518" s="563"/>
    </row>
    <row r="519" spans="1:10" s="434" customFormat="1" x14ac:dyDescent="0.15">
      <c r="B519" s="523" t="s">
        <v>1577</v>
      </c>
      <c r="C519" s="524" t="s">
        <v>228</v>
      </c>
      <c r="D519" s="316">
        <v>0</v>
      </c>
      <c r="E519" s="316">
        <v>0</v>
      </c>
      <c r="F519" s="316">
        <v>0</v>
      </c>
      <c r="G519" s="528">
        <f t="array" ref="G519">SUM(IF(CertFund&amp;CertProg&amp;CertObj=RIGHT(LEFT($A$2,7),2)&amp;LEFT(A518,4)&amp;B519,CertSalary))</f>
        <v>0</v>
      </c>
      <c r="H519" s="527">
        <v>0</v>
      </c>
      <c r="I519" s="566">
        <f t="shared" ref="I519:I553" si="14">SUM(G519+H519)</f>
        <v>0</v>
      </c>
    </row>
    <row r="520" spans="1:10" s="434" customFormat="1" x14ac:dyDescent="0.15">
      <c r="B520" s="523" t="s">
        <v>1577</v>
      </c>
      <c r="C520" s="524" t="s">
        <v>510</v>
      </c>
      <c r="D520" s="316">
        <v>0</v>
      </c>
      <c r="E520" s="316">
        <v>0</v>
      </c>
      <c r="F520" s="316">
        <v>0</v>
      </c>
      <c r="G520" s="316">
        <v>0</v>
      </c>
      <c r="H520" s="527">
        <v>0</v>
      </c>
      <c r="I520" s="566">
        <f t="shared" si="14"/>
        <v>0</v>
      </c>
    </row>
    <row r="521" spans="1:10" s="434" customFormat="1" x14ac:dyDescent="0.15">
      <c r="A521" s="524"/>
      <c r="B521" s="523" t="s">
        <v>1578</v>
      </c>
      <c r="C521" s="524" t="s">
        <v>936</v>
      </c>
      <c r="D521" s="316">
        <v>0</v>
      </c>
      <c r="E521" s="316">
        <v>0</v>
      </c>
      <c r="F521" s="316">
        <v>0</v>
      </c>
      <c r="G521" s="529">
        <f t="array" ref="G521">SUM(IF(CertFund&amp;CertProg&amp;CertObj=RIGHT(LEFT($A$2,7),2)&amp;LEFT(A518,4)&amp;B519,CertBen))</f>
        <v>0</v>
      </c>
      <c r="H521" s="527">
        <v>0</v>
      </c>
      <c r="I521" s="566">
        <f t="shared" si="14"/>
        <v>0</v>
      </c>
    </row>
    <row r="522" spans="1:10" x14ac:dyDescent="0.15">
      <c r="A522" s="138"/>
      <c r="B522" s="521" t="s">
        <v>1578</v>
      </c>
      <c r="C522" s="138" t="s">
        <v>511</v>
      </c>
      <c r="D522" s="147">
        <v>0</v>
      </c>
      <c r="E522" s="147">
        <v>0</v>
      </c>
      <c r="F522" s="147">
        <v>0</v>
      </c>
      <c r="G522" s="147">
        <v>0</v>
      </c>
      <c r="H522" s="150">
        <v>0</v>
      </c>
      <c r="I522" s="567">
        <f t="shared" si="14"/>
        <v>0</v>
      </c>
      <c r="J522" s="434"/>
    </row>
    <row r="523" spans="1:10" x14ac:dyDescent="0.15">
      <c r="A523" s="138"/>
      <c r="B523" s="521" t="s">
        <v>1579</v>
      </c>
      <c r="C523" s="138" t="s">
        <v>118</v>
      </c>
      <c r="D523" s="144">
        <v>0</v>
      </c>
      <c r="E523" s="144">
        <v>0</v>
      </c>
      <c r="F523" s="144">
        <v>0</v>
      </c>
      <c r="G523" s="291">
        <v>0</v>
      </c>
      <c r="H523" s="150">
        <v>0</v>
      </c>
      <c r="I523" s="567">
        <f t="shared" si="14"/>
        <v>0</v>
      </c>
    </row>
    <row r="524" spans="1:10" x14ac:dyDescent="0.15">
      <c r="A524" s="138"/>
      <c r="B524" s="521" t="s">
        <v>1580</v>
      </c>
      <c r="C524" s="138" t="s">
        <v>119</v>
      </c>
      <c r="D524" s="144">
        <v>0</v>
      </c>
      <c r="E524" s="144">
        <v>0</v>
      </c>
      <c r="F524" s="144">
        <v>0</v>
      </c>
      <c r="G524" s="291">
        <v>0</v>
      </c>
      <c r="H524" s="150">
        <v>0</v>
      </c>
      <c r="I524" s="567">
        <f t="shared" si="14"/>
        <v>0</v>
      </c>
    </row>
    <row r="525" spans="1:10" x14ac:dyDescent="0.15">
      <c r="A525" s="138"/>
      <c r="B525" s="521" t="s">
        <v>120</v>
      </c>
      <c r="C525" s="138" t="s">
        <v>121</v>
      </c>
      <c r="D525" s="144">
        <v>0</v>
      </c>
      <c r="E525" s="144">
        <v>0</v>
      </c>
      <c r="F525" s="144">
        <v>0</v>
      </c>
      <c r="G525" s="291">
        <v>0</v>
      </c>
      <c r="H525" s="150">
        <v>0</v>
      </c>
      <c r="I525" s="567">
        <f t="shared" si="14"/>
        <v>0</v>
      </c>
    </row>
    <row r="526" spans="1:10" x14ac:dyDescent="0.15">
      <c r="A526" s="138"/>
      <c r="B526" s="521" t="s">
        <v>122</v>
      </c>
      <c r="C526" s="138" t="s">
        <v>123</v>
      </c>
      <c r="D526" s="144">
        <v>0</v>
      </c>
      <c r="E526" s="144">
        <v>0</v>
      </c>
      <c r="F526" s="144">
        <v>0</v>
      </c>
      <c r="G526" s="291">
        <v>0</v>
      </c>
      <c r="H526" s="150">
        <v>0</v>
      </c>
      <c r="I526" s="567">
        <f t="shared" si="14"/>
        <v>0</v>
      </c>
    </row>
    <row r="527" spans="1:10" x14ac:dyDescent="0.15">
      <c r="A527" s="138"/>
      <c r="B527" s="521" t="s">
        <v>1581</v>
      </c>
      <c r="C527" s="138" t="s">
        <v>124</v>
      </c>
      <c r="D527" s="144">
        <v>0</v>
      </c>
      <c r="E527" s="144">
        <v>0</v>
      </c>
      <c r="F527" s="144">
        <v>0</v>
      </c>
      <c r="G527" s="291">
        <v>0</v>
      </c>
      <c r="H527" s="150">
        <v>0</v>
      </c>
      <c r="I527" s="567">
        <f t="shared" si="14"/>
        <v>0</v>
      </c>
    </row>
    <row r="528" spans="1:10" x14ac:dyDescent="0.15">
      <c r="A528" s="138"/>
      <c r="B528" s="521" t="s">
        <v>127</v>
      </c>
      <c r="C528" s="138" t="s">
        <v>134</v>
      </c>
      <c r="D528" s="144">
        <v>0</v>
      </c>
      <c r="E528" s="144">
        <v>0</v>
      </c>
      <c r="F528" s="144">
        <v>0</v>
      </c>
      <c r="G528" s="291">
        <v>0</v>
      </c>
      <c r="H528" s="150">
        <v>0</v>
      </c>
      <c r="I528" s="567">
        <f t="shared" si="14"/>
        <v>0</v>
      </c>
    </row>
    <row r="529" spans="1:9" x14ac:dyDescent="0.15">
      <c r="A529" s="138"/>
      <c r="B529" s="521" t="s">
        <v>128</v>
      </c>
      <c r="C529" s="138" t="s">
        <v>135</v>
      </c>
      <c r="D529" s="144">
        <v>0</v>
      </c>
      <c r="E529" s="144">
        <v>0</v>
      </c>
      <c r="F529" s="144">
        <v>0</v>
      </c>
      <c r="G529" s="291">
        <v>0</v>
      </c>
      <c r="H529" s="150">
        <v>0</v>
      </c>
      <c r="I529" s="567">
        <f t="shared" si="14"/>
        <v>0</v>
      </c>
    </row>
    <row r="530" spans="1:9" x14ac:dyDescent="0.15">
      <c r="A530" s="138"/>
      <c r="B530" s="521" t="s">
        <v>132</v>
      </c>
      <c r="C530" s="138" t="s">
        <v>1617</v>
      </c>
      <c r="D530" s="144">
        <v>0</v>
      </c>
      <c r="E530" s="144">
        <v>0</v>
      </c>
      <c r="F530" s="144">
        <v>0</v>
      </c>
      <c r="G530" s="291">
        <v>0</v>
      </c>
      <c r="H530" s="150">
        <v>0</v>
      </c>
      <c r="I530" s="567">
        <f t="shared" si="14"/>
        <v>0</v>
      </c>
    </row>
    <row r="531" spans="1:9" x14ac:dyDescent="0.15">
      <c r="A531" s="138"/>
      <c r="B531" s="521" t="s">
        <v>1618</v>
      </c>
      <c r="C531" s="138" t="s">
        <v>836</v>
      </c>
      <c r="D531" s="144">
        <v>0</v>
      </c>
      <c r="E531" s="144">
        <v>0</v>
      </c>
      <c r="F531" s="144">
        <v>0</v>
      </c>
      <c r="G531" s="291">
        <v>0</v>
      </c>
      <c r="H531" s="150">
        <v>0</v>
      </c>
      <c r="I531" s="567">
        <f t="shared" si="14"/>
        <v>0</v>
      </c>
    </row>
    <row r="532" spans="1:9" x14ac:dyDescent="0.15">
      <c r="A532" s="138"/>
      <c r="B532" s="521" t="s">
        <v>1619</v>
      </c>
      <c r="C532" s="138" t="s">
        <v>837</v>
      </c>
      <c r="D532" s="144">
        <v>0</v>
      </c>
      <c r="E532" s="144">
        <v>0</v>
      </c>
      <c r="F532" s="144">
        <v>0</v>
      </c>
      <c r="G532" s="291">
        <v>0</v>
      </c>
      <c r="H532" s="150">
        <v>0</v>
      </c>
      <c r="I532" s="567">
        <f t="shared" si="14"/>
        <v>0</v>
      </c>
    </row>
    <row r="533" spans="1:9" x14ac:dyDescent="0.15">
      <c r="A533" s="138"/>
      <c r="B533" s="521" t="s">
        <v>1620</v>
      </c>
      <c r="C533" s="138" t="s">
        <v>838</v>
      </c>
      <c r="D533" s="144">
        <v>0</v>
      </c>
      <c r="E533" s="144">
        <v>0</v>
      </c>
      <c r="F533" s="144">
        <v>0</v>
      </c>
      <c r="G533" s="291">
        <v>0</v>
      </c>
      <c r="H533" s="150">
        <v>0</v>
      </c>
      <c r="I533" s="567">
        <f t="shared" si="14"/>
        <v>0</v>
      </c>
    </row>
    <row r="534" spans="1:9" x14ac:dyDescent="0.15">
      <c r="A534" s="138"/>
      <c r="B534" s="521" t="s">
        <v>1621</v>
      </c>
      <c r="C534" s="138" t="s">
        <v>839</v>
      </c>
      <c r="D534" s="144">
        <v>0</v>
      </c>
      <c r="E534" s="144">
        <v>0</v>
      </c>
      <c r="F534" s="144">
        <v>0</v>
      </c>
      <c r="G534" s="291">
        <v>0</v>
      </c>
      <c r="H534" s="150">
        <v>0</v>
      </c>
      <c r="I534" s="567">
        <f t="shared" si="14"/>
        <v>0</v>
      </c>
    </row>
    <row r="535" spans="1:9" x14ac:dyDescent="0.15">
      <c r="A535" s="138"/>
      <c r="B535" s="521" t="s">
        <v>1622</v>
      </c>
      <c r="C535" s="138" t="s">
        <v>190</v>
      </c>
      <c r="D535" s="144">
        <v>0</v>
      </c>
      <c r="E535" s="144">
        <v>0</v>
      </c>
      <c r="F535" s="144">
        <v>0</v>
      </c>
      <c r="G535" s="291">
        <v>0</v>
      </c>
      <c r="H535" s="150">
        <v>0</v>
      </c>
      <c r="I535" s="567">
        <f t="shared" si="14"/>
        <v>0</v>
      </c>
    </row>
    <row r="536" spans="1:9" x14ac:dyDescent="0.15">
      <c r="A536" s="138"/>
      <c r="B536" s="521" t="s">
        <v>1623</v>
      </c>
      <c r="C536" s="138" t="s">
        <v>191</v>
      </c>
      <c r="D536" s="144">
        <v>0</v>
      </c>
      <c r="E536" s="144">
        <v>0</v>
      </c>
      <c r="F536" s="144">
        <v>0</v>
      </c>
      <c r="G536" s="291">
        <v>0</v>
      </c>
      <c r="H536" s="150">
        <v>0</v>
      </c>
      <c r="I536" s="567">
        <f t="shared" si="14"/>
        <v>0</v>
      </c>
    </row>
    <row r="537" spans="1:9" x14ac:dyDescent="0.15">
      <c r="A537" s="138"/>
      <c r="B537" s="521" t="s">
        <v>1624</v>
      </c>
      <c r="C537" s="138" t="s">
        <v>840</v>
      </c>
      <c r="D537" s="144">
        <v>0</v>
      </c>
      <c r="E537" s="144">
        <v>0</v>
      </c>
      <c r="F537" s="144">
        <v>0</v>
      </c>
      <c r="G537" s="291">
        <v>0</v>
      </c>
      <c r="H537" s="150">
        <v>0</v>
      </c>
      <c r="I537" s="567">
        <f t="shared" si="14"/>
        <v>0</v>
      </c>
    </row>
    <row r="538" spans="1:9" x14ac:dyDescent="0.15">
      <c r="A538" s="138"/>
      <c r="B538" s="521" t="s">
        <v>1625</v>
      </c>
      <c r="C538" s="138" t="s">
        <v>842</v>
      </c>
      <c r="D538" s="144">
        <v>0</v>
      </c>
      <c r="E538" s="144">
        <v>0</v>
      </c>
      <c r="F538" s="144">
        <v>0</v>
      </c>
      <c r="G538" s="291">
        <v>0</v>
      </c>
      <c r="H538" s="150">
        <v>0</v>
      </c>
      <c r="I538" s="567">
        <f t="shared" si="14"/>
        <v>0</v>
      </c>
    </row>
    <row r="539" spans="1:9" x14ac:dyDescent="0.15">
      <c r="A539" s="138"/>
      <c r="B539" s="521" t="s">
        <v>843</v>
      </c>
      <c r="C539" s="138" t="s">
        <v>848</v>
      </c>
      <c r="D539" s="144">
        <v>0</v>
      </c>
      <c r="E539" s="144">
        <v>0</v>
      </c>
      <c r="F539" s="144">
        <v>0</v>
      </c>
      <c r="G539" s="291">
        <v>0</v>
      </c>
      <c r="H539" s="150">
        <v>0</v>
      </c>
      <c r="I539" s="567">
        <f t="shared" si="14"/>
        <v>0</v>
      </c>
    </row>
    <row r="540" spans="1:9" x14ac:dyDescent="0.15">
      <c r="A540" s="138"/>
      <c r="B540" s="521" t="s">
        <v>844</v>
      </c>
      <c r="C540" s="138" t="s">
        <v>153</v>
      </c>
      <c r="D540" s="144">
        <v>0</v>
      </c>
      <c r="E540" s="144">
        <v>0</v>
      </c>
      <c r="F540" s="144">
        <v>0</v>
      </c>
      <c r="G540" s="291">
        <v>0</v>
      </c>
      <c r="H540" s="150">
        <v>0</v>
      </c>
      <c r="I540" s="567">
        <f t="shared" si="14"/>
        <v>0</v>
      </c>
    </row>
    <row r="541" spans="1:9" x14ac:dyDescent="0.15">
      <c r="A541" s="138"/>
      <c r="B541" s="521" t="s">
        <v>845</v>
      </c>
      <c r="C541" s="138" t="s">
        <v>154</v>
      </c>
      <c r="D541" s="144">
        <v>0</v>
      </c>
      <c r="E541" s="144">
        <v>0</v>
      </c>
      <c r="F541" s="144">
        <v>0</v>
      </c>
      <c r="G541" s="291">
        <v>0</v>
      </c>
      <c r="H541" s="150">
        <v>0</v>
      </c>
      <c r="I541" s="567">
        <f t="shared" si="14"/>
        <v>0</v>
      </c>
    </row>
    <row r="542" spans="1:9" x14ac:dyDescent="0.15">
      <c r="A542" s="138"/>
      <c r="B542" s="521" t="s">
        <v>846</v>
      </c>
      <c r="C542" s="138" t="s">
        <v>155</v>
      </c>
      <c r="D542" s="144">
        <v>0</v>
      </c>
      <c r="E542" s="144">
        <v>0</v>
      </c>
      <c r="F542" s="144">
        <v>0</v>
      </c>
      <c r="G542" s="291">
        <v>0</v>
      </c>
      <c r="H542" s="150">
        <v>0</v>
      </c>
      <c r="I542" s="567">
        <f t="shared" si="14"/>
        <v>0</v>
      </c>
    </row>
    <row r="543" spans="1:9" x14ac:dyDescent="0.15">
      <c r="A543" s="138"/>
      <c r="B543" s="521" t="s">
        <v>1582</v>
      </c>
      <c r="C543" s="138" t="s">
        <v>156</v>
      </c>
      <c r="D543" s="144">
        <v>0</v>
      </c>
      <c r="E543" s="144">
        <v>0</v>
      </c>
      <c r="F543" s="144">
        <v>0</v>
      </c>
      <c r="G543" s="291">
        <v>0</v>
      </c>
      <c r="H543" s="150">
        <v>0</v>
      </c>
      <c r="I543" s="567">
        <f t="shared" si="14"/>
        <v>0</v>
      </c>
    </row>
    <row r="544" spans="1:9" x14ac:dyDescent="0.15">
      <c r="A544" s="138"/>
      <c r="B544" s="521" t="s">
        <v>847</v>
      </c>
      <c r="C544" s="138" t="s">
        <v>157</v>
      </c>
      <c r="D544" s="144">
        <v>0</v>
      </c>
      <c r="E544" s="144">
        <v>0</v>
      </c>
      <c r="F544" s="144">
        <v>0</v>
      </c>
      <c r="G544" s="291">
        <v>0</v>
      </c>
      <c r="H544" s="150">
        <v>0</v>
      </c>
      <c r="I544" s="567">
        <f t="shared" si="14"/>
        <v>0</v>
      </c>
    </row>
    <row r="545" spans="1:10" x14ac:dyDescent="0.15">
      <c r="A545" s="138"/>
      <c r="B545" s="521" t="s">
        <v>1583</v>
      </c>
      <c r="C545" s="138" t="s">
        <v>160</v>
      </c>
      <c r="D545" s="144">
        <v>0</v>
      </c>
      <c r="E545" s="144">
        <v>0</v>
      </c>
      <c r="F545" s="144">
        <v>0</v>
      </c>
      <c r="G545" s="291">
        <v>0</v>
      </c>
      <c r="H545" s="150">
        <v>0</v>
      </c>
      <c r="I545" s="567">
        <f t="shared" si="14"/>
        <v>0</v>
      </c>
    </row>
    <row r="546" spans="1:10" x14ac:dyDescent="0.15">
      <c r="A546" s="138"/>
      <c r="B546" s="521" t="s">
        <v>634</v>
      </c>
      <c r="C546" s="138" t="s">
        <v>165</v>
      </c>
      <c r="D546" s="144">
        <v>0</v>
      </c>
      <c r="E546" s="144">
        <v>0</v>
      </c>
      <c r="F546" s="144">
        <v>0</v>
      </c>
      <c r="G546" s="291">
        <v>0</v>
      </c>
      <c r="H546" s="150">
        <v>0</v>
      </c>
      <c r="I546" s="567">
        <f t="shared" si="14"/>
        <v>0</v>
      </c>
    </row>
    <row r="547" spans="1:10" x14ac:dyDescent="0.15">
      <c r="A547" s="138"/>
      <c r="B547" s="521" t="s">
        <v>630</v>
      </c>
      <c r="C547" s="138" t="s">
        <v>172</v>
      </c>
      <c r="D547" s="144">
        <v>0</v>
      </c>
      <c r="E547" s="144">
        <v>0</v>
      </c>
      <c r="F547" s="144">
        <v>0</v>
      </c>
      <c r="G547" s="291">
        <v>0</v>
      </c>
      <c r="H547" s="150">
        <v>0</v>
      </c>
      <c r="I547" s="567">
        <f t="shared" si="14"/>
        <v>0</v>
      </c>
    </row>
    <row r="548" spans="1:10" x14ac:dyDescent="0.15">
      <c r="A548" s="138"/>
      <c r="B548" s="650" t="s">
        <v>631</v>
      </c>
      <c r="C548" s="651" t="s">
        <v>173</v>
      </c>
      <c r="D548" s="144">
        <v>0</v>
      </c>
      <c r="E548" s="144">
        <v>0</v>
      </c>
      <c r="F548" s="144">
        <v>0</v>
      </c>
      <c r="G548" s="291">
        <v>0</v>
      </c>
      <c r="H548" s="150">
        <v>0</v>
      </c>
      <c r="I548" s="567">
        <f t="shared" si="14"/>
        <v>0</v>
      </c>
    </row>
    <row r="549" spans="1:10" x14ac:dyDescent="0.15">
      <c r="A549" s="138"/>
      <c r="B549" s="521" t="s">
        <v>1584</v>
      </c>
      <c r="C549" s="138" t="s">
        <v>178</v>
      </c>
      <c r="D549" s="144">
        <v>0</v>
      </c>
      <c r="E549" s="144">
        <v>0</v>
      </c>
      <c r="F549" s="144">
        <v>0</v>
      </c>
      <c r="G549" s="291">
        <v>0</v>
      </c>
      <c r="H549" s="150">
        <v>0</v>
      </c>
      <c r="I549" s="567">
        <f t="shared" si="14"/>
        <v>0</v>
      </c>
    </row>
    <row r="550" spans="1:10" x14ac:dyDescent="0.15">
      <c r="A550" s="138"/>
      <c r="B550" s="521" t="s">
        <v>174</v>
      </c>
      <c r="C550" s="138" t="s">
        <v>179</v>
      </c>
      <c r="D550" s="144">
        <v>0</v>
      </c>
      <c r="E550" s="144">
        <v>0</v>
      </c>
      <c r="F550" s="144">
        <v>0</v>
      </c>
      <c r="G550" s="291">
        <v>0</v>
      </c>
      <c r="H550" s="150">
        <v>0</v>
      </c>
      <c r="I550" s="567">
        <f t="shared" si="14"/>
        <v>0</v>
      </c>
    </row>
    <row r="551" spans="1:10" x14ac:dyDescent="0.15">
      <c r="A551" s="138"/>
      <c r="B551" s="521" t="s">
        <v>175</v>
      </c>
      <c r="C551" s="138" t="s">
        <v>180</v>
      </c>
      <c r="D551" s="144">
        <v>0</v>
      </c>
      <c r="E551" s="144">
        <v>0</v>
      </c>
      <c r="F551" s="144">
        <v>0</v>
      </c>
      <c r="G551" s="291">
        <v>0</v>
      </c>
      <c r="H551" s="150">
        <v>0</v>
      </c>
      <c r="I551" s="567">
        <f t="shared" si="14"/>
        <v>0</v>
      </c>
    </row>
    <row r="552" spans="1:10" ht="11.25" thickBot="1" x14ac:dyDescent="0.2">
      <c r="A552" s="138"/>
      <c r="B552" s="521" t="s">
        <v>176</v>
      </c>
      <c r="C552" s="138" t="s">
        <v>181</v>
      </c>
      <c r="D552" s="144">
        <v>0</v>
      </c>
      <c r="E552" s="144">
        <v>0</v>
      </c>
      <c r="F552" s="144">
        <v>0</v>
      </c>
      <c r="G552" s="291">
        <v>0</v>
      </c>
      <c r="H552" s="150">
        <v>0</v>
      </c>
      <c r="I552" s="567">
        <f t="shared" si="14"/>
        <v>0</v>
      </c>
    </row>
    <row r="553" spans="1:10" ht="12" thickTop="1" thickBot="1" x14ac:dyDescent="0.2">
      <c r="A553" s="138"/>
      <c r="B553" s="521"/>
      <c r="C553" s="138" t="s">
        <v>138</v>
      </c>
      <c r="D553" s="603">
        <f>SUM(D519:D552)</f>
        <v>0</v>
      </c>
      <c r="E553" s="603">
        <f>SUM(E519:E552)</f>
        <v>0</v>
      </c>
      <c r="F553" s="603">
        <f>SUM(F519:F552)</f>
        <v>0</v>
      </c>
      <c r="G553" s="603">
        <f>SUM(G519:G552)</f>
        <v>0</v>
      </c>
      <c r="H553" s="603">
        <f>SUM(H519:H552)</f>
        <v>0</v>
      </c>
      <c r="I553" s="169">
        <f t="shared" si="14"/>
        <v>0</v>
      </c>
    </row>
    <row r="554" spans="1:10" ht="11.25" thickTop="1" x14ac:dyDescent="0.15">
      <c r="A554" s="138"/>
      <c r="B554" s="138"/>
      <c r="C554" s="138"/>
      <c r="D554" s="14"/>
      <c r="E554" s="14"/>
      <c r="F554" s="14"/>
      <c r="G554" s="14"/>
      <c r="H554" s="14"/>
      <c r="I554" s="563"/>
    </row>
    <row r="555" spans="1:10" x14ac:dyDescent="0.15">
      <c r="A555" s="522" t="s">
        <v>139</v>
      </c>
      <c r="B555" s="138"/>
      <c r="C555" s="138"/>
      <c r="D555" s="14"/>
      <c r="E555" s="14"/>
      <c r="F555" s="14"/>
      <c r="G555" s="14"/>
      <c r="H555" s="14"/>
      <c r="I555" s="563"/>
    </row>
    <row r="556" spans="1:10" s="434" customFormat="1" x14ac:dyDescent="0.15">
      <c r="B556" s="523" t="s">
        <v>1577</v>
      </c>
      <c r="C556" s="524" t="s">
        <v>228</v>
      </c>
      <c r="D556" s="316">
        <v>0</v>
      </c>
      <c r="E556" s="316">
        <v>0</v>
      </c>
      <c r="F556" s="316">
        <v>0</v>
      </c>
      <c r="G556" s="528">
        <f t="array" ref="G556">SUM(IF(CertFund&amp;CertProg&amp;CertObj=RIGHT(LEFT($A$2,7),2)&amp;LEFT(A555,4)&amp;B556,CertSalary))</f>
        <v>0</v>
      </c>
      <c r="H556" s="527">
        <v>0</v>
      </c>
      <c r="I556" s="566">
        <f t="shared" ref="I556:I589" si="15">SUM(G556+H556)</f>
        <v>0</v>
      </c>
    </row>
    <row r="557" spans="1:10" s="434" customFormat="1" x14ac:dyDescent="0.15">
      <c r="B557" s="523" t="s">
        <v>1577</v>
      </c>
      <c r="C557" s="524" t="s">
        <v>510</v>
      </c>
      <c r="D557" s="316">
        <v>0</v>
      </c>
      <c r="E557" s="316">
        <v>0</v>
      </c>
      <c r="F557" s="316">
        <v>0</v>
      </c>
      <c r="G557" s="316">
        <v>0</v>
      </c>
      <c r="H557" s="527">
        <v>0</v>
      </c>
      <c r="I557" s="566">
        <f t="shared" si="15"/>
        <v>0</v>
      </c>
    </row>
    <row r="558" spans="1:10" s="434" customFormat="1" x14ac:dyDescent="0.15">
      <c r="A558" s="524"/>
      <c r="B558" s="523" t="s">
        <v>1578</v>
      </c>
      <c r="C558" s="524" t="s">
        <v>936</v>
      </c>
      <c r="D558" s="316">
        <v>0</v>
      </c>
      <c r="E558" s="316">
        <v>0</v>
      </c>
      <c r="F558" s="316">
        <v>0</v>
      </c>
      <c r="G558" s="529">
        <f t="array" ref="G558">SUM(IF(CertFund&amp;CertProg&amp;CertObj=RIGHT(LEFT($A$2,7),2)&amp;LEFT(A555,4)&amp;B556,CertBen))</f>
        <v>0</v>
      </c>
      <c r="H558" s="527">
        <v>0</v>
      </c>
      <c r="I558" s="566">
        <f t="shared" si="15"/>
        <v>0</v>
      </c>
    </row>
    <row r="559" spans="1:10" x14ac:dyDescent="0.15">
      <c r="A559" s="138"/>
      <c r="B559" s="521" t="s">
        <v>1578</v>
      </c>
      <c r="C559" s="138" t="s">
        <v>511</v>
      </c>
      <c r="D559" s="147">
        <v>0</v>
      </c>
      <c r="E559" s="147">
        <v>0</v>
      </c>
      <c r="F559" s="147">
        <v>0</v>
      </c>
      <c r="G559" s="147">
        <v>0</v>
      </c>
      <c r="H559" s="150">
        <v>0</v>
      </c>
      <c r="I559" s="567">
        <f t="shared" si="15"/>
        <v>0</v>
      </c>
      <c r="J559" s="434"/>
    </row>
    <row r="560" spans="1:10" x14ac:dyDescent="0.15">
      <c r="A560" s="138"/>
      <c r="B560" s="521" t="s">
        <v>1579</v>
      </c>
      <c r="C560" s="138" t="s">
        <v>118</v>
      </c>
      <c r="D560" s="144">
        <v>0</v>
      </c>
      <c r="E560" s="144">
        <v>0</v>
      </c>
      <c r="F560" s="144">
        <v>0</v>
      </c>
      <c r="G560" s="291">
        <v>0</v>
      </c>
      <c r="H560" s="150">
        <v>0</v>
      </c>
      <c r="I560" s="567">
        <f t="shared" si="15"/>
        <v>0</v>
      </c>
    </row>
    <row r="561" spans="1:9" x14ac:dyDescent="0.15">
      <c r="A561" s="138"/>
      <c r="B561" s="521" t="s">
        <v>1580</v>
      </c>
      <c r="C561" s="138" t="s">
        <v>119</v>
      </c>
      <c r="D561" s="144">
        <v>0</v>
      </c>
      <c r="E561" s="144">
        <v>0</v>
      </c>
      <c r="F561" s="144">
        <v>0</v>
      </c>
      <c r="G561" s="291">
        <v>0</v>
      </c>
      <c r="H561" s="150">
        <v>0</v>
      </c>
      <c r="I561" s="567">
        <f t="shared" si="15"/>
        <v>0</v>
      </c>
    </row>
    <row r="562" spans="1:9" x14ac:dyDescent="0.15">
      <c r="A562" s="138"/>
      <c r="B562" s="521" t="s">
        <v>120</v>
      </c>
      <c r="C562" s="138" t="s">
        <v>121</v>
      </c>
      <c r="D562" s="144">
        <v>0</v>
      </c>
      <c r="E562" s="144">
        <v>0</v>
      </c>
      <c r="F562" s="144">
        <v>0</v>
      </c>
      <c r="G562" s="291">
        <v>0</v>
      </c>
      <c r="H562" s="150">
        <v>0</v>
      </c>
      <c r="I562" s="567">
        <f t="shared" si="15"/>
        <v>0</v>
      </c>
    </row>
    <row r="563" spans="1:9" x14ac:dyDescent="0.15">
      <c r="A563" s="138"/>
      <c r="B563" s="521" t="s">
        <v>122</v>
      </c>
      <c r="C563" s="138" t="s">
        <v>123</v>
      </c>
      <c r="D563" s="144">
        <v>0</v>
      </c>
      <c r="E563" s="144">
        <v>0</v>
      </c>
      <c r="F563" s="144">
        <v>0</v>
      </c>
      <c r="G563" s="291">
        <v>0</v>
      </c>
      <c r="H563" s="150">
        <v>0</v>
      </c>
      <c r="I563" s="567">
        <f t="shared" si="15"/>
        <v>0</v>
      </c>
    </row>
    <row r="564" spans="1:9" x14ac:dyDescent="0.15">
      <c r="A564" s="138"/>
      <c r="B564" s="521" t="s">
        <v>1581</v>
      </c>
      <c r="C564" s="138" t="s">
        <v>124</v>
      </c>
      <c r="D564" s="144">
        <v>0</v>
      </c>
      <c r="E564" s="144">
        <v>0</v>
      </c>
      <c r="F564" s="144">
        <v>0</v>
      </c>
      <c r="G564" s="291">
        <v>0</v>
      </c>
      <c r="H564" s="150">
        <v>0</v>
      </c>
      <c r="I564" s="567">
        <f t="shared" si="15"/>
        <v>0</v>
      </c>
    </row>
    <row r="565" spans="1:9" x14ac:dyDescent="0.15">
      <c r="A565" s="138"/>
      <c r="B565" s="521" t="s">
        <v>127</v>
      </c>
      <c r="C565" s="138" t="s">
        <v>134</v>
      </c>
      <c r="D565" s="144">
        <v>0</v>
      </c>
      <c r="E565" s="144">
        <v>0</v>
      </c>
      <c r="F565" s="144">
        <v>0</v>
      </c>
      <c r="G565" s="291">
        <v>0</v>
      </c>
      <c r="H565" s="150">
        <v>0</v>
      </c>
      <c r="I565" s="567">
        <f t="shared" si="15"/>
        <v>0</v>
      </c>
    </row>
    <row r="566" spans="1:9" x14ac:dyDescent="0.15">
      <c r="A566" s="138"/>
      <c r="B566" s="521" t="s">
        <v>128</v>
      </c>
      <c r="C566" s="138" t="s">
        <v>135</v>
      </c>
      <c r="D566" s="144">
        <v>0</v>
      </c>
      <c r="E566" s="144">
        <v>0</v>
      </c>
      <c r="F566" s="144">
        <v>0</v>
      </c>
      <c r="G566" s="291">
        <v>0</v>
      </c>
      <c r="H566" s="150">
        <v>0</v>
      </c>
      <c r="I566" s="567">
        <f t="shared" si="15"/>
        <v>0</v>
      </c>
    </row>
    <row r="567" spans="1:9" x14ac:dyDescent="0.15">
      <c r="A567" s="138"/>
      <c r="B567" s="521" t="s">
        <v>132</v>
      </c>
      <c r="C567" s="138" t="s">
        <v>1617</v>
      </c>
      <c r="D567" s="144">
        <v>0</v>
      </c>
      <c r="E567" s="144">
        <v>0</v>
      </c>
      <c r="F567" s="144">
        <v>0</v>
      </c>
      <c r="G567" s="291">
        <v>0</v>
      </c>
      <c r="H567" s="150">
        <v>0</v>
      </c>
      <c r="I567" s="567">
        <f t="shared" si="15"/>
        <v>0</v>
      </c>
    </row>
    <row r="568" spans="1:9" x14ac:dyDescent="0.15">
      <c r="A568" s="138"/>
      <c r="B568" s="521" t="s">
        <v>1618</v>
      </c>
      <c r="C568" s="138" t="s">
        <v>836</v>
      </c>
      <c r="D568" s="144">
        <v>0</v>
      </c>
      <c r="E568" s="144">
        <v>0</v>
      </c>
      <c r="F568" s="144">
        <v>0</v>
      </c>
      <c r="G568" s="291">
        <v>0</v>
      </c>
      <c r="H568" s="150">
        <v>0</v>
      </c>
      <c r="I568" s="567">
        <f t="shared" si="15"/>
        <v>0</v>
      </c>
    </row>
    <row r="569" spans="1:9" x14ac:dyDescent="0.15">
      <c r="A569" s="138"/>
      <c r="B569" s="521" t="s">
        <v>1619</v>
      </c>
      <c r="C569" s="138" t="s">
        <v>837</v>
      </c>
      <c r="D569" s="144">
        <v>0</v>
      </c>
      <c r="E569" s="144">
        <v>0</v>
      </c>
      <c r="F569" s="144">
        <v>0</v>
      </c>
      <c r="G569" s="291">
        <v>0</v>
      </c>
      <c r="H569" s="150">
        <v>0</v>
      </c>
      <c r="I569" s="567">
        <f t="shared" si="15"/>
        <v>0</v>
      </c>
    </row>
    <row r="570" spans="1:9" x14ac:dyDescent="0.15">
      <c r="A570" s="138"/>
      <c r="B570" s="521" t="s">
        <v>1620</v>
      </c>
      <c r="C570" s="138" t="s">
        <v>838</v>
      </c>
      <c r="D570" s="144">
        <v>0</v>
      </c>
      <c r="E570" s="144">
        <v>0</v>
      </c>
      <c r="F570" s="144">
        <v>0</v>
      </c>
      <c r="G570" s="291">
        <v>0</v>
      </c>
      <c r="H570" s="150">
        <v>0</v>
      </c>
      <c r="I570" s="567">
        <f t="shared" si="15"/>
        <v>0</v>
      </c>
    </row>
    <row r="571" spans="1:9" x14ac:dyDescent="0.15">
      <c r="A571" s="138"/>
      <c r="B571" s="521" t="s">
        <v>1621</v>
      </c>
      <c r="C571" s="138" t="s">
        <v>839</v>
      </c>
      <c r="D571" s="144">
        <v>0</v>
      </c>
      <c r="E571" s="144">
        <v>0</v>
      </c>
      <c r="F571" s="144">
        <v>0</v>
      </c>
      <c r="G571" s="291">
        <v>0</v>
      </c>
      <c r="H571" s="150">
        <v>0</v>
      </c>
      <c r="I571" s="567">
        <f t="shared" si="15"/>
        <v>0</v>
      </c>
    </row>
    <row r="572" spans="1:9" x14ac:dyDescent="0.15">
      <c r="A572" s="138"/>
      <c r="B572" s="521" t="s">
        <v>1622</v>
      </c>
      <c r="C572" s="138" t="s">
        <v>190</v>
      </c>
      <c r="D572" s="144">
        <v>0</v>
      </c>
      <c r="E572" s="144">
        <v>0</v>
      </c>
      <c r="F572" s="144">
        <v>0</v>
      </c>
      <c r="G572" s="291">
        <v>0</v>
      </c>
      <c r="H572" s="150">
        <v>0</v>
      </c>
      <c r="I572" s="567">
        <f t="shared" si="15"/>
        <v>0</v>
      </c>
    </row>
    <row r="573" spans="1:9" x14ac:dyDescent="0.15">
      <c r="A573" s="138"/>
      <c r="B573" s="521" t="s">
        <v>1623</v>
      </c>
      <c r="C573" s="138" t="s">
        <v>191</v>
      </c>
      <c r="D573" s="144">
        <v>0</v>
      </c>
      <c r="E573" s="144">
        <v>0</v>
      </c>
      <c r="F573" s="144">
        <v>0</v>
      </c>
      <c r="G573" s="291">
        <v>0</v>
      </c>
      <c r="H573" s="150">
        <v>0</v>
      </c>
      <c r="I573" s="567">
        <f t="shared" si="15"/>
        <v>0</v>
      </c>
    </row>
    <row r="574" spans="1:9" x14ac:dyDescent="0.15">
      <c r="A574" s="138"/>
      <c r="B574" s="521" t="s">
        <v>1624</v>
      </c>
      <c r="C574" s="138" t="s">
        <v>840</v>
      </c>
      <c r="D574" s="144">
        <v>0</v>
      </c>
      <c r="E574" s="144">
        <v>0</v>
      </c>
      <c r="F574" s="144">
        <v>0</v>
      </c>
      <c r="G574" s="291">
        <v>0</v>
      </c>
      <c r="H574" s="150">
        <v>0</v>
      </c>
      <c r="I574" s="567">
        <f t="shared" si="15"/>
        <v>0</v>
      </c>
    </row>
    <row r="575" spans="1:9" x14ac:dyDescent="0.15">
      <c r="A575" s="138"/>
      <c r="B575" s="521" t="s">
        <v>1625</v>
      </c>
      <c r="C575" s="138" t="s">
        <v>842</v>
      </c>
      <c r="D575" s="144">
        <v>0</v>
      </c>
      <c r="E575" s="144">
        <v>0</v>
      </c>
      <c r="F575" s="144">
        <v>0</v>
      </c>
      <c r="G575" s="291">
        <v>0</v>
      </c>
      <c r="H575" s="150">
        <v>0</v>
      </c>
      <c r="I575" s="567">
        <f t="shared" si="15"/>
        <v>0</v>
      </c>
    </row>
    <row r="576" spans="1:9" x14ac:dyDescent="0.15">
      <c r="A576" s="138"/>
      <c r="B576" s="521" t="s">
        <v>843</v>
      </c>
      <c r="C576" s="138" t="s">
        <v>848</v>
      </c>
      <c r="D576" s="144">
        <v>0</v>
      </c>
      <c r="E576" s="144">
        <v>0</v>
      </c>
      <c r="F576" s="144">
        <v>0</v>
      </c>
      <c r="G576" s="291">
        <v>0</v>
      </c>
      <c r="H576" s="150">
        <v>0</v>
      </c>
      <c r="I576" s="567">
        <f t="shared" si="15"/>
        <v>0</v>
      </c>
    </row>
    <row r="577" spans="1:9" x14ac:dyDescent="0.15">
      <c r="A577" s="138"/>
      <c r="B577" s="521" t="s">
        <v>844</v>
      </c>
      <c r="C577" s="138" t="s">
        <v>153</v>
      </c>
      <c r="D577" s="144">
        <v>0</v>
      </c>
      <c r="E577" s="144">
        <v>0</v>
      </c>
      <c r="F577" s="144">
        <v>0</v>
      </c>
      <c r="G577" s="291">
        <v>0</v>
      </c>
      <c r="H577" s="150">
        <v>0</v>
      </c>
      <c r="I577" s="567">
        <f t="shared" si="15"/>
        <v>0</v>
      </c>
    </row>
    <row r="578" spans="1:9" x14ac:dyDescent="0.15">
      <c r="A578" s="138"/>
      <c r="B578" s="521" t="s">
        <v>845</v>
      </c>
      <c r="C578" s="138" t="s">
        <v>154</v>
      </c>
      <c r="D578" s="144">
        <v>0</v>
      </c>
      <c r="E578" s="144">
        <v>0</v>
      </c>
      <c r="F578" s="144">
        <v>0</v>
      </c>
      <c r="G578" s="291">
        <v>0</v>
      </c>
      <c r="H578" s="150">
        <v>0</v>
      </c>
      <c r="I578" s="567">
        <f t="shared" si="15"/>
        <v>0</v>
      </c>
    </row>
    <row r="579" spans="1:9" x14ac:dyDescent="0.15">
      <c r="A579" s="138"/>
      <c r="B579" s="521" t="s">
        <v>846</v>
      </c>
      <c r="C579" s="138" t="s">
        <v>155</v>
      </c>
      <c r="D579" s="144">
        <v>0</v>
      </c>
      <c r="E579" s="144">
        <v>0</v>
      </c>
      <c r="F579" s="144">
        <v>0</v>
      </c>
      <c r="G579" s="291">
        <v>0</v>
      </c>
      <c r="H579" s="150">
        <v>0</v>
      </c>
      <c r="I579" s="567">
        <f t="shared" si="15"/>
        <v>0</v>
      </c>
    </row>
    <row r="580" spans="1:9" x14ac:dyDescent="0.15">
      <c r="A580" s="138"/>
      <c r="B580" s="521" t="s">
        <v>1582</v>
      </c>
      <c r="C580" s="138" t="s">
        <v>156</v>
      </c>
      <c r="D580" s="144">
        <v>0</v>
      </c>
      <c r="E580" s="144">
        <v>0</v>
      </c>
      <c r="F580" s="144">
        <v>0</v>
      </c>
      <c r="G580" s="291">
        <v>0</v>
      </c>
      <c r="H580" s="150">
        <v>0</v>
      </c>
      <c r="I580" s="567">
        <f t="shared" si="15"/>
        <v>0</v>
      </c>
    </row>
    <row r="581" spans="1:9" x14ac:dyDescent="0.15">
      <c r="A581" s="138"/>
      <c r="B581" s="521" t="s">
        <v>847</v>
      </c>
      <c r="C581" s="138" t="s">
        <v>157</v>
      </c>
      <c r="D581" s="144">
        <v>0</v>
      </c>
      <c r="E581" s="144">
        <v>0</v>
      </c>
      <c r="F581" s="144">
        <v>0</v>
      </c>
      <c r="G581" s="291">
        <v>0</v>
      </c>
      <c r="H581" s="150">
        <v>0</v>
      </c>
      <c r="I581" s="567">
        <f t="shared" si="15"/>
        <v>0</v>
      </c>
    </row>
    <row r="582" spans="1:9" x14ac:dyDescent="0.15">
      <c r="A582" s="138"/>
      <c r="B582" s="521" t="s">
        <v>1583</v>
      </c>
      <c r="C582" s="138" t="s">
        <v>160</v>
      </c>
      <c r="D582" s="144">
        <v>0</v>
      </c>
      <c r="E582" s="144">
        <v>0</v>
      </c>
      <c r="F582" s="144">
        <v>0</v>
      </c>
      <c r="G582" s="291">
        <v>0</v>
      </c>
      <c r="H582" s="150">
        <v>0</v>
      </c>
      <c r="I582" s="567">
        <f t="shared" si="15"/>
        <v>0</v>
      </c>
    </row>
    <row r="583" spans="1:9" x14ac:dyDescent="0.15">
      <c r="A583" s="138"/>
      <c r="B583" s="521" t="s">
        <v>634</v>
      </c>
      <c r="C583" s="138" t="s">
        <v>165</v>
      </c>
      <c r="D583" s="144">
        <v>0</v>
      </c>
      <c r="E583" s="144">
        <v>0</v>
      </c>
      <c r="F583" s="144">
        <v>0</v>
      </c>
      <c r="G583" s="291">
        <v>0</v>
      </c>
      <c r="H583" s="150">
        <v>0</v>
      </c>
      <c r="I583" s="567">
        <f t="shared" si="15"/>
        <v>0</v>
      </c>
    </row>
    <row r="584" spans="1:9" x14ac:dyDescent="0.15">
      <c r="A584" s="138"/>
      <c r="B584" s="521" t="s">
        <v>630</v>
      </c>
      <c r="C584" s="138" t="s">
        <v>172</v>
      </c>
      <c r="D584" s="144">
        <v>0</v>
      </c>
      <c r="E584" s="144">
        <v>0</v>
      </c>
      <c r="F584" s="144">
        <v>0</v>
      </c>
      <c r="G584" s="291">
        <v>0</v>
      </c>
      <c r="H584" s="150">
        <v>0</v>
      </c>
      <c r="I584" s="567">
        <f t="shared" si="15"/>
        <v>0</v>
      </c>
    </row>
    <row r="585" spans="1:9" x14ac:dyDescent="0.15">
      <c r="A585" s="138"/>
      <c r="B585" s="650" t="s">
        <v>631</v>
      </c>
      <c r="C585" s="651" t="s">
        <v>173</v>
      </c>
      <c r="D585" s="144">
        <v>0</v>
      </c>
      <c r="E585" s="144">
        <v>0</v>
      </c>
      <c r="F585" s="144">
        <v>0</v>
      </c>
      <c r="G585" s="291">
        <v>0</v>
      </c>
      <c r="H585" s="150">
        <v>0</v>
      </c>
      <c r="I585" s="567">
        <f t="shared" si="15"/>
        <v>0</v>
      </c>
    </row>
    <row r="586" spans="1:9" x14ac:dyDescent="0.15">
      <c r="A586" s="138"/>
      <c r="B586" s="521" t="s">
        <v>1584</v>
      </c>
      <c r="C586" s="138" t="s">
        <v>178</v>
      </c>
      <c r="D586" s="144">
        <v>0</v>
      </c>
      <c r="E586" s="144">
        <v>0</v>
      </c>
      <c r="F586" s="144">
        <v>0</v>
      </c>
      <c r="G586" s="291">
        <v>0</v>
      </c>
      <c r="H586" s="150">
        <v>0</v>
      </c>
      <c r="I586" s="567">
        <f t="shared" si="15"/>
        <v>0</v>
      </c>
    </row>
    <row r="587" spans="1:9" x14ac:dyDescent="0.15">
      <c r="A587" s="138"/>
      <c r="B587" s="521" t="s">
        <v>174</v>
      </c>
      <c r="C587" s="138" t="s">
        <v>179</v>
      </c>
      <c r="D587" s="144">
        <v>0</v>
      </c>
      <c r="E587" s="144">
        <v>0</v>
      </c>
      <c r="F587" s="144">
        <v>0</v>
      </c>
      <c r="G587" s="291">
        <v>0</v>
      </c>
      <c r="H587" s="150">
        <v>0</v>
      </c>
      <c r="I587" s="567">
        <f t="shared" si="15"/>
        <v>0</v>
      </c>
    </row>
    <row r="588" spans="1:9" x14ac:dyDescent="0.15">
      <c r="A588" s="138"/>
      <c r="B588" s="521" t="s">
        <v>175</v>
      </c>
      <c r="C588" s="138" t="s">
        <v>180</v>
      </c>
      <c r="D588" s="144">
        <v>0</v>
      </c>
      <c r="E588" s="144">
        <v>0</v>
      </c>
      <c r="F588" s="144">
        <v>0</v>
      </c>
      <c r="G588" s="291">
        <v>0</v>
      </c>
      <c r="H588" s="150">
        <v>0</v>
      </c>
      <c r="I588" s="567">
        <f t="shared" si="15"/>
        <v>0</v>
      </c>
    </row>
    <row r="589" spans="1:9" ht="11.25" thickBot="1" x14ac:dyDescent="0.2">
      <c r="A589" s="138"/>
      <c r="B589" s="521" t="s">
        <v>176</v>
      </c>
      <c r="C589" s="138" t="s">
        <v>181</v>
      </c>
      <c r="D589" s="144">
        <v>0</v>
      </c>
      <c r="E589" s="144">
        <v>0</v>
      </c>
      <c r="F589" s="144">
        <v>0</v>
      </c>
      <c r="G589" s="291">
        <v>0</v>
      </c>
      <c r="H589" s="150">
        <v>0</v>
      </c>
      <c r="I589" s="567">
        <f t="shared" si="15"/>
        <v>0</v>
      </c>
    </row>
    <row r="590" spans="1:9" ht="12" thickTop="1" thickBot="1" x14ac:dyDescent="0.2">
      <c r="A590" s="138"/>
      <c r="B590" s="521"/>
      <c r="C590" s="138" t="s">
        <v>140</v>
      </c>
      <c r="D590" s="169">
        <f>SUM(D556:D589)</f>
        <v>0</v>
      </c>
      <c r="E590" s="169">
        <f>SUM(E556:E589)</f>
        <v>0</v>
      </c>
      <c r="F590" s="169">
        <f>SUM(F556:F589)</f>
        <v>0</v>
      </c>
      <c r="G590" s="169">
        <f>SUM(G556:G589)</f>
        <v>0</v>
      </c>
      <c r="H590" s="169">
        <f>SUM(H556:H589)</f>
        <v>0</v>
      </c>
      <c r="I590" s="169">
        <f>SUM(G590+H590)</f>
        <v>0</v>
      </c>
    </row>
    <row r="591" spans="1:9" ht="11.25" thickTop="1" x14ac:dyDescent="0.15">
      <c r="A591" s="138"/>
      <c r="B591" s="138"/>
      <c r="C591" s="138"/>
      <c r="D591" s="14"/>
      <c r="E591" s="14"/>
      <c r="F591" s="14"/>
      <c r="G591" s="14"/>
      <c r="H591" s="14"/>
      <c r="I591" s="563"/>
    </row>
    <row r="592" spans="1:9" x14ac:dyDescent="0.15">
      <c r="A592" s="522" t="s">
        <v>141</v>
      </c>
      <c r="B592" s="138"/>
      <c r="C592" s="138"/>
      <c r="D592" s="14"/>
      <c r="E592" s="14"/>
      <c r="F592" s="14"/>
      <c r="G592" s="14"/>
      <c r="H592" s="14"/>
      <c r="I592" s="563"/>
    </row>
    <row r="593" spans="1:9" s="434" customFormat="1" x14ac:dyDescent="0.15">
      <c r="B593" s="523" t="s">
        <v>1577</v>
      </c>
      <c r="C593" s="524" t="s">
        <v>228</v>
      </c>
      <c r="D593" s="316">
        <v>0</v>
      </c>
      <c r="E593" s="316">
        <v>0</v>
      </c>
      <c r="F593" s="316">
        <v>0</v>
      </c>
      <c r="G593" s="528">
        <f t="array" ref="G593">SUM(IF(CertFund&amp;CertProg&amp;CertObj=RIGHT(LEFT($A$2,7),2)&amp;LEFT(A592,4)&amp;B593,CertSalary))</f>
        <v>0</v>
      </c>
      <c r="H593" s="527">
        <v>0</v>
      </c>
      <c r="I593" s="566">
        <f t="shared" ref="I593:I627" si="16">SUM(G593+H593)</f>
        <v>0</v>
      </c>
    </row>
    <row r="594" spans="1:9" s="434" customFormat="1" x14ac:dyDescent="0.15">
      <c r="B594" s="523" t="s">
        <v>1577</v>
      </c>
      <c r="C594" s="524" t="s">
        <v>510</v>
      </c>
      <c r="D594" s="316">
        <v>0</v>
      </c>
      <c r="E594" s="316">
        <v>0</v>
      </c>
      <c r="F594" s="316">
        <v>0</v>
      </c>
      <c r="G594" s="316">
        <v>0</v>
      </c>
      <c r="H594" s="527">
        <v>0</v>
      </c>
      <c r="I594" s="566">
        <f t="shared" si="16"/>
        <v>0</v>
      </c>
    </row>
    <row r="595" spans="1:9" s="434" customFormat="1" x14ac:dyDescent="0.15">
      <c r="A595" s="524"/>
      <c r="B595" s="523" t="s">
        <v>1578</v>
      </c>
      <c r="C595" s="524" t="s">
        <v>936</v>
      </c>
      <c r="D595" s="316">
        <v>0</v>
      </c>
      <c r="E595" s="316">
        <v>0</v>
      </c>
      <c r="F595" s="316">
        <v>0</v>
      </c>
      <c r="G595" s="529">
        <f t="array" ref="G595">SUM(IF(CertFund&amp;CertProg&amp;CertObj=RIGHT(LEFT($A$2,7),2)&amp;LEFT(A592,4)&amp;B593,CertBen))</f>
        <v>0</v>
      </c>
      <c r="H595" s="527">
        <v>0</v>
      </c>
      <c r="I595" s="566">
        <f t="shared" si="16"/>
        <v>0</v>
      </c>
    </row>
    <row r="596" spans="1:9" s="434" customFormat="1" x14ac:dyDescent="0.15">
      <c r="A596" s="524"/>
      <c r="B596" s="523" t="s">
        <v>1578</v>
      </c>
      <c r="C596" s="524" t="s">
        <v>511</v>
      </c>
      <c r="D596" s="316">
        <v>0</v>
      </c>
      <c r="E596" s="316">
        <v>0</v>
      </c>
      <c r="F596" s="316">
        <v>0</v>
      </c>
      <c r="G596" s="316">
        <v>0</v>
      </c>
      <c r="H596" s="527">
        <v>0</v>
      </c>
      <c r="I596" s="566">
        <f t="shared" si="16"/>
        <v>0</v>
      </c>
    </row>
    <row r="597" spans="1:9" x14ac:dyDescent="0.15">
      <c r="A597" s="138"/>
      <c r="B597" s="521" t="s">
        <v>1579</v>
      </c>
      <c r="C597" s="138" t="s">
        <v>118</v>
      </c>
      <c r="D597" s="144">
        <v>0</v>
      </c>
      <c r="E597" s="144">
        <v>0</v>
      </c>
      <c r="F597" s="144">
        <v>0</v>
      </c>
      <c r="G597" s="291">
        <v>0</v>
      </c>
      <c r="H597" s="150">
        <v>0</v>
      </c>
      <c r="I597" s="567">
        <f t="shared" si="16"/>
        <v>0</v>
      </c>
    </row>
    <row r="598" spans="1:9" x14ac:dyDescent="0.15">
      <c r="A598" s="138"/>
      <c r="B598" s="521" t="s">
        <v>1580</v>
      </c>
      <c r="C598" s="138" t="s">
        <v>119</v>
      </c>
      <c r="D598" s="144">
        <v>0</v>
      </c>
      <c r="E598" s="144">
        <v>0</v>
      </c>
      <c r="F598" s="144">
        <v>0</v>
      </c>
      <c r="G598" s="291">
        <v>0</v>
      </c>
      <c r="H598" s="150">
        <v>0</v>
      </c>
      <c r="I598" s="567">
        <f t="shared" si="16"/>
        <v>0</v>
      </c>
    </row>
    <row r="599" spans="1:9" x14ac:dyDescent="0.15">
      <c r="A599" s="138"/>
      <c r="B599" s="521" t="s">
        <v>120</v>
      </c>
      <c r="C599" s="138" t="s">
        <v>121</v>
      </c>
      <c r="D599" s="144">
        <v>0</v>
      </c>
      <c r="E599" s="144">
        <v>0</v>
      </c>
      <c r="F599" s="144">
        <v>0</v>
      </c>
      <c r="G599" s="291">
        <v>0</v>
      </c>
      <c r="H599" s="150">
        <v>0</v>
      </c>
      <c r="I599" s="567">
        <f t="shared" si="16"/>
        <v>0</v>
      </c>
    </row>
    <row r="600" spans="1:9" x14ac:dyDescent="0.15">
      <c r="A600" s="138"/>
      <c r="B600" s="521" t="s">
        <v>122</v>
      </c>
      <c r="C600" s="138" t="s">
        <v>123</v>
      </c>
      <c r="D600" s="144">
        <v>0</v>
      </c>
      <c r="E600" s="144">
        <v>0</v>
      </c>
      <c r="F600" s="144">
        <v>0</v>
      </c>
      <c r="G600" s="291">
        <v>0</v>
      </c>
      <c r="H600" s="150">
        <v>0</v>
      </c>
      <c r="I600" s="567">
        <f t="shared" si="16"/>
        <v>0</v>
      </c>
    </row>
    <row r="601" spans="1:9" x14ac:dyDescent="0.15">
      <c r="A601" s="138"/>
      <c r="B601" s="521" t="s">
        <v>1581</v>
      </c>
      <c r="C601" s="138" t="s">
        <v>124</v>
      </c>
      <c r="D601" s="144">
        <v>0</v>
      </c>
      <c r="E601" s="144">
        <v>0</v>
      </c>
      <c r="F601" s="144">
        <v>0</v>
      </c>
      <c r="G601" s="291">
        <v>0</v>
      </c>
      <c r="H601" s="150">
        <v>0</v>
      </c>
      <c r="I601" s="567">
        <f t="shared" si="16"/>
        <v>0</v>
      </c>
    </row>
    <row r="602" spans="1:9" x14ac:dyDescent="0.15">
      <c r="A602" s="138"/>
      <c r="B602" s="521" t="s">
        <v>127</v>
      </c>
      <c r="C602" s="138" t="s">
        <v>134</v>
      </c>
      <c r="D602" s="144">
        <v>0</v>
      </c>
      <c r="E602" s="144">
        <v>0</v>
      </c>
      <c r="F602" s="144">
        <v>0</v>
      </c>
      <c r="G602" s="291">
        <v>0</v>
      </c>
      <c r="H602" s="150">
        <v>0</v>
      </c>
      <c r="I602" s="567">
        <f t="shared" si="16"/>
        <v>0</v>
      </c>
    </row>
    <row r="603" spans="1:9" x14ac:dyDescent="0.15">
      <c r="A603" s="138"/>
      <c r="B603" s="521" t="s">
        <v>128</v>
      </c>
      <c r="C603" s="138" t="s">
        <v>135</v>
      </c>
      <c r="D603" s="144">
        <v>0</v>
      </c>
      <c r="E603" s="144">
        <v>0</v>
      </c>
      <c r="F603" s="144">
        <v>0</v>
      </c>
      <c r="G603" s="291">
        <v>0</v>
      </c>
      <c r="H603" s="150">
        <v>0</v>
      </c>
      <c r="I603" s="567">
        <f t="shared" si="16"/>
        <v>0</v>
      </c>
    </row>
    <row r="604" spans="1:9" x14ac:dyDescent="0.15">
      <c r="A604" s="138"/>
      <c r="B604" s="521" t="s">
        <v>132</v>
      </c>
      <c r="C604" s="138" t="s">
        <v>1617</v>
      </c>
      <c r="D604" s="144">
        <v>0</v>
      </c>
      <c r="E604" s="144">
        <v>0</v>
      </c>
      <c r="F604" s="144">
        <v>0</v>
      </c>
      <c r="G604" s="291">
        <v>0</v>
      </c>
      <c r="H604" s="150">
        <v>0</v>
      </c>
      <c r="I604" s="567">
        <f t="shared" si="16"/>
        <v>0</v>
      </c>
    </row>
    <row r="605" spans="1:9" x14ac:dyDescent="0.15">
      <c r="A605" s="138"/>
      <c r="B605" s="521" t="s">
        <v>1618</v>
      </c>
      <c r="C605" s="138" t="s">
        <v>836</v>
      </c>
      <c r="D605" s="144">
        <v>0</v>
      </c>
      <c r="E605" s="144">
        <v>0</v>
      </c>
      <c r="F605" s="144">
        <v>0</v>
      </c>
      <c r="G605" s="291">
        <v>0</v>
      </c>
      <c r="H605" s="150">
        <v>0</v>
      </c>
      <c r="I605" s="567">
        <f t="shared" si="16"/>
        <v>0</v>
      </c>
    </row>
    <row r="606" spans="1:9" x14ac:dyDescent="0.15">
      <c r="A606" s="138"/>
      <c r="B606" s="521" t="s">
        <v>1619</v>
      </c>
      <c r="C606" s="138" t="s">
        <v>837</v>
      </c>
      <c r="D606" s="144">
        <v>0</v>
      </c>
      <c r="E606" s="144">
        <v>0</v>
      </c>
      <c r="F606" s="144">
        <v>0</v>
      </c>
      <c r="G606" s="291">
        <v>0</v>
      </c>
      <c r="H606" s="150">
        <v>0</v>
      </c>
      <c r="I606" s="567">
        <f t="shared" si="16"/>
        <v>0</v>
      </c>
    </row>
    <row r="607" spans="1:9" x14ac:dyDescent="0.15">
      <c r="A607" s="138"/>
      <c r="B607" s="521" t="s">
        <v>1620</v>
      </c>
      <c r="C607" s="138" t="s">
        <v>838</v>
      </c>
      <c r="D607" s="144">
        <v>0</v>
      </c>
      <c r="E607" s="144">
        <v>0</v>
      </c>
      <c r="F607" s="144">
        <v>0</v>
      </c>
      <c r="G607" s="291">
        <v>0</v>
      </c>
      <c r="H607" s="150">
        <v>0</v>
      </c>
      <c r="I607" s="567">
        <f t="shared" si="16"/>
        <v>0</v>
      </c>
    </row>
    <row r="608" spans="1:9" x14ac:dyDescent="0.15">
      <c r="A608" s="138"/>
      <c r="B608" s="521" t="s">
        <v>1621</v>
      </c>
      <c r="C608" s="138" t="s">
        <v>839</v>
      </c>
      <c r="D608" s="144">
        <v>0</v>
      </c>
      <c r="E608" s="144">
        <v>0</v>
      </c>
      <c r="F608" s="144">
        <v>0</v>
      </c>
      <c r="G608" s="291">
        <v>0</v>
      </c>
      <c r="H608" s="150">
        <v>0</v>
      </c>
      <c r="I608" s="567">
        <f t="shared" si="16"/>
        <v>0</v>
      </c>
    </row>
    <row r="609" spans="1:9" x14ac:dyDescent="0.15">
      <c r="A609" s="138"/>
      <c r="B609" s="521" t="s">
        <v>1622</v>
      </c>
      <c r="C609" s="138" t="s">
        <v>190</v>
      </c>
      <c r="D609" s="144">
        <v>0</v>
      </c>
      <c r="E609" s="144">
        <v>0</v>
      </c>
      <c r="F609" s="144">
        <v>0</v>
      </c>
      <c r="G609" s="291">
        <v>0</v>
      </c>
      <c r="H609" s="150">
        <v>0</v>
      </c>
      <c r="I609" s="567">
        <f t="shared" si="16"/>
        <v>0</v>
      </c>
    </row>
    <row r="610" spans="1:9" x14ac:dyDescent="0.15">
      <c r="A610" s="138"/>
      <c r="B610" s="521" t="s">
        <v>1623</v>
      </c>
      <c r="C610" s="138" t="s">
        <v>191</v>
      </c>
      <c r="D610" s="144">
        <v>0</v>
      </c>
      <c r="E610" s="144">
        <v>0</v>
      </c>
      <c r="F610" s="144">
        <v>0</v>
      </c>
      <c r="G610" s="291">
        <v>0</v>
      </c>
      <c r="H610" s="150">
        <v>0</v>
      </c>
      <c r="I610" s="567">
        <f t="shared" si="16"/>
        <v>0</v>
      </c>
    </row>
    <row r="611" spans="1:9" x14ac:dyDescent="0.15">
      <c r="A611" s="138"/>
      <c r="B611" s="521" t="s">
        <v>1624</v>
      </c>
      <c r="C611" s="138" t="s">
        <v>840</v>
      </c>
      <c r="D611" s="144">
        <v>0</v>
      </c>
      <c r="E611" s="144">
        <v>0</v>
      </c>
      <c r="F611" s="144">
        <v>0</v>
      </c>
      <c r="G611" s="291">
        <v>0</v>
      </c>
      <c r="H611" s="150">
        <v>0</v>
      </c>
      <c r="I611" s="567">
        <f t="shared" si="16"/>
        <v>0</v>
      </c>
    </row>
    <row r="612" spans="1:9" x14ac:dyDescent="0.15">
      <c r="A612" s="138"/>
      <c r="B612" s="521" t="s">
        <v>1625</v>
      </c>
      <c r="C612" s="138" t="s">
        <v>842</v>
      </c>
      <c r="D612" s="144">
        <v>0</v>
      </c>
      <c r="E612" s="144">
        <v>0</v>
      </c>
      <c r="F612" s="144">
        <v>0</v>
      </c>
      <c r="G612" s="291">
        <v>0</v>
      </c>
      <c r="H612" s="150">
        <v>0</v>
      </c>
      <c r="I612" s="567">
        <f t="shared" si="16"/>
        <v>0</v>
      </c>
    </row>
    <row r="613" spans="1:9" x14ac:dyDescent="0.15">
      <c r="A613" s="138"/>
      <c r="B613" s="521" t="s">
        <v>843</v>
      </c>
      <c r="C613" s="138" t="s">
        <v>848</v>
      </c>
      <c r="D613" s="144">
        <v>0</v>
      </c>
      <c r="E613" s="144">
        <v>0</v>
      </c>
      <c r="F613" s="144">
        <v>0</v>
      </c>
      <c r="G613" s="291">
        <v>0</v>
      </c>
      <c r="H613" s="150">
        <v>0</v>
      </c>
      <c r="I613" s="567">
        <f t="shared" si="16"/>
        <v>0</v>
      </c>
    </row>
    <row r="614" spans="1:9" x14ac:dyDescent="0.15">
      <c r="A614" s="138"/>
      <c r="B614" s="521" t="s">
        <v>844</v>
      </c>
      <c r="C614" s="138" t="s">
        <v>153</v>
      </c>
      <c r="D614" s="144">
        <v>0</v>
      </c>
      <c r="E614" s="144">
        <v>0</v>
      </c>
      <c r="F614" s="144">
        <v>0</v>
      </c>
      <c r="G614" s="291">
        <v>0</v>
      </c>
      <c r="H614" s="150">
        <v>0</v>
      </c>
      <c r="I614" s="567">
        <f t="shared" si="16"/>
        <v>0</v>
      </c>
    </row>
    <row r="615" spans="1:9" x14ac:dyDescent="0.15">
      <c r="A615" s="138"/>
      <c r="B615" s="521" t="s">
        <v>845</v>
      </c>
      <c r="C615" s="138" t="s">
        <v>154</v>
      </c>
      <c r="D615" s="144">
        <v>0</v>
      </c>
      <c r="E615" s="144">
        <v>0</v>
      </c>
      <c r="F615" s="144">
        <v>0</v>
      </c>
      <c r="G615" s="291">
        <v>0</v>
      </c>
      <c r="H615" s="150">
        <v>0</v>
      </c>
      <c r="I615" s="567">
        <f t="shared" si="16"/>
        <v>0</v>
      </c>
    </row>
    <row r="616" spans="1:9" x14ac:dyDescent="0.15">
      <c r="A616" s="138"/>
      <c r="B616" s="521" t="s">
        <v>846</v>
      </c>
      <c r="C616" s="138" t="s">
        <v>155</v>
      </c>
      <c r="D616" s="144">
        <v>0</v>
      </c>
      <c r="E616" s="144">
        <v>0</v>
      </c>
      <c r="F616" s="144">
        <v>0</v>
      </c>
      <c r="G616" s="291">
        <v>0</v>
      </c>
      <c r="H616" s="150">
        <v>0</v>
      </c>
      <c r="I616" s="567">
        <f t="shared" si="16"/>
        <v>0</v>
      </c>
    </row>
    <row r="617" spans="1:9" x14ac:dyDescent="0.15">
      <c r="A617" s="138"/>
      <c r="B617" s="521" t="s">
        <v>1582</v>
      </c>
      <c r="C617" s="138" t="s">
        <v>156</v>
      </c>
      <c r="D617" s="144">
        <v>0</v>
      </c>
      <c r="E617" s="144">
        <v>0</v>
      </c>
      <c r="F617" s="144">
        <v>0</v>
      </c>
      <c r="G617" s="291">
        <v>0</v>
      </c>
      <c r="H617" s="150">
        <v>0</v>
      </c>
      <c r="I617" s="567">
        <f t="shared" si="16"/>
        <v>0</v>
      </c>
    </row>
    <row r="618" spans="1:9" x14ac:dyDescent="0.15">
      <c r="A618" s="138"/>
      <c r="B618" s="521" t="s">
        <v>847</v>
      </c>
      <c r="C618" s="138" t="s">
        <v>157</v>
      </c>
      <c r="D618" s="144">
        <v>0</v>
      </c>
      <c r="E618" s="144">
        <v>0</v>
      </c>
      <c r="F618" s="144">
        <v>0</v>
      </c>
      <c r="G618" s="291">
        <v>0</v>
      </c>
      <c r="H618" s="150">
        <v>0</v>
      </c>
      <c r="I618" s="567">
        <f t="shared" si="16"/>
        <v>0</v>
      </c>
    </row>
    <row r="619" spans="1:9" x14ac:dyDescent="0.15">
      <c r="A619" s="138"/>
      <c r="B619" s="521" t="s">
        <v>1583</v>
      </c>
      <c r="C619" s="138" t="s">
        <v>160</v>
      </c>
      <c r="D619" s="144">
        <v>0</v>
      </c>
      <c r="E619" s="144">
        <v>0</v>
      </c>
      <c r="F619" s="144">
        <v>0</v>
      </c>
      <c r="G619" s="291">
        <v>0</v>
      </c>
      <c r="H619" s="150">
        <v>0</v>
      </c>
      <c r="I619" s="567">
        <f t="shared" si="16"/>
        <v>0</v>
      </c>
    </row>
    <row r="620" spans="1:9" x14ac:dyDescent="0.15">
      <c r="A620" s="138"/>
      <c r="B620" s="521" t="s">
        <v>634</v>
      </c>
      <c r="C620" s="138" t="s">
        <v>165</v>
      </c>
      <c r="D620" s="144">
        <v>0</v>
      </c>
      <c r="E620" s="144">
        <v>0</v>
      </c>
      <c r="F620" s="144">
        <v>0</v>
      </c>
      <c r="G620" s="291">
        <v>0</v>
      </c>
      <c r="H620" s="150">
        <v>0</v>
      </c>
      <c r="I620" s="567">
        <f t="shared" si="16"/>
        <v>0</v>
      </c>
    </row>
    <row r="621" spans="1:9" x14ac:dyDescent="0.15">
      <c r="A621" s="138"/>
      <c r="B621" s="521" t="s">
        <v>630</v>
      </c>
      <c r="C621" s="138" t="s">
        <v>172</v>
      </c>
      <c r="D621" s="144">
        <v>0</v>
      </c>
      <c r="E621" s="144">
        <v>0</v>
      </c>
      <c r="F621" s="144">
        <v>0</v>
      </c>
      <c r="G621" s="291">
        <v>0</v>
      </c>
      <c r="H621" s="150">
        <v>0</v>
      </c>
      <c r="I621" s="567">
        <f t="shared" si="16"/>
        <v>0</v>
      </c>
    </row>
    <row r="622" spans="1:9" x14ac:dyDescent="0.15">
      <c r="A622" s="138"/>
      <c r="B622" s="650" t="s">
        <v>631</v>
      </c>
      <c r="C622" s="651" t="s">
        <v>173</v>
      </c>
      <c r="D622" s="144">
        <v>0</v>
      </c>
      <c r="E622" s="144">
        <v>0</v>
      </c>
      <c r="F622" s="144">
        <v>0</v>
      </c>
      <c r="G622" s="291">
        <v>0</v>
      </c>
      <c r="H622" s="150">
        <v>0</v>
      </c>
      <c r="I622" s="567">
        <f t="shared" si="16"/>
        <v>0</v>
      </c>
    </row>
    <row r="623" spans="1:9" x14ac:dyDescent="0.15">
      <c r="A623" s="138"/>
      <c r="B623" s="521" t="s">
        <v>1584</v>
      </c>
      <c r="C623" s="138" t="s">
        <v>178</v>
      </c>
      <c r="D623" s="144">
        <v>0</v>
      </c>
      <c r="E623" s="144">
        <v>0</v>
      </c>
      <c r="F623" s="144">
        <v>0</v>
      </c>
      <c r="G623" s="291">
        <v>0</v>
      </c>
      <c r="H623" s="150">
        <v>0</v>
      </c>
      <c r="I623" s="567">
        <f t="shared" si="16"/>
        <v>0</v>
      </c>
    </row>
    <row r="624" spans="1:9" x14ac:dyDescent="0.15">
      <c r="A624" s="138"/>
      <c r="B624" s="521" t="s">
        <v>174</v>
      </c>
      <c r="C624" s="138" t="s">
        <v>179</v>
      </c>
      <c r="D624" s="144">
        <v>0</v>
      </c>
      <c r="E624" s="144">
        <v>0</v>
      </c>
      <c r="F624" s="144">
        <v>0</v>
      </c>
      <c r="G624" s="291">
        <v>0</v>
      </c>
      <c r="H624" s="150">
        <v>0</v>
      </c>
      <c r="I624" s="567">
        <f t="shared" si="16"/>
        <v>0</v>
      </c>
    </row>
    <row r="625" spans="1:10" x14ac:dyDescent="0.15">
      <c r="A625" s="138"/>
      <c r="B625" s="521" t="s">
        <v>175</v>
      </c>
      <c r="C625" s="138" t="s">
        <v>180</v>
      </c>
      <c r="D625" s="144">
        <v>0</v>
      </c>
      <c r="E625" s="144">
        <v>0</v>
      </c>
      <c r="F625" s="144">
        <v>0</v>
      </c>
      <c r="G625" s="291">
        <v>0</v>
      </c>
      <c r="H625" s="150">
        <v>0</v>
      </c>
      <c r="I625" s="567">
        <f t="shared" si="16"/>
        <v>0</v>
      </c>
    </row>
    <row r="626" spans="1:10" ht="11.25" thickBot="1" x14ac:dyDescent="0.2">
      <c r="A626" s="138"/>
      <c r="B626" s="521" t="s">
        <v>176</v>
      </c>
      <c r="C626" s="138" t="s">
        <v>181</v>
      </c>
      <c r="D626" s="144">
        <v>0</v>
      </c>
      <c r="E626" s="144">
        <v>0</v>
      </c>
      <c r="F626" s="144">
        <v>0</v>
      </c>
      <c r="G626" s="291">
        <v>0</v>
      </c>
      <c r="H626" s="150">
        <v>0</v>
      </c>
      <c r="I626" s="567">
        <f t="shared" si="16"/>
        <v>0</v>
      </c>
    </row>
    <row r="627" spans="1:10" ht="12" thickTop="1" thickBot="1" x14ac:dyDescent="0.2">
      <c r="A627" s="138"/>
      <c r="B627" s="521"/>
      <c r="C627" s="138" t="s">
        <v>142</v>
      </c>
      <c r="D627" s="169">
        <f>SUM(D593:D626)</f>
        <v>0</v>
      </c>
      <c r="E627" s="169">
        <f>SUM(E593:E626)</f>
        <v>0</v>
      </c>
      <c r="F627" s="169">
        <f>SUM(F593:F626)</f>
        <v>0</v>
      </c>
      <c r="G627" s="169">
        <f>SUM(G593:G626)</f>
        <v>0</v>
      </c>
      <c r="H627" s="169">
        <f>SUM(H593:H626)</f>
        <v>0</v>
      </c>
      <c r="I627" s="169">
        <f t="shared" si="16"/>
        <v>0</v>
      </c>
    </row>
    <row r="628" spans="1:10" ht="11.25" thickTop="1" x14ac:dyDescent="0.15">
      <c r="A628" s="138"/>
      <c r="B628" s="138"/>
      <c r="C628" s="138"/>
      <c r="D628" s="14"/>
      <c r="E628" s="14"/>
      <c r="F628" s="14"/>
      <c r="G628" s="14"/>
      <c r="H628" s="14"/>
      <c r="I628" s="563"/>
    </row>
    <row r="629" spans="1:10" x14ac:dyDescent="0.15">
      <c r="A629" s="522" t="s">
        <v>143</v>
      </c>
      <c r="B629" s="138"/>
      <c r="C629" s="138"/>
      <c r="D629" s="14"/>
      <c r="E629" s="14"/>
      <c r="F629" s="14"/>
      <c r="G629" s="14"/>
      <c r="H629" s="14"/>
      <c r="I629" s="563"/>
    </row>
    <row r="630" spans="1:10" s="434" customFormat="1" x14ac:dyDescent="0.15">
      <c r="B630" s="523" t="s">
        <v>1577</v>
      </c>
      <c r="C630" s="524" t="s">
        <v>228</v>
      </c>
      <c r="D630" s="316">
        <v>0</v>
      </c>
      <c r="E630" s="316">
        <v>0</v>
      </c>
      <c r="F630" s="316">
        <v>0</v>
      </c>
      <c r="G630" s="528">
        <f t="array" ref="G630">SUM(IF(CertFund&amp;CertProg&amp;CertObj=RIGHT(LEFT($A$2,7),2)&amp;LEFT(A629,4)&amp;B630,CertSalary))</f>
        <v>0</v>
      </c>
      <c r="H630" s="527">
        <v>0</v>
      </c>
      <c r="I630" s="566">
        <f t="shared" ref="I630:I665" si="17">SUM(G630+H630)</f>
        <v>0</v>
      </c>
    </row>
    <row r="631" spans="1:10" s="434" customFormat="1" x14ac:dyDescent="0.15">
      <c r="B631" s="523" t="s">
        <v>1577</v>
      </c>
      <c r="C631" s="524" t="s">
        <v>510</v>
      </c>
      <c r="D631" s="316">
        <v>0</v>
      </c>
      <c r="E631" s="316">
        <v>0</v>
      </c>
      <c r="F631" s="316">
        <v>0</v>
      </c>
      <c r="G631" s="316">
        <v>0</v>
      </c>
      <c r="H631" s="527">
        <v>0</v>
      </c>
      <c r="I631" s="566">
        <f t="shared" si="17"/>
        <v>0</v>
      </c>
    </row>
    <row r="632" spans="1:10" s="434" customFormat="1" x14ac:dyDescent="0.15">
      <c r="A632" s="524"/>
      <c r="B632" s="523" t="s">
        <v>1578</v>
      </c>
      <c r="C632" s="524" t="s">
        <v>936</v>
      </c>
      <c r="D632" s="316">
        <v>0</v>
      </c>
      <c r="E632" s="316">
        <v>0</v>
      </c>
      <c r="F632" s="316">
        <v>0</v>
      </c>
      <c r="G632" s="529">
        <f t="array" ref="G632">SUM(IF(CertFund&amp;CertProg&amp;CertObj=RIGHT(LEFT($A$2,7),2)&amp;LEFT(A629,4)&amp;B630,CertBen))</f>
        <v>0</v>
      </c>
      <c r="H632" s="527">
        <v>0</v>
      </c>
      <c r="I632" s="566">
        <f t="shared" si="17"/>
        <v>0</v>
      </c>
    </row>
    <row r="633" spans="1:10" x14ac:dyDescent="0.15">
      <c r="A633" s="138"/>
      <c r="B633" s="521" t="s">
        <v>1578</v>
      </c>
      <c r="C633" s="138" t="s">
        <v>511</v>
      </c>
      <c r="D633" s="147">
        <v>0</v>
      </c>
      <c r="E633" s="147">
        <v>0</v>
      </c>
      <c r="F633" s="147">
        <v>0</v>
      </c>
      <c r="G633" s="147">
        <v>0</v>
      </c>
      <c r="H633" s="150">
        <v>0</v>
      </c>
      <c r="I633" s="567">
        <f t="shared" si="17"/>
        <v>0</v>
      </c>
      <c r="J633" s="434"/>
    </row>
    <row r="634" spans="1:10" x14ac:dyDescent="0.15">
      <c r="A634" s="138"/>
      <c r="B634" s="521" t="s">
        <v>1579</v>
      </c>
      <c r="C634" s="138" t="s">
        <v>118</v>
      </c>
      <c r="D634" s="144">
        <v>0</v>
      </c>
      <c r="E634" s="144">
        <v>0</v>
      </c>
      <c r="F634" s="144">
        <v>0</v>
      </c>
      <c r="G634" s="291">
        <v>0</v>
      </c>
      <c r="H634" s="150">
        <v>0</v>
      </c>
      <c r="I634" s="567">
        <f t="shared" si="17"/>
        <v>0</v>
      </c>
    </row>
    <row r="635" spans="1:10" x14ac:dyDescent="0.15">
      <c r="A635" s="138"/>
      <c r="B635" s="521" t="s">
        <v>1580</v>
      </c>
      <c r="C635" s="138" t="s">
        <v>119</v>
      </c>
      <c r="D635" s="144">
        <v>0</v>
      </c>
      <c r="E635" s="144">
        <v>0</v>
      </c>
      <c r="F635" s="144">
        <v>0</v>
      </c>
      <c r="G635" s="291">
        <v>0</v>
      </c>
      <c r="H635" s="150">
        <v>0</v>
      </c>
      <c r="I635" s="567">
        <f t="shared" si="17"/>
        <v>0</v>
      </c>
    </row>
    <row r="636" spans="1:10" x14ac:dyDescent="0.15">
      <c r="A636" s="138"/>
      <c r="B636" s="521" t="s">
        <v>120</v>
      </c>
      <c r="C636" s="138" t="s">
        <v>121</v>
      </c>
      <c r="D636" s="144">
        <v>0</v>
      </c>
      <c r="E636" s="144">
        <v>0</v>
      </c>
      <c r="F636" s="144">
        <v>0</v>
      </c>
      <c r="G636" s="291">
        <v>0</v>
      </c>
      <c r="H636" s="150">
        <v>0</v>
      </c>
      <c r="I636" s="567">
        <f t="shared" si="17"/>
        <v>0</v>
      </c>
    </row>
    <row r="637" spans="1:10" x14ac:dyDescent="0.15">
      <c r="A637" s="138"/>
      <c r="B637" s="521" t="s">
        <v>122</v>
      </c>
      <c r="C637" s="138" t="s">
        <v>123</v>
      </c>
      <c r="D637" s="144">
        <v>0</v>
      </c>
      <c r="E637" s="144">
        <v>0</v>
      </c>
      <c r="F637" s="144">
        <v>0</v>
      </c>
      <c r="G637" s="291">
        <v>0</v>
      </c>
      <c r="H637" s="150">
        <v>0</v>
      </c>
      <c r="I637" s="567">
        <f t="shared" si="17"/>
        <v>0</v>
      </c>
    </row>
    <row r="638" spans="1:10" x14ac:dyDescent="0.15">
      <c r="A638" s="138"/>
      <c r="B638" s="521" t="s">
        <v>1581</v>
      </c>
      <c r="C638" s="138" t="s">
        <v>124</v>
      </c>
      <c r="D638" s="144">
        <v>0</v>
      </c>
      <c r="E638" s="144">
        <v>0</v>
      </c>
      <c r="F638" s="144">
        <v>0</v>
      </c>
      <c r="G638" s="291">
        <v>0</v>
      </c>
      <c r="H638" s="150">
        <v>0</v>
      </c>
      <c r="I638" s="567">
        <f t="shared" si="17"/>
        <v>0</v>
      </c>
    </row>
    <row r="639" spans="1:10" x14ac:dyDescent="0.15">
      <c r="A639" s="138"/>
      <c r="B639" s="521" t="s">
        <v>127</v>
      </c>
      <c r="C639" s="138" t="s">
        <v>134</v>
      </c>
      <c r="D639" s="144">
        <v>0</v>
      </c>
      <c r="E639" s="144">
        <v>0</v>
      </c>
      <c r="F639" s="144">
        <v>0</v>
      </c>
      <c r="G639" s="291">
        <v>0</v>
      </c>
      <c r="H639" s="150">
        <v>0</v>
      </c>
      <c r="I639" s="567">
        <f t="shared" si="17"/>
        <v>0</v>
      </c>
    </row>
    <row r="640" spans="1:10" x14ac:dyDescent="0.15">
      <c r="A640" s="138"/>
      <c r="B640" s="521" t="s">
        <v>128</v>
      </c>
      <c r="C640" s="138" t="s">
        <v>135</v>
      </c>
      <c r="D640" s="144">
        <v>0</v>
      </c>
      <c r="E640" s="144">
        <v>0</v>
      </c>
      <c r="F640" s="144">
        <v>0</v>
      </c>
      <c r="G640" s="291">
        <v>0</v>
      </c>
      <c r="H640" s="150">
        <v>0</v>
      </c>
      <c r="I640" s="567">
        <f t="shared" si="17"/>
        <v>0</v>
      </c>
    </row>
    <row r="641" spans="1:9" x14ac:dyDescent="0.15">
      <c r="A641" s="138"/>
      <c r="B641" s="521" t="s">
        <v>132</v>
      </c>
      <c r="C641" s="138" t="s">
        <v>1617</v>
      </c>
      <c r="D641" s="144">
        <v>0</v>
      </c>
      <c r="E641" s="144">
        <v>0</v>
      </c>
      <c r="F641" s="144">
        <v>0</v>
      </c>
      <c r="G641" s="291">
        <v>0</v>
      </c>
      <c r="H641" s="150">
        <v>0</v>
      </c>
      <c r="I641" s="567">
        <f t="shared" si="17"/>
        <v>0</v>
      </c>
    </row>
    <row r="642" spans="1:9" x14ac:dyDescent="0.15">
      <c r="A642" s="138"/>
      <c r="B642" s="521" t="s">
        <v>1618</v>
      </c>
      <c r="C642" s="138" t="s">
        <v>836</v>
      </c>
      <c r="D642" s="144">
        <v>0</v>
      </c>
      <c r="E642" s="144">
        <v>0</v>
      </c>
      <c r="F642" s="144">
        <v>0</v>
      </c>
      <c r="G642" s="291">
        <v>0</v>
      </c>
      <c r="H642" s="150">
        <v>0</v>
      </c>
      <c r="I642" s="567">
        <f t="shared" si="17"/>
        <v>0</v>
      </c>
    </row>
    <row r="643" spans="1:9" x14ac:dyDescent="0.15">
      <c r="A643" s="138"/>
      <c r="B643" s="521" t="s">
        <v>1619</v>
      </c>
      <c r="C643" s="138" t="s">
        <v>837</v>
      </c>
      <c r="D643" s="144">
        <v>0</v>
      </c>
      <c r="E643" s="144">
        <v>0</v>
      </c>
      <c r="F643" s="144">
        <v>0</v>
      </c>
      <c r="G643" s="291">
        <v>0</v>
      </c>
      <c r="H643" s="150">
        <v>0</v>
      </c>
      <c r="I643" s="567">
        <f t="shared" si="17"/>
        <v>0</v>
      </c>
    </row>
    <row r="644" spans="1:9" x14ac:dyDescent="0.15">
      <c r="A644" s="138"/>
      <c r="B644" s="521" t="s">
        <v>1620</v>
      </c>
      <c r="C644" s="138" t="s">
        <v>838</v>
      </c>
      <c r="D644" s="144">
        <v>0</v>
      </c>
      <c r="E644" s="144">
        <v>0</v>
      </c>
      <c r="F644" s="144">
        <v>0</v>
      </c>
      <c r="G644" s="291">
        <v>0</v>
      </c>
      <c r="H644" s="150">
        <v>0</v>
      </c>
      <c r="I644" s="567">
        <f t="shared" si="17"/>
        <v>0</v>
      </c>
    </row>
    <row r="645" spans="1:9" x14ac:dyDescent="0.15">
      <c r="A645" s="138"/>
      <c r="B645" s="521" t="s">
        <v>1621</v>
      </c>
      <c r="C645" s="138" t="s">
        <v>839</v>
      </c>
      <c r="D645" s="144">
        <v>0</v>
      </c>
      <c r="E645" s="144">
        <v>0</v>
      </c>
      <c r="F645" s="144">
        <v>0</v>
      </c>
      <c r="G645" s="291">
        <v>0</v>
      </c>
      <c r="H645" s="150">
        <v>0</v>
      </c>
      <c r="I645" s="567">
        <f t="shared" si="17"/>
        <v>0</v>
      </c>
    </row>
    <row r="646" spans="1:9" x14ac:dyDescent="0.15">
      <c r="A646" s="138"/>
      <c r="B646" s="521" t="s">
        <v>1622</v>
      </c>
      <c r="C646" s="138" t="s">
        <v>190</v>
      </c>
      <c r="D646" s="144">
        <v>0</v>
      </c>
      <c r="E646" s="144">
        <v>0</v>
      </c>
      <c r="F646" s="144">
        <v>0</v>
      </c>
      <c r="G646" s="291">
        <v>0</v>
      </c>
      <c r="H646" s="150">
        <v>0</v>
      </c>
      <c r="I646" s="567">
        <f t="shared" si="17"/>
        <v>0</v>
      </c>
    </row>
    <row r="647" spans="1:9" x14ac:dyDescent="0.15">
      <c r="A647" s="138"/>
      <c r="B647" s="521" t="s">
        <v>1623</v>
      </c>
      <c r="C647" s="138" t="s">
        <v>191</v>
      </c>
      <c r="D647" s="144">
        <v>0</v>
      </c>
      <c r="E647" s="144">
        <v>0</v>
      </c>
      <c r="F647" s="144">
        <v>0</v>
      </c>
      <c r="G647" s="291">
        <v>0</v>
      </c>
      <c r="H647" s="150">
        <v>0</v>
      </c>
      <c r="I647" s="567">
        <f t="shared" si="17"/>
        <v>0</v>
      </c>
    </row>
    <row r="648" spans="1:9" x14ac:dyDescent="0.15">
      <c r="A648" s="138"/>
      <c r="B648" s="521" t="s">
        <v>1624</v>
      </c>
      <c r="C648" s="138" t="s">
        <v>840</v>
      </c>
      <c r="D648" s="144">
        <v>0</v>
      </c>
      <c r="E648" s="144">
        <v>0</v>
      </c>
      <c r="F648" s="144">
        <v>0</v>
      </c>
      <c r="G648" s="291">
        <v>0</v>
      </c>
      <c r="H648" s="150">
        <v>0</v>
      </c>
      <c r="I648" s="567">
        <f t="shared" si="17"/>
        <v>0</v>
      </c>
    </row>
    <row r="649" spans="1:9" x14ac:dyDescent="0.15">
      <c r="A649" s="138"/>
      <c r="B649" s="521" t="s">
        <v>1625</v>
      </c>
      <c r="C649" s="138" t="s">
        <v>842</v>
      </c>
      <c r="D649" s="144">
        <v>0</v>
      </c>
      <c r="E649" s="144">
        <v>0</v>
      </c>
      <c r="F649" s="144">
        <v>0</v>
      </c>
      <c r="G649" s="291">
        <v>0</v>
      </c>
      <c r="H649" s="150">
        <v>0</v>
      </c>
      <c r="I649" s="567">
        <f t="shared" si="17"/>
        <v>0</v>
      </c>
    </row>
    <row r="650" spans="1:9" x14ac:dyDescent="0.15">
      <c r="A650" s="138"/>
      <c r="B650" s="521" t="s">
        <v>843</v>
      </c>
      <c r="C650" s="138" t="s">
        <v>848</v>
      </c>
      <c r="D650" s="144">
        <v>0</v>
      </c>
      <c r="E650" s="144">
        <v>0</v>
      </c>
      <c r="F650" s="144">
        <v>0</v>
      </c>
      <c r="G650" s="291">
        <v>0</v>
      </c>
      <c r="H650" s="150">
        <v>0</v>
      </c>
      <c r="I650" s="567">
        <f t="shared" si="17"/>
        <v>0</v>
      </c>
    </row>
    <row r="651" spans="1:9" x14ac:dyDescent="0.15">
      <c r="A651" s="138"/>
      <c r="B651" s="521" t="s">
        <v>844</v>
      </c>
      <c r="C651" s="138" t="s">
        <v>153</v>
      </c>
      <c r="D651" s="144">
        <v>0</v>
      </c>
      <c r="E651" s="144">
        <v>0</v>
      </c>
      <c r="F651" s="144">
        <v>0</v>
      </c>
      <c r="G651" s="291">
        <v>0</v>
      </c>
      <c r="H651" s="150">
        <v>0</v>
      </c>
      <c r="I651" s="567">
        <f t="shared" si="17"/>
        <v>0</v>
      </c>
    </row>
    <row r="652" spans="1:9" x14ac:dyDescent="0.15">
      <c r="A652" s="138"/>
      <c r="B652" s="521" t="s">
        <v>845</v>
      </c>
      <c r="C652" s="138" t="s">
        <v>154</v>
      </c>
      <c r="D652" s="144">
        <v>0</v>
      </c>
      <c r="E652" s="144">
        <v>0</v>
      </c>
      <c r="F652" s="144">
        <v>0</v>
      </c>
      <c r="G652" s="291">
        <v>0</v>
      </c>
      <c r="H652" s="150">
        <v>0</v>
      </c>
      <c r="I652" s="567">
        <f t="shared" si="17"/>
        <v>0</v>
      </c>
    </row>
    <row r="653" spans="1:9" x14ac:dyDescent="0.15">
      <c r="A653" s="138"/>
      <c r="B653" s="521" t="s">
        <v>846</v>
      </c>
      <c r="C653" s="138" t="s">
        <v>155</v>
      </c>
      <c r="D653" s="144">
        <v>0</v>
      </c>
      <c r="E653" s="144">
        <v>0</v>
      </c>
      <c r="F653" s="144">
        <v>0</v>
      </c>
      <c r="G653" s="291">
        <v>0</v>
      </c>
      <c r="H653" s="150">
        <v>0</v>
      </c>
      <c r="I653" s="567">
        <f t="shared" si="17"/>
        <v>0</v>
      </c>
    </row>
    <row r="654" spans="1:9" x14ac:dyDescent="0.15">
      <c r="A654" s="138"/>
      <c r="B654" s="521" t="s">
        <v>1582</v>
      </c>
      <c r="C654" s="138" t="s">
        <v>156</v>
      </c>
      <c r="D654" s="144">
        <v>0</v>
      </c>
      <c r="E654" s="144">
        <v>0</v>
      </c>
      <c r="F654" s="144">
        <v>0</v>
      </c>
      <c r="G654" s="291">
        <v>0</v>
      </c>
      <c r="H654" s="150">
        <v>0</v>
      </c>
      <c r="I654" s="567">
        <f t="shared" si="17"/>
        <v>0</v>
      </c>
    </row>
    <row r="655" spans="1:9" x14ac:dyDescent="0.15">
      <c r="A655" s="138"/>
      <c r="B655" s="521" t="s">
        <v>847</v>
      </c>
      <c r="C655" s="138" t="s">
        <v>157</v>
      </c>
      <c r="D655" s="144">
        <v>0</v>
      </c>
      <c r="E655" s="144">
        <v>0</v>
      </c>
      <c r="F655" s="144">
        <v>0</v>
      </c>
      <c r="G655" s="291">
        <v>0</v>
      </c>
      <c r="H655" s="150">
        <v>0</v>
      </c>
      <c r="I655" s="567">
        <f t="shared" si="17"/>
        <v>0</v>
      </c>
    </row>
    <row r="656" spans="1:9" x14ac:dyDescent="0.15">
      <c r="A656" s="138"/>
      <c r="B656" s="521" t="s">
        <v>1583</v>
      </c>
      <c r="C656" s="138" t="s">
        <v>160</v>
      </c>
      <c r="D656" s="144">
        <v>0</v>
      </c>
      <c r="E656" s="144">
        <v>0</v>
      </c>
      <c r="F656" s="144">
        <v>0</v>
      </c>
      <c r="G656" s="291">
        <v>0</v>
      </c>
      <c r="H656" s="150">
        <v>0</v>
      </c>
      <c r="I656" s="567">
        <f t="shared" si="17"/>
        <v>0</v>
      </c>
    </row>
    <row r="657" spans="1:10" x14ac:dyDescent="0.15">
      <c r="A657" s="138"/>
      <c r="B657" s="521" t="s">
        <v>634</v>
      </c>
      <c r="C657" s="138" t="s">
        <v>165</v>
      </c>
      <c r="D657" s="144">
        <v>0</v>
      </c>
      <c r="E657" s="144">
        <v>0</v>
      </c>
      <c r="F657" s="144">
        <v>0</v>
      </c>
      <c r="G657" s="291">
        <v>0</v>
      </c>
      <c r="H657" s="150">
        <v>0</v>
      </c>
      <c r="I657" s="567">
        <f t="shared" si="17"/>
        <v>0</v>
      </c>
    </row>
    <row r="658" spans="1:10" x14ac:dyDescent="0.15">
      <c r="A658" s="138"/>
      <c r="B658" s="521" t="s">
        <v>202</v>
      </c>
      <c r="C658" s="138" t="s">
        <v>731</v>
      </c>
      <c r="D658" s="144">
        <v>0</v>
      </c>
      <c r="E658" s="144">
        <v>0</v>
      </c>
      <c r="F658" s="144">
        <v>0</v>
      </c>
      <c r="G658" s="291">
        <v>0</v>
      </c>
      <c r="H658" s="150">
        <v>0</v>
      </c>
      <c r="I658" s="567">
        <f t="shared" si="17"/>
        <v>0</v>
      </c>
    </row>
    <row r="659" spans="1:10" x14ac:dyDescent="0.15">
      <c r="A659" s="138"/>
      <c r="B659" s="521" t="s">
        <v>630</v>
      </c>
      <c r="C659" s="138" t="s">
        <v>172</v>
      </c>
      <c r="D659" s="144">
        <v>0</v>
      </c>
      <c r="E659" s="144">
        <v>0</v>
      </c>
      <c r="F659" s="144">
        <v>0</v>
      </c>
      <c r="G659" s="291">
        <v>0</v>
      </c>
      <c r="H659" s="150">
        <v>0</v>
      </c>
      <c r="I659" s="567">
        <f t="shared" si="17"/>
        <v>0</v>
      </c>
    </row>
    <row r="660" spans="1:10" x14ac:dyDescent="0.15">
      <c r="A660" s="138"/>
      <c r="B660" s="650" t="s">
        <v>631</v>
      </c>
      <c r="C660" s="651" t="s">
        <v>173</v>
      </c>
      <c r="D660" s="144">
        <v>0</v>
      </c>
      <c r="E660" s="144">
        <v>0</v>
      </c>
      <c r="F660" s="144">
        <v>0</v>
      </c>
      <c r="G660" s="291">
        <v>0</v>
      </c>
      <c r="H660" s="150">
        <v>0</v>
      </c>
      <c r="I660" s="567">
        <f t="shared" si="17"/>
        <v>0</v>
      </c>
    </row>
    <row r="661" spans="1:10" x14ac:dyDescent="0.15">
      <c r="A661" s="138"/>
      <c r="B661" s="521" t="s">
        <v>1584</v>
      </c>
      <c r="C661" s="138" t="s">
        <v>178</v>
      </c>
      <c r="D661" s="144">
        <v>0</v>
      </c>
      <c r="E661" s="144">
        <v>0</v>
      </c>
      <c r="F661" s="144">
        <v>0</v>
      </c>
      <c r="G661" s="291">
        <v>0</v>
      </c>
      <c r="H661" s="150">
        <v>0</v>
      </c>
      <c r="I661" s="567">
        <f t="shared" si="17"/>
        <v>0</v>
      </c>
    </row>
    <row r="662" spans="1:10" x14ac:dyDescent="0.15">
      <c r="A662" s="138"/>
      <c r="B662" s="521" t="s">
        <v>174</v>
      </c>
      <c r="C662" s="138" t="s">
        <v>179</v>
      </c>
      <c r="D662" s="144">
        <v>0</v>
      </c>
      <c r="E662" s="144">
        <v>0</v>
      </c>
      <c r="F662" s="144">
        <v>0</v>
      </c>
      <c r="G662" s="291">
        <v>0</v>
      </c>
      <c r="H662" s="150">
        <v>0</v>
      </c>
      <c r="I662" s="567">
        <f t="shared" si="17"/>
        <v>0</v>
      </c>
    </row>
    <row r="663" spans="1:10" x14ac:dyDescent="0.15">
      <c r="A663" s="138"/>
      <c r="B663" s="521" t="s">
        <v>175</v>
      </c>
      <c r="C663" s="138" t="s">
        <v>180</v>
      </c>
      <c r="D663" s="144">
        <v>0</v>
      </c>
      <c r="E663" s="144">
        <v>0</v>
      </c>
      <c r="F663" s="144">
        <v>0</v>
      </c>
      <c r="G663" s="291">
        <v>0</v>
      </c>
      <c r="H663" s="150">
        <v>0</v>
      </c>
      <c r="I663" s="567">
        <f t="shared" si="17"/>
        <v>0</v>
      </c>
    </row>
    <row r="664" spans="1:10" ht="11.25" thickBot="1" x14ac:dyDescent="0.2">
      <c r="A664" s="138"/>
      <c r="B664" s="521" t="s">
        <v>176</v>
      </c>
      <c r="C664" s="138" t="s">
        <v>181</v>
      </c>
      <c r="D664" s="144">
        <v>0</v>
      </c>
      <c r="E664" s="144">
        <v>0</v>
      </c>
      <c r="F664" s="144">
        <v>0</v>
      </c>
      <c r="G664" s="291">
        <v>0</v>
      </c>
      <c r="H664" s="150">
        <v>0</v>
      </c>
      <c r="I664" s="567">
        <f t="shared" si="17"/>
        <v>0</v>
      </c>
    </row>
    <row r="665" spans="1:10" ht="12" thickTop="1" thickBot="1" x14ac:dyDescent="0.2">
      <c r="A665" s="138"/>
      <c r="B665" s="521"/>
      <c r="C665" s="138" t="s">
        <v>144</v>
      </c>
      <c r="D665" s="169">
        <f>SUM(D630:D664)</f>
        <v>0</v>
      </c>
      <c r="E665" s="169">
        <f>SUM(E630:E664)</f>
        <v>0</v>
      </c>
      <c r="F665" s="169">
        <f>SUM(F630:F664)</f>
        <v>0</v>
      </c>
      <c r="G665" s="169">
        <f>SUM(G630:G664)</f>
        <v>0</v>
      </c>
      <c r="H665" s="169">
        <f>SUM(H630:H664)</f>
        <v>0</v>
      </c>
      <c r="I665" s="169">
        <f t="shared" si="17"/>
        <v>0</v>
      </c>
    </row>
    <row r="666" spans="1:10" ht="11.25" thickTop="1" x14ac:dyDescent="0.15">
      <c r="A666" s="138"/>
      <c r="B666" s="138"/>
      <c r="C666" s="138"/>
      <c r="D666" s="14"/>
      <c r="E666" s="14"/>
      <c r="F666" s="14"/>
      <c r="G666" s="14"/>
      <c r="H666" s="14"/>
      <c r="I666" s="563"/>
    </row>
    <row r="667" spans="1:10" x14ac:dyDescent="0.15">
      <c r="A667" s="522" t="s">
        <v>145</v>
      </c>
      <c r="B667" s="138"/>
      <c r="C667" s="138"/>
      <c r="D667" s="14"/>
      <c r="E667" s="14"/>
      <c r="F667" s="14"/>
      <c r="G667" s="14"/>
      <c r="H667" s="14"/>
      <c r="I667" s="563"/>
    </row>
    <row r="668" spans="1:10" s="434" customFormat="1" x14ac:dyDescent="0.15">
      <c r="B668" s="523" t="s">
        <v>1577</v>
      </c>
      <c r="C668" s="524" t="s">
        <v>228</v>
      </c>
      <c r="D668" s="316">
        <v>0</v>
      </c>
      <c r="E668" s="316">
        <v>0</v>
      </c>
      <c r="F668" s="316">
        <v>0</v>
      </c>
      <c r="G668" s="528">
        <f t="array" ref="G668">SUM(IF(CertFund&amp;CertProg&amp;CertObj=RIGHT(LEFT($A$2,7),2)&amp;LEFT(A667,4)&amp;B668,CertSalary))</f>
        <v>0</v>
      </c>
      <c r="H668" s="527">
        <v>0</v>
      </c>
      <c r="I668" s="566">
        <f t="shared" ref="I668:I702" si="18">SUM(G668+H668)</f>
        <v>0</v>
      </c>
    </row>
    <row r="669" spans="1:10" s="434" customFormat="1" x14ac:dyDescent="0.15">
      <c r="B669" s="523" t="s">
        <v>1577</v>
      </c>
      <c r="C669" s="524" t="s">
        <v>510</v>
      </c>
      <c r="D669" s="316">
        <v>0</v>
      </c>
      <c r="E669" s="316">
        <v>0</v>
      </c>
      <c r="F669" s="316">
        <v>0</v>
      </c>
      <c r="G669" s="316">
        <v>0</v>
      </c>
      <c r="H669" s="527">
        <v>0</v>
      </c>
      <c r="I669" s="566">
        <f t="shared" si="18"/>
        <v>0</v>
      </c>
    </row>
    <row r="670" spans="1:10" s="434" customFormat="1" x14ac:dyDescent="0.15">
      <c r="A670" s="524"/>
      <c r="B670" s="523" t="s">
        <v>1578</v>
      </c>
      <c r="C670" s="524" t="s">
        <v>936</v>
      </c>
      <c r="D670" s="316">
        <v>0</v>
      </c>
      <c r="E670" s="316">
        <v>0</v>
      </c>
      <c r="F670" s="316">
        <v>0</v>
      </c>
      <c r="G670" s="529">
        <f t="array" ref="G670">SUM(IF(CertFund&amp;CertProg&amp;CertObj=RIGHT(LEFT($A$2,7),2)&amp;LEFT(A667,4)&amp;B668,CertBen))</f>
        <v>0</v>
      </c>
      <c r="H670" s="527">
        <v>0</v>
      </c>
      <c r="I670" s="566">
        <f t="shared" si="18"/>
        <v>0</v>
      </c>
    </row>
    <row r="671" spans="1:10" x14ac:dyDescent="0.15">
      <c r="A671" s="138"/>
      <c r="B671" s="521" t="s">
        <v>1578</v>
      </c>
      <c r="C671" s="138" t="s">
        <v>511</v>
      </c>
      <c r="D671" s="147">
        <v>0</v>
      </c>
      <c r="E671" s="147">
        <v>0</v>
      </c>
      <c r="F671" s="147">
        <v>0</v>
      </c>
      <c r="G671" s="147">
        <v>0</v>
      </c>
      <c r="H671" s="150">
        <v>0</v>
      </c>
      <c r="I671" s="567">
        <f t="shared" si="18"/>
        <v>0</v>
      </c>
      <c r="J671" s="434"/>
    </row>
    <row r="672" spans="1:10" x14ac:dyDescent="0.15">
      <c r="A672" s="138"/>
      <c r="B672" s="521" t="s">
        <v>1579</v>
      </c>
      <c r="C672" s="138" t="s">
        <v>118</v>
      </c>
      <c r="D672" s="144">
        <v>0</v>
      </c>
      <c r="E672" s="144">
        <v>0</v>
      </c>
      <c r="F672" s="144">
        <v>0</v>
      </c>
      <c r="G672" s="291">
        <v>0</v>
      </c>
      <c r="H672" s="150">
        <v>0</v>
      </c>
      <c r="I672" s="567">
        <f t="shared" si="18"/>
        <v>0</v>
      </c>
    </row>
    <row r="673" spans="1:9" x14ac:dyDescent="0.15">
      <c r="A673" s="138"/>
      <c r="B673" s="521" t="s">
        <v>1580</v>
      </c>
      <c r="C673" s="138" t="s">
        <v>119</v>
      </c>
      <c r="D673" s="144">
        <v>0</v>
      </c>
      <c r="E673" s="144">
        <v>0</v>
      </c>
      <c r="F673" s="144">
        <v>0</v>
      </c>
      <c r="G673" s="291">
        <v>0</v>
      </c>
      <c r="H673" s="150">
        <v>0</v>
      </c>
      <c r="I673" s="567">
        <f t="shared" si="18"/>
        <v>0</v>
      </c>
    </row>
    <row r="674" spans="1:9" x14ac:dyDescent="0.15">
      <c r="A674" s="138"/>
      <c r="B674" s="521" t="s">
        <v>120</v>
      </c>
      <c r="C674" s="138" t="s">
        <v>121</v>
      </c>
      <c r="D674" s="144">
        <v>0</v>
      </c>
      <c r="E674" s="144">
        <v>0</v>
      </c>
      <c r="F674" s="144">
        <v>0</v>
      </c>
      <c r="G674" s="291">
        <v>0</v>
      </c>
      <c r="H674" s="150">
        <v>0</v>
      </c>
      <c r="I674" s="567">
        <f t="shared" si="18"/>
        <v>0</v>
      </c>
    </row>
    <row r="675" spans="1:9" x14ac:dyDescent="0.15">
      <c r="A675" s="138"/>
      <c r="B675" s="521" t="s">
        <v>122</v>
      </c>
      <c r="C675" s="138" t="s">
        <v>123</v>
      </c>
      <c r="D675" s="144">
        <v>0</v>
      </c>
      <c r="E675" s="144">
        <v>0</v>
      </c>
      <c r="F675" s="144">
        <v>0</v>
      </c>
      <c r="G675" s="291">
        <v>0</v>
      </c>
      <c r="H675" s="150">
        <v>0</v>
      </c>
      <c r="I675" s="567">
        <f t="shared" si="18"/>
        <v>0</v>
      </c>
    </row>
    <row r="676" spans="1:9" x14ac:dyDescent="0.15">
      <c r="A676" s="138"/>
      <c r="B676" s="521" t="s">
        <v>1581</v>
      </c>
      <c r="C676" s="138" t="s">
        <v>124</v>
      </c>
      <c r="D676" s="144">
        <v>0</v>
      </c>
      <c r="E676" s="144">
        <v>0</v>
      </c>
      <c r="F676" s="144">
        <v>0</v>
      </c>
      <c r="G676" s="291">
        <v>0</v>
      </c>
      <c r="H676" s="150">
        <v>0</v>
      </c>
      <c r="I676" s="567">
        <f t="shared" si="18"/>
        <v>0</v>
      </c>
    </row>
    <row r="677" spans="1:9" x14ac:dyDescent="0.15">
      <c r="A677" s="138"/>
      <c r="B677" s="521" t="s">
        <v>127</v>
      </c>
      <c r="C677" s="138" t="s">
        <v>134</v>
      </c>
      <c r="D677" s="144">
        <v>0</v>
      </c>
      <c r="E677" s="144">
        <v>0</v>
      </c>
      <c r="F677" s="144">
        <v>0</v>
      </c>
      <c r="G677" s="291">
        <v>0</v>
      </c>
      <c r="H677" s="150">
        <v>0</v>
      </c>
      <c r="I677" s="567">
        <f t="shared" si="18"/>
        <v>0</v>
      </c>
    </row>
    <row r="678" spans="1:9" x14ac:dyDescent="0.15">
      <c r="A678" s="138"/>
      <c r="B678" s="521" t="s">
        <v>128</v>
      </c>
      <c r="C678" s="138" t="s">
        <v>135</v>
      </c>
      <c r="D678" s="144">
        <v>0</v>
      </c>
      <c r="E678" s="144">
        <v>0</v>
      </c>
      <c r="F678" s="144">
        <v>0</v>
      </c>
      <c r="G678" s="291">
        <v>0</v>
      </c>
      <c r="H678" s="150">
        <v>0</v>
      </c>
      <c r="I678" s="567">
        <f t="shared" si="18"/>
        <v>0</v>
      </c>
    </row>
    <row r="679" spans="1:9" x14ac:dyDescent="0.15">
      <c r="A679" s="138"/>
      <c r="B679" s="521" t="s">
        <v>132</v>
      </c>
      <c r="C679" s="138" t="s">
        <v>1617</v>
      </c>
      <c r="D679" s="144">
        <v>0</v>
      </c>
      <c r="E679" s="144">
        <v>0</v>
      </c>
      <c r="F679" s="144">
        <v>0</v>
      </c>
      <c r="G679" s="291">
        <v>0</v>
      </c>
      <c r="H679" s="150">
        <v>0</v>
      </c>
      <c r="I679" s="567">
        <f t="shared" si="18"/>
        <v>0</v>
      </c>
    </row>
    <row r="680" spans="1:9" x14ac:dyDescent="0.15">
      <c r="A680" s="138"/>
      <c r="B680" s="521" t="s">
        <v>1618</v>
      </c>
      <c r="C680" s="138" t="s">
        <v>836</v>
      </c>
      <c r="D680" s="144">
        <v>0</v>
      </c>
      <c r="E680" s="144">
        <v>0</v>
      </c>
      <c r="F680" s="144">
        <v>0</v>
      </c>
      <c r="G680" s="291">
        <v>0</v>
      </c>
      <c r="H680" s="150">
        <v>0</v>
      </c>
      <c r="I680" s="567">
        <f t="shared" si="18"/>
        <v>0</v>
      </c>
    </row>
    <row r="681" spans="1:9" x14ac:dyDescent="0.15">
      <c r="A681" s="138"/>
      <c r="B681" s="521" t="s">
        <v>1619</v>
      </c>
      <c r="C681" s="138" t="s">
        <v>837</v>
      </c>
      <c r="D681" s="144">
        <v>0</v>
      </c>
      <c r="E681" s="144">
        <v>0</v>
      </c>
      <c r="F681" s="144">
        <v>0</v>
      </c>
      <c r="G681" s="291">
        <v>0</v>
      </c>
      <c r="H681" s="150">
        <v>0</v>
      </c>
      <c r="I681" s="567">
        <f t="shared" si="18"/>
        <v>0</v>
      </c>
    </row>
    <row r="682" spans="1:9" x14ac:dyDescent="0.15">
      <c r="A682" s="138"/>
      <c r="B682" s="521" t="s">
        <v>1620</v>
      </c>
      <c r="C682" s="138" t="s">
        <v>838</v>
      </c>
      <c r="D682" s="144">
        <v>0</v>
      </c>
      <c r="E682" s="144">
        <v>0</v>
      </c>
      <c r="F682" s="144">
        <v>0</v>
      </c>
      <c r="G682" s="291">
        <v>0</v>
      </c>
      <c r="H682" s="150">
        <v>0</v>
      </c>
      <c r="I682" s="567">
        <f t="shared" si="18"/>
        <v>0</v>
      </c>
    </row>
    <row r="683" spans="1:9" x14ac:dyDescent="0.15">
      <c r="A683" s="138"/>
      <c r="B683" s="521" t="s">
        <v>1621</v>
      </c>
      <c r="C683" s="138" t="s">
        <v>839</v>
      </c>
      <c r="D683" s="144">
        <v>0</v>
      </c>
      <c r="E683" s="144">
        <v>0</v>
      </c>
      <c r="F683" s="144">
        <v>0</v>
      </c>
      <c r="G683" s="291">
        <v>0</v>
      </c>
      <c r="H683" s="150">
        <v>0</v>
      </c>
      <c r="I683" s="567">
        <f t="shared" si="18"/>
        <v>0</v>
      </c>
    </row>
    <row r="684" spans="1:9" x14ac:dyDescent="0.15">
      <c r="A684" s="138"/>
      <c r="B684" s="521" t="s">
        <v>1622</v>
      </c>
      <c r="C684" s="138" t="s">
        <v>190</v>
      </c>
      <c r="D684" s="144">
        <v>0</v>
      </c>
      <c r="E684" s="144">
        <v>0</v>
      </c>
      <c r="F684" s="144">
        <v>0</v>
      </c>
      <c r="G684" s="291">
        <v>0</v>
      </c>
      <c r="H684" s="150">
        <v>0</v>
      </c>
      <c r="I684" s="567">
        <f t="shared" si="18"/>
        <v>0</v>
      </c>
    </row>
    <row r="685" spans="1:9" x14ac:dyDescent="0.15">
      <c r="A685" s="138"/>
      <c r="B685" s="521" t="s">
        <v>1623</v>
      </c>
      <c r="C685" s="138" t="s">
        <v>191</v>
      </c>
      <c r="D685" s="144">
        <v>0</v>
      </c>
      <c r="E685" s="144">
        <v>0</v>
      </c>
      <c r="F685" s="144">
        <v>0</v>
      </c>
      <c r="G685" s="291">
        <v>0</v>
      </c>
      <c r="H685" s="150">
        <v>0</v>
      </c>
      <c r="I685" s="567">
        <f t="shared" si="18"/>
        <v>0</v>
      </c>
    </row>
    <row r="686" spans="1:9" x14ac:dyDescent="0.15">
      <c r="A686" s="138"/>
      <c r="B686" s="521" t="s">
        <v>1624</v>
      </c>
      <c r="C686" s="138" t="s">
        <v>840</v>
      </c>
      <c r="D686" s="144">
        <v>0</v>
      </c>
      <c r="E686" s="144">
        <v>0</v>
      </c>
      <c r="F686" s="144">
        <v>0</v>
      </c>
      <c r="G686" s="291">
        <v>0</v>
      </c>
      <c r="H686" s="150">
        <v>0</v>
      </c>
      <c r="I686" s="567">
        <f t="shared" si="18"/>
        <v>0</v>
      </c>
    </row>
    <row r="687" spans="1:9" x14ac:dyDescent="0.15">
      <c r="A687" s="138"/>
      <c r="B687" s="521" t="s">
        <v>1625</v>
      </c>
      <c r="C687" s="138" t="s">
        <v>842</v>
      </c>
      <c r="D687" s="144">
        <v>0</v>
      </c>
      <c r="E687" s="144">
        <v>0</v>
      </c>
      <c r="F687" s="144">
        <v>0</v>
      </c>
      <c r="G687" s="291">
        <v>0</v>
      </c>
      <c r="H687" s="150">
        <v>0</v>
      </c>
      <c r="I687" s="567">
        <f t="shared" si="18"/>
        <v>0</v>
      </c>
    </row>
    <row r="688" spans="1:9" x14ac:dyDescent="0.15">
      <c r="A688" s="138"/>
      <c r="B688" s="521" t="s">
        <v>843</v>
      </c>
      <c r="C688" s="138" t="s">
        <v>848</v>
      </c>
      <c r="D688" s="144">
        <v>0</v>
      </c>
      <c r="E688" s="144">
        <v>0</v>
      </c>
      <c r="F688" s="144">
        <v>0</v>
      </c>
      <c r="G688" s="291">
        <v>0</v>
      </c>
      <c r="H688" s="150">
        <v>0</v>
      </c>
      <c r="I688" s="567">
        <f t="shared" si="18"/>
        <v>0</v>
      </c>
    </row>
    <row r="689" spans="1:9" x14ac:dyDescent="0.15">
      <c r="A689" s="138"/>
      <c r="B689" s="521" t="s">
        <v>844</v>
      </c>
      <c r="C689" s="138" t="s">
        <v>153</v>
      </c>
      <c r="D689" s="144">
        <v>0</v>
      </c>
      <c r="E689" s="144">
        <v>0</v>
      </c>
      <c r="F689" s="144">
        <v>0</v>
      </c>
      <c r="G689" s="291">
        <v>0</v>
      </c>
      <c r="H689" s="150">
        <v>0</v>
      </c>
      <c r="I689" s="567">
        <f t="shared" si="18"/>
        <v>0</v>
      </c>
    </row>
    <row r="690" spans="1:9" x14ac:dyDescent="0.15">
      <c r="A690" s="138"/>
      <c r="B690" s="521" t="s">
        <v>845</v>
      </c>
      <c r="C690" s="138" t="s">
        <v>154</v>
      </c>
      <c r="D690" s="144">
        <v>0</v>
      </c>
      <c r="E690" s="144">
        <v>0</v>
      </c>
      <c r="F690" s="144">
        <v>0</v>
      </c>
      <c r="G690" s="291">
        <v>0</v>
      </c>
      <c r="H690" s="150">
        <v>0</v>
      </c>
      <c r="I690" s="567">
        <f t="shared" si="18"/>
        <v>0</v>
      </c>
    </row>
    <row r="691" spans="1:9" x14ac:dyDescent="0.15">
      <c r="A691" s="138"/>
      <c r="B691" s="521" t="s">
        <v>846</v>
      </c>
      <c r="C691" s="138" t="s">
        <v>155</v>
      </c>
      <c r="D691" s="144">
        <v>0</v>
      </c>
      <c r="E691" s="144">
        <v>0</v>
      </c>
      <c r="F691" s="144">
        <v>0</v>
      </c>
      <c r="G691" s="291">
        <v>0</v>
      </c>
      <c r="H691" s="150">
        <v>0</v>
      </c>
      <c r="I691" s="567">
        <f t="shared" si="18"/>
        <v>0</v>
      </c>
    </row>
    <row r="692" spans="1:9" x14ac:dyDescent="0.15">
      <c r="A692" s="138"/>
      <c r="B692" s="521" t="s">
        <v>1582</v>
      </c>
      <c r="C692" s="138" t="s">
        <v>156</v>
      </c>
      <c r="D692" s="144">
        <v>0</v>
      </c>
      <c r="E692" s="144">
        <v>0</v>
      </c>
      <c r="F692" s="144">
        <v>0</v>
      </c>
      <c r="G692" s="291">
        <v>0</v>
      </c>
      <c r="H692" s="150">
        <v>0</v>
      </c>
      <c r="I692" s="567">
        <f t="shared" si="18"/>
        <v>0</v>
      </c>
    </row>
    <row r="693" spans="1:9" x14ac:dyDescent="0.15">
      <c r="A693" s="138"/>
      <c r="B693" s="521" t="s">
        <v>847</v>
      </c>
      <c r="C693" s="138" t="s">
        <v>157</v>
      </c>
      <c r="D693" s="144">
        <v>0</v>
      </c>
      <c r="E693" s="144">
        <v>0</v>
      </c>
      <c r="F693" s="144">
        <v>0</v>
      </c>
      <c r="G693" s="291">
        <v>0</v>
      </c>
      <c r="H693" s="150">
        <v>0</v>
      </c>
      <c r="I693" s="567">
        <f t="shared" si="18"/>
        <v>0</v>
      </c>
    </row>
    <row r="694" spans="1:9" x14ac:dyDescent="0.15">
      <c r="A694" s="138"/>
      <c r="B694" s="521" t="s">
        <v>1583</v>
      </c>
      <c r="C694" s="138" t="s">
        <v>160</v>
      </c>
      <c r="D694" s="144">
        <v>0</v>
      </c>
      <c r="E694" s="144">
        <v>0</v>
      </c>
      <c r="F694" s="144">
        <v>0</v>
      </c>
      <c r="G694" s="291">
        <v>0</v>
      </c>
      <c r="H694" s="150">
        <v>0</v>
      </c>
      <c r="I694" s="567">
        <f t="shared" si="18"/>
        <v>0</v>
      </c>
    </row>
    <row r="695" spans="1:9" x14ac:dyDescent="0.15">
      <c r="A695" s="138"/>
      <c r="B695" s="521" t="s">
        <v>634</v>
      </c>
      <c r="C695" s="138" t="s">
        <v>165</v>
      </c>
      <c r="D695" s="144">
        <v>0</v>
      </c>
      <c r="E695" s="144">
        <v>0</v>
      </c>
      <c r="F695" s="144">
        <v>0</v>
      </c>
      <c r="G695" s="291">
        <v>0</v>
      </c>
      <c r="H695" s="150">
        <v>0</v>
      </c>
      <c r="I695" s="567">
        <f t="shared" si="18"/>
        <v>0</v>
      </c>
    </row>
    <row r="696" spans="1:9" x14ac:dyDescent="0.15">
      <c r="A696" s="138"/>
      <c r="B696" s="521" t="s">
        <v>630</v>
      </c>
      <c r="C696" s="138" t="s">
        <v>172</v>
      </c>
      <c r="D696" s="144">
        <v>0</v>
      </c>
      <c r="E696" s="144">
        <v>0</v>
      </c>
      <c r="F696" s="144">
        <v>0</v>
      </c>
      <c r="G696" s="291">
        <v>0</v>
      </c>
      <c r="H696" s="150">
        <v>0</v>
      </c>
      <c r="I696" s="567">
        <f t="shared" si="18"/>
        <v>0</v>
      </c>
    </row>
    <row r="697" spans="1:9" x14ac:dyDescent="0.15">
      <c r="A697" s="138"/>
      <c r="B697" s="650" t="s">
        <v>631</v>
      </c>
      <c r="C697" s="651" t="s">
        <v>173</v>
      </c>
      <c r="D697" s="144">
        <v>0</v>
      </c>
      <c r="E697" s="144">
        <v>0</v>
      </c>
      <c r="F697" s="144">
        <v>0</v>
      </c>
      <c r="G697" s="291">
        <v>0</v>
      </c>
      <c r="H697" s="150">
        <v>0</v>
      </c>
      <c r="I697" s="567">
        <f t="shared" si="18"/>
        <v>0</v>
      </c>
    </row>
    <row r="698" spans="1:9" x14ac:dyDescent="0.15">
      <c r="A698" s="138"/>
      <c r="B698" s="521" t="s">
        <v>1584</v>
      </c>
      <c r="C698" s="138" t="s">
        <v>178</v>
      </c>
      <c r="D698" s="144">
        <v>0</v>
      </c>
      <c r="E698" s="144">
        <v>0</v>
      </c>
      <c r="F698" s="144">
        <v>0</v>
      </c>
      <c r="G698" s="291">
        <v>0</v>
      </c>
      <c r="H698" s="150">
        <v>0</v>
      </c>
      <c r="I698" s="567">
        <f t="shared" si="18"/>
        <v>0</v>
      </c>
    </row>
    <row r="699" spans="1:9" x14ac:dyDescent="0.15">
      <c r="A699" s="138"/>
      <c r="B699" s="521" t="s">
        <v>174</v>
      </c>
      <c r="C699" s="138" t="s">
        <v>179</v>
      </c>
      <c r="D699" s="144">
        <v>0</v>
      </c>
      <c r="E699" s="144">
        <v>0</v>
      </c>
      <c r="F699" s="144">
        <v>0</v>
      </c>
      <c r="G699" s="291">
        <v>0</v>
      </c>
      <c r="H699" s="150">
        <v>0</v>
      </c>
      <c r="I699" s="567">
        <f t="shared" si="18"/>
        <v>0</v>
      </c>
    </row>
    <row r="700" spans="1:9" x14ac:dyDescent="0.15">
      <c r="A700" s="138"/>
      <c r="B700" s="521" t="s">
        <v>175</v>
      </c>
      <c r="C700" s="138" t="s">
        <v>180</v>
      </c>
      <c r="D700" s="144">
        <v>0</v>
      </c>
      <c r="E700" s="144">
        <v>0</v>
      </c>
      <c r="F700" s="144">
        <v>0</v>
      </c>
      <c r="G700" s="291">
        <v>0</v>
      </c>
      <c r="H700" s="150">
        <v>0</v>
      </c>
      <c r="I700" s="567">
        <f t="shared" si="18"/>
        <v>0</v>
      </c>
    </row>
    <row r="701" spans="1:9" ht="11.25" thickBot="1" x14ac:dyDescent="0.2">
      <c r="A701" s="138"/>
      <c r="B701" s="521" t="s">
        <v>176</v>
      </c>
      <c r="C701" s="138" t="s">
        <v>181</v>
      </c>
      <c r="D701" s="144">
        <v>0</v>
      </c>
      <c r="E701" s="144">
        <v>0</v>
      </c>
      <c r="F701" s="144">
        <v>0</v>
      </c>
      <c r="G701" s="291">
        <v>0</v>
      </c>
      <c r="H701" s="150">
        <v>0</v>
      </c>
      <c r="I701" s="567">
        <f t="shared" si="18"/>
        <v>0</v>
      </c>
    </row>
    <row r="702" spans="1:9" ht="12" thickTop="1" thickBot="1" x14ac:dyDescent="0.2">
      <c r="A702" s="138"/>
      <c r="B702" s="521"/>
      <c r="C702" s="138" t="s">
        <v>146</v>
      </c>
      <c r="D702" s="169">
        <f>SUM(D668:D701)</f>
        <v>0</v>
      </c>
      <c r="E702" s="169">
        <f>SUM(E668:E701)</f>
        <v>0</v>
      </c>
      <c r="F702" s="169">
        <f>SUM(F668:F701)</f>
        <v>0</v>
      </c>
      <c r="G702" s="169">
        <f>SUM(G668:G701)</f>
        <v>0</v>
      </c>
      <c r="H702" s="169">
        <f>SUM(H668:H701)</f>
        <v>0</v>
      </c>
      <c r="I702" s="169">
        <f t="shared" si="18"/>
        <v>0</v>
      </c>
    </row>
    <row r="703" spans="1:9" ht="11.25" thickTop="1" x14ac:dyDescent="0.15">
      <c r="A703" s="138"/>
      <c r="B703" s="138"/>
      <c r="C703" s="138"/>
      <c r="D703" s="14"/>
      <c r="E703" s="14"/>
      <c r="F703" s="14"/>
      <c r="G703" s="14"/>
      <c r="H703" s="14"/>
      <c r="I703" s="563"/>
    </row>
    <row r="704" spans="1:9" x14ac:dyDescent="0.15">
      <c r="A704" s="522" t="s">
        <v>334</v>
      </c>
      <c r="B704" s="138"/>
      <c r="C704" s="138"/>
      <c r="D704" s="14"/>
      <c r="E704" s="14"/>
      <c r="F704" s="14"/>
      <c r="G704" s="14"/>
      <c r="H704" s="14"/>
      <c r="I704" s="563"/>
    </row>
    <row r="705" spans="1:10" s="434" customFormat="1" x14ac:dyDescent="0.15">
      <c r="B705" s="523" t="s">
        <v>1577</v>
      </c>
      <c r="C705" s="524" t="s">
        <v>228</v>
      </c>
      <c r="D705" s="316">
        <v>0</v>
      </c>
      <c r="E705" s="316">
        <v>0</v>
      </c>
      <c r="F705" s="316">
        <v>0</v>
      </c>
      <c r="G705" s="528">
        <f t="array" ref="G705">SUM(IF(CertFund&amp;CertProg&amp;CertObj=RIGHT(LEFT($A$2,7),2)&amp;LEFT(A704,4)&amp;B705,CertSalary))</f>
        <v>0</v>
      </c>
      <c r="H705" s="527">
        <v>0</v>
      </c>
      <c r="I705" s="566">
        <f t="shared" ref="I705:I738" si="19">SUM(G705+H705)</f>
        <v>0</v>
      </c>
    </row>
    <row r="706" spans="1:10" s="434" customFormat="1" x14ac:dyDescent="0.15">
      <c r="B706" s="523" t="s">
        <v>1577</v>
      </c>
      <c r="C706" s="524" t="s">
        <v>510</v>
      </c>
      <c r="D706" s="316">
        <v>0</v>
      </c>
      <c r="E706" s="316">
        <v>0</v>
      </c>
      <c r="F706" s="316">
        <v>0</v>
      </c>
      <c r="G706" s="316">
        <v>0</v>
      </c>
      <c r="H706" s="527">
        <v>0</v>
      </c>
      <c r="I706" s="566">
        <f t="shared" si="19"/>
        <v>0</v>
      </c>
    </row>
    <row r="707" spans="1:10" s="434" customFormat="1" x14ac:dyDescent="0.15">
      <c r="A707" s="524"/>
      <c r="B707" s="523" t="s">
        <v>1578</v>
      </c>
      <c r="C707" s="524" t="s">
        <v>936</v>
      </c>
      <c r="D707" s="316">
        <v>0</v>
      </c>
      <c r="E707" s="316">
        <v>0</v>
      </c>
      <c r="F707" s="316">
        <v>0</v>
      </c>
      <c r="G707" s="529">
        <f t="array" ref="G707">SUM(IF(CertFund&amp;CertProg&amp;CertObj=RIGHT(LEFT($A$2,7),2)&amp;LEFT(A704,4)&amp;B705,CertBen))</f>
        <v>0</v>
      </c>
      <c r="H707" s="527">
        <v>0</v>
      </c>
      <c r="I707" s="566">
        <f t="shared" si="19"/>
        <v>0</v>
      </c>
    </row>
    <row r="708" spans="1:10" x14ac:dyDescent="0.15">
      <c r="A708" s="138"/>
      <c r="B708" s="521" t="s">
        <v>1578</v>
      </c>
      <c r="C708" s="138" t="s">
        <v>511</v>
      </c>
      <c r="D708" s="147">
        <v>0</v>
      </c>
      <c r="E708" s="147">
        <v>0</v>
      </c>
      <c r="F708" s="147">
        <v>0</v>
      </c>
      <c r="G708" s="147">
        <v>0</v>
      </c>
      <c r="H708" s="150">
        <v>0</v>
      </c>
      <c r="I708" s="567">
        <f t="shared" si="19"/>
        <v>0</v>
      </c>
      <c r="J708" s="434"/>
    </row>
    <row r="709" spans="1:10" x14ac:dyDescent="0.15">
      <c r="A709" s="138"/>
      <c r="B709" s="521" t="s">
        <v>1579</v>
      </c>
      <c r="C709" s="138" t="s">
        <v>118</v>
      </c>
      <c r="D709" s="144">
        <v>0</v>
      </c>
      <c r="E709" s="144">
        <v>0</v>
      </c>
      <c r="F709" s="144">
        <v>0</v>
      </c>
      <c r="G709" s="291">
        <v>0</v>
      </c>
      <c r="H709" s="150">
        <v>0</v>
      </c>
      <c r="I709" s="567">
        <f t="shared" si="19"/>
        <v>0</v>
      </c>
    </row>
    <row r="710" spans="1:10" x14ac:dyDescent="0.15">
      <c r="A710" s="138"/>
      <c r="B710" s="521" t="s">
        <v>1580</v>
      </c>
      <c r="C710" s="138" t="s">
        <v>119</v>
      </c>
      <c r="D710" s="144">
        <v>0</v>
      </c>
      <c r="E710" s="144">
        <v>0</v>
      </c>
      <c r="F710" s="144">
        <v>0</v>
      </c>
      <c r="G710" s="291">
        <v>0</v>
      </c>
      <c r="H710" s="150">
        <v>0</v>
      </c>
      <c r="I710" s="567">
        <f t="shared" si="19"/>
        <v>0</v>
      </c>
    </row>
    <row r="711" spans="1:10" x14ac:dyDescent="0.15">
      <c r="A711" s="138"/>
      <c r="B711" s="521" t="s">
        <v>120</v>
      </c>
      <c r="C711" s="138" t="s">
        <v>121</v>
      </c>
      <c r="D711" s="144">
        <v>0</v>
      </c>
      <c r="E711" s="144">
        <v>0</v>
      </c>
      <c r="F711" s="144">
        <v>0</v>
      </c>
      <c r="G711" s="291">
        <v>0</v>
      </c>
      <c r="H711" s="150">
        <v>0</v>
      </c>
      <c r="I711" s="567">
        <f t="shared" si="19"/>
        <v>0</v>
      </c>
    </row>
    <row r="712" spans="1:10" x14ac:dyDescent="0.15">
      <c r="A712" s="138"/>
      <c r="B712" s="521" t="s">
        <v>122</v>
      </c>
      <c r="C712" s="138" t="s">
        <v>123</v>
      </c>
      <c r="D712" s="144">
        <v>0</v>
      </c>
      <c r="E712" s="144">
        <v>0</v>
      </c>
      <c r="F712" s="144">
        <v>0</v>
      </c>
      <c r="G712" s="291">
        <v>0</v>
      </c>
      <c r="H712" s="150">
        <v>0</v>
      </c>
      <c r="I712" s="567">
        <f t="shared" si="19"/>
        <v>0</v>
      </c>
    </row>
    <row r="713" spans="1:10" x14ac:dyDescent="0.15">
      <c r="A713" s="138"/>
      <c r="B713" s="521" t="s">
        <v>1581</v>
      </c>
      <c r="C713" s="138" t="s">
        <v>124</v>
      </c>
      <c r="D713" s="144">
        <v>0</v>
      </c>
      <c r="E713" s="144">
        <v>0</v>
      </c>
      <c r="F713" s="144">
        <v>0</v>
      </c>
      <c r="G713" s="291">
        <v>0</v>
      </c>
      <c r="H713" s="150">
        <v>0</v>
      </c>
      <c r="I713" s="567">
        <f t="shared" si="19"/>
        <v>0</v>
      </c>
    </row>
    <row r="714" spans="1:10" x14ac:dyDescent="0.15">
      <c r="A714" s="138"/>
      <c r="B714" s="521" t="s">
        <v>127</v>
      </c>
      <c r="C714" s="138" t="s">
        <v>134</v>
      </c>
      <c r="D714" s="144">
        <v>0</v>
      </c>
      <c r="E714" s="144">
        <v>0</v>
      </c>
      <c r="F714" s="144">
        <v>0</v>
      </c>
      <c r="G714" s="291">
        <v>0</v>
      </c>
      <c r="H714" s="150">
        <v>0</v>
      </c>
      <c r="I714" s="567">
        <f t="shared" si="19"/>
        <v>0</v>
      </c>
    </row>
    <row r="715" spans="1:10" x14ac:dyDescent="0.15">
      <c r="A715" s="138"/>
      <c r="B715" s="521" t="s">
        <v>128</v>
      </c>
      <c r="C715" s="138" t="s">
        <v>135</v>
      </c>
      <c r="D715" s="144">
        <v>0</v>
      </c>
      <c r="E715" s="144">
        <v>0</v>
      </c>
      <c r="F715" s="144">
        <v>0</v>
      </c>
      <c r="G715" s="291">
        <v>0</v>
      </c>
      <c r="H715" s="150">
        <v>0</v>
      </c>
      <c r="I715" s="567">
        <f t="shared" si="19"/>
        <v>0</v>
      </c>
    </row>
    <row r="716" spans="1:10" x14ac:dyDescent="0.15">
      <c r="A716" s="138"/>
      <c r="B716" s="521" t="s">
        <v>132</v>
      </c>
      <c r="C716" s="138" t="s">
        <v>1617</v>
      </c>
      <c r="D716" s="144">
        <v>0</v>
      </c>
      <c r="E716" s="144">
        <v>0</v>
      </c>
      <c r="F716" s="144">
        <v>0</v>
      </c>
      <c r="G716" s="291">
        <v>0</v>
      </c>
      <c r="H716" s="150">
        <v>0</v>
      </c>
      <c r="I716" s="567">
        <f t="shared" si="19"/>
        <v>0</v>
      </c>
    </row>
    <row r="717" spans="1:10" x14ac:dyDescent="0.15">
      <c r="A717" s="138"/>
      <c r="B717" s="521" t="s">
        <v>1618</v>
      </c>
      <c r="C717" s="138" t="s">
        <v>836</v>
      </c>
      <c r="D717" s="144">
        <v>0</v>
      </c>
      <c r="E717" s="144">
        <v>0</v>
      </c>
      <c r="F717" s="144">
        <v>0</v>
      </c>
      <c r="G717" s="291">
        <v>0</v>
      </c>
      <c r="H717" s="150">
        <v>0</v>
      </c>
      <c r="I717" s="567">
        <f t="shared" si="19"/>
        <v>0</v>
      </c>
    </row>
    <row r="718" spans="1:10" x14ac:dyDescent="0.15">
      <c r="A718" s="138"/>
      <c r="B718" s="521" t="s">
        <v>1619</v>
      </c>
      <c r="C718" s="138" t="s">
        <v>837</v>
      </c>
      <c r="D718" s="144">
        <v>0</v>
      </c>
      <c r="E718" s="144">
        <v>0</v>
      </c>
      <c r="F718" s="144">
        <v>0</v>
      </c>
      <c r="G718" s="291">
        <v>0</v>
      </c>
      <c r="H718" s="150">
        <v>0</v>
      </c>
      <c r="I718" s="567">
        <f t="shared" si="19"/>
        <v>0</v>
      </c>
    </row>
    <row r="719" spans="1:10" x14ac:dyDescent="0.15">
      <c r="A719" s="138"/>
      <c r="B719" s="521" t="s">
        <v>1620</v>
      </c>
      <c r="C719" s="138" t="s">
        <v>838</v>
      </c>
      <c r="D719" s="144">
        <v>0</v>
      </c>
      <c r="E719" s="144">
        <v>0</v>
      </c>
      <c r="F719" s="144">
        <v>0</v>
      </c>
      <c r="G719" s="291">
        <v>0</v>
      </c>
      <c r="H719" s="150">
        <v>0</v>
      </c>
      <c r="I719" s="567">
        <f t="shared" si="19"/>
        <v>0</v>
      </c>
    </row>
    <row r="720" spans="1:10" x14ac:dyDescent="0.15">
      <c r="A720" s="138"/>
      <c r="B720" s="521" t="s">
        <v>1621</v>
      </c>
      <c r="C720" s="138" t="s">
        <v>839</v>
      </c>
      <c r="D720" s="144">
        <v>0</v>
      </c>
      <c r="E720" s="144">
        <v>0</v>
      </c>
      <c r="F720" s="144">
        <v>0</v>
      </c>
      <c r="G720" s="291">
        <v>0</v>
      </c>
      <c r="H720" s="150">
        <v>0</v>
      </c>
      <c r="I720" s="567">
        <f t="shared" si="19"/>
        <v>0</v>
      </c>
    </row>
    <row r="721" spans="1:9" x14ac:dyDescent="0.15">
      <c r="A721" s="138"/>
      <c r="B721" s="521" t="s">
        <v>1622</v>
      </c>
      <c r="C721" s="138" t="s">
        <v>190</v>
      </c>
      <c r="D721" s="144">
        <v>0</v>
      </c>
      <c r="E721" s="144">
        <v>0</v>
      </c>
      <c r="F721" s="144">
        <v>0</v>
      </c>
      <c r="G721" s="291">
        <v>0</v>
      </c>
      <c r="H721" s="150">
        <v>0</v>
      </c>
      <c r="I721" s="567">
        <f t="shared" si="19"/>
        <v>0</v>
      </c>
    </row>
    <row r="722" spans="1:9" x14ac:dyDescent="0.15">
      <c r="A722" s="138"/>
      <c r="B722" s="521" t="s">
        <v>1623</v>
      </c>
      <c r="C722" s="138" t="s">
        <v>191</v>
      </c>
      <c r="D722" s="144">
        <v>0</v>
      </c>
      <c r="E722" s="144">
        <v>0</v>
      </c>
      <c r="F722" s="144">
        <v>0</v>
      </c>
      <c r="G722" s="291">
        <v>0</v>
      </c>
      <c r="H722" s="150">
        <v>0</v>
      </c>
      <c r="I722" s="567">
        <f t="shared" si="19"/>
        <v>0</v>
      </c>
    </row>
    <row r="723" spans="1:9" x14ac:dyDescent="0.15">
      <c r="A723" s="138"/>
      <c r="B723" s="521" t="s">
        <v>1624</v>
      </c>
      <c r="C723" s="138" t="s">
        <v>840</v>
      </c>
      <c r="D723" s="144">
        <v>0</v>
      </c>
      <c r="E723" s="144">
        <v>0</v>
      </c>
      <c r="F723" s="144">
        <v>0</v>
      </c>
      <c r="G723" s="291">
        <v>0</v>
      </c>
      <c r="H723" s="150">
        <v>0</v>
      </c>
      <c r="I723" s="567">
        <f t="shared" si="19"/>
        <v>0</v>
      </c>
    </row>
    <row r="724" spans="1:9" x14ac:dyDescent="0.15">
      <c r="A724" s="138"/>
      <c r="B724" s="521" t="s">
        <v>1625</v>
      </c>
      <c r="C724" s="138" t="s">
        <v>842</v>
      </c>
      <c r="D724" s="144">
        <v>0</v>
      </c>
      <c r="E724" s="144">
        <v>0</v>
      </c>
      <c r="F724" s="144">
        <v>0</v>
      </c>
      <c r="G724" s="291">
        <v>0</v>
      </c>
      <c r="H724" s="150">
        <v>0</v>
      </c>
      <c r="I724" s="567">
        <f t="shared" si="19"/>
        <v>0</v>
      </c>
    </row>
    <row r="725" spans="1:9" x14ac:dyDescent="0.15">
      <c r="A725" s="138"/>
      <c r="B725" s="521" t="s">
        <v>843</v>
      </c>
      <c r="C725" s="138" t="s">
        <v>848</v>
      </c>
      <c r="D725" s="144">
        <v>0</v>
      </c>
      <c r="E725" s="144">
        <v>0</v>
      </c>
      <c r="F725" s="144">
        <v>0</v>
      </c>
      <c r="G725" s="291">
        <v>0</v>
      </c>
      <c r="H725" s="150">
        <v>0</v>
      </c>
      <c r="I725" s="567">
        <f t="shared" si="19"/>
        <v>0</v>
      </c>
    </row>
    <row r="726" spans="1:9" x14ac:dyDescent="0.15">
      <c r="A726" s="138"/>
      <c r="B726" s="521" t="s">
        <v>844</v>
      </c>
      <c r="C726" s="138" t="s">
        <v>153</v>
      </c>
      <c r="D726" s="144">
        <v>0</v>
      </c>
      <c r="E726" s="144">
        <v>0</v>
      </c>
      <c r="F726" s="144">
        <v>0</v>
      </c>
      <c r="G726" s="291">
        <v>0</v>
      </c>
      <c r="H726" s="150">
        <v>0</v>
      </c>
      <c r="I726" s="567">
        <f t="shared" si="19"/>
        <v>0</v>
      </c>
    </row>
    <row r="727" spans="1:9" x14ac:dyDescent="0.15">
      <c r="A727" s="138"/>
      <c r="B727" s="521" t="s">
        <v>845</v>
      </c>
      <c r="C727" s="138" t="s">
        <v>154</v>
      </c>
      <c r="D727" s="144">
        <v>0</v>
      </c>
      <c r="E727" s="144">
        <v>0</v>
      </c>
      <c r="F727" s="144">
        <v>0</v>
      </c>
      <c r="G727" s="291">
        <v>0</v>
      </c>
      <c r="H727" s="150">
        <v>0</v>
      </c>
      <c r="I727" s="567">
        <f t="shared" si="19"/>
        <v>0</v>
      </c>
    </row>
    <row r="728" spans="1:9" x14ac:dyDescent="0.15">
      <c r="A728" s="138"/>
      <c r="B728" s="521" t="s">
        <v>846</v>
      </c>
      <c r="C728" s="138" t="s">
        <v>155</v>
      </c>
      <c r="D728" s="144">
        <v>0</v>
      </c>
      <c r="E728" s="144">
        <v>0</v>
      </c>
      <c r="F728" s="144">
        <v>0</v>
      </c>
      <c r="G728" s="291">
        <v>0</v>
      </c>
      <c r="H728" s="150">
        <v>0</v>
      </c>
      <c r="I728" s="567">
        <f t="shared" si="19"/>
        <v>0</v>
      </c>
    </row>
    <row r="729" spans="1:9" x14ac:dyDescent="0.15">
      <c r="A729" s="138"/>
      <c r="B729" s="521" t="s">
        <v>1582</v>
      </c>
      <c r="C729" s="138" t="s">
        <v>156</v>
      </c>
      <c r="D729" s="144">
        <v>0</v>
      </c>
      <c r="E729" s="144">
        <v>0</v>
      </c>
      <c r="F729" s="144">
        <v>0</v>
      </c>
      <c r="G729" s="291">
        <v>0</v>
      </c>
      <c r="H729" s="150">
        <v>0</v>
      </c>
      <c r="I729" s="567">
        <f t="shared" si="19"/>
        <v>0</v>
      </c>
    </row>
    <row r="730" spans="1:9" x14ac:dyDescent="0.15">
      <c r="A730" s="138"/>
      <c r="B730" s="521" t="s">
        <v>847</v>
      </c>
      <c r="C730" s="138" t="s">
        <v>157</v>
      </c>
      <c r="D730" s="144">
        <v>0</v>
      </c>
      <c r="E730" s="144">
        <v>0</v>
      </c>
      <c r="F730" s="144">
        <v>0</v>
      </c>
      <c r="G730" s="291">
        <v>0</v>
      </c>
      <c r="H730" s="150">
        <v>0</v>
      </c>
      <c r="I730" s="567">
        <f t="shared" si="19"/>
        <v>0</v>
      </c>
    </row>
    <row r="731" spans="1:9" x14ac:dyDescent="0.15">
      <c r="A731" s="138"/>
      <c r="B731" s="521" t="s">
        <v>1583</v>
      </c>
      <c r="C731" s="138" t="s">
        <v>160</v>
      </c>
      <c r="D731" s="144">
        <v>0</v>
      </c>
      <c r="E731" s="144">
        <v>0</v>
      </c>
      <c r="F731" s="144">
        <v>0</v>
      </c>
      <c r="G731" s="291">
        <v>0</v>
      </c>
      <c r="H731" s="150">
        <v>0</v>
      </c>
      <c r="I731" s="567">
        <f t="shared" si="19"/>
        <v>0</v>
      </c>
    </row>
    <row r="732" spans="1:9" x14ac:dyDescent="0.15">
      <c r="A732" s="138"/>
      <c r="B732" s="521" t="s">
        <v>634</v>
      </c>
      <c r="C732" s="138" t="s">
        <v>165</v>
      </c>
      <c r="D732" s="144">
        <v>0</v>
      </c>
      <c r="E732" s="144">
        <v>0</v>
      </c>
      <c r="F732" s="144">
        <v>0</v>
      </c>
      <c r="G732" s="291">
        <v>0</v>
      </c>
      <c r="H732" s="150">
        <v>0</v>
      </c>
      <c r="I732" s="567">
        <f t="shared" si="19"/>
        <v>0</v>
      </c>
    </row>
    <row r="733" spans="1:9" x14ac:dyDescent="0.15">
      <c r="A733" s="138"/>
      <c r="B733" s="521" t="s">
        <v>630</v>
      </c>
      <c r="C733" s="138" t="s">
        <v>172</v>
      </c>
      <c r="D733" s="144">
        <v>0</v>
      </c>
      <c r="E733" s="144">
        <v>0</v>
      </c>
      <c r="F733" s="144">
        <v>0</v>
      </c>
      <c r="G733" s="291">
        <v>0</v>
      </c>
      <c r="H733" s="150">
        <v>0</v>
      </c>
      <c r="I733" s="567">
        <f t="shared" si="19"/>
        <v>0</v>
      </c>
    </row>
    <row r="734" spans="1:9" x14ac:dyDescent="0.15">
      <c r="A734" s="138"/>
      <c r="B734" s="650" t="s">
        <v>631</v>
      </c>
      <c r="C734" s="651" t="s">
        <v>173</v>
      </c>
      <c r="D734" s="144">
        <v>0</v>
      </c>
      <c r="E734" s="144">
        <v>0</v>
      </c>
      <c r="F734" s="144">
        <v>0</v>
      </c>
      <c r="G734" s="291">
        <v>0</v>
      </c>
      <c r="H734" s="150">
        <v>0</v>
      </c>
      <c r="I734" s="567">
        <f t="shared" si="19"/>
        <v>0</v>
      </c>
    </row>
    <row r="735" spans="1:9" x14ac:dyDescent="0.15">
      <c r="A735" s="138"/>
      <c r="B735" s="521" t="s">
        <v>1584</v>
      </c>
      <c r="C735" s="138" t="s">
        <v>178</v>
      </c>
      <c r="D735" s="144">
        <v>0</v>
      </c>
      <c r="E735" s="144">
        <v>0</v>
      </c>
      <c r="F735" s="144">
        <v>0</v>
      </c>
      <c r="G735" s="291">
        <v>0</v>
      </c>
      <c r="H735" s="150">
        <v>0</v>
      </c>
      <c r="I735" s="567">
        <f t="shared" si="19"/>
        <v>0</v>
      </c>
    </row>
    <row r="736" spans="1:9" x14ac:dyDescent="0.15">
      <c r="A736" s="138"/>
      <c r="B736" s="521" t="s">
        <v>174</v>
      </c>
      <c r="C736" s="138" t="s">
        <v>179</v>
      </c>
      <c r="D736" s="144">
        <v>0</v>
      </c>
      <c r="E736" s="144">
        <v>0</v>
      </c>
      <c r="F736" s="144">
        <v>0</v>
      </c>
      <c r="G736" s="291">
        <v>0</v>
      </c>
      <c r="H736" s="150">
        <v>0</v>
      </c>
      <c r="I736" s="567">
        <f t="shared" si="19"/>
        <v>0</v>
      </c>
    </row>
    <row r="737" spans="1:10" x14ac:dyDescent="0.15">
      <c r="A737" s="138"/>
      <c r="B737" s="521" t="s">
        <v>175</v>
      </c>
      <c r="C737" s="138" t="s">
        <v>180</v>
      </c>
      <c r="D737" s="144">
        <v>0</v>
      </c>
      <c r="E737" s="144">
        <v>0</v>
      </c>
      <c r="F737" s="144">
        <v>0</v>
      </c>
      <c r="G737" s="291">
        <v>0</v>
      </c>
      <c r="H737" s="150">
        <v>0</v>
      </c>
      <c r="I737" s="567">
        <f t="shared" si="19"/>
        <v>0</v>
      </c>
    </row>
    <row r="738" spans="1:10" ht="11.25" thickBot="1" x14ac:dyDescent="0.2">
      <c r="A738" s="138"/>
      <c r="B738" s="521" t="s">
        <v>176</v>
      </c>
      <c r="C738" s="138" t="s">
        <v>181</v>
      </c>
      <c r="D738" s="144">
        <v>0</v>
      </c>
      <c r="E738" s="144">
        <v>0</v>
      </c>
      <c r="F738" s="144">
        <v>0</v>
      </c>
      <c r="G738" s="291">
        <v>0</v>
      </c>
      <c r="H738" s="150">
        <v>0</v>
      </c>
      <c r="I738" s="567">
        <f t="shared" si="19"/>
        <v>0</v>
      </c>
    </row>
    <row r="739" spans="1:10" ht="12" thickTop="1" thickBot="1" x14ac:dyDescent="0.2">
      <c r="A739" s="138"/>
      <c r="B739" s="521"/>
      <c r="C739" s="138" t="s">
        <v>373</v>
      </c>
      <c r="D739" s="169">
        <f>SUM(D705:D738)</f>
        <v>0</v>
      </c>
      <c r="E739" s="169">
        <f>SUM(E705:E738)</f>
        <v>0</v>
      </c>
      <c r="F739" s="169">
        <f>SUM(F705:F738)</f>
        <v>0</v>
      </c>
      <c r="G739" s="169">
        <f>SUM(G705:G738)</f>
        <v>0</v>
      </c>
      <c r="H739" s="169">
        <f>SUM(H705:H738)</f>
        <v>0</v>
      </c>
      <c r="I739" s="169">
        <f>SUM(G739+H739)</f>
        <v>0</v>
      </c>
    </row>
    <row r="740" spans="1:10" ht="11.25" thickTop="1" x14ac:dyDescent="0.15">
      <c r="A740" s="138"/>
      <c r="B740" s="138"/>
      <c r="C740" s="138"/>
      <c r="D740" s="14"/>
      <c r="E740" s="14"/>
      <c r="F740" s="14"/>
      <c r="G740" s="14"/>
      <c r="H740" s="14"/>
      <c r="I740" s="563"/>
    </row>
    <row r="741" spans="1:10" x14ac:dyDescent="0.15">
      <c r="A741" s="522" t="s">
        <v>374</v>
      </c>
      <c r="B741" s="138"/>
      <c r="C741" s="138"/>
      <c r="D741" s="14"/>
      <c r="E741" s="14"/>
      <c r="F741" s="14"/>
      <c r="G741" s="14"/>
      <c r="H741" s="14"/>
      <c r="I741" s="563"/>
    </row>
    <row r="742" spans="1:10" s="434" customFormat="1" x14ac:dyDescent="0.15">
      <c r="B742" s="523" t="s">
        <v>1577</v>
      </c>
      <c r="C742" s="524" t="s">
        <v>228</v>
      </c>
      <c r="D742" s="316">
        <v>0</v>
      </c>
      <c r="E742" s="316">
        <v>0</v>
      </c>
      <c r="F742" s="316">
        <v>0</v>
      </c>
      <c r="G742" s="528">
        <f t="array" ref="G742">SUM(IF(CertFund&amp;CertProg&amp;CertObj=RIGHT(LEFT($A$2,7),2)&amp;LEFT(A741,4)&amp;B742,CertSalary))</f>
        <v>0</v>
      </c>
      <c r="H742" s="527">
        <v>0</v>
      </c>
      <c r="I742" s="566">
        <f t="shared" ref="I742:I775" si="20">SUM(G742+H742)</f>
        <v>0</v>
      </c>
    </row>
    <row r="743" spans="1:10" s="434" customFormat="1" x14ac:dyDescent="0.15">
      <c r="B743" s="523" t="s">
        <v>1577</v>
      </c>
      <c r="C743" s="524" t="s">
        <v>510</v>
      </c>
      <c r="D743" s="316">
        <v>0</v>
      </c>
      <c r="E743" s="316">
        <v>0</v>
      </c>
      <c r="F743" s="316">
        <v>0</v>
      </c>
      <c r="G743" s="316">
        <v>0</v>
      </c>
      <c r="H743" s="527">
        <v>0</v>
      </c>
      <c r="I743" s="566">
        <f t="shared" si="20"/>
        <v>0</v>
      </c>
    </row>
    <row r="744" spans="1:10" s="434" customFormat="1" x14ac:dyDescent="0.15">
      <c r="A744" s="524"/>
      <c r="B744" s="523" t="s">
        <v>1578</v>
      </c>
      <c r="C744" s="524" t="s">
        <v>936</v>
      </c>
      <c r="D744" s="316">
        <v>0</v>
      </c>
      <c r="E744" s="316">
        <v>0</v>
      </c>
      <c r="F744" s="316">
        <v>0</v>
      </c>
      <c r="G744" s="529">
        <f t="array" ref="G744">SUM(IF(CertFund&amp;CertProg&amp;CertObj=RIGHT(LEFT($A$2,7),2)&amp;LEFT(A741,4)&amp;B742,CertBen))</f>
        <v>0</v>
      </c>
      <c r="H744" s="527">
        <v>0</v>
      </c>
      <c r="I744" s="566">
        <f t="shared" si="20"/>
        <v>0</v>
      </c>
    </row>
    <row r="745" spans="1:10" x14ac:dyDescent="0.15">
      <c r="A745" s="138"/>
      <c r="B745" s="521" t="s">
        <v>1578</v>
      </c>
      <c r="C745" s="138" t="s">
        <v>511</v>
      </c>
      <c r="D745" s="147">
        <v>0</v>
      </c>
      <c r="E745" s="147">
        <v>0</v>
      </c>
      <c r="F745" s="147">
        <v>0</v>
      </c>
      <c r="G745" s="147">
        <v>0</v>
      </c>
      <c r="H745" s="150">
        <v>0</v>
      </c>
      <c r="I745" s="567">
        <f t="shared" si="20"/>
        <v>0</v>
      </c>
      <c r="J745" s="434"/>
    </row>
    <row r="746" spans="1:10" x14ac:dyDescent="0.15">
      <c r="A746" s="138"/>
      <c r="B746" s="521" t="s">
        <v>1579</v>
      </c>
      <c r="C746" s="138" t="s">
        <v>118</v>
      </c>
      <c r="D746" s="144">
        <v>0</v>
      </c>
      <c r="E746" s="144">
        <v>0</v>
      </c>
      <c r="F746" s="144">
        <v>0</v>
      </c>
      <c r="G746" s="291">
        <v>0</v>
      </c>
      <c r="H746" s="150">
        <v>0</v>
      </c>
      <c r="I746" s="567">
        <f t="shared" si="20"/>
        <v>0</v>
      </c>
    </row>
    <row r="747" spans="1:10" x14ac:dyDescent="0.15">
      <c r="A747" s="138"/>
      <c r="B747" s="521" t="s">
        <v>1580</v>
      </c>
      <c r="C747" s="138" t="s">
        <v>119</v>
      </c>
      <c r="D747" s="144">
        <v>0</v>
      </c>
      <c r="E747" s="144">
        <v>0</v>
      </c>
      <c r="F747" s="144">
        <v>0</v>
      </c>
      <c r="G747" s="291">
        <v>0</v>
      </c>
      <c r="H747" s="150">
        <v>0</v>
      </c>
      <c r="I747" s="567">
        <f t="shared" si="20"/>
        <v>0</v>
      </c>
    </row>
    <row r="748" spans="1:10" x14ac:dyDescent="0.15">
      <c r="A748" s="138"/>
      <c r="B748" s="521" t="s">
        <v>120</v>
      </c>
      <c r="C748" s="138" t="s">
        <v>121</v>
      </c>
      <c r="D748" s="144">
        <v>0</v>
      </c>
      <c r="E748" s="144">
        <v>0</v>
      </c>
      <c r="F748" s="144">
        <v>0</v>
      </c>
      <c r="G748" s="291">
        <v>0</v>
      </c>
      <c r="H748" s="150">
        <v>0</v>
      </c>
      <c r="I748" s="567">
        <f t="shared" si="20"/>
        <v>0</v>
      </c>
    </row>
    <row r="749" spans="1:10" x14ac:dyDescent="0.15">
      <c r="A749" s="138"/>
      <c r="B749" s="521" t="s">
        <v>122</v>
      </c>
      <c r="C749" s="138" t="s">
        <v>123</v>
      </c>
      <c r="D749" s="144">
        <v>0</v>
      </c>
      <c r="E749" s="144">
        <v>0</v>
      </c>
      <c r="F749" s="144">
        <v>0</v>
      </c>
      <c r="G749" s="291">
        <v>0</v>
      </c>
      <c r="H749" s="150">
        <v>0</v>
      </c>
      <c r="I749" s="567">
        <f t="shared" si="20"/>
        <v>0</v>
      </c>
    </row>
    <row r="750" spans="1:10" x14ac:dyDescent="0.15">
      <c r="A750" s="138"/>
      <c r="B750" s="521" t="s">
        <v>1581</v>
      </c>
      <c r="C750" s="138" t="s">
        <v>124</v>
      </c>
      <c r="D750" s="144">
        <v>0</v>
      </c>
      <c r="E750" s="144">
        <v>0</v>
      </c>
      <c r="F750" s="144">
        <v>0</v>
      </c>
      <c r="G750" s="291">
        <v>0</v>
      </c>
      <c r="H750" s="150">
        <v>0</v>
      </c>
      <c r="I750" s="567">
        <f t="shared" si="20"/>
        <v>0</v>
      </c>
    </row>
    <row r="751" spans="1:10" x14ac:dyDescent="0.15">
      <c r="A751" s="138"/>
      <c r="B751" s="521" t="s">
        <v>127</v>
      </c>
      <c r="C751" s="138" t="s">
        <v>134</v>
      </c>
      <c r="D751" s="144">
        <v>0</v>
      </c>
      <c r="E751" s="144">
        <v>0</v>
      </c>
      <c r="F751" s="144">
        <v>0</v>
      </c>
      <c r="G751" s="291">
        <v>0</v>
      </c>
      <c r="H751" s="150">
        <v>0</v>
      </c>
      <c r="I751" s="567">
        <f t="shared" si="20"/>
        <v>0</v>
      </c>
    </row>
    <row r="752" spans="1:10" x14ac:dyDescent="0.15">
      <c r="A752" s="138"/>
      <c r="B752" s="521" t="s">
        <v>128</v>
      </c>
      <c r="C752" s="138" t="s">
        <v>135</v>
      </c>
      <c r="D752" s="144">
        <v>0</v>
      </c>
      <c r="E752" s="144">
        <v>0</v>
      </c>
      <c r="F752" s="144">
        <v>0</v>
      </c>
      <c r="G752" s="291">
        <v>0</v>
      </c>
      <c r="H752" s="150">
        <v>0</v>
      </c>
      <c r="I752" s="567">
        <f t="shared" si="20"/>
        <v>0</v>
      </c>
    </row>
    <row r="753" spans="1:9" x14ac:dyDescent="0.15">
      <c r="A753" s="138"/>
      <c r="B753" s="521" t="s">
        <v>132</v>
      </c>
      <c r="C753" s="138" t="s">
        <v>1617</v>
      </c>
      <c r="D753" s="144">
        <v>0</v>
      </c>
      <c r="E753" s="144">
        <v>0</v>
      </c>
      <c r="F753" s="144">
        <v>0</v>
      </c>
      <c r="G753" s="291">
        <v>0</v>
      </c>
      <c r="H753" s="150">
        <v>0</v>
      </c>
      <c r="I753" s="567">
        <f t="shared" si="20"/>
        <v>0</v>
      </c>
    </row>
    <row r="754" spans="1:9" x14ac:dyDescent="0.15">
      <c r="A754" s="138"/>
      <c r="B754" s="521" t="s">
        <v>1618</v>
      </c>
      <c r="C754" s="138" t="s">
        <v>836</v>
      </c>
      <c r="D754" s="144">
        <v>0</v>
      </c>
      <c r="E754" s="144">
        <v>0</v>
      </c>
      <c r="F754" s="144">
        <v>0</v>
      </c>
      <c r="G754" s="291">
        <v>0</v>
      </c>
      <c r="H754" s="150">
        <v>0</v>
      </c>
      <c r="I754" s="567">
        <f t="shared" si="20"/>
        <v>0</v>
      </c>
    </row>
    <row r="755" spans="1:9" x14ac:dyDescent="0.15">
      <c r="A755" s="138"/>
      <c r="B755" s="521" t="s">
        <v>1619</v>
      </c>
      <c r="C755" s="138" t="s">
        <v>837</v>
      </c>
      <c r="D755" s="144">
        <v>0</v>
      </c>
      <c r="E755" s="144">
        <v>0</v>
      </c>
      <c r="F755" s="144">
        <v>0</v>
      </c>
      <c r="G755" s="291">
        <v>0</v>
      </c>
      <c r="H755" s="150">
        <v>0</v>
      </c>
      <c r="I755" s="567">
        <f t="shared" si="20"/>
        <v>0</v>
      </c>
    </row>
    <row r="756" spans="1:9" x14ac:dyDescent="0.15">
      <c r="A756" s="138"/>
      <c r="B756" s="521" t="s">
        <v>1620</v>
      </c>
      <c r="C756" s="138" t="s">
        <v>838</v>
      </c>
      <c r="D756" s="144">
        <v>0</v>
      </c>
      <c r="E756" s="144">
        <v>0</v>
      </c>
      <c r="F756" s="144">
        <v>0</v>
      </c>
      <c r="G756" s="291">
        <v>0</v>
      </c>
      <c r="H756" s="150">
        <v>0</v>
      </c>
      <c r="I756" s="567">
        <f t="shared" si="20"/>
        <v>0</v>
      </c>
    </row>
    <row r="757" spans="1:9" x14ac:dyDescent="0.15">
      <c r="A757" s="138"/>
      <c r="B757" s="521" t="s">
        <v>1621</v>
      </c>
      <c r="C757" s="138" t="s">
        <v>839</v>
      </c>
      <c r="D757" s="144">
        <v>0</v>
      </c>
      <c r="E757" s="144">
        <v>0</v>
      </c>
      <c r="F757" s="144">
        <v>0</v>
      </c>
      <c r="G757" s="291">
        <v>0</v>
      </c>
      <c r="H757" s="150">
        <v>0</v>
      </c>
      <c r="I757" s="567">
        <f t="shared" si="20"/>
        <v>0</v>
      </c>
    </row>
    <row r="758" spans="1:9" x14ac:dyDescent="0.15">
      <c r="A758" s="138"/>
      <c r="B758" s="521" t="s">
        <v>1622</v>
      </c>
      <c r="C758" s="138" t="s">
        <v>190</v>
      </c>
      <c r="D758" s="144">
        <v>0</v>
      </c>
      <c r="E758" s="144">
        <v>0</v>
      </c>
      <c r="F758" s="144">
        <v>0</v>
      </c>
      <c r="G758" s="291">
        <v>0</v>
      </c>
      <c r="H758" s="150">
        <v>0</v>
      </c>
      <c r="I758" s="567">
        <f t="shared" si="20"/>
        <v>0</v>
      </c>
    </row>
    <row r="759" spans="1:9" x14ac:dyDescent="0.15">
      <c r="A759" s="138"/>
      <c r="B759" s="521" t="s">
        <v>1623</v>
      </c>
      <c r="C759" s="138" t="s">
        <v>191</v>
      </c>
      <c r="D759" s="144">
        <v>0</v>
      </c>
      <c r="E759" s="144">
        <v>0</v>
      </c>
      <c r="F759" s="144">
        <v>0</v>
      </c>
      <c r="G759" s="291">
        <v>0</v>
      </c>
      <c r="H759" s="150">
        <v>0</v>
      </c>
      <c r="I759" s="567">
        <f t="shared" si="20"/>
        <v>0</v>
      </c>
    </row>
    <row r="760" spans="1:9" x14ac:dyDescent="0.15">
      <c r="A760" s="138"/>
      <c r="B760" s="521" t="s">
        <v>1624</v>
      </c>
      <c r="C760" s="138" t="s">
        <v>840</v>
      </c>
      <c r="D760" s="144">
        <v>0</v>
      </c>
      <c r="E760" s="144">
        <v>0</v>
      </c>
      <c r="F760" s="144">
        <v>0</v>
      </c>
      <c r="G760" s="291">
        <v>0</v>
      </c>
      <c r="H760" s="150">
        <v>0</v>
      </c>
      <c r="I760" s="567">
        <f t="shared" si="20"/>
        <v>0</v>
      </c>
    </row>
    <row r="761" spans="1:9" x14ac:dyDescent="0.15">
      <c r="A761" s="138"/>
      <c r="B761" s="521" t="s">
        <v>1625</v>
      </c>
      <c r="C761" s="138" t="s">
        <v>842</v>
      </c>
      <c r="D761" s="144">
        <v>0</v>
      </c>
      <c r="E761" s="144">
        <v>0</v>
      </c>
      <c r="F761" s="144">
        <v>0</v>
      </c>
      <c r="G761" s="291">
        <v>0</v>
      </c>
      <c r="H761" s="150">
        <v>0</v>
      </c>
      <c r="I761" s="567">
        <f t="shared" si="20"/>
        <v>0</v>
      </c>
    </row>
    <row r="762" spans="1:9" x14ac:dyDescent="0.15">
      <c r="A762" s="138"/>
      <c r="B762" s="521" t="s">
        <v>843</v>
      </c>
      <c r="C762" s="138" t="s">
        <v>848</v>
      </c>
      <c r="D762" s="144">
        <v>0</v>
      </c>
      <c r="E762" s="144">
        <v>0</v>
      </c>
      <c r="F762" s="144">
        <v>0</v>
      </c>
      <c r="G762" s="291">
        <v>0</v>
      </c>
      <c r="H762" s="150">
        <v>0</v>
      </c>
      <c r="I762" s="567">
        <f t="shared" si="20"/>
        <v>0</v>
      </c>
    </row>
    <row r="763" spans="1:9" x14ac:dyDescent="0.15">
      <c r="A763" s="138"/>
      <c r="B763" s="521" t="s">
        <v>844</v>
      </c>
      <c r="C763" s="138" t="s">
        <v>153</v>
      </c>
      <c r="D763" s="144">
        <v>0</v>
      </c>
      <c r="E763" s="144">
        <v>0</v>
      </c>
      <c r="F763" s="144">
        <v>0</v>
      </c>
      <c r="G763" s="291">
        <v>0</v>
      </c>
      <c r="H763" s="150">
        <v>0</v>
      </c>
      <c r="I763" s="567">
        <f t="shared" si="20"/>
        <v>0</v>
      </c>
    </row>
    <row r="764" spans="1:9" x14ac:dyDescent="0.15">
      <c r="A764" s="138"/>
      <c r="B764" s="521" t="s">
        <v>845</v>
      </c>
      <c r="C764" s="138" t="s">
        <v>154</v>
      </c>
      <c r="D764" s="144">
        <v>0</v>
      </c>
      <c r="E764" s="144">
        <v>0</v>
      </c>
      <c r="F764" s="144">
        <v>0</v>
      </c>
      <c r="G764" s="291">
        <v>0</v>
      </c>
      <c r="H764" s="150">
        <v>0</v>
      </c>
      <c r="I764" s="567">
        <f t="shared" si="20"/>
        <v>0</v>
      </c>
    </row>
    <row r="765" spans="1:9" x14ac:dyDescent="0.15">
      <c r="A765" s="138"/>
      <c r="B765" s="521" t="s">
        <v>846</v>
      </c>
      <c r="C765" s="138" t="s">
        <v>155</v>
      </c>
      <c r="D765" s="144">
        <v>0</v>
      </c>
      <c r="E765" s="144">
        <v>0</v>
      </c>
      <c r="F765" s="144">
        <v>0</v>
      </c>
      <c r="G765" s="291">
        <v>0</v>
      </c>
      <c r="H765" s="150">
        <v>0</v>
      </c>
      <c r="I765" s="567">
        <f t="shared" si="20"/>
        <v>0</v>
      </c>
    </row>
    <row r="766" spans="1:9" x14ac:dyDescent="0.15">
      <c r="A766" s="138"/>
      <c r="B766" s="521" t="s">
        <v>1582</v>
      </c>
      <c r="C766" s="138" t="s">
        <v>156</v>
      </c>
      <c r="D766" s="144">
        <v>0</v>
      </c>
      <c r="E766" s="144">
        <v>0</v>
      </c>
      <c r="F766" s="144">
        <v>0</v>
      </c>
      <c r="G766" s="291">
        <v>0</v>
      </c>
      <c r="H766" s="150">
        <v>0</v>
      </c>
      <c r="I766" s="567">
        <f t="shared" si="20"/>
        <v>0</v>
      </c>
    </row>
    <row r="767" spans="1:9" x14ac:dyDescent="0.15">
      <c r="A767" s="138"/>
      <c r="B767" s="521" t="s">
        <v>847</v>
      </c>
      <c r="C767" s="138" t="s">
        <v>157</v>
      </c>
      <c r="D767" s="144">
        <v>0</v>
      </c>
      <c r="E767" s="144">
        <v>0</v>
      </c>
      <c r="F767" s="144">
        <v>0</v>
      </c>
      <c r="G767" s="291">
        <v>0</v>
      </c>
      <c r="H767" s="150">
        <v>0</v>
      </c>
      <c r="I767" s="567">
        <f t="shared" si="20"/>
        <v>0</v>
      </c>
    </row>
    <row r="768" spans="1:9" x14ac:dyDescent="0.15">
      <c r="A768" s="138"/>
      <c r="B768" s="521" t="s">
        <v>1583</v>
      </c>
      <c r="C768" s="138" t="s">
        <v>160</v>
      </c>
      <c r="D768" s="144">
        <v>0</v>
      </c>
      <c r="E768" s="144">
        <v>0</v>
      </c>
      <c r="F768" s="144">
        <v>0</v>
      </c>
      <c r="G768" s="291">
        <v>0</v>
      </c>
      <c r="H768" s="150">
        <v>0</v>
      </c>
      <c r="I768" s="567">
        <f t="shared" si="20"/>
        <v>0</v>
      </c>
    </row>
    <row r="769" spans="1:10" x14ac:dyDescent="0.15">
      <c r="A769" s="138"/>
      <c r="B769" s="521" t="s">
        <v>634</v>
      </c>
      <c r="C769" s="138" t="s">
        <v>165</v>
      </c>
      <c r="D769" s="144">
        <v>0</v>
      </c>
      <c r="E769" s="144">
        <v>0</v>
      </c>
      <c r="F769" s="144">
        <v>0</v>
      </c>
      <c r="G769" s="291">
        <v>0</v>
      </c>
      <c r="H769" s="150">
        <v>0</v>
      </c>
      <c r="I769" s="567">
        <f t="shared" si="20"/>
        <v>0</v>
      </c>
    </row>
    <row r="770" spans="1:10" x14ac:dyDescent="0.15">
      <c r="A770" s="138"/>
      <c r="B770" s="521" t="s">
        <v>630</v>
      </c>
      <c r="C770" s="138" t="s">
        <v>172</v>
      </c>
      <c r="D770" s="144">
        <v>0</v>
      </c>
      <c r="E770" s="144">
        <v>0</v>
      </c>
      <c r="F770" s="144">
        <v>0</v>
      </c>
      <c r="G770" s="291">
        <v>0</v>
      </c>
      <c r="H770" s="150">
        <v>0</v>
      </c>
      <c r="I770" s="567">
        <f t="shared" si="20"/>
        <v>0</v>
      </c>
    </row>
    <row r="771" spans="1:10" x14ac:dyDescent="0.15">
      <c r="A771" s="138"/>
      <c r="B771" s="650" t="s">
        <v>631</v>
      </c>
      <c r="C771" s="651" t="s">
        <v>173</v>
      </c>
      <c r="D771" s="144">
        <v>0</v>
      </c>
      <c r="E771" s="144">
        <v>0</v>
      </c>
      <c r="F771" s="144">
        <v>0</v>
      </c>
      <c r="G771" s="291">
        <v>0</v>
      </c>
      <c r="H771" s="150">
        <v>0</v>
      </c>
      <c r="I771" s="567">
        <f t="shared" si="20"/>
        <v>0</v>
      </c>
    </row>
    <row r="772" spans="1:10" x14ac:dyDescent="0.15">
      <c r="A772" s="138"/>
      <c r="B772" s="521" t="s">
        <v>1584</v>
      </c>
      <c r="C772" s="138" t="s">
        <v>178</v>
      </c>
      <c r="D772" s="144">
        <v>0</v>
      </c>
      <c r="E772" s="144">
        <v>0</v>
      </c>
      <c r="F772" s="144">
        <v>0</v>
      </c>
      <c r="G772" s="291">
        <v>0</v>
      </c>
      <c r="H772" s="150">
        <v>0</v>
      </c>
      <c r="I772" s="567">
        <f t="shared" si="20"/>
        <v>0</v>
      </c>
    </row>
    <row r="773" spans="1:10" x14ac:dyDescent="0.15">
      <c r="A773" s="138"/>
      <c r="B773" s="521" t="s">
        <v>174</v>
      </c>
      <c r="C773" s="138" t="s">
        <v>179</v>
      </c>
      <c r="D773" s="144">
        <v>0</v>
      </c>
      <c r="E773" s="144">
        <v>0</v>
      </c>
      <c r="F773" s="144">
        <v>0</v>
      </c>
      <c r="G773" s="291">
        <v>0</v>
      </c>
      <c r="H773" s="150">
        <v>0</v>
      </c>
      <c r="I773" s="567">
        <f t="shared" si="20"/>
        <v>0</v>
      </c>
    </row>
    <row r="774" spans="1:10" x14ac:dyDescent="0.15">
      <c r="A774" s="138"/>
      <c r="B774" s="521" t="s">
        <v>175</v>
      </c>
      <c r="C774" s="138" t="s">
        <v>180</v>
      </c>
      <c r="D774" s="144">
        <v>0</v>
      </c>
      <c r="E774" s="144">
        <v>0</v>
      </c>
      <c r="F774" s="144">
        <v>0</v>
      </c>
      <c r="G774" s="291">
        <v>0</v>
      </c>
      <c r="H774" s="150">
        <v>0</v>
      </c>
      <c r="I774" s="567">
        <f t="shared" si="20"/>
        <v>0</v>
      </c>
    </row>
    <row r="775" spans="1:10" ht="11.25" thickBot="1" x14ac:dyDescent="0.2">
      <c r="A775" s="138"/>
      <c r="B775" s="521" t="s">
        <v>176</v>
      </c>
      <c r="C775" s="138" t="s">
        <v>181</v>
      </c>
      <c r="D775" s="144">
        <v>0</v>
      </c>
      <c r="E775" s="144">
        <v>0</v>
      </c>
      <c r="F775" s="144">
        <v>0</v>
      </c>
      <c r="G775" s="291">
        <v>0</v>
      </c>
      <c r="H775" s="150">
        <v>0</v>
      </c>
      <c r="I775" s="567">
        <f t="shared" si="20"/>
        <v>0</v>
      </c>
    </row>
    <row r="776" spans="1:10" ht="12" thickTop="1" thickBot="1" x14ac:dyDescent="0.2">
      <c r="A776" s="138"/>
      <c r="B776" s="521"/>
      <c r="C776" s="138" t="s">
        <v>375</v>
      </c>
      <c r="D776" s="169">
        <f>SUM(D742:D775)</f>
        <v>0</v>
      </c>
      <c r="E776" s="169">
        <f>SUM(E742:E775)</f>
        <v>0</v>
      </c>
      <c r="F776" s="169">
        <f>SUM(F742:F775)</f>
        <v>0</v>
      </c>
      <c r="G776" s="169">
        <f>SUM(G742:G775)</f>
        <v>0</v>
      </c>
      <c r="H776" s="169">
        <f>SUM(H742:H775)</f>
        <v>0</v>
      </c>
      <c r="I776" s="169">
        <f>SUM(G776+H776)</f>
        <v>0</v>
      </c>
    </row>
    <row r="777" spans="1:10" ht="11.25" thickTop="1" x14ac:dyDescent="0.15">
      <c r="A777" s="138"/>
      <c r="B777" s="138"/>
      <c r="C777" s="138"/>
      <c r="D777" s="14"/>
      <c r="E777" s="14"/>
      <c r="F777" s="14"/>
      <c r="G777" s="14"/>
      <c r="H777" s="14"/>
      <c r="I777" s="563"/>
    </row>
    <row r="778" spans="1:10" x14ac:dyDescent="0.15">
      <c r="A778" s="522" t="s">
        <v>376</v>
      </c>
      <c r="B778" s="138"/>
      <c r="C778" s="138"/>
      <c r="D778" s="14"/>
      <c r="E778" s="14"/>
      <c r="F778" s="14"/>
      <c r="G778" s="14"/>
      <c r="H778" s="14"/>
      <c r="I778" s="563"/>
    </row>
    <row r="779" spans="1:10" s="434" customFormat="1" x14ac:dyDescent="0.15">
      <c r="B779" s="523" t="s">
        <v>1577</v>
      </c>
      <c r="C779" s="524" t="s">
        <v>228</v>
      </c>
      <c r="D779" s="316">
        <v>0</v>
      </c>
      <c r="E779" s="316">
        <v>0</v>
      </c>
      <c r="F779" s="316">
        <v>0</v>
      </c>
      <c r="G779" s="528">
        <f t="array" ref="G779">SUM(IF(CertFund&amp;CertProg&amp;CertObj=RIGHT(LEFT($A$2,7),2)&amp;LEFT(A778,4)&amp;B779,CertSalary))</f>
        <v>0</v>
      </c>
      <c r="H779" s="527">
        <v>0</v>
      </c>
      <c r="I779" s="566">
        <f t="shared" ref="I779:I813" si="21">SUM(G779+H779)</f>
        <v>0</v>
      </c>
    </row>
    <row r="780" spans="1:10" s="434" customFormat="1" x14ac:dyDescent="0.15">
      <c r="B780" s="523" t="s">
        <v>1577</v>
      </c>
      <c r="C780" s="524" t="s">
        <v>510</v>
      </c>
      <c r="D780" s="316">
        <v>0</v>
      </c>
      <c r="E780" s="316">
        <v>0</v>
      </c>
      <c r="F780" s="316">
        <v>0</v>
      </c>
      <c r="G780" s="316">
        <v>0</v>
      </c>
      <c r="H780" s="527">
        <v>0</v>
      </c>
      <c r="I780" s="566">
        <f t="shared" si="21"/>
        <v>0</v>
      </c>
    </row>
    <row r="781" spans="1:10" s="434" customFormat="1" x14ac:dyDescent="0.15">
      <c r="A781" s="524"/>
      <c r="B781" s="523" t="s">
        <v>1578</v>
      </c>
      <c r="C781" s="524" t="s">
        <v>936</v>
      </c>
      <c r="D781" s="316">
        <v>0</v>
      </c>
      <c r="E781" s="316">
        <v>0</v>
      </c>
      <c r="F781" s="316">
        <v>0</v>
      </c>
      <c r="G781" s="529">
        <f t="array" ref="G781">SUM(IF(CertFund&amp;CertProg&amp;CertObj=RIGHT(LEFT($A$2,7),2)&amp;LEFT(A778,4)&amp;B779,CertBen))</f>
        <v>0</v>
      </c>
      <c r="H781" s="527">
        <v>0</v>
      </c>
      <c r="I781" s="566">
        <f t="shared" si="21"/>
        <v>0</v>
      </c>
    </row>
    <row r="782" spans="1:10" x14ac:dyDescent="0.15">
      <c r="A782" s="138"/>
      <c r="B782" s="521" t="s">
        <v>1578</v>
      </c>
      <c r="C782" s="138" t="s">
        <v>511</v>
      </c>
      <c r="D782" s="147">
        <v>0</v>
      </c>
      <c r="E782" s="147">
        <v>0</v>
      </c>
      <c r="F782" s="147">
        <v>0</v>
      </c>
      <c r="G782" s="147">
        <v>0</v>
      </c>
      <c r="H782" s="150">
        <v>0</v>
      </c>
      <c r="I782" s="567">
        <f t="shared" si="21"/>
        <v>0</v>
      </c>
      <c r="J782" s="434"/>
    </row>
    <row r="783" spans="1:10" x14ac:dyDescent="0.15">
      <c r="A783" s="138"/>
      <c r="B783" s="521" t="s">
        <v>1579</v>
      </c>
      <c r="C783" s="138" t="s">
        <v>118</v>
      </c>
      <c r="D783" s="144">
        <v>0</v>
      </c>
      <c r="E783" s="144">
        <v>0</v>
      </c>
      <c r="F783" s="144">
        <v>0</v>
      </c>
      <c r="G783" s="291">
        <v>0</v>
      </c>
      <c r="H783" s="150">
        <v>0</v>
      </c>
      <c r="I783" s="567">
        <f t="shared" si="21"/>
        <v>0</v>
      </c>
    </row>
    <row r="784" spans="1:10" x14ac:dyDescent="0.15">
      <c r="A784" s="138"/>
      <c r="B784" s="521" t="s">
        <v>1580</v>
      </c>
      <c r="C784" s="138" t="s">
        <v>119</v>
      </c>
      <c r="D784" s="144">
        <v>0</v>
      </c>
      <c r="E784" s="144">
        <v>0</v>
      </c>
      <c r="F784" s="144">
        <v>0</v>
      </c>
      <c r="G784" s="291">
        <v>0</v>
      </c>
      <c r="H784" s="150">
        <v>0</v>
      </c>
      <c r="I784" s="567">
        <f t="shared" si="21"/>
        <v>0</v>
      </c>
    </row>
    <row r="785" spans="1:9" x14ac:dyDescent="0.15">
      <c r="A785" s="138"/>
      <c r="B785" s="521" t="s">
        <v>120</v>
      </c>
      <c r="C785" s="138" t="s">
        <v>121</v>
      </c>
      <c r="D785" s="144">
        <v>0</v>
      </c>
      <c r="E785" s="144">
        <v>0</v>
      </c>
      <c r="F785" s="144">
        <v>0</v>
      </c>
      <c r="G785" s="291">
        <v>0</v>
      </c>
      <c r="H785" s="150">
        <v>0</v>
      </c>
      <c r="I785" s="567">
        <f t="shared" si="21"/>
        <v>0</v>
      </c>
    </row>
    <row r="786" spans="1:9" x14ac:dyDescent="0.15">
      <c r="A786" s="138"/>
      <c r="B786" s="521" t="s">
        <v>122</v>
      </c>
      <c r="C786" s="138" t="s">
        <v>123</v>
      </c>
      <c r="D786" s="144">
        <v>0</v>
      </c>
      <c r="E786" s="144">
        <v>0</v>
      </c>
      <c r="F786" s="144">
        <v>0</v>
      </c>
      <c r="G786" s="291">
        <v>0</v>
      </c>
      <c r="H786" s="150">
        <v>0</v>
      </c>
      <c r="I786" s="567">
        <f t="shared" si="21"/>
        <v>0</v>
      </c>
    </row>
    <row r="787" spans="1:9" x14ac:dyDescent="0.15">
      <c r="A787" s="138"/>
      <c r="B787" s="521" t="s">
        <v>1581</v>
      </c>
      <c r="C787" s="138" t="s">
        <v>124</v>
      </c>
      <c r="D787" s="144">
        <v>0</v>
      </c>
      <c r="E787" s="144">
        <v>0</v>
      </c>
      <c r="F787" s="144">
        <v>0</v>
      </c>
      <c r="G787" s="291">
        <v>0</v>
      </c>
      <c r="H787" s="150">
        <v>0</v>
      </c>
      <c r="I787" s="567">
        <f t="shared" si="21"/>
        <v>0</v>
      </c>
    </row>
    <row r="788" spans="1:9" x14ac:dyDescent="0.15">
      <c r="A788" s="138"/>
      <c r="B788" s="521" t="s">
        <v>127</v>
      </c>
      <c r="C788" s="138" t="s">
        <v>134</v>
      </c>
      <c r="D788" s="144">
        <v>0</v>
      </c>
      <c r="E788" s="144">
        <v>0</v>
      </c>
      <c r="F788" s="144">
        <v>0</v>
      </c>
      <c r="G788" s="291">
        <v>0</v>
      </c>
      <c r="H788" s="150">
        <v>0</v>
      </c>
      <c r="I788" s="567">
        <f t="shared" si="21"/>
        <v>0</v>
      </c>
    </row>
    <row r="789" spans="1:9" x14ac:dyDescent="0.15">
      <c r="A789" s="138"/>
      <c r="B789" s="521" t="s">
        <v>128</v>
      </c>
      <c r="C789" s="138" t="s">
        <v>135</v>
      </c>
      <c r="D789" s="144">
        <v>0</v>
      </c>
      <c r="E789" s="144">
        <v>0</v>
      </c>
      <c r="F789" s="144">
        <v>0</v>
      </c>
      <c r="G789" s="291">
        <v>0</v>
      </c>
      <c r="H789" s="150">
        <v>0</v>
      </c>
      <c r="I789" s="567">
        <f t="shared" si="21"/>
        <v>0</v>
      </c>
    </row>
    <row r="790" spans="1:9" x14ac:dyDescent="0.15">
      <c r="A790" s="138"/>
      <c r="B790" s="521" t="s">
        <v>132</v>
      </c>
      <c r="C790" s="138" t="s">
        <v>1617</v>
      </c>
      <c r="D790" s="144">
        <v>0</v>
      </c>
      <c r="E790" s="144">
        <v>0</v>
      </c>
      <c r="F790" s="144">
        <v>0</v>
      </c>
      <c r="G790" s="291">
        <v>0</v>
      </c>
      <c r="H790" s="150">
        <v>0</v>
      </c>
      <c r="I790" s="567">
        <f t="shared" si="21"/>
        <v>0</v>
      </c>
    </row>
    <row r="791" spans="1:9" x14ac:dyDescent="0.15">
      <c r="A791" s="138"/>
      <c r="B791" s="521" t="s">
        <v>1618</v>
      </c>
      <c r="C791" s="138" t="s">
        <v>836</v>
      </c>
      <c r="D791" s="144">
        <v>0</v>
      </c>
      <c r="E791" s="144">
        <v>0</v>
      </c>
      <c r="F791" s="144">
        <v>0</v>
      </c>
      <c r="G791" s="291">
        <v>0</v>
      </c>
      <c r="H791" s="150">
        <v>0</v>
      </c>
      <c r="I791" s="567">
        <f t="shared" si="21"/>
        <v>0</v>
      </c>
    </row>
    <row r="792" spans="1:9" x14ac:dyDescent="0.15">
      <c r="A792" s="138"/>
      <c r="B792" s="521" t="s">
        <v>1619</v>
      </c>
      <c r="C792" s="138" t="s">
        <v>837</v>
      </c>
      <c r="D792" s="144">
        <v>0</v>
      </c>
      <c r="E792" s="144">
        <v>0</v>
      </c>
      <c r="F792" s="144">
        <v>0</v>
      </c>
      <c r="G792" s="291">
        <v>0</v>
      </c>
      <c r="H792" s="150">
        <v>0</v>
      </c>
      <c r="I792" s="567">
        <f t="shared" si="21"/>
        <v>0</v>
      </c>
    </row>
    <row r="793" spans="1:9" x14ac:dyDescent="0.15">
      <c r="A793" s="138"/>
      <c r="B793" s="521" t="s">
        <v>1620</v>
      </c>
      <c r="C793" s="138" t="s">
        <v>838</v>
      </c>
      <c r="D793" s="144">
        <v>0</v>
      </c>
      <c r="E793" s="144">
        <v>0</v>
      </c>
      <c r="F793" s="144">
        <v>0</v>
      </c>
      <c r="G793" s="291">
        <v>0</v>
      </c>
      <c r="H793" s="150">
        <v>0</v>
      </c>
      <c r="I793" s="567">
        <f t="shared" si="21"/>
        <v>0</v>
      </c>
    </row>
    <row r="794" spans="1:9" x14ac:dyDescent="0.15">
      <c r="A794" s="138"/>
      <c r="B794" s="521" t="s">
        <v>1621</v>
      </c>
      <c r="C794" s="138" t="s">
        <v>839</v>
      </c>
      <c r="D794" s="144">
        <v>0</v>
      </c>
      <c r="E794" s="144">
        <v>0</v>
      </c>
      <c r="F794" s="144">
        <v>0</v>
      </c>
      <c r="G794" s="291">
        <v>0</v>
      </c>
      <c r="H794" s="150">
        <v>0</v>
      </c>
      <c r="I794" s="567">
        <f t="shared" si="21"/>
        <v>0</v>
      </c>
    </row>
    <row r="795" spans="1:9" x14ac:dyDescent="0.15">
      <c r="A795" s="138"/>
      <c r="B795" s="521" t="s">
        <v>1622</v>
      </c>
      <c r="C795" s="138" t="s">
        <v>190</v>
      </c>
      <c r="D795" s="144">
        <v>0</v>
      </c>
      <c r="E795" s="144">
        <v>0</v>
      </c>
      <c r="F795" s="144">
        <v>0</v>
      </c>
      <c r="G795" s="291">
        <v>0</v>
      </c>
      <c r="H795" s="150">
        <v>0</v>
      </c>
      <c r="I795" s="567">
        <f t="shared" si="21"/>
        <v>0</v>
      </c>
    </row>
    <row r="796" spans="1:9" x14ac:dyDescent="0.15">
      <c r="A796" s="138"/>
      <c r="B796" s="521" t="s">
        <v>1623</v>
      </c>
      <c r="C796" s="138" t="s">
        <v>191</v>
      </c>
      <c r="D796" s="144">
        <v>0</v>
      </c>
      <c r="E796" s="144">
        <v>0</v>
      </c>
      <c r="F796" s="144">
        <v>0</v>
      </c>
      <c r="G796" s="291">
        <v>0</v>
      </c>
      <c r="H796" s="150">
        <v>0</v>
      </c>
      <c r="I796" s="567">
        <f t="shared" si="21"/>
        <v>0</v>
      </c>
    </row>
    <row r="797" spans="1:9" x14ac:dyDescent="0.15">
      <c r="A797" s="138"/>
      <c r="B797" s="521" t="s">
        <v>1624</v>
      </c>
      <c r="C797" s="138" t="s">
        <v>840</v>
      </c>
      <c r="D797" s="144">
        <v>0</v>
      </c>
      <c r="E797" s="144">
        <v>0</v>
      </c>
      <c r="F797" s="144">
        <v>0</v>
      </c>
      <c r="G797" s="291">
        <v>0</v>
      </c>
      <c r="H797" s="150">
        <v>0</v>
      </c>
      <c r="I797" s="567">
        <f t="shared" si="21"/>
        <v>0</v>
      </c>
    </row>
    <row r="798" spans="1:9" x14ac:dyDescent="0.15">
      <c r="A798" s="138"/>
      <c r="B798" s="521" t="s">
        <v>1625</v>
      </c>
      <c r="C798" s="138" t="s">
        <v>842</v>
      </c>
      <c r="D798" s="144">
        <v>0</v>
      </c>
      <c r="E798" s="144">
        <v>0</v>
      </c>
      <c r="F798" s="144">
        <v>0</v>
      </c>
      <c r="G798" s="291">
        <v>0</v>
      </c>
      <c r="H798" s="150">
        <v>0</v>
      </c>
      <c r="I798" s="567">
        <f t="shared" si="21"/>
        <v>0</v>
      </c>
    </row>
    <row r="799" spans="1:9" x14ac:dyDescent="0.15">
      <c r="A799" s="138"/>
      <c r="B799" s="521" t="s">
        <v>843</v>
      </c>
      <c r="C799" s="138" t="s">
        <v>848</v>
      </c>
      <c r="D799" s="144">
        <v>0</v>
      </c>
      <c r="E799" s="144">
        <v>0</v>
      </c>
      <c r="F799" s="144">
        <v>0</v>
      </c>
      <c r="G799" s="291">
        <v>0</v>
      </c>
      <c r="H799" s="150">
        <v>0</v>
      </c>
      <c r="I799" s="567">
        <f t="shared" si="21"/>
        <v>0</v>
      </c>
    </row>
    <row r="800" spans="1:9" x14ac:dyDescent="0.15">
      <c r="A800" s="138"/>
      <c r="B800" s="521" t="s">
        <v>844</v>
      </c>
      <c r="C800" s="138" t="s">
        <v>153</v>
      </c>
      <c r="D800" s="144">
        <v>0</v>
      </c>
      <c r="E800" s="144">
        <v>0</v>
      </c>
      <c r="F800" s="144">
        <v>0</v>
      </c>
      <c r="G800" s="291">
        <v>0</v>
      </c>
      <c r="H800" s="150">
        <v>0</v>
      </c>
      <c r="I800" s="567">
        <f t="shared" si="21"/>
        <v>0</v>
      </c>
    </row>
    <row r="801" spans="1:9" x14ac:dyDescent="0.15">
      <c r="A801" s="138"/>
      <c r="B801" s="521" t="s">
        <v>845</v>
      </c>
      <c r="C801" s="138" t="s">
        <v>154</v>
      </c>
      <c r="D801" s="144">
        <v>0</v>
      </c>
      <c r="E801" s="144">
        <v>0</v>
      </c>
      <c r="F801" s="144">
        <v>0</v>
      </c>
      <c r="G801" s="291">
        <v>0</v>
      </c>
      <c r="H801" s="150">
        <v>0</v>
      </c>
      <c r="I801" s="567">
        <f t="shared" si="21"/>
        <v>0</v>
      </c>
    </row>
    <row r="802" spans="1:9" x14ac:dyDescent="0.15">
      <c r="A802" s="138"/>
      <c r="B802" s="521" t="s">
        <v>846</v>
      </c>
      <c r="C802" s="138" t="s">
        <v>155</v>
      </c>
      <c r="D802" s="144">
        <v>0</v>
      </c>
      <c r="E802" s="144">
        <v>0</v>
      </c>
      <c r="F802" s="144">
        <v>0</v>
      </c>
      <c r="G802" s="291">
        <v>0</v>
      </c>
      <c r="H802" s="150">
        <v>0</v>
      </c>
      <c r="I802" s="567">
        <f t="shared" si="21"/>
        <v>0</v>
      </c>
    </row>
    <row r="803" spans="1:9" x14ac:dyDescent="0.15">
      <c r="A803" s="138"/>
      <c r="B803" s="521" t="s">
        <v>1582</v>
      </c>
      <c r="C803" s="138" t="s">
        <v>156</v>
      </c>
      <c r="D803" s="144">
        <v>0</v>
      </c>
      <c r="E803" s="144">
        <v>0</v>
      </c>
      <c r="F803" s="144">
        <v>0</v>
      </c>
      <c r="G803" s="291">
        <v>0</v>
      </c>
      <c r="H803" s="150">
        <v>0</v>
      </c>
      <c r="I803" s="567">
        <f t="shared" si="21"/>
        <v>0</v>
      </c>
    </row>
    <row r="804" spans="1:9" x14ac:dyDescent="0.15">
      <c r="A804" s="138"/>
      <c r="B804" s="521" t="s">
        <v>847</v>
      </c>
      <c r="C804" s="138" t="s">
        <v>157</v>
      </c>
      <c r="D804" s="144">
        <v>0</v>
      </c>
      <c r="E804" s="144">
        <v>0</v>
      </c>
      <c r="F804" s="144">
        <v>0</v>
      </c>
      <c r="G804" s="291">
        <v>0</v>
      </c>
      <c r="H804" s="150">
        <v>0</v>
      </c>
      <c r="I804" s="567">
        <f t="shared" si="21"/>
        <v>0</v>
      </c>
    </row>
    <row r="805" spans="1:9" x14ac:dyDescent="0.15">
      <c r="A805" s="138"/>
      <c r="B805" s="521" t="s">
        <v>1583</v>
      </c>
      <c r="C805" s="138" t="s">
        <v>160</v>
      </c>
      <c r="D805" s="144">
        <v>0</v>
      </c>
      <c r="E805" s="144">
        <v>0</v>
      </c>
      <c r="F805" s="144">
        <v>0</v>
      </c>
      <c r="G805" s="291">
        <v>0</v>
      </c>
      <c r="H805" s="150">
        <v>0</v>
      </c>
      <c r="I805" s="567">
        <f t="shared" si="21"/>
        <v>0</v>
      </c>
    </row>
    <row r="806" spans="1:9" x14ac:dyDescent="0.15">
      <c r="A806" s="138"/>
      <c r="B806" s="521" t="s">
        <v>634</v>
      </c>
      <c r="C806" s="138" t="s">
        <v>165</v>
      </c>
      <c r="D806" s="144">
        <v>0</v>
      </c>
      <c r="E806" s="144">
        <v>0</v>
      </c>
      <c r="F806" s="144">
        <v>0</v>
      </c>
      <c r="G806" s="291">
        <v>0</v>
      </c>
      <c r="H806" s="150">
        <v>0</v>
      </c>
      <c r="I806" s="567">
        <f t="shared" si="21"/>
        <v>0</v>
      </c>
    </row>
    <row r="807" spans="1:9" x14ac:dyDescent="0.15">
      <c r="A807" s="138"/>
      <c r="B807" s="521" t="s">
        <v>630</v>
      </c>
      <c r="C807" s="138" t="s">
        <v>172</v>
      </c>
      <c r="D807" s="144">
        <v>0</v>
      </c>
      <c r="E807" s="144">
        <v>0</v>
      </c>
      <c r="F807" s="144">
        <v>0</v>
      </c>
      <c r="G807" s="291">
        <v>0</v>
      </c>
      <c r="H807" s="150">
        <v>0</v>
      </c>
      <c r="I807" s="567">
        <f t="shared" si="21"/>
        <v>0</v>
      </c>
    </row>
    <row r="808" spans="1:9" x14ac:dyDescent="0.15">
      <c r="A808" s="138"/>
      <c r="B808" s="650" t="s">
        <v>631</v>
      </c>
      <c r="C808" s="651" t="s">
        <v>173</v>
      </c>
      <c r="D808" s="144">
        <v>0</v>
      </c>
      <c r="E808" s="144">
        <v>0</v>
      </c>
      <c r="F808" s="144">
        <v>0</v>
      </c>
      <c r="G808" s="291">
        <v>0</v>
      </c>
      <c r="H808" s="150">
        <v>0</v>
      </c>
      <c r="I808" s="567">
        <f t="shared" si="21"/>
        <v>0</v>
      </c>
    </row>
    <row r="809" spans="1:9" x14ac:dyDescent="0.15">
      <c r="A809" s="138"/>
      <c r="B809" s="521" t="s">
        <v>1584</v>
      </c>
      <c r="C809" s="138" t="s">
        <v>178</v>
      </c>
      <c r="D809" s="144">
        <v>0</v>
      </c>
      <c r="E809" s="144">
        <v>0</v>
      </c>
      <c r="F809" s="144">
        <v>0</v>
      </c>
      <c r="G809" s="291">
        <v>0</v>
      </c>
      <c r="H809" s="150">
        <v>0</v>
      </c>
      <c r="I809" s="567">
        <f t="shared" si="21"/>
        <v>0</v>
      </c>
    </row>
    <row r="810" spans="1:9" x14ac:dyDescent="0.15">
      <c r="A810" s="138"/>
      <c r="B810" s="521" t="s">
        <v>174</v>
      </c>
      <c r="C810" s="138" t="s">
        <v>179</v>
      </c>
      <c r="D810" s="144">
        <v>0</v>
      </c>
      <c r="E810" s="144">
        <v>0</v>
      </c>
      <c r="F810" s="144">
        <v>0</v>
      </c>
      <c r="G810" s="291">
        <v>0</v>
      </c>
      <c r="H810" s="150">
        <v>0</v>
      </c>
      <c r="I810" s="567">
        <f t="shared" si="21"/>
        <v>0</v>
      </c>
    </row>
    <row r="811" spans="1:9" x14ac:dyDescent="0.15">
      <c r="A811" s="138"/>
      <c r="B811" s="521" t="s">
        <v>175</v>
      </c>
      <c r="C811" s="138" t="s">
        <v>180</v>
      </c>
      <c r="D811" s="144">
        <v>0</v>
      </c>
      <c r="E811" s="144">
        <v>0</v>
      </c>
      <c r="F811" s="144">
        <v>0</v>
      </c>
      <c r="G811" s="291">
        <v>0</v>
      </c>
      <c r="H811" s="150">
        <v>0</v>
      </c>
      <c r="I811" s="567">
        <f t="shared" si="21"/>
        <v>0</v>
      </c>
    </row>
    <row r="812" spans="1:9" ht="11.25" thickBot="1" x14ac:dyDescent="0.2">
      <c r="A812" s="138"/>
      <c r="B812" s="521" t="s">
        <v>176</v>
      </c>
      <c r="C812" s="138" t="s">
        <v>181</v>
      </c>
      <c r="D812" s="144">
        <v>0</v>
      </c>
      <c r="E812" s="144">
        <v>0</v>
      </c>
      <c r="F812" s="144">
        <v>0</v>
      </c>
      <c r="G812" s="291">
        <v>0</v>
      </c>
      <c r="H812" s="150">
        <v>0</v>
      </c>
      <c r="I812" s="567">
        <f t="shared" si="21"/>
        <v>0</v>
      </c>
    </row>
    <row r="813" spans="1:9" ht="12" thickTop="1" thickBot="1" x14ac:dyDescent="0.2">
      <c r="A813" s="138"/>
      <c r="B813" s="521"/>
      <c r="C813" s="138" t="s">
        <v>377</v>
      </c>
      <c r="D813" s="169">
        <f>SUM(D779:D812)</f>
        <v>0</v>
      </c>
      <c r="E813" s="169">
        <f>SUM(E779:E812)</f>
        <v>0</v>
      </c>
      <c r="F813" s="169">
        <f>SUM(F779:F812)</f>
        <v>0</v>
      </c>
      <c r="G813" s="169">
        <f>SUM(G779:G812)</f>
        <v>0</v>
      </c>
      <c r="H813" s="169">
        <f>SUM(H779:H812)</f>
        <v>0</v>
      </c>
      <c r="I813" s="169">
        <f t="shared" si="21"/>
        <v>0</v>
      </c>
    </row>
    <row r="814" spans="1:9" ht="11.25" thickTop="1" x14ac:dyDescent="0.15">
      <c r="A814" s="138"/>
      <c r="B814" s="138"/>
      <c r="C814" s="138"/>
      <c r="D814" s="14"/>
      <c r="E814" s="14"/>
      <c r="F814" s="14"/>
      <c r="G814" s="14"/>
      <c r="H814" s="14"/>
      <c r="I814" s="563"/>
    </row>
    <row r="815" spans="1:9" x14ac:dyDescent="0.15">
      <c r="A815" s="522" t="s">
        <v>379</v>
      </c>
      <c r="B815" s="138"/>
      <c r="C815" s="138"/>
      <c r="D815" s="14"/>
      <c r="E815" s="14"/>
      <c r="F815" s="14"/>
      <c r="G815" s="14"/>
      <c r="H815" s="14"/>
      <c r="I815" s="563"/>
    </row>
    <row r="816" spans="1:9" s="434" customFormat="1" x14ac:dyDescent="0.15">
      <c r="B816" s="523" t="s">
        <v>1577</v>
      </c>
      <c r="C816" s="524" t="s">
        <v>228</v>
      </c>
      <c r="D816" s="316">
        <v>0</v>
      </c>
      <c r="E816" s="316">
        <v>0</v>
      </c>
      <c r="F816" s="316">
        <v>0</v>
      </c>
      <c r="G816" s="528">
        <f t="array" ref="G816">SUM(IF(CertFund&amp;CertProg&amp;CertObj=RIGHT(LEFT($A$2,7),2)&amp;LEFT(A815,4)&amp;B816,CertSalary))</f>
        <v>0</v>
      </c>
      <c r="H816" s="527">
        <v>0</v>
      </c>
      <c r="I816" s="566">
        <f t="shared" ref="I816:I850" si="22">SUM(G816+H816)</f>
        <v>0</v>
      </c>
    </row>
    <row r="817" spans="1:10" s="434" customFormat="1" x14ac:dyDescent="0.15">
      <c r="B817" s="523" t="s">
        <v>1577</v>
      </c>
      <c r="C817" s="524" t="s">
        <v>510</v>
      </c>
      <c r="D817" s="316">
        <v>0</v>
      </c>
      <c r="E817" s="316">
        <v>0</v>
      </c>
      <c r="F817" s="316">
        <v>0</v>
      </c>
      <c r="G817" s="316">
        <v>0</v>
      </c>
      <c r="H817" s="527">
        <v>0</v>
      </c>
      <c r="I817" s="566">
        <f t="shared" si="22"/>
        <v>0</v>
      </c>
    </row>
    <row r="818" spans="1:10" s="434" customFormat="1" x14ac:dyDescent="0.15">
      <c r="A818" s="524"/>
      <c r="B818" s="523" t="s">
        <v>1578</v>
      </c>
      <c r="C818" s="524" t="s">
        <v>936</v>
      </c>
      <c r="D818" s="316">
        <v>0</v>
      </c>
      <c r="E818" s="316">
        <v>0</v>
      </c>
      <c r="F818" s="316">
        <v>0</v>
      </c>
      <c r="G818" s="529">
        <f t="array" ref="G818">SUM(IF(CertFund&amp;CertProg&amp;CertObj=RIGHT(LEFT($A$2,7),2)&amp;LEFT(A815,4)&amp;B816,CertBen))</f>
        <v>0</v>
      </c>
      <c r="H818" s="527">
        <v>0</v>
      </c>
      <c r="I818" s="566">
        <f t="shared" si="22"/>
        <v>0</v>
      </c>
    </row>
    <row r="819" spans="1:10" x14ac:dyDescent="0.15">
      <c r="A819" s="138"/>
      <c r="B819" s="521" t="s">
        <v>1578</v>
      </c>
      <c r="C819" s="138" t="s">
        <v>511</v>
      </c>
      <c r="D819" s="147">
        <v>0</v>
      </c>
      <c r="E819" s="147">
        <v>0</v>
      </c>
      <c r="F819" s="147">
        <v>0</v>
      </c>
      <c r="G819" s="147">
        <v>0</v>
      </c>
      <c r="H819" s="150">
        <v>0</v>
      </c>
      <c r="I819" s="567">
        <f t="shared" si="22"/>
        <v>0</v>
      </c>
      <c r="J819" s="434"/>
    </row>
    <row r="820" spans="1:10" x14ac:dyDescent="0.15">
      <c r="A820" s="138"/>
      <c r="B820" s="521" t="s">
        <v>1579</v>
      </c>
      <c r="C820" s="138" t="s">
        <v>118</v>
      </c>
      <c r="D820" s="144">
        <v>0</v>
      </c>
      <c r="E820" s="144">
        <v>0</v>
      </c>
      <c r="F820" s="144">
        <v>0</v>
      </c>
      <c r="G820" s="291">
        <v>0</v>
      </c>
      <c r="H820" s="150">
        <v>0</v>
      </c>
      <c r="I820" s="567">
        <f t="shared" si="22"/>
        <v>0</v>
      </c>
    </row>
    <row r="821" spans="1:10" x14ac:dyDescent="0.15">
      <c r="A821" s="138"/>
      <c r="B821" s="521" t="s">
        <v>1580</v>
      </c>
      <c r="C821" s="138" t="s">
        <v>119</v>
      </c>
      <c r="D821" s="144">
        <v>0</v>
      </c>
      <c r="E821" s="144">
        <v>0</v>
      </c>
      <c r="F821" s="144">
        <v>0</v>
      </c>
      <c r="G821" s="291">
        <v>0</v>
      </c>
      <c r="H821" s="150">
        <v>0</v>
      </c>
      <c r="I821" s="567">
        <f t="shared" si="22"/>
        <v>0</v>
      </c>
    </row>
    <row r="822" spans="1:10" x14ac:dyDescent="0.15">
      <c r="A822" s="138"/>
      <c r="B822" s="521" t="s">
        <v>120</v>
      </c>
      <c r="C822" s="138" t="s">
        <v>121</v>
      </c>
      <c r="D822" s="144">
        <v>0</v>
      </c>
      <c r="E822" s="144">
        <v>0</v>
      </c>
      <c r="F822" s="144">
        <v>0</v>
      </c>
      <c r="G822" s="291">
        <v>0</v>
      </c>
      <c r="H822" s="150">
        <v>0</v>
      </c>
      <c r="I822" s="567">
        <f t="shared" si="22"/>
        <v>0</v>
      </c>
    </row>
    <row r="823" spans="1:10" x14ac:dyDescent="0.15">
      <c r="A823" s="138"/>
      <c r="B823" s="521" t="s">
        <v>122</v>
      </c>
      <c r="C823" s="138" t="s">
        <v>123</v>
      </c>
      <c r="D823" s="144">
        <v>0</v>
      </c>
      <c r="E823" s="144">
        <v>0</v>
      </c>
      <c r="F823" s="144">
        <v>0</v>
      </c>
      <c r="G823" s="291">
        <v>0</v>
      </c>
      <c r="H823" s="150">
        <v>0</v>
      </c>
      <c r="I823" s="567">
        <f t="shared" si="22"/>
        <v>0</v>
      </c>
    </row>
    <row r="824" spans="1:10" x14ac:dyDescent="0.15">
      <c r="A824" s="138"/>
      <c r="B824" s="521" t="s">
        <v>1581</v>
      </c>
      <c r="C824" s="138" t="s">
        <v>124</v>
      </c>
      <c r="D824" s="144">
        <v>0</v>
      </c>
      <c r="E824" s="144">
        <v>0</v>
      </c>
      <c r="F824" s="144">
        <v>0</v>
      </c>
      <c r="G824" s="291">
        <v>0</v>
      </c>
      <c r="H824" s="150">
        <v>0</v>
      </c>
      <c r="I824" s="567">
        <f t="shared" si="22"/>
        <v>0</v>
      </c>
    </row>
    <row r="825" spans="1:10" x14ac:dyDescent="0.15">
      <c r="A825" s="138"/>
      <c r="B825" s="521" t="s">
        <v>127</v>
      </c>
      <c r="C825" s="138" t="s">
        <v>134</v>
      </c>
      <c r="D825" s="144">
        <v>0</v>
      </c>
      <c r="E825" s="144">
        <v>0</v>
      </c>
      <c r="F825" s="144">
        <v>0</v>
      </c>
      <c r="G825" s="291">
        <v>0</v>
      </c>
      <c r="H825" s="150">
        <v>0</v>
      </c>
      <c r="I825" s="567">
        <f t="shared" si="22"/>
        <v>0</v>
      </c>
    </row>
    <row r="826" spans="1:10" x14ac:dyDescent="0.15">
      <c r="A826" s="138"/>
      <c r="B826" s="521" t="s">
        <v>128</v>
      </c>
      <c r="C826" s="138" t="s">
        <v>135</v>
      </c>
      <c r="D826" s="144">
        <v>0</v>
      </c>
      <c r="E826" s="144">
        <v>0</v>
      </c>
      <c r="F826" s="144">
        <v>0</v>
      </c>
      <c r="G826" s="291">
        <v>0</v>
      </c>
      <c r="H826" s="150">
        <v>0</v>
      </c>
      <c r="I826" s="567">
        <f t="shared" si="22"/>
        <v>0</v>
      </c>
    </row>
    <row r="827" spans="1:10" x14ac:dyDescent="0.15">
      <c r="A827" s="138"/>
      <c r="B827" s="521" t="s">
        <v>132</v>
      </c>
      <c r="C827" s="138" t="s">
        <v>1617</v>
      </c>
      <c r="D827" s="144">
        <v>0</v>
      </c>
      <c r="E827" s="144">
        <v>0</v>
      </c>
      <c r="F827" s="144">
        <v>0</v>
      </c>
      <c r="G827" s="291">
        <v>0</v>
      </c>
      <c r="H827" s="150">
        <v>0</v>
      </c>
      <c r="I827" s="567">
        <f t="shared" si="22"/>
        <v>0</v>
      </c>
    </row>
    <row r="828" spans="1:10" x14ac:dyDescent="0.15">
      <c r="A828" s="138"/>
      <c r="B828" s="521" t="s">
        <v>1618</v>
      </c>
      <c r="C828" s="138" t="s">
        <v>836</v>
      </c>
      <c r="D828" s="144">
        <v>0</v>
      </c>
      <c r="E828" s="144">
        <v>0</v>
      </c>
      <c r="F828" s="144">
        <v>0</v>
      </c>
      <c r="G828" s="291">
        <v>0</v>
      </c>
      <c r="H828" s="150">
        <v>0</v>
      </c>
      <c r="I828" s="567">
        <f t="shared" si="22"/>
        <v>0</v>
      </c>
    </row>
    <row r="829" spans="1:10" x14ac:dyDescent="0.15">
      <c r="A829" s="138"/>
      <c r="B829" s="521" t="s">
        <v>1619</v>
      </c>
      <c r="C829" s="138" t="s">
        <v>837</v>
      </c>
      <c r="D829" s="144">
        <v>0</v>
      </c>
      <c r="E829" s="144">
        <v>0</v>
      </c>
      <c r="F829" s="144">
        <v>0</v>
      </c>
      <c r="G829" s="291">
        <v>0</v>
      </c>
      <c r="H829" s="150">
        <v>0</v>
      </c>
      <c r="I829" s="567">
        <f t="shared" si="22"/>
        <v>0</v>
      </c>
    </row>
    <row r="830" spans="1:10" x14ac:dyDescent="0.15">
      <c r="A830" s="138"/>
      <c r="B830" s="521" t="s">
        <v>1620</v>
      </c>
      <c r="C830" s="138" t="s">
        <v>838</v>
      </c>
      <c r="D830" s="144">
        <v>0</v>
      </c>
      <c r="E830" s="144">
        <v>0</v>
      </c>
      <c r="F830" s="144">
        <v>0</v>
      </c>
      <c r="G830" s="291">
        <v>0</v>
      </c>
      <c r="H830" s="150">
        <v>0</v>
      </c>
      <c r="I830" s="567">
        <f t="shared" si="22"/>
        <v>0</v>
      </c>
    </row>
    <row r="831" spans="1:10" x14ac:dyDescent="0.15">
      <c r="A831" s="138"/>
      <c r="B831" s="521" t="s">
        <v>1621</v>
      </c>
      <c r="C831" s="138" t="s">
        <v>839</v>
      </c>
      <c r="D831" s="144">
        <v>0</v>
      </c>
      <c r="E831" s="144">
        <v>0</v>
      </c>
      <c r="F831" s="144">
        <v>0</v>
      </c>
      <c r="G831" s="291">
        <v>0</v>
      </c>
      <c r="H831" s="150">
        <v>0</v>
      </c>
      <c r="I831" s="567">
        <f t="shared" si="22"/>
        <v>0</v>
      </c>
    </row>
    <row r="832" spans="1:10" x14ac:dyDescent="0.15">
      <c r="A832" s="138"/>
      <c r="B832" s="521" t="s">
        <v>1622</v>
      </c>
      <c r="C832" s="138" t="s">
        <v>190</v>
      </c>
      <c r="D832" s="144">
        <v>0</v>
      </c>
      <c r="E832" s="144">
        <v>0</v>
      </c>
      <c r="F832" s="144">
        <v>0</v>
      </c>
      <c r="G832" s="291">
        <v>0</v>
      </c>
      <c r="H832" s="150">
        <v>0</v>
      </c>
      <c r="I832" s="567">
        <f t="shared" si="22"/>
        <v>0</v>
      </c>
    </row>
    <row r="833" spans="1:9" x14ac:dyDescent="0.15">
      <c r="A833" s="138"/>
      <c r="B833" s="521" t="s">
        <v>1623</v>
      </c>
      <c r="C833" s="138" t="s">
        <v>191</v>
      </c>
      <c r="D833" s="144">
        <v>0</v>
      </c>
      <c r="E833" s="144">
        <v>0</v>
      </c>
      <c r="F833" s="144">
        <v>0</v>
      </c>
      <c r="G833" s="291">
        <v>0</v>
      </c>
      <c r="H833" s="150">
        <v>0</v>
      </c>
      <c r="I833" s="567">
        <f t="shared" si="22"/>
        <v>0</v>
      </c>
    </row>
    <row r="834" spans="1:9" x14ac:dyDescent="0.15">
      <c r="A834" s="138"/>
      <c r="B834" s="521" t="s">
        <v>1624</v>
      </c>
      <c r="C834" s="138" t="s">
        <v>840</v>
      </c>
      <c r="D834" s="144">
        <v>0</v>
      </c>
      <c r="E834" s="144">
        <v>0</v>
      </c>
      <c r="F834" s="144">
        <v>0</v>
      </c>
      <c r="G834" s="291">
        <v>0</v>
      </c>
      <c r="H834" s="150">
        <v>0</v>
      </c>
      <c r="I834" s="567">
        <f t="shared" si="22"/>
        <v>0</v>
      </c>
    </row>
    <row r="835" spans="1:9" x14ac:dyDescent="0.15">
      <c r="A835" s="138"/>
      <c r="B835" s="521" t="s">
        <v>1625</v>
      </c>
      <c r="C835" s="138" t="s">
        <v>842</v>
      </c>
      <c r="D835" s="144">
        <v>0</v>
      </c>
      <c r="E835" s="144">
        <v>0</v>
      </c>
      <c r="F835" s="144">
        <v>0</v>
      </c>
      <c r="G835" s="291">
        <v>0</v>
      </c>
      <c r="H835" s="150">
        <v>0</v>
      </c>
      <c r="I835" s="567">
        <f t="shared" si="22"/>
        <v>0</v>
      </c>
    </row>
    <row r="836" spans="1:9" x14ac:dyDescent="0.15">
      <c r="A836" s="138"/>
      <c r="B836" s="521" t="s">
        <v>843</v>
      </c>
      <c r="C836" s="138" t="s">
        <v>848</v>
      </c>
      <c r="D836" s="144">
        <v>0</v>
      </c>
      <c r="E836" s="144">
        <v>0</v>
      </c>
      <c r="F836" s="144">
        <v>0</v>
      </c>
      <c r="G836" s="291">
        <v>0</v>
      </c>
      <c r="H836" s="150">
        <v>0</v>
      </c>
      <c r="I836" s="567">
        <f t="shared" si="22"/>
        <v>0</v>
      </c>
    </row>
    <row r="837" spans="1:9" x14ac:dyDescent="0.15">
      <c r="A837" s="138"/>
      <c r="B837" s="521" t="s">
        <v>844</v>
      </c>
      <c r="C837" s="138" t="s">
        <v>153</v>
      </c>
      <c r="D837" s="144">
        <v>0</v>
      </c>
      <c r="E837" s="144">
        <v>0</v>
      </c>
      <c r="F837" s="144">
        <v>0</v>
      </c>
      <c r="G837" s="291">
        <v>0</v>
      </c>
      <c r="H837" s="150">
        <v>0</v>
      </c>
      <c r="I837" s="567">
        <f t="shared" si="22"/>
        <v>0</v>
      </c>
    </row>
    <row r="838" spans="1:9" x14ac:dyDescent="0.15">
      <c r="A838" s="138"/>
      <c r="B838" s="521" t="s">
        <v>845</v>
      </c>
      <c r="C838" s="138" t="s">
        <v>154</v>
      </c>
      <c r="D838" s="144">
        <v>0</v>
      </c>
      <c r="E838" s="144">
        <v>0</v>
      </c>
      <c r="F838" s="144">
        <v>0</v>
      </c>
      <c r="G838" s="291">
        <v>0</v>
      </c>
      <c r="H838" s="150">
        <v>0</v>
      </c>
      <c r="I838" s="567">
        <f t="shared" si="22"/>
        <v>0</v>
      </c>
    </row>
    <row r="839" spans="1:9" x14ac:dyDescent="0.15">
      <c r="A839" s="138"/>
      <c r="B839" s="521" t="s">
        <v>846</v>
      </c>
      <c r="C839" s="138" t="s">
        <v>155</v>
      </c>
      <c r="D839" s="144">
        <v>0</v>
      </c>
      <c r="E839" s="144">
        <v>0</v>
      </c>
      <c r="F839" s="144">
        <v>0</v>
      </c>
      <c r="G839" s="291">
        <v>0</v>
      </c>
      <c r="H839" s="150">
        <v>0</v>
      </c>
      <c r="I839" s="567">
        <f t="shared" si="22"/>
        <v>0</v>
      </c>
    </row>
    <row r="840" spans="1:9" x14ac:dyDescent="0.15">
      <c r="A840" s="138"/>
      <c r="B840" s="521" t="s">
        <v>1582</v>
      </c>
      <c r="C840" s="138" t="s">
        <v>156</v>
      </c>
      <c r="D840" s="144">
        <v>0</v>
      </c>
      <c r="E840" s="144">
        <v>0</v>
      </c>
      <c r="F840" s="144">
        <v>0</v>
      </c>
      <c r="G840" s="291">
        <v>0</v>
      </c>
      <c r="H840" s="150">
        <v>0</v>
      </c>
      <c r="I840" s="567">
        <f t="shared" si="22"/>
        <v>0</v>
      </c>
    </row>
    <row r="841" spans="1:9" x14ac:dyDescent="0.15">
      <c r="A841" s="138"/>
      <c r="B841" s="521" t="s">
        <v>847</v>
      </c>
      <c r="C841" s="138" t="s">
        <v>157</v>
      </c>
      <c r="D841" s="144">
        <v>0</v>
      </c>
      <c r="E841" s="144">
        <v>0</v>
      </c>
      <c r="F841" s="144">
        <v>0</v>
      </c>
      <c r="G841" s="291">
        <v>0</v>
      </c>
      <c r="H841" s="150">
        <v>0</v>
      </c>
      <c r="I841" s="567">
        <f t="shared" si="22"/>
        <v>0</v>
      </c>
    </row>
    <row r="842" spans="1:9" x14ac:dyDescent="0.15">
      <c r="A842" s="138"/>
      <c r="B842" s="521" t="s">
        <v>1583</v>
      </c>
      <c r="C842" s="138" t="s">
        <v>160</v>
      </c>
      <c r="D842" s="144">
        <v>0</v>
      </c>
      <c r="E842" s="144">
        <v>0</v>
      </c>
      <c r="F842" s="144">
        <v>0</v>
      </c>
      <c r="G842" s="291">
        <v>0</v>
      </c>
      <c r="H842" s="150">
        <v>0</v>
      </c>
      <c r="I842" s="567">
        <f t="shared" si="22"/>
        <v>0</v>
      </c>
    </row>
    <row r="843" spans="1:9" x14ac:dyDescent="0.15">
      <c r="A843" s="138"/>
      <c r="B843" s="521" t="s">
        <v>634</v>
      </c>
      <c r="C843" s="138" t="s">
        <v>165</v>
      </c>
      <c r="D843" s="144">
        <v>0</v>
      </c>
      <c r="E843" s="144">
        <v>0</v>
      </c>
      <c r="F843" s="144">
        <v>0</v>
      </c>
      <c r="G843" s="291">
        <v>0</v>
      </c>
      <c r="H843" s="150">
        <v>0</v>
      </c>
      <c r="I843" s="567">
        <f t="shared" si="22"/>
        <v>0</v>
      </c>
    </row>
    <row r="844" spans="1:9" x14ac:dyDescent="0.15">
      <c r="A844" s="138"/>
      <c r="B844" s="521" t="s">
        <v>630</v>
      </c>
      <c r="C844" s="138" t="s">
        <v>172</v>
      </c>
      <c r="D844" s="144">
        <v>0</v>
      </c>
      <c r="E844" s="144">
        <v>0</v>
      </c>
      <c r="F844" s="144">
        <v>0</v>
      </c>
      <c r="G844" s="291">
        <v>0</v>
      </c>
      <c r="H844" s="150">
        <v>0</v>
      </c>
      <c r="I844" s="567">
        <f t="shared" si="22"/>
        <v>0</v>
      </c>
    </row>
    <row r="845" spans="1:9" x14ac:dyDescent="0.15">
      <c r="A845" s="138"/>
      <c r="B845" s="650" t="s">
        <v>631</v>
      </c>
      <c r="C845" s="651" t="s">
        <v>173</v>
      </c>
      <c r="D845" s="144">
        <v>0</v>
      </c>
      <c r="E845" s="144">
        <v>0</v>
      </c>
      <c r="F845" s="144">
        <v>0</v>
      </c>
      <c r="G845" s="291">
        <v>0</v>
      </c>
      <c r="H845" s="150">
        <v>0</v>
      </c>
      <c r="I845" s="567">
        <f t="shared" si="22"/>
        <v>0</v>
      </c>
    </row>
    <row r="846" spans="1:9" x14ac:dyDescent="0.15">
      <c r="A846" s="138"/>
      <c r="B846" s="521" t="s">
        <v>1584</v>
      </c>
      <c r="C846" s="138" t="s">
        <v>178</v>
      </c>
      <c r="D846" s="144">
        <v>0</v>
      </c>
      <c r="E846" s="144">
        <v>0</v>
      </c>
      <c r="F846" s="144">
        <v>0</v>
      </c>
      <c r="G846" s="291">
        <v>0</v>
      </c>
      <c r="H846" s="150">
        <v>0</v>
      </c>
      <c r="I846" s="567">
        <f t="shared" si="22"/>
        <v>0</v>
      </c>
    </row>
    <row r="847" spans="1:9" x14ac:dyDescent="0.15">
      <c r="A847" s="138"/>
      <c r="B847" s="521" t="s">
        <v>174</v>
      </c>
      <c r="C847" s="138" t="s">
        <v>179</v>
      </c>
      <c r="D847" s="144">
        <v>0</v>
      </c>
      <c r="E847" s="144">
        <v>0</v>
      </c>
      <c r="F847" s="144">
        <v>0</v>
      </c>
      <c r="G847" s="291">
        <v>0</v>
      </c>
      <c r="H847" s="150">
        <v>0</v>
      </c>
      <c r="I847" s="567">
        <f t="shared" si="22"/>
        <v>0</v>
      </c>
    </row>
    <row r="848" spans="1:9" x14ac:dyDescent="0.15">
      <c r="A848" s="138"/>
      <c r="B848" s="521" t="s">
        <v>175</v>
      </c>
      <c r="C848" s="138" t="s">
        <v>180</v>
      </c>
      <c r="D848" s="144">
        <v>0</v>
      </c>
      <c r="E848" s="144">
        <v>0</v>
      </c>
      <c r="F848" s="144">
        <v>0</v>
      </c>
      <c r="G848" s="291">
        <v>0</v>
      </c>
      <c r="H848" s="150">
        <v>0</v>
      </c>
      <c r="I848" s="567">
        <f t="shared" si="22"/>
        <v>0</v>
      </c>
    </row>
    <row r="849" spans="1:9" ht="11.25" thickBot="1" x14ac:dyDescent="0.2">
      <c r="A849" s="138"/>
      <c r="B849" s="521" t="s">
        <v>176</v>
      </c>
      <c r="C849" s="138" t="s">
        <v>181</v>
      </c>
      <c r="D849" s="144">
        <v>0</v>
      </c>
      <c r="E849" s="144">
        <v>0</v>
      </c>
      <c r="F849" s="144">
        <v>0</v>
      </c>
      <c r="G849" s="291">
        <v>0</v>
      </c>
      <c r="H849" s="150">
        <v>0</v>
      </c>
      <c r="I849" s="567">
        <f t="shared" si="22"/>
        <v>0</v>
      </c>
    </row>
    <row r="850" spans="1:9" ht="12" thickTop="1" thickBot="1" x14ac:dyDescent="0.2">
      <c r="A850" s="138"/>
      <c r="B850" s="521"/>
      <c r="C850" s="138" t="s">
        <v>378</v>
      </c>
      <c r="D850" s="169">
        <f>SUM(D816:D849)</f>
        <v>0</v>
      </c>
      <c r="E850" s="169">
        <f>SUM(E816:E849)</f>
        <v>0</v>
      </c>
      <c r="F850" s="169">
        <f>SUM(F816:F849)</f>
        <v>0</v>
      </c>
      <c r="G850" s="169">
        <f>SUM(G816:G849)</f>
        <v>0</v>
      </c>
      <c r="H850" s="169">
        <f>SUM(H816:H849)</f>
        <v>0</v>
      </c>
      <c r="I850" s="169">
        <f t="shared" si="22"/>
        <v>0</v>
      </c>
    </row>
    <row r="851" spans="1:9" ht="11.25" thickTop="1" x14ac:dyDescent="0.15">
      <c r="A851" s="138"/>
      <c r="B851" s="138"/>
      <c r="C851" s="138"/>
      <c r="D851" s="14"/>
      <c r="E851" s="14"/>
      <c r="F851" s="14"/>
      <c r="G851" s="14"/>
      <c r="H851" s="14"/>
      <c r="I851" s="563"/>
    </row>
    <row r="852" spans="1:9" x14ac:dyDescent="0.15">
      <c r="A852" s="522" t="s">
        <v>380</v>
      </c>
      <c r="B852" s="138"/>
      <c r="C852" s="138"/>
      <c r="D852" s="14"/>
      <c r="E852" s="14"/>
      <c r="F852" s="14"/>
      <c r="G852" s="14"/>
      <c r="H852" s="14"/>
      <c r="I852" s="563"/>
    </row>
    <row r="853" spans="1:9" s="434" customFormat="1" x14ac:dyDescent="0.15">
      <c r="B853" s="523" t="s">
        <v>1577</v>
      </c>
      <c r="C853" s="524" t="s">
        <v>228</v>
      </c>
      <c r="D853" s="316">
        <v>0</v>
      </c>
      <c r="E853" s="316">
        <v>0</v>
      </c>
      <c r="F853" s="316">
        <v>0</v>
      </c>
      <c r="G853" s="528">
        <f t="array" ref="G853">SUM(IF(CertFund&amp;CertProg&amp;CertObj=RIGHT(LEFT($A$2,7),2)&amp;LEFT(A852,4)&amp;B853,CertSalary))</f>
        <v>0</v>
      </c>
      <c r="H853" s="527">
        <v>0</v>
      </c>
      <c r="I853" s="566">
        <f t="shared" ref="I853:I887" si="23">SUM(G853+H853)</f>
        <v>0</v>
      </c>
    </row>
    <row r="854" spans="1:9" s="434" customFormat="1" x14ac:dyDescent="0.15">
      <c r="B854" s="523" t="s">
        <v>1577</v>
      </c>
      <c r="C854" s="524" t="s">
        <v>510</v>
      </c>
      <c r="D854" s="316">
        <v>0</v>
      </c>
      <c r="E854" s="316">
        <v>0</v>
      </c>
      <c r="F854" s="316">
        <v>0</v>
      </c>
      <c r="G854" s="316">
        <v>0</v>
      </c>
      <c r="H854" s="527">
        <v>0</v>
      </c>
      <c r="I854" s="566">
        <f t="shared" si="23"/>
        <v>0</v>
      </c>
    </row>
    <row r="855" spans="1:9" s="434" customFormat="1" x14ac:dyDescent="0.15">
      <c r="A855" s="524"/>
      <c r="B855" s="523" t="s">
        <v>1578</v>
      </c>
      <c r="C855" s="524" t="s">
        <v>936</v>
      </c>
      <c r="D855" s="316">
        <v>0</v>
      </c>
      <c r="E855" s="316">
        <v>0</v>
      </c>
      <c r="F855" s="316">
        <v>0</v>
      </c>
      <c r="G855" s="529">
        <f t="array" ref="G855">SUM(IF(CertFund&amp;CertProg&amp;CertObj=RIGHT(LEFT($A$2,7),2)&amp;LEFT(A852,4)&amp;B853,CertBen))</f>
        <v>0</v>
      </c>
      <c r="H855" s="527">
        <v>0</v>
      </c>
      <c r="I855" s="566">
        <f t="shared" si="23"/>
        <v>0</v>
      </c>
    </row>
    <row r="856" spans="1:9" s="434" customFormat="1" x14ac:dyDescent="0.15">
      <c r="A856" s="524"/>
      <c r="B856" s="523" t="s">
        <v>1578</v>
      </c>
      <c r="C856" s="524" t="s">
        <v>511</v>
      </c>
      <c r="D856" s="316">
        <v>0</v>
      </c>
      <c r="E856" s="316">
        <v>0</v>
      </c>
      <c r="F856" s="316">
        <v>0</v>
      </c>
      <c r="G856" s="316">
        <v>0</v>
      </c>
      <c r="H856" s="527">
        <v>0</v>
      </c>
      <c r="I856" s="566">
        <f t="shared" si="23"/>
        <v>0</v>
      </c>
    </row>
    <row r="857" spans="1:9" x14ac:dyDescent="0.15">
      <c r="A857" s="138"/>
      <c r="B857" s="521" t="s">
        <v>1579</v>
      </c>
      <c r="C857" s="138" t="s">
        <v>118</v>
      </c>
      <c r="D857" s="144">
        <v>0</v>
      </c>
      <c r="E857" s="144">
        <v>0</v>
      </c>
      <c r="F857" s="144">
        <v>0</v>
      </c>
      <c r="G857" s="291">
        <v>0</v>
      </c>
      <c r="H857" s="150">
        <v>0</v>
      </c>
      <c r="I857" s="567">
        <f t="shared" si="23"/>
        <v>0</v>
      </c>
    </row>
    <row r="858" spans="1:9" x14ac:dyDescent="0.15">
      <c r="A858" s="138"/>
      <c r="B858" s="521" t="s">
        <v>1580</v>
      </c>
      <c r="C858" s="138" t="s">
        <v>119</v>
      </c>
      <c r="D858" s="144">
        <v>0</v>
      </c>
      <c r="E858" s="144">
        <v>0</v>
      </c>
      <c r="F858" s="144">
        <v>0</v>
      </c>
      <c r="G858" s="291">
        <v>0</v>
      </c>
      <c r="H858" s="150">
        <v>0</v>
      </c>
      <c r="I858" s="567">
        <f t="shared" si="23"/>
        <v>0</v>
      </c>
    </row>
    <row r="859" spans="1:9" x14ac:dyDescent="0.15">
      <c r="A859" s="138"/>
      <c r="B859" s="521" t="s">
        <v>120</v>
      </c>
      <c r="C859" s="138" t="s">
        <v>121</v>
      </c>
      <c r="D859" s="144">
        <v>0</v>
      </c>
      <c r="E859" s="144">
        <v>0</v>
      </c>
      <c r="F859" s="144">
        <v>0</v>
      </c>
      <c r="G859" s="291">
        <v>0</v>
      </c>
      <c r="H859" s="150">
        <v>0</v>
      </c>
      <c r="I859" s="567">
        <f t="shared" si="23"/>
        <v>0</v>
      </c>
    </row>
    <row r="860" spans="1:9" x14ac:dyDescent="0.15">
      <c r="A860" s="138"/>
      <c r="B860" s="521" t="s">
        <v>122</v>
      </c>
      <c r="C860" s="138" t="s">
        <v>123</v>
      </c>
      <c r="D860" s="144">
        <v>0</v>
      </c>
      <c r="E860" s="144">
        <v>0</v>
      </c>
      <c r="F860" s="144">
        <v>0</v>
      </c>
      <c r="G860" s="291">
        <v>0</v>
      </c>
      <c r="H860" s="150">
        <v>0</v>
      </c>
      <c r="I860" s="567">
        <f t="shared" si="23"/>
        <v>0</v>
      </c>
    </row>
    <row r="861" spans="1:9" x14ac:dyDescent="0.15">
      <c r="A861" s="138"/>
      <c r="B861" s="521" t="s">
        <v>1581</v>
      </c>
      <c r="C861" s="138" t="s">
        <v>124</v>
      </c>
      <c r="D861" s="144">
        <v>0</v>
      </c>
      <c r="E861" s="144">
        <v>0</v>
      </c>
      <c r="F861" s="144">
        <v>0</v>
      </c>
      <c r="G861" s="291">
        <v>0</v>
      </c>
      <c r="H861" s="150">
        <v>0</v>
      </c>
      <c r="I861" s="567">
        <f t="shared" si="23"/>
        <v>0</v>
      </c>
    </row>
    <row r="862" spans="1:9" x14ac:dyDescent="0.15">
      <c r="A862" s="138"/>
      <c r="B862" s="521" t="s">
        <v>127</v>
      </c>
      <c r="C862" s="138" t="s">
        <v>134</v>
      </c>
      <c r="D862" s="144">
        <v>0</v>
      </c>
      <c r="E862" s="144">
        <v>0</v>
      </c>
      <c r="F862" s="144">
        <v>0</v>
      </c>
      <c r="G862" s="291">
        <v>0</v>
      </c>
      <c r="H862" s="150">
        <v>0</v>
      </c>
      <c r="I862" s="567">
        <f t="shared" si="23"/>
        <v>0</v>
      </c>
    </row>
    <row r="863" spans="1:9" x14ac:dyDescent="0.15">
      <c r="A863" s="138"/>
      <c r="B863" s="521" t="s">
        <v>128</v>
      </c>
      <c r="C863" s="138" t="s">
        <v>135</v>
      </c>
      <c r="D863" s="144">
        <v>0</v>
      </c>
      <c r="E863" s="144">
        <v>0</v>
      </c>
      <c r="F863" s="144">
        <v>0</v>
      </c>
      <c r="G863" s="291">
        <v>0</v>
      </c>
      <c r="H863" s="150">
        <v>0</v>
      </c>
      <c r="I863" s="567">
        <f t="shared" si="23"/>
        <v>0</v>
      </c>
    </row>
    <row r="864" spans="1:9" x14ac:dyDescent="0.15">
      <c r="A864" s="138"/>
      <c r="B864" s="521" t="s">
        <v>132</v>
      </c>
      <c r="C864" s="138" t="s">
        <v>1617</v>
      </c>
      <c r="D864" s="144">
        <v>0</v>
      </c>
      <c r="E864" s="144">
        <v>0</v>
      </c>
      <c r="F864" s="144">
        <v>0</v>
      </c>
      <c r="G864" s="291">
        <v>0</v>
      </c>
      <c r="H864" s="150">
        <v>0</v>
      </c>
      <c r="I864" s="567">
        <f t="shared" si="23"/>
        <v>0</v>
      </c>
    </row>
    <row r="865" spans="1:9" x14ac:dyDescent="0.15">
      <c r="A865" s="138"/>
      <c r="B865" s="521" t="s">
        <v>1618</v>
      </c>
      <c r="C865" s="138" t="s">
        <v>836</v>
      </c>
      <c r="D865" s="144">
        <v>0</v>
      </c>
      <c r="E865" s="144">
        <v>0</v>
      </c>
      <c r="F865" s="144">
        <v>0</v>
      </c>
      <c r="G865" s="291">
        <v>0</v>
      </c>
      <c r="H865" s="150">
        <v>0</v>
      </c>
      <c r="I865" s="567">
        <f t="shared" si="23"/>
        <v>0</v>
      </c>
    </row>
    <row r="866" spans="1:9" x14ac:dyDescent="0.15">
      <c r="A866" s="138"/>
      <c r="B866" s="521" t="s">
        <v>1619</v>
      </c>
      <c r="C866" s="138" t="s">
        <v>837</v>
      </c>
      <c r="D866" s="144">
        <v>0</v>
      </c>
      <c r="E866" s="144">
        <v>0</v>
      </c>
      <c r="F866" s="144">
        <v>0</v>
      </c>
      <c r="G866" s="291">
        <v>0</v>
      </c>
      <c r="H866" s="150">
        <v>0</v>
      </c>
      <c r="I866" s="567">
        <f t="shared" si="23"/>
        <v>0</v>
      </c>
    </row>
    <row r="867" spans="1:9" x14ac:dyDescent="0.15">
      <c r="A867" s="138"/>
      <c r="B867" s="521" t="s">
        <v>1620</v>
      </c>
      <c r="C867" s="138" t="s">
        <v>838</v>
      </c>
      <c r="D867" s="144">
        <v>0</v>
      </c>
      <c r="E867" s="144">
        <v>0</v>
      </c>
      <c r="F867" s="144">
        <v>0</v>
      </c>
      <c r="G867" s="291">
        <v>0</v>
      </c>
      <c r="H867" s="150">
        <v>0</v>
      </c>
      <c r="I867" s="567">
        <f t="shared" si="23"/>
        <v>0</v>
      </c>
    </row>
    <row r="868" spans="1:9" x14ac:dyDescent="0.15">
      <c r="A868" s="138"/>
      <c r="B868" s="521" t="s">
        <v>1621</v>
      </c>
      <c r="C868" s="138" t="s">
        <v>839</v>
      </c>
      <c r="D868" s="144">
        <v>0</v>
      </c>
      <c r="E868" s="144">
        <v>0</v>
      </c>
      <c r="F868" s="144">
        <v>0</v>
      </c>
      <c r="G868" s="291">
        <v>0</v>
      </c>
      <c r="H868" s="150">
        <v>0</v>
      </c>
      <c r="I868" s="567">
        <f t="shared" si="23"/>
        <v>0</v>
      </c>
    </row>
    <row r="869" spans="1:9" x14ac:dyDescent="0.15">
      <c r="A869" s="138"/>
      <c r="B869" s="521" t="s">
        <v>1622</v>
      </c>
      <c r="C869" s="138" t="s">
        <v>190</v>
      </c>
      <c r="D869" s="144">
        <v>0</v>
      </c>
      <c r="E869" s="144">
        <v>0</v>
      </c>
      <c r="F869" s="144">
        <v>0</v>
      </c>
      <c r="G869" s="291">
        <v>0</v>
      </c>
      <c r="H869" s="150">
        <v>0</v>
      </c>
      <c r="I869" s="567">
        <f t="shared" si="23"/>
        <v>0</v>
      </c>
    </row>
    <row r="870" spans="1:9" x14ac:dyDescent="0.15">
      <c r="A870" s="138"/>
      <c r="B870" s="521" t="s">
        <v>1623</v>
      </c>
      <c r="C870" s="138" t="s">
        <v>191</v>
      </c>
      <c r="D870" s="144">
        <v>0</v>
      </c>
      <c r="E870" s="144">
        <v>0</v>
      </c>
      <c r="F870" s="144">
        <v>0</v>
      </c>
      <c r="G870" s="291">
        <v>0</v>
      </c>
      <c r="H870" s="150">
        <v>0</v>
      </c>
      <c r="I870" s="567">
        <f t="shared" si="23"/>
        <v>0</v>
      </c>
    </row>
    <row r="871" spans="1:9" x14ac:dyDescent="0.15">
      <c r="A871" s="138"/>
      <c r="B871" s="521" t="s">
        <v>1624</v>
      </c>
      <c r="C871" s="138" t="s">
        <v>840</v>
      </c>
      <c r="D871" s="144">
        <v>0</v>
      </c>
      <c r="E871" s="144">
        <v>0</v>
      </c>
      <c r="F871" s="144">
        <v>0</v>
      </c>
      <c r="G871" s="291">
        <v>0</v>
      </c>
      <c r="H871" s="150">
        <v>0</v>
      </c>
      <c r="I871" s="567">
        <f t="shared" si="23"/>
        <v>0</v>
      </c>
    </row>
    <row r="872" spans="1:9" x14ac:dyDescent="0.15">
      <c r="A872" s="138"/>
      <c r="B872" s="521" t="s">
        <v>1625</v>
      </c>
      <c r="C872" s="138" t="s">
        <v>842</v>
      </c>
      <c r="D872" s="144">
        <v>0</v>
      </c>
      <c r="E872" s="144">
        <v>0</v>
      </c>
      <c r="F872" s="144">
        <v>0</v>
      </c>
      <c r="G872" s="291">
        <v>0</v>
      </c>
      <c r="H872" s="150">
        <v>0</v>
      </c>
      <c r="I872" s="567">
        <f t="shared" si="23"/>
        <v>0</v>
      </c>
    </row>
    <row r="873" spans="1:9" x14ac:dyDescent="0.15">
      <c r="A873" s="138"/>
      <c r="B873" s="521" t="s">
        <v>843</v>
      </c>
      <c r="C873" s="138" t="s">
        <v>848</v>
      </c>
      <c r="D873" s="144">
        <v>0</v>
      </c>
      <c r="E873" s="144">
        <v>0</v>
      </c>
      <c r="F873" s="144">
        <v>0</v>
      </c>
      <c r="G873" s="291">
        <v>0</v>
      </c>
      <c r="H873" s="150">
        <v>0</v>
      </c>
      <c r="I873" s="567">
        <f t="shared" si="23"/>
        <v>0</v>
      </c>
    </row>
    <row r="874" spans="1:9" x14ac:dyDescent="0.15">
      <c r="A874" s="138"/>
      <c r="B874" s="521" t="s">
        <v>844</v>
      </c>
      <c r="C874" s="138" t="s">
        <v>153</v>
      </c>
      <c r="D874" s="144">
        <v>0</v>
      </c>
      <c r="E874" s="144">
        <v>0</v>
      </c>
      <c r="F874" s="144">
        <v>0</v>
      </c>
      <c r="G874" s="291">
        <v>0</v>
      </c>
      <c r="H874" s="150">
        <v>0</v>
      </c>
      <c r="I874" s="567">
        <f t="shared" si="23"/>
        <v>0</v>
      </c>
    </row>
    <row r="875" spans="1:9" x14ac:dyDescent="0.15">
      <c r="A875" s="138"/>
      <c r="B875" s="521" t="s">
        <v>845</v>
      </c>
      <c r="C875" s="138" t="s">
        <v>154</v>
      </c>
      <c r="D875" s="144">
        <v>0</v>
      </c>
      <c r="E875" s="144">
        <v>0</v>
      </c>
      <c r="F875" s="144">
        <v>0</v>
      </c>
      <c r="G875" s="291">
        <v>0</v>
      </c>
      <c r="H875" s="150">
        <v>0</v>
      </c>
      <c r="I875" s="567">
        <f t="shared" si="23"/>
        <v>0</v>
      </c>
    </row>
    <row r="876" spans="1:9" x14ac:dyDescent="0.15">
      <c r="A876" s="138"/>
      <c r="B876" s="521" t="s">
        <v>846</v>
      </c>
      <c r="C876" s="138" t="s">
        <v>155</v>
      </c>
      <c r="D876" s="144">
        <v>0</v>
      </c>
      <c r="E876" s="144">
        <v>0</v>
      </c>
      <c r="F876" s="144">
        <v>0</v>
      </c>
      <c r="G876" s="291">
        <v>0</v>
      </c>
      <c r="H876" s="150">
        <v>0</v>
      </c>
      <c r="I876" s="567">
        <f t="shared" si="23"/>
        <v>0</v>
      </c>
    </row>
    <row r="877" spans="1:9" x14ac:dyDescent="0.15">
      <c r="A877" s="138"/>
      <c r="B877" s="521" t="s">
        <v>1582</v>
      </c>
      <c r="C877" s="138" t="s">
        <v>156</v>
      </c>
      <c r="D877" s="144">
        <v>0</v>
      </c>
      <c r="E877" s="144">
        <v>0</v>
      </c>
      <c r="F877" s="144">
        <v>0</v>
      </c>
      <c r="G877" s="291">
        <v>0</v>
      </c>
      <c r="H877" s="150">
        <v>0</v>
      </c>
      <c r="I877" s="567">
        <f t="shared" si="23"/>
        <v>0</v>
      </c>
    </row>
    <row r="878" spans="1:9" x14ac:dyDescent="0.15">
      <c r="A878" s="138"/>
      <c r="B878" s="521" t="s">
        <v>847</v>
      </c>
      <c r="C878" s="138" t="s">
        <v>157</v>
      </c>
      <c r="D878" s="144">
        <v>0</v>
      </c>
      <c r="E878" s="144">
        <v>0</v>
      </c>
      <c r="F878" s="144">
        <v>0</v>
      </c>
      <c r="G878" s="291">
        <v>0</v>
      </c>
      <c r="H878" s="150">
        <v>0</v>
      </c>
      <c r="I878" s="567">
        <f t="shared" si="23"/>
        <v>0</v>
      </c>
    </row>
    <row r="879" spans="1:9" x14ac:dyDescent="0.15">
      <c r="A879" s="138"/>
      <c r="B879" s="521" t="s">
        <v>1583</v>
      </c>
      <c r="C879" s="138" t="s">
        <v>160</v>
      </c>
      <c r="D879" s="144">
        <v>0</v>
      </c>
      <c r="E879" s="144">
        <v>0</v>
      </c>
      <c r="F879" s="144">
        <v>0</v>
      </c>
      <c r="G879" s="291">
        <v>0</v>
      </c>
      <c r="H879" s="150">
        <v>0</v>
      </c>
      <c r="I879" s="567">
        <f t="shared" si="23"/>
        <v>0</v>
      </c>
    </row>
    <row r="880" spans="1:9" x14ac:dyDescent="0.15">
      <c r="A880" s="138"/>
      <c r="B880" s="521" t="s">
        <v>634</v>
      </c>
      <c r="C880" s="138" t="s">
        <v>165</v>
      </c>
      <c r="D880" s="144">
        <v>0</v>
      </c>
      <c r="E880" s="144">
        <v>0</v>
      </c>
      <c r="F880" s="144">
        <v>0</v>
      </c>
      <c r="G880" s="291">
        <v>0</v>
      </c>
      <c r="H880" s="150">
        <v>0</v>
      </c>
      <c r="I880" s="567">
        <f t="shared" si="23"/>
        <v>0</v>
      </c>
    </row>
    <row r="881" spans="1:10" x14ac:dyDescent="0.15">
      <c r="A881" s="138"/>
      <c r="B881" s="521" t="s">
        <v>630</v>
      </c>
      <c r="C881" s="138" t="s">
        <v>172</v>
      </c>
      <c r="D881" s="144">
        <v>0</v>
      </c>
      <c r="E881" s="144">
        <v>0</v>
      </c>
      <c r="F881" s="144">
        <v>0</v>
      </c>
      <c r="G881" s="291">
        <v>0</v>
      </c>
      <c r="H881" s="150">
        <v>0</v>
      </c>
      <c r="I881" s="567">
        <f t="shared" si="23"/>
        <v>0</v>
      </c>
    </row>
    <row r="882" spans="1:10" x14ac:dyDescent="0.15">
      <c r="A882" s="138"/>
      <c r="B882" s="650" t="s">
        <v>631</v>
      </c>
      <c r="C882" s="651" t="s">
        <v>173</v>
      </c>
      <c r="D882" s="144">
        <v>0</v>
      </c>
      <c r="E882" s="144">
        <v>0</v>
      </c>
      <c r="F882" s="144">
        <v>0</v>
      </c>
      <c r="G882" s="291">
        <v>0</v>
      </c>
      <c r="H882" s="150">
        <v>0</v>
      </c>
      <c r="I882" s="567">
        <f t="shared" si="23"/>
        <v>0</v>
      </c>
    </row>
    <row r="883" spans="1:10" x14ac:dyDescent="0.15">
      <c r="A883" s="138"/>
      <c r="B883" s="521" t="s">
        <v>1584</v>
      </c>
      <c r="C883" s="138" t="s">
        <v>178</v>
      </c>
      <c r="D883" s="144">
        <v>0</v>
      </c>
      <c r="E883" s="144">
        <v>0</v>
      </c>
      <c r="F883" s="144">
        <v>0</v>
      </c>
      <c r="G883" s="291">
        <v>0</v>
      </c>
      <c r="H883" s="150">
        <v>0</v>
      </c>
      <c r="I883" s="567">
        <f t="shared" si="23"/>
        <v>0</v>
      </c>
    </row>
    <row r="884" spans="1:10" x14ac:dyDescent="0.15">
      <c r="A884" s="138"/>
      <c r="B884" s="521" t="s">
        <v>174</v>
      </c>
      <c r="C884" s="138" t="s">
        <v>179</v>
      </c>
      <c r="D884" s="144">
        <v>0</v>
      </c>
      <c r="E884" s="144">
        <v>0</v>
      </c>
      <c r="F884" s="144">
        <v>0</v>
      </c>
      <c r="G884" s="291">
        <v>0</v>
      </c>
      <c r="H884" s="150">
        <v>0</v>
      </c>
      <c r="I884" s="567">
        <f t="shared" si="23"/>
        <v>0</v>
      </c>
    </row>
    <row r="885" spans="1:10" x14ac:dyDescent="0.15">
      <c r="A885" s="138"/>
      <c r="B885" s="521" t="s">
        <v>175</v>
      </c>
      <c r="C885" s="138" t="s">
        <v>180</v>
      </c>
      <c r="D885" s="144">
        <v>0</v>
      </c>
      <c r="E885" s="144">
        <v>0</v>
      </c>
      <c r="F885" s="144">
        <v>0</v>
      </c>
      <c r="G885" s="291">
        <v>0</v>
      </c>
      <c r="H885" s="150">
        <v>0</v>
      </c>
      <c r="I885" s="567">
        <f t="shared" si="23"/>
        <v>0</v>
      </c>
    </row>
    <row r="886" spans="1:10" ht="11.25" thickBot="1" x14ac:dyDescent="0.2">
      <c r="A886" s="138"/>
      <c r="B886" s="521" t="s">
        <v>176</v>
      </c>
      <c r="C886" s="138" t="s">
        <v>181</v>
      </c>
      <c r="D886" s="144">
        <v>0</v>
      </c>
      <c r="E886" s="144">
        <v>0</v>
      </c>
      <c r="F886" s="144">
        <v>0</v>
      </c>
      <c r="G886" s="291">
        <v>0</v>
      </c>
      <c r="H886" s="150">
        <v>0</v>
      </c>
      <c r="I886" s="567">
        <f t="shared" si="23"/>
        <v>0</v>
      </c>
    </row>
    <row r="887" spans="1:10" ht="12" thickTop="1" thickBot="1" x14ac:dyDescent="0.2">
      <c r="A887" s="138"/>
      <c r="B887" s="521"/>
      <c r="C887" s="138" t="s">
        <v>381</v>
      </c>
      <c r="D887" s="169">
        <f>SUM(D853:D886)</f>
        <v>0</v>
      </c>
      <c r="E887" s="169">
        <f>SUM(E853:E886)</f>
        <v>0</v>
      </c>
      <c r="F887" s="169">
        <f>SUM(F853:F886)</f>
        <v>0</v>
      </c>
      <c r="G887" s="169">
        <f>SUM(G853:G886)</f>
        <v>0</v>
      </c>
      <c r="H887" s="169">
        <f>SUM(H853:H886)</f>
        <v>0</v>
      </c>
      <c r="I887" s="169">
        <f t="shared" si="23"/>
        <v>0</v>
      </c>
    </row>
    <row r="888" spans="1:10" ht="11.25" thickTop="1" x14ac:dyDescent="0.15">
      <c r="A888" s="138"/>
      <c r="B888" s="138"/>
      <c r="C888" s="138"/>
      <c r="D888" s="14"/>
      <c r="E888" s="14"/>
      <c r="F888" s="14"/>
      <c r="G888" s="14"/>
      <c r="H888" s="14"/>
      <c r="I888" s="563"/>
    </row>
    <row r="889" spans="1:10" x14ac:dyDescent="0.15">
      <c r="A889" s="522" t="s">
        <v>382</v>
      </c>
      <c r="B889" s="138"/>
      <c r="C889" s="138"/>
      <c r="D889" s="14"/>
      <c r="E889" s="14"/>
      <c r="F889" s="14"/>
      <c r="G889" s="14"/>
      <c r="H889" s="14"/>
      <c r="I889" s="563"/>
    </row>
    <row r="890" spans="1:10" s="434" customFormat="1" x14ac:dyDescent="0.15">
      <c r="B890" s="523" t="s">
        <v>1577</v>
      </c>
      <c r="C890" s="524" t="s">
        <v>228</v>
      </c>
      <c r="D890" s="316">
        <v>0</v>
      </c>
      <c r="E890" s="316">
        <v>0</v>
      </c>
      <c r="F890" s="316">
        <v>0</v>
      </c>
      <c r="G890" s="528">
        <f t="array" ref="G890">SUM(IF(CertFund&amp;CertProg&amp;CertObj=RIGHT(LEFT($A$2,7),2)&amp;LEFT(A889,4)&amp;B890,CertSalary))</f>
        <v>0</v>
      </c>
      <c r="H890" s="527">
        <v>0</v>
      </c>
      <c r="I890" s="566">
        <f t="shared" ref="I890:I924" si="24">SUM(G890+H890)</f>
        <v>0</v>
      </c>
    </row>
    <row r="891" spans="1:10" s="434" customFormat="1" x14ac:dyDescent="0.15">
      <c r="B891" s="523" t="s">
        <v>1577</v>
      </c>
      <c r="C891" s="524" t="s">
        <v>510</v>
      </c>
      <c r="D891" s="316">
        <v>0</v>
      </c>
      <c r="E891" s="316">
        <v>0</v>
      </c>
      <c r="F891" s="316">
        <v>0</v>
      </c>
      <c r="G891" s="316">
        <v>0</v>
      </c>
      <c r="H891" s="527">
        <v>0</v>
      </c>
      <c r="I891" s="566">
        <f t="shared" si="24"/>
        <v>0</v>
      </c>
    </row>
    <row r="892" spans="1:10" s="434" customFormat="1" x14ac:dyDescent="0.15">
      <c r="A892" s="524"/>
      <c r="B892" s="523" t="s">
        <v>1578</v>
      </c>
      <c r="C892" s="524" t="s">
        <v>936</v>
      </c>
      <c r="D892" s="316">
        <v>0</v>
      </c>
      <c r="E892" s="316">
        <v>0</v>
      </c>
      <c r="F892" s="316">
        <v>0</v>
      </c>
      <c r="G892" s="529">
        <f t="array" ref="G892">SUM(IF(CertFund&amp;CertProg&amp;CertObj=RIGHT(LEFT($A$2,7),2)&amp;LEFT(A889,4)&amp;B890,CertBen))</f>
        <v>0</v>
      </c>
      <c r="H892" s="527">
        <v>0</v>
      </c>
      <c r="I892" s="566">
        <f t="shared" si="24"/>
        <v>0</v>
      </c>
    </row>
    <row r="893" spans="1:10" x14ac:dyDescent="0.15">
      <c r="A893" s="138"/>
      <c r="B893" s="521" t="s">
        <v>1578</v>
      </c>
      <c r="C893" s="138" t="s">
        <v>511</v>
      </c>
      <c r="D893" s="147">
        <v>0</v>
      </c>
      <c r="E893" s="147">
        <v>0</v>
      </c>
      <c r="F893" s="147">
        <v>0</v>
      </c>
      <c r="G893" s="147">
        <v>0</v>
      </c>
      <c r="H893" s="150">
        <v>0</v>
      </c>
      <c r="I893" s="567">
        <f t="shared" si="24"/>
        <v>0</v>
      </c>
      <c r="J893" s="434"/>
    </row>
    <row r="894" spans="1:10" x14ac:dyDescent="0.15">
      <c r="A894" s="138"/>
      <c r="B894" s="521" t="s">
        <v>1579</v>
      </c>
      <c r="C894" s="138" t="s">
        <v>118</v>
      </c>
      <c r="D894" s="144">
        <v>0</v>
      </c>
      <c r="E894" s="144">
        <v>0</v>
      </c>
      <c r="F894" s="144">
        <v>0</v>
      </c>
      <c r="G894" s="291">
        <v>0</v>
      </c>
      <c r="H894" s="150">
        <v>0</v>
      </c>
      <c r="I894" s="567">
        <f t="shared" si="24"/>
        <v>0</v>
      </c>
    </row>
    <row r="895" spans="1:10" x14ac:dyDescent="0.15">
      <c r="A895" s="138"/>
      <c r="B895" s="521" t="s">
        <v>1580</v>
      </c>
      <c r="C895" s="138" t="s">
        <v>119</v>
      </c>
      <c r="D895" s="144">
        <v>0</v>
      </c>
      <c r="E895" s="144">
        <v>0</v>
      </c>
      <c r="F895" s="144">
        <v>0</v>
      </c>
      <c r="G895" s="291">
        <v>0</v>
      </c>
      <c r="H895" s="150">
        <v>0</v>
      </c>
      <c r="I895" s="567">
        <f t="shared" si="24"/>
        <v>0</v>
      </c>
    </row>
    <row r="896" spans="1:10" x14ac:dyDescent="0.15">
      <c r="A896" s="138"/>
      <c r="B896" s="521" t="s">
        <v>120</v>
      </c>
      <c r="C896" s="138" t="s">
        <v>121</v>
      </c>
      <c r="D896" s="144">
        <v>0</v>
      </c>
      <c r="E896" s="144">
        <v>0</v>
      </c>
      <c r="F896" s="144">
        <v>0</v>
      </c>
      <c r="G896" s="291">
        <v>0</v>
      </c>
      <c r="H896" s="150">
        <v>0</v>
      </c>
      <c r="I896" s="567">
        <f t="shared" si="24"/>
        <v>0</v>
      </c>
    </row>
    <row r="897" spans="1:9" x14ac:dyDescent="0.15">
      <c r="A897" s="138"/>
      <c r="B897" s="521" t="s">
        <v>122</v>
      </c>
      <c r="C897" s="138" t="s">
        <v>123</v>
      </c>
      <c r="D897" s="144">
        <v>0</v>
      </c>
      <c r="E897" s="144">
        <v>0</v>
      </c>
      <c r="F897" s="144">
        <v>0</v>
      </c>
      <c r="G897" s="291">
        <v>0</v>
      </c>
      <c r="H897" s="150">
        <v>0</v>
      </c>
      <c r="I897" s="567">
        <f t="shared" si="24"/>
        <v>0</v>
      </c>
    </row>
    <row r="898" spans="1:9" x14ac:dyDescent="0.15">
      <c r="A898" s="138"/>
      <c r="B898" s="521" t="s">
        <v>1581</v>
      </c>
      <c r="C898" s="138" t="s">
        <v>124</v>
      </c>
      <c r="D898" s="144">
        <v>0</v>
      </c>
      <c r="E898" s="144">
        <v>0</v>
      </c>
      <c r="F898" s="144">
        <v>0</v>
      </c>
      <c r="G898" s="291">
        <v>0</v>
      </c>
      <c r="H898" s="150">
        <v>0</v>
      </c>
      <c r="I898" s="567">
        <f t="shared" si="24"/>
        <v>0</v>
      </c>
    </row>
    <row r="899" spans="1:9" x14ac:dyDescent="0.15">
      <c r="A899" s="138"/>
      <c r="B899" s="521" t="s">
        <v>127</v>
      </c>
      <c r="C899" s="138" t="s">
        <v>134</v>
      </c>
      <c r="D899" s="144">
        <v>0</v>
      </c>
      <c r="E899" s="144">
        <v>0</v>
      </c>
      <c r="F899" s="144">
        <v>0</v>
      </c>
      <c r="G899" s="291">
        <v>0</v>
      </c>
      <c r="H899" s="150">
        <v>0</v>
      </c>
      <c r="I899" s="567">
        <f t="shared" si="24"/>
        <v>0</v>
      </c>
    </row>
    <row r="900" spans="1:9" x14ac:dyDescent="0.15">
      <c r="A900" s="138"/>
      <c r="B900" s="521" t="s">
        <v>128</v>
      </c>
      <c r="C900" s="138" t="s">
        <v>135</v>
      </c>
      <c r="D900" s="144">
        <v>0</v>
      </c>
      <c r="E900" s="144">
        <v>0</v>
      </c>
      <c r="F900" s="144">
        <v>0</v>
      </c>
      <c r="G900" s="291">
        <v>0</v>
      </c>
      <c r="H900" s="150">
        <v>0</v>
      </c>
      <c r="I900" s="567">
        <f t="shared" si="24"/>
        <v>0</v>
      </c>
    </row>
    <row r="901" spans="1:9" x14ac:dyDescent="0.15">
      <c r="A901" s="138"/>
      <c r="B901" s="521" t="s">
        <v>132</v>
      </c>
      <c r="C901" s="138" t="s">
        <v>1617</v>
      </c>
      <c r="D901" s="144">
        <v>0</v>
      </c>
      <c r="E901" s="144">
        <v>0</v>
      </c>
      <c r="F901" s="144">
        <v>0</v>
      </c>
      <c r="G901" s="291">
        <v>0</v>
      </c>
      <c r="H901" s="150">
        <v>0</v>
      </c>
      <c r="I901" s="567">
        <f t="shared" si="24"/>
        <v>0</v>
      </c>
    </row>
    <row r="902" spans="1:9" x14ac:dyDescent="0.15">
      <c r="A902" s="138"/>
      <c r="B902" s="521" t="s">
        <v>1618</v>
      </c>
      <c r="C902" s="138" t="s">
        <v>836</v>
      </c>
      <c r="D902" s="144">
        <v>0</v>
      </c>
      <c r="E902" s="144">
        <v>0</v>
      </c>
      <c r="F902" s="144">
        <v>0</v>
      </c>
      <c r="G902" s="291">
        <v>0</v>
      </c>
      <c r="H902" s="150">
        <v>0</v>
      </c>
      <c r="I902" s="567">
        <f t="shared" si="24"/>
        <v>0</v>
      </c>
    </row>
    <row r="903" spans="1:9" x14ac:dyDescent="0.15">
      <c r="A903" s="138"/>
      <c r="B903" s="521" t="s">
        <v>1619</v>
      </c>
      <c r="C903" s="138" t="s">
        <v>837</v>
      </c>
      <c r="D903" s="144">
        <v>0</v>
      </c>
      <c r="E903" s="144">
        <v>0</v>
      </c>
      <c r="F903" s="144">
        <v>0</v>
      </c>
      <c r="G903" s="291">
        <v>0</v>
      </c>
      <c r="H903" s="150">
        <v>0</v>
      </c>
      <c r="I903" s="567">
        <f t="shared" si="24"/>
        <v>0</v>
      </c>
    </row>
    <row r="904" spans="1:9" x14ac:dyDescent="0.15">
      <c r="A904" s="138"/>
      <c r="B904" s="521" t="s">
        <v>1620</v>
      </c>
      <c r="C904" s="138" t="s">
        <v>838</v>
      </c>
      <c r="D904" s="144">
        <v>0</v>
      </c>
      <c r="E904" s="144">
        <v>0</v>
      </c>
      <c r="F904" s="144">
        <v>0</v>
      </c>
      <c r="G904" s="291">
        <v>0</v>
      </c>
      <c r="H904" s="150">
        <v>0</v>
      </c>
      <c r="I904" s="567">
        <f t="shared" si="24"/>
        <v>0</v>
      </c>
    </row>
    <row r="905" spans="1:9" x14ac:dyDescent="0.15">
      <c r="A905" s="138"/>
      <c r="B905" s="521" t="s">
        <v>1621</v>
      </c>
      <c r="C905" s="138" t="s">
        <v>839</v>
      </c>
      <c r="D905" s="144">
        <v>0</v>
      </c>
      <c r="E905" s="144">
        <v>0</v>
      </c>
      <c r="F905" s="144">
        <v>0</v>
      </c>
      <c r="G905" s="291">
        <v>0</v>
      </c>
      <c r="H905" s="150">
        <v>0</v>
      </c>
      <c r="I905" s="567">
        <f t="shared" si="24"/>
        <v>0</v>
      </c>
    </row>
    <row r="906" spans="1:9" x14ac:dyDescent="0.15">
      <c r="A906" s="138"/>
      <c r="B906" s="521" t="s">
        <v>1622</v>
      </c>
      <c r="C906" s="138" t="s">
        <v>190</v>
      </c>
      <c r="D906" s="144">
        <v>0</v>
      </c>
      <c r="E906" s="144">
        <v>0</v>
      </c>
      <c r="F906" s="144">
        <v>0</v>
      </c>
      <c r="G906" s="291">
        <v>0</v>
      </c>
      <c r="H906" s="150">
        <v>0</v>
      </c>
      <c r="I906" s="567">
        <f t="shared" si="24"/>
        <v>0</v>
      </c>
    </row>
    <row r="907" spans="1:9" x14ac:dyDescent="0.15">
      <c r="A907" s="138"/>
      <c r="B907" s="521" t="s">
        <v>1623</v>
      </c>
      <c r="C907" s="138" t="s">
        <v>191</v>
      </c>
      <c r="D907" s="144">
        <v>0</v>
      </c>
      <c r="E907" s="144">
        <v>0</v>
      </c>
      <c r="F907" s="144">
        <v>0</v>
      </c>
      <c r="G907" s="291">
        <v>0</v>
      </c>
      <c r="H907" s="150">
        <v>0</v>
      </c>
      <c r="I907" s="567">
        <f t="shared" si="24"/>
        <v>0</v>
      </c>
    </row>
    <row r="908" spans="1:9" x14ac:dyDescent="0.15">
      <c r="A908" s="138"/>
      <c r="B908" s="521" t="s">
        <v>1624</v>
      </c>
      <c r="C908" s="138" t="s">
        <v>840</v>
      </c>
      <c r="D908" s="144">
        <v>0</v>
      </c>
      <c r="E908" s="144">
        <v>0</v>
      </c>
      <c r="F908" s="144">
        <v>0</v>
      </c>
      <c r="G908" s="291">
        <v>0</v>
      </c>
      <c r="H908" s="150">
        <v>0</v>
      </c>
      <c r="I908" s="567">
        <f t="shared" si="24"/>
        <v>0</v>
      </c>
    </row>
    <row r="909" spans="1:9" x14ac:dyDescent="0.15">
      <c r="A909" s="138"/>
      <c r="B909" s="521" t="s">
        <v>1625</v>
      </c>
      <c r="C909" s="138" t="s">
        <v>842</v>
      </c>
      <c r="D909" s="144">
        <v>0</v>
      </c>
      <c r="E909" s="144">
        <v>0</v>
      </c>
      <c r="F909" s="144">
        <v>0</v>
      </c>
      <c r="G909" s="291">
        <v>0</v>
      </c>
      <c r="H909" s="150">
        <v>0</v>
      </c>
      <c r="I909" s="567">
        <f t="shared" si="24"/>
        <v>0</v>
      </c>
    </row>
    <row r="910" spans="1:9" x14ac:dyDescent="0.15">
      <c r="A910" s="138"/>
      <c r="B910" s="521" t="s">
        <v>843</v>
      </c>
      <c r="C910" s="138" t="s">
        <v>848</v>
      </c>
      <c r="D910" s="144">
        <v>0</v>
      </c>
      <c r="E910" s="144">
        <v>0</v>
      </c>
      <c r="F910" s="144">
        <v>0</v>
      </c>
      <c r="G910" s="291">
        <v>0</v>
      </c>
      <c r="H910" s="150">
        <v>0</v>
      </c>
      <c r="I910" s="567">
        <f t="shared" si="24"/>
        <v>0</v>
      </c>
    </row>
    <row r="911" spans="1:9" x14ac:dyDescent="0.15">
      <c r="A911" s="138"/>
      <c r="B911" s="521" t="s">
        <v>844</v>
      </c>
      <c r="C911" s="138" t="s">
        <v>153</v>
      </c>
      <c r="D911" s="144">
        <v>0</v>
      </c>
      <c r="E911" s="144">
        <v>0</v>
      </c>
      <c r="F911" s="144">
        <v>0</v>
      </c>
      <c r="G911" s="291">
        <v>0</v>
      </c>
      <c r="H911" s="150">
        <v>0</v>
      </c>
      <c r="I911" s="567">
        <f t="shared" si="24"/>
        <v>0</v>
      </c>
    </row>
    <row r="912" spans="1:9" x14ac:dyDescent="0.15">
      <c r="A912" s="138"/>
      <c r="B912" s="521" t="s">
        <v>845</v>
      </c>
      <c r="C912" s="138" t="s">
        <v>154</v>
      </c>
      <c r="D912" s="144">
        <v>0</v>
      </c>
      <c r="E912" s="144">
        <v>0</v>
      </c>
      <c r="F912" s="144">
        <v>0</v>
      </c>
      <c r="G912" s="291">
        <v>0</v>
      </c>
      <c r="H912" s="150">
        <v>0</v>
      </c>
      <c r="I912" s="567">
        <f t="shared" si="24"/>
        <v>0</v>
      </c>
    </row>
    <row r="913" spans="1:9" x14ac:dyDescent="0.15">
      <c r="A913" s="138"/>
      <c r="B913" s="521" t="s">
        <v>846</v>
      </c>
      <c r="C913" s="138" t="s">
        <v>155</v>
      </c>
      <c r="D913" s="144">
        <v>0</v>
      </c>
      <c r="E913" s="144">
        <v>0</v>
      </c>
      <c r="F913" s="144">
        <v>0</v>
      </c>
      <c r="G913" s="291">
        <v>0</v>
      </c>
      <c r="H913" s="150">
        <v>0</v>
      </c>
      <c r="I913" s="567">
        <f t="shared" si="24"/>
        <v>0</v>
      </c>
    </row>
    <row r="914" spans="1:9" x14ac:dyDescent="0.15">
      <c r="A914" s="138"/>
      <c r="B914" s="521" t="s">
        <v>1582</v>
      </c>
      <c r="C914" s="138" t="s">
        <v>156</v>
      </c>
      <c r="D914" s="144">
        <v>0</v>
      </c>
      <c r="E914" s="144">
        <v>0</v>
      </c>
      <c r="F914" s="144">
        <v>0</v>
      </c>
      <c r="G914" s="291">
        <v>0</v>
      </c>
      <c r="H914" s="150">
        <v>0</v>
      </c>
      <c r="I914" s="567">
        <f t="shared" si="24"/>
        <v>0</v>
      </c>
    </row>
    <row r="915" spans="1:9" x14ac:dyDescent="0.15">
      <c r="A915" s="138"/>
      <c r="B915" s="521" t="s">
        <v>847</v>
      </c>
      <c r="C915" s="138" t="s">
        <v>157</v>
      </c>
      <c r="D915" s="144">
        <v>0</v>
      </c>
      <c r="E915" s="144">
        <v>0</v>
      </c>
      <c r="F915" s="144">
        <v>0</v>
      </c>
      <c r="G915" s="291">
        <v>0</v>
      </c>
      <c r="H915" s="150">
        <v>0</v>
      </c>
      <c r="I915" s="567">
        <f t="shared" si="24"/>
        <v>0</v>
      </c>
    </row>
    <row r="916" spans="1:9" x14ac:dyDescent="0.15">
      <c r="A916" s="138"/>
      <c r="B916" s="521" t="s">
        <v>1583</v>
      </c>
      <c r="C916" s="138" t="s">
        <v>160</v>
      </c>
      <c r="D916" s="144">
        <v>0</v>
      </c>
      <c r="E916" s="144">
        <v>0</v>
      </c>
      <c r="F916" s="144">
        <v>0</v>
      </c>
      <c r="G916" s="291">
        <v>0</v>
      </c>
      <c r="H916" s="150">
        <v>0</v>
      </c>
      <c r="I916" s="567">
        <f t="shared" si="24"/>
        <v>0</v>
      </c>
    </row>
    <row r="917" spans="1:9" x14ac:dyDescent="0.15">
      <c r="A917" s="138"/>
      <c r="B917" s="521" t="s">
        <v>634</v>
      </c>
      <c r="C917" s="138" t="s">
        <v>165</v>
      </c>
      <c r="D917" s="144">
        <v>0</v>
      </c>
      <c r="E917" s="144">
        <v>0</v>
      </c>
      <c r="F917" s="144">
        <v>0</v>
      </c>
      <c r="G917" s="291">
        <v>0</v>
      </c>
      <c r="H917" s="150">
        <v>0</v>
      </c>
      <c r="I917" s="567">
        <f t="shared" si="24"/>
        <v>0</v>
      </c>
    </row>
    <row r="918" spans="1:9" x14ac:dyDescent="0.15">
      <c r="A918" s="138"/>
      <c r="B918" s="521" t="s">
        <v>630</v>
      </c>
      <c r="C918" s="138" t="s">
        <v>172</v>
      </c>
      <c r="D918" s="144">
        <v>0</v>
      </c>
      <c r="E918" s="144">
        <v>0</v>
      </c>
      <c r="F918" s="144">
        <v>0</v>
      </c>
      <c r="G918" s="291">
        <v>0</v>
      </c>
      <c r="H918" s="150">
        <v>0</v>
      </c>
      <c r="I918" s="567">
        <f t="shared" si="24"/>
        <v>0</v>
      </c>
    </row>
    <row r="919" spans="1:9" x14ac:dyDescent="0.15">
      <c r="A919" s="138"/>
      <c r="B919" s="650" t="s">
        <v>631</v>
      </c>
      <c r="C919" s="651" t="s">
        <v>173</v>
      </c>
      <c r="D919" s="144">
        <v>0</v>
      </c>
      <c r="E919" s="144">
        <v>0</v>
      </c>
      <c r="F919" s="144">
        <v>0</v>
      </c>
      <c r="G919" s="291">
        <v>0</v>
      </c>
      <c r="H919" s="150">
        <v>0</v>
      </c>
      <c r="I919" s="567">
        <f t="shared" si="24"/>
        <v>0</v>
      </c>
    </row>
    <row r="920" spans="1:9" x14ac:dyDescent="0.15">
      <c r="A920" s="138"/>
      <c r="B920" s="521" t="s">
        <v>1584</v>
      </c>
      <c r="C920" s="138" t="s">
        <v>178</v>
      </c>
      <c r="D920" s="144">
        <v>0</v>
      </c>
      <c r="E920" s="144">
        <v>0</v>
      </c>
      <c r="F920" s="144">
        <v>0</v>
      </c>
      <c r="G920" s="291">
        <v>0</v>
      </c>
      <c r="H920" s="150">
        <v>0</v>
      </c>
      <c r="I920" s="567">
        <f t="shared" si="24"/>
        <v>0</v>
      </c>
    </row>
    <row r="921" spans="1:9" x14ac:dyDescent="0.15">
      <c r="A921" s="138"/>
      <c r="B921" s="521" t="s">
        <v>174</v>
      </c>
      <c r="C921" s="138" t="s">
        <v>179</v>
      </c>
      <c r="D921" s="144">
        <v>0</v>
      </c>
      <c r="E921" s="144">
        <v>0</v>
      </c>
      <c r="F921" s="144">
        <v>0</v>
      </c>
      <c r="G921" s="291">
        <v>0</v>
      </c>
      <c r="H921" s="150">
        <v>0</v>
      </c>
      <c r="I921" s="567">
        <f t="shared" si="24"/>
        <v>0</v>
      </c>
    </row>
    <row r="922" spans="1:9" x14ac:dyDescent="0.15">
      <c r="A922" s="138"/>
      <c r="B922" s="521" t="s">
        <v>175</v>
      </c>
      <c r="C922" s="138" t="s">
        <v>180</v>
      </c>
      <c r="D922" s="144">
        <v>0</v>
      </c>
      <c r="E922" s="144">
        <v>0</v>
      </c>
      <c r="F922" s="144">
        <v>0</v>
      </c>
      <c r="G922" s="291">
        <v>0</v>
      </c>
      <c r="H922" s="150">
        <v>0</v>
      </c>
      <c r="I922" s="567">
        <f t="shared" si="24"/>
        <v>0</v>
      </c>
    </row>
    <row r="923" spans="1:9" ht="11.25" thickBot="1" x14ac:dyDescent="0.2">
      <c r="A923" s="138"/>
      <c r="B923" s="521" t="s">
        <v>176</v>
      </c>
      <c r="C923" s="138" t="s">
        <v>181</v>
      </c>
      <c r="D923" s="144">
        <v>0</v>
      </c>
      <c r="E923" s="144">
        <v>0</v>
      </c>
      <c r="F923" s="144">
        <v>0</v>
      </c>
      <c r="G923" s="291">
        <v>0</v>
      </c>
      <c r="H923" s="150">
        <v>0</v>
      </c>
      <c r="I923" s="567">
        <f t="shared" si="24"/>
        <v>0</v>
      </c>
    </row>
    <row r="924" spans="1:9" ht="12" thickTop="1" thickBot="1" x14ac:dyDescent="0.2">
      <c r="A924" s="138"/>
      <c r="B924" s="521"/>
      <c r="C924" s="138" t="s">
        <v>383</v>
      </c>
      <c r="D924" s="169">
        <f>SUM(D890:D923)</f>
        <v>0</v>
      </c>
      <c r="E924" s="169">
        <f>SUM(E890:E923)</f>
        <v>0</v>
      </c>
      <c r="F924" s="169">
        <f>SUM(F890:F923)</f>
        <v>0</v>
      </c>
      <c r="G924" s="169">
        <f>SUM(G890:G923)</f>
        <v>0</v>
      </c>
      <c r="H924" s="169">
        <f>SUM(H890:H923)</f>
        <v>0</v>
      </c>
      <c r="I924" s="169">
        <f t="shared" si="24"/>
        <v>0</v>
      </c>
    </row>
    <row r="925" spans="1:9" ht="11.25" thickTop="1" x14ac:dyDescent="0.15">
      <c r="A925" s="138"/>
      <c r="B925" s="138"/>
      <c r="C925" s="138"/>
      <c r="D925" s="14"/>
      <c r="E925" s="14"/>
      <c r="F925" s="14"/>
      <c r="G925" s="14"/>
      <c r="H925" s="14"/>
      <c r="I925" s="563"/>
    </row>
    <row r="926" spans="1:9" x14ac:dyDescent="0.15">
      <c r="A926" s="522" t="s">
        <v>384</v>
      </c>
      <c r="B926" s="138"/>
      <c r="C926" s="138"/>
      <c r="D926" s="14"/>
      <c r="E926" s="14"/>
      <c r="F926" s="14"/>
      <c r="G926" s="14"/>
      <c r="H926" s="14"/>
      <c r="I926" s="563"/>
    </row>
    <row r="927" spans="1:9" s="434" customFormat="1" x14ac:dyDescent="0.15">
      <c r="B927" s="523" t="s">
        <v>1577</v>
      </c>
      <c r="C927" s="524" t="s">
        <v>228</v>
      </c>
      <c r="D927" s="316">
        <v>0</v>
      </c>
      <c r="E927" s="316">
        <v>0</v>
      </c>
      <c r="F927" s="316">
        <v>0</v>
      </c>
      <c r="G927" s="528">
        <f t="array" ref="G927">SUM(IF(CertFund&amp;CertProg&amp;CertObj=RIGHT(LEFT($A$2,7),2)&amp;LEFT(A926,4)&amp;B927,CertSalary))</f>
        <v>0</v>
      </c>
      <c r="H927" s="527">
        <v>0</v>
      </c>
      <c r="I927" s="566">
        <f t="shared" ref="I927:I960" si="25">SUM(G927+H927)</f>
        <v>0</v>
      </c>
    </row>
    <row r="928" spans="1:9" s="434" customFormat="1" x14ac:dyDescent="0.15">
      <c r="B928" s="523" t="s">
        <v>1577</v>
      </c>
      <c r="C928" s="524" t="s">
        <v>510</v>
      </c>
      <c r="D928" s="316">
        <v>0</v>
      </c>
      <c r="E928" s="316">
        <v>0</v>
      </c>
      <c r="F928" s="316">
        <v>0</v>
      </c>
      <c r="G928" s="316">
        <v>0</v>
      </c>
      <c r="H928" s="527">
        <v>0</v>
      </c>
      <c r="I928" s="566">
        <f t="shared" si="25"/>
        <v>0</v>
      </c>
    </row>
    <row r="929" spans="1:10" s="434" customFormat="1" x14ac:dyDescent="0.15">
      <c r="A929" s="524"/>
      <c r="B929" s="523" t="s">
        <v>1578</v>
      </c>
      <c r="C929" s="524" t="s">
        <v>936</v>
      </c>
      <c r="D929" s="316">
        <v>0</v>
      </c>
      <c r="E929" s="316">
        <v>0</v>
      </c>
      <c r="F929" s="316">
        <v>0</v>
      </c>
      <c r="G929" s="529">
        <f t="array" ref="G929">SUM(IF(CertFund&amp;CertProg&amp;CertObj=RIGHT(LEFT($A$2,7),2)&amp;LEFT(A926,4)&amp;B927,CertBen))</f>
        <v>0</v>
      </c>
      <c r="H929" s="527">
        <v>0</v>
      </c>
      <c r="I929" s="566">
        <f t="shared" si="25"/>
        <v>0</v>
      </c>
    </row>
    <row r="930" spans="1:10" x14ac:dyDescent="0.15">
      <c r="A930" s="138"/>
      <c r="B930" s="521" t="s">
        <v>1578</v>
      </c>
      <c r="C930" s="138" t="s">
        <v>511</v>
      </c>
      <c r="D930" s="147">
        <v>0</v>
      </c>
      <c r="E930" s="147">
        <v>0</v>
      </c>
      <c r="F930" s="147">
        <v>0</v>
      </c>
      <c r="G930" s="147">
        <v>0</v>
      </c>
      <c r="H930" s="150">
        <v>0</v>
      </c>
      <c r="I930" s="567">
        <f t="shared" si="25"/>
        <v>0</v>
      </c>
      <c r="J930" s="434"/>
    </row>
    <row r="931" spans="1:10" x14ac:dyDescent="0.15">
      <c r="A931" s="138"/>
      <c r="B931" s="521" t="s">
        <v>1579</v>
      </c>
      <c r="C931" s="138" t="s">
        <v>118</v>
      </c>
      <c r="D931" s="144">
        <v>0</v>
      </c>
      <c r="E931" s="144">
        <v>0</v>
      </c>
      <c r="F931" s="144">
        <v>0</v>
      </c>
      <c r="G931" s="291">
        <v>0</v>
      </c>
      <c r="H931" s="150">
        <v>0</v>
      </c>
      <c r="I931" s="567">
        <f t="shared" si="25"/>
        <v>0</v>
      </c>
    </row>
    <row r="932" spans="1:10" x14ac:dyDescent="0.15">
      <c r="A932" s="138"/>
      <c r="B932" s="521" t="s">
        <v>1580</v>
      </c>
      <c r="C932" s="138" t="s">
        <v>119</v>
      </c>
      <c r="D932" s="144">
        <v>0</v>
      </c>
      <c r="E932" s="144">
        <v>0</v>
      </c>
      <c r="F932" s="144">
        <v>0</v>
      </c>
      <c r="G932" s="291">
        <v>0</v>
      </c>
      <c r="H932" s="150">
        <v>0</v>
      </c>
      <c r="I932" s="567">
        <f t="shared" si="25"/>
        <v>0</v>
      </c>
    </row>
    <row r="933" spans="1:10" x14ac:dyDescent="0.15">
      <c r="A933" s="138"/>
      <c r="B933" s="521" t="s">
        <v>120</v>
      </c>
      <c r="C933" s="138" t="s">
        <v>121</v>
      </c>
      <c r="D933" s="144">
        <v>0</v>
      </c>
      <c r="E933" s="144">
        <v>0</v>
      </c>
      <c r="F933" s="144">
        <v>0</v>
      </c>
      <c r="G933" s="291">
        <v>0</v>
      </c>
      <c r="H933" s="150">
        <v>0</v>
      </c>
      <c r="I933" s="567">
        <f t="shared" si="25"/>
        <v>0</v>
      </c>
    </row>
    <row r="934" spans="1:10" x14ac:dyDescent="0.15">
      <c r="A934" s="138"/>
      <c r="B934" s="521" t="s">
        <v>122</v>
      </c>
      <c r="C934" s="138" t="s">
        <v>123</v>
      </c>
      <c r="D934" s="144">
        <v>0</v>
      </c>
      <c r="E934" s="144">
        <v>0</v>
      </c>
      <c r="F934" s="144">
        <v>0</v>
      </c>
      <c r="G934" s="291">
        <v>0</v>
      </c>
      <c r="H934" s="150">
        <v>0</v>
      </c>
      <c r="I934" s="567">
        <f t="shared" si="25"/>
        <v>0</v>
      </c>
    </row>
    <row r="935" spans="1:10" x14ac:dyDescent="0.15">
      <c r="A935" s="138"/>
      <c r="B935" s="521" t="s">
        <v>1581</v>
      </c>
      <c r="C935" s="138" t="s">
        <v>124</v>
      </c>
      <c r="D935" s="144">
        <v>0</v>
      </c>
      <c r="E935" s="144">
        <v>0</v>
      </c>
      <c r="F935" s="144">
        <v>0</v>
      </c>
      <c r="G935" s="291">
        <v>0</v>
      </c>
      <c r="H935" s="150">
        <v>0</v>
      </c>
      <c r="I935" s="567">
        <f t="shared" si="25"/>
        <v>0</v>
      </c>
    </row>
    <row r="936" spans="1:10" x14ac:dyDescent="0.15">
      <c r="A936" s="138"/>
      <c r="B936" s="521" t="s">
        <v>127</v>
      </c>
      <c r="C936" s="138" t="s">
        <v>134</v>
      </c>
      <c r="D936" s="144">
        <v>0</v>
      </c>
      <c r="E936" s="144">
        <v>0</v>
      </c>
      <c r="F936" s="144">
        <v>0</v>
      </c>
      <c r="G936" s="291">
        <v>0</v>
      </c>
      <c r="H936" s="150">
        <v>0</v>
      </c>
      <c r="I936" s="567">
        <f t="shared" si="25"/>
        <v>0</v>
      </c>
    </row>
    <row r="937" spans="1:10" x14ac:dyDescent="0.15">
      <c r="A937" s="138"/>
      <c r="B937" s="521" t="s">
        <v>128</v>
      </c>
      <c r="C937" s="138" t="s">
        <v>135</v>
      </c>
      <c r="D937" s="144">
        <v>0</v>
      </c>
      <c r="E937" s="144">
        <v>0</v>
      </c>
      <c r="F937" s="144">
        <v>0</v>
      </c>
      <c r="G937" s="291">
        <v>0</v>
      </c>
      <c r="H937" s="150">
        <v>0</v>
      </c>
      <c r="I937" s="567">
        <f t="shared" si="25"/>
        <v>0</v>
      </c>
    </row>
    <row r="938" spans="1:10" x14ac:dyDescent="0.15">
      <c r="A938" s="138"/>
      <c r="B938" s="521" t="s">
        <v>132</v>
      </c>
      <c r="C938" s="138" t="s">
        <v>1617</v>
      </c>
      <c r="D938" s="144">
        <v>0</v>
      </c>
      <c r="E938" s="144">
        <v>0</v>
      </c>
      <c r="F938" s="144">
        <v>0</v>
      </c>
      <c r="G938" s="291">
        <v>0</v>
      </c>
      <c r="H938" s="150">
        <v>0</v>
      </c>
      <c r="I938" s="567">
        <f t="shared" si="25"/>
        <v>0</v>
      </c>
    </row>
    <row r="939" spans="1:10" x14ac:dyDescent="0.15">
      <c r="A939" s="138"/>
      <c r="B939" s="521" t="s">
        <v>1618</v>
      </c>
      <c r="C939" s="138" t="s">
        <v>836</v>
      </c>
      <c r="D939" s="144">
        <v>0</v>
      </c>
      <c r="E939" s="144">
        <v>0</v>
      </c>
      <c r="F939" s="144">
        <v>0</v>
      </c>
      <c r="G939" s="291">
        <v>0</v>
      </c>
      <c r="H939" s="150">
        <v>0</v>
      </c>
      <c r="I939" s="567">
        <f t="shared" si="25"/>
        <v>0</v>
      </c>
    </row>
    <row r="940" spans="1:10" x14ac:dyDescent="0.15">
      <c r="A940" s="138"/>
      <c r="B940" s="521" t="s">
        <v>1619</v>
      </c>
      <c r="C940" s="138" t="s">
        <v>837</v>
      </c>
      <c r="D940" s="144">
        <v>0</v>
      </c>
      <c r="E940" s="144">
        <v>0</v>
      </c>
      <c r="F940" s="144">
        <v>0</v>
      </c>
      <c r="G940" s="291">
        <v>0</v>
      </c>
      <c r="H940" s="150">
        <v>0</v>
      </c>
      <c r="I940" s="567">
        <f t="shared" si="25"/>
        <v>0</v>
      </c>
    </row>
    <row r="941" spans="1:10" x14ac:dyDescent="0.15">
      <c r="A941" s="138"/>
      <c r="B941" s="521" t="s">
        <v>1620</v>
      </c>
      <c r="C941" s="138" t="s">
        <v>838</v>
      </c>
      <c r="D941" s="144">
        <v>0</v>
      </c>
      <c r="E941" s="144">
        <v>0</v>
      </c>
      <c r="F941" s="144">
        <v>0</v>
      </c>
      <c r="G941" s="291">
        <v>0</v>
      </c>
      <c r="H941" s="150">
        <v>0</v>
      </c>
      <c r="I941" s="567">
        <f t="shared" si="25"/>
        <v>0</v>
      </c>
    </row>
    <row r="942" spans="1:10" x14ac:dyDescent="0.15">
      <c r="A942" s="138"/>
      <c r="B942" s="521" t="s">
        <v>1621</v>
      </c>
      <c r="C942" s="138" t="s">
        <v>839</v>
      </c>
      <c r="D942" s="144">
        <v>0</v>
      </c>
      <c r="E942" s="144">
        <v>0</v>
      </c>
      <c r="F942" s="144">
        <v>0</v>
      </c>
      <c r="G942" s="291">
        <v>0</v>
      </c>
      <c r="H942" s="150">
        <v>0</v>
      </c>
      <c r="I942" s="567">
        <f t="shared" si="25"/>
        <v>0</v>
      </c>
    </row>
    <row r="943" spans="1:10" x14ac:dyDescent="0.15">
      <c r="A943" s="138"/>
      <c r="B943" s="521" t="s">
        <v>1622</v>
      </c>
      <c r="C943" s="138" t="s">
        <v>190</v>
      </c>
      <c r="D943" s="144">
        <v>0</v>
      </c>
      <c r="E943" s="144">
        <v>0</v>
      </c>
      <c r="F943" s="144">
        <v>0</v>
      </c>
      <c r="G943" s="291">
        <v>0</v>
      </c>
      <c r="H943" s="150">
        <v>0</v>
      </c>
      <c r="I943" s="567">
        <f t="shared" si="25"/>
        <v>0</v>
      </c>
    </row>
    <row r="944" spans="1:10" x14ac:dyDescent="0.15">
      <c r="A944" s="138"/>
      <c r="B944" s="521" t="s">
        <v>1623</v>
      </c>
      <c r="C944" s="138" t="s">
        <v>191</v>
      </c>
      <c r="D944" s="144">
        <v>0</v>
      </c>
      <c r="E944" s="144">
        <v>0</v>
      </c>
      <c r="F944" s="144">
        <v>0</v>
      </c>
      <c r="G944" s="291">
        <v>0</v>
      </c>
      <c r="H944" s="150">
        <v>0</v>
      </c>
      <c r="I944" s="567">
        <f t="shared" si="25"/>
        <v>0</v>
      </c>
    </row>
    <row r="945" spans="1:9" x14ac:dyDescent="0.15">
      <c r="A945" s="138"/>
      <c r="B945" s="521" t="s">
        <v>1624</v>
      </c>
      <c r="C945" s="138" t="s">
        <v>840</v>
      </c>
      <c r="D945" s="144">
        <v>0</v>
      </c>
      <c r="E945" s="144">
        <v>0</v>
      </c>
      <c r="F945" s="144">
        <v>0</v>
      </c>
      <c r="G945" s="291">
        <v>0</v>
      </c>
      <c r="H945" s="150">
        <v>0</v>
      </c>
      <c r="I945" s="567">
        <f t="shared" si="25"/>
        <v>0</v>
      </c>
    </row>
    <row r="946" spans="1:9" x14ac:dyDescent="0.15">
      <c r="A946" s="138"/>
      <c r="B946" s="521" t="s">
        <v>1625</v>
      </c>
      <c r="C946" s="138" t="s">
        <v>842</v>
      </c>
      <c r="D946" s="144">
        <v>0</v>
      </c>
      <c r="E946" s="144">
        <v>0</v>
      </c>
      <c r="F946" s="144">
        <v>0</v>
      </c>
      <c r="G946" s="291">
        <v>0</v>
      </c>
      <c r="H946" s="150">
        <v>0</v>
      </c>
      <c r="I946" s="567">
        <f t="shared" si="25"/>
        <v>0</v>
      </c>
    </row>
    <row r="947" spans="1:9" x14ac:dyDescent="0.15">
      <c r="A947" s="138"/>
      <c r="B947" s="521" t="s">
        <v>843</v>
      </c>
      <c r="C947" s="138" t="s">
        <v>848</v>
      </c>
      <c r="D947" s="144">
        <v>0</v>
      </c>
      <c r="E947" s="144">
        <v>0</v>
      </c>
      <c r="F947" s="144">
        <v>0</v>
      </c>
      <c r="G947" s="291">
        <v>0</v>
      </c>
      <c r="H947" s="150">
        <v>0</v>
      </c>
      <c r="I947" s="567">
        <f t="shared" si="25"/>
        <v>0</v>
      </c>
    </row>
    <row r="948" spans="1:9" x14ac:dyDescent="0.15">
      <c r="A948" s="138"/>
      <c r="B948" s="521" t="s">
        <v>844</v>
      </c>
      <c r="C948" s="138" t="s">
        <v>153</v>
      </c>
      <c r="D948" s="144">
        <v>0</v>
      </c>
      <c r="E948" s="144">
        <v>0</v>
      </c>
      <c r="F948" s="144">
        <v>0</v>
      </c>
      <c r="G948" s="291">
        <v>0</v>
      </c>
      <c r="H948" s="150">
        <v>0</v>
      </c>
      <c r="I948" s="567">
        <f t="shared" si="25"/>
        <v>0</v>
      </c>
    </row>
    <row r="949" spans="1:9" x14ac:dyDescent="0.15">
      <c r="A949" s="138"/>
      <c r="B949" s="521" t="s">
        <v>845</v>
      </c>
      <c r="C949" s="138" t="s">
        <v>154</v>
      </c>
      <c r="D949" s="144">
        <v>0</v>
      </c>
      <c r="E949" s="144">
        <v>0</v>
      </c>
      <c r="F949" s="144">
        <v>0</v>
      </c>
      <c r="G949" s="291">
        <v>0</v>
      </c>
      <c r="H949" s="150">
        <v>0</v>
      </c>
      <c r="I949" s="567">
        <f t="shared" si="25"/>
        <v>0</v>
      </c>
    </row>
    <row r="950" spans="1:9" x14ac:dyDescent="0.15">
      <c r="A950" s="138"/>
      <c r="B950" s="521" t="s">
        <v>846</v>
      </c>
      <c r="C950" s="138" t="s">
        <v>155</v>
      </c>
      <c r="D950" s="144">
        <v>0</v>
      </c>
      <c r="E950" s="144">
        <v>0</v>
      </c>
      <c r="F950" s="144">
        <v>0</v>
      </c>
      <c r="G950" s="291">
        <v>0</v>
      </c>
      <c r="H950" s="150">
        <v>0</v>
      </c>
      <c r="I950" s="567">
        <f t="shared" si="25"/>
        <v>0</v>
      </c>
    </row>
    <row r="951" spans="1:9" x14ac:dyDescent="0.15">
      <c r="A951" s="138"/>
      <c r="B951" s="521" t="s">
        <v>1582</v>
      </c>
      <c r="C951" s="138" t="s">
        <v>156</v>
      </c>
      <c r="D951" s="144">
        <v>0</v>
      </c>
      <c r="E951" s="144">
        <v>0</v>
      </c>
      <c r="F951" s="144">
        <v>0</v>
      </c>
      <c r="G951" s="291">
        <v>0</v>
      </c>
      <c r="H951" s="150">
        <v>0</v>
      </c>
      <c r="I951" s="567">
        <f t="shared" si="25"/>
        <v>0</v>
      </c>
    </row>
    <row r="952" spans="1:9" x14ac:dyDescent="0.15">
      <c r="A952" s="138"/>
      <c r="B952" s="521" t="s">
        <v>847</v>
      </c>
      <c r="C952" s="138" t="s">
        <v>157</v>
      </c>
      <c r="D952" s="144">
        <v>0</v>
      </c>
      <c r="E952" s="144">
        <v>0</v>
      </c>
      <c r="F952" s="144">
        <v>0</v>
      </c>
      <c r="G952" s="291">
        <v>0</v>
      </c>
      <c r="H952" s="150">
        <v>0</v>
      </c>
      <c r="I952" s="567">
        <f t="shared" si="25"/>
        <v>0</v>
      </c>
    </row>
    <row r="953" spans="1:9" x14ac:dyDescent="0.15">
      <c r="A953" s="138"/>
      <c r="B953" s="521" t="s">
        <v>1583</v>
      </c>
      <c r="C953" s="138" t="s">
        <v>160</v>
      </c>
      <c r="D953" s="144">
        <v>0</v>
      </c>
      <c r="E953" s="144">
        <v>0</v>
      </c>
      <c r="F953" s="144">
        <v>0</v>
      </c>
      <c r="G953" s="291">
        <v>0</v>
      </c>
      <c r="H953" s="150">
        <v>0</v>
      </c>
      <c r="I953" s="567">
        <f t="shared" si="25"/>
        <v>0</v>
      </c>
    </row>
    <row r="954" spans="1:9" x14ac:dyDescent="0.15">
      <c r="A954" s="138"/>
      <c r="B954" s="521" t="s">
        <v>634</v>
      </c>
      <c r="C954" s="138" t="s">
        <v>165</v>
      </c>
      <c r="D954" s="144">
        <v>0</v>
      </c>
      <c r="E954" s="144">
        <v>0</v>
      </c>
      <c r="F954" s="144">
        <v>0</v>
      </c>
      <c r="G954" s="291">
        <v>0</v>
      </c>
      <c r="H954" s="150">
        <v>0</v>
      </c>
      <c r="I954" s="567">
        <f t="shared" si="25"/>
        <v>0</v>
      </c>
    </row>
    <row r="955" spans="1:9" x14ac:dyDescent="0.15">
      <c r="A955" s="138"/>
      <c r="B955" s="521" t="s">
        <v>630</v>
      </c>
      <c r="C955" s="138" t="s">
        <v>172</v>
      </c>
      <c r="D955" s="144">
        <v>0</v>
      </c>
      <c r="E955" s="144">
        <v>0</v>
      </c>
      <c r="F955" s="144">
        <v>0</v>
      </c>
      <c r="G955" s="291">
        <v>0</v>
      </c>
      <c r="H955" s="150">
        <v>0</v>
      </c>
      <c r="I955" s="567">
        <f t="shared" si="25"/>
        <v>0</v>
      </c>
    </row>
    <row r="956" spans="1:9" x14ac:dyDescent="0.15">
      <c r="A956" s="138"/>
      <c r="B956" s="650" t="s">
        <v>631</v>
      </c>
      <c r="C956" s="651" t="s">
        <v>173</v>
      </c>
      <c r="D956" s="144">
        <v>0</v>
      </c>
      <c r="E956" s="144">
        <v>0</v>
      </c>
      <c r="F956" s="144">
        <v>0</v>
      </c>
      <c r="G956" s="291">
        <v>0</v>
      </c>
      <c r="H956" s="150">
        <v>0</v>
      </c>
      <c r="I956" s="567">
        <f t="shared" si="25"/>
        <v>0</v>
      </c>
    </row>
    <row r="957" spans="1:9" x14ac:dyDescent="0.15">
      <c r="A957" s="138"/>
      <c r="B957" s="521" t="s">
        <v>1584</v>
      </c>
      <c r="C957" s="138" t="s">
        <v>178</v>
      </c>
      <c r="D957" s="144">
        <v>0</v>
      </c>
      <c r="E957" s="144">
        <v>0</v>
      </c>
      <c r="F957" s="144">
        <v>0</v>
      </c>
      <c r="G957" s="291">
        <v>0</v>
      </c>
      <c r="H957" s="150">
        <v>0</v>
      </c>
      <c r="I957" s="567">
        <f t="shared" si="25"/>
        <v>0</v>
      </c>
    </row>
    <row r="958" spans="1:9" x14ac:dyDescent="0.15">
      <c r="A958" s="138"/>
      <c r="B958" s="521" t="s">
        <v>174</v>
      </c>
      <c r="C958" s="138" t="s">
        <v>179</v>
      </c>
      <c r="D958" s="144">
        <v>0</v>
      </c>
      <c r="E958" s="144">
        <v>0</v>
      </c>
      <c r="F958" s="144">
        <v>0</v>
      </c>
      <c r="G958" s="291">
        <v>0</v>
      </c>
      <c r="H958" s="150">
        <v>0</v>
      </c>
      <c r="I958" s="567">
        <f t="shared" si="25"/>
        <v>0</v>
      </c>
    </row>
    <row r="959" spans="1:9" x14ac:dyDescent="0.15">
      <c r="A959" s="138"/>
      <c r="B959" s="521" t="s">
        <v>175</v>
      </c>
      <c r="C959" s="138" t="s">
        <v>180</v>
      </c>
      <c r="D959" s="144">
        <v>0</v>
      </c>
      <c r="E959" s="144">
        <v>0</v>
      </c>
      <c r="F959" s="144">
        <v>0</v>
      </c>
      <c r="G959" s="291">
        <v>0</v>
      </c>
      <c r="H959" s="150">
        <v>0</v>
      </c>
      <c r="I959" s="567">
        <f t="shared" si="25"/>
        <v>0</v>
      </c>
    </row>
    <row r="960" spans="1:9" ht="11.25" thickBot="1" x14ac:dyDescent="0.2">
      <c r="A960" s="138"/>
      <c r="B960" s="521" t="s">
        <v>176</v>
      </c>
      <c r="C960" s="138" t="s">
        <v>181</v>
      </c>
      <c r="D960" s="144">
        <v>0</v>
      </c>
      <c r="E960" s="144">
        <v>0</v>
      </c>
      <c r="F960" s="144">
        <v>0</v>
      </c>
      <c r="G960" s="291">
        <v>0</v>
      </c>
      <c r="H960" s="150">
        <v>0</v>
      </c>
      <c r="I960" s="567">
        <f t="shared" si="25"/>
        <v>0</v>
      </c>
    </row>
    <row r="961" spans="1:10" ht="12" thickTop="1" thickBot="1" x14ac:dyDescent="0.2">
      <c r="A961" s="138"/>
      <c r="B961" s="521"/>
      <c r="C961" s="138" t="s">
        <v>385</v>
      </c>
      <c r="D961" s="169">
        <f>SUM(D927:D960)</f>
        <v>0</v>
      </c>
      <c r="E961" s="169">
        <f>SUM(E927:E960)</f>
        <v>0</v>
      </c>
      <c r="F961" s="169">
        <f>SUM(F927:F960)</f>
        <v>0</v>
      </c>
      <c r="G961" s="169">
        <f>SUM(G927:G960)</f>
        <v>0</v>
      </c>
      <c r="H961" s="169">
        <f>SUM(H927:H960)</f>
        <v>0</v>
      </c>
      <c r="I961" s="169">
        <f>SUM(G961+H961)</f>
        <v>0</v>
      </c>
    </row>
    <row r="962" spans="1:10" ht="11.25" thickTop="1" x14ac:dyDescent="0.15">
      <c r="A962" s="138"/>
      <c r="B962" s="138"/>
      <c r="C962" s="138"/>
      <c r="D962" s="14"/>
      <c r="E962" s="14"/>
      <c r="F962" s="14"/>
      <c r="G962" s="14"/>
      <c r="H962" s="14"/>
      <c r="I962" s="563"/>
    </row>
    <row r="963" spans="1:10" x14ac:dyDescent="0.15">
      <c r="A963" s="522" t="s">
        <v>1513</v>
      </c>
      <c r="B963" s="138"/>
      <c r="C963" s="138"/>
      <c r="D963" s="14"/>
      <c r="E963" s="14"/>
      <c r="F963" s="14"/>
      <c r="G963" s="14"/>
      <c r="H963" s="14"/>
      <c r="I963" s="563"/>
    </row>
    <row r="964" spans="1:10" s="434" customFormat="1" x14ac:dyDescent="0.15">
      <c r="B964" s="523" t="s">
        <v>1577</v>
      </c>
      <c r="C964" s="524" t="s">
        <v>228</v>
      </c>
      <c r="D964" s="316">
        <v>0</v>
      </c>
      <c r="E964" s="316">
        <v>0</v>
      </c>
      <c r="F964" s="316">
        <v>0</v>
      </c>
      <c r="G964" s="528">
        <f t="array" ref="G964">SUM(IF(CertFund&amp;CertProg&amp;CertObj=RIGHT(LEFT($A$2,7),2)&amp;LEFT(A963,4)&amp;B964,CertSalary))</f>
        <v>0</v>
      </c>
      <c r="H964" s="527">
        <v>0</v>
      </c>
      <c r="I964" s="566">
        <f t="shared" ref="I964:I997" si="26">SUM(G964+H964)</f>
        <v>0</v>
      </c>
    </row>
    <row r="965" spans="1:10" s="434" customFormat="1" x14ac:dyDescent="0.15">
      <c r="B965" s="523" t="s">
        <v>1577</v>
      </c>
      <c r="C965" s="524" t="s">
        <v>510</v>
      </c>
      <c r="D965" s="316">
        <v>0</v>
      </c>
      <c r="E965" s="316">
        <v>0</v>
      </c>
      <c r="F965" s="316">
        <v>0</v>
      </c>
      <c r="G965" s="316">
        <v>0</v>
      </c>
      <c r="H965" s="527">
        <v>0</v>
      </c>
      <c r="I965" s="566">
        <f t="shared" si="26"/>
        <v>0</v>
      </c>
    </row>
    <row r="966" spans="1:10" s="434" customFormat="1" x14ac:dyDescent="0.15">
      <c r="A966" s="524"/>
      <c r="B966" s="523" t="s">
        <v>1578</v>
      </c>
      <c r="C966" s="524" t="s">
        <v>936</v>
      </c>
      <c r="D966" s="316">
        <v>0</v>
      </c>
      <c r="E966" s="316">
        <v>0</v>
      </c>
      <c r="F966" s="316">
        <v>0</v>
      </c>
      <c r="G966" s="529">
        <f t="array" ref="G966">SUM(IF(CertFund&amp;CertProg&amp;CertObj=RIGHT(LEFT($A$2,7),2)&amp;LEFT(A963,4)&amp;B964,CertBen))</f>
        <v>0</v>
      </c>
      <c r="H966" s="527">
        <v>0</v>
      </c>
      <c r="I966" s="566">
        <f t="shared" si="26"/>
        <v>0</v>
      </c>
    </row>
    <row r="967" spans="1:10" x14ac:dyDescent="0.15">
      <c r="A967" s="138"/>
      <c r="B967" s="521" t="s">
        <v>1578</v>
      </c>
      <c r="C967" s="138" t="s">
        <v>511</v>
      </c>
      <c r="D967" s="147">
        <v>0</v>
      </c>
      <c r="E967" s="147">
        <v>0</v>
      </c>
      <c r="F967" s="147">
        <v>0</v>
      </c>
      <c r="G967" s="147">
        <v>0</v>
      </c>
      <c r="H967" s="150">
        <v>0</v>
      </c>
      <c r="I967" s="567">
        <f t="shared" si="26"/>
        <v>0</v>
      </c>
      <c r="J967" s="434"/>
    </row>
    <row r="968" spans="1:10" x14ac:dyDescent="0.15">
      <c r="A968" s="138"/>
      <c r="B968" s="521" t="s">
        <v>1579</v>
      </c>
      <c r="C968" s="138" t="s">
        <v>118</v>
      </c>
      <c r="D968" s="144">
        <v>0</v>
      </c>
      <c r="E968" s="144">
        <v>0</v>
      </c>
      <c r="F968" s="144">
        <v>0</v>
      </c>
      <c r="G968" s="291">
        <v>0</v>
      </c>
      <c r="H968" s="150">
        <v>0</v>
      </c>
      <c r="I968" s="567">
        <f t="shared" si="26"/>
        <v>0</v>
      </c>
    </row>
    <row r="969" spans="1:10" x14ac:dyDescent="0.15">
      <c r="A969" s="138"/>
      <c r="B969" s="521" t="s">
        <v>1580</v>
      </c>
      <c r="C969" s="138" t="s">
        <v>119</v>
      </c>
      <c r="D969" s="144">
        <v>0</v>
      </c>
      <c r="E969" s="144">
        <v>0</v>
      </c>
      <c r="F969" s="144">
        <v>0</v>
      </c>
      <c r="G969" s="291">
        <v>0</v>
      </c>
      <c r="H969" s="150">
        <v>0</v>
      </c>
      <c r="I969" s="567">
        <f t="shared" si="26"/>
        <v>0</v>
      </c>
    </row>
    <row r="970" spans="1:10" x14ac:dyDescent="0.15">
      <c r="A970" s="138"/>
      <c r="B970" s="521" t="s">
        <v>120</v>
      </c>
      <c r="C970" s="138" t="s">
        <v>121</v>
      </c>
      <c r="D970" s="144">
        <v>0</v>
      </c>
      <c r="E970" s="144">
        <v>0</v>
      </c>
      <c r="F970" s="144">
        <v>0</v>
      </c>
      <c r="G970" s="291">
        <v>0</v>
      </c>
      <c r="H970" s="150">
        <v>0</v>
      </c>
      <c r="I970" s="567">
        <f t="shared" si="26"/>
        <v>0</v>
      </c>
    </row>
    <row r="971" spans="1:10" x14ac:dyDescent="0.15">
      <c r="A971" s="138"/>
      <c r="B971" s="521" t="s">
        <v>122</v>
      </c>
      <c r="C971" s="138" t="s">
        <v>123</v>
      </c>
      <c r="D971" s="144">
        <v>0</v>
      </c>
      <c r="E971" s="144">
        <v>0</v>
      </c>
      <c r="F971" s="144">
        <v>0</v>
      </c>
      <c r="G971" s="291">
        <v>0</v>
      </c>
      <c r="H971" s="150">
        <v>0</v>
      </c>
      <c r="I971" s="567">
        <f t="shared" si="26"/>
        <v>0</v>
      </c>
    </row>
    <row r="972" spans="1:10" x14ac:dyDescent="0.15">
      <c r="A972" s="138"/>
      <c r="B972" s="521" t="s">
        <v>1581</v>
      </c>
      <c r="C972" s="138" t="s">
        <v>124</v>
      </c>
      <c r="D972" s="144">
        <v>0</v>
      </c>
      <c r="E972" s="144">
        <v>0</v>
      </c>
      <c r="F972" s="144">
        <v>0</v>
      </c>
      <c r="G972" s="291">
        <v>0</v>
      </c>
      <c r="H972" s="150">
        <v>0</v>
      </c>
      <c r="I972" s="567">
        <f t="shared" si="26"/>
        <v>0</v>
      </c>
    </row>
    <row r="973" spans="1:10" x14ac:dyDescent="0.15">
      <c r="A973" s="138"/>
      <c r="B973" s="521" t="s">
        <v>127</v>
      </c>
      <c r="C973" s="138" t="s">
        <v>134</v>
      </c>
      <c r="D973" s="144">
        <v>0</v>
      </c>
      <c r="E973" s="144">
        <v>0</v>
      </c>
      <c r="F973" s="144">
        <v>0</v>
      </c>
      <c r="G973" s="291">
        <v>0</v>
      </c>
      <c r="H973" s="150">
        <v>0</v>
      </c>
      <c r="I973" s="567">
        <f t="shared" si="26"/>
        <v>0</v>
      </c>
    </row>
    <row r="974" spans="1:10" x14ac:dyDescent="0.15">
      <c r="A974" s="138"/>
      <c r="B974" s="521" t="s">
        <v>128</v>
      </c>
      <c r="C974" s="138" t="s">
        <v>135</v>
      </c>
      <c r="D974" s="144">
        <v>0</v>
      </c>
      <c r="E974" s="144">
        <v>0</v>
      </c>
      <c r="F974" s="144">
        <v>0</v>
      </c>
      <c r="G974" s="291">
        <v>0</v>
      </c>
      <c r="H974" s="150">
        <v>0</v>
      </c>
      <c r="I974" s="567">
        <f t="shared" si="26"/>
        <v>0</v>
      </c>
    </row>
    <row r="975" spans="1:10" x14ac:dyDescent="0.15">
      <c r="A975" s="138"/>
      <c r="B975" s="521" t="s">
        <v>132</v>
      </c>
      <c r="C975" s="138" t="s">
        <v>1617</v>
      </c>
      <c r="D975" s="144">
        <v>0</v>
      </c>
      <c r="E975" s="144">
        <v>0</v>
      </c>
      <c r="F975" s="144">
        <v>0</v>
      </c>
      <c r="G975" s="291">
        <v>0</v>
      </c>
      <c r="H975" s="150">
        <v>0</v>
      </c>
      <c r="I975" s="567">
        <f t="shared" si="26"/>
        <v>0</v>
      </c>
    </row>
    <row r="976" spans="1:10" x14ac:dyDescent="0.15">
      <c r="A976" s="138"/>
      <c r="B976" s="521" t="s">
        <v>1618</v>
      </c>
      <c r="C976" s="138" t="s">
        <v>836</v>
      </c>
      <c r="D976" s="144">
        <v>0</v>
      </c>
      <c r="E976" s="144">
        <v>0</v>
      </c>
      <c r="F976" s="144">
        <v>0</v>
      </c>
      <c r="G976" s="291">
        <v>0</v>
      </c>
      <c r="H976" s="150">
        <v>0</v>
      </c>
      <c r="I976" s="567">
        <f t="shared" si="26"/>
        <v>0</v>
      </c>
    </row>
    <row r="977" spans="1:9" x14ac:dyDescent="0.15">
      <c r="A977" s="138"/>
      <c r="B977" s="521" t="s">
        <v>1619</v>
      </c>
      <c r="C977" s="138" t="s">
        <v>837</v>
      </c>
      <c r="D977" s="144">
        <v>0</v>
      </c>
      <c r="E977" s="144">
        <v>0</v>
      </c>
      <c r="F977" s="144">
        <v>0</v>
      </c>
      <c r="G977" s="291">
        <v>0</v>
      </c>
      <c r="H977" s="150">
        <v>0</v>
      </c>
      <c r="I977" s="567">
        <f t="shared" si="26"/>
        <v>0</v>
      </c>
    </row>
    <row r="978" spans="1:9" x14ac:dyDescent="0.15">
      <c r="A978" s="138"/>
      <c r="B978" s="521" t="s">
        <v>1620</v>
      </c>
      <c r="C978" s="138" t="s">
        <v>838</v>
      </c>
      <c r="D978" s="144">
        <v>0</v>
      </c>
      <c r="E978" s="144">
        <v>0</v>
      </c>
      <c r="F978" s="144">
        <v>0</v>
      </c>
      <c r="G978" s="291">
        <v>0</v>
      </c>
      <c r="H978" s="150">
        <v>0</v>
      </c>
      <c r="I978" s="567">
        <f t="shared" si="26"/>
        <v>0</v>
      </c>
    </row>
    <row r="979" spans="1:9" x14ac:dyDescent="0.15">
      <c r="A979" s="138"/>
      <c r="B979" s="521" t="s">
        <v>1621</v>
      </c>
      <c r="C979" s="138" t="s">
        <v>839</v>
      </c>
      <c r="D979" s="144">
        <v>0</v>
      </c>
      <c r="E979" s="144">
        <v>0</v>
      </c>
      <c r="F979" s="144">
        <v>0</v>
      </c>
      <c r="G979" s="291">
        <v>0</v>
      </c>
      <c r="H979" s="150">
        <v>0</v>
      </c>
      <c r="I979" s="567">
        <f t="shared" si="26"/>
        <v>0</v>
      </c>
    </row>
    <row r="980" spans="1:9" x14ac:dyDescent="0.15">
      <c r="A980" s="138"/>
      <c r="B980" s="521" t="s">
        <v>1622</v>
      </c>
      <c r="C980" s="138" t="s">
        <v>190</v>
      </c>
      <c r="D980" s="144">
        <v>0</v>
      </c>
      <c r="E980" s="144">
        <v>0</v>
      </c>
      <c r="F980" s="144">
        <v>0</v>
      </c>
      <c r="G980" s="291">
        <v>0</v>
      </c>
      <c r="H980" s="150">
        <v>0</v>
      </c>
      <c r="I980" s="567">
        <f t="shared" si="26"/>
        <v>0</v>
      </c>
    </row>
    <row r="981" spans="1:9" x14ac:dyDescent="0.15">
      <c r="A981" s="138"/>
      <c r="B981" s="521" t="s">
        <v>1623</v>
      </c>
      <c r="C981" s="138" t="s">
        <v>191</v>
      </c>
      <c r="D981" s="144">
        <v>0</v>
      </c>
      <c r="E981" s="144">
        <v>0</v>
      </c>
      <c r="F981" s="144">
        <v>0</v>
      </c>
      <c r="G981" s="291">
        <v>0</v>
      </c>
      <c r="H981" s="150">
        <v>0</v>
      </c>
      <c r="I981" s="567">
        <f t="shared" si="26"/>
        <v>0</v>
      </c>
    </row>
    <row r="982" spans="1:9" x14ac:dyDescent="0.15">
      <c r="A982" s="138"/>
      <c r="B982" s="521" t="s">
        <v>1624</v>
      </c>
      <c r="C982" s="138" t="s">
        <v>840</v>
      </c>
      <c r="D982" s="144">
        <v>0</v>
      </c>
      <c r="E982" s="144">
        <v>0</v>
      </c>
      <c r="F982" s="144">
        <v>0</v>
      </c>
      <c r="G982" s="291">
        <v>0</v>
      </c>
      <c r="H982" s="150">
        <v>0</v>
      </c>
      <c r="I982" s="567">
        <f t="shared" si="26"/>
        <v>0</v>
      </c>
    </row>
    <row r="983" spans="1:9" x14ac:dyDescent="0.15">
      <c r="A983" s="138"/>
      <c r="B983" s="521" t="s">
        <v>1625</v>
      </c>
      <c r="C983" s="138" t="s">
        <v>842</v>
      </c>
      <c r="D983" s="144">
        <v>0</v>
      </c>
      <c r="E983" s="144">
        <v>0</v>
      </c>
      <c r="F983" s="144">
        <v>0</v>
      </c>
      <c r="G983" s="291">
        <v>0</v>
      </c>
      <c r="H983" s="150">
        <v>0</v>
      </c>
      <c r="I983" s="567">
        <f t="shared" si="26"/>
        <v>0</v>
      </c>
    </row>
    <row r="984" spans="1:9" x14ac:dyDescent="0.15">
      <c r="A984" s="138"/>
      <c r="B984" s="521" t="s">
        <v>843</v>
      </c>
      <c r="C984" s="138" t="s">
        <v>848</v>
      </c>
      <c r="D984" s="144">
        <v>0</v>
      </c>
      <c r="E984" s="144">
        <v>0</v>
      </c>
      <c r="F984" s="144">
        <v>0</v>
      </c>
      <c r="G984" s="291">
        <v>0</v>
      </c>
      <c r="H984" s="150">
        <v>0</v>
      </c>
      <c r="I984" s="567">
        <f t="shared" si="26"/>
        <v>0</v>
      </c>
    </row>
    <row r="985" spans="1:9" x14ac:dyDescent="0.15">
      <c r="A985" s="138"/>
      <c r="B985" s="521" t="s">
        <v>844</v>
      </c>
      <c r="C985" s="138" t="s">
        <v>153</v>
      </c>
      <c r="D985" s="144">
        <v>0</v>
      </c>
      <c r="E985" s="144">
        <v>0</v>
      </c>
      <c r="F985" s="144">
        <v>0</v>
      </c>
      <c r="G985" s="291">
        <v>0</v>
      </c>
      <c r="H985" s="150">
        <v>0</v>
      </c>
      <c r="I985" s="567">
        <f t="shared" si="26"/>
        <v>0</v>
      </c>
    </row>
    <row r="986" spans="1:9" x14ac:dyDescent="0.15">
      <c r="A986" s="138"/>
      <c r="B986" s="521" t="s">
        <v>845</v>
      </c>
      <c r="C986" s="138" t="s">
        <v>154</v>
      </c>
      <c r="D986" s="144">
        <v>0</v>
      </c>
      <c r="E986" s="144">
        <v>0</v>
      </c>
      <c r="F986" s="144">
        <v>0</v>
      </c>
      <c r="G986" s="291">
        <v>0</v>
      </c>
      <c r="H986" s="150">
        <v>0</v>
      </c>
      <c r="I986" s="567">
        <f t="shared" si="26"/>
        <v>0</v>
      </c>
    </row>
    <row r="987" spans="1:9" x14ac:dyDescent="0.15">
      <c r="A987" s="138"/>
      <c r="B987" s="521" t="s">
        <v>846</v>
      </c>
      <c r="C987" s="138" t="s">
        <v>155</v>
      </c>
      <c r="D987" s="144">
        <v>0</v>
      </c>
      <c r="E987" s="144">
        <v>0</v>
      </c>
      <c r="F987" s="144">
        <v>0</v>
      </c>
      <c r="G987" s="291">
        <v>0</v>
      </c>
      <c r="H987" s="150">
        <v>0</v>
      </c>
      <c r="I987" s="567">
        <f t="shared" si="26"/>
        <v>0</v>
      </c>
    </row>
    <row r="988" spans="1:9" x14ac:dyDescent="0.15">
      <c r="A988" s="138"/>
      <c r="B988" s="521" t="s">
        <v>1582</v>
      </c>
      <c r="C988" s="138" t="s">
        <v>156</v>
      </c>
      <c r="D988" s="144">
        <v>0</v>
      </c>
      <c r="E988" s="144">
        <v>0</v>
      </c>
      <c r="F988" s="144">
        <v>0</v>
      </c>
      <c r="G988" s="291">
        <v>0</v>
      </c>
      <c r="H988" s="150">
        <v>0</v>
      </c>
      <c r="I988" s="567">
        <f t="shared" si="26"/>
        <v>0</v>
      </c>
    </row>
    <row r="989" spans="1:9" x14ac:dyDescent="0.15">
      <c r="A989" s="138"/>
      <c r="B989" s="521" t="s">
        <v>847</v>
      </c>
      <c r="C989" s="138" t="s">
        <v>157</v>
      </c>
      <c r="D989" s="144">
        <v>0</v>
      </c>
      <c r="E989" s="144">
        <v>0</v>
      </c>
      <c r="F989" s="144">
        <v>0</v>
      </c>
      <c r="G989" s="291">
        <v>0</v>
      </c>
      <c r="H989" s="150">
        <v>0</v>
      </c>
      <c r="I989" s="567">
        <f t="shared" si="26"/>
        <v>0</v>
      </c>
    </row>
    <row r="990" spans="1:9" x14ac:dyDescent="0.15">
      <c r="A990" s="138"/>
      <c r="B990" s="521" t="s">
        <v>1583</v>
      </c>
      <c r="C990" s="138" t="s">
        <v>160</v>
      </c>
      <c r="D990" s="144">
        <v>0</v>
      </c>
      <c r="E990" s="144">
        <v>0</v>
      </c>
      <c r="F990" s="144">
        <v>0</v>
      </c>
      <c r="G990" s="291">
        <v>0</v>
      </c>
      <c r="H990" s="150">
        <v>0</v>
      </c>
      <c r="I990" s="567">
        <f t="shared" si="26"/>
        <v>0</v>
      </c>
    </row>
    <row r="991" spans="1:9" x14ac:dyDescent="0.15">
      <c r="A991" s="138"/>
      <c r="B991" s="521" t="s">
        <v>634</v>
      </c>
      <c r="C991" s="138" t="s">
        <v>165</v>
      </c>
      <c r="D991" s="144">
        <v>0</v>
      </c>
      <c r="E991" s="144">
        <v>0</v>
      </c>
      <c r="F991" s="144">
        <v>0</v>
      </c>
      <c r="G991" s="291">
        <v>0</v>
      </c>
      <c r="H991" s="150">
        <v>0</v>
      </c>
      <c r="I991" s="567">
        <f t="shared" si="26"/>
        <v>0</v>
      </c>
    </row>
    <row r="992" spans="1:9" x14ac:dyDescent="0.15">
      <c r="A992" s="138"/>
      <c r="B992" s="521" t="s">
        <v>630</v>
      </c>
      <c r="C992" s="138" t="s">
        <v>172</v>
      </c>
      <c r="D992" s="144">
        <v>0</v>
      </c>
      <c r="E992" s="144">
        <v>0</v>
      </c>
      <c r="F992" s="144">
        <v>0</v>
      </c>
      <c r="G992" s="291">
        <v>0</v>
      </c>
      <c r="H992" s="150">
        <v>0</v>
      </c>
      <c r="I992" s="567">
        <f t="shared" si="26"/>
        <v>0</v>
      </c>
    </row>
    <row r="993" spans="1:9" x14ac:dyDescent="0.15">
      <c r="A993" s="138"/>
      <c r="B993" s="650" t="s">
        <v>631</v>
      </c>
      <c r="C993" s="651" t="s">
        <v>173</v>
      </c>
      <c r="D993" s="144">
        <v>0</v>
      </c>
      <c r="E993" s="144">
        <v>0</v>
      </c>
      <c r="F993" s="144">
        <v>0</v>
      </c>
      <c r="G993" s="291">
        <v>0</v>
      </c>
      <c r="H993" s="150">
        <v>0</v>
      </c>
      <c r="I993" s="567">
        <f t="shared" si="26"/>
        <v>0</v>
      </c>
    </row>
    <row r="994" spans="1:9" x14ac:dyDescent="0.15">
      <c r="A994" s="138"/>
      <c r="B994" s="521" t="s">
        <v>1584</v>
      </c>
      <c r="C994" s="138" t="s">
        <v>178</v>
      </c>
      <c r="D994" s="144">
        <v>0</v>
      </c>
      <c r="E994" s="144">
        <v>0</v>
      </c>
      <c r="F994" s="144">
        <v>0</v>
      </c>
      <c r="G994" s="291">
        <v>0</v>
      </c>
      <c r="H994" s="150">
        <v>0</v>
      </c>
      <c r="I994" s="567">
        <f t="shared" si="26"/>
        <v>0</v>
      </c>
    </row>
    <row r="995" spans="1:9" x14ac:dyDescent="0.15">
      <c r="A995" s="138"/>
      <c r="B995" s="521" t="s">
        <v>174</v>
      </c>
      <c r="C995" s="138" t="s">
        <v>179</v>
      </c>
      <c r="D995" s="144">
        <v>0</v>
      </c>
      <c r="E995" s="144">
        <v>0</v>
      </c>
      <c r="F995" s="144">
        <v>0</v>
      </c>
      <c r="G995" s="291">
        <v>0</v>
      </c>
      <c r="H995" s="150">
        <v>0</v>
      </c>
      <c r="I995" s="567">
        <f t="shared" si="26"/>
        <v>0</v>
      </c>
    </row>
    <row r="996" spans="1:9" x14ac:dyDescent="0.15">
      <c r="A996" s="138"/>
      <c r="B996" s="521" t="s">
        <v>175</v>
      </c>
      <c r="C996" s="138" t="s">
        <v>180</v>
      </c>
      <c r="D996" s="144">
        <v>0</v>
      </c>
      <c r="E996" s="144">
        <v>0</v>
      </c>
      <c r="F996" s="144">
        <v>0</v>
      </c>
      <c r="G996" s="291">
        <v>0</v>
      </c>
      <c r="H996" s="150">
        <v>0</v>
      </c>
      <c r="I996" s="567">
        <f t="shared" si="26"/>
        <v>0</v>
      </c>
    </row>
    <row r="997" spans="1:9" ht="11.25" thickBot="1" x14ac:dyDescent="0.2">
      <c r="A997" s="138"/>
      <c r="B997" s="521" t="s">
        <v>176</v>
      </c>
      <c r="C997" s="138" t="s">
        <v>181</v>
      </c>
      <c r="D997" s="144">
        <v>0</v>
      </c>
      <c r="E997" s="144">
        <v>0</v>
      </c>
      <c r="F997" s="144">
        <v>0</v>
      </c>
      <c r="G997" s="291">
        <v>0</v>
      </c>
      <c r="H997" s="150">
        <v>0</v>
      </c>
      <c r="I997" s="567">
        <f t="shared" si="26"/>
        <v>0</v>
      </c>
    </row>
    <row r="998" spans="1:9" ht="12" thickTop="1" thickBot="1" x14ac:dyDescent="0.2">
      <c r="A998" s="138"/>
      <c r="B998" s="521"/>
      <c r="C998" s="138" t="s">
        <v>386</v>
      </c>
      <c r="D998" s="169">
        <f t="shared" ref="D998:I998" si="27">SUM(D964:D997)</f>
        <v>0</v>
      </c>
      <c r="E998" s="169">
        <f t="shared" si="27"/>
        <v>0</v>
      </c>
      <c r="F998" s="169">
        <f t="shared" si="27"/>
        <v>0</v>
      </c>
      <c r="G998" s="169">
        <f t="shared" si="27"/>
        <v>0</v>
      </c>
      <c r="H998" s="169">
        <f t="shared" si="27"/>
        <v>0</v>
      </c>
      <c r="I998" s="169">
        <f t="shared" si="27"/>
        <v>0</v>
      </c>
    </row>
    <row r="999" spans="1:9" ht="11.25" thickTop="1" x14ac:dyDescent="0.15">
      <c r="A999" s="138"/>
      <c r="B999" s="138"/>
      <c r="C999" s="138"/>
      <c r="D999" s="14"/>
      <c r="E999" s="14"/>
      <c r="F999" s="14"/>
      <c r="G999" s="14"/>
      <c r="H999" s="14"/>
      <c r="I999" s="563"/>
    </row>
    <row r="1000" spans="1:9" x14ac:dyDescent="0.15">
      <c r="A1000" s="522" t="s">
        <v>387</v>
      </c>
      <c r="B1000" s="138"/>
      <c r="C1000" s="138"/>
      <c r="D1000" s="14"/>
      <c r="E1000" s="14"/>
      <c r="F1000" s="14"/>
      <c r="G1000" s="14"/>
      <c r="H1000" s="14"/>
      <c r="I1000" s="563"/>
    </row>
    <row r="1001" spans="1:9" s="434" customFormat="1" x14ac:dyDescent="0.15">
      <c r="B1001" s="523" t="s">
        <v>1577</v>
      </c>
      <c r="C1001" s="524" t="s">
        <v>228</v>
      </c>
      <c r="D1001" s="316">
        <v>0</v>
      </c>
      <c r="E1001" s="316">
        <v>0</v>
      </c>
      <c r="F1001" s="316">
        <v>0</v>
      </c>
      <c r="G1001" s="528">
        <f t="array" ref="G1001">SUM(IF(CertFund&amp;CertProg&amp;CertObj=RIGHT(LEFT($A$2,7),2)&amp;LEFT(A1000,4)&amp;B1001,CertSalary))</f>
        <v>0</v>
      </c>
      <c r="H1001" s="527">
        <v>0</v>
      </c>
      <c r="I1001" s="566">
        <f t="shared" ref="I1001:I1035" si="28">SUM(G1001+H1001)</f>
        <v>0</v>
      </c>
    </row>
    <row r="1002" spans="1:9" s="434" customFormat="1" x14ac:dyDescent="0.15">
      <c r="B1002" s="523" t="s">
        <v>1577</v>
      </c>
      <c r="C1002" s="524" t="s">
        <v>510</v>
      </c>
      <c r="D1002" s="316">
        <v>0</v>
      </c>
      <c r="E1002" s="316">
        <v>0</v>
      </c>
      <c r="F1002" s="316">
        <v>0</v>
      </c>
      <c r="G1002" s="316">
        <v>0</v>
      </c>
      <c r="H1002" s="527">
        <v>0</v>
      </c>
      <c r="I1002" s="566">
        <f t="shared" si="28"/>
        <v>0</v>
      </c>
    </row>
    <row r="1003" spans="1:9" s="434" customFormat="1" x14ac:dyDescent="0.15">
      <c r="A1003" s="524"/>
      <c r="B1003" s="523" t="s">
        <v>1578</v>
      </c>
      <c r="C1003" s="524" t="s">
        <v>936</v>
      </c>
      <c r="D1003" s="316">
        <v>0</v>
      </c>
      <c r="E1003" s="316">
        <v>0</v>
      </c>
      <c r="F1003" s="316">
        <v>0</v>
      </c>
      <c r="G1003" s="529">
        <f t="array" ref="G1003">SUM(IF(CertFund&amp;CertProg&amp;CertObj=RIGHT(LEFT($A$2,7),2)&amp;LEFT(A1000,4)&amp;B1001,CertBen))</f>
        <v>0</v>
      </c>
      <c r="H1003" s="527">
        <v>0</v>
      </c>
      <c r="I1003" s="566">
        <f t="shared" si="28"/>
        <v>0</v>
      </c>
    </row>
    <row r="1004" spans="1:9" s="434" customFormat="1" x14ac:dyDescent="0.15">
      <c r="A1004" s="524"/>
      <c r="B1004" s="523" t="s">
        <v>1578</v>
      </c>
      <c r="C1004" s="524" t="s">
        <v>511</v>
      </c>
      <c r="D1004" s="316">
        <v>0</v>
      </c>
      <c r="E1004" s="316">
        <v>0</v>
      </c>
      <c r="F1004" s="316">
        <v>0</v>
      </c>
      <c r="G1004" s="316">
        <v>0</v>
      </c>
      <c r="H1004" s="527">
        <v>0</v>
      </c>
      <c r="I1004" s="566">
        <f t="shared" si="28"/>
        <v>0</v>
      </c>
    </row>
    <row r="1005" spans="1:9" x14ac:dyDescent="0.15">
      <c r="A1005" s="138"/>
      <c r="B1005" s="521" t="s">
        <v>1579</v>
      </c>
      <c r="C1005" s="138" t="s">
        <v>118</v>
      </c>
      <c r="D1005" s="144">
        <v>0</v>
      </c>
      <c r="E1005" s="144">
        <v>0</v>
      </c>
      <c r="F1005" s="144">
        <v>0</v>
      </c>
      <c r="G1005" s="291">
        <v>0</v>
      </c>
      <c r="H1005" s="150">
        <v>0</v>
      </c>
      <c r="I1005" s="567">
        <f t="shared" si="28"/>
        <v>0</v>
      </c>
    </row>
    <row r="1006" spans="1:9" x14ac:dyDescent="0.15">
      <c r="A1006" s="138"/>
      <c r="B1006" s="521" t="s">
        <v>1580</v>
      </c>
      <c r="C1006" s="138" t="s">
        <v>119</v>
      </c>
      <c r="D1006" s="144">
        <v>0</v>
      </c>
      <c r="E1006" s="144">
        <v>0</v>
      </c>
      <c r="F1006" s="144">
        <v>0</v>
      </c>
      <c r="G1006" s="291">
        <v>0</v>
      </c>
      <c r="H1006" s="150">
        <v>0</v>
      </c>
      <c r="I1006" s="567">
        <f t="shared" si="28"/>
        <v>0</v>
      </c>
    </row>
    <row r="1007" spans="1:9" x14ac:dyDescent="0.15">
      <c r="A1007" s="138"/>
      <c r="B1007" s="521" t="s">
        <v>120</v>
      </c>
      <c r="C1007" s="138" t="s">
        <v>121</v>
      </c>
      <c r="D1007" s="144">
        <v>0</v>
      </c>
      <c r="E1007" s="144">
        <v>0</v>
      </c>
      <c r="F1007" s="144">
        <v>0</v>
      </c>
      <c r="G1007" s="291">
        <v>0</v>
      </c>
      <c r="H1007" s="150">
        <v>0</v>
      </c>
      <c r="I1007" s="567">
        <f t="shared" si="28"/>
        <v>0</v>
      </c>
    </row>
    <row r="1008" spans="1:9" x14ac:dyDescent="0.15">
      <c r="A1008" s="138"/>
      <c r="B1008" s="521" t="s">
        <v>122</v>
      </c>
      <c r="C1008" s="138" t="s">
        <v>123</v>
      </c>
      <c r="D1008" s="144">
        <v>0</v>
      </c>
      <c r="E1008" s="144">
        <v>0</v>
      </c>
      <c r="F1008" s="144">
        <v>0</v>
      </c>
      <c r="G1008" s="291">
        <v>0</v>
      </c>
      <c r="H1008" s="150">
        <v>0</v>
      </c>
      <c r="I1008" s="567">
        <f t="shared" si="28"/>
        <v>0</v>
      </c>
    </row>
    <row r="1009" spans="1:9" x14ac:dyDescent="0.15">
      <c r="A1009" s="138"/>
      <c r="B1009" s="521" t="s">
        <v>1581</v>
      </c>
      <c r="C1009" s="138" t="s">
        <v>124</v>
      </c>
      <c r="D1009" s="144">
        <v>0</v>
      </c>
      <c r="E1009" s="144">
        <v>0</v>
      </c>
      <c r="F1009" s="144">
        <v>0</v>
      </c>
      <c r="G1009" s="291">
        <v>0</v>
      </c>
      <c r="H1009" s="150">
        <v>0</v>
      </c>
      <c r="I1009" s="567">
        <f t="shared" si="28"/>
        <v>0</v>
      </c>
    </row>
    <row r="1010" spans="1:9" x14ac:dyDescent="0.15">
      <c r="A1010" s="138"/>
      <c r="B1010" s="521" t="s">
        <v>127</v>
      </c>
      <c r="C1010" s="138" t="s">
        <v>134</v>
      </c>
      <c r="D1010" s="144">
        <v>0</v>
      </c>
      <c r="E1010" s="144">
        <v>0</v>
      </c>
      <c r="F1010" s="144">
        <v>0</v>
      </c>
      <c r="G1010" s="291">
        <v>0</v>
      </c>
      <c r="H1010" s="150">
        <v>0</v>
      </c>
      <c r="I1010" s="567">
        <f t="shared" si="28"/>
        <v>0</v>
      </c>
    </row>
    <row r="1011" spans="1:9" x14ac:dyDescent="0.15">
      <c r="A1011" s="138"/>
      <c r="B1011" s="521" t="s">
        <v>128</v>
      </c>
      <c r="C1011" s="138" t="s">
        <v>135</v>
      </c>
      <c r="D1011" s="144">
        <v>0</v>
      </c>
      <c r="E1011" s="144">
        <v>0</v>
      </c>
      <c r="F1011" s="144">
        <v>0</v>
      </c>
      <c r="G1011" s="291">
        <v>0</v>
      </c>
      <c r="H1011" s="150">
        <v>0</v>
      </c>
      <c r="I1011" s="567">
        <f t="shared" si="28"/>
        <v>0</v>
      </c>
    </row>
    <row r="1012" spans="1:9" x14ac:dyDescent="0.15">
      <c r="A1012" s="138"/>
      <c r="B1012" s="521" t="s">
        <v>132</v>
      </c>
      <c r="C1012" s="138" t="s">
        <v>1617</v>
      </c>
      <c r="D1012" s="144">
        <v>0</v>
      </c>
      <c r="E1012" s="144">
        <v>0</v>
      </c>
      <c r="F1012" s="144">
        <v>0</v>
      </c>
      <c r="G1012" s="291">
        <v>0</v>
      </c>
      <c r="H1012" s="150">
        <v>0</v>
      </c>
      <c r="I1012" s="567">
        <f t="shared" si="28"/>
        <v>0</v>
      </c>
    </row>
    <row r="1013" spans="1:9" x14ac:dyDescent="0.15">
      <c r="A1013" s="138"/>
      <c r="B1013" s="521" t="s">
        <v>1618</v>
      </c>
      <c r="C1013" s="138" t="s">
        <v>836</v>
      </c>
      <c r="D1013" s="144">
        <v>0</v>
      </c>
      <c r="E1013" s="144">
        <v>0</v>
      </c>
      <c r="F1013" s="144">
        <v>0</v>
      </c>
      <c r="G1013" s="291">
        <v>0</v>
      </c>
      <c r="H1013" s="150">
        <v>0</v>
      </c>
      <c r="I1013" s="567">
        <f t="shared" si="28"/>
        <v>0</v>
      </c>
    </row>
    <row r="1014" spans="1:9" x14ac:dyDescent="0.15">
      <c r="A1014" s="138"/>
      <c r="B1014" s="521" t="s">
        <v>1619</v>
      </c>
      <c r="C1014" s="138" t="s">
        <v>837</v>
      </c>
      <c r="D1014" s="144">
        <v>0</v>
      </c>
      <c r="E1014" s="144">
        <v>0</v>
      </c>
      <c r="F1014" s="144">
        <v>0</v>
      </c>
      <c r="G1014" s="291">
        <v>0</v>
      </c>
      <c r="H1014" s="150">
        <v>0</v>
      </c>
      <c r="I1014" s="567">
        <f t="shared" si="28"/>
        <v>0</v>
      </c>
    </row>
    <row r="1015" spans="1:9" x14ac:dyDescent="0.15">
      <c r="A1015" s="138"/>
      <c r="B1015" s="521" t="s">
        <v>1620</v>
      </c>
      <c r="C1015" s="138" t="s">
        <v>838</v>
      </c>
      <c r="D1015" s="144">
        <v>0</v>
      </c>
      <c r="E1015" s="144">
        <v>0</v>
      </c>
      <c r="F1015" s="144">
        <v>0</v>
      </c>
      <c r="G1015" s="291">
        <v>0</v>
      </c>
      <c r="H1015" s="150">
        <v>0</v>
      </c>
      <c r="I1015" s="567">
        <f t="shared" si="28"/>
        <v>0</v>
      </c>
    </row>
    <row r="1016" spans="1:9" x14ac:dyDescent="0.15">
      <c r="A1016" s="138"/>
      <c r="B1016" s="521" t="s">
        <v>1621</v>
      </c>
      <c r="C1016" s="138" t="s">
        <v>839</v>
      </c>
      <c r="D1016" s="144">
        <v>0</v>
      </c>
      <c r="E1016" s="144">
        <v>0</v>
      </c>
      <c r="F1016" s="144">
        <v>0</v>
      </c>
      <c r="G1016" s="291">
        <v>0</v>
      </c>
      <c r="H1016" s="150">
        <v>0</v>
      </c>
      <c r="I1016" s="567">
        <f t="shared" si="28"/>
        <v>0</v>
      </c>
    </row>
    <row r="1017" spans="1:9" x14ac:dyDescent="0.15">
      <c r="A1017" s="138"/>
      <c r="B1017" s="521" t="s">
        <v>1622</v>
      </c>
      <c r="C1017" s="138" t="s">
        <v>190</v>
      </c>
      <c r="D1017" s="144">
        <v>0</v>
      </c>
      <c r="E1017" s="144">
        <v>0</v>
      </c>
      <c r="F1017" s="144">
        <v>0</v>
      </c>
      <c r="G1017" s="291">
        <v>0</v>
      </c>
      <c r="H1017" s="150">
        <v>0</v>
      </c>
      <c r="I1017" s="567">
        <f t="shared" si="28"/>
        <v>0</v>
      </c>
    </row>
    <row r="1018" spans="1:9" x14ac:dyDescent="0.15">
      <c r="A1018" s="138"/>
      <c r="B1018" s="521" t="s">
        <v>1623</v>
      </c>
      <c r="C1018" s="138" t="s">
        <v>191</v>
      </c>
      <c r="D1018" s="144">
        <v>0</v>
      </c>
      <c r="E1018" s="144">
        <v>0</v>
      </c>
      <c r="F1018" s="144">
        <v>0</v>
      </c>
      <c r="G1018" s="291">
        <v>0</v>
      </c>
      <c r="H1018" s="150">
        <v>0</v>
      </c>
      <c r="I1018" s="567">
        <f t="shared" si="28"/>
        <v>0</v>
      </c>
    </row>
    <row r="1019" spans="1:9" x14ac:dyDescent="0.15">
      <c r="A1019" s="138"/>
      <c r="B1019" s="521" t="s">
        <v>1624</v>
      </c>
      <c r="C1019" s="138" t="s">
        <v>840</v>
      </c>
      <c r="D1019" s="144">
        <v>0</v>
      </c>
      <c r="E1019" s="144">
        <v>0</v>
      </c>
      <c r="F1019" s="144">
        <v>0</v>
      </c>
      <c r="G1019" s="291">
        <v>0</v>
      </c>
      <c r="H1019" s="150">
        <v>0</v>
      </c>
      <c r="I1019" s="567">
        <f t="shared" si="28"/>
        <v>0</v>
      </c>
    </row>
    <row r="1020" spans="1:9" x14ac:dyDescent="0.15">
      <c r="A1020" s="138"/>
      <c r="B1020" s="521" t="s">
        <v>1625</v>
      </c>
      <c r="C1020" s="138" t="s">
        <v>842</v>
      </c>
      <c r="D1020" s="144">
        <v>0</v>
      </c>
      <c r="E1020" s="144">
        <v>0</v>
      </c>
      <c r="F1020" s="144">
        <v>0</v>
      </c>
      <c r="G1020" s="291">
        <v>0</v>
      </c>
      <c r="H1020" s="150">
        <v>0</v>
      </c>
      <c r="I1020" s="567">
        <f t="shared" si="28"/>
        <v>0</v>
      </c>
    </row>
    <row r="1021" spans="1:9" x14ac:dyDescent="0.15">
      <c r="A1021" s="138"/>
      <c r="B1021" s="521" t="s">
        <v>843</v>
      </c>
      <c r="C1021" s="138" t="s">
        <v>848</v>
      </c>
      <c r="D1021" s="144">
        <v>0</v>
      </c>
      <c r="E1021" s="144">
        <v>0</v>
      </c>
      <c r="F1021" s="144">
        <v>0</v>
      </c>
      <c r="G1021" s="291">
        <v>0</v>
      </c>
      <c r="H1021" s="150">
        <v>0</v>
      </c>
      <c r="I1021" s="567">
        <f t="shared" si="28"/>
        <v>0</v>
      </c>
    </row>
    <row r="1022" spans="1:9" x14ac:dyDescent="0.15">
      <c r="A1022" s="138"/>
      <c r="B1022" s="521" t="s">
        <v>844</v>
      </c>
      <c r="C1022" s="138" t="s">
        <v>153</v>
      </c>
      <c r="D1022" s="144">
        <v>0</v>
      </c>
      <c r="E1022" s="144">
        <v>0</v>
      </c>
      <c r="F1022" s="144">
        <v>0</v>
      </c>
      <c r="G1022" s="291">
        <v>0</v>
      </c>
      <c r="H1022" s="150">
        <v>0</v>
      </c>
      <c r="I1022" s="567">
        <f t="shared" si="28"/>
        <v>0</v>
      </c>
    </row>
    <row r="1023" spans="1:9" x14ac:dyDescent="0.15">
      <c r="A1023" s="138"/>
      <c r="B1023" s="521" t="s">
        <v>845</v>
      </c>
      <c r="C1023" s="138" t="s">
        <v>154</v>
      </c>
      <c r="D1023" s="144">
        <v>0</v>
      </c>
      <c r="E1023" s="144">
        <v>0</v>
      </c>
      <c r="F1023" s="144">
        <v>0</v>
      </c>
      <c r="G1023" s="291">
        <v>0</v>
      </c>
      <c r="H1023" s="150">
        <v>0</v>
      </c>
      <c r="I1023" s="567">
        <f t="shared" si="28"/>
        <v>0</v>
      </c>
    </row>
    <row r="1024" spans="1:9" x14ac:dyDescent="0.15">
      <c r="A1024" s="138"/>
      <c r="B1024" s="521" t="s">
        <v>846</v>
      </c>
      <c r="C1024" s="138" t="s">
        <v>155</v>
      </c>
      <c r="D1024" s="144">
        <v>0</v>
      </c>
      <c r="E1024" s="144">
        <v>0</v>
      </c>
      <c r="F1024" s="144">
        <v>0</v>
      </c>
      <c r="G1024" s="291">
        <v>0</v>
      </c>
      <c r="H1024" s="150">
        <v>0</v>
      </c>
      <c r="I1024" s="567">
        <f t="shared" si="28"/>
        <v>0</v>
      </c>
    </row>
    <row r="1025" spans="1:9" x14ac:dyDescent="0.15">
      <c r="A1025" s="138"/>
      <c r="B1025" s="521" t="s">
        <v>1582</v>
      </c>
      <c r="C1025" s="138" t="s">
        <v>156</v>
      </c>
      <c r="D1025" s="144">
        <v>0</v>
      </c>
      <c r="E1025" s="144">
        <v>0</v>
      </c>
      <c r="F1025" s="144">
        <v>0</v>
      </c>
      <c r="G1025" s="291">
        <v>0</v>
      </c>
      <c r="H1025" s="150">
        <v>0</v>
      </c>
      <c r="I1025" s="567">
        <f t="shared" si="28"/>
        <v>0</v>
      </c>
    </row>
    <row r="1026" spans="1:9" x14ac:dyDescent="0.15">
      <c r="A1026" s="138"/>
      <c r="B1026" s="521" t="s">
        <v>847</v>
      </c>
      <c r="C1026" s="138" t="s">
        <v>157</v>
      </c>
      <c r="D1026" s="144">
        <v>0</v>
      </c>
      <c r="E1026" s="144">
        <v>0</v>
      </c>
      <c r="F1026" s="144">
        <v>0</v>
      </c>
      <c r="G1026" s="291">
        <v>0</v>
      </c>
      <c r="H1026" s="150">
        <v>0</v>
      </c>
      <c r="I1026" s="567">
        <f t="shared" si="28"/>
        <v>0</v>
      </c>
    </row>
    <row r="1027" spans="1:9" x14ac:dyDescent="0.15">
      <c r="A1027" s="138"/>
      <c r="B1027" s="521" t="s">
        <v>1583</v>
      </c>
      <c r="C1027" s="138" t="s">
        <v>160</v>
      </c>
      <c r="D1027" s="144">
        <v>0</v>
      </c>
      <c r="E1027" s="144">
        <v>0</v>
      </c>
      <c r="F1027" s="144">
        <v>0</v>
      </c>
      <c r="G1027" s="291">
        <v>0</v>
      </c>
      <c r="H1027" s="150">
        <v>0</v>
      </c>
      <c r="I1027" s="567">
        <f t="shared" si="28"/>
        <v>0</v>
      </c>
    </row>
    <row r="1028" spans="1:9" x14ac:dyDescent="0.15">
      <c r="A1028" s="138"/>
      <c r="B1028" s="521" t="s">
        <v>634</v>
      </c>
      <c r="C1028" s="138" t="s">
        <v>165</v>
      </c>
      <c r="D1028" s="144">
        <v>0</v>
      </c>
      <c r="E1028" s="144">
        <v>0</v>
      </c>
      <c r="F1028" s="144">
        <v>0</v>
      </c>
      <c r="G1028" s="291">
        <v>0</v>
      </c>
      <c r="H1028" s="150">
        <v>0</v>
      </c>
      <c r="I1028" s="567">
        <f t="shared" si="28"/>
        <v>0</v>
      </c>
    </row>
    <row r="1029" spans="1:9" x14ac:dyDescent="0.15">
      <c r="A1029" s="138"/>
      <c r="B1029" s="521" t="s">
        <v>630</v>
      </c>
      <c r="C1029" s="138" t="s">
        <v>172</v>
      </c>
      <c r="D1029" s="144">
        <v>0</v>
      </c>
      <c r="E1029" s="144">
        <v>0</v>
      </c>
      <c r="F1029" s="144">
        <v>0</v>
      </c>
      <c r="G1029" s="291">
        <v>0</v>
      </c>
      <c r="H1029" s="150">
        <v>0</v>
      </c>
      <c r="I1029" s="567">
        <f t="shared" si="28"/>
        <v>0</v>
      </c>
    </row>
    <row r="1030" spans="1:9" x14ac:dyDescent="0.15">
      <c r="A1030" s="138"/>
      <c r="B1030" s="650" t="s">
        <v>631</v>
      </c>
      <c r="C1030" s="651" t="s">
        <v>173</v>
      </c>
      <c r="D1030" s="144">
        <v>0</v>
      </c>
      <c r="E1030" s="144">
        <v>0</v>
      </c>
      <c r="F1030" s="144">
        <v>0</v>
      </c>
      <c r="G1030" s="291">
        <v>0</v>
      </c>
      <c r="H1030" s="150">
        <v>0</v>
      </c>
      <c r="I1030" s="567">
        <f t="shared" si="28"/>
        <v>0</v>
      </c>
    </row>
    <row r="1031" spans="1:9" x14ac:dyDescent="0.15">
      <c r="A1031" s="138"/>
      <c r="B1031" s="521" t="s">
        <v>1584</v>
      </c>
      <c r="C1031" s="138" t="s">
        <v>178</v>
      </c>
      <c r="D1031" s="144">
        <v>0</v>
      </c>
      <c r="E1031" s="144">
        <v>0</v>
      </c>
      <c r="F1031" s="144">
        <v>0</v>
      </c>
      <c r="G1031" s="291">
        <v>0</v>
      </c>
      <c r="H1031" s="150">
        <v>0</v>
      </c>
      <c r="I1031" s="567">
        <f t="shared" si="28"/>
        <v>0</v>
      </c>
    </row>
    <row r="1032" spans="1:9" x14ac:dyDescent="0.15">
      <c r="A1032" s="138"/>
      <c r="B1032" s="521" t="s">
        <v>174</v>
      </c>
      <c r="C1032" s="138" t="s">
        <v>179</v>
      </c>
      <c r="D1032" s="144">
        <v>0</v>
      </c>
      <c r="E1032" s="144">
        <v>0</v>
      </c>
      <c r="F1032" s="144">
        <v>0</v>
      </c>
      <c r="G1032" s="291">
        <v>0</v>
      </c>
      <c r="H1032" s="150">
        <v>0</v>
      </c>
      <c r="I1032" s="567">
        <f t="shared" si="28"/>
        <v>0</v>
      </c>
    </row>
    <row r="1033" spans="1:9" x14ac:dyDescent="0.15">
      <c r="A1033" s="138"/>
      <c r="B1033" s="521" t="s">
        <v>175</v>
      </c>
      <c r="C1033" s="138" t="s">
        <v>180</v>
      </c>
      <c r="D1033" s="144">
        <v>0</v>
      </c>
      <c r="E1033" s="144">
        <v>0</v>
      </c>
      <c r="F1033" s="144">
        <v>0</v>
      </c>
      <c r="G1033" s="291">
        <v>0</v>
      </c>
      <c r="H1033" s="150">
        <v>0</v>
      </c>
      <c r="I1033" s="567">
        <f t="shared" si="28"/>
        <v>0</v>
      </c>
    </row>
    <row r="1034" spans="1:9" ht="11.25" thickBot="1" x14ac:dyDescent="0.2">
      <c r="A1034" s="138"/>
      <c r="B1034" s="521" t="s">
        <v>176</v>
      </c>
      <c r="C1034" s="138" t="s">
        <v>181</v>
      </c>
      <c r="D1034" s="144">
        <v>0</v>
      </c>
      <c r="E1034" s="144">
        <v>0</v>
      </c>
      <c r="F1034" s="144">
        <v>0</v>
      </c>
      <c r="G1034" s="291">
        <v>0</v>
      </c>
      <c r="H1034" s="150">
        <v>0</v>
      </c>
      <c r="I1034" s="567">
        <f t="shared" si="28"/>
        <v>0</v>
      </c>
    </row>
    <row r="1035" spans="1:9" ht="12" thickTop="1" thickBot="1" x14ac:dyDescent="0.2">
      <c r="A1035" s="138"/>
      <c r="B1035" s="521"/>
      <c r="C1035" s="138" t="s">
        <v>388</v>
      </c>
      <c r="D1035" s="169">
        <f>SUM(D1001:D1034)</f>
        <v>0</v>
      </c>
      <c r="E1035" s="169">
        <f>SUM(E1001:E1034)</f>
        <v>0</v>
      </c>
      <c r="F1035" s="169">
        <f>SUM(F1001:F1034)</f>
        <v>0</v>
      </c>
      <c r="G1035" s="169">
        <f>SUM(G1001:G1034)</f>
        <v>0</v>
      </c>
      <c r="H1035" s="169">
        <f>SUM(H1001:H1034)</f>
        <v>0</v>
      </c>
      <c r="I1035" s="169">
        <f t="shared" si="28"/>
        <v>0</v>
      </c>
    </row>
    <row r="1036" spans="1:9" ht="11.25" thickTop="1" x14ac:dyDescent="0.15">
      <c r="A1036" s="138"/>
      <c r="B1036" s="138"/>
      <c r="C1036" s="138"/>
      <c r="D1036" s="14"/>
      <c r="E1036" s="14"/>
      <c r="F1036" s="14"/>
      <c r="G1036" s="14"/>
      <c r="H1036" s="14"/>
      <c r="I1036" s="563"/>
    </row>
    <row r="1037" spans="1:9" x14ac:dyDescent="0.15">
      <c r="A1037" s="522" t="s">
        <v>1145</v>
      </c>
      <c r="B1037" s="138"/>
      <c r="C1037" s="138"/>
      <c r="D1037" s="14"/>
      <c r="E1037" s="14"/>
      <c r="F1037" s="14"/>
      <c r="G1037" s="14"/>
      <c r="H1037" s="14"/>
      <c r="I1037" s="563"/>
    </row>
    <row r="1038" spans="1:9" s="434" customFormat="1" x14ac:dyDescent="0.15">
      <c r="B1038" s="523" t="s">
        <v>1577</v>
      </c>
      <c r="C1038" s="524" t="s">
        <v>228</v>
      </c>
      <c r="D1038" s="316">
        <v>0</v>
      </c>
      <c r="E1038" s="316">
        <v>0</v>
      </c>
      <c r="F1038" s="316">
        <v>0</v>
      </c>
      <c r="G1038" s="528">
        <f t="array" ref="G1038">SUM(IF(CertFund&amp;CertProg&amp;CertObj=RIGHT(LEFT($A$2,7),2)&amp;LEFT(A1037,4)&amp;B1038,CertSalary))</f>
        <v>0</v>
      </c>
      <c r="H1038" s="527">
        <v>0</v>
      </c>
      <c r="I1038" s="566">
        <f t="shared" ref="I1038:I1071" si="29">SUM(G1038+H1038)</f>
        <v>0</v>
      </c>
    </row>
    <row r="1039" spans="1:9" s="434" customFormat="1" x14ac:dyDescent="0.15">
      <c r="B1039" s="523" t="s">
        <v>1577</v>
      </c>
      <c r="C1039" s="524" t="s">
        <v>510</v>
      </c>
      <c r="D1039" s="316">
        <v>0</v>
      </c>
      <c r="E1039" s="316">
        <v>0</v>
      </c>
      <c r="F1039" s="316">
        <v>0</v>
      </c>
      <c r="G1039" s="316">
        <v>0</v>
      </c>
      <c r="H1039" s="527">
        <v>0</v>
      </c>
      <c r="I1039" s="566">
        <f t="shared" si="29"/>
        <v>0</v>
      </c>
    </row>
    <row r="1040" spans="1:9" s="434" customFormat="1" x14ac:dyDescent="0.15">
      <c r="A1040" s="524"/>
      <c r="B1040" s="523" t="s">
        <v>1578</v>
      </c>
      <c r="C1040" s="524" t="s">
        <v>936</v>
      </c>
      <c r="D1040" s="316">
        <v>0</v>
      </c>
      <c r="E1040" s="316">
        <v>0</v>
      </c>
      <c r="F1040" s="316">
        <v>0</v>
      </c>
      <c r="G1040" s="529">
        <f t="array" ref="G1040">SUM(IF(CertFund&amp;CertProg&amp;CertObj=RIGHT(LEFT($A$2,7),2)&amp;LEFT(A1037,4)&amp;B1038,CertBen))</f>
        <v>0</v>
      </c>
      <c r="H1040" s="527">
        <v>0</v>
      </c>
      <c r="I1040" s="566">
        <f t="shared" si="29"/>
        <v>0</v>
      </c>
    </row>
    <row r="1041" spans="1:9" s="434" customFormat="1" x14ac:dyDescent="0.15">
      <c r="A1041" s="524"/>
      <c r="B1041" s="523" t="s">
        <v>1578</v>
      </c>
      <c r="C1041" s="524" t="s">
        <v>511</v>
      </c>
      <c r="D1041" s="316">
        <v>0</v>
      </c>
      <c r="E1041" s="316">
        <v>0</v>
      </c>
      <c r="F1041" s="316">
        <v>0</v>
      </c>
      <c r="G1041" s="316">
        <v>0</v>
      </c>
      <c r="H1041" s="527">
        <v>0</v>
      </c>
      <c r="I1041" s="566">
        <f t="shared" si="29"/>
        <v>0</v>
      </c>
    </row>
    <row r="1042" spans="1:9" x14ac:dyDescent="0.15">
      <c r="A1042" s="138"/>
      <c r="B1042" s="521" t="s">
        <v>1579</v>
      </c>
      <c r="C1042" s="138" t="s">
        <v>118</v>
      </c>
      <c r="D1042" s="144">
        <v>0</v>
      </c>
      <c r="E1042" s="144">
        <v>0</v>
      </c>
      <c r="F1042" s="144">
        <v>0</v>
      </c>
      <c r="G1042" s="291">
        <v>0</v>
      </c>
      <c r="H1042" s="150">
        <v>0</v>
      </c>
      <c r="I1042" s="567">
        <f t="shared" si="29"/>
        <v>0</v>
      </c>
    </row>
    <row r="1043" spans="1:9" x14ac:dyDescent="0.15">
      <c r="A1043" s="138"/>
      <c r="B1043" s="521" t="s">
        <v>1580</v>
      </c>
      <c r="C1043" s="138" t="s">
        <v>119</v>
      </c>
      <c r="D1043" s="144">
        <v>0</v>
      </c>
      <c r="E1043" s="144">
        <v>0</v>
      </c>
      <c r="F1043" s="144">
        <v>0</v>
      </c>
      <c r="G1043" s="291">
        <v>0</v>
      </c>
      <c r="H1043" s="150">
        <v>0</v>
      </c>
      <c r="I1043" s="567">
        <f t="shared" si="29"/>
        <v>0</v>
      </c>
    </row>
    <row r="1044" spans="1:9" x14ac:dyDescent="0.15">
      <c r="A1044" s="138"/>
      <c r="B1044" s="521" t="s">
        <v>120</v>
      </c>
      <c r="C1044" s="138" t="s">
        <v>121</v>
      </c>
      <c r="D1044" s="144">
        <v>0</v>
      </c>
      <c r="E1044" s="144">
        <v>0</v>
      </c>
      <c r="F1044" s="144">
        <v>0</v>
      </c>
      <c r="G1044" s="291">
        <v>0</v>
      </c>
      <c r="H1044" s="150">
        <v>0</v>
      </c>
      <c r="I1044" s="567">
        <f t="shared" si="29"/>
        <v>0</v>
      </c>
    </row>
    <row r="1045" spans="1:9" x14ac:dyDescent="0.15">
      <c r="A1045" s="138"/>
      <c r="B1045" s="521" t="s">
        <v>122</v>
      </c>
      <c r="C1045" s="138" t="s">
        <v>123</v>
      </c>
      <c r="D1045" s="144">
        <v>0</v>
      </c>
      <c r="E1045" s="144">
        <v>0</v>
      </c>
      <c r="F1045" s="144">
        <v>0</v>
      </c>
      <c r="G1045" s="291">
        <v>0</v>
      </c>
      <c r="H1045" s="150">
        <v>0</v>
      </c>
      <c r="I1045" s="567">
        <f t="shared" si="29"/>
        <v>0</v>
      </c>
    </row>
    <row r="1046" spans="1:9" x14ac:dyDescent="0.15">
      <c r="A1046" s="138"/>
      <c r="B1046" s="521" t="s">
        <v>1581</v>
      </c>
      <c r="C1046" s="138" t="s">
        <v>124</v>
      </c>
      <c r="D1046" s="144">
        <v>0</v>
      </c>
      <c r="E1046" s="144">
        <v>0</v>
      </c>
      <c r="F1046" s="144">
        <v>0</v>
      </c>
      <c r="G1046" s="291">
        <v>0</v>
      </c>
      <c r="H1046" s="150">
        <v>0</v>
      </c>
      <c r="I1046" s="567">
        <f t="shared" si="29"/>
        <v>0</v>
      </c>
    </row>
    <row r="1047" spans="1:9" x14ac:dyDescent="0.15">
      <c r="A1047" s="138"/>
      <c r="B1047" s="521" t="s">
        <v>127</v>
      </c>
      <c r="C1047" s="138" t="s">
        <v>134</v>
      </c>
      <c r="D1047" s="144">
        <v>0</v>
      </c>
      <c r="E1047" s="144">
        <v>0</v>
      </c>
      <c r="F1047" s="144">
        <v>0</v>
      </c>
      <c r="G1047" s="291">
        <v>0</v>
      </c>
      <c r="H1047" s="150">
        <v>0</v>
      </c>
      <c r="I1047" s="567">
        <f t="shared" si="29"/>
        <v>0</v>
      </c>
    </row>
    <row r="1048" spans="1:9" x14ac:dyDescent="0.15">
      <c r="A1048" s="138"/>
      <c r="B1048" s="521" t="s">
        <v>128</v>
      </c>
      <c r="C1048" s="138" t="s">
        <v>135</v>
      </c>
      <c r="D1048" s="144">
        <v>0</v>
      </c>
      <c r="E1048" s="144">
        <v>0</v>
      </c>
      <c r="F1048" s="144">
        <v>0</v>
      </c>
      <c r="G1048" s="291">
        <v>0</v>
      </c>
      <c r="H1048" s="150">
        <v>0</v>
      </c>
      <c r="I1048" s="567">
        <f t="shared" si="29"/>
        <v>0</v>
      </c>
    </row>
    <row r="1049" spans="1:9" x14ac:dyDescent="0.15">
      <c r="A1049" s="138"/>
      <c r="B1049" s="521" t="s">
        <v>132</v>
      </c>
      <c r="C1049" s="138" t="s">
        <v>1617</v>
      </c>
      <c r="D1049" s="144">
        <v>0</v>
      </c>
      <c r="E1049" s="144">
        <v>0</v>
      </c>
      <c r="F1049" s="144">
        <v>0</v>
      </c>
      <c r="G1049" s="291">
        <v>0</v>
      </c>
      <c r="H1049" s="150">
        <v>0</v>
      </c>
      <c r="I1049" s="567">
        <f t="shared" si="29"/>
        <v>0</v>
      </c>
    </row>
    <row r="1050" spans="1:9" x14ac:dyDescent="0.15">
      <c r="A1050" s="138"/>
      <c r="B1050" s="521" t="s">
        <v>1618</v>
      </c>
      <c r="C1050" s="138" t="s">
        <v>836</v>
      </c>
      <c r="D1050" s="144">
        <v>0</v>
      </c>
      <c r="E1050" s="144">
        <v>0</v>
      </c>
      <c r="F1050" s="144">
        <v>0</v>
      </c>
      <c r="G1050" s="291">
        <v>0</v>
      </c>
      <c r="H1050" s="150">
        <v>0</v>
      </c>
      <c r="I1050" s="567">
        <f t="shared" si="29"/>
        <v>0</v>
      </c>
    </row>
    <row r="1051" spans="1:9" x14ac:dyDescent="0.15">
      <c r="A1051" s="138"/>
      <c r="B1051" s="521" t="s">
        <v>1619</v>
      </c>
      <c r="C1051" s="138" t="s">
        <v>837</v>
      </c>
      <c r="D1051" s="144">
        <v>0</v>
      </c>
      <c r="E1051" s="144">
        <v>0</v>
      </c>
      <c r="F1051" s="144">
        <v>0</v>
      </c>
      <c r="G1051" s="291">
        <v>0</v>
      </c>
      <c r="H1051" s="150">
        <v>0</v>
      </c>
      <c r="I1051" s="567">
        <f t="shared" si="29"/>
        <v>0</v>
      </c>
    </row>
    <row r="1052" spans="1:9" x14ac:dyDescent="0.15">
      <c r="A1052" s="138"/>
      <c r="B1052" s="521" t="s">
        <v>1620</v>
      </c>
      <c r="C1052" s="138" t="s">
        <v>838</v>
      </c>
      <c r="D1052" s="144">
        <v>0</v>
      </c>
      <c r="E1052" s="144">
        <v>0</v>
      </c>
      <c r="F1052" s="144">
        <v>0</v>
      </c>
      <c r="G1052" s="291">
        <v>0</v>
      </c>
      <c r="H1052" s="150">
        <v>0</v>
      </c>
      <c r="I1052" s="567">
        <f t="shared" si="29"/>
        <v>0</v>
      </c>
    </row>
    <row r="1053" spans="1:9" x14ac:dyDescent="0.15">
      <c r="A1053" s="138"/>
      <c r="B1053" s="521" t="s">
        <v>1621</v>
      </c>
      <c r="C1053" s="138" t="s">
        <v>839</v>
      </c>
      <c r="D1053" s="144">
        <v>0</v>
      </c>
      <c r="E1053" s="144">
        <v>0</v>
      </c>
      <c r="F1053" s="144">
        <v>0</v>
      </c>
      <c r="G1053" s="291">
        <v>0</v>
      </c>
      <c r="H1053" s="150">
        <v>0</v>
      </c>
      <c r="I1053" s="567">
        <f t="shared" si="29"/>
        <v>0</v>
      </c>
    </row>
    <row r="1054" spans="1:9" x14ac:dyDescent="0.15">
      <c r="A1054" s="138"/>
      <c r="B1054" s="521" t="s">
        <v>1622</v>
      </c>
      <c r="C1054" s="138" t="s">
        <v>190</v>
      </c>
      <c r="D1054" s="144">
        <v>0</v>
      </c>
      <c r="E1054" s="144">
        <v>0</v>
      </c>
      <c r="F1054" s="144">
        <v>0</v>
      </c>
      <c r="G1054" s="291">
        <v>0</v>
      </c>
      <c r="H1054" s="150">
        <v>0</v>
      </c>
      <c r="I1054" s="567">
        <f t="shared" si="29"/>
        <v>0</v>
      </c>
    </row>
    <row r="1055" spans="1:9" x14ac:dyDescent="0.15">
      <c r="A1055" s="138"/>
      <c r="B1055" s="521" t="s">
        <v>1623</v>
      </c>
      <c r="C1055" s="138" t="s">
        <v>191</v>
      </c>
      <c r="D1055" s="144">
        <v>0</v>
      </c>
      <c r="E1055" s="144">
        <v>0</v>
      </c>
      <c r="F1055" s="144">
        <v>0</v>
      </c>
      <c r="G1055" s="291">
        <v>0</v>
      </c>
      <c r="H1055" s="150">
        <v>0</v>
      </c>
      <c r="I1055" s="567">
        <f t="shared" si="29"/>
        <v>0</v>
      </c>
    </row>
    <row r="1056" spans="1:9" x14ac:dyDescent="0.15">
      <c r="A1056" s="138"/>
      <c r="B1056" s="521" t="s">
        <v>1624</v>
      </c>
      <c r="C1056" s="138" t="s">
        <v>840</v>
      </c>
      <c r="D1056" s="144">
        <v>0</v>
      </c>
      <c r="E1056" s="144">
        <v>0</v>
      </c>
      <c r="F1056" s="144">
        <v>0</v>
      </c>
      <c r="G1056" s="291">
        <v>0</v>
      </c>
      <c r="H1056" s="150">
        <v>0</v>
      </c>
      <c r="I1056" s="567">
        <f t="shared" si="29"/>
        <v>0</v>
      </c>
    </row>
    <row r="1057" spans="1:9" x14ac:dyDescent="0.15">
      <c r="A1057" s="138"/>
      <c r="B1057" s="521" t="s">
        <v>1625</v>
      </c>
      <c r="C1057" s="138" t="s">
        <v>842</v>
      </c>
      <c r="D1057" s="144">
        <v>0</v>
      </c>
      <c r="E1057" s="144">
        <v>0</v>
      </c>
      <c r="F1057" s="144">
        <v>0</v>
      </c>
      <c r="G1057" s="291">
        <v>0</v>
      </c>
      <c r="H1057" s="150">
        <v>0</v>
      </c>
      <c r="I1057" s="567">
        <f t="shared" si="29"/>
        <v>0</v>
      </c>
    </row>
    <row r="1058" spans="1:9" x14ac:dyDescent="0.15">
      <c r="A1058" s="138"/>
      <c r="B1058" s="521" t="s">
        <v>843</v>
      </c>
      <c r="C1058" s="138" t="s">
        <v>848</v>
      </c>
      <c r="D1058" s="144">
        <v>0</v>
      </c>
      <c r="E1058" s="144">
        <v>0</v>
      </c>
      <c r="F1058" s="144">
        <v>0</v>
      </c>
      <c r="G1058" s="291">
        <v>0</v>
      </c>
      <c r="H1058" s="150">
        <v>0</v>
      </c>
      <c r="I1058" s="567">
        <f t="shared" si="29"/>
        <v>0</v>
      </c>
    </row>
    <row r="1059" spans="1:9" x14ac:dyDescent="0.15">
      <c r="A1059" s="138"/>
      <c r="B1059" s="521" t="s">
        <v>844</v>
      </c>
      <c r="C1059" s="138" t="s">
        <v>153</v>
      </c>
      <c r="D1059" s="144">
        <v>0</v>
      </c>
      <c r="E1059" s="144">
        <v>0</v>
      </c>
      <c r="F1059" s="144">
        <v>0</v>
      </c>
      <c r="G1059" s="291">
        <v>0</v>
      </c>
      <c r="H1059" s="150">
        <v>0</v>
      </c>
      <c r="I1059" s="567">
        <f t="shared" si="29"/>
        <v>0</v>
      </c>
    </row>
    <row r="1060" spans="1:9" x14ac:dyDescent="0.15">
      <c r="A1060" s="138"/>
      <c r="B1060" s="521" t="s">
        <v>845</v>
      </c>
      <c r="C1060" s="138" t="s">
        <v>154</v>
      </c>
      <c r="D1060" s="144">
        <v>0</v>
      </c>
      <c r="E1060" s="144">
        <v>0</v>
      </c>
      <c r="F1060" s="144">
        <v>0</v>
      </c>
      <c r="G1060" s="291">
        <v>0</v>
      </c>
      <c r="H1060" s="150">
        <v>0</v>
      </c>
      <c r="I1060" s="567">
        <f t="shared" si="29"/>
        <v>0</v>
      </c>
    </row>
    <row r="1061" spans="1:9" x14ac:dyDescent="0.15">
      <c r="A1061" s="138"/>
      <c r="B1061" s="521" t="s">
        <v>846</v>
      </c>
      <c r="C1061" s="138" t="s">
        <v>155</v>
      </c>
      <c r="D1061" s="144">
        <v>0</v>
      </c>
      <c r="E1061" s="144">
        <v>0</v>
      </c>
      <c r="F1061" s="144">
        <v>0</v>
      </c>
      <c r="G1061" s="291">
        <v>0</v>
      </c>
      <c r="H1061" s="150">
        <v>0</v>
      </c>
      <c r="I1061" s="567">
        <f t="shared" si="29"/>
        <v>0</v>
      </c>
    </row>
    <row r="1062" spans="1:9" x14ac:dyDescent="0.15">
      <c r="A1062" s="138"/>
      <c r="B1062" s="521" t="s">
        <v>1582</v>
      </c>
      <c r="C1062" s="138" t="s">
        <v>156</v>
      </c>
      <c r="D1062" s="144">
        <v>0</v>
      </c>
      <c r="E1062" s="144">
        <v>0</v>
      </c>
      <c r="F1062" s="144">
        <v>0</v>
      </c>
      <c r="G1062" s="291">
        <v>0</v>
      </c>
      <c r="H1062" s="150">
        <v>0</v>
      </c>
      <c r="I1062" s="567">
        <f t="shared" si="29"/>
        <v>0</v>
      </c>
    </row>
    <row r="1063" spans="1:9" x14ac:dyDescent="0.15">
      <c r="A1063" s="138"/>
      <c r="B1063" s="521" t="s">
        <v>847</v>
      </c>
      <c r="C1063" s="138" t="s">
        <v>157</v>
      </c>
      <c r="D1063" s="144">
        <v>0</v>
      </c>
      <c r="E1063" s="144">
        <v>0</v>
      </c>
      <c r="F1063" s="144">
        <v>0</v>
      </c>
      <c r="G1063" s="291">
        <v>0</v>
      </c>
      <c r="H1063" s="150">
        <v>0</v>
      </c>
      <c r="I1063" s="567">
        <f t="shared" si="29"/>
        <v>0</v>
      </c>
    </row>
    <row r="1064" spans="1:9" x14ac:dyDescent="0.15">
      <c r="A1064" s="138"/>
      <c r="B1064" s="521" t="s">
        <v>1583</v>
      </c>
      <c r="C1064" s="138" t="s">
        <v>160</v>
      </c>
      <c r="D1064" s="144">
        <v>0</v>
      </c>
      <c r="E1064" s="144">
        <v>0</v>
      </c>
      <c r="F1064" s="144">
        <v>0</v>
      </c>
      <c r="G1064" s="291">
        <v>0</v>
      </c>
      <c r="H1064" s="150">
        <v>0</v>
      </c>
      <c r="I1064" s="567">
        <f t="shared" si="29"/>
        <v>0</v>
      </c>
    </row>
    <row r="1065" spans="1:9" x14ac:dyDescent="0.15">
      <c r="A1065" s="138"/>
      <c r="B1065" s="521" t="s">
        <v>634</v>
      </c>
      <c r="C1065" s="138" t="s">
        <v>165</v>
      </c>
      <c r="D1065" s="144">
        <v>0</v>
      </c>
      <c r="E1065" s="144">
        <v>0</v>
      </c>
      <c r="F1065" s="144">
        <v>0</v>
      </c>
      <c r="G1065" s="291">
        <v>0</v>
      </c>
      <c r="H1065" s="150">
        <v>0</v>
      </c>
      <c r="I1065" s="567">
        <f t="shared" si="29"/>
        <v>0</v>
      </c>
    </row>
    <row r="1066" spans="1:9" x14ac:dyDescent="0.15">
      <c r="A1066" s="138"/>
      <c r="B1066" s="521" t="s">
        <v>630</v>
      </c>
      <c r="C1066" s="138" t="s">
        <v>172</v>
      </c>
      <c r="D1066" s="144">
        <v>0</v>
      </c>
      <c r="E1066" s="144">
        <v>0</v>
      </c>
      <c r="F1066" s="144">
        <v>0</v>
      </c>
      <c r="G1066" s="291">
        <v>0</v>
      </c>
      <c r="H1066" s="150">
        <v>0</v>
      </c>
      <c r="I1066" s="567">
        <f t="shared" si="29"/>
        <v>0</v>
      </c>
    </row>
    <row r="1067" spans="1:9" x14ac:dyDescent="0.15">
      <c r="A1067" s="138"/>
      <c r="B1067" s="650" t="s">
        <v>631</v>
      </c>
      <c r="C1067" s="651" t="s">
        <v>173</v>
      </c>
      <c r="D1067" s="144">
        <v>0</v>
      </c>
      <c r="E1067" s="144">
        <v>0</v>
      </c>
      <c r="F1067" s="144">
        <v>0</v>
      </c>
      <c r="G1067" s="291">
        <v>0</v>
      </c>
      <c r="H1067" s="150">
        <v>0</v>
      </c>
      <c r="I1067" s="567">
        <f t="shared" si="29"/>
        <v>0</v>
      </c>
    </row>
    <row r="1068" spans="1:9" x14ac:dyDescent="0.15">
      <c r="A1068" s="138"/>
      <c r="B1068" s="521" t="s">
        <v>1584</v>
      </c>
      <c r="C1068" s="138" t="s">
        <v>178</v>
      </c>
      <c r="D1068" s="144">
        <v>0</v>
      </c>
      <c r="E1068" s="144">
        <v>0</v>
      </c>
      <c r="F1068" s="144">
        <v>0</v>
      </c>
      <c r="G1068" s="291">
        <v>0</v>
      </c>
      <c r="H1068" s="150">
        <v>0</v>
      </c>
      <c r="I1068" s="567">
        <f t="shared" si="29"/>
        <v>0</v>
      </c>
    </row>
    <row r="1069" spans="1:9" x14ac:dyDescent="0.15">
      <c r="A1069" s="138"/>
      <c r="B1069" s="521" t="s">
        <v>174</v>
      </c>
      <c r="C1069" s="138" t="s">
        <v>179</v>
      </c>
      <c r="D1069" s="144">
        <v>0</v>
      </c>
      <c r="E1069" s="144">
        <v>0</v>
      </c>
      <c r="F1069" s="144">
        <v>0</v>
      </c>
      <c r="G1069" s="291">
        <v>0</v>
      </c>
      <c r="H1069" s="150">
        <v>0</v>
      </c>
      <c r="I1069" s="567">
        <f t="shared" si="29"/>
        <v>0</v>
      </c>
    </row>
    <row r="1070" spans="1:9" x14ac:dyDescent="0.15">
      <c r="A1070" s="138"/>
      <c r="B1070" s="521" t="s">
        <v>175</v>
      </c>
      <c r="C1070" s="138" t="s">
        <v>180</v>
      </c>
      <c r="D1070" s="144">
        <v>0</v>
      </c>
      <c r="E1070" s="144">
        <v>0</v>
      </c>
      <c r="F1070" s="144">
        <v>0</v>
      </c>
      <c r="G1070" s="291">
        <v>0</v>
      </c>
      <c r="H1070" s="150">
        <v>0</v>
      </c>
      <c r="I1070" s="567">
        <f t="shared" si="29"/>
        <v>0</v>
      </c>
    </row>
    <row r="1071" spans="1:9" ht="11.25" thickBot="1" x14ac:dyDescent="0.2">
      <c r="A1071" s="138"/>
      <c r="B1071" s="521" t="s">
        <v>176</v>
      </c>
      <c r="C1071" s="138" t="s">
        <v>181</v>
      </c>
      <c r="D1071" s="144">
        <v>0</v>
      </c>
      <c r="E1071" s="144">
        <v>0</v>
      </c>
      <c r="F1071" s="144">
        <v>0</v>
      </c>
      <c r="G1071" s="291">
        <v>0</v>
      </c>
      <c r="H1071" s="150">
        <v>0</v>
      </c>
      <c r="I1071" s="567">
        <f t="shared" si="29"/>
        <v>0</v>
      </c>
    </row>
    <row r="1072" spans="1:9" ht="12" thickTop="1" thickBot="1" x14ac:dyDescent="0.2">
      <c r="A1072" s="138"/>
      <c r="B1072" s="521"/>
      <c r="C1072" s="138" t="s">
        <v>388</v>
      </c>
      <c r="D1072" s="169">
        <f>SUM(D1038:D1071)</f>
        <v>0</v>
      </c>
      <c r="E1072" s="169">
        <f>SUM(E1038:E1071)</f>
        <v>0</v>
      </c>
      <c r="F1072" s="169">
        <f>SUM(F1038:F1071)</f>
        <v>0</v>
      </c>
      <c r="G1072" s="169">
        <f>SUM(G1038:G1071)</f>
        <v>0</v>
      </c>
      <c r="H1072" s="169">
        <f>SUM(H1038:H1071)</f>
        <v>0</v>
      </c>
      <c r="I1072" s="169">
        <f>SUM(G1072+H1072)</f>
        <v>0</v>
      </c>
    </row>
    <row r="1073" spans="1:9" ht="12" thickTop="1" thickBot="1" x14ac:dyDescent="0.2">
      <c r="A1073" s="138"/>
      <c r="B1073" s="138"/>
      <c r="C1073" s="138"/>
      <c r="D1073" s="14"/>
      <c r="E1073" s="14"/>
      <c r="F1073" s="14"/>
      <c r="G1073" s="14"/>
      <c r="H1073" s="14"/>
      <c r="I1073" s="563"/>
    </row>
    <row r="1074" spans="1:9" ht="12" thickTop="1" thickBot="1" x14ac:dyDescent="0.2">
      <c r="B1074" s="138" t="s">
        <v>1500</v>
      </c>
      <c r="D1074" s="169">
        <f>D44+D80+D116+D152+D188+D223+D259+D295+D331+D367+D405+D442+D479+D516+D553+D590+D627+D665+D702+D739+D776+D813+D850+D887+D924+D961+D998+D1035+D1072</f>
        <v>0</v>
      </c>
      <c r="E1074" s="169">
        <f>E44+E80+E116+E152+E188+E223+E259+E295+E331+E367+E405+E442+E479+E516+E553+E590+E627+E665+E702+E739+E776+E813+E850+E887+E924+E961+E998+E1035+E1072</f>
        <v>0</v>
      </c>
      <c r="F1074" s="169">
        <f>F44+F80+F116+F152+F188+F223+F259+F295+F331+F367+F405+F442+F479+F516+F553+F590+F627+F665+F702+F739+F776+F813+F850+F887+F924+F961+F998+F1035+F1072</f>
        <v>0</v>
      </c>
      <c r="G1074" s="169">
        <f>G44+G80+G116+G152+G188+G223+G259+G295+G331+G367+G405+G442+G479+G516+G553+G590+G627+G665+G702+G739+G776+G813+G850+G887+G924+G961+G998+G1035+G1072</f>
        <v>0</v>
      </c>
      <c r="H1074" s="169">
        <f>H44+H80+H116+H152+H188+H223+H259+H295+H331+H367+H405+H442+H479+H516+H553+H590+H627+H665+H702+H739+H776+H813+H850+H887+H924+H961+H998+H1035+H1072</f>
        <v>0</v>
      </c>
      <c r="I1074" s="169">
        <f>SUM(G1074+H1074)</f>
        <v>0</v>
      </c>
    </row>
    <row r="1075" spans="1:9" ht="11.25" thickTop="1" x14ac:dyDescent="0.15">
      <c r="C1075" s="138"/>
      <c r="I1075" s="167"/>
    </row>
    <row r="1076" spans="1:9" x14ac:dyDescent="0.15">
      <c r="D1076" s="498"/>
      <c r="E1076" s="498"/>
      <c r="F1076" s="498"/>
      <c r="G1076" s="498"/>
      <c r="I1076" s="167"/>
    </row>
    <row r="1077" spans="1:9" x14ac:dyDescent="0.15">
      <c r="A1077" s="167" t="s">
        <v>407</v>
      </c>
      <c r="B1077" s="167"/>
      <c r="C1077" s="167"/>
      <c r="D1077" s="498"/>
      <c r="E1077" s="498"/>
      <c r="F1077" s="498"/>
      <c r="G1077" s="498"/>
    </row>
    <row r="1078" spans="1:9" x14ac:dyDescent="0.15">
      <c r="A1078" s="167"/>
      <c r="B1078" s="167"/>
      <c r="C1078" s="167"/>
      <c r="D1078" s="498"/>
      <c r="E1078" s="498"/>
      <c r="F1078" s="498"/>
      <c r="G1078" s="498"/>
    </row>
    <row r="1079" spans="1:9" ht="18.75" x14ac:dyDescent="0.3">
      <c r="A1079" s="152" t="s">
        <v>1577</v>
      </c>
      <c r="B1079" s="615">
        <f>SUM(I11+I12+I47+I48+I83+I84+I119+I120+I155+I156+I191+I192+I226+I227+I262+I263+I298+I299+I334+I335+I371+I372+I408+I409+I445+I446+I482+I483+I519+I520+I556+I557+I593+I594+I630+I631+I668+I669+I705+I706+I742+I743+I779+I780+I816+I817+I853+I854+I890+I891+I927+I928+I964+I965+I1001+I1002+I1038+I1039)</f>
        <v>0</v>
      </c>
      <c r="C1079" s="167"/>
      <c r="D1079" s="498"/>
      <c r="E1079" s="498"/>
      <c r="F1079" s="498"/>
      <c r="G1079" s="498"/>
    </row>
    <row r="1080" spans="1:9" ht="18.75" x14ac:dyDescent="0.3">
      <c r="A1080" s="152" t="s">
        <v>1578</v>
      </c>
      <c r="B1080" s="615">
        <f>SUM(I14+I13+I50+I49+I86+I85+I122+I121+I158+I157+I194+I193+I229+I228+I265+I264+I301+I300+I337+I336+I374+I373+I411+I410+I448+I447+I485+I484+I522+I521+I559+I558+I596+I595+I633+I632+I671+I670+I708+I707+I745+I744+I782+I781+I819+I818+I856+I855+I893+I892+I930+I929+I967+I966+I1004+I1003+I1041+I1040)</f>
        <v>0</v>
      </c>
      <c r="C1080" s="616"/>
      <c r="D1080" s="525"/>
      <c r="E1080" s="525"/>
      <c r="F1080" s="525"/>
      <c r="G1080" s="498"/>
    </row>
    <row r="1081" spans="1:9" ht="18.75" x14ac:dyDescent="0.3">
      <c r="A1081" s="152" t="s">
        <v>1579</v>
      </c>
      <c r="B1081" s="615">
        <f>SUM(CharterFundExp!I15+CharterFundExp!I51+CharterFundExp!I87+CharterFundExp!I123+CharterFundExp!I159+CharterFundExp!I195+CharterFundExp!I230+CharterFundExp!I266+CharterFundExp!I302+CharterFundExp!I338+CharterFundExp!I375+CharterFundExp!I412+CharterFundExp!I449+CharterFundExp!I486+CharterFundExp!I523+CharterFundExp!I560+CharterFundExp!I597+CharterFundExp!I634+CharterFundExp!I672+CharterFundExp!I709+CharterFundExp!I746+CharterFundExp!I783+CharterFundExp!I820+CharterFundExp!I857+CharterFundExp!I894+CharterFundExp!I931+CharterFundExp!I968+CharterFundExp!I1005+CharterFundExp!I1042)</f>
        <v>0</v>
      </c>
      <c r="C1081" s="167"/>
    </row>
    <row r="1082" spans="1:9" ht="18.75" x14ac:dyDescent="0.3">
      <c r="A1082" s="152" t="s">
        <v>1580</v>
      </c>
      <c r="B1082" s="615">
        <f>SUM(CharterFundExp!I16+CharterFundExp!I52+CharterFundExp!I88+CharterFundExp!I124+CharterFundExp!I160+CharterFundExp!I196+CharterFundExp!I231+CharterFundExp!I267+CharterFundExp!I303+CharterFundExp!I339+CharterFundExp!I376+CharterFundExp!I413+CharterFundExp!I450+CharterFundExp!I487+CharterFundExp!I524+CharterFundExp!I561+CharterFundExp!I598+CharterFundExp!I635+CharterFundExp!I673+CharterFundExp!I710+CharterFundExp!I747+CharterFundExp!I784+CharterFundExp!I821+CharterFundExp!I858+CharterFundExp!I895+CharterFundExp!I932+CharterFundExp!I969+CharterFundExp!I1006+CharterFundExp!I1043)</f>
        <v>0</v>
      </c>
      <c r="C1082" s="167"/>
    </row>
    <row r="1083" spans="1:9" ht="18.75" x14ac:dyDescent="0.3">
      <c r="A1083" s="152" t="s">
        <v>120</v>
      </c>
      <c r="B1083" s="615">
        <f>SUM(CharterFundExp!I17+CharterFundExp!I53+CharterFundExp!I89+CharterFundExp!I125+CharterFundExp!I161+CharterFundExp!I197+CharterFundExp!I232+CharterFundExp!I268+CharterFundExp!I304+CharterFundExp!I340+CharterFundExp!I377+CharterFundExp!I414+CharterFundExp!I451+CharterFundExp!I488+CharterFundExp!I525+CharterFundExp!I562+CharterFundExp!I599+CharterFundExp!I636+CharterFundExp!I674+CharterFundExp!I711+CharterFundExp!I748+CharterFundExp!I785+CharterFundExp!I822+CharterFundExp!I859+CharterFundExp!I896+CharterFundExp!I933+CharterFundExp!I970+CharterFundExp!I1007+CharterFundExp!I1044)</f>
        <v>0</v>
      </c>
      <c r="C1083" s="167"/>
    </row>
    <row r="1084" spans="1:9" ht="18.75" x14ac:dyDescent="0.3">
      <c r="A1084" s="152" t="s">
        <v>122</v>
      </c>
      <c r="B1084" s="615">
        <f>SUM(CharterFundExp!I18+CharterFundExp!I54+CharterFundExp!I90+CharterFundExp!I126+CharterFundExp!I162+CharterFundExp!I198+CharterFundExp!I233+CharterFundExp!I269+CharterFundExp!I305+CharterFundExp!I341+CharterFundExp!I378+CharterFundExp!I415+CharterFundExp!I452+CharterFundExp!I489+CharterFundExp!I526+CharterFundExp!I563+CharterFundExp!I600+CharterFundExp!I637+CharterFundExp!I675+CharterFundExp!I712+CharterFundExp!I749+CharterFundExp!I786+CharterFundExp!I823+CharterFundExp!I860+CharterFundExp!I897+CharterFundExp!I934+CharterFundExp!I971+CharterFundExp!I1008+CharterFundExp!I1045)</f>
        <v>0</v>
      </c>
      <c r="C1084" s="167"/>
    </row>
    <row r="1085" spans="1:9" ht="18.75" x14ac:dyDescent="0.3">
      <c r="A1085" s="152" t="s">
        <v>1581</v>
      </c>
      <c r="B1085" s="615">
        <f>SUM(CharterFundExp!I19+CharterFundExp!I55+CharterFundExp!I91+CharterFundExp!I127+CharterFundExp!I163+CharterFundExp!I199+CharterFundExp!I234+CharterFundExp!I270+CharterFundExp!I306+CharterFundExp!I342+CharterFundExp!I379+CharterFundExp!I416+CharterFundExp!I453+CharterFundExp!I490+CharterFundExp!I527+CharterFundExp!I564+CharterFundExp!I601+CharterFundExp!I638+CharterFundExp!I676+CharterFundExp!I713+CharterFundExp!I750+CharterFundExp!I787+CharterFundExp!I824+CharterFundExp!I861+CharterFundExp!I898+CharterFundExp!I935+CharterFundExp!I972+CharterFundExp!I1009+CharterFundExp!I1046)</f>
        <v>0</v>
      </c>
      <c r="C1085" s="167"/>
    </row>
    <row r="1086" spans="1:9" ht="18.75" x14ac:dyDescent="0.3">
      <c r="A1086" s="152" t="s">
        <v>127</v>
      </c>
      <c r="B1086" s="615">
        <f>SUM(CharterFundExp!I20+CharterFundExp!I56+CharterFundExp!I92+CharterFundExp!I128+CharterFundExp!I164+CharterFundExp!I200+CharterFundExp!I235+CharterFundExp!I271+CharterFundExp!I307+CharterFundExp!I343+CharterFundExp!I380+CharterFundExp!I417+CharterFundExp!I454+CharterFundExp!I491+CharterFundExp!I528+CharterFundExp!I565+CharterFundExp!I602+CharterFundExp!I639+CharterFundExp!I677+CharterFundExp!I714+CharterFundExp!I751+CharterFundExp!I788+CharterFundExp!I825+CharterFundExp!I862+CharterFundExp!I899+CharterFundExp!I936+CharterFundExp!I973+CharterFundExp!I1010+CharterFundExp!I1047)</f>
        <v>0</v>
      </c>
      <c r="C1086" s="167"/>
    </row>
    <row r="1087" spans="1:9" ht="18.75" x14ac:dyDescent="0.3">
      <c r="A1087" s="152" t="s">
        <v>128</v>
      </c>
      <c r="B1087" s="615">
        <f>SUM(CharterFundExp!I21+CharterFundExp!I57+CharterFundExp!I93+CharterFundExp!I129+CharterFundExp!I165+CharterFundExp!I201+CharterFundExp!I236+CharterFundExp!I272+CharterFundExp!I308+CharterFundExp!I344+CharterFundExp!I381+CharterFundExp!I418+CharterFundExp!I455+CharterFundExp!I492+CharterFundExp!I529+CharterFundExp!I566+CharterFundExp!I603+CharterFundExp!I640+CharterFundExp!I678+CharterFundExp!I715+CharterFundExp!I752+CharterFundExp!I789+CharterFundExp!I826+CharterFundExp!I863+CharterFundExp!I900+CharterFundExp!I937+CharterFundExp!I974+CharterFundExp!I1011+CharterFundExp!I1048)</f>
        <v>0</v>
      </c>
      <c r="C1087" s="167"/>
    </row>
    <row r="1088" spans="1:9" ht="18.75" x14ac:dyDescent="0.3">
      <c r="A1088" s="152" t="s">
        <v>132</v>
      </c>
      <c r="B1088" s="615">
        <f>SUM(CharterFundExp!I22+CharterFundExp!I58+CharterFundExp!I94+CharterFundExp!I130+CharterFundExp!I166+CharterFundExp!I202+CharterFundExp!I237+CharterFundExp!I273+CharterFundExp!I309+CharterFundExp!I345+CharterFundExp!I382+CharterFundExp!I419+CharterFundExp!I456+CharterFundExp!I493+CharterFundExp!I530+CharterFundExp!I567+CharterFundExp!I604+CharterFundExp!I641+CharterFundExp!I679+CharterFundExp!I716+CharterFundExp!I753+CharterFundExp!I790+CharterFundExp!I827+CharterFundExp!I864+CharterFundExp!I901+CharterFundExp!I938+CharterFundExp!I975+CharterFundExp!I1012+CharterFundExp!I1049)</f>
        <v>0</v>
      </c>
      <c r="C1088" s="167"/>
    </row>
    <row r="1089" spans="1:3" ht="18.75" x14ac:dyDescent="0.3">
      <c r="A1089" s="152" t="s">
        <v>1618</v>
      </c>
      <c r="B1089" s="615">
        <f>SUM(CharterFundExp!I23+CharterFundExp!I59+CharterFundExp!I95+CharterFundExp!I131+CharterFundExp!I167+CharterFundExp!I203+CharterFundExp!I238+CharterFundExp!I274+CharterFundExp!I310+CharterFundExp!I346+CharterFundExp!I383+CharterFundExp!I420+CharterFundExp!I457+CharterFundExp!I494+CharterFundExp!I531+CharterFundExp!I568+CharterFundExp!I605+CharterFundExp!I642+CharterFundExp!I680+CharterFundExp!I717+CharterFundExp!I754+CharterFundExp!I791+CharterFundExp!I828+CharterFundExp!I865+CharterFundExp!I902+CharterFundExp!I939+CharterFundExp!I976+CharterFundExp!I1013+CharterFundExp!I1050)</f>
        <v>0</v>
      </c>
      <c r="C1089" s="167"/>
    </row>
    <row r="1090" spans="1:3" ht="18.75" x14ac:dyDescent="0.3">
      <c r="A1090" s="152" t="s">
        <v>1619</v>
      </c>
      <c r="B1090" s="615">
        <f>SUM(CharterFundExp!I24+CharterFundExp!I60+CharterFundExp!I96+CharterFundExp!I132+CharterFundExp!I168+CharterFundExp!I204+CharterFundExp!I239+CharterFundExp!I275+CharterFundExp!I311+CharterFundExp!I347+CharterFundExp!I384+CharterFundExp!I421+CharterFundExp!I458+CharterFundExp!I495+CharterFundExp!I532+CharterFundExp!I569+CharterFundExp!I606+CharterFundExp!I643+CharterFundExp!I681+CharterFundExp!I718+CharterFundExp!I755+CharterFundExp!I792+CharterFundExp!I829+CharterFundExp!I866+CharterFundExp!I903+CharterFundExp!I940+CharterFundExp!I977+CharterFundExp!I1014+CharterFundExp!I1051)</f>
        <v>0</v>
      </c>
      <c r="C1090" s="167"/>
    </row>
    <row r="1091" spans="1:3" ht="18.75" x14ac:dyDescent="0.3">
      <c r="A1091" s="152" t="s">
        <v>1620</v>
      </c>
      <c r="B1091" s="615">
        <f>SUM(CharterFundExp!I25+CharterFundExp!I61+CharterFundExp!I97+CharterFundExp!I133+CharterFundExp!I169+CharterFundExp!I205+CharterFundExp!I240+CharterFundExp!I276+CharterFundExp!I312+CharterFundExp!I348+CharterFundExp!I385+CharterFundExp!I422+CharterFundExp!I459+CharterFundExp!I496+CharterFundExp!I533+CharterFundExp!I570+CharterFundExp!I607+CharterFundExp!I644+CharterFundExp!I682+CharterFundExp!I719+CharterFundExp!I756+CharterFundExp!I793+CharterFundExp!I830+CharterFundExp!I867+CharterFundExp!I904+CharterFundExp!I941+CharterFundExp!I978+CharterFundExp!I1015+CharterFundExp!I1052)</f>
        <v>0</v>
      </c>
      <c r="C1091" s="167"/>
    </row>
    <row r="1092" spans="1:3" ht="18.75" x14ac:dyDescent="0.3">
      <c r="A1092" s="152" t="s">
        <v>1621</v>
      </c>
      <c r="B1092" s="615">
        <f>SUM(CharterFundExp!I26+CharterFundExp!I62+CharterFundExp!I98+CharterFundExp!I134+CharterFundExp!I170+CharterFundExp!I206+CharterFundExp!I241+CharterFundExp!I277+CharterFundExp!I313+CharterFundExp!I349+CharterFundExp!I386+CharterFundExp!I423+CharterFundExp!I460+CharterFundExp!I497+CharterFundExp!I534+CharterFundExp!I571+CharterFundExp!I608+CharterFundExp!I645+CharterFundExp!I683+CharterFundExp!I720+CharterFundExp!I757+CharterFundExp!I794+CharterFundExp!I831+CharterFundExp!I868+CharterFundExp!I905+CharterFundExp!I942+CharterFundExp!I979+CharterFundExp!I1016+CharterFundExp!I1053)</f>
        <v>0</v>
      </c>
      <c r="C1092" s="167"/>
    </row>
    <row r="1093" spans="1:3" ht="18.75" x14ac:dyDescent="0.3">
      <c r="A1093" s="152" t="s">
        <v>1622</v>
      </c>
      <c r="B1093" s="615">
        <f>SUM(CharterFundExp!I27+CharterFundExp!I63+CharterFundExp!I99+CharterFundExp!I135+CharterFundExp!I171+CharterFundExp!I207+CharterFundExp!I242+CharterFundExp!I278+CharterFundExp!I314+CharterFundExp!I350+CharterFundExp!I387+CharterFundExp!I424+CharterFundExp!I461+CharterFundExp!I498+CharterFundExp!I535+CharterFundExp!I572+CharterFundExp!I609+CharterFundExp!I646+CharterFundExp!I684+CharterFundExp!I721+CharterFundExp!I758+CharterFundExp!I795+CharterFundExp!I832+CharterFundExp!I869+CharterFundExp!I906+CharterFundExp!I943+CharterFundExp!I980+CharterFundExp!I1017+CharterFundExp!I1054)</f>
        <v>0</v>
      </c>
      <c r="C1093" s="167"/>
    </row>
    <row r="1094" spans="1:3" ht="18.75" x14ac:dyDescent="0.3">
      <c r="A1094" s="152" t="s">
        <v>1623</v>
      </c>
      <c r="B1094" s="615">
        <f>SUM(CharterFundExp!I28+CharterFundExp!I64+CharterFundExp!I100+CharterFundExp!I136+CharterFundExp!I172+CharterFundExp!I208+CharterFundExp!I243+CharterFundExp!I279+CharterFundExp!I315+CharterFundExp!I351+CharterFundExp!I388+CharterFundExp!I425+CharterFundExp!I462+CharterFundExp!I499+CharterFundExp!I536+CharterFundExp!I573+CharterFundExp!I610+CharterFundExp!I647+CharterFundExp!I685+CharterFundExp!I722+CharterFundExp!I759+CharterFundExp!I796+CharterFundExp!I833+CharterFundExp!I870+CharterFundExp!I907+CharterFundExp!I944+CharterFundExp!I981+CharterFundExp!I1018+CharterFundExp!I1055)</f>
        <v>0</v>
      </c>
      <c r="C1094" s="167"/>
    </row>
    <row r="1095" spans="1:3" ht="18.75" x14ac:dyDescent="0.3">
      <c r="A1095" s="152" t="s">
        <v>1624</v>
      </c>
      <c r="B1095" s="615">
        <f>SUM(CharterFundExp!I29+CharterFundExp!I65+CharterFundExp!I101+CharterFundExp!I137+CharterFundExp!I173+CharterFundExp!I209+CharterFundExp!I244+CharterFundExp!I280+CharterFundExp!I316+CharterFundExp!I352+CharterFundExp!I389+CharterFundExp!I426+CharterFundExp!I463+CharterFundExp!I500+CharterFundExp!I537+CharterFundExp!I574+CharterFundExp!I611+CharterFundExp!I648+CharterFundExp!I686+CharterFundExp!I723+CharterFundExp!I760+CharterFundExp!I797+CharterFundExp!I834+CharterFundExp!I871+CharterFundExp!I908+CharterFundExp!I945+CharterFundExp!I982+CharterFundExp!I1019+CharterFundExp!I1056)</f>
        <v>0</v>
      </c>
      <c r="C1095" s="167"/>
    </row>
    <row r="1096" spans="1:3" ht="18.75" x14ac:dyDescent="0.3">
      <c r="A1096" s="152" t="s">
        <v>1625</v>
      </c>
      <c r="B1096" s="615">
        <f>SUM(CharterFundExp!I30+CharterFundExp!I66+CharterFundExp!I102+CharterFundExp!I138+CharterFundExp!I174+CharterFundExp!I210+CharterFundExp!I245+CharterFundExp!I281+CharterFundExp!I317+CharterFundExp!I353+CharterFundExp!I390+CharterFundExp!I427+CharterFundExp!I464+CharterFundExp!I501+CharterFundExp!I538+CharterFundExp!I575+CharterFundExp!I612+CharterFundExp!I649+CharterFundExp!I687+CharterFundExp!I724+CharterFundExp!I761+CharterFundExp!I798+CharterFundExp!I835+CharterFundExp!I872+CharterFundExp!I909+CharterFundExp!I946+CharterFundExp!I983+CharterFundExp!I1020+CharterFundExp!I1057)</f>
        <v>0</v>
      </c>
      <c r="C1096" s="167"/>
    </row>
    <row r="1097" spans="1:3" ht="18.75" x14ac:dyDescent="0.3">
      <c r="A1097" s="152" t="s">
        <v>843</v>
      </c>
      <c r="B1097" s="615">
        <f>SUM(CharterFundExp!I31+CharterFundExp!I67+CharterFundExp!I103+CharterFundExp!I139+CharterFundExp!I175+CharterFundExp!I211+CharterFundExp!I246+CharterFundExp!I282+CharterFundExp!I318+CharterFundExp!I354+CharterFundExp!I391+CharterFundExp!I428+CharterFundExp!I465+CharterFundExp!I502+CharterFundExp!I539+CharterFundExp!I576+CharterFundExp!I613+CharterFundExp!I650+CharterFundExp!I688+CharterFundExp!I725+CharterFundExp!I762+CharterFundExp!I799+CharterFundExp!I836+CharterFundExp!I873+CharterFundExp!I910+CharterFundExp!I947+CharterFundExp!I984+CharterFundExp!I1021+CharterFundExp!I1058)</f>
        <v>0</v>
      </c>
      <c r="C1097" s="167"/>
    </row>
    <row r="1098" spans="1:3" ht="18.75" x14ac:dyDescent="0.3">
      <c r="A1098" s="152" t="s">
        <v>844</v>
      </c>
      <c r="B1098" s="615">
        <f>SUM(CharterFundExp!I32+CharterFundExp!I68+CharterFundExp!I104+CharterFundExp!I140+CharterFundExp!I176+CharterFundExp!I212+CharterFundExp!I247+CharterFundExp!I283+CharterFundExp!I319+CharterFundExp!I355+CharterFundExp!I392+CharterFundExp!I429+CharterFundExp!I466+CharterFundExp!I503+CharterFundExp!I540+CharterFundExp!I577+CharterFundExp!I614+CharterFundExp!I651+CharterFundExp!I689+CharterFundExp!I726+CharterFundExp!I763+CharterFundExp!I800+CharterFundExp!I837+CharterFundExp!I874+CharterFundExp!I911+CharterFundExp!I948+CharterFundExp!I985+CharterFundExp!I1022+CharterFundExp!I1059)</f>
        <v>0</v>
      </c>
      <c r="C1098" s="167"/>
    </row>
    <row r="1099" spans="1:3" ht="18.75" x14ac:dyDescent="0.3">
      <c r="A1099" s="152" t="s">
        <v>845</v>
      </c>
      <c r="B1099" s="615">
        <f>SUM(CharterFundExp!I33+CharterFundExp!I69+CharterFundExp!I105+CharterFundExp!I141+CharterFundExp!I177+CharterFundExp!I213+CharterFundExp!I248+CharterFundExp!I284+CharterFundExp!I320+CharterFundExp!I356+CharterFundExp!I393+CharterFundExp!I430+CharterFundExp!I467+CharterFundExp!I504+CharterFundExp!I541+CharterFundExp!I578+CharterFundExp!I615+CharterFundExp!I652+CharterFundExp!I690+CharterFundExp!I727+CharterFundExp!I764+CharterFundExp!I801+CharterFundExp!I838+CharterFundExp!I875+CharterFundExp!I912+CharterFundExp!I949+CharterFundExp!I986+CharterFundExp!I1023+CharterFundExp!I1060)</f>
        <v>0</v>
      </c>
      <c r="C1099" s="167"/>
    </row>
    <row r="1100" spans="1:3" ht="18.75" x14ac:dyDescent="0.3">
      <c r="A1100" s="152" t="s">
        <v>846</v>
      </c>
      <c r="B1100" s="615">
        <f>SUM(CharterFundExp!I34+CharterFundExp!I70+CharterFundExp!I106+CharterFundExp!I142+CharterFundExp!I178+CharterFundExp!I214+CharterFundExp!I249+CharterFundExp!I285+CharterFundExp!I321+CharterFundExp!I357+CharterFundExp!I394+CharterFundExp!I431+CharterFundExp!I468+CharterFundExp!I505+CharterFundExp!I542+CharterFundExp!I579+CharterFundExp!I616+CharterFundExp!I653+CharterFundExp!I691+CharterFundExp!I728+CharterFundExp!I765+CharterFundExp!I802+CharterFundExp!I839+CharterFundExp!I876+CharterFundExp!I913+CharterFundExp!I950+CharterFundExp!I987+CharterFundExp!I1024+CharterFundExp!I1061)</f>
        <v>0</v>
      </c>
      <c r="C1100" s="167"/>
    </row>
    <row r="1101" spans="1:3" ht="18.75" x14ac:dyDescent="0.3">
      <c r="A1101" s="152" t="s">
        <v>1582</v>
      </c>
      <c r="B1101" s="615">
        <f>SUM(CharterFundExp!I35+CharterFundExp!I71+CharterFundExp!I107+CharterFundExp!I143+CharterFundExp!I179+CharterFundExp!I215+CharterFundExp!I250+CharterFundExp!I286+CharterFundExp!I322+CharterFundExp!I358+CharterFundExp!I395+CharterFundExp!I432+CharterFundExp!I469+CharterFundExp!I506+CharterFundExp!I543+CharterFundExp!I580+CharterFundExp!I617+CharterFundExp!I654+CharterFundExp!I692+CharterFundExp!I729+CharterFundExp!I766+CharterFundExp!I803+CharterFundExp!I840+CharterFundExp!I877+CharterFundExp!I914+CharterFundExp!I951+CharterFundExp!I988+CharterFundExp!I1025+CharterFundExp!I1062)</f>
        <v>0</v>
      </c>
      <c r="C1101" s="167"/>
    </row>
    <row r="1102" spans="1:3" ht="18.75" x14ac:dyDescent="0.3">
      <c r="A1102" s="152" t="s">
        <v>847</v>
      </c>
      <c r="B1102" s="615">
        <f>SUM(CharterFundExp!I36+CharterFundExp!I72+CharterFundExp!I108+CharterFundExp!I144+CharterFundExp!I180+CharterFundExp!I216+CharterFundExp!I251+CharterFundExp!I287+CharterFundExp!I323+CharterFundExp!I359+CharterFundExp!I396+CharterFundExp!I433+CharterFundExp!I470+CharterFundExp!I507+CharterFundExp!I544+CharterFundExp!I581+CharterFundExp!I618+CharterFundExp!I655+CharterFundExp!I693+CharterFundExp!I730+CharterFundExp!I767+CharterFundExp!I804+CharterFundExp!I841+CharterFundExp!I878+CharterFundExp!I915+CharterFundExp!I952+CharterFundExp!I989+CharterFundExp!I1026+CharterFundExp!I1063)</f>
        <v>0</v>
      </c>
      <c r="C1102" s="167"/>
    </row>
    <row r="1103" spans="1:3" ht="18.75" x14ac:dyDescent="0.3">
      <c r="A1103" s="152" t="s">
        <v>1583</v>
      </c>
      <c r="B1103" s="615">
        <f>SUM(CharterFundExp!I37+CharterFundExp!I73+CharterFundExp!I109+CharterFundExp!I145+CharterFundExp!I181+CharterFundExp!I217+CharterFundExp!I252+CharterFundExp!I288+CharterFundExp!I324+CharterFundExp!I360+CharterFundExp!I397+CharterFundExp!I434+CharterFundExp!I471+CharterFundExp!I508+CharterFundExp!I545+CharterFundExp!I582+CharterFundExp!I619+CharterFundExp!I656+CharterFundExp!I694+CharterFundExp!I731+CharterFundExp!I768+CharterFundExp!I805+CharterFundExp!I842+CharterFundExp!I879+CharterFundExp!I916+CharterFundExp!I953+CharterFundExp!I990+CharterFundExp!I1027+CharterFundExp!I1064)</f>
        <v>0</v>
      </c>
      <c r="C1103" s="167"/>
    </row>
    <row r="1104" spans="1:3" ht="18.75" x14ac:dyDescent="0.3">
      <c r="A1104" s="152" t="s">
        <v>634</v>
      </c>
      <c r="B1104" s="615">
        <f>SUM(CharterFundExp!I38+CharterFundExp!I74+CharterFundExp!I110+CharterFundExp!I146+CharterFundExp!I182+CharterFundExp!I218+CharterFundExp!I253+CharterFundExp!I289+CharterFundExp!I325+CharterFundExp!I361+CharterFundExp!I398+CharterFundExp!I435+CharterFundExp!I472+CharterFundExp!I509+CharterFundExp!I546+CharterFundExp!I583+CharterFundExp!I620+CharterFundExp!I657+CharterFundExp!I695+CharterFundExp!I732+CharterFundExp!I769+CharterFundExp!I806+CharterFundExp!I843+CharterFundExp!I880+CharterFundExp!I917+CharterFundExp!I954+CharterFundExp!I991+CharterFundExp!I1028+CharterFundExp!I1065)</f>
        <v>0</v>
      </c>
      <c r="C1104" s="167"/>
    </row>
    <row r="1105" spans="1:3" ht="18" x14ac:dyDescent="0.25">
      <c r="A1105" s="311" t="s">
        <v>202</v>
      </c>
      <c r="B1105" s="617">
        <f>I658</f>
        <v>0</v>
      </c>
      <c r="C1105" s="167"/>
    </row>
    <row r="1106" spans="1:3" ht="18" x14ac:dyDescent="0.25">
      <c r="A1106" s="152" t="s">
        <v>630</v>
      </c>
      <c r="B1106" s="617">
        <f t="shared" ref="B1106:B1111" si="30">SUM(I38+I74+I110+I146+I182+I217+I253+I289+I325+I361+I399+I436+I473+I510+I547+I584+I621+I659+I696+I733+I770+I807+I844+I881+I918+I955+I992+I1029+I1066)</f>
        <v>0</v>
      </c>
      <c r="C1106" s="167"/>
    </row>
    <row r="1107" spans="1:3" ht="18" x14ac:dyDescent="0.25">
      <c r="A1107" s="152" t="s">
        <v>631</v>
      </c>
      <c r="B1107" s="617">
        <f t="shared" si="30"/>
        <v>0</v>
      </c>
      <c r="C1107" s="167"/>
    </row>
    <row r="1108" spans="1:3" ht="18" x14ac:dyDescent="0.25">
      <c r="A1108" s="152" t="s">
        <v>1584</v>
      </c>
      <c r="B1108" s="617">
        <f t="shared" si="30"/>
        <v>0</v>
      </c>
      <c r="C1108" s="167"/>
    </row>
    <row r="1109" spans="1:3" ht="18" x14ac:dyDescent="0.25">
      <c r="A1109" s="152" t="s">
        <v>174</v>
      </c>
      <c r="B1109" s="617">
        <f t="shared" si="30"/>
        <v>0</v>
      </c>
      <c r="C1109" s="167"/>
    </row>
    <row r="1110" spans="1:3" ht="18" x14ac:dyDescent="0.25">
      <c r="A1110" s="152" t="s">
        <v>175</v>
      </c>
      <c r="B1110" s="617">
        <f t="shared" si="30"/>
        <v>0</v>
      </c>
      <c r="C1110" s="167"/>
    </row>
    <row r="1111" spans="1:3" ht="18" x14ac:dyDescent="0.25">
      <c r="A1111" s="152" t="s">
        <v>176</v>
      </c>
      <c r="B1111" s="617">
        <f t="shared" si="30"/>
        <v>0</v>
      </c>
      <c r="C1111" s="167"/>
    </row>
    <row r="1112" spans="1:3" x14ac:dyDescent="0.15">
      <c r="A1112" s="167"/>
      <c r="B1112" s="618"/>
      <c r="C1112" s="167"/>
    </row>
    <row r="1113" spans="1:3" x14ac:dyDescent="0.15">
      <c r="A1113" s="167"/>
      <c r="B1113" s="618"/>
      <c r="C1113" s="167"/>
    </row>
    <row r="1114" spans="1:3" x14ac:dyDescent="0.15">
      <c r="B1114" s="490"/>
    </row>
    <row r="1115" spans="1:3" x14ac:dyDescent="0.15">
      <c r="B1115" s="490"/>
    </row>
  </sheetData>
  <sheetProtection password="CB03" sheet="1" formatCells="0" formatColumns="0" formatRows="0"/>
  <phoneticPr fontId="15" type="noConversion"/>
  <pageMargins left="0.75" right="0.75" top="1" bottom="1" header="0.5" footer="0.5"/>
  <pageSetup scale="55" orientation="portrait" r:id="rId1"/>
  <headerFooter alignWithMargins="0">
    <oddFooter>&amp;LCDE, Public School Finance Unit&amp;C&amp;P&amp;RRevised, March 2009</oddFooter>
  </headerFooter>
  <rowBreaks count="9" manualBreakCount="9">
    <brk id="81" max="16383" man="1"/>
    <brk id="188" max="8" man="1"/>
    <brk id="296" max="16383" man="1"/>
    <brk id="405" max="8" man="1"/>
    <brk id="516" max="16383" man="1"/>
    <brk id="627" max="8" man="1"/>
    <brk id="739" max="16383" man="1"/>
    <brk id="851" max="16383" man="1"/>
    <brk id="96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3"/>
  <sheetViews>
    <sheetView zoomScaleNormal="100" workbookViewId="0">
      <selection activeCell="H558" sqref="H558"/>
    </sheetView>
  </sheetViews>
  <sheetFormatPr defaultRowHeight="10.5" x14ac:dyDescent="0.15"/>
  <cols>
    <col min="1" max="1" width="4.83203125" style="423" customWidth="1"/>
    <col min="2" max="2" width="7.6640625" style="423" customWidth="1"/>
    <col min="3" max="3" width="70.83203125" style="423" customWidth="1"/>
    <col min="4" max="4" width="15.83203125" style="423" customWidth="1"/>
    <col min="5" max="5" width="14.1640625" style="423" bestFit="1" customWidth="1"/>
    <col min="6" max="6" width="14" style="423" bestFit="1" customWidth="1"/>
    <col min="7" max="8" width="15.83203125" style="423" customWidth="1"/>
    <col min="9" max="9" width="20.5" style="423" customWidth="1"/>
    <col min="10" max="16384" width="9.33203125" style="423"/>
  </cols>
  <sheetData>
    <row r="1" spans="1:10" ht="10.5" customHeight="1" x14ac:dyDescent="0.15">
      <c r="A1" s="423" t="s">
        <v>106</v>
      </c>
      <c r="C1" s="138">
        <f>+'Page 1 - FY2013-14'!B5</f>
        <v>0</v>
      </c>
      <c r="D1" s="423" t="s">
        <v>1586</v>
      </c>
      <c r="E1" s="428">
        <f>+'Page 1 - FY2013-14'!F7</f>
        <v>0</v>
      </c>
      <c r="G1" s="485" t="s">
        <v>1588</v>
      </c>
      <c r="H1" s="486"/>
      <c r="I1" s="486"/>
    </row>
    <row r="2" spans="1:10" ht="12.75" x14ac:dyDescent="0.2">
      <c r="A2" s="514" t="s">
        <v>547</v>
      </c>
    </row>
    <row r="3" spans="1:10" ht="12.75" x14ac:dyDescent="0.2">
      <c r="A3" s="514"/>
    </row>
    <row r="4" spans="1:10" ht="42.75" x14ac:dyDescent="0.2">
      <c r="A4" s="514"/>
      <c r="D4" s="686" t="s">
        <v>1701</v>
      </c>
      <c r="E4" s="686" t="s">
        <v>1700</v>
      </c>
      <c r="F4" s="686" t="s">
        <v>1699</v>
      </c>
      <c r="G4" s="686" t="s">
        <v>1698</v>
      </c>
      <c r="H4" s="686" t="s">
        <v>1696</v>
      </c>
      <c r="I4" s="686" t="s">
        <v>1697</v>
      </c>
    </row>
    <row r="5" spans="1:10" ht="53.25" x14ac:dyDescent="0.2">
      <c r="A5" s="514"/>
      <c r="D5" s="491"/>
      <c r="E5" s="491"/>
      <c r="F5" s="491"/>
      <c r="G5" s="491"/>
      <c r="H5" s="492" t="s">
        <v>193</v>
      </c>
      <c r="I5" s="492" t="s">
        <v>192</v>
      </c>
    </row>
    <row r="6" spans="1:10" ht="12.75" x14ac:dyDescent="0.2">
      <c r="A6" s="514"/>
    </row>
    <row r="7" spans="1:10" ht="10.5" customHeight="1" x14ac:dyDescent="0.15">
      <c r="A7" s="507" t="s">
        <v>640</v>
      </c>
      <c r="D7" s="516"/>
      <c r="E7" s="516"/>
      <c r="F7" s="516"/>
      <c r="G7" s="516"/>
    </row>
    <row r="8" spans="1:10" s="518" customFormat="1" ht="10.5" customHeight="1" x14ac:dyDescent="0.15">
      <c r="B8" s="519" t="s">
        <v>739</v>
      </c>
      <c r="D8" s="146"/>
      <c r="E8" s="146"/>
      <c r="F8" s="146"/>
      <c r="G8" s="145"/>
      <c r="I8" s="530"/>
    </row>
    <row r="9" spans="1:10" s="518" customFormat="1" ht="10.5" customHeight="1" x14ac:dyDescent="0.15">
      <c r="A9" s="555" t="s">
        <v>641</v>
      </c>
      <c r="B9" s="138"/>
      <c r="C9" s="138"/>
      <c r="D9" s="146"/>
      <c r="E9" s="146"/>
      <c r="F9" s="146"/>
      <c r="G9" s="145"/>
      <c r="I9" s="530"/>
    </row>
    <row r="10" spans="1:10" s="434" customFormat="1" x14ac:dyDescent="0.15">
      <c r="B10" s="523" t="s">
        <v>1577</v>
      </c>
      <c r="C10" s="524" t="s">
        <v>228</v>
      </c>
      <c r="D10" s="316">
        <v>0</v>
      </c>
      <c r="E10" s="316">
        <v>0</v>
      </c>
      <c r="F10" s="316">
        <v>0</v>
      </c>
      <c r="G10" s="528">
        <f t="array" ref="G10">SUM(IF(CertFund&amp;CertProg&amp;CertObj=RIGHT(LEFT($A$2,7),2)&amp;LEFT(A9,4)&amp;B10,CertSalary))</f>
        <v>0</v>
      </c>
      <c r="H10" s="527">
        <v>0</v>
      </c>
      <c r="I10" s="566">
        <f>SUM(G10+H10)</f>
        <v>0</v>
      </c>
    </row>
    <row r="11" spans="1:10" s="434" customFormat="1" x14ac:dyDescent="0.15">
      <c r="B11" s="523" t="s">
        <v>1577</v>
      </c>
      <c r="C11" s="524" t="s">
        <v>510</v>
      </c>
      <c r="D11" s="316">
        <v>0</v>
      </c>
      <c r="E11" s="316">
        <v>0</v>
      </c>
      <c r="F11" s="316">
        <v>0</v>
      </c>
      <c r="G11" s="316">
        <v>0</v>
      </c>
      <c r="H11" s="527">
        <v>0</v>
      </c>
      <c r="I11" s="566">
        <f>SUM(G11+H11)</f>
        <v>0</v>
      </c>
    </row>
    <row r="12" spans="1:10" s="434" customFormat="1" x14ac:dyDescent="0.15">
      <c r="A12" s="524"/>
      <c r="B12" s="523" t="s">
        <v>1578</v>
      </c>
      <c r="C12" s="524" t="s">
        <v>936</v>
      </c>
      <c r="D12" s="316">
        <v>0</v>
      </c>
      <c r="E12" s="316">
        <v>0</v>
      </c>
      <c r="F12" s="316">
        <v>0</v>
      </c>
      <c r="G12" s="529">
        <f t="array" ref="G12">SUM(IF(CertFund&amp;CertProg&amp;CertObj=RIGHT(LEFT($A$2,7),2)&amp;LEFT(A9,4)&amp;B10,CertBen))</f>
        <v>0</v>
      </c>
      <c r="H12" s="527">
        <v>0</v>
      </c>
      <c r="I12" s="566">
        <f>SUM(G12+H12)</f>
        <v>0</v>
      </c>
    </row>
    <row r="13" spans="1:10" x14ac:dyDescent="0.15">
      <c r="A13" s="138"/>
      <c r="B13" s="521" t="s">
        <v>1578</v>
      </c>
      <c r="C13" s="138" t="s">
        <v>511</v>
      </c>
      <c r="D13" s="147">
        <v>0</v>
      </c>
      <c r="E13" s="147">
        <v>0</v>
      </c>
      <c r="F13" s="147">
        <v>0</v>
      </c>
      <c r="G13" s="147">
        <v>0</v>
      </c>
      <c r="H13" s="150">
        <v>0</v>
      </c>
      <c r="I13" s="567">
        <f>SUM(G13+H13)</f>
        <v>0</v>
      </c>
      <c r="J13" s="434"/>
    </row>
    <row r="14" spans="1:10" s="518" customFormat="1" ht="10.5" customHeight="1" x14ac:dyDescent="0.15">
      <c r="A14" s="555"/>
      <c r="B14" s="521" t="s">
        <v>1579</v>
      </c>
      <c r="C14" s="138" t="s">
        <v>118</v>
      </c>
      <c r="D14" s="147">
        <v>0</v>
      </c>
      <c r="E14" s="147">
        <v>0</v>
      </c>
      <c r="F14" s="147">
        <v>0</v>
      </c>
      <c r="G14" s="147">
        <v>0</v>
      </c>
      <c r="H14" s="291">
        <v>0</v>
      </c>
      <c r="I14" s="579">
        <f t="shared" ref="I14:I43" si="0">SUM(G14+H14)</f>
        <v>0</v>
      </c>
    </row>
    <row r="15" spans="1:10" s="518" customFormat="1" ht="10.5" customHeight="1" x14ac:dyDescent="0.15">
      <c r="A15" s="555"/>
      <c r="B15" s="521" t="s">
        <v>1580</v>
      </c>
      <c r="C15" s="138" t="s">
        <v>119</v>
      </c>
      <c r="D15" s="147">
        <v>0</v>
      </c>
      <c r="E15" s="147">
        <v>0</v>
      </c>
      <c r="F15" s="147">
        <v>0</v>
      </c>
      <c r="G15" s="147">
        <v>0</v>
      </c>
      <c r="H15" s="291">
        <v>0</v>
      </c>
      <c r="I15" s="579">
        <f t="shared" si="0"/>
        <v>0</v>
      </c>
    </row>
    <row r="16" spans="1:10" s="518" customFormat="1" ht="10.5" customHeight="1" x14ac:dyDescent="0.15">
      <c r="A16" s="555"/>
      <c r="B16" s="521" t="s">
        <v>120</v>
      </c>
      <c r="C16" s="138" t="s">
        <v>121</v>
      </c>
      <c r="D16" s="147">
        <v>0</v>
      </c>
      <c r="E16" s="147">
        <v>0</v>
      </c>
      <c r="F16" s="147">
        <v>0</v>
      </c>
      <c r="G16" s="147">
        <v>0</v>
      </c>
      <c r="H16" s="291">
        <v>0</v>
      </c>
      <c r="I16" s="579">
        <f t="shared" si="0"/>
        <v>0</v>
      </c>
    </row>
    <row r="17" spans="1:9" s="518" customFormat="1" ht="10.5" customHeight="1" x14ac:dyDescent="0.15">
      <c r="A17" s="555"/>
      <c r="B17" s="521" t="s">
        <v>122</v>
      </c>
      <c r="C17" s="138" t="s">
        <v>123</v>
      </c>
      <c r="D17" s="147">
        <v>0</v>
      </c>
      <c r="E17" s="147">
        <v>0</v>
      </c>
      <c r="F17" s="147">
        <v>0</v>
      </c>
      <c r="G17" s="147">
        <v>0</v>
      </c>
      <c r="H17" s="291">
        <v>0</v>
      </c>
      <c r="I17" s="579">
        <f t="shared" si="0"/>
        <v>0</v>
      </c>
    </row>
    <row r="18" spans="1:9" s="518" customFormat="1" ht="10.5" customHeight="1" x14ac:dyDescent="0.15">
      <c r="A18" s="555"/>
      <c r="B18" s="521" t="s">
        <v>1581</v>
      </c>
      <c r="C18" s="138" t="s">
        <v>124</v>
      </c>
      <c r="D18" s="147">
        <v>0</v>
      </c>
      <c r="E18" s="147">
        <v>0</v>
      </c>
      <c r="F18" s="147">
        <v>0</v>
      </c>
      <c r="G18" s="147">
        <v>0</v>
      </c>
      <c r="H18" s="291">
        <v>0</v>
      </c>
      <c r="I18" s="579">
        <f t="shared" si="0"/>
        <v>0</v>
      </c>
    </row>
    <row r="19" spans="1:9" s="518" customFormat="1" ht="10.5" customHeight="1" x14ac:dyDescent="0.15">
      <c r="A19" s="555"/>
      <c r="B19" s="521" t="s">
        <v>125</v>
      </c>
      <c r="C19" s="138" t="s">
        <v>133</v>
      </c>
      <c r="D19" s="147">
        <v>0</v>
      </c>
      <c r="E19" s="147">
        <v>0</v>
      </c>
      <c r="F19" s="147">
        <v>0</v>
      </c>
      <c r="G19" s="147">
        <v>0</v>
      </c>
      <c r="H19" s="291">
        <v>0</v>
      </c>
      <c r="I19" s="579">
        <f t="shared" si="0"/>
        <v>0</v>
      </c>
    </row>
    <row r="20" spans="1:9" s="518" customFormat="1" ht="10.5" customHeight="1" x14ac:dyDescent="0.15">
      <c r="A20" s="555"/>
      <c r="B20" s="521" t="s">
        <v>126</v>
      </c>
      <c r="C20" s="138" t="s">
        <v>187</v>
      </c>
      <c r="D20" s="147">
        <v>0</v>
      </c>
      <c r="E20" s="147">
        <v>0</v>
      </c>
      <c r="F20" s="147">
        <v>0</v>
      </c>
      <c r="G20" s="147">
        <v>0</v>
      </c>
      <c r="H20" s="291">
        <v>0</v>
      </c>
      <c r="I20" s="579">
        <f t="shared" si="0"/>
        <v>0</v>
      </c>
    </row>
    <row r="21" spans="1:9" s="518" customFormat="1" ht="10.5" customHeight="1" x14ac:dyDescent="0.15">
      <c r="A21" s="555"/>
      <c r="B21" s="521" t="s">
        <v>127</v>
      </c>
      <c r="C21" s="138" t="s">
        <v>134</v>
      </c>
      <c r="D21" s="147">
        <v>0</v>
      </c>
      <c r="E21" s="147">
        <v>0</v>
      </c>
      <c r="F21" s="147">
        <v>0</v>
      </c>
      <c r="G21" s="147">
        <v>0</v>
      </c>
      <c r="H21" s="291">
        <v>0</v>
      </c>
      <c r="I21" s="579">
        <f t="shared" si="0"/>
        <v>0</v>
      </c>
    </row>
    <row r="22" spans="1:9" s="518" customFormat="1" ht="10.5" customHeight="1" x14ac:dyDescent="0.15">
      <c r="A22" s="555"/>
      <c r="B22" s="521" t="s">
        <v>128</v>
      </c>
      <c r="C22" s="138" t="s">
        <v>135</v>
      </c>
      <c r="D22" s="147">
        <v>0</v>
      </c>
      <c r="E22" s="147">
        <v>0</v>
      </c>
      <c r="F22" s="147">
        <v>0</v>
      </c>
      <c r="G22" s="147">
        <v>0</v>
      </c>
      <c r="H22" s="291">
        <v>0</v>
      </c>
      <c r="I22" s="579">
        <f t="shared" si="0"/>
        <v>0</v>
      </c>
    </row>
    <row r="23" spans="1:9" s="518" customFormat="1" ht="10.5" customHeight="1" x14ac:dyDescent="0.15">
      <c r="A23" s="555"/>
      <c r="B23" s="521" t="s">
        <v>129</v>
      </c>
      <c r="C23" s="138" t="s">
        <v>136</v>
      </c>
      <c r="D23" s="147">
        <v>0</v>
      </c>
      <c r="E23" s="147">
        <v>0</v>
      </c>
      <c r="F23" s="147">
        <v>0</v>
      </c>
      <c r="G23" s="147">
        <v>0</v>
      </c>
      <c r="H23" s="291">
        <v>0</v>
      </c>
      <c r="I23" s="579">
        <f t="shared" si="0"/>
        <v>0</v>
      </c>
    </row>
    <row r="24" spans="1:9" s="518" customFormat="1" ht="10.5" customHeight="1" x14ac:dyDescent="0.15">
      <c r="A24" s="555"/>
      <c r="B24" s="521" t="s">
        <v>131</v>
      </c>
      <c r="C24" s="138" t="s">
        <v>137</v>
      </c>
      <c r="D24" s="147">
        <v>0</v>
      </c>
      <c r="E24" s="147">
        <v>0</v>
      </c>
      <c r="F24" s="147">
        <v>0</v>
      </c>
      <c r="G24" s="147">
        <v>0</v>
      </c>
      <c r="H24" s="291">
        <v>0</v>
      </c>
      <c r="I24" s="579">
        <f t="shared" si="0"/>
        <v>0</v>
      </c>
    </row>
    <row r="25" spans="1:9" s="518" customFormat="1" ht="10.5" customHeight="1" x14ac:dyDescent="0.15">
      <c r="A25" s="555"/>
      <c r="B25" s="521" t="s">
        <v>132</v>
      </c>
      <c r="C25" s="138" t="s">
        <v>1617</v>
      </c>
      <c r="D25" s="147">
        <v>0</v>
      </c>
      <c r="E25" s="147">
        <v>0</v>
      </c>
      <c r="F25" s="147">
        <v>0</v>
      </c>
      <c r="G25" s="147">
        <v>0</v>
      </c>
      <c r="H25" s="291">
        <v>0</v>
      </c>
      <c r="I25" s="579">
        <f t="shared" si="0"/>
        <v>0</v>
      </c>
    </row>
    <row r="26" spans="1:9" s="518" customFormat="1" ht="10.5" customHeight="1" x14ac:dyDescent="0.15">
      <c r="A26" s="555"/>
      <c r="B26" s="521" t="s">
        <v>1624</v>
      </c>
      <c r="C26" s="138" t="s">
        <v>840</v>
      </c>
      <c r="D26" s="147">
        <v>0</v>
      </c>
      <c r="E26" s="147">
        <v>0</v>
      </c>
      <c r="F26" s="147">
        <v>0</v>
      </c>
      <c r="G26" s="147">
        <v>0</v>
      </c>
      <c r="H26" s="291">
        <v>0</v>
      </c>
      <c r="I26" s="579">
        <f t="shared" si="0"/>
        <v>0</v>
      </c>
    </row>
    <row r="27" spans="1:9" s="518" customFormat="1" ht="10.5" customHeight="1" x14ac:dyDescent="0.15">
      <c r="A27" s="555"/>
      <c r="B27" s="521" t="s">
        <v>1625</v>
      </c>
      <c r="C27" s="138" t="s">
        <v>842</v>
      </c>
      <c r="D27" s="147">
        <v>0</v>
      </c>
      <c r="E27" s="147">
        <v>0</v>
      </c>
      <c r="F27" s="147">
        <v>0</v>
      </c>
      <c r="G27" s="147">
        <v>0</v>
      </c>
      <c r="H27" s="291">
        <v>0</v>
      </c>
      <c r="I27" s="579">
        <f t="shared" si="0"/>
        <v>0</v>
      </c>
    </row>
    <row r="28" spans="1:9" s="518" customFormat="1" ht="10.5" customHeight="1" x14ac:dyDescent="0.15">
      <c r="A28" s="555"/>
      <c r="B28" s="521" t="s">
        <v>843</v>
      </c>
      <c r="C28" s="138" t="s">
        <v>848</v>
      </c>
      <c r="D28" s="147">
        <v>0</v>
      </c>
      <c r="E28" s="147">
        <v>0</v>
      </c>
      <c r="F28" s="147">
        <v>0</v>
      </c>
      <c r="G28" s="147">
        <v>0</v>
      </c>
      <c r="H28" s="291">
        <v>0</v>
      </c>
      <c r="I28" s="579">
        <f t="shared" si="0"/>
        <v>0</v>
      </c>
    </row>
    <row r="29" spans="1:9" s="518" customFormat="1" ht="10.5" customHeight="1" x14ac:dyDescent="0.15">
      <c r="A29" s="555"/>
      <c r="B29" s="521" t="s">
        <v>844</v>
      </c>
      <c r="C29" s="138" t="s">
        <v>186</v>
      </c>
      <c r="D29" s="147">
        <v>0</v>
      </c>
      <c r="E29" s="147">
        <v>0</v>
      </c>
      <c r="F29" s="147">
        <v>0</v>
      </c>
      <c r="G29" s="147">
        <v>0</v>
      </c>
      <c r="H29" s="291">
        <v>0</v>
      </c>
      <c r="I29" s="579">
        <f t="shared" si="0"/>
        <v>0</v>
      </c>
    </row>
    <row r="30" spans="1:9" s="518" customFormat="1" ht="10.5" customHeight="1" x14ac:dyDescent="0.15">
      <c r="A30" s="555"/>
      <c r="B30" s="521" t="s">
        <v>845</v>
      </c>
      <c r="C30" s="138" t="s">
        <v>154</v>
      </c>
      <c r="D30" s="147">
        <v>0</v>
      </c>
      <c r="E30" s="147">
        <v>0</v>
      </c>
      <c r="F30" s="147">
        <v>0</v>
      </c>
      <c r="G30" s="147">
        <v>0</v>
      </c>
      <c r="H30" s="291">
        <v>0</v>
      </c>
      <c r="I30" s="579">
        <f t="shared" si="0"/>
        <v>0</v>
      </c>
    </row>
    <row r="31" spans="1:9" s="518" customFormat="1" ht="10.5" customHeight="1" x14ac:dyDescent="0.15">
      <c r="A31" s="555"/>
      <c r="B31" s="521" t="s">
        <v>846</v>
      </c>
      <c r="C31" s="138" t="s">
        <v>155</v>
      </c>
      <c r="D31" s="147">
        <v>0</v>
      </c>
      <c r="E31" s="147">
        <v>0</v>
      </c>
      <c r="F31" s="147">
        <v>0</v>
      </c>
      <c r="G31" s="147">
        <v>0</v>
      </c>
      <c r="H31" s="291">
        <v>0</v>
      </c>
      <c r="I31" s="579">
        <f t="shared" si="0"/>
        <v>0</v>
      </c>
    </row>
    <row r="32" spans="1:9" s="518" customFormat="1" ht="10.5" customHeight="1" x14ac:dyDescent="0.15">
      <c r="A32" s="555"/>
      <c r="B32" s="521" t="s">
        <v>1582</v>
      </c>
      <c r="C32" s="138" t="s">
        <v>156</v>
      </c>
      <c r="D32" s="147">
        <v>0</v>
      </c>
      <c r="E32" s="147">
        <v>0</v>
      </c>
      <c r="F32" s="147">
        <v>0</v>
      </c>
      <c r="G32" s="147">
        <v>0</v>
      </c>
      <c r="H32" s="291">
        <v>0</v>
      </c>
      <c r="I32" s="579">
        <f t="shared" si="0"/>
        <v>0</v>
      </c>
    </row>
    <row r="33" spans="1:9" s="518" customFormat="1" ht="10.5" customHeight="1" x14ac:dyDescent="0.15">
      <c r="A33" s="555"/>
      <c r="B33" s="521" t="s">
        <v>847</v>
      </c>
      <c r="C33" s="138" t="s">
        <v>157</v>
      </c>
      <c r="D33" s="147">
        <v>0</v>
      </c>
      <c r="E33" s="147">
        <v>0</v>
      </c>
      <c r="F33" s="147">
        <v>0</v>
      </c>
      <c r="G33" s="147">
        <v>0</v>
      </c>
      <c r="H33" s="291">
        <v>0</v>
      </c>
      <c r="I33" s="579">
        <f t="shared" si="0"/>
        <v>0</v>
      </c>
    </row>
    <row r="34" spans="1:9" s="518" customFormat="1" ht="10.5" customHeight="1" x14ac:dyDescent="0.15">
      <c r="A34" s="555"/>
      <c r="B34" s="521" t="s">
        <v>1583</v>
      </c>
      <c r="C34" s="138" t="s">
        <v>160</v>
      </c>
      <c r="D34" s="147">
        <v>0</v>
      </c>
      <c r="E34" s="147">
        <v>0</v>
      </c>
      <c r="F34" s="147">
        <v>0</v>
      </c>
      <c r="G34" s="147">
        <v>0</v>
      </c>
      <c r="H34" s="291">
        <v>0</v>
      </c>
      <c r="I34" s="579">
        <f t="shared" si="0"/>
        <v>0</v>
      </c>
    </row>
    <row r="35" spans="1:9" s="518" customFormat="1" ht="10.5" customHeight="1" x14ac:dyDescent="0.15">
      <c r="A35" s="555"/>
      <c r="B35" s="521" t="s">
        <v>634</v>
      </c>
      <c r="C35" s="138" t="s">
        <v>165</v>
      </c>
      <c r="D35" s="147">
        <v>0</v>
      </c>
      <c r="E35" s="147">
        <v>0</v>
      </c>
      <c r="F35" s="147">
        <v>0</v>
      </c>
      <c r="G35" s="147">
        <v>0</v>
      </c>
      <c r="H35" s="291">
        <v>0</v>
      </c>
      <c r="I35" s="579">
        <f t="shared" si="0"/>
        <v>0</v>
      </c>
    </row>
    <row r="36" spans="1:9" s="518" customFormat="1" ht="10.5" customHeight="1" x14ac:dyDescent="0.15">
      <c r="A36" s="555"/>
      <c r="B36" s="521" t="s">
        <v>630</v>
      </c>
      <c r="C36" s="138" t="s">
        <v>172</v>
      </c>
      <c r="D36" s="147">
        <v>0</v>
      </c>
      <c r="E36" s="147">
        <v>0</v>
      </c>
      <c r="F36" s="147">
        <v>0</v>
      </c>
      <c r="G36" s="147">
        <v>0</v>
      </c>
      <c r="H36" s="291">
        <v>0</v>
      </c>
      <c r="I36" s="579">
        <f t="shared" si="0"/>
        <v>0</v>
      </c>
    </row>
    <row r="37" spans="1:9" s="518" customFormat="1" ht="10.5" customHeight="1" x14ac:dyDescent="0.15">
      <c r="A37" s="555"/>
      <c r="B37" s="650" t="s">
        <v>631</v>
      </c>
      <c r="C37" s="651" t="s">
        <v>173</v>
      </c>
      <c r="D37" s="147">
        <v>0</v>
      </c>
      <c r="E37" s="147">
        <v>0</v>
      </c>
      <c r="F37" s="147">
        <v>0</v>
      </c>
      <c r="G37" s="147">
        <v>0</v>
      </c>
      <c r="H37" s="291">
        <v>0</v>
      </c>
      <c r="I37" s="579">
        <f t="shared" si="0"/>
        <v>0</v>
      </c>
    </row>
    <row r="38" spans="1:9" s="518" customFormat="1" ht="10.5" customHeight="1" x14ac:dyDescent="0.15">
      <c r="A38" s="555"/>
      <c r="B38" s="521" t="s">
        <v>1584</v>
      </c>
      <c r="C38" s="138" t="s">
        <v>178</v>
      </c>
      <c r="D38" s="147">
        <v>0</v>
      </c>
      <c r="E38" s="147">
        <v>0</v>
      </c>
      <c r="F38" s="147">
        <v>0</v>
      </c>
      <c r="G38" s="147">
        <v>0</v>
      </c>
      <c r="H38" s="291">
        <v>0</v>
      </c>
      <c r="I38" s="579">
        <f t="shared" si="0"/>
        <v>0</v>
      </c>
    </row>
    <row r="39" spans="1:9" s="518" customFormat="1" ht="10.5" customHeight="1" x14ac:dyDescent="0.15">
      <c r="A39" s="555"/>
      <c r="B39" s="521" t="s">
        <v>174</v>
      </c>
      <c r="C39" s="138" t="s">
        <v>179</v>
      </c>
      <c r="D39" s="147">
        <v>0</v>
      </c>
      <c r="E39" s="147">
        <v>0</v>
      </c>
      <c r="F39" s="147">
        <v>0</v>
      </c>
      <c r="G39" s="147">
        <v>0</v>
      </c>
      <c r="H39" s="291">
        <v>0</v>
      </c>
      <c r="I39" s="579">
        <f t="shared" si="0"/>
        <v>0</v>
      </c>
    </row>
    <row r="40" spans="1:9" s="518" customFormat="1" ht="10.5" customHeight="1" x14ac:dyDescent="0.15">
      <c r="A40" s="555"/>
      <c r="B40" s="521" t="s">
        <v>175</v>
      </c>
      <c r="C40" s="138" t="s">
        <v>180</v>
      </c>
      <c r="D40" s="147">
        <v>0</v>
      </c>
      <c r="E40" s="147">
        <v>0</v>
      </c>
      <c r="F40" s="147">
        <v>0</v>
      </c>
      <c r="G40" s="147">
        <v>0</v>
      </c>
      <c r="H40" s="291">
        <v>0</v>
      </c>
      <c r="I40" s="579">
        <f t="shared" si="0"/>
        <v>0</v>
      </c>
    </row>
    <row r="41" spans="1:9" s="518" customFormat="1" ht="10.5" customHeight="1" x14ac:dyDescent="0.15">
      <c r="A41" s="555"/>
      <c r="B41" s="521" t="s">
        <v>176</v>
      </c>
      <c r="C41" s="138" t="s">
        <v>181</v>
      </c>
      <c r="D41" s="147">
        <v>0</v>
      </c>
      <c r="E41" s="147">
        <v>0</v>
      </c>
      <c r="F41" s="147">
        <v>0</v>
      </c>
      <c r="G41" s="147">
        <v>0</v>
      </c>
      <c r="H41" s="291">
        <v>0</v>
      </c>
      <c r="I41" s="579">
        <f t="shared" si="0"/>
        <v>0</v>
      </c>
    </row>
    <row r="42" spans="1:9" s="518" customFormat="1" ht="10.5" customHeight="1" x14ac:dyDescent="0.15">
      <c r="A42" s="555"/>
      <c r="B42" s="521" t="s">
        <v>177</v>
      </c>
      <c r="C42" s="138" t="s">
        <v>182</v>
      </c>
      <c r="D42" s="147">
        <v>0</v>
      </c>
      <c r="E42" s="147">
        <v>0</v>
      </c>
      <c r="F42" s="147">
        <v>0</v>
      </c>
      <c r="G42" s="147">
        <v>0</v>
      </c>
      <c r="H42" s="291">
        <v>0</v>
      </c>
      <c r="I42" s="579">
        <f t="shared" si="0"/>
        <v>0</v>
      </c>
    </row>
    <row r="43" spans="1:9" s="518" customFormat="1" ht="10.5" customHeight="1" thickBot="1" x14ac:dyDescent="0.2">
      <c r="A43" s="555"/>
      <c r="B43" s="521" t="s">
        <v>632</v>
      </c>
      <c r="C43" s="138" t="s">
        <v>183</v>
      </c>
      <c r="D43" s="144">
        <v>0</v>
      </c>
      <c r="E43" s="144">
        <v>0</v>
      </c>
      <c r="F43" s="144">
        <v>0</v>
      </c>
      <c r="G43" s="144">
        <v>0</v>
      </c>
      <c r="H43" s="291">
        <v>0</v>
      </c>
      <c r="I43" s="579">
        <f t="shared" si="0"/>
        <v>0</v>
      </c>
    </row>
    <row r="44" spans="1:9" s="518" customFormat="1" ht="10.5" customHeight="1" thickTop="1" thickBot="1" x14ac:dyDescent="0.2">
      <c r="A44" s="555"/>
      <c r="B44" s="521"/>
      <c r="C44" s="138" t="s">
        <v>643</v>
      </c>
      <c r="D44" s="169">
        <f>SUM(D10:D43)</f>
        <v>0</v>
      </c>
      <c r="E44" s="169">
        <f>SUM(E10:E43)</f>
        <v>0</v>
      </c>
      <c r="F44" s="169">
        <f>SUM(F10:F43)</f>
        <v>0</v>
      </c>
      <c r="G44" s="169">
        <f>SUM(G10:G43)</f>
        <v>0</v>
      </c>
      <c r="H44" s="169">
        <f>SUM(H10:H43)</f>
        <v>0</v>
      </c>
      <c r="I44" s="169">
        <f>SUM(G44+H44)</f>
        <v>0</v>
      </c>
    </row>
    <row r="45" spans="1:9" s="518" customFormat="1" ht="10.5" customHeight="1" thickTop="1" x14ac:dyDescent="0.15">
      <c r="A45" s="555"/>
      <c r="B45" s="521"/>
      <c r="C45" s="138"/>
      <c r="D45" s="14"/>
      <c r="E45" s="14"/>
      <c r="F45" s="14"/>
      <c r="G45" s="14"/>
      <c r="I45" s="530"/>
    </row>
    <row r="46" spans="1:9" ht="10.5" customHeight="1" x14ac:dyDescent="0.15">
      <c r="A46" s="512" t="s">
        <v>642</v>
      </c>
      <c r="D46" s="14"/>
      <c r="E46" s="14"/>
      <c r="F46" s="14"/>
      <c r="G46" s="14"/>
      <c r="H46" s="198"/>
      <c r="I46" s="170"/>
    </row>
    <row r="47" spans="1:9" s="434" customFormat="1" x14ac:dyDescent="0.15">
      <c r="B47" s="523" t="s">
        <v>1577</v>
      </c>
      <c r="C47" s="524" t="s">
        <v>228</v>
      </c>
      <c r="D47" s="316">
        <v>0</v>
      </c>
      <c r="E47" s="316">
        <v>0</v>
      </c>
      <c r="F47" s="316">
        <v>0</v>
      </c>
      <c r="G47" s="528">
        <f t="array" ref="G47">SUM(IF(CertFund&amp;CertProg&amp;CertObj=RIGHT(LEFT($A$2,7),2)&amp;LEFT(A46,4)&amp;B47,CertSalary))</f>
        <v>0</v>
      </c>
      <c r="H47" s="527">
        <v>0</v>
      </c>
      <c r="I47" s="566">
        <f>SUM(G47+H47)</f>
        <v>0</v>
      </c>
    </row>
    <row r="48" spans="1:9" s="434" customFormat="1" x14ac:dyDescent="0.15">
      <c r="B48" s="523" t="s">
        <v>1577</v>
      </c>
      <c r="C48" s="524" t="s">
        <v>510</v>
      </c>
      <c r="D48" s="316">
        <v>0</v>
      </c>
      <c r="E48" s="316">
        <v>0</v>
      </c>
      <c r="F48" s="316">
        <v>0</v>
      </c>
      <c r="G48" s="316">
        <v>0</v>
      </c>
      <c r="H48" s="527">
        <v>0</v>
      </c>
      <c r="I48" s="566">
        <f>SUM(G48+H48)</f>
        <v>0</v>
      </c>
    </row>
    <row r="49" spans="1:10" s="434" customFormat="1" x14ac:dyDescent="0.15">
      <c r="A49" s="524"/>
      <c r="B49" s="523" t="s">
        <v>1578</v>
      </c>
      <c r="C49" s="524" t="s">
        <v>936</v>
      </c>
      <c r="D49" s="316">
        <v>0</v>
      </c>
      <c r="E49" s="316">
        <v>0</v>
      </c>
      <c r="F49" s="316">
        <v>0</v>
      </c>
      <c r="G49" s="529">
        <f t="array" ref="G49">SUM(IF(CertFund&amp;CertProg&amp;CertObj=RIGHT(LEFT($A$2,7),2)&amp;LEFT(A46,4)&amp;B47,CertBen))</f>
        <v>0</v>
      </c>
      <c r="H49" s="527">
        <v>0</v>
      </c>
      <c r="I49" s="566">
        <f>SUM(G49+H49)</f>
        <v>0</v>
      </c>
    </row>
    <row r="50" spans="1:10" x14ac:dyDescent="0.15">
      <c r="A50" s="138"/>
      <c r="B50" s="521" t="s">
        <v>1578</v>
      </c>
      <c r="C50" s="138" t="s">
        <v>511</v>
      </c>
      <c r="D50" s="147">
        <v>0</v>
      </c>
      <c r="E50" s="147">
        <v>0</v>
      </c>
      <c r="F50" s="147">
        <v>0</v>
      </c>
      <c r="G50" s="147">
        <v>0</v>
      </c>
      <c r="H50" s="150">
        <v>0</v>
      </c>
      <c r="I50" s="567">
        <f>SUM(G50+H50)</f>
        <v>0</v>
      </c>
      <c r="J50" s="434"/>
    </row>
    <row r="51" spans="1:10" ht="10.5" customHeight="1" x14ac:dyDescent="0.15">
      <c r="A51" s="512"/>
      <c r="B51" s="521" t="s">
        <v>1579</v>
      </c>
      <c r="C51" s="138" t="s">
        <v>118</v>
      </c>
      <c r="D51" s="147">
        <v>0</v>
      </c>
      <c r="E51" s="147">
        <v>0</v>
      </c>
      <c r="F51" s="147">
        <v>0</v>
      </c>
      <c r="G51" s="147">
        <v>0</v>
      </c>
      <c r="H51" s="291">
        <v>0</v>
      </c>
      <c r="I51" s="579">
        <f t="shared" ref="I51:I80" si="1">SUM(G51+H51)</f>
        <v>0</v>
      </c>
    </row>
    <row r="52" spans="1:10" ht="10.5" customHeight="1" x14ac:dyDescent="0.15">
      <c r="A52" s="512"/>
      <c r="B52" s="521" t="s">
        <v>1580</v>
      </c>
      <c r="C52" s="138" t="s">
        <v>119</v>
      </c>
      <c r="D52" s="147">
        <v>0</v>
      </c>
      <c r="E52" s="147">
        <v>0</v>
      </c>
      <c r="F52" s="147">
        <v>0</v>
      </c>
      <c r="G52" s="147">
        <v>0</v>
      </c>
      <c r="H52" s="291">
        <v>0</v>
      </c>
      <c r="I52" s="579">
        <f t="shared" si="1"/>
        <v>0</v>
      </c>
    </row>
    <row r="53" spans="1:10" ht="10.5" customHeight="1" x14ac:dyDescent="0.15">
      <c r="A53" s="512"/>
      <c r="B53" s="521" t="s">
        <v>120</v>
      </c>
      <c r="C53" s="138" t="s">
        <v>121</v>
      </c>
      <c r="D53" s="147">
        <v>0</v>
      </c>
      <c r="E53" s="147">
        <v>0</v>
      </c>
      <c r="F53" s="147">
        <v>0</v>
      </c>
      <c r="G53" s="147">
        <v>0</v>
      </c>
      <c r="H53" s="291">
        <v>0</v>
      </c>
      <c r="I53" s="579">
        <f t="shared" si="1"/>
        <v>0</v>
      </c>
    </row>
    <row r="54" spans="1:10" ht="10.5" customHeight="1" x14ac:dyDescent="0.15">
      <c r="A54" s="512"/>
      <c r="B54" s="521" t="s">
        <v>122</v>
      </c>
      <c r="C54" s="138" t="s">
        <v>123</v>
      </c>
      <c r="D54" s="147">
        <v>0</v>
      </c>
      <c r="E54" s="147">
        <v>0</v>
      </c>
      <c r="F54" s="147">
        <v>0</v>
      </c>
      <c r="G54" s="147">
        <v>0</v>
      </c>
      <c r="H54" s="291">
        <v>0</v>
      </c>
      <c r="I54" s="579">
        <f t="shared" si="1"/>
        <v>0</v>
      </c>
    </row>
    <row r="55" spans="1:10" ht="10.5" customHeight="1" x14ac:dyDescent="0.15">
      <c r="A55" s="512"/>
      <c r="B55" s="521" t="s">
        <v>1581</v>
      </c>
      <c r="C55" s="138" t="s">
        <v>124</v>
      </c>
      <c r="D55" s="147">
        <v>0</v>
      </c>
      <c r="E55" s="147">
        <v>0</v>
      </c>
      <c r="F55" s="147">
        <v>0</v>
      </c>
      <c r="G55" s="147">
        <v>0</v>
      </c>
      <c r="H55" s="291">
        <v>0</v>
      </c>
      <c r="I55" s="579">
        <f t="shared" si="1"/>
        <v>0</v>
      </c>
    </row>
    <row r="56" spans="1:10" ht="10.5" customHeight="1" x14ac:dyDescent="0.15">
      <c r="A56" s="512"/>
      <c r="B56" s="521" t="s">
        <v>125</v>
      </c>
      <c r="C56" s="138" t="s">
        <v>133</v>
      </c>
      <c r="D56" s="147">
        <v>0</v>
      </c>
      <c r="E56" s="147">
        <v>0</v>
      </c>
      <c r="F56" s="147">
        <v>0</v>
      </c>
      <c r="G56" s="147">
        <v>0</v>
      </c>
      <c r="H56" s="291">
        <v>0</v>
      </c>
      <c r="I56" s="579">
        <f t="shared" si="1"/>
        <v>0</v>
      </c>
    </row>
    <row r="57" spans="1:10" ht="10.5" customHeight="1" x14ac:dyDescent="0.15">
      <c r="A57" s="512"/>
      <c r="B57" s="521" t="s">
        <v>126</v>
      </c>
      <c r="C57" s="138" t="s">
        <v>187</v>
      </c>
      <c r="D57" s="147">
        <v>0</v>
      </c>
      <c r="E57" s="147">
        <v>0</v>
      </c>
      <c r="F57" s="147">
        <v>0</v>
      </c>
      <c r="G57" s="147">
        <v>0</v>
      </c>
      <c r="H57" s="291">
        <v>0</v>
      </c>
      <c r="I57" s="579">
        <f t="shared" si="1"/>
        <v>0</v>
      </c>
    </row>
    <row r="58" spans="1:10" ht="10.5" customHeight="1" x14ac:dyDescent="0.15">
      <c r="A58" s="512"/>
      <c r="B58" s="521" t="s">
        <v>127</v>
      </c>
      <c r="C58" s="138" t="s">
        <v>134</v>
      </c>
      <c r="D58" s="147">
        <v>0</v>
      </c>
      <c r="E58" s="147">
        <v>0</v>
      </c>
      <c r="F58" s="147">
        <v>0</v>
      </c>
      <c r="G58" s="147">
        <v>0</v>
      </c>
      <c r="H58" s="291">
        <v>0</v>
      </c>
      <c r="I58" s="579">
        <f t="shared" si="1"/>
        <v>0</v>
      </c>
    </row>
    <row r="59" spans="1:10" ht="10.5" customHeight="1" x14ac:dyDescent="0.15">
      <c r="A59" s="512"/>
      <c r="B59" s="521" t="s">
        <v>128</v>
      </c>
      <c r="C59" s="138" t="s">
        <v>135</v>
      </c>
      <c r="D59" s="147">
        <v>0</v>
      </c>
      <c r="E59" s="147">
        <v>0</v>
      </c>
      <c r="F59" s="147">
        <v>0</v>
      </c>
      <c r="G59" s="147">
        <v>0</v>
      </c>
      <c r="H59" s="291">
        <v>0</v>
      </c>
      <c r="I59" s="579">
        <f t="shared" si="1"/>
        <v>0</v>
      </c>
    </row>
    <row r="60" spans="1:10" ht="10.5" customHeight="1" x14ac:dyDescent="0.15">
      <c r="A60" s="512"/>
      <c r="B60" s="521" t="s">
        <v>129</v>
      </c>
      <c r="C60" s="138" t="s">
        <v>136</v>
      </c>
      <c r="D60" s="147">
        <v>0</v>
      </c>
      <c r="E60" s="147">
        <v>0</v>
      </c>
      <c r="F60" s="147">
        <v>0</v>
      </c>
      <c r="G60" s="147">
        <v>0</v>
      </c>
      <c r="H60" s="291">
        <v>0</v>
      </c>
      <c r="I60" s="579">
        <f t="shared" si="1"/>
        <v>0</v>
      </c>
    </row>
    <row r="61" spans="1:10" ht="10.5" customHeight="1" x14ac:dyDescent="0.15">
      <c r="A61" s="512"/>
      <c r="B61" s="521" t="s">
        <v>131</v>
      </c>
      <c r="C61" s="138" t="s">
        <v>137</v>
      </c>
      <c r="D61" s="147">
        <v>0</v>
      </c>
      <c r="E61" s="147">
        <v>0</v>
      </c>
      <c r="F61" s="147">
        <v>0</v>
      </c>
      <c r="G61" s="147">
        <v>0</v>
      </c>
      <c r="H61" s="291">
        <v>0</v>
      </c>
      <c r="I61" s="579">
        <f t="shared" si="1"/>
        <v>0</v>
      </c>
    </row>
    <row r="62" spans="1:10" ht="10.5" customHeight="1" x14ac:dyDescent="0.15">
      <c r="A62" s="512"/>
      <c r="B62" s="521" t="s">
        <v>132</v>
      </c>
      <c r="C62" s="138" t="s">
        <v>1617</v>
      </c>
      <c r="D62" s="147">
        <v>0</v>
      </c>
      <c r="E62" s="147">
        <v>0</v>
      </c>
      <c r="F62" s="147">
        <v>0</v>
      </c>
      <c r="G62" s="147">
        <v>0</v>
      </c>
      <c r="H62" s="291">
        <v>0</v>
      </c>
      <c r="I62" s="579">
        <f t="shared" si="1"/>
        <v>0</v>
      </c>
    </row>
    <row r="63" spans="1:10" ht="10.5" customHeight="1" x14ac:dyDescent="0.15">
      <c r="A63" s="512"/>
      <c r="B63" s="521" t="s">
        <v>1624</v>
      </c>
      <c r="C63" s="138" t="s">
        <v>840</v>
      </c>
      <c r="D63" s="147">
        <v>0</v>
      </c>
      <c r="E63" s="147">
        <v>0</v>
      </c>
      <c r="F63" s="147">
        <v>0</v>
      </c>
      <c r="G63" s="147">
        <v>0</v>
      </c>
      <c r="H63" s="291">
        <v>0</v>
      </c>
      <c r="I63" s="579">
        <f t="shared" si="1"/>
        <v>0</v>
      </c>
    </row>
    <row r="64" spans="1:10" ht="10.5" customHeight="1" x14ac:dyDescent="0.15">
      <c r="A64" s="512"/>
      <c r="B64" s="521" t="s">
        <v>1625</v>
      </c>
      <c r="C64" s="138" t="s">
        <v>842</v>
      </c>
      <c r="D64" s="147">
        <v>0</v>
      </c>
      <c r="E64" s="147">
        <v>0</v>
      </c>
      <c r="F64" s="147">
        <v>0</v>
      </c>
      <c r="G64" s="147">
        <v>0</v>
      </c>
      <c r="H64" s="291">
        <v>0</v>
      </c>
      <c r="I64" s="579">
        <f t="shared" si="1"/>
        <v>0</v>
      </c>
    </row>
    <row r="65" spans="1:9" ht="10.5" customHeight="1" x14ac:dyDescent="0.15">
      <c r="A65" s="512"/>
      <c r="B65" s="521" t="s">
        <v>843</v>
      </c>
      <c r="C65" s="138" t="s">
        <v>848</v>
      </c>
      <c r="D65" s="147">
        <v>0</v>
      </c>
      <c r="E65" s="147">
        <v>0</v>
      </c>
      <c r="F65" s="147">
        <v>0</v>
      </c>
      <c r="G65" s="147">
        <v>0</v>
      </c>
      <c r="H65" s="291">
        <v>0</v>
      </c>
      <c r="I65" s="579">
        <f t="shared" si="1"/>
        <v>0</v>
      </c>
    </row>
    <row r="66" spans="1:9" ht="10.5" customHeight="1" x14ac:dyDescent="0.15">
      <c r="A66" s="512"/>
      <c r="B66" s="521" t="s">
        <v>844</v>
      </c>
      <c r="C66" s="138" t="s">
        <v>186</v>
      </c>
      <c r="D66" s="147">
        <v>0</v>
      </c>
      <c r="E66" s="147">
        <v>0</v>
      </c>
      <c r="F66" s="147">
        <v>0</v>
      </c>
      <c r="G66" s="147">
        <v>0</v>
      </c>
      <c r="H66" s="291">
        <v>0</v>
      </c>
      <c r="I66" s="579">
        <f t="shared" si="1"/>
        <v>0</v>
      </c>
    </row>
    <row r="67" spans="1:9" ht="10.5" customHeight="1" x14ac:dyDescent="0.15">
      <c r="A67" s="512"/>
      <c r="B67" s="521" t="s">
        <v>845</v>
      </c>
      <c r="C67" s="138" t="s">
        <v>154</v>
      </c>
      <c r="D67" s="147">
        <v>0</v>
      </c>
      <c r="E67" s="147">
        <v>0</v>
      </c>
      <c r="F67" s="147">
        <v>0</v>
      </c>
      <c r="G67" s="147">
        <v>0</v>
      </c>
      <c r="H67" s="291">
        <v>0</v>
      </c>
      <c r="I67" s="579">
        <f t="shared" si="1"/>
        <v>0</v>
      </c>
    </row>
    <row r="68" spans="1:9" ht="10.5" customHeight="1" x14ac:dyDescent="0.15">
      <c r="A68" s="512"/>
      <c r="B68" s="521" t="s">
        <v>846</v>
      </c>
      <c r="C68" s="138" t="s">
        <v>155</v>
      </c>
      <c r="D68" s="147">
        <v>0</v>
      </c>
      <c r="E68" s="147">
        <v>0</v>
      </c>
      <c r="F68" s="147">
        <v>0</v>
      </c>
      <c r="G68" s="147">
        <v>0</v>
      </c>
      <c r="H68" s="291">
        <v>0</v>
      </c>
      <c r="I68" s="579">
        <f t="shared" si="1"/>
        <v>0</v>
      </c>
    </row>
    <row r="69" spans="1:9" ht="10.5" customHeight="1" x14ac:dyDescent="0.15">
      <c r="A69" s="512"/>
      <c r="B69" s="521" t="s">
        <v>1582</v>
      </c>
      <c r="C69" s="138" t="s">
        <v>156</v>
      </c>
      <c r="D69" s="147">
        <v>0</v>
      </c>
      <c r="E69" s="147">
        <v>0</v>
      </c>
      <c r="F69" s="147">
        <v>0</v>
      </c>
      <c r="G69" s="147">
        <v>0</v>
      </c>
      <c r="H69" s="291">
        <v>0</v>
      </c>
      <c r="I69" s="579">
        <f t="shared" si="1"/>
        <v>0</v>
      </c>
    </row>
    <row r="70" spans="1:9" ht="10.5" customHeight="1" x14ac:dyDescent="0.15">
      <c r="A70" s="512"/>
      <c r="B70" s="521" t="s">
        <v>847</v>
      </c>
      <c r="C70" s="138" t="s">
        <v>157</v>
      </c>
      <c r="D70" s="147">
        <v>0</v>
      </c>
      <c r="E70" s="147">
        <v>0</v>
      </c>
      <c r="F70" s="147">
        <v>0</v>
      </c>
      <c r="G70" s="147">
        <v>0</v>
      </c>
      <c r="H70" s="291">
        <v>0</v>
      </c>
      <c r="I70" s="579">
        <f t="shared" si="1"/>
        <v>0</v>
      </c>
    </row>
    <row r="71" spans="1:9" ht="10.5" customHeight="1" x14ac:dyDescent="0.15">
      <c r="A71" s="512"/>
      <c r="B71" s="521" t="s">
        <v>1583</v>
      </c>
      <c r="C71" s="138" t="s">
        <v>160</v>
      </c>
      <c r="D71" s="147">
        <v>0</v>
      </c>
      <c r="E71" s="147">
        <v>0</v>
      </c>
      <c r="F71" s="147">
        <v>0</v>
      </c>
      <c r="G71" s="147">
        <v>0</v>
      </c>
      <c r="H71" s="291">
        <v>0</v>
      </c>
      <c r="I71" s="579">
        <f t="shared" si="1"/>
        <v>0</v>
      </c>
    </row>
    <row r="72" spans="1:9" ht="10.5" customHeight="1" x14ac:dyDescent="0.15">
      <c r="A72" s="512"/>
      <c r="B72" s="521" t="s">
        <v>634</v>
      </c>
      <c r="C72" s="138" t="s">
        <v>165</v>
      </c>
      <c r="D72" s="147">
        <v>0</v>
      </c>
      <c r="E72" s="147">
        <v>0</v>
      </c>
      <c r="F72" s="147">
        <v>0</v>
      </c>
      <c r="G72" s="147">
        <v>0</v>
      </c>
      <c r="H72" s="291">
        <v>0</v>
      </c>
      <c r="I72" s="579">
        <f t="shared" si="1"/>
        <v>0</v>
      </c>
    </row>
    <row r="73" spans="1:9" ht="10.5" customHeight="1" x14ac:dyDescent="0.15">
      <c r="A73" s="512"/>
      <c r="B73" s="521" t="s">
        <v>630</v>
      </c>
      <c r="C73" s="138" t="s">
        <v>172</v>
      </c>
      <c r="D73" s="147">
        <v>0</v>
      </c>
      <c r="E73" s="147">
        <v>0</v>
      </c>
      <c r="F73" s="147">
        <v>0</v>
      </c>
      <c r="G73" s="147">
        <v>0</v>
      </c>
      <c r="H73" s="291">
        <v>0</v>
      </c>
      <c r="I73" s="579">
        <f t="shared" si="1"/>
        <v>0</v>
      </c>
    </row>
    <row r="74" spans="1:9" ht="10.5" customHeight="1" x14ac:dyDescent="0.15">
      <c r="A74" s="512"/>
      <c r="B74" s="650" t="s">
        <v>631</v>
      </c>
      <c r="C74" s="651" t="s">
        <v>173</v>
      </c>
      <c r="D74" s="147">
        <v>0</v>
      </c>
      <c r="E74" s="147">
        <v>0</v>
      </c>
      <c r="F74" s="147">
        <v>0</v>
      </c>
      <c r="G74" s="147">
        <v>0</v>
      </c>
      <c r="H74" s="291">
        <v>0</v>
      </c>
      <c r="I74" s="579">
        <f t="shared" si="1"/>
        <v>0</v>
      </c>
    </row>
    <row r="75" spans="1:9" ht="10.5" customHeight="1" x14ac:dyDescent="0.15">
      <c r="A75" s="512"/>
      <c r="B75" s="521" t="s">
        <v>1584</v>
      </c>
      <c r="C75" s="138" t="s">
        <v>178</v>
      </c>
      <c r="D75" s="147">
        <v>0</v>
      </c>
      <c r="E75" s="147">
        <v>0</v>
      </c>
      <c r="F75" s="147">
        <v>0</v>
      </c>
      <c r="G75" s="147">
        <v>0</v>
      </c>
      <c r="H75" s="291">
        <v>0</v>
      </c>
      <c r="I75" s="579">
        <f t="shared" si="1"/>
        <v>0</v>
      </c>
    </row>
    <row r="76" spans="1:9" ht="10.5" customHeight="1" x14ac:dyDescent="0.15">
      <c r="A76" s="512"/>
      <c r="B76" s="521" t="s">
        <v>174</v>
      </c>
      <c r="C76" s="138" t="s">
        <v>179</v>
      </c>
      <c r="D76" s="147">
        <v>0</v>
      </c>
      <c r="E76" s="147">
        <v>0</v>
      </c>
      <c r="F76" s="147">
        <v>0</v>
      </c>
      <c r="G76" s="147">
        <v>0</v>
      </c>
      <c r="H76" s="291">
        <v>0</v>
      </c>
      <c r="I76" s="579">
        <f t="shared" si="1"/>
        <v>0</v>
      </c>
    </row>
    <row r="77" spans="1:9" ht="10.5" customHeight="1" x14ac:dyDescent="0.15">
      <c r="A77" s="512"/>
      <c r="B77" s="521" t="s">
        <v>175</v>
      </c>
      <c r="C77" s="138" t="s">
        <v>180</v>
      </c>
      <c r="D77" s="147">
        <v>0</v>
      </c>
      <c r="E77" s="147">
        <v>0</v>
      </c>
      <c r="F77" s="147">
        <v>0</v>
      </c>
      <c r="G77" s="147">
        <v>0</v>
      </c>
      <c r="H77" s="291">
        <v>0</v>
      </c>
      <c r="I77" s="579">
        <f t="shared" si="1"/>
        <v>0</v>
      </c>
    </row>
    <row r="78" spans="1:9" ht="10.5" customHeight="1" x14ac:dyDescent="0.15">
      <c r="A78" s="512"/>
      <c r="B78" s="521" t="s">
        <v>176</v>
      </c>
      <c r="C78" s="138" t="s">
        <v>181</v>
      </c>
      <c r="D78" s="147">
        <v>0</v>
      </c>
      <c r="E78" s="147">
        <v>0</v>
      </c>
      <c r="F78" s="147">
        <v>0</v>
      </c>
      <c r="G78" s="147">
        <v>0</v>
      </c>
      <c r="H78" s="291">
        <v>0</v>
      </c>
      <c r="I78" s="579">
        <f t="shared" si="1"/>
        <v>0</v>
      </c>
    </row>
    <row r="79" spans="1:9" ht="10.5" customHeight="1" x14ac:dyDescent="0.15">
      <c r="A79" s="512"/>
      <c r="B79" s="521" t="s">
        <v>177</v>
      </c>
      <c r="C79" s="138" t="s">
        <v>182</v>
      </c>
      <c r="D79" s="147">
        <v>0</v>
      </c>
      <c r="E79" s="147">
        <v>0</v>
      </c>
      <c r="F79" s="147">
        <v>0</v>
      </c>
      <c r="G79" s="147">
        <v>0</v>
      </c>
      <c r="H79" s="291">
        <v>0</v>
      </c>
      <c r="I79" s="579">
        <f t="shared" si="1"/>
        <v>0</v>
      </c>
    </row>
    <row r="80" spans="1:9" ht="10.5" customHeight="1" thickBot="1" x14ac:dyDescent="0.2">
      <c r="A80" s="512"/>
      <c r="B80" s="521" t="s">
        <v>632</v>
      </c>
      <c r="C80" s="138" t="s">
        <v>183</v>
      </c>
      <c r="D80" s="144">
        <v>0</v>
      </c>
      <c r="E80" s="144">
        <v>0</v>
      </c>
      <c r="F80" s="144">
        <v>0</v>
      </c>
      <c r="G80" s="144">
        <v>0</v>
      </c>
      <c r="H80" s="291">
        <v>0</v>
      </c>
      <c r="I80" s="579">
        <f t="shared" si="1"/>
        <v>0</v>
      </c>
    </row>
    <row r="81" spans="1:10" ht="10.5" customHeight="1" thickTop="1" thickBot="1" x14ac:dyDescent="0.2">
      <c r="A81" s="512"/>
      <c r="B81" s="521"/>
      <c r="C81" s="138" t="s">
        <v>644</v>
      </c>
      <c r="D81" s="169">
        <f>SUM(D47:D80)</f>
        <v>0</v>
      </c>
      <c r="E81" s="169">
        <f>SUM(E47:E80)</f>
        <v>0</v>
      </c>
      <c r="F81" s="169">
        <f>SUM(F47:F80)</f>
        <v>0</v>
      </c>
      <c r="G81" s="169">
        <f>SUM(G47:G80)</f>
        <v>0</v>
      </c>
      <c r="H81" s="169">
        <f>SUM(H47:H80)</f>
        <v>0</v>
      </c>
      <c r="I81" s="169">
        <f>SUM(G81+H81)</f>
        <v>0</v>
      </c>
    </row>
    <row r="82" spans="1:10" ht="10.5" customHeight="1" thickTop="1" x14ac:dyDescent="0.15">
      <c r="A82" s="512"/>
      <c r="B82" s="521"/>
      <c r="C82" s="138"/>
      <c r="D82" s="14"/>
      <c r="E82" s="14"/>
      <c r="F82" s="14"/>
      <c r="G82" s="14"/>
      <c r="H82" s="198"/>
      <c r="I82" s="170"/>
    </row>
    <row r="83" spans="1:10" ht="10.5" customHeight="1" x14ac:dyDescent="0.15">
      <c r="A83" s="512" t="s">
        <v>262</v>
      </c>
      <c r="D83" s="14"/>
      <c r="E83" s="14"/>
      <c r="F83" s="14"/>
      <c r="G83" s="14"/>
      <c r="H83" s="198"/>
      <c r="I83" s="170"/>
    </row>
    <row r="84" spans="1:10" s="434" customFormat="1" x14ac:dyDescent="0.15">
      <c r="B84" s="523" t="s">
        <v>1577</v>
      </c>
      <c r="C84" s="524" t="s">
        <v>228</v>
      </c>
      <c r="D84" s="316">
        <v>0</v>
      </c>
      <c r="E84" s="316">
        <v>0</v>
      </c>
      <c r="F84" s="316">
        <v>0</v>
      </c>
      <c r="G84" s="528">
        <f t="array" ref="G84">SUM(IF(CertFund&amp;CertProg&amp;CertObj=RIGHT(LEFT($A$2,7),2)&amp;LEFT(A83,4)&amp;B84,CertSalary))</f>
        <v>0</v>
      </c>
      <c r="H84" s="527">
        <v>0</v>
      </c>
      <c r="I84" s="566">
        <f>SUM(G84+H84)</f>
        <v>0</v>
      </c>
    </row>
    <row r="85" spans="1:10" s="434" customFormat="1" x14ac:dyDescent="0.15">
      <c r="B85" s="523" t="s">
        <v>1577</v>
      </c>
      <c r="C85" s="524" t="s">
        <v>510</v>
      </c>
      <c r="D85" s="316">
        <v>0</v>
      </c>
      <c r="E85" s="316">
        <v>0</v>
      </c>
      <c r="F85" s="316">
        <v>0</v>
      </c>
      <c r="G85" s="316">
        <v>0</v>
      </c>
      <c r="H85" s="527">
        <v>0</v>
      </c>
      <c r="I85" s="566">
        <f>SUM(G85+H85)</f>
        <v>0</v>
      </c>
    </row>
    <row r="86" spans="1:10" s="434" customFormat="1" x14ac:dyDescent="0.15">
      <c r="A86" s="524"/>
      <c r="B86" s="523" t="s">
        <v>1578</v>
      </c>
      <c r="C86" s="524" t="s">
        <v>936</v>
      </c>
      <c r="D86" s="316">
        <v>0</v>
      </c>
      <c r="E86" s="316">
        <v>0</v>
      </c>
      <c r="F86" s="316">
        <v>0</v>
      </c>
      <c r="G86" s="529">
        <f t="array" ref="G86">SUM(IF(CertFund&amp;CertProg&amp;CertObj=RIGHT(LEFT($A$2,7),2)&amp;LEFT(A83,4)&amp;B84,CertBen))</f>
        <v>0</v>
      </c>
      <c r="H86" s="527">
        <v>0</v>
      </c>
      <c r="I86" s="566">
        <f>SUM(G86+H86)</f>
        <v>0</v>
      </c>
    </row>
    <row r="87" spans="1:10" x14ac:dyDescent="0.15">
      <c r="A87" s="138"/>
      <c r="B87" s="521" t="s">
        <v>1578</v>
      </c>
      <c r="C87" s="138" t="s">
        <v>511</v>
      </c>
      <c r="D87" s="147">
        <v>0</v>
      </c>
      <c r="E87" s="147">
        <v>0</v>
      </c>
      <c r="F87" s="147">
        <v>0</v>
      </c>
      <c r="G87" s="147">
        <v>0</v>
      </c>
      <c r="H87" s="150">
        <v>0</v>
      </c>
      <c r="I87" s="567">
        <f>SUM(G87+H87)</f>
        <v>0</v>
      </c>
      <c r="J87" s="434"/>
    </row>
    <row r="88" spans="1:10" ht="10.5" customHeight="1" x14ac:dyDescent="0.15">
      <c r="A88" s="512"/>
      <c r="B88" s="521" t="s">
        <v>1579</v>
      </c>
      <c r="C88" s="138" t="s">
        <v>118</v>
      </c>
      <c r="D88" s="147">
        <v>0</v>
      </c>
      <c r="E88" s="147">
        <v>0</v>
      </c>
      <c r="F88" s="147">
        <v>0</v>
      </c>
      <c r="G88" s="147">
        <v>0</v>
      </c>
      <c r="H88" s="291">
        <v>0</v>
      </c>
      <c r="I88" s="579">
        <f t="shared" ref="I88:I117" si="2">SUM(G88+H88)</f>
        <v>0</v>
      </c>
    </row>
    <row r="89" spans="1:10" ht="10.5" customHeight="1" x14ac:dyDescent="0.15">
      <c r="A89" s="512"/>
      <c r="B89" s="521" t="s">
        <v>1580</v>
      </c>
      <c r="C89" s="138" t="s">
        <v>119</v>
      </c>
      <c r="D89" s="147">
        <v>0</v>
      </c>
      <c r="E89" s="147">
        <v>0</v>
      </c>
      <c r="F89" s="147">
        <v>0</v>
      </c>
      <c r="G89" s="147">
        <v>0</v>
      </c>
      <c r="H89" s="291">
        <v>0</v>
      </c>
      <c r="I89" s="579">
        <f t="shared" si="2"/>
        <v>0</v>
      </c>
    </row>
    <row r="90" spans="1:10" ht="10.5" customHeight="1" x14ac:dyDescent="0.15">
      <c r="A90" s="512"/>
      <c r="B90" s="521" t="s">
        <v>120</v>
      </c>
      <c r="C90" s="138" t="s">
        <v>121</v>
      </c>
      <c r="D90" s="147">
        <v>0</v>
      </c>
      <c r="E90" s="147">
        <v>0</v>
      </c>
      <c r="F90" s="147">
        <v>0</v>
      </c>
      <c r="G90" s="147">
        <v>0</v>
      </c>
      <c r="H90" s="291">
        <v>0</v>
      </c>
      <c r="I90" s="579">
        <f t="shared" si="2"/>
        <v>0</v>
      </c>
    </row>
    <row r="91" spans="1:10" ht="10.5" customHeight="1" x14ac:dyDescent="0.15">
      <c r="A91" s="512"/>
      <c r="B91" s="521" t="s">
        <v>122</v>
      </c>
      <c r="C91" s="138" t="s">
        <v>123</v>
      </c>
      <c r="D91" s="147">
        <v>0</v>
      </c>
      <c r="E91" s="147">
        <v>0</v>
      </c>
      <c r="F91" s="147">
        <v>0</v>
      </c>
      <c r="G91" s="147">
        <v>0</v>
      </c>
      <c r="H91" s="291">
        <v>0</v>
      </c>
      <c r="I91" s="579">
        <f t="shared" si="2"/>
        <v>0</v>
      </c>
    </row>
    <row r="92" spans="1:10" ht="10.5" customHeight="1" x14ac:dyDescent="0.15">
      <c r="A92" s="512"/>
      <c r="B92" s="521" t="s">
        <v>1581</v>
      </c>
      <c r="C92" s="138" t="s">
        <v>124</v>
      </c>
      <c r="D92" s="147">
        <v>0</v>
      </c>
      <c r="E92" s="147">
        <v>0</v>
      </c>
      <c r="F92" s="147">
        <v>0</v>
      </c>
      <c r="G92" s="147">
        <v>0</v>
      </c>
      <c r="H92" s="291">
        <v>0</v>
      </c>
      <c r="I92" s="579">
        <f t="shared" si="2"/>
        <v>0</v>
      </c>
    </row>
    <row r="93" spans="1:10" ht="10.5" customHeight="1" x14ac:dyDescent="0.15">
      <c r="A93" s="512"/>
      <c r="B93" s="521" t="s">
        <v>125</v>
      </c>
      <c r="C93" s="138" t="s">
        <v>133</v>
      </c>
      <c r="D93" s="147">
        <v>0</v>
      </c>
      <c r="E93" s="147">
        <v>0</v>
      </c>
      <c r="F93" s="147">
        <v>0</v>
      </c>
      <c r="G93" s="147">
        <v>0</v>
      </c>
      <c r="H93" s="291">
        <v>0</v>
      </c>
      <c r="I93" s="579">
        <f t="shared" si="2"/>
        <v>0</v>
      </c>
    </row>
    <row r="94" spans="1:10" ht="10.5" customHeight="1" x14ac:dyDescent="0.15">
      <c r="A94" s="512"/>
      <c r="B94" s="521" t="s">
        <v>126</v>
      </c>
      <c r="C94" s="138" t="s">
        <v>187</v>
      </c>
      <c r="D94" s="147">
        <v>0</v>
      </c>
      <c r="E94" s="147">
        <v>0</v>
      </c>
      <c r="F94" s="147">
        <v>0</v>
      </c>
      <c r="G94" s="147">
        <v>0</v>
      </c>
      <c r="H94" s="291">
        <v>0</v>
      </c>
      <c r="I94" s="579">
        <f t="shared" si="2"/>
        <v>0</v>
      </c>
    </row>
    <row r="95" spans="1:10" ht="10.5" customHeight="1" x14ac:dyDescent="0.15">
      <c r="A95" s="512"/>
      <c r="B95" s="521" t="s">
        <v>127</v>
      </c>
      <c r="C95" s="138" t="s">
        <v>134</v>
      </c>
      <c r="D95" s="147">
        <v>0</v>
      </c>
      <c r="E95" s="147">
        <v>0</v>
      </c>
      <c r="F95" s="147">
        <v>0</v>
      </c>
      <c r="G95" s="147">
        <v>0</v>
      </c>
      <c r="H95" s="291">
        <v>0</v>
      </c>
      <c r="I95" s="579">
        <f t="shared" si="2"/>
        <v>0</v>
      </c>
    </row>
    <row r="96" spans="1:10" ht="10.5" customHeight="1" x14ac:dyDescent="0.15">
      <c r="A96" s="512"/>
      <c r="B96" s="521" t="s">
        <v>128</v>
      </c>
      <c r="C96" s="138" t="s">
        <v>135</v>
      </c>
      <c r="D96" s="147">
        <v>0</v>
      </c>
      <c r="E96" s="147">
        <v>0</v>
      </c>
      <c r="F96" s="147">
        <v>0</v>
      </c>
      <c r="G96" s="147">
        <v>0</v>
      </c>
      <c r="H96" s="291">
        <v>0</v>
      </c>
      <c r="I96" s="579">
        <f t="shared" si="2"/>
        <v>0</v>
      </c>
    </row>
    <row r="97" spans="1:9" ht="10.5" customHeight="1" x14ac:dyDescent="0.15">
      <c r="A97" s="512"/>
      <c r="B97" s="521" t="s">
        <v>129</v>
      </c>
      <c r="C97" s="138" t="s">
        <v>136</v>
      </c>
      <c r="D97" s="147">
        <v>0</v>
      </c>
      <c r="E97" s="147">
        <v>0</v>
      </c>
      <c r="F97" s="147">
        <v>0</v>
      </c>
      <c r="G97" s="147">
        <v>0</v>
      </c>
      <c r="H97" s="291">
        <v>0</v>
      </c>
      <c r="I97" s="579">
        <f t="shared" si="2"/>
        <v>0</v>
      </c>
    </row>
    <row r="98" spans="1:9" ht="10.5" customHeight="1" x14ac:dyDescent="0.15">
      <c r="A98" s="512"/>
      <c r="B98" s="521" t="s">
        <v>131</v>
      </c>
      <c r="C98" s="138" t="s">
        <v>137</v>
      </c>
      <c r="D98" s="147">
        <v>0</v>
      </c>
      <c r="E98" s="147">
        <v>0</v>
      </c>
      <c r="F98" s="147">
        <v>0</v>
      </c>
      <c r="G98" s="147">
        <v>0</v>
      </c>
      <c r="H98" s="291">
        <v>0</v>
      </c>
      <c r="I98" s="579">
        <f t="shared" si="2"/>
        <v>0</v>
      </c>
    </row>
    <row r="99" spans="1:9" ht="10.5" customHeight="1" x14ac:dyDescent="0.15">
      <c r="A99" s="512"/>
      <c r="B99" s="521" t="s">
        <v>132</v>
      </c>
      <c r="C99" s="138" t="s">
        <v>1617</v>
      </c>
      <c r="D99" s="147">
        <v>0</v>
      </c>
      <c r="E99" s="147">
        <v>0</v>
      </c>
      <c r="F99" s="147">
        <v>0</v>
      </c>
      <c r="G99" s="147">
        <v>0</v>
      </c>
      <c r="H99" s="291">
        <v>0</v>
      </c>
      <c r="I99" s="579">
        <f t="shared" si="2"/>
        <v>0</v>
      </c>
    </row>
    <row r="100" spans="1:9" ht="10.5" customHeight="1" x14ac:dyDescent="0.15">
      <c r="A100" s="512"/>
      <c r="B100" s="521" t="s">
        <v>1624</v>
      </c>
      <c r="C100" s="138" t="s">
        <v>840</v>
      </c>
      <c r="D100" s="147">
        <v>0</v>
      </c>
      <c r="E100" s="147">
        <v>0</v>
      </c>
      <c r="F100" s="147">
        <v>0</v>
      </c>
      <c r="G100" s="147">
        <v>0</v>
      </c>
      <c r="H100" s="291">
        <v>0</v>
      </c>
      <c r="I100" s="579">
        <f t="shared" si="2"/>
        <v>0</v>
      </c>
    </row>
    <row r="101" spans="1:9" ht="10.5" customHeight="1" x14ac:dyDescent="0.15">
      <c r="A101" s="512"/>
      <c r="B101" s="521" t="s">
        <v>1625</v>
      </c>
      <c r="C101" s="138" t="s">
        <v>842</v>
      </c>
      <c r="D101" s="147">
        <v>0</v>
      </c>
      <c r="E101" s="147">
        <v>0</v>
      </c>
      <c r="F101" s="147">
        <v>0</v>
      </c>
      <c r="G101" s="147">
        <v>0</v>
      </c>
      <c r="H101" s="291">
        <v>0</v>
      </c>
      <c r="I101" s="579">
        <f t="shared" si="2"/>
        <v>0</v>
      </c>
    </row>
    <row r="102" spans="1:9" ht="10.5" customHeight="1" x14ac:dyDescent="0.15">
      <c r="A102" s="512"/>
      <c r="B102" s="521" t="s">
        <v>843</v>
      </c>
      <c r="C102" s="138" t="s">
        <v>848</v>
      </c>
      <c r="D102" s="147">
        <v>0</v>
      </c>
      <c r="E102" s="147">
        <v>0</v>
      </c>
      <c r="F102" s="147">
        <v>0</v>
      </c>
      <c r="G102" s="147">
        <v>0</v>
      </c>
      <c r="H102" s="291">
        <v>0</v>
      </c>
      <c r="I102" s="579">
        <f t="shared" si="2"/>
        <v>0</v>
      </c>
    </row>
    <row r="103" spans="1:9" ht="10.5" customHeight="1" x14ac:dyDescent="0.15">
      <c r="A103" s="512"/>
      <c r="B103" s="521" t="s">
        <v>844</v>
      </c>
      <c r="C103" s="138" t="s">
        <v>186</v>
      </c>
      <c r="D103" s="147">
        <v>0</v>
      </c>
      <c r="E103" s="147">
        <v>0</v>
      </c>
      <c r="F103" s="147">
        <v>0</v>
      </c>
      <c r="G103" s="147">
        <v>0</v>
      </c>
      <c r="H103" s="291">
        <v>0</v>
      </c>
      <c r="I103" s="579">
        <f t="shared" si="2"/>
        <v>0</v>
      </c>
    </row>
    <row r="104" spans="1:9" ht="10.5" customHeight="1" x14ac:dyDescent="0.15">
      <c r="A104" s="512"/>
      <c r="B104" s="521" t="s">
        <v>845</v>
      </c>
      <c r="C104" s="138" t="s">
        <v>154</v>
      </c>
      <c r="D104" s="147">
        <v>0</v>
      </c>
      <c r="E104" s="147">
        <v>0</v>
      </c>
      <c r="F104" s="147">
        <v>0</v>
      </c>
      <c r="G104" s="147">
        <v>0</v>
      </c>
      <c r="H104" s="291">
        <v>0</v>
      </c>
      <c r="I104" s="579">
        <f t="shared" si="2"/>
        <v>0</v>
      </c>
    </row>
    <row r="105" spans="1:9" ht="10.5" customHeight="1" x14ac:dyDescent="0.15">
      <c r="A105" s="512"/>
      <c r="B105" s="521" t="s">
        <v>846</v>
      </c>
      <c r="C105" s="138" t="s">
        <v>155</v>
      </c>
      <c r="D105" s="147">
        <v>0</v>
      </c>
      <c r="E105" s="147">
        <v>0</v>
      </c>
      <c r="F105" s="147">
        <v>0</v>
      </c>
      <c r="G105" s="147">
        <v>0</v>
      </c>
      <c r="H105" s="291">
        <v>0</v>
      </c>
      <c r="I105" s="579">
        <f t="shared" si="2"/>
        <v>0</v>
      </c>
    </row>
    <row r="106" spans="1:9" ht="10.5" customHeight="1" x14ac:dyDescent="0.15">
      <c r="A106" s="512"/>
      <c r="B106" s="521" t="s">
        <v>1582</v>
      </c>
      <c r="C106" s="138" t="s">
        <v>156</v>
      </c>
      <c r="D106" s="147">
        <v>0</v>
      </c>
      <c r="E106" s="147">
        <v>0</v>
      </c>
      <c r="F106" s="147">
        <v>0</v>
      </c>
      <c r="G106" s="147">
        <v>0</v>
      </c>
      <c r="H106" s="291">
        <v>0</v>
      </c>
      <c r="I106" s="579">
        <f t="shared" si="2"/>
        <v>0</v>
      </c>
    </row>
    <row r="107" spans="1:9" ht="10.5" customHeight="1" x14ac:dyDescent="0.15">
      <c r="A107" s="512"/>
      <c r="B107" s="521" t="s">
        <v>847</v>
      </c>
      <c r="C107" s="138" t="s">
        <v>157</v>
      </c>
      <c r="D107" s="147">
        <v>0</v>
      </c>
      <c r="E107" s="147">
        <v>0</v>
      </c>
      <c r="F107" s="147">
        <v>0</v>
      </c>
      <c r="G107" s="147">
        <v>0</v>
      </c>
      <c r="H107" s="291">
        <v>0</v>
      </c>
      <c r="I107" s="579">
        <f t="shared" si="2"/>
        <v>0</v>
      </c>
    </row>
    <row r="108" spans="1:9" ht="10.5" customHeight="1" x14ac:dyDescent="0.15">
      <c r="A108" s="512"/>
      <c r="B108" s="521" t="s">
        <v>1583</v>
      </c>
      <c r="C108" s="138" t="s">
        <v>160</v>
      </c>
      <c r="D108" s="147">
        <v>0</v>
      </c>
      <c r="E108" s="147">
        <v>0</v>
      </c>
      <c r="F108" s="147">
        <v>0</v>
      </c>
      <c r="G108" s="147">
        <v>0</v>
      </c>
      <c r="H108" s="291">
        <v>0</v>
      </c>
      <c r="I108" s="579">
        <f t="shared" si="2"/>
        <v>0</v>
      </c>
    </row>
    <row r="109" spans="1:9" ht="10.5" customHeight="1" x14ac:dyDescent="0.15">
      <c r="A109" s="512"/>
      <c r="B109" s="521" t="s">
        <v>634</v>
      </c>
      <c r="C109" s="138" t="s">
        <v>165</v>
      </c>
      <c r="D109" s="147">
        <v>0</v>
      </c>
      <c r="E109" s="147">
        <v>0</v>
      </c>
      <c r="F109" s="147">
        <v>0</v>
      </c>
      <c r="G109" s="147">
        <v>0</v>
      </c>
      <c r="H109" s="291">
        <v>0</v>
      </c>
      <c r="I109" s="579">
        <f t="shared" si="2"/>
        <v>0</v>
      </c>
    </row>
    <row r="110" spans="1:9" ht="10.5" customHeight="1" x14ac:dyDescent="0.15">
      <c r="A110" s="512"/>
      <c r="B110" s="521" t="s">
        <v>630</v>
      </c>
      <c r="C110" s="138" t="s">
        <v>172</v>
      </c>
      <c r="D110" s="147">
        <v>0</v>
      </c>
      <c r="E110" s="147">
        <v>0</v>
      </c>
      <c r="F110" s="147">
        <v>0</v>
      </c>
      <c r="G110" s="147">
        <v>0</v>
      </c>
      <c r="H110" s="291">
        <v>0</v>
      </c>
      <c r="I110" s="579">
        <f t="shared" si="2"/>
        <v>0</v>
      </c>
    </row>
    <row r="111" spans="1:9" ht="10.5" customHeight="1" x14ac:dyDescent="0.15">
      <c r="A111" s="512"/>
      <c r="B111" s="650" t="s">
        <v>631</v>
      </c>
      <c r="C111" s="651" t="s">
        <v>173</v>
      </c>
      <c r="D111" s="147">
        <v>0</v>
      </c>
      <c r="E111" s="147">
        <v>0</v>
      </c>
      <c r="F111" s="147">
        <v>0</v>
      </c>
      <c r="G111" s="147">
        <v>0</v>
      </c>
      <c r="H111" s="291">
        <v>0</v>
      </c>
      <c r="I111" s="579">
        <f t="shared" si="2"/>
        <v>0</v>
      </c>
    </row>
    <row r="112" spans="1:9" ht="10.5" customHeight="1" x14ac:dyDescent="0.15">
      <c r="A112" s="512"/>
      <c r="B112" s="521" t="s">
        <v>1584</v>
      </c>
      <c r="C112" s="138" t="s">
        <v>178</v>
      </c>
      <c r="D112" s="147">
        <v>0</v>
      </c>
      <c r="E112" s="147">
        <v>0</v>
      </c>
      <c r="F112" s="147">
        <v>0</v>
      </c>
      <c r="G112" s="147">
        <v>0</v>
      </c>
      <c r="H112" s="291">
        <v>0</v>
      </c>
      <c r="I112" s="579">
        <f t="shared" si="2"/>
        <v>0</v>
      </c>
    </row>
    <row r="113" spans="1:10" ht="10.5" customHeight="1" x14ac:dyDescent="0.15">
      <c r="A113" s="512"/>
      <c r="B113" s="521" t="s">
        <v>174</v>
      </c>
      <c r="C113" s="138" t="s">
        <v>179</v>
      </c>
      <c r="D113" s="147">
        <v>0</v>
      </c>
      <c r="E113" s="147">
        <v>0</v>
      </c>
      <c r="F113" s="147">
        <v>0</v>
      </c>
      <c r="G113" s="147">
        <v>0</v>
      </c>
      <c r="H113" s="291">
        <v>0</v>
      </c>
      <c r="I113" s="579">
        <f t="shared" si="2"/>
        <v>0</v>
      </c>
    </row>
    <row r="114" spans="1:10" ht="10.5" customHeight="1" x14ac:dyDescent="0.15">
      <c r="A114" s="512"/>
      <c r="B114" s="521" t="s">
        <v>175</v>
      </c>
      <c r="C114" s="138" t="s">
        <v>180</v>
      </c>
      <c r="D114" s="147">
        <v>0</v>
      </c>
      <c r="E114" s="147">
        <v>0</v>
      </c>
      <c r="F114" s="147">
        <v>0</v>
      </c>
      <c r="G114" s="147">
        <v>0</v>
      </c>
      <c r="H114" s="291">
        <v>0</v>
      </c>
      <c r="I114" s="579">
        <f t="shared" si="2"/>
        <v>0</v>
      </c>
    </row>
    <row r="115" spans="1:10" ht="10.5" customHeight="1" x14ac:dyDescent="0.15">
      <c r="A115" s="512"/>
      <c r="B115" s="521" t="s">
        <v>176</v>
      </c>
      <c r="C115" s="138" t="s">
        <v>181</v>
      </c>
      <c r="D115" s="147">
        <v>0</v>
      </c>
      <c r="E115" s="147">
        <v>0</v>
      </c>
      <c r="F115" s="147">
        <v>0</v>
      </c>
      <c r="G115" s="147">
        <v>0</v>
      </c>
      <c r="H115" s="291">
        <v>0</v>
      </c>
      <c r="I115" s="579">
        <f t="shared" si="2"/>
        <v>0</v>
      </c>
    </row>
    <row r="116" spans="1:10" ht="10.5" customHeight="1" x14ac:dyDescent="0.15">
      <c r="A116" s="512"/>
      <c r="B116" s="521" t="s">
        <v>177</v>
      </c>
      <c r="C116" s="138" t="s">
        <v>182</v>
      </c>
      <c r="D116" s="147">
        <v>0</v>
      </c>
      <c r="E116" s="147">
        <v>0</v>
      </c>
      <c r="F116" s="147">
        <v>0</v>
      </c>
      <c r="G116" s="147">
        <v>0</v>
      </c>
      <c r="H116" s="291">
        <v>0</v>
      </c>
      <c r="I116" s="579">
        <f t="shared" si="2"/>
        <v>0</v>
      </c>
    </row>
    <row r="117" spans="1:10" ht="10.5" customHeight="1" thickBot="1" x14ac:dyDescent="0.2">
      <c r="A117" s="512"/>
      <c r="B117" s="521" t="s">
        <v>632</v>
      </c>
      <c r="C117" s="138" t="s">
        <v>183</v>
      </c>
      <c r="D117" s="144">
        <v>0</v>
      </c>
      <c r="E117" s="144">
        <v>0</v>
      </c>
      <c r="F117" s="144">
        <v>0</v>
      </c>
      <c r="G117" s="144">
        <v>0</v>
      </c>
      <c r="H117" s="291">
        <v>0</v>
      </c>
      <c r="I117" s="579">
        <f t="shared" si="2"/>
        <v>0</v>
      </c>
    </row>
    <row r="118" spans="1:10" ht="10.5" customHeight="1" thickTop="1" thickBot="1" x14ac:dyDescent="0.2">
      <c r="A118" s="512"/>
      <c r="B118" s="521"/>
      <c r="C118" s="138" t="s">
        <v>263</v>
      </c>
      <c r="D118" s="169">
        <f>SUM(D84:D117)</f>
        <v>0</v>
      </c>
      <c r="E118" s="169">
        <f>SUM(E84:E117)</f>
        <v>0</v>
      </c>
      <c r="F118" s="169">
        <f>SUM(F84:F117)</f>
        <v>0</v>
      </c>
      <c r="G118" s="169">
        <f>SUM(G84:G117)</f>
        <v>0</v>
      </c>
      <c r="H118" s="169">
        <f>SUM(H84:H117)</f>
        <v>0</v>
      </c>
      <c r="I118" s="169">
        <f>SUM(G118+H118)</f>
        <v>0</v>
      </c>
    </row>
    <row r="119" spans="1:10" ht="10.5" customHeight="1" thickTop="1" x14ac:dyDescent="0.15">
      <c r="A119" s="512"/>
      <c r="B119" s="521"/>
      <c r="C119" s="138"/>
      <c r="D119" s="14"/>
      <c r="E119" s="14"/>
      <c r="F119" s="14"/>
      <c r="G119" s="14"/>
      <c r="H119" s="198"/>
      <c r="I119" s="170"/>
    </row>
    <row r="120" spans="1:10" ht="10.5" customHeight="1" x14ac:dyDescent="0.15">
      <c r="A120" s="512" t="s">
        <v>645</v>
      </c>
      <c r="C120" s="138"/>
      <c r="D120" s="14"/>
      <c r="E120" s="14"/>
      <c r="F120" s="14"/>
      <c r="G120" s="14"/>
      <c r="H120" s="198"/>
      <c r="I120" s="170"/>
    </row>
    <row r="121" spans="1:10" s="434" customFormat="1" x14ac:dyDescent="0.15">
      <c r="B121" s="523" t="s">
        <v>1577</v>
      </c>
      <c r="C121" s="524" t="s">
        <v>228</v>
      </c>
      <c r="D121" s="316">
        <v>0</v>
      </c>
      <c r="E121" s="316">
        <v>0</v>
      </c>
      <c r="F121" s="316">
        <v>0</v>
      </c>
      <c r="G121" s="528">
        <f t="array" ref="G121">SUM(IF(CertFund&amp;CertProg&amp;CertObj=RIGHT(LEFT($A$2,7),2)&amp;LEFT(A120,4)&amp;B121,CertSalary))</f>
        <v>0</v>
      </c>
      <c r="H121" s="527">
        <v>0</v>
      </c>
      <c r="I121" s="566">
        <f>SUM(G121+H121)</f>
        <v>0</v>
      </c>
    </row>
    <row r="122" spans="1:10" s="434" customFormat="1" x14ac:dyDescent="0.15">
      <c r="B122" s="523" t="s">
        <v>1577</v>
      </c>
      <c r="C122" s="524" t="s">
        <v>510</v>
      </c>
      <c r="D122" s="316">
        <v>0</v>
      </c>
      <c r="E122" s="316">
        <v>0</v>
      </c>
      <c r="F122" s="316">
        <v>0</v>
      </c>
      <c r="G122" s="316">
        <v>0</v>
      </c>
      <c r="H122" s="527">
        <v>0</v>
      </c>
      <c r="I122" s="566">
        <f>SUM(G122+H122)</f>
        <v>0</v>
      </c>
    </row>
    <row r="123" spans="1:10" s="434" customFormat="1" x14ac:dyDescent="0.15">
      <c r="A123" s="524"/>
      <c r="B123" s="523" t="s">
        <v>1578</v>
      </c>
      <c r="C123" s="524" t="s">
        <v>936</v>
      </c>
      <c r="D123" s="316">
        <v>0</v>
      </c>
      <c r="E123" s="316">
        <v>0</v>
      </c>
      <c r="F123" s="316">
        <v>0</v>
      </c>
      <c r="G123" s="529">
        <f t="array" ref="G123">SUM(IF(CertFund&amp;CertProg&amp;CertObj=RIGHT(LEFT($A$2,7),2)&amp;LEFT(A120,4)&amp;B121,CertBen))</f>
        <v>0</v>
      </c>
      <c r="H123" s="527">
        <v>0</v>
      </c>
      <c r="I123" s="566">
        <f>SUM(G123+H123)</f>
        <v>0</v>
      </c>
    </row>
    <row r="124" spans="1:10" x14ac:dyDescent="0.15">
      <c r="A124" s="138"/>
      <c r="B124" s="521" t="s">
        <v>1578</v>
      </c>
      <c r="C124" s="138" t="s">
        <v>511</v>
      </c>
      <c r="D124" s="147">
        <v>0</v>
      </c>
      <c r="E124" s="147">
        <v>0</v>
      </c>
      <c r="F124" s="147">
        <v>0</v>
      </c>
      <c r="G124" s="147">
        <v>0</v>
      </c>
      <c r="H124" s="150">
        <v>0</v>
      </c>
      <c r="I124" s="567">
        <f>SUM(G124+H124)</f>
        <v>0</v>
      </c>
      <c r="J124" s="434"/>
    </row>
    <row r="125" spans="1:10" ht="10.5" customHeight="1" x14ac:dyDescent="0.15">
      <c r="A125" s="512"/>
      <c r="B125" s="521" t="s">
        <v>1579</v>
      </c>
      <c r="C125" s="138" t="s">
        <v>118</v>
      </c>
      <c r="D125" s="147">
        <v>0</v>
      </c>
      <c r="E125" s="147">
        <v>0</v>
      </c>
      <c r="F125" s="147">
        <v>0</v>
      </c>
      <c r="G125" s="147">
        <v>0</v>
      </c>
      <c r="H125" s="291">
        <v>0</v>
      </c>
      <c r="I125" s="579">
        <f t="shared" ref="I125:I148" si="3">SUM(G125+H125)</f>
        <v>0</v>
      </c>
    </row>
    <row r="126" spans="1:10" ht="10.5" customHeight="1" x14ac:dyDescent="0.15">
      <c r="A126" s="512"/>
      <c r="B126" s="521" t="s">
        <v>1580</v>
      </c>
      <c r="C126" s="138" t="s">
        <v>119</v>
      </c>
      <c r="D126" s="147">
        <v>0</v>
      </c>
      <c r="E126" s="147">
        <v>0</v>
      </c>
      <c r="F126" s="147">
        <v>0</v>
      </c>
      <c r="G126" s="147">
        <v>0</v>
      </c>
      <c r="H126" s="291">
        <v>0</v>
      </c>
      <c r="I126" s="579">
        <f t="shared" si="3"/>
        <v>0</v>
      </c>
    </row>
    <row r="127" spans="1:10" ht="10.5" customHeight="1" x14ac:dyDescent="0.15">
      <c r="A127" s="512"/>
      <c r="B127" s="521" t="s">
        <v>120</v>
      </c>
      <c r="C127" s="138" t="s">
        <v>121</v>
      </c>
      <c r="D127" s="147">
        <v>0</v>
      </c>
      <c r="E127" s="147">
        <v>0</v>
      </c>
      <c r="F127" s="147">
        <v>0</v>
      </c>
      <c r="G127" s="147">
        <v>0</v>
      </c>
      <c r="H127" s="291">
        <v>0</v>
      </c>
      <c r="I127" s="579">
        <f t="shared" si="3"/>
        <v>0</v>
      </c>
    </row>
    <row r="128" spans="1:10" ht="10.5" customHeight="1" x14ac:dyDescent="0.15">
      <c r="A128" s="512"/>
      <c r="B128" s="521" t="s">
        <v>122</v>
      </c>
      <c r="C128" s="138" t="s">
        <v>123</v>
      </c>
      <c r="D128" s="147">
        <v>0</v>
      </c>
      <c r="E128" s="147">
        <v>0</v>
      </c>
      <c r="F128" s="147">
        <v>0</v>
      </c>
      <c r="G128" s="147">
        <v>0</v>
      </c>
      <c r="H128" s="291">
        <v>0</v>
      </c>
      <c r="I128" s="579">
        <f t="shared" si="3"/>
        <v>0</v>
      </c>
    </row>
    <row r="129" spans="1:9" ht="10.5" customHeight="1" x14ac:dyDescent="0.15">
      <c r="A129" s="512"/>
      <c r="B129" s="521" t="s">
        <v>1581</v>
      </c>
      <c r="C129" s="138" t="s">
        <v>124</v>
      </c>
      <c r="D129" s="147">
        <v>0</v>
      </c>
      <c r="E129" s="147">
        <v>0</v>
      </c>
      <c r="F129" s="147">
        <v>0</v>
      </c>
      <c r="G129" s="147">
        <v>0</v>
      </c>
      <c r="H129" s="291">
        <v>0</v>
      </c>
      <c r="I129" s="579">
        <f t="shared" si="3"/>
        <v>0</v>
      </c>
    </row>
    <row r="130" spans="1:9" ht="10.5" customHeight="1" x14ac:dyDescent="0.15">
      <c r="A130" s="512"/>
      <c r="B130" s="521" t="s">
        <v>1624</v>
      </c>
      <c r="C130" s="138" t="s">
        <v>840</v>
      </c>
      <c r="D130" s="147">
        <v>0</v>
      </c>
      <c r="E130" s="147">
        <v>0</v>
      </c>
      <c r="F130" s="147">
        <v>0</v>
      </c>
      <c r="G130" s="147">
        <v>0</v>
      </c>
      <c r="H130" s="291">
        <v>0</v>
      </c>
      <c r="I130" s="579">
        <f t="shared" si="3"/>
        <v>0</v>
      </c>
    </row>
    <row r="131" spans="1:9" ht="10.5" customHeight="1" x14ac:dyDescent="0.15">
      <c r="A131" s="512"/>
      <c r="B131" s="521" t="s">
        <v>1625</v>
      </c>
      <c r="C131" s="138" t="s">
        <v>842</v>
      </c>
      <c r="D131" s="147">
        <v>0</v>
      </c>
      <c r="E131" s="147">
        <v>0</v>
      </c>
      <c r="F131" s="147">
        <v>0</v>
      </c>
      <c r="G131" s="147">
        <v>0</v>
      </c>
      <c r="H131" s="291">
        <v>0</v>
      </c>
      <c r="I131" s="579">
        <f t="shared" si="3"/>
        <v>0</v>
      </c>
    </row>
    <row r="132" spans="1:9" ht="10.5" customHeight="1" x14ac:dyDescent="0.15">
      <c r="A132" s="512"/>
      <c r="B132" s="521" t="s">
        <v>843</v>
      </c>
      <c r="C132" s="138" t="s">
        <v>848</v>
      </c>
      <c r="D132" s="147">
        <v>0</v>
      </c>
      <c r="E132" s="147">
        <v>0</v>
      </c>
      <c r="F132" s="147">
        <v>0</v>
      </c>
      <c r="G132" s="147">
        <v>0</v>
      </c>
      <c r="H132" s="291">
        <v>0</v>
      </c>
      <c r="I132" s="579">
        <f t="shared" si="3"/>
        <v>0</v>
      </c>
    </row>
    <row r="133" spans="1:9" ht="10.5" customHeight="1" x14ac:dyDescent="0.15">
      <c r="A133" s="512"/>
      <c r="B133" s="521" t="s">
        <v>844</v>
      </c>
      <c r="C133" s="138" t="s">
        <v>186</v>
      </c>
      <c r="D133" s="147">
        <v>0</v>
      </c>
      <c r="E133" s="147">
        <v>0</v>
      </c>
      <c r="F133" s="147">
        <v>0</v>
      </c>
      <c r="G133" s="147">
        <v>0</v>
      </c>
      <c r="H133" s="291">
        <v>0</v>
      </c>
      <c r="I133" s="579">
        <f t="shared" si="3"/>
        <v>0</v>
      </c>
    </row>
    <row r="134" spans="1:9" ht="10.5" customHeight="1" x14ac:dyDescent="0.15">
      <c r="A134" s="512"/>
      <c r="B134" s="521" t="s">
        <v>845</v>
      </c>
      <c r="C134" s="138" t="s">
        <v>154</v>
      </c>
      <c r="D134" s="147">
        <v>0</v>
      </c>
      <c r="E134" s="147">
        <v>0</v>
      </c>
      <c r="F134" s="147">
        <v>0</v>
      </c>
      <c r="G134" s="147">
        <v>0</v>
      </c>
      <c r="H134" s="291">
        <v>0</v>
      </c>
      <c r="I134" s="579">
        <f t="shared" si="3"/>
        <v>0</v>
      </c>
    </row>
    <row r="135" spans="1:9" ht="10.5" customHeight="1" x14ac:dyDescent="0.15">
      <c r="A135" s="512"/>
      <c r="B135" s="521" t="s">
        <v>846</v>
      </c>
      <c r="C135" s="138" t="s">
        <v>155</v>
      </c>
      <c r="D135" s="147">
        <v>0</v>
      </c>
      <c r="E135" s="147">
        <v>0</v>
      </c>
      <c r="F135" s="147">
        <v>0</v>
      </c>
      <c r="G135" s="147">
        <v>0</v>
      </c>
      <c r="H135" s="291">
        <v>0</v>
      </c>
      <c r="I135" s="579">
        <f t="shared" si="3"/>
        <v>0</v>
      </c>
    </row>
    <row r="136" spans="1:9" ht="10.5" customHeight="1" x14ac:dyDescent="0.15">
      <c r="A136" s="512"/>
      <c r="B136" s="521" t="s">
        <v>332</v>
      </c>
      <c r="C136" s="138" t="s">
        <v>463</v>
      </c>
      <c r="D136" s="147">
        <v>0</v>
      </c>
      <c r="E136" s="147">
        <v>0</v>
      </c>
      <c r="F136" s="147">
        <v>0</v>
      </c>
      <c r="G136" s="147">
        <v>0</v>
      </c>
      <c r="H136" s="291">
        <v>0</v>
      </c>
      <c r="I136" s="579">
        <f t="shared" si="3"/>
        <v>0</v>
      </c>
    </row>
    <row r="137" spans="1:9" ht="10.5" customHeight="1" x14ac:dyDescent="0.15">
      <c r="A137" s="512"/>
      <c r="B137" s="521" t="s">
        <v>1582</v>
      </c>
      <c r="C137" s="138" t="s">
        <v>156</v>
      </c>
      <c r="D137" s="147">
        <v>0</v>
      </c>
      <c r="E137" s="147">
        <v>0</v>
      </c>
      <c r="F137" s="147">
        <v>0</v>
      </c>
      <c r="G137" s="147">
        <v>0</v>
      </c>
      <c r="H137" s="291">
        <v>0</v>
      </c>
      <c r="I137" s="579">
        <f t="shared" si="3"/>
        <v>0</v>
      </c>
    </row>
    <row r="138" spans="1:9" ht="10.5" customHeight="1" x14ac:dyDescent="0.15">
      <c r="A138" s="512"/>
      <c r="B138" s="521" t="s">
        <v>847</v>
      </c>
      <c r="C138" s="138" t="s">
        <v>157</v>
      </c>
      <c r="D138" s="147">
        <v>0</v>
      </c>
      <c r="E138" s="147">
        <v>0</v>
      </c>
      <c r="F138" s="147">
        <v>0</v>
      </c>
      <c r="G138" s="147">
        <v>0</v>
      </c>
      <c r="H138" s="291">
        <v>0</v>
      </c>
      <c r="I138" s="579">
        <f t="shared" si="3"/>
        <v>0</v>
      </c>
    </row>
    <row r="139" spans="1:9" ht="10.5" customHeight="1" x14ac:dyDescent="0.15">
      <c r="A139" s="512"/>
      <c r="B139" s="521" t="s">
        <v>1583</v>
      </c>
      <c r="C139" s="138" t="s">
        <v>160</v>
      </c>
      <c r="D139" s="147">
        <v>0</v>
      </c>
      <c r="E139" s="147">
        <v>0</v>
      </c>
      <c r="F139" s="147">
        <v>0</v>
      </c>
      <c r="G139" s="147">
        <v>0</v>
      </c>
      <c r="H139" s="291">
        <v>0</v>
      </c>
      <c r="I139" s="579">
        <f t="shared" si="3"/>
        <v>0</v>
      </c>
    </row>
    <row r="140" spans="1:9" ht="10.5" customHeight="1" x14ac:dyDescent="0.15">
      <c r="A140" s="512"/>
      <c r="B140" s="521" t="s">
        <v>634</v>
      </c>
      <c r="C140" s="138" t="s">
        <v>165</v>
      </c>
      <c r="D140" s="147">
        <v>0</v>
      </c>
      <c r="E140" s="147">
        <v>0</v>
      </c>
      <c r="F140" s="147">
        <v>0</v>
      </c>
      <c r="G140" s="147">
        <v>0</v>
      </c>
      <c r="H140" s="291">
        <v>0</v>
      </c>
      <c r="I140" s="579">
        <f t="shared" si="3"/>
        <v>0</v>
      </c>
    </row>
    <row r="141" spans="1:9" ht="10.5" customHeight="1" x14ac:dyDescent="0.15">
      <c r="A141" s="512"/>
      <c r="B141" s="521" t="s">
        <v>630</v>
      </c>
      <c r="C141" s="138" t="s">
        <v>172</v>
      </c>
      <c r="D141" s="147">
        <v>0</v>
      </c>
      <c r="E141" s="147">
        <v>0</v>
      </c>
      <c r="F141" s="147">
        <v>0</v>
      </c>
      <c r="G141" s="147">
        <v>0</v>
      </c>
      <c r="H141" s="291">
        <v>0</v>
      </c>
      <c r="I141" s="579">
        <f t="shared" si="3"/>
        <v>0</v>
      </c>
    </row>
    <row r="142" spans="1:9" ht="10.5" customHeight="1" x14ac:dyDescent="0.15">
      <c r="A142" s="512"/>
      <c r="B142" s="650" t="s">
        <v>631</v>
      </c>
      <c r="C142" s="651" t="s">
        <v>173</v>
      </c>
      <c r="D142" s="147">
        <v>0</v>
      </c>
      <c r="E142" s="147">
        <v>0</v>
      </c>
      <c r="F142" s="147">
        <v>0</v>
      </c>
      <c r="G142" s="147">
        <v>0</v>
      </c>
      <c r="H142" s="291">
        <v>0</v>
      </c>
      <c r="I142" s="579">
        <f t="shared" si="3"/>
        <v>0</v>
      </c>
    </row>
    <row r="143" spans="1:9" ht="10.5" customHeight="1" x14ac:dyDescent="0.15">
      <c r="A143" s="512"/>
      <c r="B143" s="521" t="s">
        <v>1584</v>
      </c>
      <c r="C143" s="138" t="s">
        <v>178</v>
      </c>
      <c r="D143" s="147">
        <v>0</v>
      </c>
      <c r="E143" s="147">
        <v>0</v>
      </c>
      <c r="F143" s="147">
        <v>0</v>
      </c>
      <c r="G143" s="147">
        <v>0</v>
      </c>
      <c r="H143" s="291">
        <v>0</v>
      </c>
      <c r="I143" s="579">
        <f t="shared" si="3"/>
        <v>0</v>
      </c>
    </row>
    <row r="144" spans="1:9" ht="10.5" customHeight="1" x14ac:dyDescent="0.15">
      <c r="A144" s="512"/>
      <c r="B144" s="521" t="s">
        <v>174</v>
      </c>
      <c r="C144" s="138" t="s">
        <v>179</v>
      </c>
      <c r="D144" s="147">
        <v>0</v>
      </c>
      <c r="E144" s="147">
        <v>0</v>
      </c>
      <c r="F144" s="147">
        <v>0</v>
      </c>
      <c r="G144" s="147">
        <v>0</v>
      </c>
      <c r="H144" s="291">
        <v>0</v>
      </c>
      <c r="I144" s="579">
        <f t="shared" si="3"/>
        <v>0</v>
      </c>
    </row>
    <row r="145" spans="1:10" ht="10.5" customHeight="1" x14ac:dyDescent="0.15">
      <c r="A145" s="512"/>
      <c r="B145" s="521" t="s">
        <v>175</v>
      </c>
      <c r="C145" s="138" t="s">
        <v>180</v>
      </c>
      <c r="D145" s="147">
        <v>0</v>
      </c>
      <c r="E145" s="147">
        <v>0</v>
      </c>
      <c r="F145" s="147">
        <v>0</v>
      </c>
      <c r="G145" s="147">
        <v>0</v>
      </c>
      <c r="H145" s="291">
        <v>0</v>
      </c>
      <c r="I145" s="579">
        <f t="shared" si="3"/>
        <v>0</v>
      </c>
    </row>
    <row r="146" spans="1:10" ht="10.5" customHeight="1" x14ac:dyDescent="0.15">
      <c r="A146" s="512"/>
      <c r="B146" s="521" t="s">
        <v>176</v>
      </c>
      <c r="C146" s="138" t="s">
        <v>181</v>
      </c>
      <c r="D146" s="147">
        <v>0</v>
      </c>
      <c r="E146" s="147">
        <v>0</v>
      </c>
      <c r="F146" s="147">
        <v>0</v>
      </c>
      <c r="G146" s="147">
        <v>0</v>
      </c>
      <c r="H146" s="291">
        <v>0</v>
      </c>
      <c r="I146" s="579">
        <f t="shared" si="3"/>
        <v>0</v>
      </c>
    </row>
    <row r="147" spans="1:10" ht="10.5" customHeight="1" x14ac:dyDescent="0.15">
      <c r="A147" s="512"/>
      <c r="B147" s="521" t="s">
        <v>177</v>
      </c>
      <c r="C147" s="138" t="s">
        <v>182</v>
      </c>
      <c r="D147" s="147">
        <v>0</v>
      </c>
      <c r="E147" s="147">
        <v>0</v>
      </c>
      <c r="F147" s="147">
        <v>0</v>
      </c>
      <c r="G147" s="147">
        <v>0</v>
      </c>
      <c r="H147" s="291">
        <v>0</v>
      </c>
      <c r="I147" s="579">
        <f t="shared" si="3"/>
        <v>0</v>
      </c>
    </row>
    <row r="148" spans="1:10" ht="10.5" customHeight="1" thickBot="1" x14ac:dyDescent="0.2">
      <c r="A148" s="512"/>
      <c r="B148" s="521" t="s">
        <v>632</v>
      </c>
      <c r="C148" s="138" t="s">
        <v>183</v>
      </c>
      <c r="D148" s="144">
        <v>0</v>
      </c>
      <c r="E148" s="144">
        <v>0</v>
      </c>
      <c r="F148" s="144">
        <v>0</v>
      </c>
      <c r="G148" s="144">
        <v>0</v>
      </c>
      <c r="H148" s="291">
        <v>0</v>
      </c>
      <c r="I148" s="579">
        <f t="shared" si="3"/>
        <v>0</v>
      </c>
    </row>
    <row r="149" spans="1:10" ht="10.5" customHeight="1" thickTop="1" thickBot="1" x14ac:dyDescent="0.2">
      <c r="A149" s="512"/>
      <c r="B149" s="521"/>
      <c r="C149" s="138" t="s">
        <v>646</v>
      </c>
      <c r="D149" s="169">
        <f>SUM(D121:D148)</f>
        <v>0</v>
      </c>
      <c r="E149" s="169">
        <f>SUM(E121:E148)</f>
        <v>0</v>
      </c>
      <c r="F149" s="169">
        <f>SUM(F121:F148)</f>
        <v>0</v>
      </c>
      <c r="G149" s="169">
        <f>SUM(G121:G148)</f>
        <v>0</v>
      </c>
      <c r="H149" s="169">
        <f>SUM(H121:H148)</f>
        <v>0</v>
      </c>
      <c r="I149" s="169">
        <f>SUM(G149+H149)</f>
        <v>0</v>
      </c>
    </row>
    <row r="150" spans="1:10" ht="10.5" customHeight="1" thickTop="1" x14ac:dyDescent="0.15">
      <c r="A150" s="512"/>
      <c r="B150" s="521"/>
      <c r="C150" s="138"/>
      <c r="D150" s="14"/>
      <c r="E150" s="14"/>
      <c r="F150" s="14"/>
      <c r="G150" s="14"/>
      <c r="H150" s="14"/>
      <c r="I150" s="563"/>
    </row>
    <row r="151" spans="1:10" ht="10.5" customHeight="1" x14ac:dyDescent="0.15">
      <c r="A151" s="512" t="s">
        <v>621</v>
      </c>
      <c r="C151" s="138"/>
      <c r="D151" s="14"/>
      <c r="E151" s="14"/>
      <c r="F151" s="14"/>
      <c r="G151" s="14"/>
      <c r="H151" s="14"/>
      <c r="I151" s="563"/>
    </row>
    <row r="152" spans="1:10" s="434" customFormat="1" x14ac:dyDescent="0.15">
      <c r="B152" s="523" t="s">
        <v>1577</v>
      </c>
      <c r="C152" s="524" t="s">
        <v>228</v>
      </c>
      <c r="D152" s="316">
        <v>0</v>
      </c>
      <c r="E152" s="316">
        <v>0</v>
      </c>
      <c r="F152" s="316">
        <v>0</v>
      </c>
      <c r="G152" s="528">
        <f t="array" ref="G152">SUM(IF(CertFund&amp;CertProg&amp;CertObj=RIGHT(LEFT($A$2,7),2)&amp;LEFT(A151,4)&amp;B152,CertSalary))</f>
        <v>0</v>
      </c>
      <c r="H152" s="527">
        <v>0</v>
      </c>
      <c r="I152" s="566">
        <f>SUM(G152+H152)</f>
        <v>0</v>
      </c>
    </row>
    <row r="153" spans="1:10" s="434" customFormat="1" x14ac:dyDescent="0.15">
      <c r="B153" s="523" t="s">
        <v>1577</v>
      </c>
      <c r="C153" s="524" t="s">
        <v>510</v>
      </c>
      <c r="D153" s="316">
        <v>0</v>
      </c>
      <c r="E153" s="316">
        <v>0</v>
      </c>
      <c r="F153" s="316">
        <v>0</v>
      </c>
      <c r="G153" s="316">
        <v>0</v>
      </c>
      <c r="H153" s="527">
        <v>0</v>
      </c>
      <c r="I153" s="566">
        <f>SUM(G153+H153)</f>
        <v>0</v>
      </c>
    </row>
    <row r="154" spans="1:10" s="434" customFormat="1" x14ac:dyDescent="0.15">
      <c r="A154" s="524"/>
      <c r="B154" s="523" t="s">
        <v>1578</v>
      </c>
      <c r="C154" s="524" t="s">
        <v>936</v>
      </c>
      <c r="D154" s="316">
        <v>0</v>
      </c>
      <c r="E154" s="316">
        <v>0</v>
      </c>
      <c r="F154" s="316">
        <v>0</v>
      </c>
      <c r="G154" s="529">
        <f t="array" ref="G154">SUM(IF(CertFund&amp;CertProg&amp;CertObj=RIGHT(LEFT($A$2,7),2)&amp;LEFT(A151,4)&amp;B152,CertBen))</f>
        <v>0</v>
      </c>
      <c r="H154" s="527">
        <v>0</v>
      </c>
      <c r="I154" s="566">
        <f>SUM(G154+H154)</f>
        <v>0</v>
      </c>
    </row>
    <row r="155" spans="1:10" x14ac:dyDescent="0.15">
      <c r="A155" s="138"/>
      <c r="B155" s="521" t="s">
        <v>1578</v>
      </c>
      <c r="C155" s="138" t="s">
        <v>511</v>
      </c>
      <c r="D155" s="147">
        <v>0</v>
      </c>
      <c r="E155" s="147">
        <v>0</v>
      </c>
      <c r="F155" s="147">
        <v>0</v>
      </c>
      <c r="G155" s="147">
        <v>0</v>
      </c>
      <c r="H155" s="150">
        <v>0</v>
      </c>
      <c r="I155" s="567">
        <f>SUM(G155+H155)</f>
        <v>0</v>
      </c>
      <c r="J155" s="434"/>
    </row>
    <row r="156" spans="1:10" ht="10.5" customHeight="1" x14ac:dyDescent="0.15">
      <c r="A156" s="512"/>
      <c r="B156" s="521" t="s">
        <v>1579</v>
      </c>
      <c r="C156" s="138" t="s">
        <v>118</v>
      </c>
      <c r="D156" s="147">
        <v>0</v>
      </c>
      <c r="E156" s="147">
        <v>0</v>
      </c>
      <c r="F156" s="147">
        <v>0</v>
      </c>
      <c r="G156" s="291">
        <v>0</v>
      </c>
      <c r="H156" s="291">
        <v>0</v>
      </c>
      <c r="I156" s="579">
        <f t="shared" ref="I156:I185" si="4">SUM(G156+H156)</f>
        <v>0</v>
      </c>
    </row>
    <row r="157" spans="1:10" ht="10.5" customHeight="1" x14ac:dyDescent="0.15">
      <c r="A157" s="512"/>
      <c r="B157" s="521" t="s">
        <v>1580</v>
      </c>
      <c r="C157" s="138" t="s">
        <v>119</v>
      </c>
      <c r="D157" s="147">
        <v>0</v>
      </c>
      <c r="E157" s="147">
        <v>0</v>
      </c>
      <c r="F157" s="147">
        <v>0</v>
      </c>
      <c r="G157" s="291">
        <v>0</v>
      </c>
      <c r="H157" s="291">
        <v>0</v>
      </c>
      <c r="I157" s="579">
        <f t="shared" si="4"/>
        <v>0</v>
      </c>
    </row>
    <row r="158" spans="1:10" ht="10.5" customHeight="1" x14ac:dyDescent="0.15">
      <c r="A158" s="512"/>
      <c r="B158" s="521" t="s">
        <v>120</v>
      </c>
      <c r="C158" s="138" t="s">
        <v>121</v>
      </c>
      <c r="D158" s="147">
        <v>0</v>
      </c>
      <c r="E158" s="147">
        <v>0</v>
      </c>
      <c r="F158" s="147">
        <v>0</v>
      </c>
      <c r="G158" s="147">
        <v>0</v>
      </c>
      <c r="H158" s="291">
        <v>0</v>
      </c>
      <c r="I158" s="579">
        <f t="shared" si="4"/>
        <v>0</v>
      </c>
    </row>
    <row r="159" spans="1:10" ht="10.5" customHeight="1" x14ac:dyDescent="0.15">
      <c r="A159" s="512"/>
      <c r="B159" s="521" t="s">
        <v>122</v>
      </c>
      <c r="C159" s="138" t="s">
        <v>123</v>
      </c>
      <c r="D159" s="147">
        <v>0</v>
      </c>
      <c r="E159" s="147">
        <v>0</v>
      </c>
      <c r="F159" s="147">
        <v>0</v>
      </c>
      <c r="G159" s="147">
        <v>0</v>
      </c>
      <c r="H159" s="291">
        <v>0</v>
      </c>
      <c r="I159" s="579">
        <f t="shared" si="4"/>
        <v>0</v>
      </c>
    </row>
    <row r="160" spans="1:10" ht="10.5" customHeight="1" x14ac:dyDescent="0.15">
      <c r="A160" s="512"/>
      <c r="B160" s="521" t="s">
        <v>1581</v>
      </c>
      <c r="C160" s="138" t="s">
        <v>124</v>
      </c>
      <c r="D160" s="147">
        <v>0</v>
      </c>
      <c r="E160" s="147">
        <v>0</v>
      </c>
      <c r="F160" s="147">
        <v>0</v>
      </c>
      <c r="G160" s="147">
        <v>0</v>
      </c>
      <c r="H160" s="291">
        <v>0</v>
      </c>
      <c r="I160" s="579">
        <f t="shared" si="4"/>
        <v>0</v>
      </c>
    </row>
    <row r="161" spans="1:9" ht="10.5" customHeight="1" x14ac:dyDescent="0.15">
      <c r="A161" s="512"/>
      <c r="B161" s="521" t="s">
        <v>125</v>
      </c>
      <c r="C161" s="138" t="s">
        <v>133</v>
      </c>
      <c r="D161" s="147">
        <v>0</v>
      </c>
      <c r="E161" s="147">
        <v>0</v>
      </c>
      <c r="F161" s="147">
        <v>0</v>
      </c>
      <c r="G161" s="147">
        <v>0</v>
      </c>
      <c r="H161" s="291">
        <v>0</v>
      </c>
      <c r="I161" s="579">
        <f t="shared" si="4"/>
        <v>0</v>
      </c>
    </row>
    <row r="162" spans="1:9" ht="10.5" customHeight="1" x14ac:dyDescent="0.15">
      <c r="A162" s="512"/>
      <c r="B162" s="521" t="s">
        <v>126</v>
      </c>
      <c r="C162" s="138" t="s">
        <v>187</v>
      </c>
      <c r="D162" s="147">
        <v>0</v>
      </c>
      <c r="E162" s="147">
        <v>0</v>
      </c>
      <c r="F162" s="147">
        <v>0</v>
      </c>
      <c r="G162" s="147">
        <v>0</v>
      </c>
      <c r="H162" s="291">
        <v>0</v>
      </c>
      <c r="I162" s="579">
        <f t="shared" si="4"/>
        <v>0</v>
      </c>
    </row>
    <row r="163" spans="1:9" ht="10.5" customHeight="1" x14ac:dyDescent="0.15">
      <c r="A163" s="512"/>
      <c r="B163" s="521" t="s">
        <v>127</v>
      </c>
      <c r="C163" s="138" t="s">
        <v>134</v>
      </c>
      <c r="D163" s="147">
        <v>0</v>
      </c>
      <c r="E163" s="147">
        <v>0</v>
      </c>
      <c r="F163" s="147">
        <v>0</v>
      </c>
      <c r="G163" s="147">
        <v>0</v>
      </c>
      <c r="H163" s="291">
        <v>0</v>
      </c>
      <c r="I163" s="579">
        <f t="shared" si="4"/>
        <v>0</v>
      </c>
    </row>
    <row r="164" spans="1:9" ht="10.5" customHeight="1" x14ac:dyDescent="0.15">
      <c r="A164" s="512"/>
      <c r="B164" s="521" t="s">
        <v>128</v>
      </c>
      <c r="C164" s="138" t="s">
        <v>135</v>
      </c>
      <c r="D164" s="147">
        <v>0</v>
      </c>
      <c r="E164" s="147">
        <v>0</v>
      </c>
      <c r="F164" s="147">
        <v>0</v>
      </c>
      <c r="G164" s="147">
        <v>0</v>
      </c>
      <c r="H164" s="291">
        <v>0</v>
      </c>
      <c r="I164" s="579">
        <f t="shared" si="4"/>
        <v>0</v>
      </c>
    </row>
    <row r="165" spans="1:9" ht="10.5" customHeight="1" x14ac:dyDescent="0.15">
      <c r="A165" s="512"/>
      <c r="B165" s="521" t="s">
        <v>129</v>
      </c>
      <c r="C165" s="138" t="s">
        <v>136</v>
      </c>
      <c r="D165" s="147">
        <v>0</v>
      </c>
      <c r="E165" s="147">
        <v>0</v>
      </c>
      <c r="F165" s="147">
        <v>0</v>
      </c>
      <c r="G165" s="147">
        <v>0</v>
      </c>
      <c r="H165" s="291">
        <v>0</v>
      </c>
      <c r="I165" s="579">
        <f t="shared" si="4"/>
        <v>0</v>
      </c>
    </row>
    <row r="166" spans="1:9" ht="10.5" customHeight="1" x14ac:dyDescent="0.15">
      <c r="A166" s="512"/>
      <c r="B166" s="521" t="s">
        <v>130</v>
      </c>
      <c r="C166" s="138" t="s">
        <v>188</v>
      </c>
      <c r="D166" s="147">
        <v>0</v>
      </c>
      <c r="E166" s="147">
        <v>0</v>
      </c>
      <c r="F166" s="147">
        <v>0</v>
      </c>
      <c r="G166" s="147">
        <v>0</v>
      </c>
      <c r="H166" s="291">
        <v>0</v>
      </c>
      <c r="I166" s="579">
        <f t="shared" si="4"/>
        <v>0</v>
      </c>
    </row>
    <row r="167" spans="1:9" ht="10.5" customHeight="1" x14ac:dyDescent="0.15">
      <c r="A167" s="512"/>
      <c r="B167" s="521" t="s">
        <v>131</v>
      </c>
      <c r="C167" s="138" t="s">
        <v>137</v>
      </c>
      <c r="D167" s="147">
        <v>0</v>
      </c>
      <c r="E167" s="147">
        <v>0</v>
      </c>
      <c r="F167" s="147">
        <v>0</v>
      </c>
      <c r="G167" s="147">
        <v>0</v>
      </c>
      <c r="H167" s="291">
        <v>0</v>
      </c>
      <c r="I167" s="579">
        <f t="shared" si="4"/>
        <v>0</v>
      </c>
    </row>
    <row r="168" spans="1:9" ht="10.5" customHeight="1" x14ac:dyDescent="0.15">
      <c r="A168" s="512"/>
      <c r="B168" s="521" t="s">
        <v>132</v>
      </c>
      <c r="C168" s="138" t="s">
        <v>1617</v>
      </c>
      <c r="D168" s="147">
        <v>0</v>
      </c>
      <c r="E168" s="147">
        <v>0</v>
      </c>
      <c r="F168" s="147">
        <v>0</v>
      </c>
      <c r="G168" s="147">
        <v>0</v>
      </c>
      <c r="H168" s="291">
        <v>0</v>
      </c>
      <c r="I168" s="579">
        <f t="shared" si="4"/>
        <v>0</v>
      </c>
    </row>
    <row r="169" spans="1:9" ht="10.5" customHeight="1" x14ac:dyDescent="0.15">
      <c r="A169" s="512"/>
      <c r="B169" s="521" t="s">
        <v>1624</v>
      </c>
      <c r="C169" s="138" t="s">
        <v>840</v>
      </c>
      <c r="D169" s="147">
        <v>0</v>
      </c>
      <c r="E169" s="147">
        <v>0</v>
      </c>
      <c r="F169" s="147">
        <v>0</v>
      </c>
      <c r="G169" s="147">
        <v>0</v>
      </c>
      <c r="H169" s="291">
        <v>0</v>
      </c>
      <c r="I169" s="579">
        <f t="shared" si="4"/>
        <v>0</v>
      </c>
    </row>
    <row r="170" spans="1:9" ht="10.5" customHeight="1" x14ac:dyDescent="0.15">
      <c r="A170" s="512"/>
      <c r="B170" s="521" t="s">
        <v>1625</v>
      </c>
      <c r="C170" s="138" t="s">
        <v>842</v>
      </c>
      <c r="D170" s="147">
        <v>0</v>
      </c>
      <c r="E170" s="147">
        <v>0</v>
      </c>
      <c r="F170" s="147">
        <v>0</v>
      </c>
      <c r="G170" s="147">
        <v>0</v>
      </c>
      <c r="H170" s="291">
        <v>0</v>
      </c>
      <c r="I170" s="579">
        <f t="shared" si="4"/>
        <v>0</v>
      </c>
    </row>
    <row r="171" spans="1:9" ht="10.5" customHeight="1" x14ac:dyDescent="0.15">
      <c r="A171" s="512"/>
      <c r="B171" s="521" t="s">
        <v>843</v>
      </c>
      <c r="C171" s="138" t="s">
        <v>848</v>
      </c>
      <c r="D171" s="147">
        <v>0</v>
      </c>
      <c r="E171" s="147">
        <v>0</v>
      </c>
      <c r="F171" s="147">
        <v>0</v>
      </c>
      <c r="G171" s="147">
        <v>0</v>
      </c>
      <c r="H171" s="291">
        <v>0</v>
      </c>
      <c r="I171" s="579">
        <f t="shared" si="4"/>
        <v>0</v>
      </c>
    </row>
    <row r="172" spans="1:9" ht="10.5" customHeight="1" x14ac:dyDescent="0.15">
      <c r="A172" s="512"/>
      <c r="B172" s="521" t="s">
        <v>844</v>
      </c>
      <c r="C172" s="138" t="s">
        <v>186</v>
      </c>
      <c r="D172" s="147">
        <v>0</v>
      </c>
      <c r="E172" s="147">
        <v>0</v>
      </c>
      <c r="F172" s="147">
        <v>0</v>
      </c>
      <c r="G172" s="147">
        <v>0</v>
      </c>
      <c r="H172" s="291">
        <v>0</v>
      </c>
      <c r="I172" s="579">
        <f t="shared" si="4"/>
        <v>0</v>
      </c>
    </row>
    <row r="173" spans="1:9" ht="10.5" customHeight="1" x14ac:dyDescent="0.15">
      <c r="A173" s="512"/>
      <c r="B173" s="521" t="s">
        <v>845</v>
      </c>
      <c r="C173" s="138" t="s">
        <v>154</v>
      </c>
      <c r="D173" s="147">
        <v>0</v>
      </c>
      <c r="E173" s="147">
        <v>0</v>
      </c>
      <c r="F173" s="147">
        <v>0</v>
      </c>
      <c r="G173" s="147">
        <v>0</v>
      </c>
      <c r="H173" s="291">
        <v>0</v>
      </c>
      <c r="I173" s="579">
        <f t="shared" si="4"/>
        <v>0</v>
      </c>
    </row>
    <row r="174" spans="1:9" ht="10.5" customHeight="1" x14ac:dyDescent="0.15">
      <c r="A174" s="512"/>
      <c r="B174" s="521" t="s">
        <v>846</v>
      </c>
      <c r="C174" s="138" t="s">
        <v>155</v>
      </c>
      <c r="D174" s="147">
        <v>0</v>
      </c>
      <c r="E174" s="147">
        <v>0</v>
      </c>
      <c r="F174" s="147">
        <v>0</v>
      </c>
      <c r="G174" s="147">
        <v>0</v>
      </c>
      <c r="H174" s="291">
        <v>0</v>
      </c>
      <c r="I174" s="579">
        <f t="shared" si="4"/>
        <v>0</v>
      </c>
    </row>
    <row r="175" spans="1:9" ht="10.5" customHeight="1" x14ac:dyDescent="0.15">
      <c r="A175" s="512"/>
      <c r="B175" s="521" t="s">
        <v>1582</v>
      </c>
      <c r="C175" s="138" t="s">
        <v>156</v>
      </c>
      <c r="D175" s="147">
        <v>0</v>
      </c>
      <c r="E175" s="147">
        <v>0</v>
      </c>
      <c r="F175" s="147">
        <v>0</v>
      </c>
      <c r="G175" s="147">
        <v>0</v>
      </c>
      <c r="H175" s="291">
        <v>0</v>
      </c>
      <c r="I175" s="579">
        <f t="shared" si="4"/>
        <v>0</v>
      </c>
    </row>
    <row r="176" spans="1:9" ht="10.5" customHeight="1" x14ac:dyDescent="0.15">
      <c r="A176" s="512"/>
      <c r="B176" s="521" t="s">
        <v>847</v>
      </c>
      <c r="C176" s="138" t="s">
        <v>157</v>
      </c>
      <c r="D176" s="147">
        <v>0</v>
      </c>
      <c r="E176" s="147">
        <v>0</v>
      </c>
      <c r="F176" s="147">
        <v>0</v>
      </c>
      <c r="G176" s="147">
        <v>0</v>
      </c>
      <c r="H176" s="291">
        <v>0</v>
      </c>
      <c r="I176" s="579">
        <f t="shared" si="4"/>
        <v>0</v>
      </c>
    </row>
    <row r="177" spans="1:9" ht="10.5" customHeight="1" x14ac:dyDescent="0.15">
      <c r="A177" s="512"/>
      <c r="B177" s="521" t="s">
        <v>1583</v>
      </c>
      <c r="C177" s="138" t="s">
        <v>160</v>
      </c>
      <c r="D177" s="147">
        <v>0</v>
      </c>
      <c r="E177" s="147">
        <v>0</v>
      </c>
      <c r="F177" s="147">
        <v>0</v>
      </c>
      <c r="G177" s="147">
        <v>0</v>
      </c>
      <c r="H177" s="291">
        <v>0</v>
      </c>
      <c r="I177" s="579">
        <f t="shared" si="4"/>
        <v>0</v>
      </c>
    </row>
    <row r="178" spans="1:9" ht="10.5" customHeight="1" x14ac:dyDescent="0.15">
      <c r="A178" s="512"/>
      <c r="B178" s="521" t="s">
        <v>634</v>
      </c>
      <c r="C178" s="138" t="s">
        <v>165</v>
      </c>
      <c r="D178" s="147">
        <v>0</v>
      </c>
      <c r="E178" s="147">
        <v>0</v>
      </c>
      <c r="F178" s="147">
        <v>0</v>
      </c>
      <c r="G178" s="147">
        <v>0</v>
      </c>
      <c r="H178" s="291">
        <v>0</v>
      </c>
      <c r="I178" s="579">
        <f t="shared" si="4"/>
        <v>0</v>
      </c>
    </row>
    <row r="179" spans="1:9" ht="10.5" customHeight="1" x14ac:dyDescent="0.15">
      <c r="A179" s="512"/>
      <c r="B179" s="521" t="s">
        <v>630</v>
      </c>
      <c r="C179" s="138" t="s">
        <v>172</v>
      </c>
      <c r="D179" s="147">
        <v>0</v>
      </c>
      <c r="E179" s="147">
        <v>0</v>
      </c>
      <c r="F179" s="147">
        <v>0</v>
      </c>
      <c r="G179" s="147">
        <v>0</v>
      </c>
      <c r="H179" s="291">
        <v>0</v>
      </c>
      <c r="I179" s="579">
        <f t="shared" si="4"/>
        <v>0</v>
      </c>
    </row>
    <row r="180" spans="1:9" ht="10.5" customHeight="1" x14ac:dyDescent="0.15">
      <c r="A180" s="512"/>
      <c r="B180" s="650" t="s">
        <v>631</v>
      </c>
      <c r="C180" s="651" t="s">
        <v>173</v>
      </c>
      <c r="D180" s="147">
        <v>0</v>
      </c>
      <c r="E180" s="147">
        <v>0</v>
      </c>
      <c r="F180" s="147">
        <v>0</v>
      </c>
      <c r="G180" s="147">
        <v>0</v>
      </c>
      <c r="H180" s="291">
        <v>0</v>
      </c>
      <c r="I180" s="579">
        <f t="shared" si="4"/>
        <v>0</v>
      </c>
    </row>
    <row r="181" spans="1:9" ht="10.5" customHeight="1" x14ac:dyDescent="0.15">
      <c r="A181" s="512"/>
      <c r="B181" s="521" t="s">
        <v>1584</v>
      </c>
      <c r="C181" s="138" t="s">
        <v>178</v>
      </c>
      <c r="D181" s="147">
        <v>0</v>
      </c>
      <c r="E181" s="147">
        <v>0</v>
      </c>
      <c r="F181" s="147">
        <v>0</v>
      </c>
      <c r="G181" s="147">
        <v>0</v>
      </c>
      <c r="H181" s="291">
        <v>0</v>
      </c>
      <c r="I181" s="579">
        <f t="shared" si="4"/>
        <v>0</v>
      </c>
    </row>
    <row r="182" spans="1:9" ht="10.5" customHeight="1" x14ac:dyDescent="0.15">
      <c r="A182" s="512"/>
      <c r="B182" s="521" t="s">
        <v>174</v>
      </c>
      <c r="C182" s="138" t="s">
        <v>179</v>
      </c>
      <c r="D182" s="147">
        <v>0</v>
      </c>
      <c r="E182" s="147">
        <v>0</v>
      </c>
      <c r="F182" s="147">
        <v>0</v>
      </c>
      <c r="G182" s="147">
        <v>0</v>
      </c>
      <c r="H182" s="291">
        <v>0</v>
      </c>
      <c r="I182" s="579">
        <f t="shared" si="4"/>
        <v>0</v>
      </c>
    </row>
    <row r="183" spans="1:9" ht="10.5" customHeight="1" x14ac:dyDescent="0.15">
      <c r="A183" s="512"/>
      <c r="B183" s="521" t="s">
        <v>175</v>
      </c>
      <c r="C183" s="138" t="s">
        <v>180</v>
      </c>
      <c r="D183" s="147">
        <v>0</v>
      </c>
      <c r="E183" s="147">
        <v>0</v>
      </c>
      <c r="F183" s="147">
        <v>0</v>
      </c>
      <c r="G183" s="147">
        <v>0</v>
      </c>
      <c r="H183" s="291">
        <v>0</v>
      </c>
      <c r="I183" s="579">
        <f t="shared" si="4"/>
        <v>0</v>
      </c>
    </row>
    <row r="184" spans="1:9" ht="10.5" customHeight="1" x14ac:dyDescent="0.15">
      <c r="A184" s="512"/>
      <c r="B184" s="521" t="s">
        <v>176</v>
      </c>
      <c r="C184" s="138" t="s">
        <v>181</v>
      </c>
      <c r="D184" s="147">
        <v>0</v>
      </c>
      <c r="E184" s="147">
        <v>0</v>
      </c>
      <c r="F184" s="147">
        <v>0</v>
      </c>
      <c r="G184" s="147">
        <v>0</v>
      </c>
      <c r="H184" s="291">
        <v>0</v>
      </c>
      <c r="I184" s="579">
        <f t="shared" si="4"/>
        <v>0</v>
      </c>
    </row>
    <row r="185" spans="1:9" ht="10.5" customHeight="1" x14ac:dyDescent="0.15">
      <c r="A185" s="512"/>
      <c r="B185" s="521" t="s">
        <v>177</v>
      </c>
      <c r="C185" s="138" t="s">
        <v>182</v>
      </c>
      <c r="D185" s="147">
        <v>0</v>
      </c>
      <c r="E185" s="147">
        <v>0</v>
      </c>
      <c r="F185" s="147">
        <v>0</v>
      </c>
      <c r="G185" s="147">
        <v>0</v>
      </c>
      <c r="H185" s="291">
        <v>0</v>
      </c>
      <c r="I185" s="579">
        <f t="shared" si="4"/>
        <v>0</v>
      </c>
    </row>
    <row r="186" spans="1:9" ht="10.5" customHeight="1" thickBot="1" x14ac:dyDescent="0.2">
      <c r="A186" s="512"/>
      <c r="B186" s="521" t="s">
        <v>632</v>
      </c>
      <c r="C186" s="138" t="s">
        <v>183</v>
      </c>
      <c r="D186" s="144">
        <v>0</v>
      </c>
      <c r="E186" s="144">
        <v>0</v>
      </c>
      <c r="F186" s="144">
        <v>0</v>
      </c>
      <c r="G186" s="144">
        <v>0</v>
      </c>
      <c r="H186" s="291">
        <v>0</v>
      </c>
      <c r="I186" s="579">
        <f>SUM(G186+H186)</f>
        <v>0</v>
      </c>
    </row>
    <row r="187" spans="1:9" ht="10.5" customHeight="1" thickTop="1" thickBot="1" x14ac:dyDescent="0.2">
      <c r="B187" s="521"/>
      <c r="C187" s="138" t="s">
        <v>622</v>
      </c>
      <c r="D187" s="169">
        <f>SUM(D152:D186)</f>
        <v>0</v>
      </c>
      <c r="E187" s="169">
        <f>SUM(E152:E186)</f>
        <v>0</v>
      </c>
      <c r="F187" s="169">
        <f>SUM(F152:F186)</f>
        <v>0</v>
      </c>
      <c r="G187" s="169">
        <f>SUM(G152:G186)</f>
        <v>0</v>
      </c>
      <c r="H187" s="169">
        <f>SUM(H152:H186)</f>
        <v>0</v>
      </c>
      <c r="I187" s="169">
        <f>SUM(G187+H187)</f>
        <v>0</v>
      </c>
    </row>
    <row r="188" spans="1:9" ht="10.5" customHeight="1" thickTop="1" x14ac:dyDescent="0.15">
      <c r="B188" s="521"/>
      <c r="C188" s="138"/>
      <c r="D188" s="14"/>
      <c r="E188" s="14"/>
      <c r="F188" s="14"/>
      <c r="G188" s="14"/>
      <c r="H188" s="198"/>
      <c r="I188" s="170"/>
    </row>
    <row r="189" spans="1:9" ht="10.5" customHeight="1" x14ac:dyDescent="0.15">
      <c r="A189" s="512" t="s">
        <v>623</v>
      </c>
      <c r="C189" s="138"/>
      <c r="D189" s="14"/>
      <c r="E189" s="14"/>
      <c r="F189" s="14"/>
      <c r="G189" s="14"/>
      <c r="H189" s="198"/>
      <c r="I189" s="170"/>
    </row>
    <row r="190" spans="1:9" s="434" customFormat="1" x14ac:dyDescent="0.15">
      <c r="B190" s="523" t="s">
        <v>1577</v>
      </c>
      <c r="C190" s="524" t="s">
        <v>228</v>
      </c>
      <c r="D190" s="316">
        <v>0</v>
      </c>
      <c r="E190" s="316">
        <v>0</v>
      </c>
      <c r="F190" s="316">
        <v>0</v>
      </c>
      <c r="G190" s="528">
        <f t="array" ref="G190">SUM(IF(CertFund&amp;CertProg&amp;CertObj=RIGHT(LEFT($A$2,7),2)&amp;LEFT(A189,4)&amp;B190,CertSalary))</f>
        <v>0</v>
      </c>
      <c r="H190" s="527">
        <v>0</v>
      </c>
      <c r="I190" s="566">
        <f>SUM(G190+H190)</f>
        <v>0</v>
      </c>
    </row>
    <row r="191" spans="1:9" s="434" customFormat="1" x14ac:dyDescent="0.15">
      <c r="B191" s="523" t="s">
        <v>1577</v>
      </c>
      <c r="C191" s="524" t="s">
        <v>510</v>
      </c>
      <c r="D191" s="316">
        <v>0</v>
      </c>
      <c r="E191" s="316">
        <v>0</v>
      </c>
      <c r="F191" s="316">
        <v>0</v>
      </c>
      <c r="G191" s="316">
        <v>0</v>
      </c>
      <c r="H191" s="527">
        <v>0</v>
      </c>
      <c r="I191" s="566">
        <f>SUM(G191+H191)</f>
        <v>0</v>
      </c>
    </row>
    <row r="192" spans="1:9" s="434" customFormat="1" x14ac:dyDescent="0.15">
      <c r="A192" s="524"/>
      <c r="B192" s="523" t="s">
        <v>1578</v>
      </c>
      <c r="C192" s="524" t="s">
        <v>936</v>
      </c>
      <c r="D192" s="316">
        <v>0</v>
      </c>
      <c r="E192" s="316">
        <v>0</v>
      </c>
      <c r="F192" s="316">
        <v>0</v>
      </c>
      <c r="G192" s="529">
        <f t="array" ref="G192">SUM(IF(CertFund&amp;CertProg&amp;CertObj=RIGHT(LEFT($A$2,7),2)&amp;LEFT(A189,4)&amp;B190,CertBen))</f>
        <v>0</v>
      </c>
      <c r="H192" s="527">
        <v>0</v>
      </c>
      <c r="I192" s="566">
        <f>SUM(G192+H192)</f>
        <v>0</v>
      </c>
    </row>
    <row r="193" spans="1:9" s="434" customFormat="1" x14ac:dyDescent="0.15">
      <c r="A193" s="524"/>
      <c r="B193" s="523" t="s">
        <v>1578</v>
      </c>
      <c r="C193" s="524" t="s">
        <v>511</v>
      </c>
      <c r="D193" s="316">
        <v>0</v>
      </c>
      <c r="E193" s="316">
        <v>0</v>
      </c>
      <c r="F193" s="316">
        <v>0</v>
      </c>
      <c r="G193" s="316">
        <v>0</v>
      </c>
      <c r="H193" s="527">
        <v>0</v>
      </c>
      <c r="I193" s="566">
        <f>SUM(G193+H193)</f>
        <v>0</v>
      </c>
    </row>
    <row r="194" spans="1:9" ht="10.5" customHeight="1" x14ac:dyDescent="0.15">
      <c r="A194" s="512"/>
      <c r="B194" s="521" t="s">
        <v>1579</v>
      </c>
      <c r="C194" s="138" t="s">
        <v>118</v>
      </c>
      <c r="D194" s="147">
        <v>0</v>
      </c>
      <c r="E194" s="147">
        <v>0</v>
      </c>
      <c r="F194" s="147">
        <v>0</v>
      </c>
      <c r="G194" s="147">
        <v>0</v>
      </c>
      <c r="H194" s="291">
        <v>0</v>
      </c>
      <c r="I194" s="579">
        <f t="shared" ref="I194:I217" si="5">SUM(G194+H194)</f>
        <v>0</v>
      </c>
    </row>
    <row r="195" spans="1:9" ht="10.5" customHeight="1" x14ac:dyDescent="0.15">
      <c r="A195" s="512"/>
      <c r="B195" s="521" t="s">
        <v>1580</v>
      </c>
      <c r="C195" s="138" t="s">
        <v>119</v>
      </c>
      <c r="D195" s="147">
        <v>0</v>
      </c>
      <c r="E195" s="147">
        <v>0</v>
      </c>
      <c r="F195" s="147">
        <v>0</v>
      </c>
      <c r="G195" s="147">
        <v>0</v>
      </c>
      <c r="H195" s="291">
        <v>0</v>
      </c>
      <c r="I195" s="579">
        <f t="shared" si="5"/>
        <v>0</v>
      </c>
    </row>
    <row r="196" spans="1:9" ht="10.5" customHeight="1" x14ac:dyDescent="0.15">
      <c r="A196" s="512"/>
      <c r="B196" s="521" t="s">
        <v>120</v>
      </c>
      <c r="C196" s="138" t="s">
        <v>121</v>
      </c>
      <c r="D196" s="147">
        <v>0</v>
      </c>
      <c r="E196" s="147">
        <v>0</v>
      </c>
      <c r="F196" s="147">
        <v>0</v>
      </c>
      <c r="G196" s="147">
        <v>0</v>
      </c>
      <c r="H196" s="291">
        <v>0</v>
      </c>
      <c r="I196" s="579">
        <f t="shared" si="5"/>
        <v>0</v>
      </c>
    </row>
    <row r="197" spans="1:9" ht="10.5" customHeight="1" x14ac:dyDescent="0.15">
      <c r="A197" s="512"/>
      <c r="B197" s="521" t="s">
        <v>122</v>
      </c>
      <c r="C197" s="138" t="s">
        <v>123</v>
      </c>
      <c r="D197" s="147">
        <v>0</v>
      </c>
      <c r="E197" s="147">
        <v>0</v>
      </c>
      <c r="F197" s="147">
        <v>0</v>
      </c>
      <c r="G197" s="147">
        <v>0</v>
      </c>
      <c r="H197" s="291">
        <v>0</v>
      </c>
      <c r="I197" s="579">
        <f t="shared" si="5"/>
        <v>0</v>
      </c>
    </row>
    <row r="198" spans="1:9" ht="10.5" customHeight="1" x14ac:dyDescent="0.15">
      <c r="A198" s="512"/>
      <c r="B198" s="521" t="s">
        <v>1581</v>
      </c>
      <c r="C198" s="138" t="s">
        <v>124</v>
      </c>
      <c r="D198" s="147">
        <v>0</v>
      </c>
      <c r="E198" s="147">
        <v>0</v>
      </c>
      <c r="F198" s="147">
        <v>0</v>
      </c>
      <c r="G198" s="147">
        <v>0</v>
      </c>
      <c r="H198" s="291">
        <v>0</v>
      </c>
      <c r="I198" s="579">
        <f t="shared" si="5"/>
        <v>0</v>
      </c>
    </row>
    <row r="199" spans="1:9" ht="10.5" customHeight="1" x14ac:dyDescent="0.15">
      <c r="A199" s="512"/>
      <c r="B199" s="521" t="s">
        <v>1624</v>
      </c>
      <c r="C199" s="138" t="s">
        <v>840</v>
      </c>
      <c r="D199" s="147">
        <v>0</v>
      </c>
      <c r="E199" s="147">
        <v>0</v>
      </c>
      <c r="F199" s="147">
        <v>0</v>
      </c>
      <c r="G199" s="147">
        <v>0</v>
      </c>
      <c r="H199" s="291">
        <v>0</v>
      </c>
      <c r="I199" s="579">
        <f t="shared" si="5"/>
        <v>0</v>
      </c>
    </row>
    <row r="200" spans="1:9" ht="10.5" customHeight="1" x14ac:dyDescent="0.15">
      <c r="A200" s="512"/>
      <c r="B200" s="521" t="s">
        <v>1625</v>
      </c>
      <c r="C200" s="138" t="s">
        <v>842</v>
      </c>
      <c r="D200" s="147">
        <v>0</v>
      </c>
      <c r="E200" s="147">
        <v>0</v>
      </c>
      <c r="F200" s="147">
        <v>0</v>
      </c>
      <c r="G200" s="147">
        <v>0</v>
      </c>
      <c r="H200" s="291">
        <v>0</v>
      </c>
      <c r="I200" s="579">
        <f t="shared" si="5"/>
        <v>0</v>
      </c>
    </row>
    <row r="201" spans="1:9" ht="10.5" customHeight="1" x14ac:dyDescent="0.15">
      <c r="A201" s="512"/>
      <c r="B201" s="521" t="s">
        <v>843</v>
      </c>
      <c r="C201" s="138" t="s">
        <v>848</v>
      </c>
      <c r="D201" s="147">
        <v>0</v>
      </c>
      <c r="E201" s="147">
        <v>0</v>
      </c>
      <c r="F201" s="147">
        <v>0</v>
      </c>
      <c r="G201" s="147">
        <v>0</v>
      </c>
      <c r="H201" s="291">
        <v>0</v>
      </c>
      <c r="I201" s="579">
        <f t="shared" si="5"/>
        <v>0</v>
      </c>
    </row>
    <row r="202" spans="1:9" ht="10.5" customHeight="1" x14ac:dyDescent="0.15">
      <c r="A202" s="512"/>
      <c r="B202" s="521" t="s">
        <v>844</v>
      </c>
      <c r="C202" s="138" t="s">
        <v>186</v>
      </c>
      <c r="D202" s="147">
        <v>0</v>
      </c>
      <c r="E202" s="147">
        <v>0</v>
      </c>
      <c r="F202" s="147">
        <v>0</v>
      </c>
      <c r="G202" s="147">
        <v>0</v>
      </c>
      <c r="H202" s="291">
        <v>0</v>
      </c>
      <c r="I202" s="579">
        <f t="shared" si="5"/>
        <v>0</v>
      </c>
    </row>
    <row r="203" spans="1:9" ht="10.5" customHeight="1" x14ac:dyDescent="0.15">
      <c r="A203" s="512"/>
      <c r="B203" s="521" t="s">
        <v>845</v>
      </c>
      <c r="C203" s="138" t="s">
        <v>154</v>
      </c>
      <c r="D203" s="147">
        <v>0</v>
      </c>
      <c r="E203" s="147">
        <v>0</v>
      </c>
      <c r="F203" s="147">
        <v>0</v>
      </c>
      <c r="G203" s="147">
        <v>0</v>
      </c>
      <c r="H203" s="291">
        <v>0</v>
      </c>
      <c r="I203" s="579">
        <f t="shared" si="5"/>
        <v>0</v>
      </c>
    </row>
    <row r="204" spans="1:9" ht="10.5" customHeight="1" x14ac:dyDescent="0.15">
      <c r="A204" s="512"/>
      <c r="B204" s="521" t="s">
        <v>846</v>
      </c>
      <c r="C204" s="138" t="s">
        <v>155</v>
      </c>
      <c r="D204" s="147">
        <v>0</v>
      </c>
      <c r="E204" s="147">
        <v>0</v>
      </c>
      <c r="F204" s="147">
        <v>0</v>
      </c>
      <c r="G204" s="147">
        <v>0</v>
      </c>
      <c r="H204" s="291">
        <v>0</v>
      </c>
      <c r="I204" s="579">
        <f t="shared" si="5"/>
        <v>0</v>
      </c>
    </row>
    <row r="205" spans="1:9" ht="10.5" customHeight="1" x14ac:dyDescent="0.15">
      <c r="A205" s="512"/>
      <c r="B205" s="521" t="s">
        <v>332</v>
      </c>
      <c r="C205" s="138" t="s">
        <v>463</v>
      </c>
      <c r="D205" s="147">
        <v>0</v>
      </c>
      <c r="E205" s="147">
        <v>0</v>
      </c>
      <c r="F205" s="147">
        <v>0</v>
      </c>
      <c r="G205" s="147">
        <v>0</v>
      </c>
      <c r="H205" s="291">
        <v>0</v>
      </c>
      <c r="I205" s="579">
        <f t="shared" si="5"/>
        <v>0</v>
      </c>
    </row>
    <row r="206" spans="1:9" ht="10.5" customHeight="1" x14ac:dyDescent="0.15">
      <c r="A206" s="512"/>
      <c r="B206" s="521" t="s">
        <v>1582</v>
      </c>
      <c r="C206" s="138" t="s">
        <v>156</v>
      </c>
      <c r="D206" s="147">
        <v>0</v>
      </c>
      <c r="E206" s="147">
        <v>0</v>
      </c>
      <c r="F206" s="147">
        <v>0</v>
      </c>
      <c r="G206" s="147">
        <v>0</v>
      </c>
      <c r="H206" s="291">
        <v>0</v>
      </c>
      <c r="I206" s="579">
        <f t="shared" si="5"/>
        <v>0</v>
      </c>
    </row>
    <row r="207" spans="1:9" ht="10.5" customHeight="1" x14ac:dyDescent="0.15">
      <c r="A207" s="512"/>
      <c r="B207" s="521" t="s">
        <v>847</v>
      </c>
      <c r="C207" s="138" t="s">
        <v>157</v>
      </c>
      <c r="D207" s="147">
        <v>0</v>
      </c>
      <c r="E207" s="147">
        <v>0</v>
      </c>
      <c r="F207" s="147">
        <v>0</v>
      </c>
      <c r="G207" s="147">
        <v>0</v>
      </c>
      <c r="H207" s="291">
        <v>0</v>
      </c>
      <c r="I207" s="579">
        <f t="shared" si="5"/>
        <v>0</v>
      </c>
    </row>
    <row r="208" spans="1:9" ht="10.5" customHeight="1" x14ac:dyDescent="0.15">
      <c r="A208" s="512"/>
      <c r="B208" s="521" t="s">
        <v>1583</v>
      </c>
      <c r="C208" s="138" t="s">
        <v>160</v>
      </c>
      <c r="D208" s="147">
        <v>0</v>
      </c>
      <c r="E208" s="147">
        <v>0</v>
      </c>
      <c r="F208" s="147">
        <v>0</v>
      </c>
      <c r="G208" s="147">
        <v>0</v>
      </c>
      <c r="H208" s="291">
        <v>0</v>
      </c>
      <c r="I208" s="579">
        <f t="shared" si="5"/>
        <v>0</v>
      </c>
    </row>
    <row r="209" spans="1:10" ht="10.5" customHeight="1" x14ac:dyDescent="0.15">
      <c r="A209" s="512"/>
      <c r="B209" s="521" t="s">
        <v>634</v>
      </c>
      <c r="C209" s="138" t="s">
        <v>165</v>
      </c>
      <c r="D209" s="147">
        <v>0</v>
      </c>
      <c r="E209" s="147">
        <v>0</v>
      </c>
      <c r="F209" s="147">
        <v>0</v>
      </c>
      <c r="G209" s="147">
        <v>0</v>
      </c>
      <c r="H209" s="291">
        <v>0</v>
      </c>
      <c r="I209" s="579">
        <f t="shared" si="5"/>
        <v>0</v>
      </c>
    </row>
    <row r="210" spans="1:10" ht="10.5" customHeight="1" x14ac:dyDescent="0.15">
      <c r="A210" s="512"/>
      <c r="B210" s="521" t="s">
        <v>630</v>
      </c>
      <c r="C210" s="138" t="s">
        <v>172</v>
      </c>
      <c r="D210" s="147">
        <v>0</v>
      </c>
      <c r="E210" s="147">
        <v>0</v>
      </c>
      <c r="F210" s="147">
        <v>0</v>
      </c>
      <c r="G210" s="147">
        <v>0</v>
      </c>
      <c r="H210" s="291">
        <v>0</v>
      </c>
      <c r="I210" s="579">
        <f t="shared" si="5"/>
        <v>0</v>
      </c>
    </row>
    <row r="211" spans="1:10" ht="10.5" customHeight="1" x14ac:dyDescent="0.15">
      <c r="A211" s="512"/>
      <c r="B211" s="650" t="s">
        <v>631</v>
      </c>
      <c r="C211" s="651" t="s">
        <v>173</v>
      </c>
      <c r="D211" s="147">
        <v>0</v>
      </c>
      <c r="E211" s="147">
        <v>0</v>
      </c>
      <c r="F211" s="147">
        <v>0</v>
      </c>
      <c r="G211" s="147">
        <v>0</v>
      </c>
      <c r="H211" s="291">
        <v>0</v>
      </c>
      <c r="I211" s="579">
        <f t="shared" si="5"/>
        <v>0</v>
      </c>
    </row>
    <row r="212" spans="1:10" ht="10.5" customHeight="1" x14ac:dyDescent="0.15">
      <c r="A212" s="512"/>
      <c r="B212" s="521" t="s">
        <v>1584</v>
      </c>
      <c r="C212" s="138" t="s">
        <v>178</v>
      </c>
      <c r="D212" s="147">
        <v>0</v>
      </c>
      <c r="E212" s="147">
        <v>0</v>
      </c>
      <c r="F212" s="147">
        <v>0</v>
      </c>
      <c r="G212" s="147">
        <v>0</v>
      </c>
      <c r="H212" s="291">
        <v>0</v>
      </c>
      <c r="I212" s="579">
        <f t="shared" si="5"/>
        <v>0</v>
      </c>
    </row>
    <row r="213" spans="1:10" ht="10.5" customHeight="1" x14ac:dyDescent="0.15">
      <c r="A213" s="512"/>
      <c r="B213" s="521" t="s">
        <v>174</v>
      </c>
      <c r="C213" s="138" t="s">
        <v>179</v>
      </c>
      <c r="D213" s="147">
        <v>0</v>
      </c>
      <c r="E213" s="147">
        <v>0</v>
      </c>
      <c r="F213" s="147">
        <v>0</v>
      </c>
      <c r="G213" s="147">
        <v>0</v>
      </c>
      <c r="H213" s="291">
        <v>0</v>
      </c>
      <c r="I213" s="579">
        <f t="shared" si="5"/>
        <v>0</v>
      </c>
    </row>
    <row r="214" spans="1:10" ht="10.5" customHeight="1" x14ac:dyDescent="0.15">
      <c r="A214" s="512"/>
      <c r="B214" s="521" t="s">
        <v>175</v>
      </c>
      <c r="C214" s="138" t="s">
        <v>180</v>
      </c>
      <c r="D214" s="147">
        <v>0</v>
      </c>
      <c r="E214" s="147">
        <v>0</v>
      </c>
      <c r="F214" s="147">
        <v>0</v>
      </c>
      <c r="G214" s="147">
        <v>0</v>
      </c>
      <c r="H214" s="291">
        <v>0</v>
      </c>
      <c r="I214" s="579">
        <f t="shared" si="5"/>
        <v>0</v>
      </c>
    </row>
    <row r="215" spans="1:10" ht="10.5" customHeight="1" x14ac:dyDescent="0.15">
      <c r="A215" s="512"/>
      <c r="B215" s="521" t="s">
        <v>176</v>
      </c>
      <c r="C215" s="138" t="s">
        <v>181</v>
      </c>
      <c r="D215" s="147">
        <v>0</v>
      </c>
      <c r="E215" s="147">
        <v>0</v>
      </c>
      <c r="F215" s="147">
        <v>0</v>
      </c>
      <c r="G215" s="147">
        <v>0</v>
      </c>
      <c r="H215" s="291">
        <v>0</v>
      </c>
      <c r="I215" s="579">
        <f t="shared" si="5"/>
        <v>0</v>
      </c>
    </row>
    <row r="216" spans="1:10" ht="10.5" customHeight="1" x14ac:dyDescent="0.15">
      <c r="A216" s="512"/>
      <c r="B216" s="521" t="s">
        <v>177</v>
      </c>
      <c r="C216" s="138" t="s">
        <v>182</v>
      </c>
      <c r="D216" s="147">
        <v>0</v>
      </c>
      <c r="E216" s="147">
        <v>0</v>
      </c>
      <c r="F216" s="147">
        <v>0</v>
      </c>
      <c r="G216" s="147">
        <v>0</v>
      </c>
      <c r="H216" s="291">
        <v>0</v>
      </c>
      <c r="I216" s="579">
        <f t="shared" si="5"/>
        <v>0</v>
      </c>
    </row>
    <row r="217" spans="1:10" ht="10.5" customHeight="1" thickBot="1" x14ac:dyDescent="0.2">
      <c r="A217" s="512"/>
      <c r="B217" s="521" t="s">
        <v>632</v>
      </c>
      <c r="C217" s="138" t="s">
        <v>183</v>
      </c>
      <c r="D217" s="144">
        <v>0</v>
      </c>
      <c r="E217" s="144">
        <v>0</v>
      </c>
      <c r="F217" s="144">
        <v>0</v>
      </c>
      <c r="G217" s="144">
        <v>0</v>
      </c>
      <c r="H217" s="291">
        <v>0</v>
      </c>
      <c r="I217" s="579">
        <f t="shared" si="5"/>
        <v>0</v>
      </c>
    </row>
    <row r="218" spans="1:10" ht="10.5" customHeight="1" thickTop="1" thickBot="1" x14ac:dyDescent="0.2">
      <c r="A218" s="512"/>
      <c r="B218" s="521"/>
      <c r="C218" s="138" t="s">
        <v>624</v>
      </c>
      <c r="D218" s="169">
        <f>SUM(D190:D217)</f>
        <v>0</v>
      </c>
      <c r="E218" s="169">
        <f>SUM(E190:E217)</f>
        <v>0</v>
      </c>
      <c r="F218" s="169">
        <f>SUM(F190:F217)</f>
        <v>0</v>
      </c>
      <c r="G218" s="169">
        <f>SUM(G190:G217)</f>
        <v>0</v>
      </c>
      <c r="H218" s="169">
        <f>SUM(H190:H217)</f>
        <v>0</v>
      </c>
      <c r="I218" s="169">
        <f>G218+H218</f>
        <v>0</v>
      </c>
    </row>
    <row r="219" spans="1:10" ht="10.5" customHeight="1" thickTop="1" x14ac:dyDescent="0.15">
      <c r="A219" s="512"/>
      <c r="B219" s="521"/>
      <c r="C219" s="138"/>
      <c r="D219" s="14"/>
      <c r="E219" s="14"/>
      <c r="F219" s="14"/>
      <c r="G219" s="14"/>
      <c r="H219" s="14"/>
      <c r="I219" s="563"/>
    </row>
    <row r="220" spans="1:10" ht="10.5" customHeight="1" x14ac:dyDescent="0.15">
      <c r="A220" s="512" t="s">
        <v>656</v>
      </c>
      <c r="C220" s="138"/>
      <c r="D220" s="14"/>
      <c r="E220" s="14"/>
      <c r="F220" s="14"/>
      <c r="G220" s="14"/>
      <c r="H220" s="14"/>
      <c r="I220" s="563"/>
    </row>
    <row r="221" spans="1:10" s="434" customFormat="1" x14ac:dyDescent="0.15">
      <c r="B221" s="523" t="s">
        <v>1577</v>
      </c>
      <c r="C221" s="524" t="s">
        <v>228</v>
      </c>
      <c r="D221" s="316">
        <v>0</v>
      </c>
      <c r="E221" s="316">
        <v>0</v>
      </c>
      <c r="F221" s="316">
        <v>0</v>
      </c>
      <c r="G221" s="528">
        <f t="array" ref="G221">SUM(IF(CertFund&amp;CertProg&amp;CertObj=RIGHT(LEFT($A$2,7),2)&amp;LEFT(A220,4)&amp;B221,CertSalary))</f>
        <v>0</v>
      </c>
      <c r="H221" s="527">
        <v>0</v>
      </c>
      <c r="I221" s="566">
        <f>SUM(G221+H221)</f>
        <v>0</v>
      </c>
    </row>
    <row r="222" spans="1:10" s="434" customFormat="1" x14ac:dyDescent="0.15">
      <c r="B222" s="523" t="s">
        <v>1577</v>
      </c>
      <c r="C222" s="524" t="s">
        <v>510</v>
      </c>
      <c r="D222" s="316">
        <v>0</v>
      </c>
      <c r="E222" s="316">
        <v>0</v>
      </c>
      <c r="F222" s="316">
        <v>0</v>
      </c>
      <c r="G222" s="316">
        <v>0</v>
      </c>
      <c r="H222" s="527">
        <v>0</v>
      </c>
      <c r="I222" s="566">
        <f>SUM(G222+H222)</f>
        <v>0</v>
      </c>
    </row>
    <row r="223" spans="1:10" s="434" customFormat="1" x14ac:dyDescent="0.15">
      <c r="A223" s="524"/>
      <c r="B223" s="523" t="s">
        <v>1578</v>
      </c>
      <c r="C223" s="524" t="s">
        <v>936</v>
      </c>
      <c r="D223" s="316">
        <v>0</v>
      </c>
      <c r="E223" s="316">
        <v>0</v>
      </c>
      <c r="F223" s="316">
        <v>0</v>
      </c>
      <c r="G223" s="529">
        <f t="array" ref="G223">SUM(IF(CertFund&amp;CertProg&amp;CertObj=RIGHT(LEFT($A$2,7),2)&amp;LEFT(A220,4)&amp;B221,CertBen))</f>
        <v>0</v>
      </c>
      <c r="H223" s="527">
        <v>0</v>
      </c>
      <c r="I223" s="566">
        <f>SUM(G223+H223)</f>
        <v>0</v>
      </c>
    </row>
    <row r="224" spans="1:10" x14ac:dyDescent="0.15">
      <c r="A224" s="138"/>
      <c r="B224" s="521" t="s">
        <v>1578</v>
      </c>
      <c r="C224" s="138" t="s">
        <v>511</v>
      </c>
      <c r="D224" s="147">
        <v>0</v>
      </c>
      <c r="E224" s="147">
        <v>0</v>
      </c>
      <c r="F224" s="147">
        <v>0</v>
      </c>
      <c r="G224" s="147">
        <v>0</v>
      </c>
      <c r="H224" s="150">
        <v>0</v>
      </c>
      <c r="I224" s="567">
        <f>SUM(G224+H224)</f>
        <v>0</v>
      </c>
      <c r="J224" s="434"/>
    </row>
    <row r="225" spans="1:9" ht="10.5" customHeight="1" x14ac:dyDescent="0.15">
      <c r="A225" s="512"/>
      <c r="B225" s="521" t="s">
        <v>1579</v>
      </c>
      <c r="C225" s="138" t="s">
        <v>118</v>
      </c>
      <c r="D225" s="147">
        <v>0</v>
      </c>
      <c r="E225" s="147">
        <v>0</v>
      </c>
      <c r="F225" s="147">
        <v>0</v>
      </c>
      <c r="G225" s="291">
        <v>0</v>
      </c>
      <c r="H225" s="291">
        <v>0</v>
      </c>
      <c r="I225" s="579">
        <f t="shared" ref="I225:I248" si="6">SUM(G225+H225)</f>
        <v>0</v>
      </c>
    </row>
    <row r="226" spans="1:9" ht="10.5" customHeight="1" x14ac:dyDescent="0.15">
      <c r="A226" s="512"/>
      <c r="B226" s="521" t="s">
        <v>1580</v>
      </c>
      <c r="C226" s="138" t="s">
        <v>119</v>
      </c>
      <c r="D226" s="147">
        <v>0</v>
      </c>
      <c r="E226" s="147">
        <v>0</v>
      </c>
      <c r="F226" s="147">
        <v>0</v>
      </c>
      <c r="G226" s="291">
        <v>0</v>
      </c>
      <c r="H226" s="291">
        <v>0</v>
      </c>
      <c r="I226" s="579">
        <f t="shared" si="6"/>
        <v>0</v>
      </c>
    </row>
    <row r="227" spans="1:9" ht="10.5" customHeight="1" x14ac:dyDescent="0.15">
      <c r="A227" s="512"/>
      <c r="B227" s="521" t="s">
        <v>120</v>
      </c>
      <c r="C227" s="138" t="s">
        <v>121</v>
      </c>
      <c r="D227" s="147">
        <v>0</v>
      </c>
      <c r="E227" s="147">
        <v>0</v>
      </c>
      <c r="F227" s="147">
        <v>0</v>
      </c>
      <c r="G227" s="291">
        <v>0</v>
      </c>
      <c r="H227" s="291">
        <v>0</v>
      </c>
      <c r="I227" s="579">
        <f t="shared" si="6"/>
        <v>0</v>
      </c>
    </row>
    <row r="228" spans="1:9" ht="10.5" customHeight="1" x14ac:dyDescent="0.15">
      <c r="A228" s="512"/>
      <c r="B228" s="521" t="s">
        <v>122</v>
      </c>
      <c r="C228" s="138" t="s">
        <v>123</v>
      </c>
      <c r="D228" s="147">
        <v>0</v>
      </c>
      <c r="E228" s="147">
        <v>0</v>
      </c>
      <c r="F228" s="147">
        <v>0</v>
      </c>
      <c r="G228" s="147">
        <v>0</v>
      </c>
      <c r="H228" s="291">
        <v>0</v>
      </c>
      <c r="I228" s="579">
        <f t="shared" si="6"/>
        <v>0</v>
      </c>
    </row>
    <row r="229" spans="1:9" ht="10.5" customHeight="1" x14ac:dyDescent="0.15">
      <c r="A229" s="512"/>
      <c r="B229" s="521" t="s">
        <v>1581</v>
      </c>
      <c r="C229" s="138" t="s">
        <v>124</v>
      </c>
      <c r="D229" s="147">
        <v>0</v>
      </c>
      <c r="E229" s="147">
        <v>0</v>
      </c>
      <c r="F229" s="147">
        <v>0</v>
      </c>
      <c r="G229" s="147">
        <v>0</v>
      </c>
      <c r="H229" s="291">
        <v>0</v>
      </c>
      <c r="I229" s="579">
        <f t="shared" si="6"/>
        <v>0</v>
      </c>
    </row>
    <row r="230" spans="1:9" ht="10.5" customHeight="1" x14ac:dyDescent="0.15">
      <c r="A230" s="512"/>
      <c r="B230" s="521" t="s">
        <v>132</v>
      </c>
      <c r="C230" s="138" t="s">
        <v>1617</v>
      </c>
      <c r="D230" s="147">
        <v>0</v>
      </c>
      <c r="E230" s="147">
        <v>0</v>
      </c>
      <c r="F230" s="147">
        <v>0</v>
      </c>
      <c r="G230" s="147">
        <v>0</v>
      </c>
      <c r="H230" s="291">
        <v>0</v>
      </c>
      <c r="I230" s="579">
        <f t="shared" si="6"/>
        <v>0</v>
      </c>
    </row>
    <row r="231" spans="1:9" ht="10.5" customHeight="1" x14ac:dyDescent="0.15">
      <c r="A231" s="512"/>
      <c r="B231" s="521" t="s">
        <v>675</v>
      </c>
      <c r="C231" s="138" t="s">
        <v>698</v>
      </c>
      <c r="D231" s="147">
        <v>0</v>
      </c>
      <c r="E231" s="147">
        <v>0</v>
      </c>
      <c r="F231" s="147">
        <v>0</v>
      </c>
      <c r="G231" s="147">
        <v>0</v>
      </c>
      <c r="H231" s="291">
        <v>0</v>
      </c>
      <c r="I231" s="579">
        <f t="shared" si="6"/>
        <v>0</v>
      </c>
    </row>
    <row r="232" spans="1:9" ht="10.5" customHeight="1" x14ac:dyDescent="0.15">
      <c r="A232" s="512"/>
      <c r="B232" s="521" t="s">
        <v>1624</v>
      </c>
      <c r="C232" s="138" t="s">
        <v>840</v>
      </c>
      <c r="D232" s="147">
        <v>0</v>
      </c>
      <c r="E232" s="147">
        <v>0</v>
      </c>
      <c r="F232" s="147">
        <v>0</v>
      </c>
      <c r="G232" s="147">
        <v>0</v>
      </c>
      <c r="H232" s="291">
        <v>0</v>
      </c>
      <c r="I232" s="579">
        <f t="shared" si="6"/>
        <v>0</v>
      </c>
    </row>
    <row r="233" spans="1:9" ht="10.5" customHeight="1" x14ac:dyDescent="0.15">
      <c r="A233" s="512"/>
      <c r="B233" s="521" t="s">
        <v>1625</v>
      </c>
      <c r="C233" s="138" t="s">
        <v>842</v>
      </c>
      <c r="D233" s="147">
        <v>0</v>
      </c>
      <c r="E233" s="147">
        <v>0</v>
      </c>
      <c r="F233" s="147">
        <v>0</v>
      </c>
      <c r="G233" s="147">
        <v>0</v>
      </c>
      <c r="H233" s="291">
        <v>0</v>
      </c>
      <c r="I233" s="579">
        <f t="shared" si="6"/>
        <v>0</v>
      </c>
    </row>
    <row r="234" spans="1:9" ht="10.5" customHeight="1" x14ac:dyDescent="0.15">
      <c r="A234" s="512"/>
      <c r="B234" s="521" t="s">
        <v>843</v>
      </c>
      <c r="C234" s="138" t="s">
        <v>848</v>
      </c>
      <c r="D234" s="147">
        <v>0</v>
      </c>
      <c r="E234" s="147">
        <v>0</v>
      </c>
      <c r="F234" s="147">
        <v>0</v>
      </c>
      <c r="G234" s="147">
        <v>0</v>
      </c>
      <c r="H234" s="291">
        <v>0</v>
      </c>
      <c r="I234" s="579">
        <f t="shared" si="6"/>
        <v>0</v>
      </c>
    </row>
    <row r="235" spans="1:9" ht="10.5" customHeight="1" x14ac:dyDescent="0.15">
      <c r="A235" s="512"/>
      <c r="B235" s="521" t="s">
        <v>844</v>
      </c>
      <c r="C235" s="138" t="s">
        <v>186</v>
      </c>
      <c r="D235" s="147">
        <v>0</v>
      </c>
      <c r="E235" s="147">
        <v>0</v>
      </c>
      <c r="F235" s="147">
        <v>0</v>
      </c>
      <c r="G235" s="147">
        <v>0</v>
      </c>
      <c r="H235" s="291">
        <v>0</v>
      </c>
      <c r="I235" s="579">
        <f t="shared" si="6"/>
        <v>0</v>
      </c>
    </row>
    <row r="236" spans="1:9" ht="10.5" customHeight="1" x14ac:dyDescent="0.15">
      <c r="A236" s="512"/>
      <c r="B236" s="521" t="s">
        <v>845</v>
      </c>
      <c r="C236" s="138" t="s">
        <v>154</v>
      </c>
      <c r="D236" s="147">
        <v>0</v>
      </c>
      <c r="E236" s="147">
        <v>0</v>
      </c>
      <c r="F236" s="147">
        <v>0</v>
      </c>
      <c r="G236" s="147">
        <v>0</v>
      </c>
      <c r="H236" s="291">
        <v>0</v>
      </c>
      <c r="I236" s="579">
        <f t="shared" si="6"/>
        <v>0</v>
      </c>
    </row>
    <row r="237" spans="1:9" ht="10.5" customHeight="1" x14ac:dyDescent="0.15">
      <c r="A237" s="512"/>
      <c r="B237" s="521" t="s">
        <v>846</v>
      </c>
      <c r="C237" s="138" t="s">
        <v>155</v>
      </c>
      <c r="D237" s="147">
        <v>0</v>
      </c>
      <c r="E237" s="147">
        <v>0</v>
      </c>
      <c r="F237" s="147">
        <v>0</v>
      </c>
      <c r="G237" s="147">
        <v>0</v>
      </c>
      <c r="H237" s="291">
        <v>0</v>
      </c>
      <c r="I237" s="579">
        <f t="shared" si="6"/>
        <v>0</v>
      </c>
    </row>
    <row r="238" spans="1:9" ht="10.5" customHeight="1" x14ac:dyDescent="0.15">
      <c r="A238" s="512"/>
      <c r="B238" s="521" t="s">
        <v>1582</v>
      </c>
      <c r="C238" s="138" t="s">
        <v>156</v>
      </c>
      <c r="D238" s="147">
        <v>0</v>
      </c>
      <c r="E238" s="147">
        <v>0</v>
      </c>
      <c r="F238" s="147">
        <v>0</v>
      </c>
      <c r="G238" s="147">
        <v>0</v>
      </c>
      <c r="H238" s="291">
        <v>0</v>
      </c>
      <c r="I238" s="579">
        <f t="shared" si="6"/>
        <v>0</v>
      </c>
    </row>
    <row r="239" spans="1:9" ht="10.5" customHeight="1" x14ac:dyDescent="0.15">
      <c r="A239" s="512"/>
      <c r="B239" s="521" t="s">
        <v>847</v>
      </c>
      <c r="C239" s="138" t="s">
        <v>157</v>
      </c>
      <c r="D239" s="147">
        <v>0</v>
      </c>
      <c r="E239" s="147">
        <v>0</v>
      </c>
      <c r="F239" s="147">
        <v>0</v>
      </c>
      <c r="G239" s="147">
        <v>0</v>
      </c>
      <c r="H239" s="291">
        <v>0</v>
      </c>
      <c r="I239" s="579">
        <f t="shared" si="6"/>
        <v>0</v>
      </c>
    </row>
    <row r="240" spans="1:9" ht="10.5" customHeight="1" x14ac:dyDescent="0.15">
      <c r="A240" s="512"/>
      <c r="B240" s="521" t="s">
        <v>1583</v>
      </c>
      <c r="C240" s="138" t="s">
        <v>160</v>
      </c>
      <c r="D240" s="147">
        <v>0</v>
      </c>
      <c r="E240" s="147">
        <v>0</v>
      </c>
      <c r="F240" s="147">
        <v>0</v>
      </c>
      <c r="G240" s="147">
        <v>0</v>
      </c>
      <c r="H240" s="291">
        <v>0</v>
      </c>
      <c r="I240" s="579">
        <f t="shared" si="6"/>
        <v>0</v>
      </c>
    </row>
    <row r="241" spans="1:9" ht="10.5" customHeight="1" x14ac:dyDescent="0.15">
      <c r="A241" s="512"/>
      <c r="B241" s="521" t="s">
        <v>634</v>
      </c>
      <c r="C241" s="138" t="s">
        <v>165</v>
      </c>
      <c r="D241" s="147">
        <v>0</v>
      </c>
      <c r="E241" s="147">
        <v>0</v>
      </c>
      <c r="F241" s="147">
        <v>0</v>
      </c>
      <c r="G241" s="147">
        <v>0</v>
      </c>
      <c r="H241" s="291">
        <v>0</v>
      </c>
      <c r="I241" s="579">
        <f t="shared" si="6"/>
        <v>0</v>
      </c>
    </row>
    <row r="242" spans="1:9" ht="10.5" customHeight="1" x14ac:dyDescent="0.15">
      <c r="A242" s="512"/>
      <c r="B242" s="521" t="s">
        <v>202</v>
      </c>
      <c r="C242" s="138" t="s">
        <v>171</v>
      </c>
      <c r="D242" s="147">
        <v>0</v>
      </c>
      <c r="E242" s="147">
        <v>0</v>
      </c>
      <c r="F242" s="147">
        <v>0</v>
      </c>
      <c r="G242" s="147">
        <v>0</v>
      </c>
      <c r="H242" s="291">
        <v>0</v>
      </c>
      <c r="I242" s="579">
        <f t="shared" si="6"/>
        <v>0</v>
      </c>
    </row>
    <row r="243" spans="1:9" ht="10.5" customHeight="1" x14ac:dyDescent="0.15">
      <c r="A243" s="512"/>
      <c r="B243" s="521" t="s">
        <v>630</v>
      </c>
      <c r="C243" s="138" t="s">
        <v>172</v>
      </c>
      <c r="D243" s="147">
        <v>0</v>
      </c>
      <c r="E243" s="147">
        <v>0</v>
      </c>
      <c r="F243" s="147">
        <v>0</v>
      </c>
      <c r="G243" s="147">
        <v>0</v>
      </c>
      <c r="H243" s="291">
        <v>0</v>
      </c>
      <c r="I243" s="579">
        <f t="shared" si="6"/>
        <v>0</v>
      </c>
    </row>
    <row r="244" spans="1:9" ht="10.5" customHeight="1" x14ac:dyDescent="0.15">
      <c r="A244" s="512"/>
      <c r="B244" s="650" t="s">
        <v>631</v>
      </c>
      <c r="C244" s="651" t="s">
        <v>173</v>
      </c>
      <c r="D244" s="147">
        <v>0</v>
      </c>
      <c r="E244" s="147">
        <v>0</v>
      </c>
      <c r="F244" s="147">
        <v>0</v>
      </c>
      <c r="G244" s="147">
        <v>0</v>
      </c>
      <c r="H244" s="291">
        <v>0</v>
      </c>
      <c r="I244" s="579">
        <f t="shared" si="6"/>
        <v>0</v>
      </c>
    </row>
    <row r="245" spans="1:9" ht="10.5" customHeight="1" x14ac:dyDescent="0.15">
      <c r="A245" s="512"/>
      <c r="B245" s="521" t="s">
        <v>1584</v>
      </c>
      <c r="C245" s="138" t="s">
        <v>178</v>
      </c>
      <c r="D245" s="147">
        <v>0</v>
      </c>
      <c r="E245" s="147">
        <v>0</v>
      </c>
      <c r="F245" s="147">
        <v>0</v>
      </c>
      <c r="G245" s="147">
        <v>0</v>
      </c>
      <c r="H245" s="291">
        <v>0</v>
      </c>
      <c r="I245" s="579">
        <f t="shared" si="6"/>
        <v>0</v>
      </c>
    </row>
    <row r="246" spans="1:9" ht="10.5" customHeight="1" x14ac:dyDescent="0.15">
      <c r="A246" s="512"/>
      <c r="B246" s="521" t="s">
        <v>174</v>
      </c>
      <c r="C246" s="138" t="s">
        <v>179</v>
      </c>
      <c r="D246" s="147">
        <v>0</v>
      </c>
      <c r="E246" s="147">
        <v>0</v>
      </c>
      <c r="F246" s="147">
        <v>0</v>
      </c>
      <c r="G246" s="147">
        <v>0</v>
      </c>
      <c r="H246" s="291">
        <v>0</v>
      </c>
      <c r="I246" s="579">
        <f t="shared" si="6"/>
        <v>0</v>
      </c>
    </row>
    <row r="247" spans="1:9" ht="10.5" customHeight="1" x14ac:dyDescent="0.15">
      <c r="A247" s="512"/>
      <c r="B247" s="521" t="s">
        <v>175</v>
      </c>
      <c r="C247" s="138" t="s">
        <v>180</v>
      </c>
      <c r="D247" s="147">
        <v>0</v>
      </c>
      <c r="E247" s="147">
        <v>0</v>
      </c>
      <c r="F247" s="147">
        <v>0</v>
      </c>
      <c r="G247" s="147">
        <v>0</v>
      </c>
      <c r="H247" s="291">
        <v>0</v>
      </c>
      <c r="I247" s="579">
        <f t="shared" si="6"/>
        <v>0</v>
      </c>
    </row>
    <row r="248" spans="1:9" ht="10.5" customHeight="1" x14ac:dyDescent="0.15">
      <c r="A248" s="512"/>
      <c r="B248" s="521" t="s">
        <v>176</v>
      </c>
      <c r="C248" s="138" t="s">
        <v>181</v>
      </c>
      <c r="D248" s="147">
        <v>0</v>
      </c>
      <c r="E248" s="147">
        <v>0</v>
      </c>
      <c r="F248" s="147">
        <v>0</v>
      </c>
      <c r="G248" s="147">
        <v>0</v>
      </c>
      <c r="H248" s="291">
        <v>0</v>
      </c>
      <c r="I248" s="579">
        <f t="shared" si="6"/>
        <v>0</v>
      </c>
    </row>
    <row r="249" spans="1:9" ht="10.5" customHeight="1" x14ac:dyDescent="0.15">
      <c r="A249" s="512"/>
      <c r="B249" s="521" t="s">
        <v>177</v>
      </c>
      <c r="C249" s="138" t="s">
        <v>182</v>
      </c>
      <c r="D249" s="147">
        <v>0</v>
      </c>
      <c r="E249" s="147">
        <v>0</v>
      </c>
      <c r="F249" s="147">
        <v>0</v>
      </c>
      <c r="G249" s="147">
        <v>0</v>
      </c>
      <c r="H249" s="291">
        <v>0</v>
      </c>
      <c r="I249" s="579">
        <f>SUM(G249+H249)</f>
        <v>0</v>
      </c>
    </row>
    <row r="250" spans="1:9" ht="10.5" customHeight="1" thickBot="1" x14ac:dyDescent="0.2">
      <c r="A250" s="512"/>
      <c r="B250" s="521" t="s">
        <v>632</v>
      </c>
      <c r="C250" s="138" t="s">
        <v>183</v>
      </c>
      <c r="D250" s="144">
        <v>0</v>
      </c>
      <c r="E250" s="144">
        <v>0</v>
      </c>
      <c r="F250" s="144">
        <v>0</v>
      </c>
      <c r="G250" s="144">
        <v>0</v>
      </c>
      <c r="H250" s="291">
        <v>0</v>
      </c>
      <c r="I250" s="579">
        <f>SUM(G250+H250)</f>
        <v>0</v>
      </c>
    </row>
    <row r="251" spans="1:9" ht="10.5" customHeight="1" thickTop="1" thickBot="1" x14ac:dyDescent="0.2">
      <c r="A251" s="512"/>
      <c r="B251" s="521"/>
      <c r="C251" s="138" t="s">
        <v>657</v>
      </c>
      <c r="D251" s="169">
        <f>SUM(D221:D250)</f>
        <v>0</v>
      </c>
      <c r="E251" s="169">
        <f>SUM(E221:E250)</f>
        <v>0</v>
      </c>
      <c r="F251" s="169">
        <f>SUM(F221:F250)</f>
        <v>0</v>
      </c>
      <c r="G251" s="169">
        <f>SUM(G221:G250)</f>
        <v>0</v>
      </c>
      <c r="H251" s="169">
        <f>SUM(H221:H250)</f>
        <v>0</v>
      </c>
      <c r="I251" s="169">
        <f>G251+H251</f>
        <v>0</v>
      </c>
    </row>
    <row r="252" spans="1:9" ht="10.5" customHeight="1" thickTop="1" x14ac:dyDescent="0.15">
      <c r="A252" s="512"/>
      <c r="B252" s="521"/>
      <c r="C252" s="138"/>
      <c r="D252" s="14"/>
      <c r="E252" s="14"/>
      <c r="F252" s="14"/>
      <c r="G252" s="14"/>
      <c r="H252" s="198"/>
      <c r="I252" s="170"/>
    </row>
    <row r="253" spans="1:9" ht="10.5" customHeight="1" x14ac:dyDescent="0.15">
      <c r="A253" s="512" t="s">
        <v>658</v>
      </c>
      <c r="C253" s="138"/>
      <c r="D253" s="14"/>
      <c r="E253" s="14"/>
      <c r="F253" s="14"/>
      <c r="G253" s="14"/>
      <c r="H253" s="198"/>
      <c r="I253" s="170"/>
    </row>
    <row r="254" spans="1:9" s="434" customFormat="1" x14ac:dyDescent="0.15">
      <c r="B254" s="523" t="s">
        <v>1577</v>
      </c>
      <c r="C254" s="524" t="s">
        <v>228</v>
      </c>
      <c r="D254" s="316">
        <v>0</v>
      </c>
      <c r="E254" s="316">
        <v>0</v>
      </c>
      <c r="F254" s="316">
        <v>0</v>
      </c>
      <c r="G254" s="528">
        <f t="array" ref="G254">SUM(IF(CertFund&amp;CertProg&amp;CertObj=RIGHT(LEFT($A$2,7),2)&amp;LEFT(A253,4)&amp;B254,CertSalary))</f>
        <v>0</v>
      </c>
      <c r="H254" s="527">
        <v>0</v>
      </c>
      <c r="I254" s="566">
        <f>SUM(G254+H254)</f>
        <v>0</v>
      </c>
    </row>
    <row r="255" spans="1:9" s="434" customFormat="1" x14ac:dyDescent="0.15">
      <c r="B255" s="523" t="s">
        <v>1577</v>
      </c>
      <c r="C255" s="524" t="s">
        <v>510</v>
      </c>
      <c r="D255" s="316">
        <v>0</v>
      </c>
      <c r="E255" s="316">
        <v>0</v>
      </c>
      <c r="F255" s="316">
        <v>0</v>
      </c>
      <c r="G255" s="316">
        <v>0</v>
      </c>
      <c r="H255" s="527">
        <v>0</v>
      </c>
      <c r="I255" s="566">
        <f>SUM(G255+H255)</f>
        <v>0</v>
      </c>
    </row>
    <row r="256" spans="1:9" s="434" customFormat="1" x14ac:dyDescent="0.15">
      <c r="A256" s="524"/>
      <c r="B256" s="523" t="s">
        <v>1578</v>
      </c>
      <c r="C256" s="524" t="s">
        <v>936</v>
      </c>
      <c r="D256" s="316">
        <v>0</v>
      </c>
      <c r="E256" s="316">
        <v>0</v>
      </c>
      <c r="F256" s="316">
        <v>0</v>
      </c>
      <c r="G256" s="529">
        <f t="array" ref="G256">SUM(IF(CertFund&amp;CertProg&amp;CertObj=RIGHT(LEFT($A$2,7),2)&amp;LEFT(A253,4)&amp;B254,CertBen))</f>
        <v>0</v>
      </c>
      <c r="H256" s="527">
        <v>0</v>
      </c>
      <c r="I256" s="566">
        <f>SUM(G256+H256)</f>
        <v>0</v>
      </c>
    </row>
    <row r="257" spans="1:10" x14ac:dyDescent="0.15">
      <c r="A257" s="138"/>
      <c r="B257" s="521" t="s">
        <v>1578</v>
      </c>
      <c r="C257" s="138" t="s">
        <v>511</v>
      </c>
      <c r="D257" s="147">
        <v>0</v>
      </c>
      <c r="E257" s="147">
        <v>0</v>
      </c>
      <c r="F257" s="147">
        <v>0</v>
      </c>
      <c r="G257" s="147">
        <v>0</v>
      </c>
      <c r="H257" s="150">
        <v>0</v>
      </c>
      <c r="I257" s="567">
        <f>SUM(G257+H257)</f>
        <v>0</v>
      </c>
      <c r="J257" s="434"/>
    </row>
    <row r="258" spans="1:10" ht="10.5" customHeight="1" x14ac:dyDescent="0.15">
      <c r="A258" s="512"/>
      <c r="B258" s="521" t="s">
        <v>1579</v>
      </c>
      <c r="C258" s="138" t="s">
        <v>118</v>
      </c>
      <c r="D258" s="147">
        <v>0</v>
      </c>
      <c r="E258" s="147">
        <v>0</v>
      </c>
      <c r="F258" s="147">
        <v>0</v>
      </c>
      <c r="G258" s="147">
        <v>0</v>
      </c>
      <c r="H258" s="291">
        <v>0</v>
      </c>
      <c r="I258" s="579">
        <f t="shared" ref="I258:I288" si="7">SUM(G258+H258)</f>
        <v>0</v>
      </c>
    </row>
    <row r="259" spans="1:10" ht="10.5" customHeight="1" x14ac:dyDescent="0.15">
      <c r="A259" s="512"/>
      <c r="B259" s="521" t="s">
        <v>1580</v>
      </c>
      <c r="C259" s="138" t="s">
        <v>119</v>
      </c>
      <c r="D259" s="147">
        <v>0</v>
      </c>
      <c r="E259" s="147">
        <v>0</v>
      </c>
      <c r="F259" s="147">
        <v>0</v>
      </c>
      <c r="G259" s="147">
        <v>0</v>
      </c>
      <c r="H259" s="291">
        <v>0</v>
      </c>
      <c r="I259" s="579">
        <f t="shared" si="7"/>
        <v>0</v>
      </c>
    </row>
    <row r="260" spans="1:10" ht="10.5" customHeight="1" x14ac:dyDescent="0.15">
      <c r="A260" s="512"/>
      <c r="B260" s="521" t="s">
        <v>120</v>
      </c>
      <c r="C260" s="138" t="s">
        <v>121</v>
      </c>
      <c r="D260" s="147">
        <v>0</v>
      </c>
      <c r="E260" s="147">
        <v>0</v>
      </c>
      <c r="F260" s="147">
        <v>0</v>
      </c>
      <c r="G260" s="147">
        <v>0</v>
      </c>
      <c r="H260" s="291">
        <v>0</v>
      </c>
      <c r="I260" s="579">
        <f t="shared" si="7"/>
        <v>0</v>
      </c>
    </row>
    <row r="261" spans="1:10" ht="10.5" customHeight="1" x14ac:dyDescent="0.15">
      <c r="A261" s="512"/>
      <c r="B261" s="521" t="s">
        <v>122</v>
      </c>
      <c r="C261" s="138" t="s">
        <v>123</v>
      </c>
      <c r="D261" s="147">
        <v>0</v>
      </c>
      <c r="E261" s="147">
        <v>0</v>
      </c>
      <c r="F261" s="147">
        <v>0</v>
      </c>
      <c r="G261" s="147">
        <v>0</v>
      </c>
      <c r="H261" s="291">
        <v>0</v>
      </c>
      <c r="I261" s="579">
        <f t="shared" si="7"/>
        <v>0</v>
      </c>
    </row>
    <row r="262" spans="1:10" ht="10.5" customHeight="1" x14ac:dyDescent="0.15">
      <c r="A262" s="512"/>
      <c r="B262" s="521" t="s">
        <v>1581</v>
      </c>
      <c r="C262" s="138" t="s">
        <v>124</v>
      </c>
      <c r="D262" s="147">
        <v>0</v>
      </c>
      <c r="E262" s="147">
        <v>0</v>
      </c>
      <c r="F262" s="147">
        <v>0</v>
      </c>
      <c r="G262" s="147">
        <v>0</v>
      </c>
      <c r="H262" s="291">
        <v>0</v>
      </c>
      <c r="I262" s="579">
        <f t="shared" si="7"/>
        <v>0</v>
      </c>
    </row>
    <row r="263" spans="1:10" ht="10.5" customHeight="1" x14ac:dyDescent="0.15">
      <c r="A263" s="512"/>
      <c r="B263" s="521" t="s">
        <v>125</v>
      </c>
      <c r="C263" s="138" t="s">
        <v>133</v>
      </c>
      <c r="D263" s="147">
        <v>0</v>
      </c>
      <c r="E263" s="147">
        <v>0</v>
      </c>
      <c r="F263" s="147">
        <v>0</v>
      </c>
      <c r="G263" s="147">
        <v>0</v>
      </c>
      <c r="H263" s="291">
        <v>0</v>
      </c>
      <c r="I263" s="579">
        <f t="shared" si="7"/>
        <v>0</v>
      </c>
    </row>
    <row r="264" spans="1:10" ht="10.5" customHeight="1" x14ac:dyDescent="0.15">
      <c r="A264" s="512"/>
      <c r="B264" s="521" t="s">
        <v>126</v>
      </c>
      <c r="C264" s="138" t="s">
        <v>187</v>
      </c>
      <c r="D264" s="147">
        <v>0</v>
      </c>
      <c r="E264" s="147">
        <v>0</v>
      </c>
      <c r="F264" s="147">
        <v>0</v>
      </c>
      <c r="G264" s="147">
        <v>0</v>
      </c>
      <c r="H264" s="291">
        <v>0</v>
      </c>
      <c r="I264" s="579">
        <f t="shared" si="7"/>
        <v>0</v>
      </c>
    </row>
    <row r="265" spans="1:10" ht="10.5" customHeight="1" x14ac:dyDescent="0.15">
      <c r="A265" s="512"/>
      <c r="B265" s="521" t="s">
        <v>127</v>
      </c>
      <c r="C265" s="138" t="s">
        <v>134</v>
      </c>
      <c r="D265" s="147">
        <v>0</v>
      </c>
      <c r="E265" s="147">
        <v>0</v>
      </c>
      <c r="F265" s="147">
        <v>0</v>
      </c>
      <c r="G265" s="147">
        <v>0</v>
      </c>
      <c r="H265" s="291">
        <v>0</v>
      </c>
      <c r="I265" s="579">
        <f t="shared" si="7"/>
        <v>0</v>
      </c>
    </row>
    <row r="266" spans="1:10" ht="10.5" customHeight="1" x14ac:dyDescent="0.15">
      <c r="A266" s="512"/>
      <c r="B266" s="521" t="s">
        <v>128</v>
      </c>
      <c r="C266" s="138" t="s">
        <v>135</v>
      </c>
      <c r="D266" s="147">
        <v>0</v>
      </c>
      <c r="E266" s="147">
        <v>0</v>
      </c>
      <c r="F266" s="147">
        <v>0</v>
      </c>
      <c r="G266" s="147">
        <v>0</v>
      </c>
      <c r="H266" s="291">
        <v>0</v>
      </c>
      <c r="I266" s="579">
        <f t="shared" si="7"/>
        <v>0</v>
      </c>
    </row>
    <row r="267" spans="1:10" ht="10.5" customHeight="1" x14ac:dyDescent="0.15">
      <c r="A267" s="512"/>
      <c r="B267" s="521" t="s">
        <v>129</v>
      </c>
      <c r="C267" s="138" t="s">
        <v>136</v>
      </c>
      <c r="D267" s="147">
        <v>0</v>
      </c>
      <c r="E267" s="147">
        <v>0</v>
      </c>
      <c r="F267" s="147">
        <v>0</v>
      </c>
      <c r="G267" s="147">
        <v>0</v>
      </c>
      <c r="H267" s="291">
        <v>0</v>
      </c>
      <c r="I267" s="579">
        <f t="shared" si="7"/>
        <v>0</v>
      </c>
    </row>
    <row r="268" spans="1:10" ht="10.5" customHeight="1" x14ac:dyDescent="0.15">
      <c r="A268" s="512"/>
      <c r="B268" s="521" t="s">
        <v>130</v>
      </c>
      <c r="C268" s="138" t="s">
        <v>188</v>
      </c>
      <c r="D268" s="147">
        <v>0</v>
      </c>
      <c r="E268" s="147">
        <v>0</v>
      </c>
      <c r="F268" s="147">
        <v>0</v>
      </c>
      <c r="G268" s="147">
        <v>0</v>
      </c>
      <c r="H268" s="291">
        <v>0</v>
      </c>
      <c r="I268" s="579">
        <f t="shared" si="7"/>
        <v>0</v>
      </c>
    </row>
    <row r="269" spans="1:10" ht="10.5" customHeight="1" x14ac:dyDescent="0.15">
      <c r="A269" s="512"/>
      <c r="B269" s="521" t="s">
        <v>131</v>
      </c>
      <c r="C269" s="138" t="s">
        <v>137</v>
      </c>
      <c r="D269" s="147">
        <v>0</v>
      </c>
      <c r="E269" s="147">
        <v>0</v>
      </c>
      <c r="F269" s="147">
        <v>0</v>
      </c>
      <c r="G269" s="147">
        <v>0</v>
      </c>
      <c r="H269" s="291">
        <v>0</v>
      </c>
      <c r="I269" s="579">
        <f t="shared" si="7"/>
        <v>0</v>
      </c>
    </row>
    <row r="270" spans="1:10" ht="10.5" customHeight="1" x14ac:dyDescent="0.15">
      <c r="A270" s="512"/>
      <c r="B270" s="521" t="s">
        <v>132</v>
      </c>
      <c r="C270" s="138" t="s">
        <v>1617</v>
      </c>
      <c r="D270" s="147">
        <v>0</v>
      </c>
      <c r="E270" s="147">
        <v>0</v>
      </c>
      <c r="F270" s="147">
        <v>0</v>
      </c>
      <c r="G270" s="147">
        <v>0</v>
      </c>
      <c r="H270" s="291">
        <v>0</v>
      </c>
      <c r="I270" s="579">
        <f t="shared" si="7"/>
        <v>0</v>
      </c>
    </row>
    <row r="271" spans="1:10" ht="10.5" customHeight="1" x14ac:dyDescent="0.15">
      <c r="A271" s="512"/>
      <c r="B271" s="521" t="s">
        <v>675</v>
      </c>
      <c r="C271" s="138" t="s">
        <v>698</v>
      </c>
      <c r="D271" s="147">
        <v>0</v>
      </c>
      <c r="E271" s="147">
        <v>0</v>
      </c>
      <c r="F271" s="147">
        <v>0</v>
      </c>
      <c r="G271" s="147">
        <v>0</v>
      </c>
      <c r="H271" s="291">
        <v>0</v>
      </c>
      <c r="I271" s="579">
        <f t="shared" si="7"/>
        <v>0</v>
      </c>
    </row>
    <row r="272" spans="1:10" ht="10.5" customHeight="1" x14ac:dyDescent="0.15">
      <c r="A272" s="512"/>
      <c r="B272" s="521" t="s">
        <v>1624</v>
      </c>
      <c r="C272" s="138" t="s">
        <v>840</v>
      </c>
      <c r="D272" s="147">
        <v>0</v>
      </c>
      <c r="E272" s="147">
        <v>0</v>
      </c>
      <c r="F272" s="147">
        <v>0</v>
      </c>
      <c r="G272" s="147">
        <v>0</v>
      </c>
      <c r="H272" s="291">
        <v>0</v>
      </c>
      <c r="I272" s="579">
        <f t="shared" si="7"/>
        <v>0</v>
      </c>
    </row>
    <row r="273" spans="1:9" ht="10.5" customHeight="1" x14ac:dyDescent="0.15">
      <c r="A273" s="512"/>
      <c r="B273" s="521" t="s">
        <v>1625</v>
      </c>
      <c r="C273" s="138" t="s">
        <v>842</v>
      </c>
      <c r="D273" s="147">
        <v>0</v>
      </c>
      <c r="E273" s="147">
        <v>0</v>
      </c>
      <c r="F273" s="147">
        <v>0</v>
      </c>
      <c r="G273" s="147">
        <v>0</v>
      </c>
      <c r="H273" s="291">
        <v>0</v>
      </c>
      <c r="I273" s="579">
        <f t="shared" si="7"/>
        <v>0</v>
      </c>
    </row>
    <row r="274" spans="1:9" ht="10.5" customHeight="1" x14ac:dyDescent="0.15">
      <c r="A274" s="512"/>
      <c r="B274" s="521" t="s">
        <v>843</v>
      </c>
      <c r="C274" s="138" t="s">
        <v>848</v>
      </c>
      <c r="D274" s="147">
        <v>0</v>
      </c>
      <c r="E274" s="147">
        <v>0</v>
      </c>
      <c r="F274" s="147">
        <v>0</v>
      </c>
      <c r="G274" s="147">
        <v>0</v>
      </c>
      <c r="H274" s="291">
        <v>0</v>
      </c>
      <c r="I274" s="579">
        <f t="shared" si="7"/>
        <v>0</v>
      </c>
    </row>
    <row r="275" spans="1:9" ht="10.5" customHeight="1" x14ac:dyDescent="0.15">
      <c r="A275" s="512"/>
      <c r="B275" s="521" t="s">
        <v>844</v>
      </c>
      <c r="C275" s="138" t="s">
        <v>186</v>
      </c>
      <c r="D275" s="147">
        <v>0</v>
      </c>
      <c r="E275" s="147">
        <v>0</v>
      </c>
      <c r="F275" s="147">
        <v>0</v>
      </c>
      <c r="G275" s="147">
        <v>0</v>
      </c>
      <c r="H275" s="291">
        <v>0</v>
      </c>
      <c r="I275" s="579">
        <f t="shared" si="7"/>
        <v>0</v>
      </c>
    </row>
    <row r="276" spans="1:9" ht="10.5" customHeight="1" x14ac:dyDescent="0.15">
      <c r="A276" s="512"/>
      <c r="B276" s="521" t="s">
        <v>845</v>
      </c>
      <c r="C276" s="138" t="s">
        <v>154</v>
      </c>
      <c r="D276" s="147">
        <v>0</v>
      </c>
      <c r="E276" s="147">
        <v>0</v>
      </c>
      <c r="F276" s="147">
        <v>0</v>
      </c>
      <c r="G276" s="147">
        <v>0</v>
      </c>
      <c r="H276" s="291">
        <v>0</v>
      </c>
      <c r="I276" s="579">
        <f t="shared" si="7"/>
        <v>0</v>
      </c>
    </row>
    <row r="277" spans="1:9" ht="10.5" customHeight="1" x14ac:dyDescent="0.15">
      <c r="A277" s="512"/>
      <c r="B277" s="521" t="s">
        <v>846</v>
      </c>
      <c r="C277" s="138" t="s">
        <v>155</v>
      </c>
      <c r="D277" s="147">
        <v>0</v>
      </c>
      <c r="E277" s="147">
        <v>0</v>
      </c>
      <c r="F277" s="147">
        <v>0</v>
      </c>
      <c r="G277" s="147">
        <v>0</v>
      </c>
      <c r="H277" s="291">
        <v>0</v>
      </c>
      <c r="I277" s="579">
        <f t="shared" si="7"/>
        <v>0</v>
      </c>
    </row>
    <row r="278" spans="1:9" ht="10.5" customHeight="1" x14ac:dyDescent="0.15">
      <c r="A278" s="512"/>
      <c r="B278" s="521" t="s">
        <v>1582</v>
      </c>
      <c r="C278" s="138" t="s">
        <v>156</v>
      </c>
      <c r="D278" s="147">
        <v>0</v>
      </c>
      <c r="E278" s="147">
        <v>0</v>
      </c>
      <c r="F278" s="147">
        <v>0</v>
      </c>
      <c r="G278" s="147">
        <v>0</v>
      </c>
      <c r="H278" s="291">
        <v>0</v>
      </c>
      <c r="I278" s="579">
        <f t="shared" si="7"/>
        <v>0</v>
      </c>
    </row>
    <row r="279" spans="1:9" ht="10.5" customHeight="1" x14ac:dyDescent="0.15">
      <c r="A279" s="512"/>
      <c r="B279" s="521" t="s">
        <v>847</v>
      </c>
      <c r="C279" s="138" t="s">
        <v>157</v>
      </c>
      <c r="D279" s="147">
        <v>0</v>
      </c>
      <c r="E279" s="147">
        <v>0</v>
      </c>
      <c r="F279" s="147">
        <v>0</v>
      </c>
      <c r="G279" s="147">
        <v>0</v>
      </c>
      <c r="H279" s="291">
        <v>0</v>
      </c>
      <c r="I279" s="579">
        <f t="shared" si="7"/>
        <v>0</v>
      </c>
    </row>
    <row r="280" spans="1:9" ht="10.5" customHeight="1" x14ac:dyDescent="0.15">
      <c r="A280" s="512"/>
      <c r="B280" s="521" t="s">
        <v>1583</v>
      </c>
      <c r="C280" s="138" t="s">
        <v>160</v>
      </c>
      <c r="D280" s="147">
        <v>0</v>
      </c>
      <c r="E280" s="147">
        <v>0</v>
      </c>
      <c r="F280" s="147">
        <v>0</v>
      </c>
      <c r="G280" s="147">
        <v>0</v>
      </c>
      <c r="H280" s="291">
        <v>0</v>
      </c>
      <c r="I280" s="579">
        <f t="shared" si="7"/>
        <v>0</v>
      </c>
    </row>
    <row r="281" spans="1:9" ht="10.5" customHeight="1" x14ac:dyDescent="0.15">
      <c r="A281" s="512"/>
      <c r="B281" s="521" t="s">
        <v>634</v>
      </c>
      <c r="C281" s="138" t="s">
        <v>165</v>
      </c>
      <c r="D281" s="147">
        <v>0</v>
      </c>
      <c r="E281" s="147">
        <v>0</v>
      </c>
      <c r="F281" s="147">
        <v>0</v>
      </c>
      <c r="G281" s="147">
        <v>0</v>
      </c>
      <c r="H281" s="291">
        <v>0</v>
      </c>
      <c r="I281" s="579">
        <f t="shared" si="7"/>
        <v>0</v>
      </c>
    </row>
    <row r="282" spans="1:9" ht="10.5" customHeight="1" x14ac:dyDescent="0.15">
      <c r="A282" s="512"/>
      <c r="B282" s="521" t="s">
        <v>202</v>
      </c>
      <c r="C282" s="138" t="s">
        <v>171</v>
      </c>
      <c r="D282" s="147">
        <v>0</v>
      </c>
      <c r="E282" s="147">
        <v>0</v>
      </c>
      <c r="F282" s="147">
        <v>0</v>
      </c>
      <c r="G282" s="147">
        <v>0</v>
      </c>
      <c r="H282" s="291">
        <v>0</v>
      </c>
      <c r="I282" s="579">
        <f t="shared" si="7"/>
        <v>0</v>
      </c>
    </row>
    <row r="283" spans="1:9" ht="10.5" customHeight="1" x14ac:dyDescent="0.15">
      <c r="A283" s="512"/>
      <c r="B283" s="521" t="s">
        <v>630</v>
      </c>
      <c r="C283" s="138" t="s">
        <v>172</v>
      </c>
      <c r="D283" s="147">
        <v>0</v>
      </c>
      <c r="E283" s="147">
        <v>0</v>
      </c>
      <c r="F283" s="147">
        <v>0</v>
      </c>
      <c r="G283" s="147">
        <v>0</v>
      </c>
      <c r="H283" s="291">
        <v>0</v>
      </c>
      <c r="I283" s="579">
        <f t="shared" si="7"/>
        <v>0</v>
      </c>
    </row>
    <row r="284" spans="1:9" ht="10.5" customHeight="1" x14ac:dyDescent="0.15">
      <c r="A284" s="512"/>
      <c r="B284" s="650" t="s">
        <v>631</v>
      </c>
      <c r="C284" s="651" t="s">
        <v>173</v>
      </c>
      <c r="D284" s="147">
        <v>0</v>
      </c>
      <c r="E284" s="147">
        <v>0</v>
      </c>
      <c r="F284" s="147">
        <v>0</v>
      </c>
      <c r="G284" s="147">
        <v>0</v>
      </c>
      <c r="H284" s="291">
        <v>0</v>
      </c>
      <c r="I284" s="579">
        <f t="shared" si="7"/>
        <v>0</v>
      </c>
    </row>
    <row r="285" spans="1:9" ht="10.5" customHeight="1" x14ac:dyDescent="0.15">
      <c r="A285" s="512"/>
      <c r="B285" s="521" t="s">
        <v>1584</v>
      </c>
      <c r="C285" s="138" t="s">
        <v>178</v>
      </c>
      <c r="D285" s="147">
        <v>0</v>
      </c>
      <c r="E285" s="147">
        <v>0</v>
      </c>
      <c r="F285" s="147">
        <v>0</v>
      </c>
      <c r="G285" s="147">
        <v>0</v>
      </c>
      <c r="H285" s="291">
        <v>0</v>
      </c>
      <c r="I285" s="579">
        <f t="shared" si="7"/>
        <v>0</v>
      </c>
    </row>
    <row r="286" spans="1:9" ht="10.5" customHeight="1" x14ac:dyDescent="0.15">
      <c r="A286" s="512"/>
      <c r="B286" s="521" t="s">
        <v>174</v>
      </c>
      <c r="C286" s="138" t="s">
        <v>179</v>
      </c>
      <c r="D286" s="147">
        <v>0</v>
      </c>
      <c r="E286" s="147">
        <v>0</v>
      </c>
      <c r="F286" s="147">
        <v>0</v>
      </c>
      <c r="G286" s="147">
        <v>0</v>
      </c>
      <c r="H286" s="291">
        <v>0</v>
      </c>
      <c r="I286" s="579">
        <f t="shared" si="7"/>
        <v>0</v>
      </c>
    </row>
    <row r="287" spans="1:9" ht="10.5" customHeight="1" x14ac:dyDescent="0.15">
      <c r="A287" s="512"/>
      <c r="B287" s="521" t="s">
        <v>175</v>
      </c>
      <c r="C287" s="138" t="s">
        <v>180</v>
      </c>
      <c r="D287" s="147">
        <v>0</v>
      </c>
      <c r="E287" s="147">
        <v>0</v>
      </c>
      <c r="F287" s="147">
        <v>0</v>
      </c>
      <c r="G287" s="147">
        <v>0</v>
      </c>
      <c r="H287" s="291">
        <v>0</v>
      </c>
      <c r="I287" s="579">
        <f t="shared" si="7"/>
        <v>0</v>
      </c>
    </row>
    <row r="288" spans="1:9" ht="10.5" customHeight="1" x14ac:dyDescent="0.15">
      <c r="A288" s="512"/>
      <c r="B288" s="521" t="s">
        <v>176</v>
      </c>
      <c r="C288" s="138" t="s">
        <v>181</v>
      </c>
      <c r="D288" s="147">
        <v>0</v>
      </c>
      <c r="E288" s="147">
        <v>0</v>
      </c>
      <c r="F288" s="147">
        <v>0</v>
      </c>
      <c r="G288" s="147">
        <v>0</v>
      </c>
      <c r="H288" s="291">
        <v>0</v>
      </c>
      <c r="I288" s="579">
        <f t="shared" si="7"/>
        <v>0</v>
      </c>
    </row>
    <row r="289" spans="1:10" ht="10.5" customHeight="1" x14ac:dyDescent="0.15">
      <c r="A289" s="512"/>
      <c r="B289" s="521" t="s">
        <v>177</v>
      </c>
      <c r="C289" s="138" t="s">
        <v>182</v>
      </c>
      <c r="D289" s="147">
        <v>0</v>
      </c>
      <c r="E289" s="147">
        <v>0</v>
      </c>
      <c r="F289" s="147">
        <v>0</v>
      </c>
      <c r="G289" s="147">
        <v>0</v>
      </c>
      <c r="H289" s="291">
        <v>0</v>
      </c>
      <c r="I289" s="579">
        <f>SUM(G289+H289)</f>
        <v>0</v>
      </c>
    </row>
    <row r="290" spans="1:10" ht="10.5" customHeight="1" thickBot="1" x14ac:dyDescent="0.2">
      <c r="A290" s="512"/>
      <c r="B290" s="521" t="s">
        <v>632</v>
      </c>
      <c r="C290" s="138" t="s">
        <v>183</v>
      </c>
      <c r="D290" s="144">
        <v>0</v>
      </c>
      <c r="E290" s="144">
        <v>0</v>
      </c>
      <c r="F290" s="144">
        <v>0</v>
      </c>
      <c r="G290" s="144">
        <v>0</v>
      </c>
      <c r="H290" s="291">
        <v>0</v>
      </c>
      <c r="I290" s="579">
        <f>SUM(G290+H290)</f>
        <v>0</v>
      </c>
    </row>
    <row r="291" spans="1:10" ht="10.5" customHeight="1" thickTop="1" thickBot="1" x14ac:dyDescent="0.2">
      <c r="A291" s="512"/>
      <c r="B291" s="521"/>
      <c r="C291" s="138" t="s">
        <v>659</v>
      </c>
      <c r="D291" s="169">
        <f>SUM(D254:D290)</f>
        <v>0</v>
      </c>
      <c r="E291" s="169">
        <f>SUM(E254:E290)</f>
        <v>0</v>
      </c>
      <c r="F291" s="169">
        <f>SUM(F254:F290)</f>
        <v>0</v>
      </c>
      <c r="G291" s="169">
        <f>SUM(G254:G290)</f>
        <v>0</v>
      </c>
      <c r="H291" s="169">
        <f>SUM(H254:H290)</f>
        <v>0</v>
      </c>
      <c r="I291" s="169">
        <f>G291+H291</f>
        <v>0</v>
      </c>
    </row>
    <row r="292" spans="1:10" ht="10.5" customHeight="1" thickTop="1" x14ac:dyDescent="0.15">
      <c r="A292" s="512"/>
      <c r="B292" s="521"/>
      <c r="C292" s="138"/>
      <c r="D292" s="14"/>
      <c r="E292" s="14"/>
      <c r="F292" s="14"/>
      <c r="G292" s="14"/>
      <c r="H292" s="198"/>
      <c r="I292" s="170"/>
    </row>
    <row r="293" spans="1:10" ht="10.5" customHeight="1" x14ac:dyDescent="0.15">
      <c r="A293" s="512" t="s">
        <v>660</v>
      </c>
      <c r="C293" s="138"/>
      <c r="D293" s="14"/>
      <c r="E293" s="14"/>
      <c r="F293" s="14"/>
      <c r="G293" s="14"/>
      <c r="H293" s="198"/>
      <c r="I293" s="170"/>
    </row>
    <row r="294" spans="1:10" s="434" customFormat="1" x14ac:dyDescent="0.15">
      <c r="B294" s="523" t="s">
        <v>1577</v>
      </c>
      <c r="C294" s="524" t="s">
        <v>228</v>
      </c>
      <c r="D294" s="316">
        <v>0</v>
      </c>
      <c r="E294" s="316">
        <v>0</v>
      </c>
      <c r="F294" s="316">
        <v>0</v>
      </c>
      <c r="G294" s="528">
        <f t="array" ref="G294">SUM(IF(CertFund&amp;CertProg&amp;CertObj=RIGHT(LEFT($A$2,7),2)&amp;LEFT(A293,4)&amp;B294,CertSalary))</f>
        <v>0</v>
      </c>
      <c r="H294" s="527">
        <v>0</v>
      </c>
      <c r="I294" s="566">
        <f>SUM(G294+H294)</f>
        <v>0</v>
      </c>
    </row>
    <row r="295" spans="1:10" s="434" customFormat="1" x14ac:dyDescent="0.15">
      <c r="B295" s="523" t="s">
        <v>1577</v>
      </c>
      <c r="C295" s="524" t="s">
        <v>510</v>
      </c>
      <c r="D295" s="316">
        <v>0</v>
      </c>
      <c r="E295" s="316">
        <v>0</v>
      </c>
      <c r="F295" s="316">
        <v>0</v>
      </c>
      <c r="G295" s="316">
        <v>0</v>
      </c>
      <c r="H295" s="527">
        <v>0</v>
      </c>
      <c r="I295" s="566">
        <f>SUM(G295+H295)</f>
        <v>0</v>
      </c>
    </row>
    <row r="296" spans="1:10" s="434" customFormat="1" x14ac:dyDescent="0.15">
      <c r="A296" s="524"/>
      <c r="B296" s="523" t="s">
        <v>1578</v>
      </c>
      <c r="C296" s="524" t="s">
        <v>936</v>
      </c>
      <c r="D296" s="316">
        <v>0</v>
      </c>
      <c r="E296" s="316">
        <v>0</v>
      </c>
      <c r="F296" s="316">
        <v>0</v>
      </c>
      <c r="G296" s="529">
        <f t="array" ref="G296">SUM(IF(CertFund&amp;CertProg&amp;CertObj=RIGHT(LEFT($A$2,7),2)&amp;LEFT(A293,4)&amp;B294,CertBen))</f>
        <v>0</v>
      </c>
      <c r="H296" s="527">
        <v>0</v>
      </c>
      <c r="I296" s="566">
        <f>SUM(G296+H296)</f>
        <v>0</v>
      </c>
    </row>
    <row r="297" spans="1:10" x14ac:dyDescent="0.15">
      <c r="A297" s="138"/>
      <c r="B297" s="521" t="s">
        <v>1578</v>
      </c>
      <c r="C297" s="138" t="s">
        <v>511</v>
      </c>
      <c r="D297" s="147">
        <v>0</v>
      </c>
      <c r="E297" s="147">
        <v>0</v>
      </c>
      <c r="F297" s="147">
        <v>0</v>
      </c>
      <c r="G297" s="147">
        <v>0</v>
      </c>
      <c r="H297" s="150">
        <v>0</v>
      </c>
      <c r="I297" s="567">
        <f>SUM(G297+H297)</f>
        <v>0</v>
      </c>
      <c r="J297" s="434"/>
    </row>
    <row r="298" spans="1:10" ht="10.5" customHeight="1" x14ac:dyDescent="0.15">
      <c r="A298" s="512"/>
      <c r="B298" s="521" t="s">
        <v>1579</v>
      </c>
      <c r="C298" s="138" t="s">
        <v>118</v>
      </c>
      <c r="D298" s="147">
        <v>0</v>
      </c>
      <c r="E298" s="147">
        <v>0</v>
      </c>
      <c r="F298" s="147">
        <v>0</v>
      </c>
      <c r="G298" s="147">
        <v>0</v>
      </c>
      <c r="H298" s="291">
        <v>0</v>
      </c>
      <c r="I298" s="579">
        <f t="shared" ref="I298:I322" si="8">SUM(G298+H298)</f>
        <v>0</v>
      </c>
    </row>
    <row r="299" spans="1:10" ht="10.5" customHeight="1" x14ac:dyDescent="0.15">
      <c r="A299" s="512"/>
      <c r="B299" s="521" t="s">
        <v>1580</v>
      </c>
      <c r="C299" s="138" t="s">
        <v>119</v>
      </c>
      <c r="D299" s="147">
        <v>0</v>
      </c>
      <c r="E299" s="147">
        <v>0</v>
      </c>
      <c r="F299" s="147">
        <v>0</v>
      </c>
      <c r="G299" s="147">
        <v>0</v>
      </c>
      <c r="H299" s="291">
        <v>0</v>
      </c>
      <c r="I299" s="579">
        <f t="shared" si="8"/>
        <v>0</v>
      </c>
    </row>
    <row r="300" spans="1:10" ht="10.5" customHeight="1" x14ac:dyDescent="0.15">
      <c r="A300" s="512"/>
      <c r="B300" s="521" t="s">
        <v>120</v>
      </c>
      <c r="C300" s="138" t="s">
        <v>121</v>
      </c>
      <c r="D300" s="147">
        <v>0</v>
      </c>
      <c r="E300" s="147">
        <v>0</v>
      </c>
      <c r="F300" s="147">
        <v>0</v>
      </c>
      <c r="G300" s="147">
        <v>0</v>
      </c>
      <c r="H300" s="291">
        <v>0</v>
      </c>
      <c r="I300" s="579">
        <f t="shared" si="8"/>
        <v>0</v>
      </c>
    </row>
    <row r="301" spans="1:10" ht="10.5" customHeight="1" x14ac:dyDescent="0.15">
      <c r="A301" s="512"/>
      <c r="B301" s="521" t="s">
        <v>122</v>
      </c>
      <c r="C301" s="138" t="s">
        <v>123</v>
      </c>
      <c r="D301" s="147">
        <v>0</v>
      </c>
      <c r="E301" s="147">
        <v>0</v>
      </c>
      <c r="F301" s="147">
        <v>0</v>
      </c>
      <c r="G301" s="147">
        <v>0</v>
      </c>
      <c r="H301" s="291">
        <v>0</v>
      </c>
      <c r="I301" s="579">
        <f t="shared" si="8"/>
        <v>0</v>
      </c>
    </row>
    <row r="302" spans="1:10" ht="10.5" customHeight="1" x14ac:dyDescent="0.15">
      <c r="A302" s="512"/>
      <c r="B302" s="521" t="s">
        <v>1581</v>
      </c>
      <c r="C302" s="138" t="s">
        <v>124</v>
      </c>
      <c r="D302" s="147">
        <v>0</v>
      </c>
      <c r="E302" s="147">
        <v>0</v>
      </c>
      <c r="F302" s="147">
        <v>0</v>
      </c>
      <c r="G302" s="147">
        <v>0</v>
      </c>
      <c r="H302" s="291">
        <v>0</v>
      </c>
      <c r="I302" s="579">
        <f t="shared" si="8"/>
        <v>0</v>
      </c>
    </row>
    <row r="303" spans="1:10" ht="10.5" customHeight="1" x14ac:dyDescent="0.15">
      <c r="A303" s="512"/>
      <c r="B303" s="521" t="s">
        <v>675</v>
      </c>
      <c r="C303" s="138" t="s">
        <v>698</v>
      </c>
      <c r="D303" s="147">
        <v>0</v>
      </c>
      <c r="E303" s="147">
        <v>0</v>
      </c>
      <c r="F303" s="147">
        <v>0</v>
      </c>
      <c r="G303" s="147">
        <v>0</v>
      </c>
      <c r="H303" s="291">
        <v>0</v>
      </c>
      <c r="I303" s="579">
        <f t="shared" si="8"/>
        <v>0</v>
      </c>
    </row>
    <row r="304" spans="1:10" ht="10.5" customHeight="1" x14ac:dyDescent="0.15">
      <c r="A304" s="512"/>
      <c r="B304" s="521" t="s">
        <v>1624</v>
      </c>
      <c r="C304" s="138" t="s">
        <v>840</v>
      </c>
      <c r="D304" s="147">
        <v>0</v>
      </c>
      <c r="E304" s="147">
        <v>0</v>
      </c>
      <c r="F304" s="147">
        <v>0</v>
      </c>
      <c r="G304" s="147">
        <v>0</v>
      </c>
      <c r="H304" s="291">
        <v>0</v>
      </c>
      <c r="I304" s="579">
        <f t="shared" si="8"/>
        <v>0</v>
      </c>
    </row>
    <row r="305" spans="1:9" ht="10.5" customHeight="1" x14ac:dyDescent="0.15">
      <c r="A305" s="512"/>
      <c r="B305" s="521" t="s">
        <v>1625</v>
      </c>
      <c r="C305" s="138" t="s">
        <v>842</v>
      </c>
      <c r="D305" s="147">
        <v>0</v>
      </c>
      <c r="E305" s="147">
        <v>0</v>
      </c>
      <c r="F305" s="147">
        <v>0</v>
      </c>
      <c r="G305" s="147">
        <v>0</v>
      </c>
      <c r="H305" s="291">
        <v>0</v>
      </c>
      <c r="I305" s="579">
        <f t="shared" si="8"/>
        <v>0</v>
      </c>
    </row>
    <row r="306" spans="1:9" ht="10.5" customHeight="1" x14ac:dyDescent="0.15">
      <c r="A306" s="512"/>
      <c r="B306" s="521" t="s">
        <v>843</v>
      </c>
      <c r="C306" s="138" t="s">
        <v>848</v>
      </c>
      <c r="D306" s="147">
        <v>0</v>
      </c>
      <c r="E306" s="147">
        <v>0</v>
      </c>
      <c r="F306" s="147">
        <v>0</v>
      </c>
      <c r="G306" s="147">
        <v>0</v>
      </c>
      <c r="H306" s="291">
        <v>0</v>
      </c>
      <c r="I306" s="579">
        <f t="shared" si="8"/>
        <v>0</v>
      </c>
    </row>
    <row r="307" spans="1:9" ht="10.5" customHeight="1" x14ac:dyDescent="0.15">
      <c r="A307" s="512"/>
      <c r="B307" s="521" t="s">
        <v>844</v>
      </c>
      <c r="C307" s="138" t="s">
        <v>186</v>
      </c>
      <c r="D307" s="147">
        <v>0</v>
      </c>
      <c r="E307" s="147">
        <v>0</v>
      </c>
      <c r="F307" s="147">
        <v>0</v>
      </c>
      <c r="G307" s="147">
        <v>0</v>
      </c>
      <c r="H307" s="291">
        <v>0</v>
      </c>
      <c r="I307" s="579">
        <f t="shared" si="8"/>
        <v>0</v>
      </c>
    </row>
    <row r="308" spans="1:9" ht="10.5" customHeight="1" x14ac:dyDescent="0.15">
      <c r="A308" s="512"/>
      <c r="B308" s="521" t="s">
        <v>845</v>
      </c>
      <c r="C308" s="138" t="s">
        <v>154</v>
      </c>
      <c r="D308" s="147">
        <v>0</v>
      </c>
      <c r="E308" s="147">
        <v>0</v>
      </c>
      <c r="F308" s="147">
        <v>0</v>
      </c>
      <c r="G308" s="147">
        <v>0</v>
      </c>
      <c r="H308" s="291">
        <v>0</v>
      </c>
      <c r="I308" s="579">
        <f t="shared" si="8"/>
        <v>0</v>
      </c>
    </row>
    <row r="309" spans="1:9" ht="10.5" customHeight="1" x14ac:dyDescent="0.15">
      <c r="A309" s="512"/>
      <c r="B309" s="521" t="s">
        <v>846</v>
      </c>
      <c r="C309" s="138" t="s">
        <v>155</v>
      </c>
      <c r="D309" s="147">
        <v>0</v>
      </c>
      <c r="E309" s="147">
        <v>0</v>
      </c>
      <c r="F309" s="147">
        <v>0</v>
      </c>
      <c r="G309" s="147">
        <v>0</v>
      </c>
      <c r="H309" s="291">
        <v>0</v>
      </c>
      <c r="I309" s="579">
        <f t="shared" si="8"/>
        <v>0</v>
      </c>
    </row>
    <row r="310" spans="1:9" ht="10.5" customHeight="1" x14ac:dyDescent="0.15">
      <c r="A310" s="512"/>
      <c r="B310" s="521" t="s">
        <v>332</v>
      </c>
      <c r="C310" s="138" t="s">
        <v>463</v>
      </c>
      <c r="D310" s="147">
        <v>0</v>
      </c>
      <c r="E310" s="147">
        <v>0</v>
      </c>
      <c r="F310" s="147">
        <v>0</v>
      </c>
      <c r="G310" s="147">
        <v>0</v>
      </c>
      <c r="H310" s="291">
        <v>0</v>
      </c>
      <c r="I310" s="579">
        <f t="shared" si="8"/>
        <v>0</v>
      </c>
    </row>
    <row r="311" spans="1:9" ht="10.5" customHeight="1" x14ac:dyDescent="0.15">
      <c r="A311" s="512"/>
      <c r="B311" s="521" t="s">
        <v>1582</v>
      </c>
      <c r="C311" s="138" t="s">
        <v>156</v>
      </c>
      <c r="D311" s="147">
        <v>0</v>
      </c>
      <c r="E311" s="147">
        <v>0</v>
      </c>
      <c r="F311" s="147">
        <v>0</v>
      </c>
      <c r="G311" s="147">
        <v>0</v>
      </c>
      <c r="H311" s="291">
        <v>0</v>
      </c>
      <c r="I311" s="579">
        <f t="shared" si="8"/>
        <v>0</v>
      </c>
    </row>
    <row r="312" spans="1:9" ht="10.5" customHeight="1" x14ac:dyDescent="0.15">
      <c r="A312" s="512"/>
      <c r="B312" s="521" t="s">
        <v>847</v>
      </c>
      <c r="C312" s="138" t="s">
        <v>157</v>
      </c>
      <c r="D312" s="147">
        <v>0</v>
      </c>
      <c r="E312" s="147">
        <v>0</v>
      </c>
      <c r="F312" s="147">
        <v>0</v>
      </c>
      <c r="G312" s="147">
        <v>0</v>
      </c>
      <c r="H312" s="291">
        <v>0</v>
      </c>
      <c r="I312" s="579">
        <f t="shared" si="8"/>
        <v>0</v>
      </c>
    </row>
    <row r="313" spans="1:9" ht="10.5" customHeight="1" x14ac:dyDescent="0.15">
      <c r="A313" s="512"/>
      <c r="B313" s="521" t="s">
        <v>1583</v>
      </c>
      <c r="C313" s="138" t="s">
        <v>160</v>
      </c>
      <c r="D313" s="147">
        <v>0</v>
      </c>
      <c r="E313" s="147">
        <v>0</v>
      </c>
      <c r="F313" s="147">
        <v>0</v>
      </c>
      <c r="G313" s="147">
        <v>0</v>
      </c>
      <c r="H313" s="291">
        <v>0</v>
      </c>
      <c r="I313" s="579">
        <f t="shared" si="8"/>
        <v>0</v>
      </c>
    </row>
    <row r="314" spans="1:9" ht="10.5" customHeight="1" x14ac:dyDescent="0.15">
      <c r="A314" s="512"/>
      <c r="B314" s="521" t="s">
        <v>634</v>
      </c>
      <c r="C314" s="138" t="s">
        <v>165</v>
      </c>
      <c r="D314" s="147">
        <v>0</v>
      </c>
      <c r="E314" s="147">
        <v>0</v>
      </c>
      <c r="F314" s="147">
        <v>0</v>
      </c>
      <c r="G314" s="147">
        <v>0</v>
      </c>
      <c r="H314" s="291">
        <v>0</v>
      </c>
      <c r="I314" s="579">
        <f t="shared" si="8"/>
        <v>0</v>
      </c>
    </row>
    <row r="315" spans="1:9" ht="10.5" customHeight="1" x14ac:dyDescent="0.15">
      <c r="A315" s="512"/>
      <c r="B315" s="521" t="s">
        <v>630</v>
      </c>
      <c r="C315" s="138" t="s">
        <v>172</v>
      </c>
      <c r="D315" s="147">
        <v>0</v>
      </c>
      <c r="E315" s="147">
        <v>0</v>
      </c>
      <c r="F315" s="147">
        <v>0</v>
      </c>
      <c r="G315" s="147">
        <v>0</v>
      </c>
      <c r="H315" s="291">
        <v>0</v>
      </c>
      <c r="I315" s="579">
        <f t="shared" si="8"/>
        <v>0</v>
      </c>
    </row>
    <row r="316" spans="1:9" ht="10.5" customHeight="1" x14ac:dyDescent="0.15">
      <c r="A316" s="512"/>
      <c r="B316" s="650" t="s">
        <v>631</v>
      </c>
      <c r="C316" s="651" t="s">
        <v>173</v>
      </c>
      <c r="D316" s="147">
        <v>0</v>
      </c>
      <c r="E316" s="147">
        <v>0</v>
      </c>
      <c r="F316" s="147">
        <v>0</v>
      </c>
      <c r="G316" s="147">
        <v>0</v>
      </c>
      <c r="H316" s="291">
        <v>0</v>
      </c>
      <c r="I316" s="579">
        <f t="shared" si="8"/>
        <v>0</v>
      </c>
    </row>
    <row r="317" spans="1:9" ht="10.5" customHeight="1" x14ac:dyDescent="0.15">
      <c r="A317" s="512"/>
      <c r="B317" s="521" t="s">
        <v>1584</v>
      </c>
      <c r="C317" s="138" t="s">
        <v>178</v>
      </c>
      <c r="D317" s="147">
        <v>0</v>
      </c>
      <c r="E317" s="147">
        <v>0</v>
      </c>
      <c r="F317" s="147">
        <v>0</v>
      </c>
      <c r="G317" s="147">
        <v>0</v>
      </c>
      <c r="H317" s="291">
        <v>0</v>
      </c>
      <c r="I317" s="579">
        <f t="shared" si="8"/>
        <v>0</v>
      </c>
    </row>
    <row r="318" spans="1:9" ht="10.5" customHeight="1" x14ac:dyDescent="0.15">
      <c r="A318" s="512"/>
      <c r="B318" s="521" t="s">
        <v>174</v>
      </c>
      <c r="C318" s="138" t="s">
        <v>179</v>
      </c>
      <c r="D318" s="147">
        <v>0</v>
      </c>
      <c r="E318" s="147">
        <v>0</v>
      </c>
      <c r="F318" s="147">
        <v>0</v>
      </c>
      <c r="G318" s="147">
        <v>0</v>
      </c>
      <c r="H318" s="291">
        <v>0</v>
      </c>
      <c r="I318" s="579">
        <f t="shared" si="8"/>
        <v>0</v>
      </c>
    </row>
    <row r="319" spans="1:9" ht="10.5" customHeight="1" x14ac:dyDescent="0.15">
      <c r="A319" s="512"/>
      <c r="B319" s="521" t="s">
        <v>175</v>
      </c>
      <c r="C319" s="138" t="s">
        <v>180</v>
      </c>
      <c r="D319" s="147">
        <v>0</v>
      </c>
      <c r="E319" s="147">
        <v>0</v>
      </c>
      <c r="F319" s="147">
        <v>0</v>
      </c>
      <c r="G319" s="147">
        <v>0</v>
      </c>
      <c r="H319" s="291">
        <v>0</v>
      </c>
      <c r="I319" s="579">
        <f t="shared" si="8"/>
        <v>0</v>
      </c>
    </row>
    <row r="320" spans="1:9" ht="10.5" customHeight="1" x14ac:dyDescent="0.15">
      <c r="A320" s="512"/>
      <c r="B320" s="521" t="s">
        <v>176</v>
      </c>
      <c r="C320" s="138" t="s">
        <v>181</v>
      </c>
      <c r="D320" s="147">
        <v>0</v>
      </c>
      <c r="E320" s="147">
        <v>0</v>
      </c>
      <c r="F320" s="147">
        <v>0</v>
      </c>
      <c r="G320" s="147">
        <v>0</v>
      </c>
      <c r="H320" s="291">
        <v>0</v>
      </c>
      <c r="I320" s="579">
        <f t="shared" si="8"/>
        <v>0</v>
      </c>
    </row>
    <row r="321" spans="1:10" ht="10.5" customHeight="1" x14ac:dyDescent="0.15">
      <c r="A321" s="512"/>
      <c r="B321" s="521" t="s">
        <v>177</v>
      </c>
      <c r="C321" s="138" t="s">
        <v>182</v>
      </c>
      <c r="D321" s="147">
        <v>0</v>
      </c>
      <c r="E321" s="147">
        <v>0</v>
      </c>
      <c r="F321" s="147">
        <v>0</v>
      </c>
      <c r="G321" s="147">
        <v>0</v>
      </c>
      <c r="H321" s="291">
        <v>0</v>
      </c>
      <c r="I321" s="579">
        <f t="shared" si="8"/>
        <v>0</v>
      </c>
    </row>
    <row r="322" spans="1:10" ht="10.5" customHeight="1" thickBot="1" x14ac:dyDescent="0.2">
      <c r="A322" s="512"/>
      <c r="B322" s="521" t="s">
        <v>632</v>
      </c>
      <c r="C322" s="138" t="s">
        <v>183</v>
      </c>
      <c r="D322" s="144">
        <v>0</v>
      </c>
      <c r="E322" s="144">
        <v>0</v>
      </c>
      <c r="F322" s="144">
        <v>0</v>
      </c>
      <c r="G322" s="144">
        <v>0</v>
      </c>
      <c r="H322" s="291">
        <v>0</v>
      </c>
      <c r="I322" s="579">
        <f t="shared" si="8"/>
        <v>0</v>
      </c>
    </row>
    <row r="323" spans="1:10" ht="10.5" customHeight="1" thickTop="1" thickBot="1" x14ac:dyDescent="0.2">
      <c r="A323" s="512"/>
      <c r="B323" s="521"/>
      <c r="C323" s="138" t="s">
        <v>661</v>
      </c>
      <c r="D323" s="169">
        <f>SUM(D294:D322)</f>
        <v>0</v>
      </c>
      <c r="E323" s="169">
        <f>SUM(E294:E322)</f>
        <v>0</v>
      </c>
      <c r="F323" s="169">
        <f>SUM(F294:F322)</f>
        <v>0</v>
      </c>
      <c r="G323" s="169">
        <f>SUM(G294:G322)</f>
        <v>0</v>
      </c>
      <c r="H323" s="169">
        <f>SUM(H294:H322)</f>
        <v>0</v>
      </c>
      <c r="I323" s="169">
        <f>G323+H323</f>
        <v>0</v>
      </c>
    </row>
    <row r="324" spans="1:10" ht="10.5" customHeight="1" thickTop="1" x14ac:dyDescent="0.15">
      <c r="A324" s="512"/>
      <c r="B324" s="521"/>
      <c r="C324" s="138"/>
      <c r="D324" s="14"/>
      <c r="E324" s="14"/>
      <c r="F324" s="14"/>
      <c r="G324" s="14"/>
      <c r="H324" s="198"/>
      <c r="I324" s="170"/>
    </row>
    <row r="325" spans="1:10" ht="10.5" customHeight="1" x14ac:dyDescent="0.15">
      <c r="A325" s="512" t="s">
        <v>662</v>
      </c>
      <c r="C325" s="138"/>
      <c r="D325" s="14"/>
      <c r="E325" s="14"/>
      <c r="F325" s="14"/>
      <c r="G325" s="14"/>
      <c r="H325" s="198"/>
      <c r="I325" s="170"/>
    </row>
    <row r="326" spans="1:10" s="434" customFormat="1" x14ac:dyDescent="0.15">
      <c r="B326" s="523" t="s">
        <v>1577</v>
      </c>
      <c r="C326" s="524" t="s">
        <v>228</v>
      </c>
      <c r="D326" s="316">
        <v>0</v>
      </c>
      <c r="E326" s="316">
        <v>0</v>
      </c>
      <c r="F326" s="316">
        <v>0</v>
      </c>
      <c r="G326" s="528">
        <f t="array" ref="G326">SUM(IF(CertFund&amp;CertProg&amp;CertObj=RIGHT(LEFT($A$2,7),2)&amp;LEFT(A325,4)&amp;B326,CertSalary))</f>
        <v>0</v>
      </c>
      <c r="H326" s="527">
        <v>0</v>
      </c>
      <c r="I326" s="566">
        <f>SUM(G326+H326)</f>
        <v>0</v>
      </c>
    </row>
    <row r="327" spans="1:10" s="434" customFormat="1" x14ac:dyDescent="0.15">
      <c r="B327" s="523" t="s">
        <v>1577</v>
      </c>
      <c r="C327" s="524" t="s">
        <v>510</v>
      </c>
      <c r="D327" s="316">
        <v>0</v>
      </c>
      <c r="E327" s="316">
        <v>0</v>
      </c>
      <c r="F327" s="316">
        <v>0</v>
      </c>
      <c r="G327" s="316">
        <v>0</v>
      </c>
      <c r="H327" s="527">
        <v>0</v>
      </c>
      <c r="I327" s="566">
        <f>SUM(G327+H327)</f>
        <v>0</v>
      </c>
    </row>
    <row r="328" spans="1:10" s="434" customFormat="1" x14ac:dyDescent="0.15">
      <c r="A328" s="524"/>
      <c r="B328" s="523" t="s">
        <v>1578</v>
      </c>
      <c r="C328" s="524" t="s">
        <v>936</v>
      </c>
      <c r="D328" s="316">
        <v>0</v>
      </c>
      <c r="E328" s="316">
        <v>0</v>
      </c>
      <c r="F328" s="316">
        <v>0</v>
      </c>
      <c r="G328" s="529">
        <f t="array" ref="G328">SUM(IF(CertFund&amp;CertProg&amp;CertObj=RIGHT(LEFT($A$2,7),2)&amp;LEFT(A325,4)&amp;B326,CertBen))</f>
        <v>0</v>
      </c>
      <c r="H328" s="527">
        <v>0</v>
      </c>
      <c r="I328" s="566">
        <f>SUM(G328+H328)</f>
        <v>0</v>
      </c>
    </row>
    <row r="329" spans="1:10" x14ac:dyDescent="0.15">
      <c r="A329" s="138"/>
      <c r="B329" s="521" t="s">
        <v>1578</v>
      </c>
      <c r="C329" s="138" t="s">
        <v>511</v>
      </c>
      <c r="D329" s="147">
        <v>0</v>
      </c>
      <c r="E329" s="147">
        <v>0</v>
      </c>
      <c r="F329" s="147">
        <v>0</v>
      </c>
      <c r="G329" s="147">
        <v>0</v>
      </c>
      <c r="H329" s="150">
        <v>0</v>
      </c>
      <c r="I329" s="567">
        <f>SUM(G329+H329)</f>
        <v>0</v>
      </c>
      <c r="J329" s="434"/>
    </row>
    <row r="330" spans="1:10" ht="10.5" customHeight="1" x14ac:dyDescent="0.15">
      <c r="A330" s="512"/>
      <c r="B330" s="521" t="s">
        <v>1579</v>
      </c>
      <c r="C330" s="138" t="s">
        <v>118</v>
      </c>
      <c r="D330" s="147">
        <v>0</v>
      </c>
      <c r="E330" s="147">
        <v>0</v>
      </c>
      <c r="F330" s="147">
        <v>0</v>
      </c>
      <c r="G330" s="147">
        <v>0</v>
      </c>
      <c r="H330" s="291">
        <v>0</v>
      </c>
      <c r="I330" s="579">
        <f t="shared" ref="I330:I352" si="9">SUM(G330+H330)</f>
        <v>0</v>
      </c>
    </row>
    <row r="331" spans="1:10" ht="10.5" customHeight="1" x14ac:dyDescent="0.15">
      <c r="A331" s="512"/>
      <c r="B331" s="521" t="s">
        <v>1580</v>
      </c>
      <c r="C331" s="138" t="s">
        <v>119</v>
      </c>
      <c r="D331" s="147">
        <v>0</v>
      </c>
      <c r="E331" s="147">
        <v>0</v>
      </c>
      <c r="F331" s="147">
        <v>0</v>
      </c>
      <c r="G331" s="147">
        <v>0</v>
      </c>
      <c r="H331" s="291">
        <v>0</v>
      </c>
      <c r="I331" s="579">
        <f t="shared" si="9"/>
        <v>0</v>
      </c>
    </row>
    <row r="332" spans="1:10" ht="10.5" customHeight="1" x14ac:dyDescent="0.15">
      <c r="A332" s="512"/>
      <c r="B332" s="521" t="s">
        <v>120</v>
      </c>
      <c r="C332" s="138" t="s">
        <v>121</v>
      </c>
      <c r="D332" s="147">
        <v>0</v>
      </c>
      <c r="E332" s="147">
        <v>0</v>
      </c>
      <c r="F332" s="147">
        <v>0</v>
      </c>
      <c r="G332" s="147">
        <v>0</v>
      </c>
      <c r="H332" s="291">
        <v>0</v>
      </c>
      <c r="I332" s="579">
        <f t="shared" si="9"/>
        <v>0</v>
      </c>
    </row>
    <row r="333" spans="1:10" ht="10.5" customHeight="1" x14ac:dyDescent="0.15">
      <c r="A333" s="512"/>
      <c r="B333" s="521" t="s">
        <v>122</v>
      </c>
      <c r="C333" s="138" t="s">
        <v>123</v>
      </c>
      <c r="D333" s="147">
        <v>0</v>
      </c>
      <c r="E333" s="147">
        <v>0</v>
      </c>
      <c r="F333" s="147">
        <v>0</v>
      </c>
      <c r="G333" s="147">
        <v>0</v>
      </c>
      <c r="H333" s="291">
        <v>0</v>
      </c>
      <c r="I333" s="579">
        <f t="shared" si="9"/>
        <v>0</v>
      </c>
    </row>
    <row r="334" spans="1:10" ht="10.5" customHeight="1" x14ac:dyDescent="0.15">
      <c r="A334" s="512"/>
      <c r="B334" s="521" t="s">
        <v>1581</v>
      </c>
      <c r="C334" s="138" t="s">
        <v>124</v>
      </c>
      <c r="D334" s="147">
        <v>0</v>
      </c>
      <c r="E334" s="147">
        <v>0</v>
      </c>
      <c r="F334" s="147">
        <v>0</v>
      </c>
      <c r="G334" s="147">
        <v>0</v>
      </c>
      <c r="H334" s="291">
        <v>0</v>
      </c>
      <c r="I334" s="579">
        <f t="shared" si="9"/>
        <v>0</v>
      </c>
    </row>
    <row r="335" spans="1:10" ht="10.5" customHeight="1" x14ac:dyDescent="0.15">
      <c r="A335" s="512"/>
      <c r="B335" s="521" t="s">
        <v>1624</v>
      </c>
      <c r="C335" s="138" t="s">
        <v>840</v>
      </c>
      <c r="D335" s="147">
        <v>0</v>
      </c>
      <c r="E335" s="147">
        <v>0</v>
      </c>
      <c r="F335" s="147">
        <v>0</v>
      </c>
      <c r="G335" s="147">
        <v>0</v>
      </c>
      <c r="H335" s="291">
        <v>0</v>
      </c>
      <c r="I335" s="579">
        <f t="shared" si="9"/>
        <v>0</v>
      </c>
    </row>
    <row r="336" spans="1:10" ht="10.5" customHeight="1" x14ac:dyDescent="0.15">
      <c r="A336" s="512"/>
      <c r="B336" s="521" t="s">
        <v>1625</v>
      </c>
      <c r="C336" s="138" t="s">
        <v>842</v>
      </c>
      <c r="D336" s="147">
        <v>0</v>
      </c>
      <c r="E336" s="147">
        <v>0</v>
      </c>
      <c r="F336" s="147">
        <v>0</v>
      </c>
      <c r="G336" s="147">
        <v>0</v>
      </c>
      <c r="H336" s="291">
        <v>0</v>
      </c>
      <c r="I336" s="579">
        <f t="shared" si="9"/>
        <v>0</v>
      </c>
    </row>
    <row r="337" spans="1:9" ht="10.5" customHeight="1" x14ac:dyDescent="0.15">
      <c r="A337" s="512"/>
      <c r="B337" s="521" t="s">
        <v>843</v>
      </c>
      <c r="C337" s="138" t="s">
        <v>848</v>
      </c>
      <c r="D337" s="147">
        <v>0</v>
      </c>
      <c r="E337" s="147">
        <v>0</v>
      </c>
      <c r="F337" s="147">
        <v>0</v>
      </c>
      <c r="G337" s="147">
        <v>0</v>
      </c>
      <c r="H337" s="291">
        <v>0</v>
      </c>
      <c r="I337" s="579">
        <f t="shared" si="9"/>
        <v>0</v>
      </c>
    </row>
    <row r="338" spans="1:9" ht="10.5" customHeight="1" x14ac:dyDescent="0.15">
      <c r="A338" s="512"/>
      <c r="B338" s="521" t="s">
        <v>844</v>
      </c>
      <c r="C338" s="138" t="s">
        <v>186</v>
      </c>
      <c r="D338" s="147">
        <v>0</v>
      </c>
      <c r="E338" s="147">
        <v>0</v>
      </c>
      <c r="F338" s="147">
        <v>0</v>
      </c>
      <c r="G338" s="147">
        <v>0</v>
      </c>
      <c r="H338" s="291">
        <v>0</v>
      </c>
      <c r="I338" s="579">
        <f t="shared" si="9"/>
        <v>0</v>
      </c>
    </row>
    <row r="339" spans="1:9" ht="10.5" customHeight="1" x14ac:dyDescent="0.15">
      <c r="A339" s="512"/>
      <c r="B339" s="521" t="s">
        <v>845</v>
      </c>
      <c r="C339" s="138" t="s">
        <v>154</v>
      </c>
      <c r="D339" s="147">
        <v>0</v>
      </c>
      <c r="E339" s="147">
        <v>0</v>
      </c>
      <c r="F339" s="147">
        <v>0</v>
      </c>
      <c r="G339" s="147">
        <v>0</v>
      </c>
      <c r="H339" s="291">
        <v>0</v>
      </c>
      <c r="I339" s="579">
        <f t="shared" si="9"/>
        <v>0</v>
      </c>
    </row>
    <row r="340" spans="1:9" ht="10.5" customHeight="1" x14ac:dyDescent="0.15">
      <c r="A340" s="512"/>
      <c r="B340" s="521" t="s">
        <v>846</v>
      </c>
      <c r="C340" s="138" t="s">
        <v>155</v>
      </c>
      <c r="D340" s="147">
        <v>0</v>
      </c>
      <c r="E340" s="147">
        <v>0</v>
      </c>
      <c r="F340" s="147">
        <v>0</v>
      </c>
      <c r="G340" s="147">
        <v>0</v>
      </c>
      <c r="H340" s="291">
        <v>0</v>
      </c>
      <c r="I340" s="579">
        <f t="shared" si="9"/>
        <v>0</v>
      </c>
    </row>
    <row r="341" spans="1:9" ht="10.5" customHeight="1" x14ac:dyDescent="0.15">
      <c r="A341" s="512"/>
      <c r="B341" s="521" t="s">
        <v>1582</v>
      </c>
      <c r="C341" s="138" t="s">
        <v>156</v>
      </c>
      <c r="D341" s="147">
        <v>0</v>
      </c>
      <c r="E341" s="147">
        <v>0</v>
      </c>
      <c r="F341" s="147">
        <v>0</v>
      </c>
      <c r="G341" s="147">
        <v>0</v>
      </c>
      <c r="H341" s="291">
        <v>0</v>
      </c>
      <c r="I341" s="579">
        <f t="shared" si="9"/>
        <v>0</v>
      </c>
    </row>
    <row r="342" spans="1:9" ht="10.5" customHeight="1" x14ac:dyDescent="0.15">
      <c r="A342" s="512"/>
      <c r="B342" s="521" t="s">
        <v>847</v>
      </c>
      <c r="C342" s="138" t="s">
        <v>157</v>
      </c>
      <c r="D342" s="147">
        <v>0</v>
      </c>
      <c r="E342" s="147">
        <v>0</v>
      </c>
      <c r="F342" s="147">
        <v>0</v>
      </c>
      <c r="G342" s="147">
        <v>0</v>
      </c>
      <c r="H342" s="291">
        <v>0</v>
      </c>
      <c r="I342" s="579">
        <f t="shared" si="9"/>
        <v>0</v>
      </c>
    </row>
    <row r="343" spans="1:9" ht="10.5" customHeight="1" x14ac:dyDescent="0.15">
      <c r="A343" s="512"/>
      <c r="B343" s="521" t="s">
        <v>1583</v>
      </c>
      <c r="C343" s="138" t="s">
        <v>160</v>
      </c>
      <c r="D343" s="147">
        <v>0</v>
      </c>
      <c r="E343" s="147">
        <v>0</v>
      </c>
      <c r="F343" s="147">
        <v>0</v>
      </c>
      <c r="G343" s="147">
        <v>0</v>
      </c>
      <c r="H343" s="291">
        <v>0</v>
      </c>
      <c r="I343" s="579">
        <f t="shared" si="9"/>
        <v>0</v>
      </c>
    </row>
    <row r="344" spans="1:9" ht="10.5" customHeight="1" x14ac:dyDescent="0.15">
      <c r="A344" s="512"/>
      <c r="B344" s="521" t="s">
        <v>634</v>
      </c>
      <c r="C344" s="138" t="s">
        <v>165</v>
      </c>
      <c r="D344" s="147">
        <v>0</v>
      </c>
      <c r="E344" s="147">
        <v>0</v>
      </c>
      <c r="F344" s="147">
        <v>0</v>
      </c>
      <c r="G344" s="147">
        <v>0</v>
      </c>
      <c r="H344" s="291">
        <v>0</v>
      </c>
      <c r="I344" s="579">
        <f t="shared" si="9"/>
        <v>0</v>
      </c>
    </row>
    <row r="345" spans="1:9" ht="10.5" customHeight="1" x14ac:dyDescent="0.15">
      <c r="A345" s="512"/>
      <c r="B345" s="521" t="s">
        <v>630</v>
      </c>
      <c r="C345" s="138" t="s">
        <v>172</v>
      </c>
      <c r="D345" s="147">
        <v>0</v>
      </c>
      <c r="E345" s="147">
        <v>0</v>
      </c>
      <c r="F345" s="147">
        <v>0</v>
      </c>
      <c r="G345" s="147">
        <v>0</v>
      </c>
      <c r="H345" s="291">
        <v>0</v>
      </c>
      <c r="I345" s="579">
        <f t="shared" si="9"/>
        <v>0</v>
      </c>
    </row>
    <row r="346" spans="1:9" ht="10.5" customHeight="1" x14ac:dyDescent="0.15">
      <c r="A346" s="512"/>
      <c r="B346" s="650" t="s">
        <v>631</v>
      </c>
      <c r="C346" s="651" t="s">
        <v>173</v>
      </c>
      <c r="D346" s="147">
        <v>0</v>
      </c>
      <c r="E346" s="147">
        <v>0</v>
      </c>
      <c r="F346" s="147">
        <v>0</v>
      </c>
      <c r="G346" s="147">
        <v>0</v>
      </c>
      <c r="H346" s="291">
        <v>0</v>
      </c>
      <c r="I346" s="579">
        <f t="shared" si="9"/>
        <v>0</v>
      </c>
    </row>
    <row r="347" spans="1:9" ht="10.5" customHeight="1" x14ac:dyDescent="0.15">
      <c r="A347" s="512"/>
      <c r="B347" s="521" t="s">
        <v>1584</v>
      </c>
      <c r="C347" s="138" t="s">
        <v>178</v>
      </c>
      <c r="D347" s="147">
        <v>0</v>
      </c>
      <c r="E347" s="147">
        <v>0</v>
      </c>
      <c r="F347" s="147">
        <v>0</v>
      </c>
      <c r="G347" s="147">
        <v>0</v>
      </c>
      <c r="H347" s="291">
        <v>0</v>
      </c>
      <c r="I347" s="579">
        <f t="shared" si="9"/>
        <v>0</v>
      </c>
    </row>
    <row r="348" spans="1:9" ht="10.5" customHeight="1" x14ac:dyDescent="0.15">
      <c r="A348" s="512"/>
      <c r="B348" s="521" t="s">
        <v>174</v>
      </c>
      <c r="C348" s="138" t="s">
        <v>179</v>
      </c>
      <c r="D348" s="147">
        <v>0</v>
      </c>
      <c r="E348" s="147">
        <v>0</v>
      </c>
      <c r="F348" s="147">
        <v>0</v>
      </c>
      <c r="G348" s="147">
        <v>0</v>
      </c>
      <c r="H348" s="291">
        <v>0</v>
      </c>
      <c r="I348" s="579">
        <f t="shared" si="9"/>
        <v>0</v>
      </c>
    </row>
    <row r="349" spans="1:9" ht="10.5" customHeight="1" x14ac:dyDescent="0.15">
      <c r="A349" s="512"/>
      <c r="B349" s="521" t="s">
        <v>175</v>
      </c>
      <c r="C349" s="138" t="s">
        <v>180</v>
      </c>
      <c r="D349" s="147">
        <v>0</v>
      </c>
      <c r="E349" s="147">
        <v>0</v>
      </c>
      <c r="F349" s="147">
        <v>0</v>
      </c>
      <c r="G349" s="147">
        <v>0</v>
      </c>
      <c r="H349" s="291">
        <v>0</v>
      </c>
      <c r="I349" s="579">
        <f t="shared" si="9"/>
        <v>0</v>
      </c>
    </row>
    <row r="350" spans="1:9" ht="10.5" customHeight="1" x14ac:dyDescent="0.15">
      <c r="A350" s="512"/>
      <c r="B350" s="521" t="s">
        <v>176</v>
      </c>
      <c r="C350" s="138" t="s">
        <v>181</v>
      </c>
      <c r="D350" s="147">
        <v>0</v>
      </c>
      <c r="E350" s="147">
        <v>0</v>
      </c>
      <c r="F350" s="147">
        <v>0</v>
      </c>
      <c r="G350" s="147">
        <v>0</v>
      </c>
      <c r="H350" s="291">
        <v>0</v>
      </c>
      <c r="I350" s="579">
        <f t="shared" si="9"/>
        <v>0</v>
      </c>
    </row>
    <row r="351" spans="1:9" ht="10.5" customHeight="1" x14ac:dyDescent="0.15">
      <c r="A351" s="512"/>
      <c r="B351" s="521" t="s">
        <v>177</v>
      </c>
      <c r="C351" s="138" t="s">
        <v>182</v>
      </c>
      <c r="D351" s="147">
        <v>0</v>
      </c>
      <c r="E351" s="147">
        <v>0</v>
      </c>
      <c r="F351" s="147">
        <v>0</v>
      </c>
      <c r="G351" s="147">
        <v>0</v>
      </c>
      <c r="H351" s="291">
        <v>0</v>
      </c>
      <c r="I351" s="579">
        <f t="shared" si="9"/>
        <v>0</v>
      </c>
    </row>
    <row r="352" spans="1:9" ht="10.5" customHeight="1" thickBot="1" x14ac:dyDescent="0.2">
      <c r="A352" s="512"/>
      <c r="B352" s="521" t="s">
        <v>632</v>
      </c>
      <c r="C352" s="138" t="s">
        <v>183</v>
      </c>
      <c r="D352" s="144">
        <v>0</v>
      </c>
      <c r="E352" s="144">
        <v>0</v>
      </c>
      <c r="F352" s="144">
        <v>0</v>
      </c>
      <c r="G352" s="144">
        <v>0</v>
      </c>
      <c r="H352" s="291">
        <v>0</v>
      </c>
      <c r="I352" s="579">
        <f t="shared" si="9"/>
        <v>0</v>
      </c>
    </row>
    <row r="353" spans="1:10" ht="10.5" customHeight="1" thickTop="1" thickBot="1" x14ac:dyDescent="0.2">
      <c r="A353" s="512"/>
      <c r="B353" s="521"/>
      <c r="C353" s="138" t="s">
        <v>663</v>
      </c>
      <c r="D353" s="169">
        <f>SUM(D326:D352)</f>
        <v>0</v>
      </c>
      <c r="E353" s="169">
        <f>SUM(E326:E352)</f>
        <v>0</v>
      </c>
      <c r="F353" s="169">
        <f>SUM(F326:F352)</f>
        <v>0</v>
      </c>
      <c r="G353" s="169">
        <f>SUM(G326:G352)</f>
        <v>0</v>
      </c>
      <c r="H353" s="169">
        <f>SUM(H326:H352)</f>
        <v>0</v>
      </c>
      <c r="I353" s="169">
        <f>G353+H353</f>
        <v>0</v>
      </c>
    </row>
    <row r="354" spans="1:10" ht="10.5" customHeight="1" thickTop="1" x14ac:dyDescent="0.15">
      <c r="A354" s="512"/>
      <c r="B354" s="521"/>
      <c r="C354" s="138"/>
      <c r="D354" s="14"/>
      <c r="E354" s="14"/>
      <c r="F354" s="14"/>
      <c r="G354" s="14"/>
      <c r="H354" s="14"/>
      <c r="I354" s="563"/>
    </row>
    <row r="355" spans="1:10" ht="10.5" customHeight="1" x14ac:dyDescent="0.15">
      <c r="A355" s="512" t="s">
        <v>664</v>
      </c>
      <c r="C355" s="138"/>
      <c r="D355" s="14"/>
      <c r="E355" s="14"/>
      <c r="F355" s="14"/>
      <c r="G355" s="14"/>
      <c r="H355" s="198"/>
      <c r="I355" s="170"/>
    </row>
    <row r="356" spans="1:10" s="434" customFormat="1" x14ac:dyDescent="0.15">
      <c r="B356" s="523" t="s">
        <v>1577</v>
      </c>
      <c r="C356" s="524" t="s">
        <v>228</v>
      </c>
      <c r="D356" s="316">
        <v>0</v>
      </c>
      <c r="E356" s="316">
        <v>0</v>
      </c>
      <c r="F356" s="316">
        <v>0</v>
      </c>
      <c r="G356" s="528">
        <f t="array" ref="G356">SUM(IF(CertFund&amp;CertProg&amp;CertObj=RIGHT(LEFT($A$2,7),2)&amp;LEFT(A355,4)&amp;B356,CertSalary))</f>
        <v>0</v>
      </c>
      <c r="H356" s="527">
        <v>0</v>
      </c>
      <c r="I356" s="566">
        <f>SUM(G356+H356)</f>
        <v>0</v>
      </c>
    </row>
    <row r="357" spans="1:10" s="434" customFormat="1" x14ac:dyDescent="0.15">
      <c r="B357" s="523" t="s">
        <v>1577</v>
      </c>
      <c r="C357" s="524" t="s">
        <v>510</v>
      </c>
      <c r="D357" s="316">
        <v>0</v>
      </c>
      <c r="E357" s="316">
        <v>0</v>
      </c>
      <c r="F357" s="316">
        <v>0</v>
      </c>
      <c r="G357" s="316">
        <v>0</v>
      </c>
      <c r="H357" s="527">
        <v>0</v>
      </c>
      <c r="I357" s="566">
        <f>SUM(G357+H357)</f>
        <v>0</v>
      </c>
    </row>
    <row r="358" spans="1:10" s="434" customFormat="1" x14ac:dyDescent="0.15">
      <c r="A358" s="524"/>
      <c r="B358" s="523" t="s">
        <v>1578</v>
      </c>
      <c r="C358" s="524" t="s">
        <v>936</v>
      </c>
      <c r="D358" s="316">
        <v>0</v>
      </c>
      <c r="E358" s="316">
        <v>0</v>
      </c>
      <c r="F358" s="316">
        <v>0</v>
      </c>
      <c r="G358" s="529">
        <f t="array" ref="G358">SUM(IF(CertFund&amp;CertProg&amp;CertObj=RIGHT(LEFT($A$2,7),2)&amp;LEFT(A355,4)&amp;B356,CertBen))</f>
        <v>0</v>
      </c>
      <c r="H358" s="527">
        <v>0</v>
      </c>
      <c r="I358" s="566">
        <f>SUM(G358+H358)</f>
        <v>0</v>
      </c>
    </row>
    <row r="359" spans="1:10" x14ac:dyDescent="0.15">
      <c r="A359" s="138"/>
      <c r="B359" s="521" t="s">
        <v>1578</v>
      </c>
      <c r="C359" s="138" t="s">
        <v>511</v>
      </c>
      <c r="D359" s="147">
        <v>0</v>
      </c>
      <c r="E359" s="147">
        <v>0</v>
      </c>
      <c r="F359" s="147">
        <v>0</v>
      </c>
      <c r="G359" s="147">
        <v>0</v>
      </c>
      <c r="H359" s="150">
        <v>0</v>
      </c>
      <c r="I359" s="567">
        <f>SUM(G359+H359)</f>
        <v>0</v>
      </c>
      <c r="J359" s="434"/>
    </row>
    <row r="360" spans="1:10" ht="10.5" customHeight="1" x14ac:dyDescent="0.15">
      <c r="A360" s="512"/>
      <c r="B360" s="521" t="s">
        <v>1579</v>
      </c>
      <c r="C360" s="138" t="s">
        <v>118</v>
      </c>
      <c r="D360" s="147">
        <v>0</v>
      </c>
      <c r="E360" s="147">
        <v>0</v>
      </c>
      <c r="F360" s="147">
        <v>0</v>
      </c>
      <c r="G360" s="147">
        <v>0</v>
      </c>
      <c r="H360" s="291">
        <v>0</v>
      </c>
      <c r="I360" s="579">
        <f t="shared" ref="I360:I382" si="10">SUM(G360+H360)</f>
        <v>0</v>
      </c>
    </row>
    <row r="361" spans="1:10" ht="10.5" customHeight="1" x14ac:dyDescent="0.15">
      <c r="A361" s="512"/>
      <c r="B361" s="521" t="s">
        <v>1580</v>
      </c>
      <c r="C361" s="138" t="s">
        <v>119</v>
      </c>
      <c r="D361" s="147">
        <v>0</v>
      </c>
      <c r="E361" s="147">
        <v>0</v>
      </c>
      <c r="F361" s="147">
        <v>0</v>
      </c>
      <c r="G361" s="147">
        <v>0</v>
      </c>
      <c r="H361" s="291">
        <v>0</v>
      </c>
      <c r="I361" s="579">
        <f t="shared" si="10"/>
        <v>0</v>
      </c>
    </row>
    <row r="362" spans="1:10" ht="10.5" customHeight="1" x14ac:dyDescent="0.15">
      <c r="A362" s="512"/>
      <c r="B362" s="521" t="s">
        <v>120</v>
      </c>
      <c r="C362" s="138" t="s">
        <v>121</v>
      </c>
      <c r="D362" s="147">
        <v>0</v>
      </c>
      <c r="E362" s="147">
        <v>0</v>
      </c>
      <c r="F362" s="147">
        <v>0</v>
      </c>
      <c r="G362" s="147">
        <v>0</v>
      </c>
      <c r="H362" s="291">
        <v>0</v>
      </c>
      <c r="I362" s="579">
        <f t="shared" si="10"/>
        <v>0</v>
      </c>
    </row>
    <row r="363" spans="1:10" ht="10.5" customHeight="1" x14ac:dyDescent="0.15">
      <c r="A363" s="512"/>
      <c r="B363" s="521" t="s">
        <v>122</v>
      </c>
      <c r="C363" s="138" t="s">
        <v>123</v>
      </c>
      <c r="D363" s="147">
        <v>0</v>
      </c>
      <c r="E363" s="147">
        <v>0</v>
      </c>
      <c r="F363" s="147">
        <v>0</v>
      </c>
      <c r="G363" s="147">
        <v>0</v>
      </c>
      <c r="H363" s="291">
        <v>0</v>
      </c>
      <c r="I363" s="579">
        <f t="shared" si="10"/>
        <v>0</v>
      </c>
    </row>
    <row r="364" spans="1:10" ht="10.5" customHeight="1" x14ac:dyDescent="0.15">
      <c r="A364" s="512"/>
      <c r="B364" s="521" t="s">
        <v>1581</v>
      </c>
      <c r="C364" s="138" t="s">
        <v>124</v>
      </c>
      <c r="D364" s="147">
        <v>0</v>
      </c>
      <c r="E364" s="147">
        <v>0</v>
      </c>
      <c r="F364" s="147">
        <v>0</v>
      </c>
      <c r="G364" s="147">
        <v>0</v>
      </c>
      <c r="H364" s="291">
        <v>0</v>
      </c>
      <c r="I364" s="579">
        <f t="shared" si="10"/>
        <v>0</v>
      </c>
    </row>
    <row r="365" spans="1:10" ht="10.5" customHeight="1" x14ac:dyDescent="0.15">
      <c r="A365" s="512"/>
      <c r="B365" s="521" t="s">
        <v>1624</v>
      </c>
      <c r="C365" s="138" t="s">
        <v>840</v>
      </c>
      <c r="D365" s="147">
        <v>0</v>
      </c>
      <c r="E365" s="147">
        <v>0</v>
      </c>
      <c r="F365" s="147">
        <v>0</v>
      </c>
      <c r="G365" s="147">
        <v>0</v>
      </c>
      <c r="H365" s="291">
        <v>0</v>
      </c>
      <c r="I365" s="579">
        <f t="shared" si="10"/>
        <v>0</v>
      </c>
    </row>
    <row r="366" spans="1:10" ht="10.5" customHeight="1" x14ac:dyDescent="0.15">
      <c r="A366" s="512"/>
      <c r="B366" s="521" t="s">
        <v>1625</v>
      </c>
      <c r="C366" s="138" t="s">
        <v>842</v>
      </c>
      <c r="D366" s="147">
        <v>0</v>
      </c>
      <c r="E366" s="147">
        <v>0</v>
      </c>
      <c r="F366" s="147">
        <v>0</v>
      </c>
      <c r="G366" s="147">
        <v>0</v>
      </c>
      <c r="H366" s="291">
        <v>0</v>
      </c>
      <c r="I366" s="579">
        <f t="shared" si="10"/>
        <v>0</v>
      </c>
    </row>
    <row r="367" spans="1:10" ht="10.5" customHeight="1" x14ac:dyDescent="0.15">
      <c r="A367" s="512"/>
      <c r="B367" s="521" t="s">
        <v>843</v>
      </c>
      <c r="C367" s="138" t="s">
        <v>848</v>
      </c>
      <c r="D367" s="147">
        <v>0</v>
      </c>
      <c r="E367" s="147">
        <v>0</v>
      </c>
      <c r="F367" s="147">
        <v>0</v>
      </c>
      <c r="G367" s="147">
        <v>0</v>
      </c>
      <c r="H367" s="291">
        <v>0</v>
      </c>
      <c r="I367" s="579">
        <f t="shared" si="10"/>
        <v>0</v>
      </c>
    </row>
    <row r="368" spans="1:10" ht="10.5" customHeight="1" x14ac:dyDescent="0.15">
      <c r="A368" s="512"/>
      <c r="B368" s="521" t="s">
        <v>844</v>
      </c>
      <c r="C368" s="138" t="s">
        <v>186</v>
      </c>
      <c r="D368" s="147">
        <v>0</v>
      </c>
      <c r="E368" s="147">
        <v>0</v>
      </c>
      <c r="F368" s="147">
        <v>0</v>
      </c>
      <c r="G368" s="147">
        <v>0</v>
      </c>
      <c r="H368" s="291">
        <v>0</v>
      </c>
      <c r="I368" s="579">
        <f t="shared" si="10"/>
        <v>0</v>
      </c>
    </row>
    <row r="369" spans="1:9" ht="10.5" customHeight="1" x14ac:dyDescent="0.15">
      <c r="A369" s="512"/>
      <c r="B369" s="521" t="s">
        <v>845</v>
      </c>
      <c r="C369" s="138" t="s">
        <v>154</v>
      </c>
      <c r="D369" s="147">
        <v>0</v>
      </c>
      <c r="E369" s="147">
        <v>0</v>
      </c>
      <c r="F369" s="147">
        <v>0</v>
      </c>
      <c r="G369" s="147">
        <v>0</v>
      </c>
      <c r="H369" s="291">
        <v>0</v>
      </c>
      <c r="I369" s="579">
        <f t="shared" si="10"/>
        <v>0</v>
      </c>
    </row>
    <row r="370" spans="1:9" ht="10.5" customHeight="1" x14ac:dyDescent="0.15">
      <c r="A370" s="512"/>
      <c r="B370" s="521" t="s">
        <v>846</v>
      </c>
      <c r="C370" s="138" t="s">
        <v>155</v>
      </c>
      <c r="D370" s="147">
        <v>0</v>
      </c>
      <c r="E370" s="147">
        <v>0</v>
      </c>
      <c r="F370" s="147">
        <v>0</v>
      </c>
      <c r="G370" s="147">
        <v>0</v>
      </c>
      <c r="H370" s="291">
        <v>0</v>
      </c>
      <c r="I370" s="579">
        <f t="shared" si="10"/>
        <v>0</v>
      </c>
    </row>
    <row r="371" spans="1:9" ht="10.5" customHeight="1" x14ac:dyDescent="0.15">
      <c r="A371" s="512"/>
      <c r="B371" s="521" t="s">
        <v>1582</v>
      </c>
      <c r="C371" s="138" t="s">
        <v>156</v>
      </c>
      <c r="D371" s="147">
        <v>0</v>
      </c>
      <c r="E371" s="147">
        <v>0</v>
      </c>
      <c r="F371" s="147">
        <v>0</v>
      </c>
      <c r="G371" s="147">
        <v>0</v>
      </c>
      <c r="H371" s="291">
        <v>0</v>
      </c>
      <c r="I371" s="579">
        <f t="shared" si="10"/>
        <v>0</v>
      </c>
    </row>
    <row r="372" spans="1:9" ht="10.5" customHeight="1" x14ac:dyDescent="0.15">
      <c r="A372" s="512"/>
      <c r="B372" s="521" t="s">
        <v>665</v>
      </c>
      <c r="C372" s="138" t="s">
        <v>1362</v>
      </c>
      <c r="D372" s="147">
        <v>0</v>
      </c>
      <c r="E372" s="147">
        <v>0</v>
      </c>
      <c r="F372" s="147">
        <v>0</v>
      </c>
      <c r="G372" s="147">
        <v>0</v>
      </c>
      <c r="H372" s="291">
        <v>0</v>
      </c>
      <c r="I372" s="579">
        <f t="shared" si="10"/>
        <v>0</v>
      </c>
    </row>
    <row r="373" spans="1:9" ht="10.5" customHeight="1" x14ac:dyDescent="0.15">
      <c r="A373" s="512"/>
      <c r="B373" s="521" t="s">
        <v>847</v>
      </c>
      <c r="C373" s="138" t="s">
        <v>157</v>
      </c>
      <c r="D373" s="147">
        <v>0</v>
      </c>
      <c r="E373" s="147">
        <v>0</v>
      </c>
      <c r="F373" s="147">
        <v>0</v>
      </c>
      <c r="G373" s="147">
        <v>0</v>
      </c>
      <c r="H373" s="291">
        <v>0</v>
      </c>
      <c r="I373" s="579">
        <f t="shared" si="10"/>
        <v>0</v>
      </c>
    </row>
    <row r="374" spans="1:9" ht="10.5" customHeight="1" x14ac:dyDescent="0.15">
      <c r="A374" s="512"/>
      <c r="B374" s="521" t="s">
        <v>1583</v>
      </c>
      <c r="C374" s="138" t="s">
        <v>160</v>
      </c>
      <c r="D374" s="147">
        <v>0</v>
      </c>
      <c r="E374" s="147">
        <v>0</v>
      </c>
      <c r="F374" s="147">
        <v>0</v>
      </c>
      <c r="G374" s="147">
        <v>0</v>
      </c>
      <c r="H374" s="291">
        <v>0</v>
      </c>
      <c r="I374" s="579">
        <f t="shared" si="10"/>
        <v>0</v>
      </c>
    </row>
    <row r="375" spans="1:9" ht="10.5" customHeight="1" x14ac:dyDescent="0.15">
      <c r="A375" s="512"/>
      <c r="B375" s="521" t="s">
        <v>634</v>
      </c>
      <c r="C375" s="138" t="s">
        <v>165</v>
      </c>
      <c r="D375" s="147">
        <v>0</v>
      </c>
      <c r="E375" s="147">
        <v>0</v>
      </c>
      <c r="F375" s="147">
        <v>0</v>
      </c>
      <c r="G375" s="147">
        <v>0</v>
      </c>
      <c r="H375" s="291">
        <v>0</v>
      </c>
      <c r="I375" s="579">
        <f t="shared" si="10"/>
        <v>0</v>
      </c>
    </row>
    <row r="376" spans="1:9" ht="10.5" customHeight="1" x14ac:dyDescent="0.15">
      <c r="A376" s="512"/>
      <c r="B376" s="521" t="s">
        <v>630</v>
      </c>
      <c r="C376" s="138" t="s">
        <v>172</v>
      </c>
      <c r="D376" s="147">
        <v>0</v>
      </c>
      <c r="E376" s="147">
        <v>0</v>
      </c>
      <c r="F376" s="147">
        <v>0</v>
      </c>
      <c r="G376" s="147">
        <v>0</v>
      </c>
      <c r="H376" s="291">
        <v>0</v>
      </c>
      <c r="I376" s="579">
        <f t="shared" si="10"/>
        <v>0</v>
      </c>
    </row>
    <row r="377" spans="1:9" ht="10.5" customHeight="1" x14ac:dyDescent="0.15">
      <c r="A377" s="512"/>
      <c r="B377" s="650" t="s">
        <v>631</v>
      </c>
      <c r="C377" s="651" t="s">
        <v>173</v>
      </c>
      <c r="D377" s="147">
        <v>0</v>
      </c>
      <c r="E377" s="147">
        <v>0</v>
      </c>
      <c r="F377" s="147">
        <v>0</v>
      </c>
      <c r="G377" s="147">
        <v>0</v>
      </c>
      <c r="H377" s="291">
        <v>0</v>
      </c>
      <c r="I377" s="579">
        <f t="shared" si="10"/>
        <v>0</v>
      </c>
    </row>
    <row r="378" spans="1:9" ht="10.5" customHeight="1" x14ac:dyDescent="0.15">
      <c r="A378" s="512"/>
      <c r="B378" s="521" t="s">
        <v>1584</v>
      </c>
      <c r="C378" s="138" t="s">
        <v>178</v>
      </c>
      <c r="D378" s="147">
        <v>0</v>
      </c>
      <c r="E378" s="147">
        <v>0</v>
      </c>
      <c r="F378" s="147">
        <v>0</v>
      </c>
      <c r="G378" s="147">
        <v>0</v>
      </c>
      <c r="H378" s="291">
        <v>0</v>
      </c>
      <c r="I378" s="579">
        <f t="shared" si="10"/>
        <v>0</v>
      </c>
    </row>
    <row r="379" spans="1:9" ht="10.5" customHeight="1" x14ac:dyDescent="0.15">
      <c r="A379" s="512"/>
      <c r="B379" s="521" t="s">
        <v>174</v>
      </c>
      <c r="C379" s="138" t="s">
        <v>179</v>
      </c>
      <c r="D379" s="147">
        <v>0</v>
      </c>
      <c r="E379" s="147">
        <v>0</v>
      </c>
      <c r="F379" s="147">
        <v>0</v>
      </c>
      <c r="G379" s="147">
        <v>0</v>
      </c>
      <c r="H379" s="291">
        <v>0</v>
      </c>
      <c r="I379" s="579">
        <f t="shared" si="10"/>
        <v>0</v>
      </c>
    </row>
    <row r="380" spans="1:9" ht="10.5" customHeight="1" x14ac:dyDescent="0.15">
      <c r="A380" s="512"/>
      <c r="B380" s="521" t="s">
        <v>175</v>
      </c>
      <c r="C380" s="138" t="s">
        <v>180</v>
      </c>
      <c r="D380" s="147">
        <v>0</v>
      </c>
      <c r="E380" s="147">
        <v>0</v>
      </c>
      <c r="F380" s="147">
        <v>0</v>
      </c>
      <c r="G380" s="147">
        <v>0</v>
      </c>
      <c r="H380" s="291">
        <v>0</v>
      </c>
      <c r="I380" s="579">
        <f t="shared" si="10"/>
        <v>0</v>
      </c>
    </row>
    <row r="381" spans="1:9" ht="10.5" customHeight="1" x14ac:dyDescent="0.15">
      <c r="A381" s="512"/>
      <c r="B381" s="521" t="s">
        <v>176</v>
      </c>
      <c r="C381" s="138" t="s">
        <v>181</v>
      </c>
      <c r="D381" s="147">
        <v>0</v>
      </c>
      <c r="E381" s="147">
        <v>0</v>
      </c>
      <c r="F381" s="147">
        <v>0</v>
      </c>
      <c r="G381" s="147">
        <v>0</v>
      </c>
      <c r="H381" s="291">
        <v>0</v>
      </c>
      <c r="I381" s="579">
        <f t="shared" si="10"/>
        <v>0</v>
      </c>
    </row>
    <row r="382" spans="1:9" ht="10.5" customHeight="1" x14ac:dyDescent="0.15">
      <c r="A382" s="512"/>
      <c r="B382" s="521" t="s">
        <v>177</v>
      </c>
      <c r="C382" s="138" t="s">
        <v>182</v>
      </c>
      <c r="D382" s="147">
        <v>0</v>
      </c>
      <c r="E382" s="147">
        <v>0</v>
      </c>
      <c r="F382" s="147">
        <v>0</v>
      </c>
      <c r="G382" s="147">
        <v>0</v>
      </c>
      <c r="H382" s="291">
        <v>0</v>
      </c>
      <c r="I382" s="579">
        <f t="shared" si="10"/>
        <v>0</v>
      </c>
    </row>
    <row r="383" spans="1:9" ht="10.5" customHeight="1" thickBot="1" x14ac:dyDescent="0.2">
      <c r="A383" s="512"/>
      <c r="B383" s="521" t="s">
        <v>632</v>
      </c>
      <c r="C383" s="138" t="s">
        <v>183</v>
      </c>
      <c r="D383" s="144">
        <v>0</v>
      </c>
      <c r="E383" s="144">
        <v>0</v>
      </c>
      <c r="F383" s="144">
        <v>0</v>
      </c>
      <c r="G383" s="144">
        <v>0</v>
      </c>
      <c r="H383" s="291">
        <v>0</v>
      </c>
      <c r="I383" s="579">
        <f>SUM(G383+H383)</f>
        <v>0</v>
      </c>
    </row>
    <row r="384" spans="1:9" ht="10.5" customHeight="1" thickTop="1" thickBot="1" x14ac:dyDescent="0.2">
      <c r="A384" s="512"/>
      <c r="B384" s="521"/>
      <c r="C384" s="138" t="s">
        <v>666</v>
      </c>
      <c r="D384" s="169">
        <f>SUM(D356:D383)</f>
        <v>0</v>
      </c>
      <c r="E384" s="169">
        <f>SUM(E356:E383)</f>
        <v>0</v>
      </c>
      <c r="F384" s="169">
        <f>SUM(F356:F383)</f>
        <v>0</v>
      </c>
      <c r="G384" s="169">
        <f>SUM(G356:G383)</f>
        <v>0</v>
      </c>
      <c r="H384" s="169">
        <f>SUM(H356:H383)</f>
        <v>0</v>
      </c>
      <c r="I384" s="169">
        <f>G384+H384</f>
        <v>0</v>
      </c>
    </row>
    <row r="385" spans="1:10" ht="10.5" customHeight="1" thickTop="1" x14ac:dyDescent="0.15">
      <c r="A385" s="512"/>
      <c r="B385" s="521"/>
      <c r="C385" s="138"/>
      <c r="D385" s="14"/>
      <c r="E385" s="14"/>
      <c r="F385" s="14"/>
      <c r="G385" s="14"/>
      <c r="H385" s="198"/>
      <c r="I385" s="170"/>
    </row>
    <row r="386" spans="1:10" ht="10.5" customHeight="1" x14ac:dyDescent="0.15">
      <c r="A386" s="512" t="s">
        <v>266</v>
      </c>
      <c r="C386" s="138"/>
      <c r="D386" s="14"/>
      <c r="E386" s="14"/>
      <c r="F386" s="14"/>
      <c r="G386" s="14"/>
      <c r="H386" s="198"/>
      <c r="I386" s="170"/>
    </row>
    <row r="387" spans="1:10" s="434" customFormat="1" x14ac:dyDescent="0.15">
      <c r="B387" s="523" t="s">
        <v>1577</v>
      </c>
      <c r="C387" s="524" t="s">
        <v>228</v>
      </c>
      <c r="D387" s="316">
        <v>0</v>
      </c>
      <c r="E387" s="316">
        <v>0</v>
      </c>
      <c r="F387" s="316">
        <v>0</v>
      </c>
      <c r="G387" s="528">
        <f t="array" ref="G387">SUM(IF(CertFund&amp;CertProg&amp;CertObj=RIGHT(LEFT($A$2,7),2)&amp;LEFT(A386,4)&amp;B387,CertSalary))</f>
        <v>0</v>
      </c>
      <c r="H387" s="527">
        <v>0</v>
      </c>
      <c r="I387" s="566">
        <f>SUM(G387+H387)</f>
        <v>0</v>
      </c>
    </row>
    <row r="388" spans="1:10" s="434" customFormat="1" x14ac:dyDescent="0.15">
      <c r="B388" s="523" t="s">
        <v>1577</v>
      </c>
      <c r="C388" s="524" t="s">
        <v>510</v>
      </c>
      <c r="D388" s="316">
        <v>0</v>
      </c>
      <c r="E388" s="316">
        <v>0</v>
      </c>
      <c r="F388" s="316">
        <v>0</v>
      </c>
      <c r="G388" s="316">
        <v>0</v>
      </c>
      <c r="H388" s="527">
        <v>0</v>
      </c>
      <c r="I388" s="566">
        <f>SUM(G388+H388)</f>
        <v>0</v>
      </c>
    </row>
    <row r="389" spans="1:10" s="434" customFormat="1" x14ac:dyDescent="0.15">
      <c r="A389" s="524"/>
      <c r="B389" s="523" t="s">
        <v>1578</v>
      </c>
      <c r="C389" s="524" t="s">
        <v>936</v>
      </c>
      <c r="D389" s="316">
        <v>0</v>
      </c>
      <c r="E389" s="316">
        <v>0</v>
      </c>
      <c r="F389" s="316">
        <v>0</v>
      </c>
      <c r="G389" s="529">
        <f t="array" ref="G389">SUM(IF(CertFund&amp;CertProg&amp;CertObj=RIGHT(LEFT($A$2,7),2)&amp;LEFT(A386,4)&amp;B387,CertBen))</f>
        <v>0</v>
      </c>
      <c r="H389" s="527">
        <v>0</v>
      </c>
      <c r="I389" s="566">
        <f>SUM(G389+H389)</f>
        <v>0</v>
      </c>
    </row>
    <row r="390" spans="1:10" x14ac:dyDescent="0.15">
      <c r="A390" s="138"/>
      <c r="B390" s="521" t="s">
        <v>1578</v>
      </c>
      <c r="C390" s="138" t="s">
        <v>511</v>
      </c>
      <c r="D390" s="147">
        <v>0</v>
      </c>
      <c r="E390" s="147">
        <v>0</v>
      </c>
      <c r="F390" s="147">
        <v>0</v>
      </c>
      <c r="G390" s="147">
        <v>0</v>
      </c>
      <c r="H390" s="150">
        <v>0</v>
      </c>
      <c r="I390" s="567">
        <f>SUM(G390+H390)</f>
        <v>0</v>
      </c>
      <c r="J390" s="434"/>
    </row>
    <row r="391" spans="1:10" ht="10.5" customHeight="1" x14ac:dyDescent="0.15">
      <c r="A391" s="512"/>
      <c r="B391" s="521" t="s">
        <v>1579</v>
      </c>
      <c r="C391" s="138" t="s">
        <v>118</v>
      </c>
      <c r="D391" s="147">
        <v>0</v>
      </c>
      <c r="E391" s="147">
        <v>0</v>
      </c>
      <c r="F391" s="147">
        <v>0</v>
      </c>
      <c r="G391" s="147">
        <v>0</v>
      </c>
      <c r="H391" s="291">
        <v>0</v>
      </c>
      <c r="I391" s="579">
        <f t="shared" ref="I391:I406" si="11">SUM(G391+H391)</f>
        <v>0</v>
      </c>
    </row>
    <row r="392" spans="1:10" ht="10.5" customHeight="1" x14ac:dyDescent="0.15">
      <c r="A392" s="512"/>
      <c r="B392" s="521" t="s">
        <v>1580</v>
      </c>
      <c r="C392" s="138" t="s">
        <v>119</v>
      </c>
      <c r="D392" s="147">
        <v>0</v>
      </c>
      <c r="E392" s="147">
        <v>0</v>
      </c>
      <c r="F392" s="147">
        <v>0</v>
      </c>
      <c r="G392" s="147">
        <v>0</v>
      </c>
      <c r="H392" s="291">
        <v>0</v>
      </c>
      <c r="I392" s="579">
        <f t="shared" si="11"/>
        <v>0</v>
      </c>
    </row>
    <row r="393" spans="1:10" ht="10.5" customHeight="1" x14ac:dyDescent="0.15">
      <c r="A393" s="512"/>
      <c r="B393" s="521" t="s">
        <v>120</v>
      </c>
      <c r="C393" s="138" t="s">
        <v>121</v>
      </c>
      <c r="D393" s="147">
        <v>0</v>
      </c>
      <c r="E393" s="147">
        <v>0</v>
      </c>
      <c r="F393" s="147">
        <v>0</v>
      </c>
      <c r="G393" s="147">
        <v>0</v>
      </c>
      <c r="H393" s="291">
        <v>0</v>
      </c>
      <c r="I393" s="579">
        <f t="shared" si="11"/>
        <v>0</v>
      </c>
    </row>
    <row r="394" spans="1:10" ht="10.5" customHeight="1" x14ac:dyDescent="0.15">
      <c r="A394" s="512"/>
      <c r="B394" s="521" t="s">
        <v>122</v>
      </c>
      <c r="C394" s="138" t="s">
        <v>123</v>
      </c>
      <c r="D394" s="147">
        <v>0</v>
      </c>
      <c r="E394" s="147">
        <v>0</v>
      </c>
      <c r="F394" s="147">
        <v>0</v>
      </c>
      <c r="G394" s="147">
        <v>0</v>
      </c>
      <c r="H394" s="291">
        <v>0</v>
      </c>
      <c r="I394" s="579">
        <f t="shared" si="11"/>
        <v>0</v>
      </c>
    </row>
    <row r="395" spans="1:10" ht="10.5" customHeight="1" x14ac:dyDescent="0.15">
      <c r="A395" s="512"/>
      <c r="B395" s="521" t="s">
        <v>1581</v>
      </c>
      <c r="C395" s="138" t="s">
        <v>124</v>
      </c>
      <c r="D395" s="147">
        <v>0</v>
      </c>
      <c r="E395" s="147">
        <v>0</v>
      </c>
      <c r="F395" s="147">
        <v>0</v>
      </c>
      <c r="G395" s="147">
        <v>0</v>
      </c>
      <c r="H395" s="291">
        <v>0</v>
      </c>
      <c r="I395" s="579">
        <f t="shared" si="11"/>
        <v>0</v>
      </c>
    </row>
    <row r="396" spans="1:10" ht="10.5" customHeight="1" x14ac:dyDescent="0.15">
      <c r="A396" s="512"/>
      <c r="B396" s="521" t="s">
        <v>1625</v>
      </c>
      <c r="C396" s="138" t="s">
        <v>842</v>
      </c>
      <c r="D396" s="147">
        <v>0</v>
      </c>
      <c r="E396" s="147">
        <v>0</v>
      </c>
      <c r="F396" s="147">
        <v>0</v>
      </c>
      <c r="G396" s="147">
        <v>0</v>
      </c>
      <c r="H396" s="291">
        <v>0</v>
      </c>
      <c r="I396" s="579">
        <f t="shared" si="11"/>
        <v>0</v>
      </c>
    </row>
    <row r="397" spans="1:10" ht="10.5" customHeight="1" x14ac:dyDescent="0.15">
      <c r="A397" s="512"/>
      <c r="B397" s="521" t="s">
        <v>1582</v>
      </c>
      <c r="C397" s="138" t="s">
        <v>156</v>
      </c>
      <c r="D397" s="147">
        <v>0</v>
      </c>
      <c r="E397" s="147">
        <v>0</v>
      </c>
      <c r="F397" s="147">
        <v>0</v>
      </c>
      <c r="G397" s="147">
        <v>0</v>
      </c>
      <c r="H397" s="291">
        <v>0</v>
      </c>
      <c r="I397" s="579">
        <f t="shared" si="11"/>
        <v>0</v>
      </c>
    </row>
    <row r="398" spans="1:10" ht="10.5" customHeight="1" x14ac:dyDescent="0.15">
      <c r="A398" s="512"/>
      <c r="B398" s="521" t="s">
        <v>847</v>
      </c>
      <c r="C398" s="138" t="s">
        <v>157</v>
      </c>
      <c r="D398" s="147">
        <v>0</v>
      </c>
      <c r="E398" s="147">
        <v>0</v>
      </c>
      <c r="F398" s="147">
        <v>0</v>
      </c>
      <c r="G398" s="147">
        <v>0</v>
      </c>
      <c r="H398" s="291">
        <v>0</v>
      </c>
      <c r="I398" s="579">
        <f t="shared" si="11"/>
        <v>0</v>
      </c>
    </row>
    <row r="399" spans="1:10" ht="10.5" customHeight="1" x14ac:dyDescent="0.15">
      <c r="A399" s="512"/>
      <c r="B399" s="521" t="s">
        <v>1583</v>
      </c>
      <c r="C399" s="138" t="s">
        <v>160</v>
      </c>
      <c r="D399" s="147">
        <v>0</v>
      </c>
      <c r="E399" s="147">
        <v>0</v>
      </c>
      <c r="F399" s="147">
        <v>0</v>
      </c>
      <c r="G399" s="147">
        <v>0</v>
      </c>
      <c r="H399" s="291">
        <v>0</v>
      </c>
      <c r="I399" s="579">
        <f t="shared" si="11"/>
        <v>0</v>
      </c>
    </row>
    <row r="400" spans="1:10" ht="10.5" customHeight="1" x14ac:dyDescent="0.15">
      <c r="A400" s="512"/>
      <c r="B400" s="521" t="s">
        <v>634</v>
      </c>
      <c r="C400" s="138" t="s">
        <v>165</v>
      </c>
      <c r="D400" s="147">
        <v>0</v>
      </c>
      <c r="E400" s="147">
        <v>0</v>
      </c>
      <c r="F400" s="147">
        <v>0</v>
      </c>
      <c r="G400" s="147">
        <v>0</v>
      </c>
      <c r="H400" s="291">
        <v>0</v>
      </c>
      <c r="I400" s="579">
        <f t="shared" si="11"/>
        <v>0</v>
      </c>
    </row>
    <row r="401" spans="1:9" ht="10.5" customHeight="1" x14ac:dyDescent="0.15">
      <c r="A401" s="512"/>
      <c r="B401" s="521" t="s">
        <v>630</v>
      </c>
      <c r="C401" s="138" t="s">
        <v>172</v>
      </c>
      <c r="D401" s="147">
        <v>0</v>
      </c>
      <c r="E401" s="147">
        <v>0</v>
      </c>
      <c r="F401" s="147">
        <v>0</v>
      </c>
      <c r="G401" s="147">
        <v>0</v>
      </c>
      <c r="H401" s="291">
        <v>0</v>
      </c>
      <c r="I401" s="579">
        <f t="shared" si="11"/>
        <v>0</v>
      </c>
    </row>
    <row r="402" spans="1:9" ht="10.5" customHeight="1" x14ac:dyDescent="0.15">
      <c r="A402" s="512"/>
      <c r="B402" s="650" t="s">
        <v>631</v>
      </c>
      <c r="C402" s="651" t="s">
        <v>173</v>
      </c>
      <c r="D402" s="147">
        <v>0</v>
      </c>
      <c r="E402" s="147">
        <v>0</v>
      </c>
      <c r="F402" s="147">
        <v>0</v>
      </c>
      <c r="G402" s="147">
        <v>0</v>
      </c>
      <c r="H402" s="291">
        <v>0</v>
      </c>
      <c r="I402" s="579">
        <f t="shared" si="11"/>
        <v>0</v>
      </c>
    </row>
    <row r="403" spans="1:9" ht="10.5" customHeight="1" x14ac:dyDescent="0.15">
      <c r="A403" s="512"/>
      <c r="B403" s="521" t="s">
        <v>1584</v>
      </c>
      <c r="C403" s="138" t="s">
        <v>178</v>
      </c>
      <c r="D403" s="147">
        <v>0</v>
      </c>
      <c r="E403" s="147">
        <v>0</v>
      </c>
      <c r="F403" s="147">
        <v>0</v>
      </c>
      <c r="G403" s="147">
        <v>0</v>
      </c>
      <c r="H403" s="291">
        <v>0</v>
      </c>
      <c r="I403" s="579">
        <f t="shared" si="11"/>
        <v>0</v>
      </c>
    </row>
    <row r="404" spans="1:9" ht="10.5" customHeight="1" x14ac:dyDescent="0.15">
      <c r="A404" s="512"/>
      <c r="B404" s="521" t="s">
        <v>174</v>
      </c>
      <c r="C404" s="138" t="s">
        <v>179</v>
      </c>
      <c r="D404" s="147">
        <v>0</v>
      </c>
      <c r="E404" s="147">
        <v>0</v>
      </c>
      <c r="F404" s="147">
        <v>0</v>
      </c>
      <c r="G404" s="147">
        <v>0</v>
      </c>
      <c r="H404" s="291">
        <v>0</v>
      </c>
      <c r="I404" s="579">
        <f t="shared" si="11"/>
        <v>0</v>
      </c>
    </row>
    <row r="405" spans="1:9" ht="10.5" customHeight="1" x14ac:dyDescent="0.15">
      <c r="A405" s="512"/>
      <c r="B405" s="521" t="s">
        <v>175</v>
      </c>
      <c r="C405" s="138" t="s">
        <v>180</v>
      </c>
      <c r="D405" s="147">
        <v>0</v>
      </c>
      <c r="E405" s="147">
        <v>0</v>
      </c>
      <c r="F405" s="147">
        <v>0</v>
      </c>
      <c r="G405" s="147">
        <v>0</v>
      </c>
      <c r="H405" s="291">
        <v>0</v>
      </c>
      <c r="I405" s="579">
        <f t="shared" si="11"/>
        <v>0</v>
      </c>
    </row>
    <row r="406" spans="1:9" ht="10.5" customHeight="1" thickBot="1" x14ac:dyDescent="0.2">
      <c r="A406" s="512"/>
      <c r="B406" s="521" t="s">
        <v>176</v>
      </c>
      <c r="C406" s="138" t="s">
        <v>181</v>
      </c>
      <c r="D406" s="147">
        <v>0</v>
      </c>
      <c r="E406" s="147">
        <v>0</v>
      </c>
      <c r="F406" s="147">
        <v>0</v>
      </c>
      <c r="G406" s="147">
        <v>0</v>
      </c>
      <c r="H406" s="291">
        <v>0</v>
      </c>
      <c r="I406" s="579">
        <f t="shared" si="11"/>
        <v>0</v>
      </c>
    </row>
    <row r="407" spans="1:9" ht="10.5" customHeight="1" thickTop="1" thickBot="1" x14ac:dyDescent="0.2">
      <c r="A407" s="512"/>
      <c r="B407" s="521"/>
      <c r="C407" s="138" t="s">
        <v>330</v>
      </c>
      <c r="D407" s="169">
        <f>SUM(D387:D406)</f>
        <v>0</v>
      </c>
      <c r="E407" s="169">
        <f>SUM(E387:E406)</f>
        <v>0</v>
      </c>
      <c r="F407" s="169">
        <f>SUM(F387:F406)</f>
        <v>0</v>
      </c>
      <c r="G407" s="169">
        <f>SUM(G387:G406)</f>
        <v>0</v>
      </c>
      <c r="H407" s="169">
        <f>SUM(H387:H406)</f>
        <v>0</v>
      </c>
      <c r="I407" s="169">
        <f>G407+H407</f>
        <v>0</v>
      </c>
    </row>
    <row r="408" spans="1:9" ht="10.5" customHeight="1" thickTop="1" x14ac:dyDescent="0.15">
      <c r="A408" s="512"/>
      <c r="B408" s="521"/>
      <c r="C408" s="138"/>
      <c r="D408" s="14"/>
      <c r="E408" s="14"/>
      <c r="F408" s="14"/>
      <c r="G408" s="14"/>
      <c r="H408" s="198"/>
      <c r="I408" s="170"/>
    </row>
    <row r="409" spans="1:9" ht="10.5" customHeight="1" x14ac:dyDescent="0.15">
      <c r="A409" s="512" t="s">
        <v>265</v>
      </c>
      <c r="C409" s="138"/>
      <c r="D409" s="14"/>
      <c r="E409" s="14"/>
      <c r="F409" s="14"/>
      <c r="G409" s="14"/>
      <c r="H409" s="198"/>
      <c r="I409" s="170"/>
    </row>
    <row r="410" spans="1:9" s="434" customFormat="1" x14ac:dyDescent="0.15">
      <c r="B410" s="523" t="s">
        <v>1577</v>
      </c>
      <c r="C410" s="524" t="s">
        <v>228</v>
      </c>
      <c r="D410" s="316">
        <v>0</v>
      </c>
      <c r="E410" s="316">
        <v>0</v>
      </c>
      <c r="F410" s="316">
        <v>0</v>
      </c>
      <c r="G410" s="528">
        <f t="array" ref="G410">SUM(IF(CertFund&amp;CertProg&amp;CertObj=RIGHT(LEFT($A$2,7),2)&amp;LEFT(A409,4)&amp;B410,CertSalary))</f>
        <v>0</v>
      </c>
      <c r="H410" s="527">
        <v>0</v>
      </c>
      <c r="I410" s="566">
        <f>SUM(G410+H410)</f>
        <v>0</v>
      </c>
    </row>
    <row r="411" spans="1:9" s="434" customFormat="1" x14ac:dyDescent="0.15">
      <c r="B411" s="523" t="s">
        <v>1577</v>
      </c>
      <c r="C411" s="524" t="s">
        <v>510</v>
      </c>
      <c r="D411" s="316">
        <v>0</v>
      </c>
      <c r="E411" s="316">
        <v>0</v>
      </c>
      <c r="F411" s="316">
        <v>0</v>
      </c>
      <c r="G411" s="316">
        <v>0</v>
      </c>
      <c r="H411" s="527">
        <v>0</v>
      </c>
      <c r="I411" s="566">
        <f>SUM(G411+H411)</f>
        <v>0</v>
      </c>
    </row>
    <row r="412" spans="1:9" s="434" customFormat="1" x14ac:dyDescent="0.15">
      <c r="A412" s="524"/>
      <c r="B412" s="523" t="s">
        <v>1578</v>
      </c>
      <c r="C412" s="524" t="s">
        <v>936</v>
      </c>
      <c r="D412" s="316">
        <v>0</v>
      </c>
      <c r="E412" s="316">
        <v>0</v>
      </c>
      <c r="F412" s="316">
        <v>0</v>
      </c>
      <c r="G412" s="529">
        <f t="array" ref="G412">SUM(IF(CertFund&amp;CertProg&amp;CertObj=RIGHT(LEFT($A$2,7),2)&amp;LEFT(A409,4)&amp;B410,CertBen))</f>
        <v>0</v>
      </c>
      <c r="H412" s="527">
        <v>0</v>
      </c>
      <c r="I412" s="566">
        <f>SUM(G412+H412)</f>
        <v>0</v>
      </c>
    </row>
    <row r="413" spans="1:9" s="434" customFormat="1" x14ac:dyDescent="0.15">
      <c r="A413" s="524"/>
      <c r="B413" s="523" t="s">
        <v>1578</v>
      </c>
      <c r="C413" s="524" t="s">
        <v>511</v>
      </c>
      <c r="D413" s="316">
        <v>0</v>
      </c>
      <c r="E413" s="316">
        <v>0</v>
      </c>
      <c r="F413" s="316">
        <v>0</v>
      </c>
      <c r="G413" s="316">
        <v>0</v>
      </c>
      <c r="H413" s="527">
        <v>0</v>
      </c>
      <c r="I413" s="566">
        <f>SUM(G413+H413)</f>
        <v>0</v>
      </c>
    </row>
    <row r="414" spans="1:9" ht="10.5" customHeight="1" x14ac:dyDescent="0.15">
      <c r="A414" s="512"/>
      <c r="B414" s="521" t="s">
        <v>1579</v>
      </c>
      <c r="C414" s="138" t="s">
        <v>118</v>
      </c>
      <c r="D414" s="147">
        <v>0</v>
      </c>
      <c r="E414" s="147">
        <v>0</v>
      </c>
      <c r="F414" s="147">
        <v>0</v>
      </c>
      <c r="G414" s="147">
        <v>0</v>
      </c>
      <c r="H414" s="291">
        <v>0</v>
      </c>
      <c r="I414" s="579">
        <f t="shared" ref="I414:I429" si="12">SUM(G414+H414)</f>
        <v>0</v>
      </c>
    </row>
    <row r="415" spans="1:9" ht="10.5" customHeight="1" x14ac:dyDescent="0.15">
      <c r="A415" s="512"/>
      <c r="B415" s="521" t="s">
        <v>1580</v>
      </c>
      <c r="C415" s="138" t="s">
        <v>119</v>
      </c>
      <c r="D415" s="147">
        <v>0</v>
      </c>
      <c r="E415" s="147">
        <v>0</v>
      </c>
      <c r="F415" s="147">
        <v>0</v>
      </c>
      <c r="G415" s="147">
        <v>0</v>
      </c>
      <c r="H415" s="291">
        <v>0</v>
      </c>
      <c r="I415" s="579">
        <f t="shared" si="12"/>
        <v>0</v>
      </c>
    </row>
    <row r="416" spans="1:9" ht="10.5" customHeight="1" x14ac:dyDescent="0.15">
      <c r="A416" s="512"/>
      <c r="B416" s="521" t="s">
        <v>120</v>
      </c>
      <c r="C416" s="138" t="s">
        <v>121</v>
      </c>
      <c r="D416" s="147">
        <v>0</v>
      </c>
      <c r="E416" s="147">
        <v>0</v>
      </c>
      <c r="F416" s="147">
        <v>0</v>
      </c>
      <c r="G416" s="147">
        <v>0</v>
      </c>
      <c r="H416" s="291">
        <v>0</v>
      </c>
      <c r="I416" s="579">
        <f t="shared" si="12"/>
        <v>0</v>
      </c>
    </row>
    <row r="417" spans="1:9" ht="10.5" customHeight="1" x14ac:dyDescent="0.15">
      <c r="A417" s="512"/>
      <c r="B417" s="521" t="s">
        <v>122</v>
      </c>
      <c r="C417" s="138" t="s">
        <v>123</v>
      </c>
      <c r="D417" s="147">
        <v>0</v>
      </c>
      <c r="E417" s="147">
        <v>0</v>
      </c>
      <c r="F417" s="147">
        <v>0</v>
      </c>
      <c r="G417" s="147">
        <v>0</v>
      </c>
      <c r="H417" s="291">
        <v>0</v>
      </c>
      <c r="I417" s="579">
        <f t="shared" si="12"/>
        <v>0</v>
      </c>
    </row>
    <row r="418" spans="1:9" ht="10.5" customHeight="1" x14ac:dyDescent="0.15">
      <c r="A418" s="512"/>
      <c r="B418" s="521" t="s">
        <v>1581</v>
      </c>
      <c r="C418" s="138" t="s">
        <v>124</v>
      </c>
      <c r="D418" s="147">
        <v>0</v>
      </c>
      <c r="E418" s="147">
        <v>0</v>
      </c>
      <c r="F418" s="147">
        <v>0</v>
      </c>
      <c r="G418" s="147">
        <v>0</v>
      </c>
      <c r="H418" s="291">
        <v>0</v>
      </c>
      <c r="I418" s="579">
        <f t="shared" si="12"/>
        <v>0</v>
      </c>
    </row>
    <row r="419" spans="1:9" ht="10.5" customHeight="1" x14ac:dyDescent="0.15">
      <c r="A419" s="512"/>
      <c r="B419" s="521" t="s">
        <v>1625</v>
      </c>
      <c r="C419" s="138" t="s">
        <v>842</v>
      </c>
      <c r="D419" s="147">
        <v>0</v>
      </c>
      <c r="E419" s="147">
        <v>0</v>
      </c>
      <c r="F419" s="147">
        <v>0</v>
      </c>
      <c r="G419" s="147">
        <v>0</v>
      </c>
      <c r="H419" s="291">
        <v>0</v>
      </c>
      <c r="I419" s="579">
        <f t="shared" si="12"/>
        <v>0</v>
      </c>
    </row>
    <row r="420" spans="1:9" ht="10.5" customHeight="1" x14ac:dyDescent="0.15">
      <c r="A420" s="512"/>
      <c r="B420" s="521" t="s">
        <v>1582</v>
      </c>
      <c r="C420" s="138" t="s">
        <v>156</v>
      </c>
      <c r="D420" s="147">
        <v>0</v>
      </c>
      <c r="E420" s="147">
        <v>0</v>
      </c>
      <c r="F420" s="147">
        <v>0</v>
      </c>
      <c r="G420" s="147">
        <v>0</v>
      </c>
      <c r="H420" s="291">
        <v>0</v>
      </c>
      <c r="I420" s="579">
        <f t="shared" si="12"/>
        <v>0</v>
      </c>
    </row>
    <row r="421" spans="1:9" ht="10.5" customHeight="1" x14ac:dyDescent="0.15">
      <c r="A421" s="512"/>
      <c r="B421" s="521" t="s">
        <v>847</v>
      </c>
      <c r="C421" s="138" t="s">
        <v>157</v>
      </c>
      <c r="D421" s="147">
        <v>0</v>
      </c>
      <c r="E421" s="147">
        <v>0</v>
      </c>
      <c r="F421" s="147">
        <v>0</v>
      </c>
      <c r="G421" s="147">
        <v>0</v>
      </c>
      <c r="H421" s="291">
        <v>0</v>
      </c>
      <c r="I421" s="579">
        <f t="shared" si="12"/>
        <v>0</v>
      </c>
    </row>
    <row r="422" spans="1:9" ht="10.5" customHeight="1" x14ac:dyDescent="0.15">
      <c r="A422" s="512"/>
      <c r="B422" s="521" t="s">
        <v>1583</v>
      </c>
      <c r="C422" s="138" t="s">
        <v>160</v>
      </c>
      <c r="D422" s="147">
        <v>0</v>
      </c>
      <c r="E422" s="147">
        <v>0</v>
      </c>
      <c r="F422" s="147">
        <v>0</v>
      </c>
      <c r="G422" s="147">
        <v>0</v>
      </c>
      <c r="H422" s="291">
        <v>0</v>
      </c>
      <c r="I422" s="579">
        <f t="shared" si="12"/>
        <v>0</v>
      </c>
    </row>
    <row r="423" spans="1:9" ht="10.5" customHeight="1" x14ac:dyDescent="0.15">
      <c r="A423" s="512"/>
      <c r="B423" s="521" t="s">
        <v>634</v>
      </c>
      <c r="C423" s="138" t="s">
        <v>165</v>
      </c>
      <c r="D423" s="147">
        <v>0</v>
      </c>
      <c r="E423" s="147">
        <v>0</v>
      </c>
      <c r="F423" s="147">
        <v>0</v>
      </c>
      <c r="G423" s="147">
        <v>0</v>
      </c>
      <c r="H423" s="291">
        <v>0</v>
      </c>
      <c r="I423" s="579">
        <f t="shared" si="12"/>
        <v>0</v>
      </c>
    </row>
    <row r="424" spans="1:9" ht="10.5" customHeight="1" x14ac:dyDescent="0.15">
      <c r="A424" s="512"/>
      <c r="B424" s="521" t="s">
        <v>630</v>
      </c>
      <c r="C424" s="138" t="s">
        <v>172</v>
      </c>
      <c r="D424" s="147">
        <v>0</v>
      </c>
      <c r="E424" s="147">
        <v>0</v>
      </c>
      <c r="F424" s="147">
        <v>0</v>
      </c>
      <c r="G424" s="147">
        <v>0</v>
      </c>
      <c r="H424" s="291">
        <v>0</v>
      </c>
      <c r="I424" s="579">
        <f t="shared" si="12"/>
        <v>0</v>
      </c>
    </row>
    <row r="425" spans="1:9" ht="10.5" customHeight="1" x14ac:dyDescent="0.15">
      <c r="A425" s="512"/>
      <c r="B425" s="650" t="s">
        <v>631</v>
      </c>
      <c r="C425" s="651" t="s">
        <v>173</v>
      </c>
      <c r="D425" s="147">
        <v>0</v>
      </c>
      <c r="E425" s="147">
        <v>0</v>
      </c>
      <c r="F425" s="147">
        <v>0</v>
      </c>
      <c r="G425" s="147">
        <v>0</v>
      </c>
      <c r="H425" s="291">
        <v>0</v>
      </c>
      <c r="I425" s="579">
        <f t="shared" si="12"/>
        <v>0</v>
      </c>
    </row>
    <row r="426" spans="1:9" ht="10.5" customHeight="1" x14ac:dyDescent="0.15">
      <c r="A426" s="512"/>
      <c r="B426" s="521" t="s">
        <v>1584</v>
      </c>
      <c r="C426" s="138" t="s">
        <v>178</v>
      </c>
      <c r="D426" s="147">
        <v>0</v>
      </c>
      <c r="E426" s="147">
        <v>0</v>
      </c>
      <c r="F426" s="147">
        <v>0</v>
      </c>
      <c r="G426" s="147">
        <v>0</v>
      </c>
      <c r="H426" s="291">
        <v>0</v>
      </c>
      <c r="I426" s="579">
        <f t="shared" si="12"/>
        <v>0</v>
      </c>
    </row>
    <row r="427" spans="1:9" ht="10.5" customHeight="1" x14ac:dyDescent="0.15">
      <c r="A427" s="512"/>
      <c r="B427" s="521" t="s">
        <v>174</v>
      </c>
      <c r="C427" s="138" t="s">
        <v>179</v>
      </c>
      <c r="D427" s="147">
        <v>0</v>
      </c>
      <c r="E427" s="147">
        <v>0</v>
      </c>
      <c r="F427" s="147">
        <v>0</v>
      </c>
      <c r="G427" s="147">
        <v>0</v>
      </c>
      <c r="H427" s="291">
        <v>0</v>
      </c>
      <c r="I427" s="579">
        <f t="shared" si="12"/>
        <v>0</v>
      </c>
    </row>
    <row r="428" spans="1:9" ht="10.5" customHeight="1" x14ac:dyDescent="0.15">
      <c r="A428" s="512"/>
      <c r="B428" s="521" t="s">
        <v>175</v>
      </c>
      <c r="C428" s="138" t="s">
        <v>180</v>
      </c>
      <c r="D428" s="147">
        <v>0</v>
      </c>
      <c r="E428" s="147">
        <v>0</v>
      </c>
      <c r="F428" s="147">
        <v>0</v>
      </c>
      <c r="G428" s="147">
        <v>0</v>
      </c>
      <c r="H428" s="291">
        <v>0</v>
      </c>
      <c r="I428" s="579">
        <f t="shared" si="12"/>
        <v>0</v>
      </c>
    </row>
    <row r="429" spans="1:9" ht="10.5" customHeight="1" thickBot="1" x14ac:dyDescent="0.2">
      <c r="A429" s="512"/>
      <c r="B429" s="521" t="s">
        <v>176</v>
      </c>
      <c r="C429" s="138" t="s">
        <v>181</v>
      </c>
      <c r="D429" s="147">
        <v>0</v>
      </c>
      <c r="E429" s="147">
        <v>0</v>
      </c>
      <c r="F429" s="147">
        <v>0</v>
      </c>
      <c r="G429" s="147">
        <v>0</v>
      </c>
      <c r="H429" s="291">
        <v>0</v>
      </c>
      <c r="I429" s="579">
        <f t="shared" si="12"/>
        <v>0</v>
      </c>
    </row>
    <row r="430" spans="1:9" ht="10.5" customHeight="1" thickTop="1" thickBot="1" x14ac:dyDescent="0.2">
      <c r="A430" s="512"/>
      <c r="B430" s="521"/>
      <c r="C430" s="138" t="s">
        <v>331</v>
      </c>
      <c r="D430" s="169">
        <f>SUM(D410:D429)</f>
        <v>0</v>
      </c>
      <c r="E430" s="169">
        <f>SUM(E410:E429)</f>
        <v>0</v>
      </c>
      <c r="F430" s="169">
        <f>SUM(F410:F429)</f>
        <v>0</v>
      </c>
      <c r="G430" s="169">
        <f>SUM(G410:G429)</f>
        <v>0</v>
      </c>
      <c r="H430" s="169">
        <f>SUM(H410:H429)</f>
        <v>0</v>
      </c>
      <c r="I430" s="169">
        <f>G430+H430</f>
        <v>0</v>
      </c>
    </row>
    <row r="431" spans="1:9" ht="10.5" customHeight="1" thickTop="1" x14ac:dyDescent="0.15">
      <c r="A431" s="512"/>
      <c r="B431" s="521"/>
      <c r="C431" s="138"/>
      <c r="D431" s="14"/>
      <c r="E431" s="14"/>
      <c r="F431" s="14"/>
      <c r="G431" s="14"/>
      <c r="H431" s="198"/>
      <c r="I431" s="170"/>
    </row>
    <row r="432" spans="1:9" ht="10.5" customHeight="1" x14ac:dyDescent="0.15">
      <c r="A432" s="512" t="s">
        <v>667</v>
      </c>
      <c r="C432" s="138"/>
      <c r="D432" s="14"/>
      <c r="E432" s="14"/>
      <c r="F432" s="14"/>
      <c r="G432" s="14"/>
      <c r="H432" s="198"/>
      <c r="I432" s="170"/>
    </row>
    <row r="433" spans="1:10" s="434" customFormat="1" x14ac:dyDescent="0.15">
      <c r="B433" s="523" t="s">
        <v>1577</v>
      </c>
      <c r="C433" s="524" t="s">
        <v>228</v>
      </c>
      <c r="D433" s="316">
        <v>0</v>
      </c>
      <c r="E433" s="316">
        <v>0</v>
      </c>
      <c r="F433" s="316">
        <v>0</v>
      </c>
      <c r="G433" s="528">
        <f t="array" ref="G433">SUM(IF(CertFund&amp;CertProg&amp;CertObj=RIGHT(LEFT($A$2,7),2)&amp;LEFT(A432,4)&amp;B433,CertSalary))</f>
        <v>0</v>
      </c>
      <c r="H433" s="527">
        <v>0</v>
      </c>
      <c r="I433" s="566">
        <f>SUM(G433+H433)</f>
        <v>0</v>
      </c>
    </row>
    <row r="434" spans="1:10" s="434" customFormat="1" x14ac:dyDescent="0.15">
      <c r="B434" s="523" t="s">
        <v>1577</v>
      </c>
      <c r="C434" s="524" t="s">
        <v>510</v>
      </c>
      <c r="D434" s="316">
        <v>0</v>
      </c>
      <c r="E434" s="316">
        <v>0</v>
      </c>
      <c r="F434" s="316">
        <v>0</v>
      </c>
      <c r="G434" s="316">
        <v>0</v>
      </c>
      <c r="H434" s="527">
        <v>0</v>
      </c>
      <c r="I434" s="566">
        <f>SUM(G434+H434)</f>
        <v>0</v>
      </c>
    </row>
    <row r="435" spans="1:10" s="434" customFormat="1" x14ac:dyDescent="0.15">
      <c r="A435" s="524"/>
      <c r="B435" s="523" t="s">
        <v>1578</v>
      </c>
      <c r="C435" s="524" t="s">
        <v>936</v>
      </c>
      <c r="D435" s="316">
        <v>0</v>
      </c>
      <c r="E435" s="316">
        <v>0</v>
      </c>
      <c r="F435" s="316">
        <v>0</v>
      </c>
      <c r="G435" s="529">
        <f t="array" ref="G435">SUM(IF(CertFund&amp;CertProg&amp;CertObj=RIGHT(LEFT($A$2,7),2)&amp;LEFT(A432,4)&amp;B433,CertBen))</f>
        <v>0</v>
      </c>
      <c r="H435" s="527">
        <v>0</v>
      </c>
      <c r="I435" s="566">
        <f>SUM(G435+H435)</f>
        <v>0</v>
      </c>
    </row>
    <row r="436" spans="1:10" x14ac:dyDescent="0.15">
      <c r="A436" s="138"/>
      <c r="B436" s="521" t="s">
        <v>1578</v>
      </c>
      <c r="C436" s="138" t="s">
        <v>511</v>
      </c>
      <c r="D436" s="147">
        <v>0</v>
      </c>
      <c r="E436" s="147">
        <v>0</v>
      </c>
      <c r="F436" s="147">
        <v>0</v>
      </c>
      <c r="G436" s="147">
        <v>0</v>
      </c>
      <c r="H436" s="150">
        <v>0</v>
      </c>
      <c r="I436" s="567">
        <f>SUM(G436+H436)</f>
        <v>0</v>
      </c>
      <c r="J436" s="434"/>
    </row>
    <row r="437" spans="1:10" ht="10.5" customHeight="1" x14ac:dyDescent="0.15">
      <c r="A437" s="512"/>
      <c r="B437" s="521" t="s">
        <v>1579</v>
      </c>
      <c r="C437" s="138" t="s">
        <v>118</v>
      </c>
      <c r="D437" s="147">
        <v>0</v>
      </c>
      <c r="E437" s="147">
        <v>0</v>
      </c>
      <c r="F437" s="147">
        <v>0</v>
      </c>
      <c r="G437" s="147">
        <v>0</v>
      </c>
      <c r="H437" s="291">
        <v>0</v>
      </c>
      <c r="I437" s="579">
        <f t="shared" ref="I437:I460" si="13">SUM(G437+H437)</f>
        <v>0</v>
      </c>
    </row>
    <row r="438" spans="1:10" ht="10.5" customHeight="1" x14ac:dyDescent="0.15">
      <c r="A438" s="512"/>
      <c r="B438" s="521" t="s">
        <v>1580</v>
      </c>
      <c r="C438" s="138" t="s">
        <v>119</v>
      </c>
      <c r="D438" s="147">
        <v>0</v>
      </c>
      <c r="E438" s="147">
        <v>0</v>
      </c>
      <c r="F438" s="147">
        <v>0</v>
      </c>
      <c r="G438" s="147">
        <v>0</v>
      </c>
      <c r="H438" s="291">
        <v>0</v>
      </c>
      <c r="I438" s="579">
        <f t="shared" si="13"/>
        <v>0</v>
      </c>
    </row>
    <row r="439" spans="1:10" ht="10.5" customHeight="1" x14ac:dyDescent="0.15">
      <c r="A439" s="512"/>
      <c r="B439" s="521" t="s">
        <v>120</v>
      </c>
      <c r="C439" s="138" t="s">
        <v>121</v>
      </c>
      <c r="D439" s="147">
        <v>0</v>
      </c>
      <c r="E439" s="147">
        <v>0</v>
      </c>
      <c r="F439" s="147">
        <v>0</v>
      </c>
      <c r="G439" s="147">
        <v>0</v>
      </c>
      <c r="H439" s="291">
        <v>0</v>
      </c>
      <c r="I439" s="579">
        <f t="shared" si="13"/>
        <v>0</v>
      </c>
    </row>
    <row r="440" spans="1:10" ht="10.5" customHeight="1" x14ac:dyDescent="0.15">
      <c r="A440" s="512"/>
      <c r="B440" s="521" t="s">
        <v>122</v>
      </c>
      <c r="C440" s="138" t="s">
        <v>123</v>
      </c>
      <c r="D440" s="147">
        <v>0</v>
      </c>
      <c r="E440" s="147">
        <v>0</v>
      </c>
      <c r="F440" s="147">
        <v>0</v>
      </c>
      <c r="G440" s="147">
        <v>0</v>
      </c>
      <c r="H440" s="291">
        <v>0</v>
      </c>
      <c r="I440" s="579">
        <f t="shared" si="13"/>
        <v>0</v>
      </c>
    </row>
    <row r="441" spans="1:10" ht="10.5" customHeight="1" x14ac:dyDescent="0.15">
      <c r="A441" s="512"/>
      <c r="B441" s="521" t="s">
        <v>1581</v>
      </c>
      <c r="C441" s="138" t="s">
        <v>124</v>
      </c>
      <c r="D441" s="147">
        <v>0</v>
      </c>
      <c r="E441" s="147">
        <v>0</v>
      </c>
      <c r="F441" s="147">
        <v>0</v>
      </c>
      <c r="G441" s="147">
        <v>0</v>
      </c>
      <c r="H441" s="291">
        <v>0</v>
      </c>
      <c r="I441" s="579">
        <f t="shared" si="13"/>
        <v>0</v>
      </c>
    </row>
    <row r="442" spans="1:10" ht="10.5" customHeight="1" x14ac:dyDescent="0.15">
      <c r="A442" s="512"/>
      <c r="B442" s="521" t="s">
        <v>1624</v>
      </c>
      <c r="C442" s="138" t="s">
        <v>840</v>
      </c>
      <c r="D442" s="147">
        <v>0</v>
      </c>
      <c r="E442" s="147">
        <v>0</v>
      </c>
      <c r="F442" s="147">
        <v>0</v>
      </c>
      <c r="G442" s="147">
        <v>0</v>
      </c>
      <c r="H442" s="291">
        <v>0</v>
      </c>
      <c r="I442" s="579">
        <f t="shared" si="13"/>
        <v>0</v>
      </c>
    </row>
    <row r="443" spans="1:10" ht="10.5" customHeight="1" x14ac:dyDescent="0.15">
      <c r="A443" s="512"/>
      <c r="B443" s="521" t="s">
        <v>1625</v>
      </c>
      <c r="C443" s="138" t="s">
        <v>842</v>
      </c>
      <c r="D443" s="147">
        <v>0</v>
      </c>
      <c r="E443" s="147">
        <v>0</v>
      </c>
      <c r="F443" s="147">
        <v>0</v>
      </c>
      <c r="G443" s="147">
        <v>0</v>
      </c>
      <c r="H443" s="291">
        <v>0</v>
      </c>
      <c r="I443" s="579">
        <f t="shared" si="13"/>
        <v>0</v>
      </c>
    </row>
    <row r="444" spans="1:10" ht="10.5" customHeight="1" x14ac:dyDescent="0.15">
      <c r="B444" s="521" t="s">
        <v>843</v>
      </c>
      <c r="C444" s="138" t="s">
        <v>848</v>
      </c>
      <c r="D444" s="147">
        <v>0</v>
      </c>
      <c r="E444" s="147">
        <v>0</v>
      </c>
      <c r="F444" s="147">
        <v>0</v>
      </c>
      <c r="G444" s="147">
        <v>0</v>
      </c>
      <c r="H444" s="291">
        <v>0</v>
      </c>
      <c r="I444" s="579">
        <f t="shared" si="13"/>
        <v>0</v>
      </c>
    </row>
    <row r="445" spans="1:10" ht="10.5" customHeight="1" x14ac:dyDescent="0.15">
      <c r="B445" s="521" t="s">
        <v>844</v>
      </c>
      <c r="C445" s="138" t="s">
        <v>186</v>
      </c>
      <c r="D445" s="147">
        <v>0</v>
      </c>
      <c r="E445" s="147">
        <v>0</v>
      </c>
      <c r="F445" s="147">
        <v>0</v>
      </c>
      <c r="G445" s="147">
        <v>0</v>
      </c>
      <c r="H445" s="291">
        <v>0</v>
      </c>
      <c r="I445" s="579">
        <f t="shared" si="13"/>
        <v>0</v>
      </c>
    </row>
    <row r="446" spans="1:10" ht="10.5" customHeight="1" x14ac:dyDescent="0.15">
      <c r="B446" s="521" t="s">
        <v>845</v>
      </c>
      <c r="C446" s="138" t="s">
        <v>154</v>
      </c>
      <c r="D446" s="147">
        <v>0</v>
      </c>
      <c r="E446" s="147">
        <v>0</v>
      </c>
      <c r="F446" s="147">
        <v>0</v>
      </c>
      <c r="G446" s="147">
        <v>0</v>
      </c>
      <c r="H446" s="291">
        <v>0</v>
      </c>
      <c r="I446" s="579">
        <f t="shared" si="13"/>
        <v>0</v>
      </c>
    </row>
    <row r="447" spans="1:10" ht="10.5" customHeight="1" x14ac:dyDescent="0.15">
      <c r="B447" s="521" t="s">
        <v>846</v>
      </c>
      <c r="C447" s="138" t="s">
        <v>155</v>
      </c>
      <c r="D447" s="147">
        <v>0</v>
      </c>
      <c r="E447" s="147">
        <v>0</v>
      </c>
      <c r="F447" s="147">
        <v>0</v>
      </c>
      <c r="G447" s="147">
        <v>0</v>
      </c>
      <c r="H447" s="291">
        <v>0</v>
      </c>
      <c r="I447" s="579">
        <f t="shared" si="13"/>
        <v>0</v>
      </c>
    </row>
    <row r="448" spans="1:10" ht="10.5" customHeight="1" x14ac:dyDescent="0.15">
      <c r="A448" s="512"/>
      <c r="B448" s="521" t="s">
        <v>1582</v>
      </c>
      <c r="C448" s="138" t="s">
        <v>156</v>
      </c>
      <c r="D448" s="147">
        <v>0</v>
      </c>
      <c r="E448" s="147">
        <v>0</v>
      </c>
      <c r="F448" s="147">
        <v>0</v>
      </c>
      <c r="G448" s="147">
        <v>0</v>
      </c>
      <c r="H448" s="291">
        <v>0</v>
      </c>
      <c r="I448" s="579">
        <f t="shared" si="13"/>
        <v>0</v>
      </c>
    </row>
    <row r="449" spans="1:9" ht="10.5" customHeight="1" x14ac:dyDescent="0.15">
      <c r="A449" s="512"/>
      <c r="B449" s="521" t="s">
        <v>847</v>
      </c>
      <c r="C449" s="138" t="s">
        <v>157</v>
      </c>
      <c r="D449" s="147">
        <v>0</v>
      </c>
      <c r="E449" s="147">
        <v>0</v>
      </c>
      <c r="F449" s="147">
        <v>0</v>
      </c>
      <c r="G449" s="147">
        <v>0</v>
      </c>
      <c r="H449" s="291">
        <v>0</v>
      </c>
      <c r="I449" s="579">
        <f t="shared" si="13"/>
        <v>0</v>
      </c>
    </row>
    <row r="450" spans="1:9" ht="10.5" customHeight="1" x14ac:dyDescent="0.15">
      <c r="A450" s="512"/>
      <c r="B450" s="521" t="s">
        <v>1583</v>
      </c>
      <c r="C450" s="138" t="s">
        <v>160</v>
      </c>
      <c r="D450" s="147">
        <v>0</v>
      </c>
      <c r="E450" s="147">
        <v>0</v>
      </c>
      <c r="F450" s="147">
        <v>0</v>
      </c>
      <c r="G450" s="147">
        <v>0</v>
      </c>
      <c r="H450" s="291">
        <v>0</v>
      </c>
      <c r="I450" s="579">
        <f t="shared" si="13"/>
        <v>0</v>
      </c>
    </row>
    <row r="451" spans="1:9" ht="10.5" customHeight="1" x14ac:dyDescent="0.15">
      <c r="A451" s="512"/>
      <c r="B451" s="521" t="s">
        <v>634</v>
      </c>
      <c r="C451" s="138" t="s">
        <v>165</v>
      </c>
      <c r="D451" s="147">
        <v>0</v>
      </c>
      <c r="E451" s="147">
        <v>0</v>
      </c>
      <c r="F451" s="147">
        <v>0</v>
      </c>
      <c r="G451" s="147">
        <v>0</v>
      </c>
      <c r="H451" s="291">
        <v>0</v>
      </c>
      <c r="I451" s="579">
        <f t="shared" si="13"/>
        <v>0</v>
      </c>
    </row>
    <row r="452" spans="1:9" ht="10.5" customHeight="1" x14ac:dyDescent="0.15">
      <c r="A452" s="512"/>
      <c r="B452" s="521" t="s">
        <v>202</v>
      </c>
      <c r="C452" s="138" t="s">
        <v>171</v>
      </c>
      <c r="D452" s="147">
        <v>0</v>
      </c>
      <c r="E452" s="147">
        <v>0</v>
      </c>
      <c r="F452" s="147">
        <v>0</v>
      </c>
      <c r="G452" s="147">
        <v>0</v>
      </c>
      <c r="H452" s="291">
        <v>0</v>
      </c>
      <c r="I452" s="579">
        <f t="shared" si="13"/>
        <v>0</v>
      </c>
    </row>
    <row r="453" spans="1:9" ht="10.5" customHeight="1" x14ac:dyDescent="0.15">
      <c r="A453" s="512"/>
      <c r="B453" s="521" t="s">
        <v>630</v>
      </c>
      <c r="C453" s="138" t="s">
        <v>172</v>
      </c>
      <c r="D453" s="147">
        <v>0</v>
      </c>
      <c r="E453" s="147">
        <v>0</v>
      </c>
      <c r="F453" s="147">
        <v>0</v>
      </c>
      <c r="G453" s="147">
        <v>0</v>
      </c>
      <c r="H453" s="291">
        <v>0</v>
      </c>
      <c r="I453" s="579">
        <f t="shared" si="13"/>
        <v>0</v>
      </c>
    </row>
    <row r="454" spans="1:9" ht="10.5" customHeight="1" x14ac:dyDescent="0.15">
      <c r="A454" s="512"/>
      <c r="B454" s="650" t="s">
        <v>631</v>
      </c>
      <c r="C454" s="651" t="s">
        <v>173</v>
      </c>
      <c r="D454" s="147">
        <v>0</v>
      </c>
      <c r="E454" s="147">
        <v>0</v>
      </c>
      <c r="F454" s="147">
        <v>0</v>
      </c>
      <c r="G454" s="147">
        <v>0</v>
      </c>
      <c r="H454" s="291">
        <v>0</v>
      </c>
      <c r="I454" s="579">
        <f t="shared" si="13"/>
        <v>0</v>
      </c>
    </row>
    <row r="455" spans="1:9" ht="10.5" customHeight="1" x14ac:dyDescent="0.15">
      <c r="A455" s="512"/>
      <c r="B455" s="521" t="s">
        <v>1584</v>
      </c>
      <c r="C455" s="138" t="s">
        <v>178</v>
      </c>
      <c r="D455" s="147">
        <v>0</v>
      </c>
      <c r="E455" s="147">
        <v>0</v>
      </c>
      <c r="F455" s="147">
        <v>0</v>
      </c>
      <c r="G455" s="147">
        <v>0</v>
      </c>
      <c r="H455" s="291">
        <v>0</v>
      </c>
      <c r="I455" s="579">
        <f t="shared" si="13"/>
        <v>0</v>
      </c>
    </row>
    <row r="456" spans="1:9" ht="10.5" customHeight="1" x14ac:dyDescent="0.15">
      <c r="A456" s="512"/>
      <c r="B456" s="521" t="s">
        <v>174</v>
      </c>
      <c r="C456" s="138" t="s">
        <v>179</v>
      </c>
      <c r="D456" s="147">
        <v>0</v>
      </c>
      <c r="E456" s="147">
        <v>0</v>
      </c>
      <c r="F456" s="147">
        <v>0</v>
      </c>
      <c r="G456" s="147">
        <v>0</v>
      </c>
      <c r="H456" s="291">
        <v>0</v>
      </c>
      <c r="I456" s="579">
        <f t="shared" si="13"/>
        <v>0</v>
      </c>
    </row>
    <row r="457" spans="1:9" ht="10.5" customHeight="1" x14ac:dyDescent="0.15">
      <c r="A457" s="512"/>
      <c r="B457" s="521" t="s">
        <v>175</v>
      </c>
      <c r="C457" s="138" t="s">
        <v>180</v>
      </c>
      <c r="D457" s="147">
        <v>0</v>
      </c>
      <c r="E457" s="147">
        <v>0</v>
      </c>
      <c r="F457" s="147">
        <v>0</v>
      </c>
      <c r="G457" s="147">
        <v>0</v>
      </c>
      <c r="H457" s="291">
        <v>0</v>
      </c>
      <c r="I457" s="579">
        <f t="shared" si="13"/>
        <v>0</v>
      </c>
    </row>
    <row r="458" spans="1:9" ht="10.5" customHeight="1" x14ac:dyDescent="0.15">
      <c r="A458" s="512"/>
      <c r="B458" s="521" t="s">
        <v>176</v>
      </c>
      <c r="C458" s="138" t="s">
        <v>181</v>
      </c>
      <c r="D458" s="147">
        <v>0</v>
      </c>
      <c r="E458" s="147">
        <v>0</v>
      </c>
      <c r="F458" s="147">
        <v>0</v>
      </c>
      <c r="G458" s="147">
        <v>0</v>
      </c>
      <c r="H458" s="291">
        <v>0</v>
      </c>
      <c r="I458" s="579">
        <f t="shared" si="13"/>
        <v>0</v>
      </c>
    </row>
    <row r="459" spans="1:9" ht="10.5" customHeight="1" x14ac:dyDescent="0.15">
      <c r="A459" s="512"/>
      <c r="B459" s="521" t="s">
        <v>177</v>
      </c>
      <c r="C459" s="138" t="s">
        <v>182</v>
      </c>
      <c r="D459" s="147">
        <v>0</v>
      </c>
      <c r="E459" s="147">
        <v>0</v>
      </c>
      <c r="F459" s="147">
        <v>0</v>
      </c>
      <c r="G459" s="147">
        <v>0</v>
      </c>
      <c r="H459" s="291">
        <v>0</v>
      </c>
      <c r="I459" s="579">
        <f t="shared" si="13"/>
        <v>0</v>
      </c>
    </row>
    <row r="460" spans="1:9" ht="10.5" customHeight="1" thickBot="1" x14ac:dyDescent="0.2">
      <c r="A460" s="512"/>
      <c r="B460" s="521" t="s">
        <v>632</v>
      </c>
      <c r="C460" s="138" t="s">
        <v>183</v>
      </c>
      <c r="D460" s="144">
        <v>0</v>
      </c>
      <c r="E460" s="144">
        <v>0</v>
      </c>
      <c r="F460" s="144">
        <v>0</v>
      </c>
      <c r="G460" s="144">
        <v>0</v>
      </c>
      <c r="H460" s="291">
        <v>0</v>
      </c>
      <c r="I460" s="579">
        <f t="shared" si="13"/>
        <v>0</v>
      </c>
    </row>
    <row r="461" spans="1:9" ht="10.5" customHeight="1" thickTop="1" thickBot="1" x14ac:dyDescent="0.2">
      <c r="A461" s="512"/>
      <c r="B461" s="521"/>
      <c r="C461" s="138" t="s">
        <v>668</v>
      </c>
      <c r="D461" s="169">
        <f>SUM(D433:D460)</f>
        <v>0</v>
      </c>
      <c r="E461" s="169">
        <f>SUM(E433:E460)</f>
        <v>0</v>
      </c>
      <c r="F461" s="169">
        <f>SUM(F433:F460)</f>
        <v>0</v>
      </c>
      <c r="G461" s="169">
        <f>SUM(G433:G460)</f>
        <v>0</v>
      </c>
      <c r="H461" s="169">
        <f>SUM(H433:H460)</f>
        <v>0</v>
      </c>
      <c r="I461" s="169">
        <f>G461+H461</f>
        <v>0</v>
      </c>
    </row>
    <row r="462" spans="1:9" ht="10.5" customHeight="1" thickTop="1" x14ac:dyDescent="0.15">
      <c r="A462" s="512"/>
      <c r="B462" s="521"/>
      <c r="C462" s="138"/>
      <c r="D462" s="14"/>
      <c r="E462" s="14"/>
      <c r="F462" s="14"/>
      <c r="G462" s="14"/>
      <c r="H462" s="198"/>
      <c r="I462" s="170"/>
    </row>
    <row r="463" spans="1:9" ht="10.5" customHeight="1" x14ac:dyDescent="0.15">
      <c r="A463" s="512" t="s">
        <v>669</v>
      </c>
      <c r="C463" s="138"/>
      <c r="D463" s="14"/>
      <c r="E463" s="14"/>
      <c r="F463" s="14"/>
      <c r="G463" s="14"/>
      <c r="H463" s="198"/>
      <c r="I463" s="170"/>
    </row>
    <row r="464" spans="1:9" s="434" customFormat="1" x14ac:dyDescent="0.15">
      <c r="B464" s="523" t="s">
        <v>1577</v>
      </c>
      <c r="C464" s="524" t="s">
        <v>228</v>
      </c>
      <c r="D464" s="316">
        <v>0</v>
      </c>
      <c r="E464" s="316">
        <v>0</v>
      </c>
      <c r="F464" s="316">
        <v>0</v>
      </c>
      <c r="G464" s="528">
        <f t="array" ref="G464">SUM(IF(CertFund&amp;CertProg&amp;CertObj=RIGHT(LEFT($A$2,7),2)&amp;LEFT(A463,4)&amp;B464,CertSalary))</f>
        <v>0</v>
      </c>
      <c r="H464" s="527">
        <v>0</v>
      </c>
      <c r="I464" s="566">
        <f>SUM(G464+H464)</f>
        <v>0</v>
      </c>
    </row>
    <row r="465" spans="1:9" s="434" customFormat="1" x14ac:dyDescent="0.15">
      <c r="B465" s="523" t="s">
        <v>1577</v>
      </c>
      <c r="C465" s="524" t="s">
        <v>510</v>
      </c>
      <c r="D465" s="316">
        <v>0</v>
      </c>
      <c r="E465" s="316">
        <v>0</v>
      </c>
      <c r="F465" s="316">
        <v>0</v>
      </c>
      <c r="G465" s="316">
        <v>0</v>
      </c>
      <c r="H465" s="527">
        <v>0</v>
      </c>
      <c r="I465" s="566">
        <f>SUM(G465+H465)</f>
        <v>0</v>
      </c>
    </row>
    <row r="466" spans="1:9" s="434" customFormat="1" x14ac:dyDescent="0.15">
      <c r="A466" s="524"/>
      <c r="B466" s="523" t="s">
        <v>1578</v>
      </c>
      <c r="C466" s="524" t="s">
        <v>936</v>
      </c>
      <c r="D466" s="316">
        <v>0</v>
      </c>
      <c r="E466" s="316">
        <v>0</v>
      </c>
      <c r="F466" s="316">
        <v>0</v>
      </c>
      <c r="G466" s="529">
        <f t="array" ref="G466">SUM(IF(CertFund&amp;CertProg&amp;CertObj=RIGHT(LEFT($A$2,7),2)&amp;LEFT(A463,4)&amp;B464,CertBen))</f>
        <v>0</v>
      </c>
      <c r="H466" s="527">
        <v>0</v>
      </c>
      <c r="I466" s="566">
        <f>SUM(G466+H466)</f>
        <v>0</v>
      </c>
    </row>
    <row r="467" spans="1:9" s="434" customFormat="1" x14ac:dyDescent="0.15">
      <c r="A467" s="524"/>
      <c r="B467" s="523" t="s">
        <v>1578</v>
      </c>
      <c r="C467" s="524" t="s">
        <v>511</v>
      </c>
      <c r="D467" s="316">
        <v>0</v>
      </c>
      <c r="E467" s="316">
        <v>0</v>
      </c>
      <c r="F467" s="316">
        <v>0</v>
      </c>
      <c r="G467" s="316">
        <v>0</v>
      </c>
      <c r="H467" s="527">
        <v>0</v>
      </c>
      <c r="I467" s="566">
        <f>SUM(G467+H467)</f>
        <v>0</v>
      </c>
    </row>
    <row r="468" spans="1:9" ht="10.5" customHeight="1" x14ac:dyDescent="0.15">
      <c r="B468" s="521" t="s">
        <v>1579</v>
      </c>
      <c r="C468" s="138" t="s">
        <v>118</v>
      </c>
      <c r="D468" s="147">
        <v>0</v>
      </c>
      <c r="E468" s="147">
        <v>0</v>
      </c>
      <c r="F468" s="147">
        <v>0</v>
      </c>
      <c r="G468" s="147">
        <v>0</v>
      </c>
      <c r="H468" s="291">
        <v>0</v>
      </c>
      <c r="I468" s="579">
        <f t="shared" ref="I468:I491" si="14">SUM(G468+H468)</f>
        <v>0</v>
      </c>
    </row>
    <row r="469" spans="1:9" ht="10.5" customHeight="1" x14ac:dyDescent="0.15">
      <c r="B469" s="521" t="s">
        <v>1580</v>
      </c>
      <c r="C469" s="138" t="s">
        <v>119</v>
      </c>
      <c r="D469" s="147">
        <v>0</v>
      </c>
      <c r="E469" s="147">
        <v>0</v>
      </c>
      <c r="F469" s="147">
        <v>0</v>
      </c>
      <c r="G469" s="147">
        <v>0</v>
      </c>
      <c r="H469" s="291">
        <v>0</v>
      </c>
      <c r="I469" s="579">
        <f t="shared" si="14"/>
        <v>0</v>
      </c>
    </row>
    <row r="470" spans="1:9" ht="10.5" customHeight="1" x14ac:dyDescent="0.15">
      <c r="B470" s="521" t="s">
        <v>120</v>
      </c>
      <c r="C470" s="138" t="s">
        <v>121</v>
      </c>
      <c r="D470" s="147">
        <v>0</v>
      </c>
      <c r="E470" s="147">
        <v>0</v>
      </c>
      <c r="F470" s="147">
        <v>0</v>
      </c>
      <c r="G470" s="147">
        <v>0</v>
      </c>
      <c r="H470" s="291">
        <v>0</v>
      </c>
      <c r="I470" s="579">
        <f t="shared" si="14"/>
        <v>0</v>
      </c>
    </row>
    <row r="471" spans="1:9" ht="10.5" customHeight="1" x14ac:dyDescent="0.15">
      <c r="B471" s="521" t="s">
        <v>122</v>
      </c>
      <c r="C471" s="138" t="s">
        <v>123</v>
      </c>
      <c r="D471" s="147">
        <v>0</v>
      </c>
      <c r="E471" s="147">
        <v>0</v>
      </c>
      <c r="F471" s="147">
        <v>0</v>
      </c>
      <c r="G471" s="147">
        <v>0</v>
      </c>
      <c r="H471" s="291">
        <v>0</v>
      </c>
      <c r="I471" s="579">
        <f t="shared" si="14"/>
        <v>0</v>
      </c>
    </row>
    <row r="472" spans="1:9" ht="10.5" customHeight="1" x14ac:dyDescent="0.15">
      <c r="B472" s="521" t="s">
        <v>1581</v>
      </c>
      <c r="C472" s="138" t="s">
        <v>124</v>
      </c>
      <c r="D472" s="147">
        <v>0</v>
      </c>
      <c r="E472" s="147">
        <v>0</v>
      </c>
      <c r="F472" s="147">
        <v>0</v>
      </c>
      <c r="G472" s="147">
        <v>0</v>
      </c>
      <c r="H472" s="291">
        <v>0</v>
      </c>
      <c r="I472" s="579">
        <f t="shared" si="14"/>
        <v>0</v>
      </c>
    </row>
    <row r="473" spans="1:9" ht="10.5" customHeight="1" x14ac:dyDescent="0.15">
      <c r="B473" s="521" t="s">
        <v>127</v>
      </c>
      <c r="C473" s="138" t="s">
        <v>134</v>
      </c>
      <c r="D473" s="147">
        <v>0</v>
      </c>
      <c r="E473" s="147">
        <v>0</v>
      </c>
      <c r="F473" s="147">
        <v>0</v>
      </c>
      <c r="G473" s="147">
        <v>0</v>
      </c>
      <c r="H473" s="291">
        <v>0</v>
      </c>
      <c r="I473" s="579">
        <f t="shared" si="14"/>
        <v>0</v>
      </c>
    </row>
    <row r="474" spans="1:9" ht="10.5" customHeight="1" x14ac:dyDescent="0.15">
      <c r="B474" s="521" t="s">
        <v>1624</v>
      </c>
      <c r="C474" s="138" t="s">
        <v>840</v>
      </c>
      <c r="D474" s="147">
        <v>0</v>
      </c>
      <c r="E474" s="147">
        <v>0</v>
      </c>
      <c r="F474" s="147">
        <v>0</v>
      </c>
      <c r="G474" s="147">
        <v>0</v>
      </c>
      <c r="H474" s="291">
        <v>0</v>
      </c>
      <c r="I474" s="579">
        <f t="shared" si="14"/>
        <v>0</v>
      </c>
    </row>
    <row r="475" spans="1:9" ht="10.5" customHeight="1" x14ac:dyDescent="0.15">
      <c r="B475" s="521" t="s">
        <v>1625</v>
      </c>
      <c r="C475" s="138" t="s">
        <v>842</v>
      </c>
      <c r="D475" s="147">
        <v>0</v>
      </c>
      <c r="E475" s="147">
        <v>0</v>
      </c>
      <c r="F475" s="147">
        <v>0</v>
      </c>
      <c r="G475" s="147">
        <v>0</v>
      </c>
      <c r="H475" s="291">
        <v>0</v>
      </c>
      <c r="I475" s="579">
        <f t="shared" si="14"/>
        <v>0</v>
      </c>
    </row>
    <row r="476" spans="1:9" ht="10.5" customHeight="1" x14ac:dyDescent="0.15">
      <c r="B476" s="521" t="s">
        <v>843</v>
      </c>
      <c r="C476" s="138" t="s">
        <v>848</v>
      </c>
      <c r="D476" s="147">
        <v>0</v>
      </c>
      <c r="E476" s="147">
        <v>0</v>
      </c>
      <c r="F476" s="147">
        <v>0</v>
      </c>
      <c r="G476" s="147">
        <v>0</v>
      </c>
      <c r="H476" s="291">
        <v>0</v>
      </c>
      <c r="I476" s="579">
        <f t="shared" si="14"/>
        <v>0</v>
      </c>
    </row>
    <row r="477" spans="1:9" ht="10.5" customHeight="1" x14ac:dyDescent="0.15">
      <c r="B477" s="521" t="s">
        <v>844</v>
      </c>
      <c r="C477" s="138" t="s">
        <v>186</v>
      </c>
      <c r="D477" s="147">
        <v>0</v>
      </c>
      <c r="E477" s="147">
        <v>0</v>
      </c>
      <c r="F477" s="147">
        <v>0</v>
      </c>
      <c r="G477" s="147">
        <v>0</v>
      </c>
      <c r="H477" s="291">
        <v>0</v>
      </c>
      <c r="I477" s="579">
        <f t="shared" si="14"/>
        <v>0</v>
      </c>
    </row>
    <row r="478" spans="1:9" ht="10.5" customHeight="1" x14ac:dyDescent="0.15">
      <c r="B478" s="521" t="s">
        <v>845</v>
      </c>
      <c r="C478" s="138" t="s">
        <v>154</v>
      </c>
      <c r="D478" s="147">
        <v>0</v>
      </c>
      <c r="E478" s="147">
        <v>0</v>
      </c>
      <c r="F478" s="147">
        <v>0</v>
      </c>
      <c r="G478" s="147">
        <v>0</v>
      </c>
      <c r="H478" s="291">
        <v>0</v>
      </c>
      <c r="I478" s="579">
        <f t="shared" si="14"/>
        <v>0</v>
      </c>
    </row>
    <row r="479" spans="1:9" ht="10.5" customHeight="1" x14ac:dyDescent="0.15">
      <c r="B479" s="521" t="s">
        <v>846</v>
      </c>
      <c r="C479" s="138" t="s">
        <v>155</v>
      </c>
      <c r="D479" s="147">
        <v>0</v>
      </c>
      <c r="E479" s="147">
        <v>0</v>
      </c>
      <c r="F479" s="147">
        <v>0</v>
      </c>
      <c r="G479" s="147">
        <v>0</v>
      </c>
      <c r="H479" s="291">
        <v>0</v>
      </c>
      <c r="I479" s="579">
        <f t="shared" si="14"/>
        <v>0</v>
      </c>
    </row>
    <row r="480" spans="1:9" ht="10.5" customHeight="1" x14ac:dyDescent="0.15">
      <c r="B480" s="521" t="s">
        <v>1582</v>
      </c>
      <c r="C480" s="138" t="s">
        <v>156</v>
      </c>
      <c r="D480" s="147">
        <v>0</v>
      </c>
      <c r="E480" s="147">
        <v>0</v>
      </c>
      <c r="F480" s="147">
        <v>0</v>
      </c>
      <c r="G480" s="147">
        <v>0</v>
      </c>
      <c r="H480" s="291">
        <v>0</v>
      </c>
      <c r="I480" s="579">
        <f t="shared" si="14"/>
        <v>0</v>
      </c>
    </row>
    <row r="481" spans="1:9" ht="10.5" customHeight="1" x14ac:dyDescent="0.15">
      <c r="B481" s="521" t="s">
        <v>847</v>
      </c>
      <c r="C481" s="138" t="s">
        <v>157</v>
      </c>
      <c r="D481" s="147">
        <v>0</v>
      </c>
      <c r="E481" s="147">
        <v>0</v>
      </c>
      <c r="F481" s="147">
        <v>0</v>
      </c>
      <c r="G481" s="147">
        <v>0</v>
      </c>
      <c r="H481" s="291">
        <v>0</v>
      </c>
      <c r="I481" s="579">
        <f t="shared" si="14"/>
        <v>0</v>
      </c>
    </row>
    <row r="482" spans="1:9" ht="10.5" customHeight="1" x14ac:dyDescent="0.15">
      <c r="B482" s="521" t="s">
        <v>1583</v>
      </c>
      <c r="C482" s="138" t="s">
        <v>160</v>
      </c>
      <c r="D482" s="147">
        <v>0</v>
      </c>
      <c r="E482" s="147">
        <v>0</v>
      </c>
      <c r="F482" s="147">
        <v>0</v>
      </c>
      <c r="G482" s="147">
        <v>0</v>
      </c>
      <c r="H482" s="291">
        <v>0</v>
      </c>
      <c r="I482" s="579">
        <f t="shared" si="14"/>
        <v>0</v>
      </c>
    </row>
    <row r="483" spans="1:9" ht="10.5" customHeight="1" x14ac:dyDescent="0.15">
      <c r="B483" s="521" t="s">
        <v>634</v>
      </c>
      <c r="C483" s="138" t="s">
        <v>165</v>
      </c>
      <c r="D483" s="147">
        <v>0</v>
      </c>
      <c r="E483" s="147">
        <v>0</v>
      </c>
      <c r="F483" s="147">
        <v>0</v>
      </c>
      <c r="G483" s="147">
        <v>0</v>
      </c>
      <c r="H483" s="291">
        <v>0</v>
      </c>
      <c r="I483" s="579">
        <f t="shared" si="14"/>
        <v>0</v>
      </c>
    </row>
    <row r="484" spans="1:9" ht="10.5" customHeight="1" x14ac:dyDescent="0.15">
      <c r="B484" s="521" t="s">
        <v>630</v>
      </c>
      <c r="C484" s="138" t="s">
        <v>172</v>
      </c>
      <c r="D484" s="147">
        <v>0</v>
      </c>
      <c r="E484" s="147">
        <v>0</v>
      </c>
      <c r="F484" s="147">
        <v>0</v>
      </c>
      <c r="G484" s="147">
        <v>0</v>
      </c>
      <c r="H484" s="291">
        <v>0</v>
      </c>
      <c r="I484" s="579">
        <f t="shared" si="14"/>
        <v>0</v>
      </c>
    </row>
    <row r="485" spans="1:9" ht="10.5" customHeight="1" x14ac:dyDescent="0.15">
      <c r="B485" s="650" t="s">
        <v>631</v>
      </c>
      <c r="C485" s="651" t="s">
        <v>173</v>
      </c>
      <c r="D485" s="147">
        <v>0</v>
      </c>
      <c r="E485" s="147">
        <v>0</v>
      </c>
      <c r="F485" s="147">
        <v>0</v>
      </c>
      <c r="G485" s="147">
        <v>0</v>
      </c>
      <c r="H485" s="291">
        <v>0</v>
      </c>
      <c r="I485" s="579">
        <f t="shared" si="14"/>
        <v>0</v>
      </c>
    </row>
    <row r="486" spans="1:9" ht="10.5" customHeight="1" x14ac:dyDescent="0.15">
      <c r="B486" s="521" t="s">
        <v>1584</v>
      </c>
      <c r="C486" s="138" t="s">
        <v>178</v>
      </c>
      <c r="D486" s="147">
        <v>0</v>
      </c>
      <c r="E486" s="147">
        <v>0</v>
      </c>
      <c r="F486" s="147">
        <v>0</v>
      </c>
      <c r="G486" s="147">
        <v>0</v>
      </c>
      <c r="H486" s="291">
        <v>0</v>
      </c>
      <c r="I486" s="579">
        <f t="shared" si="14"/>
        <v>0</v>
      </c>
    </row>
    <row r="487" spans="1:9" ht="10.5" customHeight="1" x14ac:dyDescent="0.15">
      <c r="B487" s="521" t="s">
        <v>174</v>
      </c>
      <c r="C487" s="138" t="s">
        <v>179</v>
      </c>
      <c r="D487" s="147">
        <v>0</v>
      </c>
      <c r="E487" s="147">
        <v>0</v>
      </c>
      <c r="F487" s="147">
        <v>0</v>
      </c>
      <c r="G487" s="147">
        <v>0</v>
      </c>
      <c r="H487" s="291">
        <v>0</v>
      </c>
      <c r="I487" s="579">
        <f t="shared" si="14"/>
        <v>0</v>
      </c>
    </row>
    <row r="488" spans="1:9" ht="10.5" customHeight="1" x14ac:dyDescent="0.15">
      <c r="B488" s="521" t="s">
        <v>175</v>
      </c>
      <c r="C488" s="138" t="s">
        <v>180</v>
      </c>
      <c r="D488" s="147">
        <v>0</v>
      </c>
      <c r="E488" s="147">
        <v>0</v>
      </c>
      <c r="F488" s="147">
        <v>0</v>
      </c>
      <c r="G488" s="147">
        <v>0</v>
      </c>
      <c r="H488" s="291">
        <v>0</v>
      </c>
      <c r="I488" s="579">
        <f t="shared" si="14"/>
        <v>0</v>
      </c>
    </row>
    <row r="489" spans="1:9" ht="10.5" customHeight="1" x14ac:dyDescent="0.15">
      <c r="B489" s="521" t="s">
        <v>176</v>
      </c>
      <c r="C489" s="138" t="s">
        <v>181</v>
      </c>
      <c r="D489" s="147">
        <v>0</v>
      </c>
      <c r="E489" s="147">
        <v>0</v>
      </c>
      <c r="F489" s="147">
        <v>0</v>
      </c>
      <c r="G489" s="147">
        <v>0</v>
      </c>
      <c r="H489" s="291">
        <v>0</v>
      </c>
      <c r="I489" s="579">
        <f t="shared" si="14"/>
        <v>0</v>
      </c>
    </row>
    <row r="490" spans="1:9" ht="10.5" customHeight="1" x14ac:dyDescent="0.15">
      <c r="B490" s="521" t="s">
        <v>177</v>
      </c>
      <c r="C490" s="138" t="s">
        <v>182</v>
      </c>
      <c r="D490" s="147">
        <v>0</v>
      </c>
      <c r="E490" s="147">
        <v>0</v>
      </c>
      <c r="F490" s="147">
        <v>0</v>
      </c>
      <c r="G490" s="147">
        <v>0</v>
      </c>
      <c r="H490" s="291">
        <v>0</v>
      </c>
      <c r="I490" s="579">
        <f t="shared" si="14"/>
        <v>0</v>
      </c>
    </row>
    <row r="491" spans="1:9" ht="10.5" customHeight="1" thickBot="1" x14ac:dyDescent="0.2">
      <c r="B491" s="521" t="s">
        <v>632</v>
      </c>
      <c r="C491" s="138" t="s">
        <v>183</v>
      </c>
      <c r="D491" s="144">
        <v>0</v>
      </c>
      <c r="E491" s="144">
        <v>0</v>
      </c>
      <c r="F491" s="144">
        <v>0</v>
      </c>
      <c r="G491" s="144">
        <v>0</v>
      </c>
      <c r="H491" s="291">
        <v>0</v>
      </c>
      <c r="I491" s="579">
        <f t="shared" si="14"/>
        <v>0</v>
      </c>
    </row>
    <row r="492" spans="1:9" ht="10.5" customHeight="1" thickTop="1" thickBot="1" x14ac:dyDescent="0.2">
      <c r="B492" s="521"/>
      <c r="C492" s="138" t="s">
        <v>670</v>
      </c>
      <c r="D492" s="169">
        <f>SUM(D464:D491)</f>
        <v>0</v>
      </c>
      <c r="E492" s="169">
        <f>SUM(E464:E491)</f>
        <v>0</v>
      </c>
      <c r="F492" s="169">
        <f>SUM(F464:F491)</f>
        <v>0</v>
      </c>
      <c r="G492" s="169">
        <f>SUM(G464:G491)</f>
        <v>0</v>
      </c>
      <c r="H492" s="169">
        <f>SUM(H464:H491)</f>
        <v>0</v>
      </c>
      <c r="I492" s="169">
        <f>G492+H492</f>
        <v>0</v>
      </c>
    </row>
    <row r="493" spans="1:9" ht="10.5" customHeight="1" thickTop="1" x14ac:dyDescent="0.15">
      <c r="B493" s="521"/>
      <c r="C493" s="138"/>
      <c r="D493" s="14"/>
      <c r="E493" s="14"/>
      <c r="F493" s="14"/>
      <c r="G493" s="14"/>
      <c r="H493" s="198"/>
      <c r="I493" s="170"/>
    </row>
    <row r="494" spans="1:9" ht="10.5" customHeight="1" x14ac:dyDescent="0.15">
      <c r="A494" s="512" t="s">
        <v>671</v>
      </c>
      <c r="C494" s="138"/>
      <c r="D494" s="14"/>
      <c r="E494" s="14"/>
      <c r="F494" s="14"/>
      <c r="G494" s="14"/>
      <c r="H494" s="198"/>
      <c r="I494" s="170"/>
    </row>
    <row r="495" spans="1:9" s="434" customFormat="1" x14ac:dyDescent="0.15">
      <c r="B495" s="523" t="s">
        <v>1577</v>
      </c>
      <c r="C495" s="524" t="s">
        <v>228</v>
      </c>
      <c r="D495" s="316">
        <v>0</v>
      </c>
      <c r="E495" s="316">
        <v>0</v>
      </c>
      <c r="F495" s="316">
        <v>0</v>
      </c>
      <c r="G495" s="528">
        <f t="array" ref="G495">SUM(IF(CertFund&amp;CertProg&amp;CertObj=RIGHT(LEFT($A$2,7),2)&amp;LEFT(A494,4)&amp;B495,CertSalary))</f>
        <v>0</v>
      </c>
      <c r="H495" s="527">
        <v>0</v>
      </c>
      <c r="I495" s="566">
        <f>SUM(G495+H495)</f>
        <v>0</v>
      </c>
    </row>
    <row r="496" spans="1:9" s="434" customFormat="1" x14ac:dyDescent="0.15">
      <c r="B496" s="523" t="s">
        <v>1577</v>
      </c>
      <c r="C496" s="524" t="s">
        <v>510</v>
      </c>
      <c r="D496" s="316">
        <v>0</v>
      </c>
      <c r="E496" s="316">
        <v>0</v>
      </c>
      <c r="F496" s="316">
        <v>0</v>
      </c>
      <c r="G496" s="316">
        <v>0</v>
      </c>
      <c r="H496" s="527">
        <v>0</v>
      </c>
      <c r="I496" s="566">
        <f>SUM(G496+H496)</f>
        <v>0</v>
      </c>
    </row>
    <row r="497" spans="1:10" s="434" customFormat="1" x14ac:dyDescent="0.15">
      <c r="A497" s="524"/>
      <c r="B497" s="523" t="s">
        <v>1578</v>
      </c>
      <c r="C497" s="524" t="s">
        <v>936</v>
      </c>
      <c r="D497" s="316">
        <v>0</v>
      </c>
      <c r="E497" s="316">
        <v>0</v>
      </c>
      <c r="F497" s="316">
        <v>0</v>
      </c>
      <c r="G497" s="529">
        <f t="array" ref="G497">SUM(IF(CertFund&amp;CertProg&amp;CertObj=RIGHT(LEFT($A$2,7),2)&amp;LEFT(A494,4)&amp;B495,CertBen))</f>
        <v>0</v>
      </c>
      <c r="H497" s="527">
        <v>0</v>
      </c>
      <c r="I497" s="566">
        <f>SUM(G497+H497)</f>
        <v>0</v>
      </c>
    </row>
    <row r="498" spans="1:10" x14ac:dyDescent="0.15">
      <c r="A498" s="138"/>
      <c r="B498" s="521" t="s">
        <v>1578</v>
      </c>
      <c r="C498" s="138" t="s">
        <v>511</v>
      </c>
      <c r="D498" s="147">
        <v>0</v>
      </c>
      <c r="E498" s="147">
        <v>0</v>
      </c>
      <c r="F498" s="147">
        <v>0</v>
      </c>
      <c r="G498" s="147">
        <v>0</v>
      </c>
      <c r="H498" s="150">
        <v>0</v>
      </c>
      <c r="I498" s="567">
        <f>SUM(G498+H498)</f>
        <v>0</v>
      </c>
      <c r="J498" s="434"/>
    </row>
    <row r="499" spans="1:10" ht="10.5" customHeight="1" x14ac:dyDescent="0.15">
      <c r="B499" s="521" t="s">
        <v>1579</v>
      </c>
      <c r="C499" s="138" t="s">
        <v>118</v>
      </c>
      <c r="D499" s="147">
        <v>0</v>
      </c>
      <c r="E499" s="147">
        <v>0</v>
      </c>
      <c r="F499" s="147">
        <v>0</v>
      </c>
      <c r="G499" s="147">
        <v>0</v>
      </c>
      <c r="H499" s="291">
        <v>0</v>
      </c>
      <c r="I499" s="579">
        <f t="shared" ref="I499:I524" si="15">SUM(G499+H499)</f>
        <v>0</v>
      </c>
    </row>
    <row r="500" spans="1:10" ht="10.5" customHeight="1" x14ac:dyDescent="0.15">
      <c r="B500" s="521" t="s">
        <v>1580</v>
      </c>
      <c r="C500" s="138" t="s">
        <v>119</v>
      </c>
      <c r="D500" s="147">
        <v>0</v>
      </c>
      <c r="E500" s="147">
        <v>0</v>
      </c>
      <c r="F500" s="147">
        <v>0</v>
      </c>
      <c r="G500" s="147">
        <v>0</v>
      </c>
      <c r="H500" s="291">
        <v>0</v>
      </c>
      <c r="I500" s="579">
        <f t="shared" si="15"/>
        <v>0</v>
      </c>
    </row>
    <row r="501" spans="1:10" ht="10.5" customHeight="1" x14ac:dyDescent="0.15">
      <c r="B501" s="521" t="s">
        <v>120</v>
      </c>
      <c r="C501" s="138" t="s">
        <v>121</v>
      </c>
      <c r="D501" s="147">
        <v>0</v>
      </c>
      <c r="E501" s="147">
        <v>0</v>
      </c>
      <c r="F501" s="147">
        <v>0</v>
      </c>
      <c r="G501" s="147">
        <v>0</v>
      </c>
      <c r="H501" s="291">
        <v>0</v>
      </c>
      <c r="I501" s="579">
        <f t="shared" si="15"/>
        <v>0</v>
      </c>
    </row>
    <row r="502" spans="1:10" ht="10.5" customHeight="1" x14ac:dyDescent="0.15">
      <c r="B502" s="521" t="s">
        <v>122</v>
      </c>
      <c r="C502" s="138" t="s">
        <v>123</v>
      </c>
      <c r="D502" s="147">
        <v>0</v>
      </c>
      <c r="E502" s="147">
        <v>0</v>
      </c>
      <c r="F502" s="147">
        <v>0</v>
      </c>
      <c r="G502" s="147">
        <v>0</v>
      </c>
      <c r="H502" s="291">
        <v>0</v>
      </c>
      <c r="I502" s="579">
        <f t="shared" si="15"/>
        <v>0</v>
      </c>
    </row>
    <row r="503" spans="1:10" ht="10.5" customHeight="1" x14ac:dyDescent="0.15">
      <c r="B503" s="521" t="s">
        <v>1581</v>
      </c>
      <c r="C503" s="138" t="s">
        <v>124</v>
      </c>
      <c r="D503" s="147">
        <v>0</v>
      </c>
      <c r="E503" s="147">
        <v>0</v>
      </c>
      <c r="F503" s="147">
        <v>0</v>
      </c>
      <c r="G503" s="147">
        <v>0</v>
      </c>
      <c r="H503" s="291">
        <v>0</v>
      </c>
      <c r="I503" s="579">
        <f t="shared" si="15"/>
        <v>0</v>
      </c>
    </row>
    <row r="504" spans="1:10" ht="10.5" customHeight="1" x14ac:dyDescent="0.15">
      <c r="B504" s="521" t="s">
        <v>1625</v>
      </c>
      <c r="C504" s="138" t="s">
        <v>842</v>
      </c>
      <c r="D504" s="147">
        <v>0</v>
      </c>
      <c r="E504" s="147">
        <v>0</v>
      </c>
      <c r="F504" s="147">
        <v>0</v>
      </c>
      <c r="G504" s="147">
        <v>0</v>
      </c>
      <c r="H504" s="291">
        <v>0</v>
      </c>
      <c r="I504" s="579">
        <f t="shared" si="15"/>
        <v>0</v>
      </c>
    </row>
    <row r="505" spans="1:10" ht="10.5" customHeight="1" x14ac:dyDescent="0.15">
      <c r="B505" s="521" t="s">
        <v>843</v>
      </c>
      <c r="C505" s="138" t="s">
        <v>848</v>
      </c>
      <c r="D505" s="147">
        <v>0</v>
      </c>
      <c r="E505" s="147">
        <v>0</v>
      </c>
      <c r="F505" s="147">
        <v>0</v>
      </c>
      <c r="G505" s="147">
        <v>0</v>
      </c>
      <c r="H505" s="291">
        <v>0</v>
      </c>
      <c r="I505" s="579">
        <f t="shared" si="15"/>
        <v>0</v>
      </c>
    </row>
    <row r="506" spans="1:10" ht="10.5" customHeight="1" x14ac:dyDescent="0.15">
      <c r="B506" s="521" t="s">
        <v>844</v>
      </c>
      <c r="C506" s="138" t="s">
        <v>186</v>
      </c>
      <c r="D506" s="147">
        <v>0</v>
      </c>
      <c r="E506" s="147">
        <v>0</v>
      </c>
      <c r="F506" s="147">
        <v>0</v>
      </c>
      <c r="G506" s="147">
        <v>0</v>
      </c>
      <c r="H506" s="291">
        <v>0</v>
      </c>
      <c r="I506" s="579">
        <f t="shared" si="15"/>
        <v>0</v>
      </c>
    </row>
    <row r="507" spans="1:10" ht="10.5" customHeight="1" x14ac:dyDescent="0.15">
      <c r="B507" s="521" t="s">
        <v>845</v>
      </c>
      <c r="C507" s="138" t="s">
        <v>154</v>
      </c>
      <c r="D507" s="147">
        <v>0</v>
      </c>
      <c r="E507" s="147">
        <v>0</v>
      </c>
      <c r="F507" s="147">
        <v>0</v>
      </c>
      <c r="G507" s="147">
        <v>0</v>
      </c>
      <c r="H507" s="291">
        <v>0</v>
      </c>
      <c r="I507" s="579">
        <f t="shared" si="15"/>
        <v>0</v>
      </c>
    </row>
    <row r="508" spans="1:10" ht="10.5" customHeight="1" x14ac:dyDescent="0.15">
      <c r="B508" s="521" t="s">
        <v>846</v>
      </c>
      <c r="C508" s="138" t="s">
        <v>155</v>
      </c>
      <c r="D508" s="147">
        <v>0</v>
      </c>
      <c r="E508" s="147">
        <v>0</v>
      </c>
      <c r="F508" s="147">
        <v>0</v>
      </c>
      <c r="G508" s="147">
        <v>0</v>
      </c>
      <c r="H508" s="291">
        <v>0</v>
      </c>
      <c r="I508" s="579">
        <f t="shared" si="15"/>
        <v>0</v>
      </c>
    </row>
    <row r="509" spans="1:10" ht="10.5" customHeight="1" x14ac:dyDescent="0.15">
      <c r="B509" s="521" t="s">
        <v>1582</v>
      </c>
      <c r="C509" s="138" t="s">
        <v>156</v>
      </c>
      <c r="D509" s="147">
        <v>0</v>
      </c>
      <c r="E509" s="147">
        <v>0</v>
      </c>
      <c r="F509" s="147">
        <v>0</v>
      </c>
      <c r="G509" s="147">
        <v>0</v>
      </c>
      <c r="H509" s="291">
        <v>0</v>
      </c>
      <c r="I509" s="579">
        <f t="shared" si="15"/>
        <v>0</v>
      </c>
    </row>
    <row r="510" spans="1:10" ht="10.5" customHeight="1" x14ac:dyDescent="0.15">
      <c r="B510" s="521" t="s">
        <v>847</v>
      </c>
      <c r="C510" s="138" t="s">
        <v>157</v>
      </c>
      <c r="D510" s="147">
        <v>0</v>
      </c>
      <c r="E510" s="147">
        <v>0</v>
      </c>
      <c r="F510" s="147">
        <v>0</v>
      </c>
      <c r="G510" s="147">
        <v>0</v>
      </c>
      <c r="H510" s="291">
        <v>0</v>
      </c>
      <c r="I510" s="579">
        <f t="shared" si="15"/>
        <v>0</v>
      </c>
    </row>
    <row r="511" spans="1:10" ht="10.5" customHeight="1" x14ac:dyDescent="0.15">
      <c r="B511" s="521" t="s">
        <v>1583</v>
      </c>
      <c r="C511" s="138" t="s">
        <v>160</v>
      </c>
      <c r="D511" s="147">
        <v>0</v>
      </c>
      <c r="E511" s="147">
        <v>0</v>
      </c>
      <c r="F511" s="147">
        <v>0</v>
      </c>
      <c r="G511" s="147">
        <v>0</v>
      </c>
      <c r="H511" s="291">
        <v>0</v>
      </c>
      <c r="I511" s="579">
        <f t="shared" si="15"/>
        <v>0</v>
      </c>
    </row>
    <row r="512" spans="1:10" ht="10.5" customHeight="1" x14ac:dyDescent="0.15">
      <c r="B512" s="521" t="s">
        <v>200</v>
      </c>
      <c r="C512" s="138" t="s">
        <v>161</v>
      </c>
      <c r="D512" s="147">
        <v>0</v>
      </c>
      <c r="E512" s="147">
        <v>0</v>
      </c>
      <c r="F512" s="147">
        <v>0</v>
      </c>
      <c r="G512" s="147">
        <v>0</v>
      </c>
      <c r="H512" s="291">
        <v>0</v>
      </c>
      <c r="I512" s="579">
        <f t="shared" si="15"/>
        <v>0</v>
      </c>
    </row>
    <row r="513" spans="2:9" ht="10.5" customHeight="1" x14ac:dyDescent="0.15">
      <c r="B513" s="521" t="s">
        <v>201</v>
      </c>
      <c r="C513" s="138" t="s">
        <v>162</v>
      </c>
      <c r="D513" s="147">
        <v>0</v>
      </c>
      <c r="E513" s="147">
        <v>0</v>
      </c>
      <c r="F513" s="147">
        <v>0</v>
      </c>
      <c r="G513" s="147">
        <v>0</v>
      </c>
      <c r="H513" s="291">
        <v>0</v>
      </c>
      <c r="I513" s="579">
        <f t="shared" si="15"/>
        <v>0</v>
      </c>
    </row>
    <row r="514" spans="2:9" ht="10.5" customHeight="1" x14ac:dyDescent="0.15">
      <c r="B514" s="521" t="s">
        <v>158</v>
      </c>
      <c r="C514" s="138" t="s">
        <v>464</v>
      </c>
      <c r="D514" s="147">
        <v>0</v>
      </c>
      <c r="E514" s="147">
        <v>0</v>
      </c>
      <c r="F514" s="147">
        <v>0</v>
      </c>
      <c r="G514" s="147">
        <v>0</v>
      </c>
      <c r="H514" s="291">
        <v>0</v>
      </c>
      <c r="I514" s="579">
        <f t="shared" si="15"/>
        <v>0</v>
      </c>
    </row>
    <row r="515" spans="2:9" ht="10.5" customHeight="1" x14ac:dyDescent="0.15">
      <c r="B515" s="521" t="s">
        <v>159</v>
      </c>
      <c r="C515" s="138" t="s">
        <v>465</v>
      </c>
      <c r="D515" s="147">
        <v>0</v>
      </c>
      <c r="E515" s="147">
        <v>0</v>
      </c>
      <c r="F515" s="147">
        <v>0</v>
      </c>
      <c r="G515" s="147">
        <v>0</v>
      </c>
      <c r="H515" s="291">
        <v>0</v>
      </c>
      <c r="I515" s="579">
        <f t="shared" si="15"/>
        <v>0</v>
      </c>
    </row>
    <row r="516" spans="2:9" ht="10.5" customHeight="1" x14ac:dyDescent="0.15">
      <c r="B516" s="521" t="s">
        <v>466</v>
      </c>
      <c r="C516" s="138" t="s">
        <v>468</v>
      </c>
      <c r="D516" s="147">
        <v>0</v>
      </c>
      <c r="E516" s="147">
        <v>0</v>
      </c>
      <c r="F516" s="147">
        <v>0</v>
      </c>
      <c r="G516" s="147">
        <v>0</v>
      </c>
      <c r="H516" s="291">
        <v>0</v>
      </c>
      <c r="I516" s="579">
        <f t="shared" si="15"/>
        <v>0</v>
      </c>
    </row>
    <row r="517" spans="2:9" ht="10.5" customHeight="1" x14ac:dyDescent="0.15">
      <c r="B517" s="521" t="s">
        <v>634</v>
      </c>
      <c r="C517" s="138" t="s">
        <v>165</v>
      </c>
      <c r="D517" s="147">
        <v>0</v>
      </c>
      <c r="E517" s="147">
        <v>0</v>
      </c>
      <c r="F517" s="147">
        <v>0</v>
      </c>
      <c r="G517" s="147">
        <v>0</v>
      </c>
      <c r="H517" s="291">
        <v>0</v>
      </c>
      <c r="I517" s="579">
        <f t="shared" si="15"/>
        <v>0</v>
      </c>
    </row>
    <row r="518" spans="2:9" ht="10.5" customHeight="1" x14ac:dyDescent="0.15">
      <c r="B518" s="521" t="s">
        <v>202</v>
      </c>
      <c r="C518" s="138" t="s">
        <v>171</v>
      </c>
      <c r="D518" s="147">
        <v>0</v>
      </c>
      <c r="E518" s="147">
        <v>0</v>
      </c>
      <c r="F518" s="147">
        <v>0</v>
      </c>
      <c r="G518" s="147">
        <v>0</v>
      </c>
      <c r="H518" s="291">
        <v>0</v>
      </c>
      <c r="I518" s="579">
        <f t="shared" si="15"/>
        <v>0</v>
      </c>
    </row>
    <row r="519" spans="2:9" ht="10.5" customHeight="1" x14ac:dyDescent="0.15">
      <c r="B519" s="521" t="s">
        <v>630</v>
      </c>
      <c r="C519" s="138" t="s">
        <v>172</v>
      </c>
      <c r="D519" s="147">
        <v>0</v>
      </c>
      <c r="E519" s="147">
        <v>0</v>
      </c>
      <c r="F519" s="147">
        <v>0</v>
      </c>
      <c r="G519" s="147">
        <v>0</v>
      </c>
      <c r="H519" s="291">
        <v>0</v>
      </c>
      <c r="I519" s="579">
        <f t="shared" si="15"/>
        <v>0</v>
      </c>
    </row>
    <row r="520" spans="2:9" ht="10.5" customHeight="1" x14ac:dyDescent="0.15">
      <c r="B520" s="650" t="s">
        <v>631</v>
      </c>
      <c r="C520" s="651" t="s">
        <v>173</v>
      </c>
      <c r="D520" s="147">
        <v>0</v>
      </c>
      <c r="E520" s="147">
        <v>0</v>
      </c>
      <c r="F520" s="147">
        <v>0</v>
      </c>
      <c r="G520" s="147">
        <v>0</v>
      </c>
      <c r="H520" s="291">
        <v>0</v>
      </c>
      <c r="I520" s="579">
        <f t="shared" si="15"/>
        <v>0</v>
      </c>
    </row>
    <row r="521" spans="2:9" ht="10.5" customHeight="1" x14ac:dyDescent="0.15">
      <c r="B521" s="521" t="s">
        <v>1584</v>
      </c>
      <c r="C521" s="138" t="s">
        <v>178</v>
      </c>
      <c r="D521" s="147">
        <v>0</v>
      </c>
      <c r="E521" s="147">
        <v>0</v>
      </c>
      <c r="F521" s="147">
        <v>0</v>
      </c>
      <c r="G521" s="147">
        <v>0</v>
      </c>
      <c r="H521" s="291">
        <v>0</v>
      </c>
      <c r="I521" s="579">
        <f t="shared" si="15"/>
        <v>0</v>
      </c>
    </row>
    <row r="522" spans="2:9" ht="10.5" customHeight="1" x14ac:dyDescent="0.15">
      <c r="B522" s="521" t="s">
        <v>174</v>
      </c>
      <c r="C522" s="138" t="s">
        <v>179</v>
      </c>
      <c r="D522" s="147">
        <v>0</v>
      </c>
      <c r="E522" s="147">
        <v>0</v>
      </c>
      <c r="F522" s="147">
        <v>0</v>
      </c>
      <c r="G522" s="147">
        <v>0</v>
      </c>
      <c r="H522" s="291">
        <v>0</v>
      </c>
      <c r="I522" s="579">
        <f t="shared" si="15"/>
        <v>0</v>
      </c>
    </row>
    <row r="523" spans="2:9" ht="10.5" customHeight="1" x14ac:dyDescent="0.15">
      <c r="B523" s="521" t="s">
        <v>175</v>
      </c>
      <c r="C523" s="138" t="s">
        <v>180</v>
      </c>
      <c r="D523" s="147">
        <v>0</v>
      </c>
      <c r="E523" s="147">
        <v>0</v>
      </c>
      <c r="F523" s="147">
        <v>0</v>
      </c>
      <c r="G523" s="147">
        <v>0</v>
      </c>
      <c r="H523" s="291">
        <v>0</v>
      </c>
      <c r="I523" s="579">
        <f t="shared" si="15"/>
        <v>0</v>
      </c>
    </row>
    <row r="524" spans="2:9" ht="10.5" customHeight="1" thickBot="1" x14ac:dyDescent="0.2">
      <c r="B524" s="521" t="s">
        <v>176</v>
      </c>
      <c r="C524" s="138" t="s">
        <v>181</v>
      </c>
      <c r="D524" s="147">
        <v>0</v>
      </c>
      <c r="E524" s="147">
        <v>0</v>
      </c>
      <c r="F524" s="147">
        <v>0</v>
      </c>
      <c r="G524" s="147">
        <v>0</v>
      </c>
      <c r="H524" s="291">
        <v>0</v>
      </c>
      <c r="I524" s="579">
        <f t="shared" si="15"/>
        <v>0</v>
      </c>
    </row>
    <row r="525" spans="2:9" ht="10.5" customHeight="1" thickTop="1" thickBot="1" x14ac:dyDescent="0.2">
      <c r="B525" s="521"/>
      <c r="C525" s="138" t="s">
        <v>672</v>
      </c>
      <c r="D525" s="169">
        <f>SUM(D495:D524)</f>
        <v>0</v>
      </c>
      <c r="E525" s="169">
        <f>SUM(E495:E524)</f>
        <v>0</v>
      </c>
      <c r="F525" s="169">
        <f>SUM(F495:F524)</f>
        <v>0</v>
      </c>
      <c r="G525" s="169">
        <f>SUM(G495:G524)</f>
        <v>0</v>
      </c>
      <c r="H525" s="169">
        <f>SUM(H495:H524)</f>
        <v>0</v>
      </c>
      <c r="I525" s="169">
        <f>G525+H525</f>
        <v>0</v>
      </c>
    </row>
    <row r="526" spans="2:9" ht="10.5" customHeight="1" thickTop="1" thickBot="1" x14ac:dyDescent="0.2">
      <c r="B526" s="138"/>
      <c r="C526" s="138"/>
      <c r="D526" s="14"/>
      <c r="E526" s="14"/>
      <c r="F526" s="14"/>
      <c r="G526" s="14"/>
      <c r="H526" s="198"/>
      <c r="I526" s="170"/>
    </row>
    <row r="527" spans="2:9" ht="10.5" customHeight="1" thickTop="1" thickBot="1" x14ac:dyDescent="0.2">
      <c r="B527" s="138" t="s">
        <v>1501</v>
      </c>
      <c r="D527" s="169">
        <f>D44+D81+D118+D149+D187+D218+D251+D291+D323+D353+D384+D407+D430+D461+D492+D525</f>
        <v>0</v>
      </c>
      <c r="E527" s="169">
        <f>E44+E81+E118+E149+E187+E218+E251+E291+E323+E353+E384+E407+E430+E461+E492+E525</f>
        <v>0</v>
      </c>
      <c r="F527" s="169">
        <f>F44+F81+F118+F149+F187+F218+F251+F291+F323+F353+F384+F407+F430+F461+F492+F525</f>
        <v>0</v>
      </c>
      <c r="G527" s="169">
        <f>G44+G81+G118+G149+G187+G218+G251+G291+G323+G353+G384+G407+G430+G461+G492+G525</f>
        <v>0</v>
      </c>
      <c r="H527" s="169">
        <f>H44+H81+H118+H149+H187+H218+H251+H291+H323+H353+H384+H407+H430+H461+H492+H525</f>
        <v>0</v>
      </c>
      <c r="I527" s="169">
        <f>G527+H527</f>
        <v>0</v>
      </c>
    </row>
    <row r="528" spans="2:9" ht="10.5" customHeight="1" thickTop="1" thickBot="1" x14ac:dyDescent="0.2">
      <c r="D528" s="498"/>
      <c r="E528" s="498"/>
      <c r="F528" s="498"/>
      <c r="G528" s="498"/>
      <c r="H528" s="498"/>
      <c r="I528" s="159"/>
    </row>
    <row r="529" spans="1:9" ht="10.5" customHeight="1" thickTop="1" thickBot="1" x14ac:dyDescent="0.2">
      <c r="B529" s="512" t="s">
        <v>254</v>
      </c>
      <c r="D529" s="169">
        <f>CharterFundExp!D1074+CharterFundExp2!D527</f>
        <v>0</v>
      </c>
      <c r="E529" s="169">
        <f>CharterFundExp!E1074+CharterFundExp2!E527</f>
        <v>0</v>
      </c>
      <c r="F529" s="169">
        <f>CharterFundExp!F1074+CharterFundExp2!F527</f>
        <v>0</v>
      </c>
      <c r="G529" s="169">
        <f>CharterFundExp!G1074+CharterFundExp2!G527</f>
        <v>0</v>
      </c>
      <c r="H529" s="169">
        <f>CharterFundExp!H1074+CharterFundExp2!H527</f>
        <v>0</v>
      </c>
      <c r="I529" s="169">
        <f>G529+H529</f>
        <v>0</v>
      </c>
    </row>
    <row r="530" spans="1:9" ht="10.5" customHeight="1" thickTop="1" x14ac:dyDescent="0.15">
      <c r="D530" s="498"/>
      <c r="E530" s="498"/>
      <c r="F530" s="498"/>
      <c r="G530" s="498"/>
      <c r="H530" s="498"/>
      <c r="I530" s="159"/>
    </row>
    <row r="531" spans="1:9" ht="10.5" customHeight="1" x14ac:dyDescent="0.15">
      <c r="A531" s="507" t="s">
        <v>391</v>
      </c>
      <c r="D531" s="498"/>
      <c r="E531" s="498"/>
      <c r="F531" s="498"/>
      <c r="G531" s="498"/>
      <c r="H531" s="498"/>
      <c r="I531" s="159"/>
    </row>
    <row r="532" spans="1:9" ht="10.5" customHeight="1" x14ac:dyDescent="0.15">
      <c r="A532" s="512" t="s">
        <v>736</v>
      </c>
      <c r="D532" s="147">
        <v>0</v>
      </c>
      <c r="E532" s="147">
        <v>0</v>
      </c>
      <c r="F532" s="147">
        <v>0</v>
      </c>
      <c r="G532" s="147">
        <v>0</v>
      </c>
      <c r="H532" s="291">
        <v>0</v>
      </c>
      <c r="I532" s="579">
        <f>SUM(G532+H532)</f>
        <v>0</v>
      </c>
    </row>
    <row r="533" spans="1:9" ht="10.5" customHeight="1" x14ac:dyDescent="0.15">
      <c r="A533" s="512" t="s">
        <v>728</v>
      </c>
      <c r="C533" s="138"/>
      <c r="I533" s="167"/>
    </row>
    <row r="534" spans="1:9" ht="10.5" customHeight="1" x14ac:dyDescent="0.15">
      <c r="B534" s="511" t="s">
        <v>434</v>
      </c>
      <c r="C534" s="138" t="s">
        <v>413</v>
      </c>
      <c r="D534" s="147">
        <v>0</v>
      </c>
      <c r="E534" s="147">
        <v>0</v>
      </c>
      <c r="F534" s="147">
        <v>0</v>
      </c>
      <c r="G534" s="147">
        <v>0</v>
      </c>
      <c r="H534" s="291">
        <v>0</v>
      </c>
      <c r="I534" s="579">
        <f>SUM(G534+H534)</f>
        <v>0</v>
      </c>
    </row>
    <row r="535" spans="1:9" ht="10.5" customHeight="1" x14ac:dyDescent="0.15">
      <c r="B535" s="511" t="s">
        <v>433</v>
      </c>
      <c r="C535" s="138" t="s">
        <v>414</v>
      </c>
      <c r="D535" s="161">
        <v>0</v>
      </c>
      <c r="E535" s="161">
        <v>0</v>
      </c>
      <c r="F535" s="161">
        <v>0</v>
      </c>
      <c r="G535" s="161">
        <v>0</v>
      </c>
      <c r="H535" s="291">
        <v>0</v>
      </c>
      <c r="I535" s="579">
        <f>SUM(G535+H535)</f>
        <v>0</v>
      </c>
    </row>
    <row r="536" spans="1:9" ht="10.5" customHeight="1" x14ac:dyDescent="0.15">
      <c r="A536" s="495" t="s">
        <v>857</v>
      </c>
      <c r="B536" s="511"/>
      <c r="C536" s="138"/>
      <c r="D536" s="161"/>
      <c r="E536" s="161"/>
      <c r="F536" s="161"/>
      <c r="G536" s="161"/>
      <c r="H536" s="291"/>
      <c r="I536" s="579"/>
    </row>
    <row r="537" spans="1:9" ht="10.5" customHeight="1" thickBot="1" x14ac:dyDescent="0.2">
      <c r="B537" s="511"/>
      <c r="C537" s="658" t="s">
        <v>858</v>
      </c>
      <c r="D537" s="661">
        <f>+CharterFundRev!D111+CharterFundRev!D115+CharterFundRev!D116+CharterFundRev!D117</f>
        <v>0</v>
      </c>
      <c r="E537" s="661">
        <f>+CharterFundRev!E111+CharterFundRev!E115+CharterFundRev!E116+CharterFundRev!E117</f>
        <v>0</v>
      </c>
      <c r="F537" s="661">
        <f>+CharterFundRev!F111+CharterFundRev!F115+CharterFundRev!F116+CharterFundRev!F117</f>
        <v>0</v>
      </c>
      <c r="G537" s="661">
        <f>+CharterFundRev!G111+CharterFundRev!G115+CharterFundRev!G116+CharterFundRev!G117</f>
        <v>0</v>
      </c>
      <c r="H537" s="661">
        <f>+CharterFundRev!H111+CharterFundRev!H115+CharterFundRev!H116+CharterFundRev!H117</f>
        <v>0</v>
      </c>
      <c r="I537" s="661">
        <f>+CharterFundRev!I111+CharterFundRev!I115+CharterFundRev!I116+CharterFundRev!I117</f>
        <v>0</v>
      </c>
    </row>
    <row r="538" spans="1:9" ht="10.5" customHeight="1" thickTop="1" thickBot="1" x14ac:dyDescent="0.2">
      <c r="A538" s="512"/>
      <c r="C538" s="138" t="s">
        <v>1275</v>
      </c>
      <c r="D538" s="173">
        <f>SUM(D532:D537)</f>
        <v>0</v>
      </c>
      <c r="E538" s="173">
        <f>SUM(E532:E537)</f>
        <v>0</v>
      </c>
      <c r="F538" s="173">
        <f>SUM(F532:F537)</f>
        <v>0</v>
      </c>
      <c r="G538" s="173">
        <f>SUM(G532:G537)</f>
        <v>0</v>
      </c>
      <c r="H538" s="173">
        <f>SUM(H532:H537)</f>
        <v>0</v>
      </c>
      <c r="I538" s="173">
        <f>G538+H538</f>
        <v>0</v>
      </c>
    </row>
    <row r="539" spans="1:9" ht="10.5" customHeight="1" thickTop="1" thickBot="1" x14ac:dyDescent="0.2">
      <c r="A539" s="512"/>
      <c r="C539" s="138"/>
      <c r="D539" s="14"/>
      <c r="E539" s="14"/>
      <c r="F539" s="14"/>
      <c r="G539" s="14"/>
      <c r="I539" s="167"/>
    </row>
    <row r="540" spans="1:9" ht="10.5" customHeight="1" thickTop="1" thickBot="1" x14ac:dyDescent="0.2">
      <c r="B540" s="512" t="s">
        <v>729</v>
      </c>
      <c r="D540" s="173">
        <f>D529+D538</f>
        <v>0</v>
      </c>
      <c r="E540" s="173">
        <f>E529+E538</f>
        <v>0</v>
      </c>
      <c r="F540" s="173">
        <f>F529+F538</f>
        <v>0</v>
      </c>
      <c r="G540" s="173">
        <f>G529+G538</f>
        <v>0</v>
      </c>
      <c r="H540" s="173">
        <f>H529+H538</f>
        <v>0</v>
      </c>
      <c r="I540" s="173">
        <f>G540+H540</f>
        <v>0</v>
      </c>
    </row>
    <row r="541" spans="1:9" ht="10.5" customHeight="1" thickTop="1" x14ac:dyDescent="0.15">
      <c r="D541" s="498"/>
      <c r="E541" s="498"/>
      <c r="F541" s="498"/>
      <c r="G541" s="498"/>
      <c r="H541" s="498"/>
      <c r="I541" s="159"/>
    </row>
    <row r="542" spans="1:9" ht="10.5" customHeight="1" x14ac:dyDescent="0.15">
      <c r="A542" s="556" t="s">
        <v>110</v>
      </c>
      <c r="C542" s="557" t="s">
        <v>737</v>
      </c>
      <c r="D542" s="498"/>
      <c r="E542" s="498"/>
      <c r="F542" s="498"/>
      <c r="G542" s="498"/>
      <c r="H542" s="498"/>
      <c r="I542" s="159"/>
    </row>
    <row r="543" spans="1:9" ht="10.5" customHeight="1" x14ac:dyDescent="0.15">
      <c r="A543" s="558" t="s">
        <v>1522</v>
      </c>
      <c r="C543" s="138" t="s">
        <v>1516</v>
      </c>
      <c r="D543" s="41">
        <v>0</v>
      </c>
      <c r="E543" s="41">
        <v>0</v>
      </c>
      <c r="F543" s="41">
        <v>0</v>
      </c>
      <c r="G543" s="41">
        <v>0</v>
      </c>
      <c r="H543" s="291">
        <v>0</v>
      </c>
      <c r="I543" s="579">
        <f>SUM(G543+H543)</f>
        <v>0</v>
      </c>
    </row>
    <row r="544" spans="1:9" ht="10.5" customHeight="1" x14ac:dyDescent="0.15">
      <c r="A544" s="558" t="s">
        <v>1523</v>
      </c>
      <c r="C544" s="138" t="s">
        <v>1517</v>
      </c>
      <c r="D544" s="41">
        <v>0</v>
      </c>
      <c r="E544" s="41">
        <v>0</v>
      </c>
      <c r="F544" s="41">
        <v>0</v>
      </c>
      <c r="G544" s="41">
        <v>0</v>
      </c>
      <c r="H544" s="291">
        <v>0</v>
      </c>
      <c r="I544" s="579">
        <f>SUM(G544+H544)</f>
        <v>0</v>
      </c>
    </row>
    <row r="545" spans="1:9" ht="10.5" customHeight="1" x14ac:dyDescent="0.15">
      <c r="A545" s="558" t="s">
        <v>1524</v>
      </c>
      <c r="C545" s="138" t="s">
        <v>1518</v>
      </c>
      <c r="D545" s="41">
        <v>0</v>
      </c>
      <c r="E545" s="41">
        <v>0</v>
      </c>
      <c r="F545" s="41">
        <v>0</v>
      </c>
      <c r="G545" s="41">
        <v>0</v>
      </c>
      <c r="H545" s="291">
        <v>0</v>
      </c>
      <c r="I545" s="579">
        <f>SUM(G545+H545)</f>
        <v>0</v>
      </c>
    </row>
    <row r="546" spans="1:9" ht="10.5" customHeight="1" x14ac:dyDescent="0.15">
      <c r="A546" s="558" t="s">
        <v>1525</v>
      </c>
      <c r="C546" s="138" t="s">
        <v>1519</v>
      </c>
      <c r="D546" s="41">
        <v>0</v>
      </c>
      <c r="E546" s="41">
        <v>0</v>
      </c>
      <c r="F546" s="41">
        <v>0</v>
      </c>
      <c r="G546" s="41">
        <v>0</v>
      </c>
      <c r="H546" s="291">
        <v>0</v>
      </c>
      <c r="I546" s="579">
        <f>SUM(G546+H546)</f>
        <v>0</v>
      </c>
    </row>
    <row r="547" spans="1:9" ht="10.5" customHeight="1" thickBot="1" x14ac:dyDescent="0.2">
      <c r="A547" s="558" t="s">
        <v>1526</v>
      </c>
      <c r="C547" s="138" t="s">
        <v>1520</v>
      </c>
      <c r="D547" s="150">
        <v>0</v>
      </c>
      <c r="E547" s="150">
        <v>0</v>
      </c>
      <c r="F547" s="150">
        <v>0</v>
      </c>
      <c r="G547" s="150">
        <v>0</v>
      </c>
      <c r="H547" s="291">
        <v>0</v>
      </c>
      <c r="I547" s="579">
        <f>SUM(G547+H547)</f>
        <v>0</v>
      </c>
    </row>
    <row r="548" spans="1:9" ht="10.5" customHeight="1" thickTop="1" thickBot="1" x14ac:dyDescent="0.2">
      <c r="A548" s="559"/>
      <c r="C548" s="138" t="s">
        <v>724</v>
      </c>
      <c r="D548" s="169">
        <f>SUM(D543:D547)</f>
        <v>0</v>
      </c>
      <c r="E548" s="169">
        <f>SUM(E543:E547)</f>
        <v>0</v>
      </c>
      <c r="F548" s="169">
        <f>SUM(F543:F547)</f>
        <v>0</v>
      </c>
      <c r="G548" s="169">
        <f>SUM(G543:G547)</f>
        <v>0</v>
      </c>
      <c r="H548" s="169">
        <f>SUM(H543:H547)</f>
        <v>0</v>
      </c>
      <c r="I548" s="169">
        <f>G548+H548</f>
        <v>0</v>
      </c>
    </row>
    <row r="549" spans="1:9" ht="10.5" customHeight="1" thickTop="1" thickBot="1" x14ac:dyDescent="0.2">
      <c r="A549" s="559"/>
      <c r="C549" s="138"/>
      <c r="D549" s="498"/>
      <c r="E549" s="498"/>
      <c r="F549" s="498"/>
      <c r="G549" s="498"/>
      <c r="H549" s="14"/>
      <c r="I549" s="563"/>
    </row>
    <row r="550" spans="1:9" ht="10.5" customHeight="1" thickBot="1" x14ac:dyDescent="0.2">
      <c r="B550" s="512" t="s">
        <v>723</v>
      </c>
      <c r="D550" s="171">
        <f>D540+D548</f>
        <v>0</v>
      </c>
      <c r="E550" s="171">
        <f>E540+E548</f>
        <v>0</v>
      </c>
      <c r="F550" s="171">
        <f>F540+F548</f>
        <v>0</v>
      </c>
      <c r="G550" s="171">
        <f>G540+G548</f>
        <v>0</v>
      </c>
      <c r="H550" s="171">
        <f>H540+H548</f>
        <v>0</v>
      </c>
      <c r="I550" s="171">
        <f>G550+H550</f>
        <v>0</v>
      </c>
    </row>
    <row r="551" spans="1:9" ht="10.5" customHeight="1" x14ac:dyDescent="0.15">
      <c r="A551" s="559"/>
      <c r="C551" s="138" t="s">
        <v>725</v>
      </c>
      <c r="D551" s="498"/>
      <c r="E551" s="498"/>
      <c r="F551" s="498"/>
      <c r="G551" s="498"/>
      <c r="H551" s="14"/>
      <c r="I551" s="563"/>
    </row>
    <row r="552" spans="1:9" ht="10.5" customHeight="1" x14ac:dyDescent="0.15">
      <c r="A552" s="559"/>
      <c r="C552" s="138"/>
      <c r="D552" s="498"/>
      <c r="E552" s="498"/>
      <c r="F552" s="498"/>
      <c r="G552" s="498"/>
      <c r="H552" s="14"/>
      <c r="I552" s="563"/>
    </row>
    <row r="553" spans="1:9" ht="10.5" customHeight="1" x14ac:dyDescent="0.15">
      <c r="C553" s="557" t="s">
        <v>738</v>
      </c>
      <c r="D553" s="498"/>
      <c r="E553" s="498"/>
      <c r="F553" s="498"/>
      <c r="G553" s="498"/>
      <c r="H553" s="14"/>
      <c r="I553" s="563"/>
    </row>
    <row r="554" spans="1:9" x14ac:dyDescent="0.15">
      <c r="A554" s="511" t="s">
        <v>633</v>
      </c>
      <c r="C554" s="510" t="s">
        <v>1504</v>
      </c>
      <c r="D554" s="41">
        <v>0</v>
      </c>
      <c r="E554" s="41">
        <v>0</v>
      </c>
      <c r="F554" s="41">
        <v>0</v>
      </c>
      <c r="G554" s="41">
        <v>0</v>
      </c>
      <c r="H554" s="41">
        <v>0</v>
      </c>
      <c r="I554" s="564">
        <f>G554+H554</f>
        <v>0</v>
      </c>
    </row>
    <row r="555" spans="1:9" ht="10.5" customHeight="1" thickBot="1" x14ac:dyDescent="0.2">
      <c r="C555" s="560" t="s">
        <v>1503</v>
      </c>
      <c r="I555" s="167"/>
    </row>
    <row r="556" spans="1:9" ht="10.5" customHeight="1" thickBot="1" x14ac:dyDescent="0.2">
      <c r="B556" s="512" t="s">
        <v>730</v>
      </c>
      <c r="D556" s="212">
        <f>D550+D554</f>
        <v>0</v>
      </c>
      <c r="E556" s="212">
        <f>E550+E554</f>
        <v>0</v>
      </c>
      <c r="F556" s="212">
        <f>F550+F554</f>
        <v>0</v>
      </c>
      <c r="G556" s="212">
        <f>G550+G554</f>
        <v>0</v>
      </c>
      <c r="H556" s="212">
        <f>H550+H554</f>
        <v>0</v>
      </c>
      <c r="I556" s="212">
        <f>G556+H556</f>
        <v>0</v>
      </c>
    </row>
    <row r="557" spans="1:9" ht="10.5" customHeight="1" thickBot="1" x14ac:dyDescent="0.2">
      <c r="C557" s="138"/>
      <c r="D557" s="498"/>
      <c r="E557" s="498"/>
      <c r="F557" s="498"/>
      <c r="G557" s="498"/>
      <c r="H557" s="14"/>
      <c r="I557" s="563"/>
    </row>
    <row r="558" spans="1:9" ht="10.5" customHeight="1" thickTop="1" thickBot="1" x14ac:dyDescent="0.2">
      <c r="C558" s="562" t="s">
        <v>726</v>
      </c>
      <c r="D558" s="173">
        <f>CharterFundRev!D108</f>
        <v>0</v>
      </c>
      <c r="E558" s="173">
        <f>CharterFundRev!E108</f>
        <v>0</v>
      </c>
      <c r="F558" s="173">
        <f>CharterFundRev!F108</f>
        <v>0</v>
      </c>
      <c r="G558" s="173">
        <f>CharterFundRev!G108</f>
        <v>0</v>
      </c>
      <c r="H558" s="173">
        <f>CharterFundRev!H108</f>
        <v>0</v>
      </c>
      <c r="I558" s="173">
        <f>G558+H558</f>
        <v>0</v>
      </c>
    </row>
    <row r="559" spans="1:9" ht="10.5" customHeight="1" thickTop="1" x14ac:dyDescent="0.15">
      <c r="D559" s="8"/>
      <c r="E559" s="8"/>
      <c r="F559" s="8"/>
      <c r="G559" s="8"/>
      <c r="H559" s="198"/>
      <c r="I559" s="170"/>
    </row>
    <row r="560" spans="1:9" ht="10.5" customHeight="1" x14ac:dyDescent="0.15">
      <c r="C560" s="562" t="s">
        <v>727</v>
      </c>
      <c r="D560" s="167">
        <f>D556-D558</f>
        <v>0</v>
      </c>
      <c r="E560" s="167">
        <f>E556-E558</f>
        <v>0</v>
      </c>
      <c r="F560" s="167">
        <f>F556-F558</f>
        <v>0</v>
      </c>
      <c r="G560" s="167">
        <f>G556-G558</f>
        <v>0</v>
      </c>
      <c r="H560" s="167">
        <f>H556-H558</f>
        <v>0</v>
      </c>
      <c r="I560" s="167">
        <f>G560+H560</f>
        <v>0</v>
      </c>
    </row>
    <row r="561" spans="3:9" ht="10.5" customHeight="1" x14ac:dyDescent="0.15">
      <c r="I561" s="167"/>
    </row>
    <row r="562" spans="3:9" ht="10.5" customHeight="1" x14ac:dyDescent="0.15">
      <c r="I562" s="167"/>
    </row>
    <row r="563" spans="3:9" ht="10.5" customHeight="1" x14ac:dyDescent="0.15">
      <c r="C563" s="138"/>
    </row>
  </sheetData>
  <sheetProtection password="CB03" sheet="1" formatCells="0" formatColumns="0" formatRows="0"/>
  <phoneticPr fontId="15" type="noConversion"/>
  <pageMargins left="0.75" right="0.75" top="1" bottom="1" header="0.5" footer="0.5"/>
  <pageSetup scale="59" orientation="portrait" r:id="rId1"/>
  <headerFooter alignWithMargins="0">
    <oddFooter>&amp;LCDE, Public School Finance Unit&amp;C&amp;P&amp;RRevised, March 2009</oddFooter>
  </headerFooter>
  <rowBreaks count="4" manualBreakCount="4">
    <brk id="82" max="16383" man="1"/>
    <brk id="188" max="16383" man="1"/>
    <brk id="292" max="16383" man="1"/>
    <brk id="38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workbookViewId="0">
      <selection activeCell="E47" sqref="E47"/>
    </sheetView>
  </sheetViews>
  <sheetFormatPr defaultRowHeight="10.5" x14ac:dyDescent="0.15"/>
  <cols>
    <col min="1" max="1" width="9" style="423" customWidth="1"/>
    <col min="2" max="2" width="4.83203125" style="423" customWidth="1"/>
    <col min="3" max="3" width="70.83203125" style="423" customWidth="1"/>
    <col min="4" max="4" width="15.83203125" style="423" customWidth="1"/>
    <col min="5" max="5" width="14.1640625" style="423" bestFit="1" customWidth="1"/>
    <col min="6" max="6" width="14" style="423" bestFit="1" customWidth="1"/>
    <col min="7" max="7" width="15.83203125" style="423" customWidth="1"/>
    <col min="8" max="8" width="15.1640625" style="423" customWidth="1"/>
    <col min="9" max="9" width="17.33203125" style="423" customWidth="1"/>
    <col min="10" max="16384" width="9.33203125" style="423"/>
  </cols>
  <sheetData>
    <row r="1" spans="1:9" x14ac:dyDescent="0.15">
      <c r="A1" s="423" t="s">
        <v>106</v>
      </c>
      <c r="C1" s="138">
        <f>+'Page 1 - FY2013-14'!B5</f>
        <v>0</v>
      </c>
      <c r="D1" s="423" t="s">
        <v>1586</v>
      </c>
      <c r="E1" s="428">
        <f>+'Page 1 - FY2013-14'!F7</f>
        <v>0</v>
      </c>
      <c r="G1" s="485" t="s">
        <v>1588</v>
      </c>
    </row>
    <row r="2" spans="1:9" x14ac:dyDescent="0.15">
      <c r="A2" s="515" t="s">
        <v>107</v>
      </c>
    </row>
    <row r="3" spans="1:9" ht="42" x14ac:dyDescent="0.15">
      <c r="A3" s="515"/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A4" s="515"/>
      <c r="D4" s="491"/>
      <c r="E4" s="491"/>
      <c r="F4" s="491"/>
      <c r="G4" s="491"/>
      <c r="H4" s="492" t="s">
        <v>193</v>
      </c>
      <c r="I4" s="492" t="s">
        <v>192</v>
      </c>
    </row>
    <row r="5" spans="1:9" ht="11.25" thickBot="1" x14ac:dyDescent="0.2">
      <c r="D5" s="491"/>
      <c r="E5" s="491"/>
      <c r="F5" s="491"/>
      <c r="G5" s="491"/>
      <c r="I5" s="167"/>
    </row>
    <row r="6" spans="1:9" ht="11.25" thickBot="1" x14ac:dyDescent="0.2">
      <c r="A6" s="512" t="s">
        <v>195</v>
      </c>
      <c r="B6" s="512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580" t="s">
        <v>1592</v>
      </c>
      <c r="C7" s="557" t="s">
        <v>196</v>
      </c>
      <c r="E7" s="498"/>
      <c r="F7" s="498"/>
      <c r="G7" s="498"/>
      <c r="I7" s="167"/>
    </row>
    <row r="8" spans="1:9" x14ac:dyDescent="0.15">
      <c r="A8" s="138" t="s">
        <v>1595</v>
      </c>
      <c r="B8" s="511" t="s">
        <v>1159</v>
      </c>
      <c r="C8" s="138" t="s">
        <v>206</v>
      </c>
      <c r="D8" s="41">
        <v>0</v>
      </c>
      <c r="E8" s="41">
        <v>0</v>
      </c>
      <c r="F8" s="41">
        <v>0</v>
      </c>
      <c r="G8" s="41">
        <v>0</v>
      </c>
      <c r="H8" s="532">
        <v>0</v>
      </c>
      <c r="I8" s="564">
        <f>SUM(G8+H8)</f>
        <v>0</v>
      </c>
    </row>
    <row r="9" spans="1:9" x14ac:dyDescent="0.15">
      <c r="A9" s="138" t="s">
        <v>1596</v>
      </c>
      <c r="B9" s="511" t="s">
        <v>1160</v>
      </c>
      <c r="C9" s="138" t="s">
        <v>257</v>
      </c>
      <c r="D9" s="41">
        <v>0</v>
      </c>
      <c r="E9" s="41">
        <v>0</v>
      </c>
      <c r="F9" s="41">
        <v>0</v>
      </c>
      <c r="G9" s="41">
        <v>0</v>
      </c>
      <c r="H9" s="532">
        <v>0</v>
      </c>
      <c r="I9" s="564">
        <f t="shared" ref="I9:I14" si="0">SUM(G9+H9)</f>
        <v>0</v>
      </c>
    </row>
    <row r="10" spans="1:9" x14ac:dyDescent="0.15">
      <c r="A10" s="138" t="s">
        <v>1602</v>
      </c>
      <c r="B10" s="511" t="s">
        <v>1161</v>
      </c>
      <c r="C10" s="138" t="s">
        <v>443</v>
      </c>
      <c r="D10" s="41">
        <v>0</v>
      </c>
      <c r="E10" s="41">
        <v>0</v>
      </c>
      <c r="F10" s="41">
        <v>0</v>
      </c>
      <c r="G10" s="41">
        <v>0</v>
      </c>
      <c r="H10" s="532">
        <v>0</v>
      </c>
      <c r="I10" s="564">
        <f t="shared" si="0"/>
        <v>0</v>
      </c>
    </row>
    <row r="11" spans="1:9" x14ac:dyDescent="0.15">
      <c r="A11" s="138" t="s">
        <v>97</v>
      </c>
      <c r="B11" s="511" t="s">
        <v>1228</v>
      </c>
      <c r="C11" s="138" t="s">
        <v>452</v>
      </c>
      <c r="D11" s="41">
        <v>0</v>
      </c>
      <c r="E11" s="41">
        <v>0</v>
      </c>
      <c r="F11" s="41">
        <v>0</v>
      </c>
      <c r="G11" s="41">
        <v>0</v>
      </c>
      <c r="H11" s="532">
        <v>0</v>
      </c>
      <c r="I11" s="564">
        <f t="shared" si="0"/>
        <v>0</v>
      </c>
    </row>
    <row r="12" spans="1:9" x14ac:dyDescent="0.15">
      <c r="A12" s="425" t="s">
        <v>105</v>
      </c>
      <c r="B12" s="511" t="s">
        <v>1229</v>
      </c>
      <c r="C12" s="2" t="s">
        <v>860</v>
      </c>
      <c r="D12" s="41">
        <v>0</v>
      </c>
      <c r="E12" s="41">
        <v>0</v>
      </c>
      <c r="F12" s="41">
        <v>0</v>
      </c>
      <c r="G12" s="41">
        <v>0</v>
      </c>
      <c r="H12" s="532">
        <v>0</v>
      </c>
      <c r="I12" s="564">
        <f t="shared" si="0"/>
        <v>0</v>
      </c>
    </row>
    <row r="13" spans="1:9" x14ac:dyDescent="0.15">
      <c r="A13" s="138" t="s">
        <v>197</v>
      </c>
      <c r="B13" s="511" t="s">
        <v>1230</v>
      </c>
      <c r="C13" s="716" t="s">
        <v>893</v>
      </c>
      <c r="D13" s="41">
        <v>0</v>
      </c>
      <c r="E13" s="41">
        <v>0</v>
      </c>
      <c r="F13" s="41">
        <v>0</v>
      </c>
      <c r="G13" s="41">
        <v>0</v>
      </c>
      <c r="H13" s="532">
        <v>0</v>
      </c>
      <c r="I13" s="564">
        <f t="shared" si="0"/>
        <v>0</v>
      </c>
    </row>
    <row r="14" spans="1:9" x14ac:dyDescent="0.15">
      <c r="B14" s="511" t="s">
        <v>1231</v>
      </c>
      <c r="C14" s="138" t="s">
        <v>212</v>
      </c>
      <c r="D14" s="41">
        <v>0</v>
      </c>
      <c r="E14" s="41">
        <v>0</v>
      </c>
      <c r="F14" s="41">
        <v>0</v>
      </c>
      <c r="G14" s="41">
        <v>0</v>
      </c>
      <c r="H14" s="532">
        <v>0</v>
      </c>
      <c r="I14" s="564">
        <f t="shared" si="0"/>
        <v>0</v>
      </c>
    </row>
    <row r="15" spans="1:9" ht="11.25" thickBot="1" x14ac:dyDescent="0.2">
      <c r="B15" s="511"/>
      <c r="C15" s="138"/>
      <c r="D15" s="14"/>
      <c r="E15" s="14"/>
      <c r="F15" s="14"/>
      <c r="G15" s="14"/>
      <c r="I15" s="167"/>
    </row>
    <row r="16" spans="1:9" ht="12" thickTop="1" thickBot="1" x14ac:dyDescent="0.2">
      <c r="B16" s="511" t="s">
        <v>1232</v>
      </c>
      <c r="C16" s="512" t="s">
        <v>1158</v>
      </c>
      <c r="D16" s="151">
        <f t="shared" ref="D16:I16" si="1">SUM(D8:D14)</f>
        <v>0</v>
      </c>
      <c r="E16" s="151">
        <f t="shared" si="1"/>
        <v>0</v>
      </c>
      <c r="F16" s="151">
        <f t="shared" si="1"/>
        <v>0</v>
      </c>
      <c r="G16" s="151">
        <f t="shared" si="1"/>
        <v>0</v>
      </c>
      <c r="H16" s="151">
        <f t="shared" si="1"/>
        <v>0</v>
      </c>
      <c r="I16" s="169">
        <f t="shared" si="1"/>
        <v>0</v>
      </c>
    </row>
    <row r="17" spans="1:9" ht="12" thickTop="1" thickBot="1" x14ac:dyDescent="0.2">
      <c r="A17" s="138"/>
      <c r="C17" s="138"/>
      <c r="E17" s="498"/>
      <c r="F17" s="198"/>
      <c r="G17" s="498"/>
      <c r="I17" s="167"/>
    </row>
    <row r="18" spans="1:9" ht="11.25" thickBot="1" x14ac:dyDescent="0.2">
      <c r="A18" s="512" t="s">
        <v>1233</v>
      </c>
      <c r="D18" s="513">
        <f t="shared" ref="D18:I18" si="2">D6+D16</f>
        <v>0</v>
      </c>
      <c r="E18" s="513">
        <f t="shared" si="2"/>
        <v>0</v>
      </c>
      <c r="F18" s="513">
        <f t="shared" si="2"/>
        <v>0</v>
      </c>
      <c r="G18" s="513">
        <f t="shared" si="2"/>
        <v>0</v>
      </c>
      <c r="H18" s="513">
        <f t="shared" si="2"/>
        <v>0</v>
      </c>
      <c r="I18" s="171">
        <f t="shared" si="2"/>
        <v>0</v>
      </c>
    </row>
    <row r="19" spans="1:9" x14ac:dyDescent="0.15">
      <c r="E19" s="498"/>
      <c r="F19" s="498"/>
      <c r="G19" s="498"/>
      <c r="I19" s="167"/>
    </row>
    <row r="20" spans="1:9" x14ac:dyDescent="0.15">
      <c r="A20" s="660" t="s">
        <v>824</v>
      </c>
      <c r="B20" s="424"/>
      <c r="C20" s="495" t="s">
        <v>816</v>
      </c>
      <c r="I20" s="179"/>
    </row>
    <row r="21" spans="1:9" x14ac:dyDescent="0.15">
      <c r="A21" s="436" t="s">
        <v>105</v>
      </c>
      <c r="B21" s="501" t="s">
        <v>1437</v>
      </c>
      <c r="C21" s="2" t="s">
        <v>827</v>
      </c>
      <c r="D21" s="41">
        <v>0</v>
      </c>
      <c r="E21" s="41">
        <v>0</v>
      </c>
      <c r="F21" s="41">
        <v>0</v>
      </c>
      <c r="G21" s="41">
        <v>0</v>
      </c>
      <c r="H21" s="534">
        <v>0</v>
      </c>
      <c r="I21" s="535">
        <f>SUM(G21+H21)</f>
        <v>0</v>
      </c>
    </row>
    <row r="22" spans="1:9" x14ac:dyDescent="0.15">
      <c r="A22" s="490"/>
      <c r="B22" s="424"/>
    </row>
    <row r="23" spans="1:9" x14ac:dyDescent="0.15">
      <c r="E23" s="498"/>
      <c r="F23" s="498"/>
      <c r="G23" s="498"/>
      <c r="I23" s="167"/>
    </row>
    <row r="24" spans="1:9" x14ac:dyDescent="0.15">
      <c r="A24" s="580" t="s">
        <v>198</v>
      </c>
      <c r="C24" s="557" t="s">
        <v>199</v>
      </c>
      <c r="E24" s="498"/>
      <c r="F24" s="498"/>
      <c r="G24" s="498"/>
      <c r="I24" s="167"/>
    </row>
    <row r="25" spans="1:9" x14ac:dyDescent="0.15">
      <c r="A25" s="521" t="s">
        <v>675</v>
      </c>
      <c r="B25" s="521" t="s">
        <v>1240</v>
      </c>
      <c r="C25" s="423" t="s">
        <v>1331</v>
      </c>
      <c r="D25" s="41">
        <v>0</v>
      </c>
      <c r="E25" s="41">
        <v>0</v>
      </c>
      <c r="F25" s="41">
        <v>0</v>
      </c>
      <c r="G25" s="41">
        <v>0</v>
      </c>
      <c r="H25" s="532">
        <v>0</v>
      </c>
      <c r="I25" s="575">
        <f>SUM(G25+H25)</f>
        <v>0</v>
      </c>
    </row>
    <row r="26" spans="1:9" x14ac:dyDescent="0.15">
      <c r="A26" s="521" t="s">
        <v>676</v>
      </c>
      <c r="B26" s="521" t="s">
        <v>1244</v>
      </c>
      <c r="C26" s="423" t="s">
        <v>1332</v>
      </c>
      <c r="D26" s="41">
        <v>0</v>
      </c>
      <c r="E26" s="41">
        <v>0</v>
      </c>
      <c r="F26" s="41">
        <v>0</v>
      </c>
      <c r="G26" s="41">
        <v>0</v>
      </c>
      <c r="H26" s="532">
        <v>0</v>
      </c>
      <c r="I26" s="575">
        <f t="shared" ref="I26:I37" si="3">SUM(G26+H26)</f>
        <v>0</v>
      </c>
    </row>
    <row r="27" spans="1:9" x14ac:dyDescent="0.15">
      <c r="A27" s="521" t="s">
        <v>697</v>
      </c>
      <c r="B27" s="521" t="s">
        <v>1245</v>
      </c>
      <c r="C27" s="423" t="s">
        <v>699</v>
      </c>
      <c r="D27" s="41">
        <v>0</v>
      </c>
      <c r="E27" s="41">
        <v>0</v>
      </c>
      <c r="F27" s="41">
        <v>0</v>
      </c>
      <c r="G27" s="41">
        <v>0</v>
      </c>
      <c r="H27" s="532">
        <v>0</v>
      </c>
      <c r="I27" s="575">
        <f t="shared" si="3"/>
        <v>0</v>
      </c>
    </row>
    <row r="28" spans="1:9" x14ac:dyDescent="0.15">
      <c r="A28" s="521" t="s">
        <v>677</v>
      </c>
      <c r="B28" s="138" t="s">
        <v>1338</v>
      </c>
      <c r="C28" s="581" t="s">
        <v>1335</v>
      </c>
      <c r="D28" s="41">
        <v>0</v>
      </c>
      <c r="E28" s="41">
        <v>0</v>
      </c>
      <c r="F28" s="41">
        <v>0</v>
      </c>
      <c r="G28" s="41">
        <v>0</v>
      </c>
      <c r="H28" s="532">
        <v>0</v>
      </c>
      <c r="I28" s="575">
        <f t="shared" si="3"/>
        <v>0</v>
      </c>
    </row>
    <row r="29" spans="1:9" x14ac:dyDescent="0.15">
      <c r="A29" s="521" t="s">
        <v>677</v>
      </c>
      <c r="B29" s="521" t="s">
        <v>1336</v>
      </c>
      <c r="C29" s="581" t="s">
        <v>1333</v>
      </c>
      <c r="D29" s="41">
        <v>0</v>
      </c>
      <c r="E29" s="41">
        <v>0</v>
      </c>
      <c r="F29" s="41">
        <v>0</v>
      </c>
      <c r="G29" s="41">
        <v>0</v>
      </c>
      <c r="H29" s="532">
        <v>0</v>
      </c>
      <c r="I29" s="575">
        <f t="shared" si="3"/>
        <v>0</v>
      </c>
    </row>
    <row r="30" spans="1:9" x14ac:dyDescent="0.15">
      <c r="A30" s="521" t="s">
        <v>677</v>
      </c>
      <c r="B30" s="138" t="s">
        <v>1337</v>
      </c>
      <c r="C30" s="581" t="s">
        <v>1334</v>
      </c>
      <c r="D30" s="41">
        <v>0</v>
      </c>
      <c r="E30" s="41">
        <v>0</v>
      </c>
      <c r="F30" s="41">
        <v>0</v>
      </c>
      <c r="G30" s="41">
        <v>0</v>
      </c>
      <c r="H30" s="532">
        <v>0</v>
      </c>
      <c r="I30" s="575">
        <f t="shared" si="3"/>
        <v>0</v>
      </c>
    </row>
    <row r="31" spans="1:9" x14ac:dyDescent="0.15">
      <c r="A31" s="521" t="s">
        <v>678</v>
      </c>
      <c r="B31" s="521" t="s">
        <v>1242</v>
      </c>
      <c r="C31" s="581" t="s">
        <v>700</v>
      </c>
      <c r="D31" s="41">
        <v>0</v>
      </c>
      <c r="E31" s="41">
        <v>0</v>
      </c>
      <c r="F31" s="41">
        <v>0</v>
      </c>
      <c r="G31" s="41">
        <v>0</v>
      </c>
      <c r="H31" s="532">
        <v>0</v>
      </c>
      <c r="I31" s="575">
        <f t="shared" si="3"/>
        <v>0</v>
      </c>
    </row>
    <row r="32" spans="1:9" x14ac:dyDescent="0.15">
      <c r="A32" s="521" t="s">
        <v>693</v>
      </c>
      <c r="B32" s="521" t="s">
        <v>1247</v>
      </c>
      <c r="C32" s="581" t="s">
        <v>648</v>
      </c>
      <c r="D32" s="41">
        <v>0</v>
      </c>
      <c r="E32" s="41">
        <v>0</v>
      </c>
      <c r="F32" s="41">
        <v>0</v>
      </c>
      <c r="G32" s="41">
        <v>0</v>
      </c>
      <c r="H32" s="532">
        <v>0</v>
      </c>
      <c r="I32" s="575">
        <f t="shared" si="3"/>
        <v>0</v>
      </c>
    </row>
    <row r="33" spans="1:9" x14ac:dyDescent="0.15">
      <c r="A33" s="521" t="s">
        <v>694</v>
      </c>
      <c r="B33" s="521" t="s">
        <v>1248</v>
      </c>
      <c r="C33" s="581" t="s">
        <v>649</v>
      </c>
      <c r="D33" s="41">
        <v>0</v>
      </c>
      <c r="E33" s="41">
        <v>0</v>
      </c>
      <c r="F33" s="41">
        <v>0</v>
      </c>
      <c r="G33" s="41">
        <v>0</v>
      </c>
      <c r="H33" s="532">
        <v>0</v>
      </c>
      <c r="I33" s="575">
        <f t="shared" si="3"/>
        <v>0</v>
      </c>
    </row>
    <row r="34" spans="1:9" x14ac:dyDescent="0.15">
      <c r="A34" s="521" t="s">
        <v>695</v>
      </c>
      <c r="B34" s="521" t="s">
        <v>1249</v>
      </c>
      <c r="C34" s="581" t="s">
        <v>259</v>
      </c>
      <c r="D34" s="41">
        <v>0</v>
      </c>
      <c r="E34" s="41">
        <v>0</v>
      </c>
      <c r="F34" s="41">
        <v>0</v>
      </c>
      <c r="G34" s="41">
        <v>0</v>
      </c>
      <c r="H34" s="532">
        <v>0</v>
      </c>
      <c r="I34" s="575">
        <f t="shared" si="3"/>
        <v>0</v>
      </c>
    </row>
    <row r="35" spans="1:9" x14ac:dyDescent="0.15">
      <c r="A35" s="521" t="s">
        <v>696</v>
      </c>
      <c r="B35" s="521" t="s">
        <v>1250</v>
      </c>
      <c r="C35" s="581" t="s">
        <v>650</v>
      </c>
      <c r="D35" s="41">
        <v>0</v>
      </c>
      <c r="E35" s="41">
        <v>0</v>
      </c>
      <c r="F35" s="41">
        <v>0</v>
      </c>
      <c r="G35" s="41">
        <v>0</v>
      </c>
      <c r="H35" s="532">
        <v>0</v>
      </c>
      <c r="I35" s="575">
        <f t="shared" si="3"/>
        <v>0</v>
      </c>
    </row>
    <row r="36" spans="1:9" x14ac:dyDescent="0.15">
      <c r="A36" s="521"/>
      <c r="B36" s="521"/>
      <c r="C36" s="663" t="s">
        <v>862</v>
      </c>
      <c r="D36" s="664">
        <f t="shared" ref="D36:I36" si="4">+D21</f>
        <v>0</v>
      </c>
      <c r="E36" s="664">
        <f t="shared" si="4"/>
        <v>0</v>
      </c>
      <c r="F36" s="664">
        <f t="shared" si="4"/>
        <v>0</v>
      </c>
      <c r="G36" s="664">
        <f t="shared" si="4"/>
        <v>0</v>
      </c>
      <c r="H36" s="664">
        <f t="shared" si="4"/>
        <v>0</v>
      </c>
      <c r="I36" s="664">
        <f t="shared" si="4"/>
        <v>0</v>
      </c>
    </row>
    <row r="37" spans="1:9" x14ac:dyDescent="0.15">
      <c r="B37" s="521" t="s">
        <v>1253</v>
      </c>
      <c r="C37" s="138" t="s">
        <v>1339</v>
      </c>
      <c r="D37" s="41">
        <v>0</v>
      </c>
      <c r="E37" s="41">
        <v>0</v>
      </c>
      <c r="F37" s="41">
        <v>0</v>
      </c>
      <c r="G37" s="41">
        <v>0</v>
      </c>
      <c r="H37" s="532">
        <v>0</v>
      </c>
      <c r="I37" s="575">
        <f t="shared" si="3"/>
        <v>0</v>
      </c>
    </row>
    <row r="38" spans="1:9" ht="11.25" thickBot="1" x14ac:dyDescent="0.2">
      <c r="C38" s="138"/>
      <c r="D38" s="14"/>
      <c r="E38" s="14"/>
      <c r="F38" s="14"/>
      <c r="G38" s="14"/>
      <c r="I38" s="167"/>
    </row>
    <row r="39" spans="1:9" ht="12" thickTop="1" thickBot="1" x14ac:dyDescent="0.2">
      <c r="B39" s="521" t="s">
        <v>1254</v>
      </c>
      <c r="C39" s="512" t="s">
        <v>1037</v>
      </c>
      <c r="D39" s="156">
        <f t="shared" ref="D39:I39" si="5">SUM(D25:D37)</f>
        <v>0</v>
      </c>
      <c r="E39" s="156">
        <f t="shared" si="5"/>
        <v>0</v>
      </c>
      <c r="F39" s="156">
        <f t="shared" si="5"/>
        <v>0</v>
      </c>
      <c r="G39" s="156">
        <f t="shared" si="5"/>
        <v>0</v>
      </c>
      <c r="H39" s="156">
        <f t="shared" si="5"/>
        <v>0</v>
      </c>
      <c r="I39" s="173">
        <f t="shared" si="5"/>
        <v>0</v>
      </c>
    </row>
    <row r="40" spans="1:9" ht="11.25" thickTop="1" x14ac:dyDescent="0.15">
      <c r="E40" s="498"/>
      <c r="F40" s="498"/>
      <c r="G40" s="498"/>
      <c r="I40" s="167"/>
    </row>
    <row r="41" spans="1:9" x14ac:dyDescent="0.15">
      <c r="A41" s="556" t="s">
        <v>110</v>
      </c>
      <c r="C41" s="557" t="s">
        <v>737</v>
      </c>
      <c r="D41" s="498"/>
      <c r="E41" s="498"/>
      <c r="F41" s="498"/>
      <c r="G41" s="498"/>
      <c r="I41" s="167"/>
    </row>
    <row r="42" spans="1:9" x14ac:dyDescent="0.15">
      <c r="A42" s="558" t="s">
        <v>1522</v>
      </c>
      <c r="B42" s="511" t="s">
        <v>1255</v>
      </c>
      <c r="C42" s="138" t="s">
        <v>1516</v>
      </c>
      <c r="D42" s="41">
        <v>0</v>
      </c>
      <c r="E42" s="41">
        <v>0</v>
      </c>
      <c r="F42" s="41">
        <v>0</v>
      </c>
      <c r="G42" s="41">
        <v>0</v>
      </c>
      <c r="H42" s="532">
        <v>0</v>
      </c>
      <c r="I42" s="564">
        <f>SUM(G42+H42)</f>
        <v>0</v>
      </c>
    </row>
    <row r="43" spans="1:9" ht="11.25" customHeight="1" x14ac:dyDescent="0.15">
      <c r="A43" s="558" t="s">
        <v>1523</v>
      </c>
      <c r="B43" s="511" t="s">
        <v>1260</v>
      </c>
      <c r="C43" s="138" t="s">
        <v>1517</v>
      </c>
      <c r="D43" s="41">
        <v>0</v>
      </c>
      <c r="E43" s="41">
        <v>0</v>
      </c>
      <c r="F43" s="41">
        <v>0</v>
      </c>
      <c r="G43" s="41">
        <v>0</v>
      </c>
      <c r="H43" s="532">
        <v>0</v>
      </c>
      <c r="I43" s="564">
        <f>SUM(G43+H43)</f>
        <v>0</v>
      </c>
    </row>
    <row r="44" spans="1:9" x14ac:dyDescent="0.15">
      <c r="A44" s="558" t="s">
        <v>1524</v>
      </c>
      <c r="B44" s="511" t="s">
        <v>1261</v>
      </c>
      <c r="C44" s="138" t="s">
        <v>1518</v>
      </c>
      <c r="D44" s="41">
        <v>0</v>
      </c>
      <c r="E44" s="41">
        <v>0</v>
      </c>
      <c r="F44" s="41">
        <v>0</v>
      </c>
      <c r="G44" s="41">
        <v>0</v>
      </c>
      <c r="H44" s="532">
        <v>0</v>
      </c>
      <c r="I44" s="564">
        <f>SUM(G44+H44)</f>
        <v>0</v>
      </c>
    </row>
    <row r="45" spans="1:9" x14ac:dyDescent="0.15">
      <c r="A45" s="725" t="s">
        <v>1675</v>
      </c>
      <c r="B45" s="511" t="s">
        <v>1262</v>
      </c>
      <c r="C45" s="692" t="s">
        <v>1676</v>
      </c>
      <c r="D45" s="41">
        <v>0</v>
      </c>
      <c r="E45" s="41">
        <v>0</v>
      </c>
      <c r="F45" s="41">
        <v>0</v>
      </c>
      <c r="G45" s="41">
        <v>0</v>
      </c>
      <c r="H45" s="532">
        <v>0</v>
      </c>
      <c r="I45" s="564">
        <f>SUM(G45+H45)</f>
        <v>0</v>
      </c>
    </row>
    <row r="46" spans="1:9" ht="11.25" thickBot="1" x14ac:dyDescent="0.2">
      <c r="A46" s="558" t="s">
        <v>1526</v>
      </c>
      <c r="B46" s="511" t="s">
        <v>1263</v>
      </c>
      <c r="C46" s="138" t="s">
        <v>1520</v>
      </c>
      <c r="D46" s="150">
        <v>0</v>
      </c>
      <c r="E46" s="150">
        <v>0</v>
      </c>
      <c r="F46" s="150">
        <v>0</v>
      </c>
      <c r="G46" s="150">
        <v>0</v>
      </c>
      <c r="H46" s="532">
        <v>0</v>
      </c>
      <c r="I46" s="582">
        <f>SUM(G46+H46)</f>
        <v>0</v>
      </c>
    </row>
    <row r="47" spans="1:9" ht="12" thickTop="1" thickBot="1" x14ac:dyDescent="0.2">
      <c r="A47" s="559"/>
      <c r="B47" s="511" t="s">
        <v>1265</v>
      </c>
      <c r="C47" s="692" t="s">
        <v>1686</v>
      </c>
      <c r="D47" s="151">
        <f t="shared" ref="D47:I47" si="6">SUM(D42:D46)</f>
        <v>0</v>
      </c>
      <c r="E47" s="151">
        <f t="shared" si="6"/>
        <v>0</v>
      </c>
      <c r="F47" s="151">
        <f t="shared" si="6"/>
        <v>0</v>
      </c>
      <c r="G47" s="151">
        <f t="shared" si="6"/>
        <v>0</v>
      </c>
      <c r="H47" s="151">
        <f t="shared" si="6"/>
        <v>0</v>
      </c>
      <c r="I47" s="169">
        <f t="shared" si="6"/>
        <v>0</v>
      </c>
    </row>
    <row r="48" spans="1:9" ht="12" thickTop="1" thickBot="1" x14ac:dyDescent="0.2">
      <c r="A48" s="559"/>
      <c r="C48" s="138"/>
      <c r="D48" s="498"/>
      <c r="E48" s="498"/>
      <c r="F48" s="498"/>
      <c r="G48" s="498"/>
      <c r="I48" s="167"/>
    </row>
    <row r="49" spans="1:9" ht="11.25" thickBot="1" x14ac:dyDescent="0.2">
      <c r="A49" s="734" t="s">
        <v>1035</v>
      </c>
      <c r="B49" s="734"/>
      <c r="C49" s="735"/>
      <c r="D49" s="561">
        <f>D39+D47</f>
        <v>0</v>
      </c>
      <c r="E49" s="561">
        <f>E39+E47</f>
        <v>0</v>
      </c>
      <c r="F49" s="561">
        <f>F39+F47</f>
        <v>0</v>
      </c>
      <c r="G49" s="561">
        <f>G39+G47</f>
        <v>0</v>
      </c>
      <c r="H49" s="561">
        <f>H39+H47</f>
        <v>0</v>
      </c>
      <c r="I49" s="212">
        <f>G49+H49</f>
        <v>0</v>
      </c>
    </row>
    <row r="50" spans="1:9" x14ac:dyDescent="0.15">
      <c r="A50" s="559"/>
      <c r="C50" s="138" t="s">
        <v>725</v>
      </c>
      <c r="D50" s="498"/>
      <c r="E50" s="498"/>
      <c r="F50" s="498"/>
      <c r="G50" s="498"/>
      <c r="I50" s="167"/>
    </row>
    <row r="51" spans="1:9" ht="11.25" thickBot="1" x14ac:dyDescent="0.2">
      <c r="A51" s="559"/>
      <c r="C51" s="138"/>
      <c r="D51" s="498"/>
      <c r="E51" s="498"/>
      <c r="F51" s="498"/>
      <c r="G51" s="498"/>
      <c r="I51" s="167"/>
    </row>
    <row r="52" spans="1:9" ht="12" thickTop="1" thickBot="1" x14ac:dyDescent="0.2">
      <c r="C52" s="562" t="s">
        <v>726</v>
      </c>
      <c r="D52" s="156">
        <f>D18</f>
        <v>0</v>
      </c>
      <c r="E52" s="156">
        <f>E18</f>
        <v>0</v>
      </c>
      <c r="F52" s="156">
        <f>F18</f>
        <v>0</v>
      </c>
      <c r="G52" s="156">
        <f>G18</f>
        <v>0</v>
      </c>
      <c r="H52" s="156">
        <f>H18</f>
        <v>0</v>
      </c>
      <c r="I52" s="173">
        <f>G52+H52</f>
        <v>0</v>
      </c>
    </row>
    <row r="53" spans="1:9" ht="11.25" thickTop="1" x14ac:dyDescent="0.15">
      <c r="I53" s="167"/>
    </row>
    <row r="54" spans="1:9" x14ac:dyDescent="0.15">
      <c r="C54" s="562" t="s">
        <v>727</v>
      </c>
      <c r="D54" s="423">
        <f t="shared" ref="D54:I54" si="7">D49-D52</f>
        <v>0</v>
      </c>
      <c r="E54" s="423">
        <f t="shared" si="7"/>
        <v>0</v>
      </c>
      <c r="F54" s="423">
        <f t="shared" si="7"/>
        <v>0</v>
      </c>
      <c r="G54" s="423">
        <f t="shared" si="7"/>
        <v>0</v>
      </c>
      <c r="H54" s="423">
        <f t="shared" si="7"/>
        <v>0</v>
      </c>
      <c r="I54" s="167">
        <f t="shared" si="7"/>
        <v>0</v>
      </c>
    </row>
    <row r="55" spans="1:9" x14ac:dyDescent="0.15">
      <c r="I55" s="167"/>
    </row>
    <row r="56" spans="1:9" x14ac:dyDescent="0.15">
      <c r="I56" s="167"/>
    </row>
    <row r="59" spans="1:9" x14ac:dyDescent="0.15">
      <c r="A59" s="3" t="s">
        <v>1226</v>
      </c>
    </row>
    <row r="60" spans="1:9" x14ac:dyDescent="0.15">
      <c r="A60" s="662"/>
      <c r="B60" s="424"/>
    </row>
    <row r="61" spans="1:9" x14ac:dyDescent="0.15">
      <c r="A61" s="651" t="s">
        <v>861</v>
      </c>
      <c r="B61" s="717"/>
      <c r="C61" s="717"/>
      <c r="D61" s="717"/>
      <c r="E61" s="717"/>
      <c r="F61" s="717"/>
    </row>
    <row r="62" spans="1:9" x14ac:dyDescent="0.15">
      <c r="A62" s="138"/>
    </row>
    <row r="63" spans="1:9" x14ac:dyDescent="0.15">
      <c r="A63" s="423" t="s">
        <v>651</v>
      </c>
    </row>
  </sheetData>
  <sheetProtection formatCells="0" formatColumns="0" formatRows="0"/>
  <mergeCells count="1">
    <mergeCell ref="A49:C49"/>
  </mergeCells>
  <phoneticPr fontId="15" type="noConversion"/>
  <pageMargins left="0.5" right="0.5" top="0.75" bottom="0.75" header="0.5" footer="0.5"/>
  <pageSetup scale="67" firstPageNumber="26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7"/>
  <sheetViews>
    <sheetView zoomScaleNormal="100" workbookViewId="0">
      <selection activeCell="E130" sqref="E130"/>
    </sheetView>
  </sheetViews>
  <sheetFormatPr defaultRowHeight="10.5" x14ac:dyDescent="0.15"/>
  <cols>
    <col min="1" max="1" width="10.83203125" style="158" customWidth="1"/>
    <col min="2" max="2" width="4.33203125" style="158" customWidth="1"/>
    <col min="3" max="3" width="73" style="158" customWidth="1"/>
    <col min="4" max="4" width="15.83203125" style="158" customWidth="1"/>
    <col min="5" max="5" width="17.83203125" style="158" customWidth="1"/>
    <col min="6" max="6" width="17" style="158" customWidth="1"/>
    <col min="7" max="7" width="17.33203125" style="158" customWidth="1"/>
    <col min="8" max="9" width="18.16406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5" t="s">
        <v>1347</v>
      </c>
    </row>
    <row r="3" spans="1:9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x14ac:dyDescent="0.15">
      <c r="D5" s="166"/>
      <c r="E5" s="166"/>
      <c r="F5" s="166"/>
      <c r="G5" s="166"/>
    </row>
    <row r="6" spans="1:9" ht="11.25" thickBot="1" x14ac:dyDescent="0.2">
      <c r="D6" s="166"/>
      <c r="E6" s="166"/>
      <c r="F6" s="166"/>
      <c r="G6" s="166"/>
      <c r="I6" s="167"/>
    </row>
    <row r="7" spans="1:9" ht="11.25" thickBot="1" x14ac:dyDescent="0.2">
      <c r="A7" s="18" t="s">
        <v>195</v>
      </c>
      <c r="B7" s="35" t="s">
        <v>1589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171">
        <f>G7+H7</f>
        <v>0</v>
      </c>
    </row>
    <row r="8" spans="1:9" x14ac:dyDescent="0.15">
      <c r="A8" s="153" t="s">
        <v>1592</v>
      </c>
      <c r="C8" s="210" t="s">
        <v>196</v>
      </c>
      <c r="D8" s="178"/>
      <c r="E8" s="170"/>
      <c r="F8" s="170"/>
      <c r="G8" s="170"/>
      <c r="I8" s="167"/>
    </row>
    <row r="9" spans="1:9" x14ac:dyDescent="0.15">
      <c r="A9" s="115" t="s">
        <v>1148</v>
      </c>
      <c r="B9" s="160" t="s">
        <v>1159</v>
      </c>
      <c r="C9" s="115" t="s">
        <v>1146</v>
      </c>
      <c r="D9" s="147">
        <v>0</v>
      </c>
      <c r="E9" s="147">
        <v>0</v>
      </c>
      <c r="F9" s="147">
        <v>0</v>
      </c>
      <c r="G9" s="147">
        <v>0</v>
      </c>
      <c r="H9" s="147">
        <v>0</v>
      </c>
      <c r="I9" s="536">
        <f>G9+H9</f>
        <v>0</v>
      </c>
    </row>
    <row r="10" spans="1:9" x14ac:dyDescent="0.15">
      <c r="A10" s="152" t="s">
        <v>1147</v>
      </c>
      <c r="B10" s="160" t="s">
        <v>1160</v>
      </c>
      <c r="C10" s="115" t="s">
        <v>1149</v>
      </c>
      <c r="D10" s="147">
        <v>0</v>
      </c>
      <c r="E10" s="147">
        <v>0</v>
      </c>
      <c r="F10" s="147">
        <v>0</v>
      </c>
      <c r="G10" s="147">
        <v>0</v>
      </c>
      <c r="H10" s="147">
        <v>0</v>
      </c>
      <c r="I10" s="536">
        <f t="shared" ref="I10:I15" si="0">G10+H10</f>
        <v>0</v>
      </c>
    </row>
    <row r="11" spans="1:9" x14ac:dyDescent="0.15">
      <c r="A11" s="115" t="s">
        <v>439</v>
      </c>
      <c r="B11" s="160" t="s">
        <v>1161</v>
      </c>
      <c r="C11" s="115" t="s">
        <v>1150</v>
      </c>
      <c r="D11" s="147">
        <v>0</v>
      </c>
      <c r="E11" s="147">
        <v>0</v>
      </c>
      <c r="F11" s="147">
        <v>0</v>
      </c>
      <c r="G11" s="147">
        <v>0</v>
      </c>
      <c r="H11" s="147">
        <v>0</v>
      </c>
      <c r="I11" s="536">
        <f t="shared" si="0"/>
        <v>0</v>
      </c>
    </row>
    <row r="12" spans="1:9" x14ac:dyDescent="0.15">
      <c r="A12" s="115" t="s">
        <v>440</v>
      </c>
      <c r="B12" s="160" t="s">
        <v>1228</v>
      </c>
      <c r="C12" s="115" t="s">
        <v>1151</v>
      </c>
      <c r="D12" s="147">
        <v>0</v>
      </c>
      <c r="E12" s="147">
        <v>0</v>
      </c>
      <c r="F12" s="147">
        <v>0</v>
      </c>
      <c r="G12" s="147">
        <v>0</v>
      </c>
      <c r="H12" s="147">
        <v>0</v>
      </c>
      <c r="I12" s="536">
        <f t="shared" si="0"/>
        <v>0</v>
      </c>
    </row>
    <row r="13" spans="1:9" x14ac:dyDescent="0.15">
      <c r="A13" s="162" t="s">
        <v>105</v>
      </c>
      <c r="B13" s="205" t="s">
        <v>1229</v>
      </c>
      <c r="C13" s="2" t="s">
        <v>860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536">
        <f t="shared" si="0"/>
        <v>0</v>
      </c>
    </row>
    <row r="14" spans="1:9" x14ac:dyDescent="0.15">
      <c r="A14" s="152" t="s">
        <v>766</v>
      </c>
      <c r="B14" s="160" t="s">
        <v>1230</v>
      </c>
      <c r="C14" s="115" t="s">
        <v>1152</v>
      </c>
      <c r="D14" s="147">
        <v>0</v>
      </c>
      <c r="E14" s="147">
        <v>0</v>
      </c>
      <c r="F14" s="147">
        <v>0</v>
      </c>
      <c r="G14" s="147">
        <v>0</v>
      </c>
      <c r="H14" s="147">
        <v>0</v>
      </c>
      <c r="I14" s="536">
        <f t="shared" si="0"/>
        <v>0</v>
      </c>
    </row>
    <row r="15" spans="1:9" x14ac:dyDescent="0.15">
      <c r="A15" s="152"/>
      <c r="B15" s="160" t="s">
        <v>1231</v>
      </c>
      <c r="C15" s="115" t="s">
        <v>212</v>
      </c>
      <c r="D15" s="147">
        <v>0</v>
      </c>
      <c r="E15" s="147">
        <v>0</v>
      </c>
      <c r="F15" s="147">
        <v>0</v>
      </c>
      <c r="G15" s="147">
        <v>0</v>
      </c>
      <c r="H15" s="147">
        <v>0</v>
      </c>
      <c r="I15" s="536">
        <f t="shared" si="0"/>
        <v>0</v>
      </c>
    </row>
    <row r="16" spans="1:9" ht="11.25" thickBot="1" x14ac:dyDescent="0.2">
      <c r="A16" s="152"/>
      <c r="C16" s="115"/>
      <c r="D16" s="179"/>
      <c r="E16" s="14"/>
      <c r="F16" s="170"/>
      <c r="G16" s="170"/>
      <c r="I16" s="167"/>
    </row>
    <row r="17" spans="1:10" ht="12" thickTop="1" thickBot="1" x14ac:dyDescent="0.2">
      <c r="B17" s="204" t="s">
        <v>1232</v>
      </c>
      <c r="C17" s="35" t="s">
        <v>406</v>
      </c>
      <c r="D17" s="169">
        <f t="shared" ref="D17:I17" si="1">SUM(D8:D15)</f>
        <v>0</v>
      </c>
      <c r="E17" s="169">
        <f t="shared" si="1"/>
        <v>0</v>
      </c>
      <c r="F17" s="169">
        <f t="shared" si="1"/>
        <v>0</v>
      </c>
      <c r="G17" s="169">
        <f t="shared" si="1"/>
        <v>0</v>
      </c>
      <c r="H17" s="169">
        <f t="shared" si="1"/>
        <v>0</v>
      </c>
      <c r="I17" s="169">
        <f t="shared" si="1"/>
        <v>0</v>
      </c>
    </row>
    <row r="18" spans="1:10" ht="12" thickTop="1" thickBot="1" x14ac:dyDescent="0.2">
      <c r="C18" s="152"/>
      <c r="D18" s="170"/>
      <c r="E18" s="170"/>
      <c r="F18" s="170"/>
      <c r="G18" s="170"/>
      <c r="I18" s="167"/>
    </row>
    <row r="19" spans="1:10" ht="11.25" thickBot="1" x14ac:dyDescent="0.2">
      <c r="A19" s="35" t="s">
        <v>1167</v>
      </c>
      <c r="D19" s="171">
        <f t="shared" ref="D19:I19" si="2">D7+D17</f>
        <v>0</v>
      </c>
      <c r="E19" s="171">
        <f t="shared" si="2"/>
        <v>0</v>
      </c>
      <c r="F19" s="171">
        <f t="shared" si="2"/>
        <v>0</v>
      </c>
      <c r="G19" s="171">
        <f t="shared" si="2"/>
        <v>0</v>
      </c>
      <c r="H19" s="171">
        <f t="shared" si="2"/>
        <v>0</v>
      </c>
      <c r="I19" s="171">
        <f t="shared" si="2"/>
        <v>0</v>
      </c>
    </row>
    <row r="20" spans="1:10" x14ac:dyDescent="0.15">
      <c r="E20" s="159"/>
      <c r="F20" s="159"/>
      <c r="G20" s="159"/>
      <c r="I20" s="167"/>
    </row>
    <row r="21" spans="1:10" x14ac:dyDescent="0.15">
      <c r="A21" s="660" t="s">
        <v>824</v>
      </c>
      <c r="B21" s="424"/>
      <c r="C21" s="495" t="s">
        <v>816</v>
      </c>
      <c r="D21" s="423"/>
      <c r="E21" s="423"/>
      <c r="F21" s="423"/>
      <c r="G21" s="423"/>
      <c r="H21" s="423"/>
      <c r="I21" s="179"/>
    </row>
    <row r="22" spans="1:10" x14ac:dyDescent="0.15">
      <c r="A22" s="436" t="s">
        <v>105</v>
      </c>
      <c r="B22" s="501" t="s">
        <v>1437</v>
      </c>
      <c r="C22" s="2" t="s">
        <v>40</v>
      </c>
      <c r="D22" s="41">
        <v>0</v>
      </c>
      <c r="E22" s="41">
        <v>0</v>
      </c>
      <c r="F22" s="41">
        <v>0</v>
      </c>
      <c r="G22" s="41">
        <v>0</v>
      </c>
      <c r="H22" s="534">
        <v>0</v>
      </c>
      <c r="I22" s="535">
        <f>SUM(G22+H22)</f>
        <v>0</v>
      </c>
    </row>
    <row r="23" spans="1:10" x14ac:dyDescent="0.15">
      <c r="A23" s="490"/>
      <c r="B23" s="424"/>
      <c r="C23" s="423"/>
      <c r="D23" s="423"/>
      <c r="E23" s="423"/>
      <c r="F23" s="423"/>
      <c r="G23" s="423"/>
      <c r="H23" s="423"/>
      <c r="I23" s="423"/>
    </row>
    <row r="24" spans="1:10" s="309" customFormat="1" x14ac:dyDescent="0.15">
      <c r="A24" s="158"/>
      <c r="B24" s="158"/>
      <c r="C24" s="158"/>
      <c r="D24" s="158"/>
      <c r="E24" s="159"/>
      <c r="F24" s="159"/>
      <c r="G24" s="159"/>
      <c r="H24" s="158"/>
      <c r="I24" s="167"/>
    </row>
    <row r="25" spans="1:10" s="309" customFormat="1" x14ac:dyDescent="0.15">
      <c r="A25" s="158"/>
      <c r="B25" s="158"/>
      <c r="C25" s="210" t="s">
        <v>199</v>
      </c>
      <c r="D25" s="158"/>
      <c r="E25" s="159"/>
      <c r="F25" s="159"/>
      <c r="G25" s="159"/>
      <c r="H25" s="158"/>
      <c r="I25" s="167"/>
    </row>
    <row r="26" spans="1:10" s="309" customFormat="1" x14ac:dyDescent="0.15">
      <c r="A26" s="36" t="s">
        <v>198</v>
      </c>
      <c r="B26" s="158"/>
      <c r="C26" s="158" t="s">
        <v>1153</v>
      </c>
      <c r="D26" s="158"/>
      <c r="E26" s="159"/>
      <c r="F26" s="159"/>
      <c r="G26" s="159"/>
      <c r="H26" s="158"/>
      <c r="I26" s="167"/>
    </row>
    <row r="27" spans="1:10" x14ac:dyDescent="0.15">
      <c r="A27" s="35" t="s">
        <v>68</v>
      </c>
      <c r="B27" s="35"/>
      <c r="C27" s="35"/>
      <c r="E27" s="159"/>
      <c r="F27" s="159"/>
      <c r="G27" s="159"/>
      <c r="I27" s="167"/>
      <c r="J27" s="309"/>
    </row>
    <row r="28" spans="1:10" x14ac:dyDescent="0.15">
      <c r="A28" s="311" t="s">
        <v>1577</v>
      </c>
      <c r="B28" s="583" t="s">
        <v>1240</v>
      </c>
      <c r="C28" s="312" t="s">
        <v>228</v>
      </c>
      <c r="D28" s="316">
        <v>0</v>
      </c>
      <c r="E28" s="316">
        <v>0</v>
      </c>
      <c r="F28" s="316">
        <v>0</v>
      </c>
      <c r="G28" s="529">
        <f t="array" ref="G28">SUM(IF(CertFund&amp;CertProg&amp;CertObj=RIGHT(LEFT($A$2,7),2)&amp;LEFT(A27,4)&amp;A28,CertSalary))</f>
        <v>0</v>
      </c>
      <c r="H28" s="584">
        <v>0</v>
      </c>
      <c r="I28" s="575">
        <f>SUM(G28+H28)</f>
        <v>0</v>
      </c>
    </row>
    <row r="29" spans="1:10" x14ac:dyDescent="0.15">
      <c r="A29" s="311" t="s">
        <v>1577</v>
      </c>
      <c r="B29" s="583" t="s">
        <v>1240</v>
      </c>
      <c r="C29" s="312" t="s">
        <v>510</v>
      </c>
      <c r="D29" s="316">
        <v>0</v>
      </c>
      <c r="E29" s="316">
        <v>0</v>
      </c>
      <c r="F29" s="316">
        <v>0</v>
      </c>
      <c r="G29" s="316">
        <v>0</v>
      </c>
      <c r="H29" s="584">
        <v>0</v>
      </c>
      <c r="I29" s="575">
        <f>SUM(G29+H29)</f>
        <v>0</v>
      </c>
    </row>
    <row r="30" spans="1:10" x14ac:dyDescent="0.15">
      <c r="A30" s="311" t="s">
        <v>1578</v>
      </c>
      <c r="B30" s="583" t="s">
        <v>1244</v>
      </c>
      <c r="C30" s="312" t="s">
        <v>936</v>
      </c>
      <c r="D30" s="316">
        <v>0</v>
      </c>
      <c r="E30" s="316">
        <v>0</v>
      </c>
      <c r="F30" s="316">
        <v>0</v>
      </c>
      <c r="G30" s="529">
        <f t="array" ref="G30">SUM(IF(CertFund&amp;CertProg&amp;CertObj=RIGHT(LEFT($A$2,7),2)&amp;LEFT(A27,4)&amp;A28,CertBen))</f>
        <v>0</v>
      </c>
      <c r="H30" s="584">
        <v>0</v>
      </c>
      <c r="I30" s="575">
        <f>SUM(G30+H30)</f>
        <v>0</v>
      </c>
    </row>
    <row r="31" spans="1:10" x14ac:dyDescent="0.15">
      <c r="A31" s="152" t="s">
        <v>1578</v>
      </c>
      <c r="B31" s="160" t="s">
        <v>1244</v>
      </c>
      <c r="C31" s="115" t="s">
        <v>511</v>
      </c>
      <c r="D31" s="147">
        <v>0</v>
      </c>
      <c r="E31" s="147">
        <v>0</v>
      </c>
      <c r="F31" s="147">
        <v>0</v>
      </c>
      <c r="G31" s="147">
        <v>0</v>
      </c>
      <c r="H31" s="585">
        <v>0</v>
      </c>
      <c r="I31" s="586">
        <f>SUM(G31+H31)</f>
        <v>0</v>
      </c>
    </row>
    <row r="32" spans="1:10" x14ac:dyDescent="0.15">
      <c r="A32" s="152" t="s">
        <v>1579</v>
      </c>
      <c r="B32" s="160" t="s">
        <v>1245</v>
      </c>
      <c r="C32" s="115" t="s">
        <v>118</v>
      </c>
      <c r="D32" s="147">
        <v>0</v>
      </c>
      <c r="E32" s="147">
        <v>0</v>
      </c>
      <c r="F32" s="147">
        <v>0</v>
      </c>
      <c r="G32" s="147">
        <v>0</v>
      </c>
      <c r="H32" s="147">
        <v>0</v>
      </c>
      <c r="I32" s="536">
        <f t="shared" ref="I32:I59" si="3">G32+H32</f>
        <v>0</v>
      </c>
    </row>
    <row r="33" spans="1:9" x14ac:dyDescent="0.15">
      <c r="A33" s="152" t="s">
        <v>1580</v>
      </c>
      <c r="B33" s="160" t="s">
        <v>1241</v>
      </c>
      <c r="C33" s="115" t="s">
        <v>119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536">
        <f t="shared" si="3"/>
        <v>0</v>
      </c>
    </row>
    <row r="34" spans="1:9" x14ac:dyDescent="0.15">
      <c r="A34" s="152" t="s">
        <v>120</v>
      </c>
      <c r="B34" s="160" t="s">
        <v>1242</v>
      </c>
      <c r="C34" s="115" t="s">
        <v>121</v>
      </c>
      <c r="D34" s="147">
        <v>0</v>
      </c>
      <c r="E34" s="147">
        <v>0</v>
      </c>
      <c r="F34" s="147">
        <v>0</v>
      </c>
      <c r="G34" s="147">
        <v>0</v>
      </c>
      <c r="H34" s="147">
        <v>0</v>
      </c>
      <c r="I34" s="536">
        <f t="shared" si="3"/>
        <v>0</v>
      </c>
    </row>
    <row r="35" spans="1:9" x14ac:dyDescent="0.15">
      <c r="A35" s="152" t="s">
        <v>122</v>
      </c>
      <c r="B35" s="160" t="s">
        <v>1247</v>
      </c>
      <c r="C35" s="115" t="s">
        <v>123</v>
      </c>
      <c r="D35" s="147">
        <v>0</v>
      </c>
      <c r="E35" s="147">
        <v>0</v>
      </c>
      <c r="F35" s="147">
        <v>0</v>
      </c>
      <c r="G35" s="147">
        <v>0</v>
      </c>
      <c r="H35" s="147">
        <v>0</v>
      </c>
      <c r="I35" s="536">
        <f t="shared" si="3"/>
        <v>0</v>
      </c>
    </row>
    <row r="36" spans="1:9" x14ac:dyDescent="0.15">
      <c r="A36" s="152" t="s">
        <v>1581</v>
      </c>
      <c r="B36" s="160" t="s">
        <v>1248</v>
      </c>
      <c r="C36" s="115" t="s">
        <v>124</v>
      </c>
      <c r="D36" s="147">
        <v>0</v>
      </c>
      <c r="E36" s="147">
        <v>0</v>
      </c>
      <c r="F36" s="147">
        <v>0</v>
      </c>
      <c r="G36" s="147">
        <v>0</v>
      </c>
      <c r="H36" s="147">
        <v>0</v>
      </c>
      <c r="I36" s="536">
        <f t="shared" si="3"/>
        <v>0</v>
      </c>
    </row>
    <row r="37" spans="1:9" x14ac:dyDescent="0.15">
      <c r="A37" s="152" t="s">
        <v>127</v>
      </c>
      <c r="B37" s="160" t="s">
        <v>1249</v>
      </c>
      <c r="C37" s="115" t="s">
        <v>134</v>
      </c>
      <c r="D37" s="147">
        <v>0</v>
      </c>
      <c r="E37" s="147">
        <v>0</v>
      </c>
      <c r="F37" s="147">
        <v>0</v>
      </c>
      <c r="G37" s="147">
        <v>0</v>
      </c>
      <c r="H37" s="147">
        <v>0</v>
      </c>
      <c r="I37" s="536">
        <f t="shared" si="3"/>
        <v>0</v>
      </c>
    </row>
    <row r="38" spans="1:9" x14ac:dyDescent="0.15">
      <c r="A38" s="152" t="s">
        <v>132</v>
      </c>
      <c r="B38" s="160" t="s">
        <v>1250</v>
      </c>
      <c r="C38" s="115" t="s">
        <v>1617</v>
      </c>
      <c r="D38" s="147">
        <v>0</v>
      </c>
      <c r="E38" s="147">
        <v>0</v>
      </c>
      <c r="F38" s="147">
        <v>0</v>
      </c>
      <c r="G38" s="147">
        <v>0</v>
      </c>
      <c r="H38" s="147">
        <v>0</v>
      </c>
      <c r="I38" s="536">
        <f t="shared" si="3"/>
        <v>0</v>
      </c>
    </row>
    <row r="39" spans="1:9" x14ac:dyDescent="0.15">
      <c r="A39" s="152" t="s">
        <v>1618</v>
      </c>
      <c r="B39" s="160" t="s">
        <v>1251</v>
      </c>
      <c r="C39" s="115" t="s">
        <v>836</v>
      </c>
      <c r="D39" s="147">
        <v>0</v>
      </c>
      <c r="E39" s="147">
        <v>0</v>
      </c>
      <c r="F39" s="147">
        <v>0</v>
      </c>
      <c r="G39" s="147">
        <v>0</v>
      </c>
      <c r="H39" s="147">
        <v>0</v>
      </c>
      <c r="I39" s="536">
        <f t="shared" si="3"/>
        <v>0</v>
      </c>
    </row>
    <row r="40" spans="1:9" x14ac:dyDescent="0.15">
      <c r="A40" s="152" t="s">
        <v>1619</v>
      </c>
      <c r="B40" s="160" t="s">
        <v>1252</v>
      </c>
      <c r="C40" s="115" t="s">
        <v>185</v>
      </c>
      <c r="D40" s="147">
        <v>0</v>
      </c>
      <c r="E40" s="147">
        <v>0</v>
      </c>
      <c r="F40" s="147">
        <v>0</v>
      </c>
      <c r="G40" s="147">
        <v>0</v>
      </c>
      <c r="H40" s="147">
        <v>0</v>
      </c>
      <c r="I40" s="536">
        <f t="shared" si="3"/>
        <v>0</v>
      </c>
    </row>
    <row r="41" spans="1:9" x14ac:dyDescent="0.15">
      <c r="A41" s="152" t="s">
        <v>1620</v>
      </c>
      <c r="B41" s="160" t="s">
        <v>1253</v>
      </c>
      <c r="C41" s="115" t="s">
        <v>838</v>
      </c>
      <c r="D41" s="147">
        <v>0</v>
      </c>
      <c r="E41" s="147">
        <v>0</v>
      </c>
      <c r="F41" s="147">
        <v>0</v>
      </c>
      <c r="G41" s="147">
        <v>0</v>
      </c>
      <c r="H41" s="147">
        <v>0</v>
      </c>
      <c r="I41" s="536">
        <f t="shared" si="3"/>
        <v>0</v>
      </c>
    </row>
    <row r="42" spans="1:9" x14ac:dyDescent="0.15">
      <c r="A42" s="152" t="s">
        <v>1621</v>
      </c>
      <c r="B42" s="160" t="s">
        <v>1254</v>
      </c>
      <c r="C42" s="115" t="s">
        <v>839</v>
      </c>
      <c r="D42" s="147">
        <v>0</v>
      </c>
      <c r="E42" s="147">
        <v>0</v>
      </c>
      <c r="F42" s="147">
        <v>0</v>
      </c>
      <c r="G42" s="147">
        <v>0</v>
      </c>
      <c r="H42" s="147">
        <v>0</v>
      </c>
      <c r="I42" s="536">
        <f t="shared" si="3"/>
        <v>0</v>
      </c>
    </row>
    <row r="43" spans="1:9" x14ac:dyDescent="0.15">
      <c r="A43" s="152" t="s">
        <v>1622</v>
      </c>
      <c r="B43" s="160" t="s">
        <v>1255</v>
      </c>
      <c r="C43" s="115" t="s">
        <v>190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536">
        <f t="shared" si="3"/>
        <v>0</v>
      </c>
    </row>
    <row r="44" spans="1:9" x14ac:dyDescent="0.15">
      <c r="A44" s="152" t="s">
        <v>1624</v>
      </c>
      <c r="B44" s="160" t="s">
        <v>1260</v>
      </c>
      <c r="C44" s="115" t="s">
        <v>840</v>
      </c>
      <c r="D44" s="147">
        <v>0</v>
      </c>
      <c r="E44" s="147">
        <v>0</v>
      </c>
      <c r="F44" s="147">
        <v>0</v>
      </c>
      <c r="G44" s="147">
        <v>0</v>
      </c>
      <c r="H44" s="147">
        <v>0</v>
      </c>
      <c r="I44" s="536">
        <f t="shared" si="3"/>
        <v>0</v>
      </c>
    </row>
    <row r="45" spans="1:9" x14ac:dyDescent="0.15">
      <c r="A45" s="152" t="s">
        <v>1625</v>
      </c>
      <c r="B45" s="160" t="s">
        <v>1261</v>
      </c>
      <c r="C45" s="115" t="s">
        <v>842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536">
        <f t="shared" si="3"/>
        <v>0</v>
      </c>
    </row>
    <row r="46" spans="1:9" x14ac:dyDescent="0.15">
      <c r="A46" s="152" t="s">
        <v>843</v>
      </c>
      <c r="B46" s="160" t="s">
        <v>1262</v>
      </c>
      <c r="C46" s="115" t="s">
        <v>848</v>
      </c>
      <c r="D46" s="147">
        <v>0</v>
      </c>
      <c r="E46" s="147">
        <v>0</v>
      </c>
      <c r="F46" s="147">
        <v>0</v>
      </c>
      <c r="G46" s="147">
        <v>0</v>
      </c>
      <c r="H46" s="147">
        <v>0</v>
      </c>
      <c r="I46" s="536">
        <f t="shared" si="3"/>
        <v>0</v>
      </c>
    </row>
    <row r="47" spans="1:9" x14ac:dyDescent="0.15">
      <c r="A47" s="152" t="s">
        <v>844</v>
      </c>
      <c r="B47" s="160" t="s">
        <v>1263</v>
      </c>
      <c r="C47" s="115" t="s">
        <v>186</v>
      </c>
      <c r="D47" s="147">
        <v>0</v>
      </c>
      <c r="E47" s="147">
        <v>0</v>
      </c>
      <c r="F47" s="147">
        <v>0</v>
      </c>
      <c r="G47" s="147">
        <v>0</v>
      </c>
      <c r="H47" s="147">
        <v>0</v>
      </c>
      <c r="I47" s="536">
        <f t="shared" si="3"/>
        <v>0</v>
      </c>
    </row>
    <row r="48" spans="1:9" x14ac:dyDescent="0.15">
      <c r="A48" s="152" t="s">
        <v>845</v>
      </c>
      <c r="B48" s="160" t="s">
        <v>1265</v>
      </c>
      <c r="C48" s="115" t="s">
        <v>154</v>
      </c>
      <c r="D48" s="147">
        <v>0</v>
      </c>
      <c r="E48" s="147">
        <v>0</v>
      </c>
      <c r="F48" s="147">
        <v>0</v>
      </c>
      <c r="G48" s="147">
        <v>0</v>
      </c>
      <c r="H48" s="147">
        <v>0</v>
      </c>
      <c r="I48" s="536">
        <f t="shared" si="3"/>
        <v>0</v>
      </c>
    </row>
    <row r="49" spans="1:9" x14ac:dyDescent="0.15">
      <c r="A49" s="152" t="s">
        <v>846</v>
      </c>
      <c r="B49" s="160" t="s">
        <v>1266</v>
      </c>
      <c r="C49" s="115" t="s">
        <v>155</v>
      </c>
      <c r="D49" s="147">
        <v>0</v>
      </c>
      <c r="E49" s="147">
        <v>0</v>
      </c>
      <c r="F49" s="147">
        <v>0</v>
      </c>
      <c r="G49" s="147">
        <v>0</v>
      </c>
      <c r="H49" s="147">
        <v>0</v>
      </c>
      <c r="I49" s="536">
        <f t="shared" si="3"/>
        <v>0</v>
      </c>
    </row>
    <row r="50" spans="1:9" x14ac:dyDescent="0.15">
      <c r="A50" s="152" t="s">
        <v>1582</v>
      </c>
      <c r="B50" s="160" t="s">
        <v>1267</v>
      </c>
      <c r="C50" s="115" t="s">
        <v>156</v>
      </c>
      <c r="D50" s="147">
        <v>0</v>
      </c>
      <c r="E50" s="147">
        <v>0</v>
      </c>
      <c r="F50" s="147">
        <v>0</v>
      </c>
      <c r="G50" s="147">
        <v>0</v>
      </c>
      <c r="H50" s="147">
        <v>0</v>
      </c>
      <c r="I50" s="536">
        <f t="shared" si="3"/>
        <v>0</v>
      </c>
    </row>
    <row r="51" spans="1:9" x14ac:dyDescent="0.15">
      <c r="A51" s="152" t="s">
        <v>847</v>
      </c>
      <c r="B51" s="160" t="s">
        <v>1268</v>
      </c>
      <c r="C51" s="115" t="s">
        <v>157</v>
      </c>
      <c r="D51" s="147">
        <v>0</v>
      </c>
      <c r="E51" s="147">
        <v>0</v>
      </c>
      <c r="F51" s="147">
        <v>0</v>
      </c>
      <c r="G51" s="147">
        <v>0</v>
      </c>
      <c r="H51" s="147">
        <v>0</v>
      </c>
      <c r="I51" s="536">
        <f t="shared" si="3"/>
        <v>0</v>
      </c>
    </row>
    <row r="52" spans="1:9" x14ac:dyDescent="0.15">
      <c r="A52" s="152" t="s">
        <v>1583</v>
      </c>
      <c r="B52" s="160" t="s">
        <v>1269</v>
      </c>
      <c r="C52" s="115" t="s">
        <v>160</v>
      </c>
      <c r="D52" s="147">
        <v>0</v>
      </c>
      <c r="E52" s="147">
        <v>0</v>
      </c>
      <c r="F52" s="147">
        <v>0</v>
      </c>
      <c r="G52" s="147">
        <v>0</v>
      </c>
      <c r="H52" s="147">
        <v>0</v>
      </c>
      <c r="I52" s="536">
        <f t="shared" si="3"/>
        <v>0</v>
      </c>
    </row>
    <row r="53" spans="1:9" x14ac:dyDescent="0.15">
      <c r="A53" s="152" t="s">
        <v>634</v>
      </c>
      <c r="B53" s="160" t="s">
        <v>1270</v>
      </c>
      <c r="C53" s="115" t="s">
        <v>165</v>
      </c>
      <c r="D53" s="147">
        <v>0</v>
      </c>
      <c r="E53" s="147">
        <v>0</v>
      </c>
      <c r="F53" s="147">
        <v>0</v>
      </c>
      <c r="G53" s="147">
        <v>0</v>
      </c>
      <c r="H53" s="147">
        <v>0</v>
      </c>
      <c r="I53" s="536">
        <f t="shared" si="3"/>
        <v>0</v>
      </c>
    </row>
    <row r="54" spans="1:9" x14ac:dyDescent="0.15">
      <c r="A54" s="152" t="s">
        <v>630</v>
      </c>
      <c r="B54" s="160" t="s">
        <v>1271</v>
      </c>
      <c r="C54" s="115" t="s">
        <v>172</v>
      </c>
      <c r="D54" s="147">
        <v>0</v>
      </c>
      <c r="E54" s="147">
        <v>0</v>
      </c>
      <c r="F54" s="147">
        <v>0</v>
      </c>
      <c r="G54" s="147">
        <v>0</v>
      </c>
      <c r="H54" s="147">
        <v>0</v>
      </c>
      <c r="I54" s="536">
        <f t="shared" si="3"/>
        <v>0</v>
      </c>
    </row>
    <row r="55" spans="1:9" x14ac:dyDescent="0.15">
      <c r="A55" s="652" t="s">
        <v>631</v>
      </c>
      <c r="B55" s="654" t="s">
        <v>1272</v>
      </c>
      <c r="C55" s="653" t="s">
        <v>173</v>
      </c>
      <c r="D55" s="147">
        <v>0</v>
      </c>
      <c r="E55" s="147">
        <v>0</v>
      </c>
      <c r="F55" s="147">
        <v>0</v>
      </c>
      <c r="G55" s="147">
        <v>0</v>
      </c>
      <c r="H55" s="147">
        <v>0</v>
      </c>
      <c r="I55" s="536">
        <f t="shared" si="3"/>
        <v>0</v>
      </c>
    </row>
    <row r="56" spans="1:9" x14ac:dyDescent="0.15">
      <c r="A56" s="152" t="s">
        <v>1584</v>
      </c>
      <c r="B56" s="160" t="s">
        <v>1273</v>
      </c>
      <c r="C56" s="115" t="s">
        <v>178</v>
      </c>
      <c r="D56" s="147">
        <v>0</v>
      </c>
      <c r="E56" s="147">
        <v>0</v>
      </c>
      <c r="F56" s="147">
        <v>0</v>
      </c>
      <c r="G56" s="147">
        <v>0</v>
      </c>
      <c r="H56" s="147">
        <v>0</v>
      </c>
      <c r="I56" s="536">
        <f t="shared" si="3"/>
        <v>0</v>
      </c>
    </row>
    <row r="57" spans="1:9" x14ac:dyDescent="0.15">
      <c r="A57" s="152" t="s">
        <v>174</v>
      </c>
      <c r="B57" s="160" t="s">
        <v>1274</v>
      </c>
      <c r="C57" s="115" t="s">
        <v>179</v>
      </c>
      <c r="D57" s="147">
        <v>0</v>
      </c>
      <c r="E57" s="147">
        <v>0</v>
      </c>
      <c r="F57" s="147">
        <v>0</v>
      </c>
      <c r="G57" s="147">
        <v>0</v>
      </c>
      <c r="H57" s="147">
        <v>0</v>
      </c>
      <c r="I57" s="536">
        <f t="shared" si="3"/>
        <v>0</v>
      </c>
    </row>
    <row r="58" spans="1:9" x14ac:dyDescent="0.15">
      <c r="A58" s="152" t="s">
        <v>175</v>
      </c>
      <c r="B58" s="160" t="s">
        <v>252</v>
      </c>
      <c r="C58" s="115" t="s">
        <v>180</v>
      </c>
      <c r="D58" s="147">
        <v>0</v>
      </c>
      <c r="E58" s="147">
        <v>0</v>
      </c>
      <c r="F58" s="147">
        <v>0</v>
      </c>
      <c r="G58" s="147">
        <v>0</v>
      </c>
      <c r="H58" s="147">
        <v>0</v>
      </c>
      <c r="I58" s="536">
        <f t="shared" si="3"/>
        <v>0</v>
      </c>
    </row>
    <row r="59" spans="1:9" x14ac:dyDescent="0.15">
      <c r="A59" s="152" t="s">
        <v>176</v>
      </c>
      <c r="B59" s="160" t="s">
        <v>253</v>
      </c>
      <c r="C59" s="115" t="s">
        <v>181</v>
      </c>
      <c r="D59" s="147">
        <v>0</v>
      </c>
      <c r="E59" s="147">
        <v>0</v>
      </c>
      <c r="F59" s="147">
        <v>0</v>
      </c>
      <c r="G59" s="147">
        <v>0</v>
      </c>
      <c r="H59" s="147">
        <v>0</v>
      </c>
      <c r="I59" s="536">
        <f t="shared" si="3"/>
        <v>0</v>
      </c>
    </row>
    <row r="60" spans="1:9" ht="11.25" thickBot="1" x14ac:dyDescent="0.2">
      <c r="A60" s="152"/>
      <c r="C60" s="115"/>
      <c r="D60" s="178"/>
      <c r="E60" s="14"/>
      <c r="F60" s="178"/>
      <c r="G60" s="170"/>
      <c r="I60" s="167"/>
    </row>
    <row r="61" spans="1:9" ht="12" thickTop="1" thickBot="1" x14ac:dyDescent="0.2">
      <c r="A61" s="152"/>
      <c r="B61" s="160" t="s">
        <v>1276</v>
      </c>
      <c r="C61" s="115" t="s">
        <v>616</v>
      </c>
      <c r="D61" s="169">
        <f t="shared" ref="D61:I61" si="4">SUM(D28:D59)</f>
        <v>0</v>
      </c>
      <c r="E61" s="169">
        <f t="shared" si="4"/>
        <v>0</v>
      </c>
      <c r="F61" s="169">
        <f t="shared" si="4"/>
        <v>0</v>
      </c>
      <c r="G61" s="169">
        <f t="shared" si="4"/>
        <v>0</v>
      </c>
      <c r="H61" s="169">
        <f t="shared" si="4"/>
        <v>0</v>
      </c>
      <c r="I61" s="169">
        <f t="shared" si="4"/>
        <v>0</v>
      </c>
    </row>
    <row r="62" spans="1:9" ht="11.25" thickTop="1" x14ac:dyDescent="0.15">
      <c r="A62" s="152"/>
      <c r="E62" s="159"/>
      <c r="F62" s="159"/>
      <c r="G62" s="159"/>
      <c r="I62" s="167"/>
    </row>
    <row r="63" spans="1:9" x14ac:dyDescent="0.15">
      <c r="A63" s="152"/>
      <c r="C63" s="172" t="s">
        <v>1154</v>
      </c>
      <c r="E63" s="159"/>
      <c r="F63" s="159"/>
      <c r="G63" s="159"/>
      <c r="I63" s="167"/>
    </row>
    <row r="64" spans="1:9" x14ac:dyDescent="0.15">
      <c r="A64" s="35" t="s">
        <v>641</v>
      </c>
      <c r="C64" s="172"/>
      <c r="E64" s="159"/>
      <c r="F64" s="159"/>
      <c r="G64" s="159"/>
      <c r="I64" s="167"/>
    </row>
    <row r="65" spans="1:9" x14ac:dyDescent="0.15">
      <c r="A65" s="35" t="s">
        <v>642</v>
      </c>
      <c r="C65" s="172"/>
      <c r="E65" s="159"/>
      <c r="F65" s="159"/>
      <c r="G65" s="159"/>
      <c r="I65" s="167"/>
    </row>
    <row r="66" spans="1:9" x14ac:dyDescent="0.15">
      <c r="A66" s="35" t="s">
        <v>262</v>
      </c>
      <c r="C66" s="172"/>
      <c r="E66" s="159"/>
      <c r="F66" s="159"/>
      <c r="G66" s="159"/>
      <c r="I66" s="167"/>
    </row>
    <row r="67" spans="1:9" x14ac:dyDescent="0.15">
      <c r="A67" s="35" t="s">
        <v>645</v>
      </c>
      <c r="C67" s="172"/>
      <c r="E67" s="159"/>
      <c r="F67" s="159"/>
      <c r="G67" s="159"/>
      <c r="I67" s="167"/>
    </row>
    <row r="68" spans="1:9" x14ac:dyDescent="0.15">
      <c r="A68" s="35" t="s">
        <v>621</v>
      </c>
      <c r="C68" s="172"/>
      <c r="E68" s="159"/>
      <c r="F68" s="159"/>
      <c r="G68" s="159"/>
      <c r="I68" s="167"/>
    </row>
    <row r="69" spans="1:9" x14ac:dyDescent="0.15">
      <c r="A69" s="35" t="s">
        <v>623</v>
      </c>
      <c r="C69" s="172"/>
      <c r="E69" s="159"/>
      <c r="F69" s="159"/>
      <c r="G69" s="159"/>
      <c r="I69" s="167"/>
    </row>
    <row r="70" spans="1:9" x14ac:dyDescent="0.15">
      <c r="A70" s="35" t="s">
        <v>656</v>
      </c>
      <c r="C70" s="172"/>
      <c r="E70" s="159"/>
      <c r="F70" s="159"/>
      <c r="G70" s="159"/>
      <c r="I70" s="167"/>
    </row>
    <row r="71" spans="1:9" s="309" customFormat="1" x14ac:dyDescent="0.15">
      <c r="A71" s="35" t="s">
        <v>658</v>
      </c>
      <c r="B71" s="158"/>
      <c r="C71" s="172"/>
      <c r="D71" s="158"/>
      <c r="E71" s="159"/>
      <c r="F71" s="159"/>
      <c r="G71" s="159"/>
      <c r="H71" s="158"/>
      <c r="I71" s="167"/>
    </row>
    <row r="72" spans="1:9" s="309" customFormat="1" x14ac:dyDescent="0.15">
      <c r="A72" s="35" t="s">
        <v>660</v>
      </c>
      <c r="B72" s="158"/>
      <c r="C72" s="172"/>
      <c r="D72" s="158"/>
      <c r="E72" s="159"/>
      <c r="F72" s="159"/>
      <c r="G72" s="159"/>
      <c r="H72" s="158"/>
      <c r="I72" s="167"/>
    </row>
    <row r="73" spans="1:9" s="309" customFormat="1" x14ac:dyDescent="0.15">
      <c r="A73" s="35" t="s">
        <v>662</v>
      </c>
      <c r="B73" s="158"/>
      <c r="C73" s="172"/>
      <c r="D73" s="158"/>
      <c r="E73" s="159"/>
      <c r="F73" s="159"/>
      <c r="G73" s="159"/>
      <c r="H73" s="158"/>
      <c r="I73" s="167"/>
    </row>
    <row r="74" spans="1:9" s="309" customFormat="1" x14ac:dyDescent="0.15">
      <c r="A74" s="35" t="s">
        <v>667</v>
      </c>
      <c r="B74" s="18"/>
      <c r="C74" s="172"/>
      <c r="D74" s="158"/>
      <c r="E74" s="159"/>
      <c r="F74" s="159"/>
      <c r="G74" s="159"/>
      <c r="H74" s="158"/>
      <c r="I74" s="167"/>
    </row>
    <row r="75" spans="1:9" x14ac:dyDescent="0.15">
      <c r="A75" s="311" t="s">
        <v>1577</v>
      </c>
      <c r="B75" s="583" t="s">
        <v>1240</v>
      </c>
      <c r="C75" s="312" t="s">
        <v>228</v>
      </c>
      <c r="D75" s="316">
        <v>0</v>
      </c>
      <c r="E75" s="316">
        <v>0</v>
      </c>
      <c r="F75" s="316">
        <v>0</v>
      </c>
      <c r="G75" s="529">
        <f t="array" ref="G75">SUM(IF(CertFund&amp;CertProg&amp;CertObj=RIGHT(LEFT($A$2,7),2)&amp;LEFT(A64,4)&amp;A75,CertSalary))+SUM(IF(CertFund&amp;CertProg&amp;CertObj=RIGHT(LEFT($A$2,7),2)&amp;LEFT(A65,4)&amp;A75,CertSalary))+SUM(IF(CertFund&amp;CertProg&amp;CertObj=RIGHT(LEFT($A$2,7),2)&amp;LEFT(A66,4)&amp;A75,CertSalary))+SUM(IF(CertFund&amp;CertProg&amp;CertObj=RIGHT(LEFT($A$2,7),2)&amp;LEFT(A67,4)&amp;A75,CertSalary))+SUM(IF(CertFund&amp;CertProg&amp;CertObj=RIGHT(LEFT($A$2,7),2)&amp;LEFT(A68,4)&amp;A75,CertSalary))+SUM(IF(CertFund&amp;CertProg&amp;CertObj=RIGHT(LEFT($A$2,7),2)&amp;LEFT(A69,4)&amp;A75,CertSalary))+SUM(IF(CertFund&amp;CertProg&amp;CertObj=RIGHT(LEFT($A$2,7),2)&amp;LEFT(A70,4)&amp;A75,CertSalary))+SUM(IF(CertFund&amp;CertProg&amp;CertObj=RIGHT(LEFT($A$2,7),2)&amp;LEFT(A71,4)&amp;A75,CertSalary))+SUM(IF(CertFund&amp;CertProg&amp;CertObj=RIGHT(LEFT($A$2,7),2)&amp;LEFT(A72,4)&amp;A75,CertSalary))+SUM(IF(CertFund&amp;CertProg&amp;CertObj=RIGHT(LEFT($A$2,7),2)&amp;LEFT(A73,4)&amp;A75,CertSalary))+SUM(IF(CertFund&amp;CertProg&amp;CertObj=RIGHT(LEFT($A$2,7),2)&amp;LEFT(A74,4)&amp;A75,CertSalary))</f>
        <v>0</v>
      </c>
      <c r="H75" s="584">
        <v>0</v>
      </c>
      <c r="I75" s="575">
        <f>SUM(G75+H75)</f>
        <v>0</v>
      </c>
    </row>
    <row r="76" spans="1:9" x14ac:dyDescent="0.15">
      <c r="A76" s="311" t="s">
        <v>1577</v>
      </c>
      <c r="B76" s="583" t="s">
        <v>1240</v>
      </c>
      <c r="C76" s="312" t="s">
        <v>510</v>
      </c>
      <c r="D76" s="316">
        <v>0</v>
      </c>
      <c r="E76" s="316">
        <v>0</v>
      </c>
      <c r="F76" s="316">
        <v>0</v>
      </c>
      <c r="G76" s="316">
        <v>0</v>
      </c>
      <c r="H76" s="584">
        <v>0</v>
      </c>
      <c r="I76" s="575">
        <f>SUM(G76+H76)</f>
        <v>0</v>
      </c>
    </row>
    <row r="77" spans="1:9" x14ac:dyDescent="0.15">
      <c r="A77" s="311" t="s">
        <v>1578</v>
      </c>
      <c r="B77" s="583" t="s">
        <v>1244</v>
      </c>
      <c r="C77" s="312" t="s">
        <v>588</v>
      </c>
      <c r="D77" s="316">
        <v>0</v>
      </c>
      <c r="E77" s="316">
        <v>0</v>
      </c>
      <c r="F77" s="316">
        <v>0</v>
      </c>
      <c r="G77" s="529">
        <f t="array" ref="G77">SUM(IF(CertFund&amp;CertProg&amp;CertObj=RIGHT(LEFT($A$2,7),2)&amp;LEFT(A64,4)&amp;A75,CertBen))+SUM(IF(CertFund&amp;CertProg&amp;CertObj=RIGHT(LEFT($A$2,7),2)&amp;LEFT(A65,4)&amp;A75,CertBen))+SUM(IF(CertFund&amp;CertProg&amp;CertObj=RIGHT(LEFT($A$2,7),2)&amp;LEFT(A66,4)&amp;A75,CertBen))+SUM(IF(CertFund&amp;CertProg&amp;CertObj=RIGHT(LEFT($A$2,7),2)&amp;LEFT(A67,4)&amp;A75,CertBen))+SUM(IF(CertFund&amp;CertProg&amp;CertObj=RIGHT(LEFT($A$2,7),2)&amp;LEFT(A68,4)&amp;A75,CertBen))+SUM(IF(CertFund&amp;CertProg&amp;CertObj=RIGHT(LEFT($A$2,7),2)&amp;LEFT(A69,4)&amp;A75,CertBen))+SUM(IF(CertFund&amp;CertProg&amp;CertObj=RIGHT(LEFT($A$2,7),2)&amp;LEFT(A70,4)&amp;A75,CertBen))+SUM(IF(CertFund&amp;CertProg&amp;CertObj=RIGHT(LEFT($A$2,7),2)&amp;LEFT(A71,4)&amp;A75,CertBen))+SUM(IF(CertFund&amp;CertProg&amp;CertObj=RIGHT(LEFT($A$2,7),2)&amp;LEFT(A72,4)&amp;A75,CertBen))+SUM(IF(CertFund&amp;CertProg&amp;CertObj=RIGHT(LEFT($A$2,7),2)&amp;LEFT(A73,4)&amp;A75,CertBen))+SUM(IF(CertFund&amp;CertProg&amp;CertObj=RIGHT(LEFT($A$2,7),2)&amp;LEFT(A75,4)&amp;A75,CertBen))</f>
        <v>0</v>
      </c>
      <c r="H77" s="584">
        <v>0</v>
      </c>
      <c r="I77" s="575">
        <f>SUM(G77+H77)</f>
        <v>0</v>
      </c>
    </row>
    <row r="78" spans="1:9" x14ac:dyDescent="0.15">
      <c r="A78" s="311" t="s">
        <v>1578</v>
      </c>
      <c r="B78" s="583" t="s">
        <v>1244</v>
      </c>
      <c r="C78" s="312" t="s">
        <v>511</v>
      </c>
      <c r="D78" s="316">
        <v>0</v>
      </c>
      <c r="E78" s="316">
        <v>0</v>
      </c>
      <c r="F78" s="316">
        <v>0</v>
      </c>
      <c r="G78" s="316">
        <v>0</v>
      </c>
      <c r="H78" s="584">
        <v>0</v>
      </c>
      <c r="I78" s="587">
        <f>SUM(G78+H78)</f>
        <v>0</v>
      </c>
    </row>
    <row r="79" spans="1:9" x14ac:dyDescent="0.15">
      <c r="A79" s="152" t="s">
        <v>1579</v>
      </c>
      <c r="B79" s="160" t="s">
        <v>1279</v>
      </c>
      <c r="C79" s="115" t="s">
        <v>118</v>
      </c>
      <c r="D79" s="147">
        <v>0</v>
      </c>
      <c r="E79" s="147">
        <v>0</v>
      </c>
      <c r="F79" s="147">
        <v>0</v>
      </c>
      <c r="G79" s="147">
        <v>0</v>
      </c>
      <c r="H79" s="147">
        <v>0</v>
      </c>
      <c r="I79" s="536">
        <f t="shared" ref="I79:I109" si="5">G79+H79</f>
        <v>0</v>
      </c>
    </row>
    <row r="80" spans="1:9" x14ac:dyDescent="0.15">
      <c r="A80" s="152" t="s">
        <v>1580</v>
      </c>
      <c r="B80" s="160" t="s">
        <v>1280</v>
      </c>
      <c r="C80" s="115" t="s">
        <v>119</v>
      </c>
      <c r="D80" s="147">
        <v>0</v>
      </c>
      <c r="E80" s="147">
        <v>0</v>
      </c>
      <c r="F80" s="147">
        <v>0</v>
      </c>
      <c r="G80" s="147">
        <v>0</v>
      </c>
      <c r="H80" s="147">
        <v>0</v>
      </c>
      <c r="I80" s="536">
        <f t="shared" si="5"/>
        <v>0</v>
      </c>
    </row>
    <row r="81" spans="1:9" x14ac:dyDescent="0.15">
      <c r="A81" s="152" t="s">
        <v>120</v>
      </c>
      <c r="B81" s="160" t="s">
        <v>1281</v>
      </c>
      <c r="C81" s="115" t="s">
        <v>121</v>
      </c>
      <c r="D81" s="147">
        <v>0</v>
      </c>
      <c r="E81" s="147">
        <v>0</v>
      </c>
      <c r="F81" s="147">
        <v>0</v>
      </c>
      <c r="G81" s="147">
        <v>0</v>
      </c>
      <c r="H81" s="147">
        <v>0</v>
      </c>
      <c r="I81" s="536">
        <f t="shared" si="5"/>
        <v>0</v>
      </c>
    </row>
    <row r="82" spans="1:9" x14ac:dyDescent="0.15">
      <c r="A82" s="152" t="s">
        <v>122</v>
      </c>
      <c r="B82" s="160" t="s">
        <v>1282</v>
      </c>
      <c r="C82" s="115" t="s">
        <v>123</v>
      </c>
      <c r="D82" s="147">
        <v>0</v>
      </c>
      <c r="E82" s="147">
        <v>0</v>
      </c>
      <c r="F82" s="147">
        <v>0</v>
      </c>
      <c r="G82" s="147">
        <v>0</v>
      </c>
      <c r="H82" s="147">
        <v>0</v>
      </c>
      <c r="I82" s="536">
        <f t="shared" si="5"/>
        <v>0</v>
      </c>
    </row>
    <row r="83" spans="1:9" x14ac:dyDescent="0.15">
      <c r="A83" s="152" t="s">
        <v>1581</v>
      </c>
      <c r="B83" s="160" t="s">
        <v>1287</v>
      </c>
      <c r="C83" s="115" t="s">
        <v>124</v>
      </c>
      <c r="D83" s="147">
        <v>0</v>
      </c>
      <c r="E83" s="147">
        <v>0</v>
      </c>
      <c r="F83" s="147">
        <v>0</v>
      </c>
      <c r="G83" s="147">
        <v>0</v>
      </c>
      <c r="H83" s="147">
        <v>0</v>
      </c>
      <c r="I83" s="536">
        <f t="shared" si="5"/>
        <v>0</v>
      </c>
    </row>
    <row r="84" spans="1:9" x14ac:dyDescent="0.15">
      <c r="A84" s="152" t="s">
        <v>125</v>
      </c>
      <c r="B84" s="160" t="s">
        <v>1288</v>
      </c>
      <c r="C84" s="115" t="s">
        <v>133</v>
      </c>
      <c r="D84" s="147">
        <v>0</v>
      </c>
      <c r="E84" s="147">
        <v>0</v>
      </c>
      <c r="F84" s="147">
        <v>0</v>
      </c>
      <c r="G84" s="147">
        <v>0</v>
      </c>
      <c r="H84" s="147">
        <v>0</v>
      </c>
      <c r="I84" s="536">
        <f t="shared" si="5"/>
        <v>0</v>
      </c>
    </row>
    <row r="85" spans="1:9" x14ac:dyDescent="0.15">
      <c r="A85" s="152" t="s">
        <v>126</v>
      </c>
      <c r="B85" s="160" t="s">
        <v>1289</v>
      </c>
      <c r="C85" s="115" t="s">
        <v>187</v>
      </c>
      <c r="D85" s="147">
        <v>0</v>
      </c>
      <c r="E85" s="147">
        <v>0</v>
      </c>
      <c r="F85" s="147">
        <v>0</v>
      </c>
      <c r="G85" s="147">
        <v>0</v>
      </c>
      <c r="H85" s="147">
        <v>0</v>
      </c>
      <c r="I85" s="536">
        <f t="shared" si="5"/>
        <v>0</v>
      </c>
    </row>
    <row r="86" spans="1:9" x14ac:dyDescent="0.15">
      <c r="A86" s="152" t="s">
        <v>127</v>
      </c>
      <c r="B86" s="160" t="s">
        <v>1290</v>
      </c>
      <c r="C86" s="115" t="s">
        <v>134</v>
      </c>
      <c r="D86" s="147">
        <v>0</v>
      </c>
      <c r="E86" s="147">
        <v>0</v>
      </c>
      <c r="F86" s="147">
        <v>0</v>
      </c>
      <c r="G86" s="147">
        <v>0</v>
      </c>
      <c r="H86" s="147">
        <v>0</v>
      </c>
      <c r="I86" s="536">
        <f t="shared" si="5"/>
        <v>0</v>
      </c>
    </row>
    <row r="87" spans="1:9" x14ac:dyDescent="0.15">
      <c r="A87" s="152" t="s">
        <v>128</v>
      </c>
      <c r="B87" s="160" t="s">
        <v>1291</v>
      </c>
      <c r="C87" s="115" t="s">
        <v>135</v>
      </c>
      <c r="D87" s="147">
        <v>0</v>
      </c>
      <c r="E87" s="147">
        <v>0</v>
      </c>
      <c r="F87" s="147">
        <v>0</v>
      </c>
      <c r="G87" s="147">
        <v>0</v>
      </c>
      <c r="H87" s="147">
        <v>0</v>
      </c>
      <c r="I87" s="536">
        <f t="shared" si="5"/>
        <v>0</v>
      </c>
    </row>
    <row r="88" spans="1:9" x14ac:dyDescent="0.15">
      <c r="A88" s="152" t="s">
        <v>129</v>
      </c>
      <c r="B88" s="160" t="s">
        <v>1292</v>
      </c>
      <c r="C88" s="115" t="s">
        <v>136</v>
      </c>
      <c r="D88" s="147">
        <v>0</v>
      </c>
      <c r="E88" s="147">
        <v>0</v>
      </c>
      <c r="F88" s="147">
        <v>0</v>
      </c>
      <c r="G88" s="147">
        <v>0</v>
      </c>
      <c r="H88" s="147">
        <v>0</v>
      </c>
      <c r="I88" s="536">
        <f t="shared" si="5"/>
        <v>0</v>
      </c>
    </row>
    <row r="89" spans="1:9" x14ac:dyDescent="0.15">
      <c r="A89" s="152" t="s">
        <v>131</v>
      </c>
      <c r="B89" s="160" t="s">
        <v>1293</v>
      </c>
      <c r="C89" s="115" t="s">
        <v>137</v>
      </c>
      <c r="D89" s="147">
        <v>0</v>
      </c>
      <c r="E89" s="147">
        <v>0</v>
      </c>
      <c r="F89" s="147">
        <v>0</v>
      </c>
      <c r="G89" s="147">
        <v>0</v>
      </c>
      <c r="H89" s="147">
        <v>0</v>
      </c>
      <c r="I89" s="536">
        <f t="shared" si="5"/>
        <v>0</v>
      </c>
    </row>
    <row r="90" spans="1:9" x14ac:dyDescent="0.15">
      <c r="A90" s="152" t="s">
        <v>132</v>
      </c>
      <c r="B90" s="160" t="s">
        <v>1294</v>
      </c>
      <c r="C90" s="115" t="s">
        <v>1617</v>
      </c>
      <c r="D90" s="147">
        <v>0</v>
      </c>
      <c r="E90" s="147">
        <v>0</v>
      </c>
      <c r="F90" s="147">
        <v>0</v>
      </c>
      <c r="G90" s="147">
        <v>0</v>
      </c>
      <c r="H90" s="147">
        <v>0</v>
      </c>
      <c r="I90" s="536">
        <f t="shared" si="5"/>
        <v>0</v>
      </c>
    </row>
    <row r="91" spans="1:9" x14ac:dyDescent="0.15">
      <c r="A91" s="152" t="s">
        <v>1624</v>
      </c>
      <c r="B91" s="160" t="s">
        <v>1295</v>
      </c>
      <c r="C91" s="115" t="s">
        <v>840</v>
      </c>
      <c r="D91" s="147">
        <v>0</v>
      </c>
      <c r="E91" s="147">
        <v>0</v>
      </c>
      <c r="F91" s="147">
        <v>0</v>
      </c>
      <c r="G91" s="147">
        <v>0</v>
      </c>
      <c r="H91" s="147">
        <v>0</v>
      </c>
      <c r="I91" s="536">
        <f t="shared" si="5"/>
        <v>0</v>
      </c>
    </row>
    <row r="92" spans="1:9" x14ac:dyDescent="0.15">
      <c r="A92" s="152" t="s">
        <v>1625</v>
      </c>
      <c r="B92" s="160" t="s">
        <v>1296</v>
      </c>
      <c r="C92" s="115" t="s">
        <v>842</v>
      </c>
      <c r="D92" s="147">
        <v>0</v>
      </c>
      <c r="E92" s="147">
        <v>0</v>
      </c>
      <c r="F92" s="147">
        <v>0</v>
      </c>
      <c r="G92" s="147">
        <v>0</v>
      </c>
      <c r="H92" s="147">
        <v>0</v>
      </c>
      <c r="I92" s="536">
        <f t="shared" si="5"/>
        <v>0</v>
      </c>
    </row>
    <row r="93" spans="1:9" x14ac:dyDescent="0.15">
      <c r="A93" s="152" t="s">
        <v>843</v>
      </c>
      <c r="B93" s="160" t="s">
        <v>1297</v>
      </c>
      <c r="C93" s="115" t="s">
        <v>848</v>
      </c>
      <c r="D93" s="147">
        <v>0</v>
      </c>
      <c r="E93" s="147">
        <v>0</v>
      </c>
      <c r="F93" s="147">
        <v>0</v>
      </c>
      <c r="G93" s="147">
        <v>0</v>
      </c>
      <c r="H93" s="147">
        <v>0</v>
      </c>
      <c r="I93" s="536">
        <f t="shared" si="5"/>
        <v>0</v>
      </c>
    </row>
    <row r="94" spans="1:9" x14ac:dyDescent="0.15">
      <c r="A94" s="152" t="s">
        <v>844</v>
      </c>
      <c r="B94" s="160" t="s">
        <v>1298</v>
      </c>
      <c r="C94" s="115" t="s">
        <v>186</v>
      </c>
      <c r="D94" s="147">
        <v>0</v>
      </c>
      <c r="E94" s="147">
        <v>0</v>
      </c>
      <c r="F94" s="147">
        <v>0</v>
      </c>
      <c r="G94" s="147">
        <v>0</v>
      </c>
      <c r="H94" s="147">
        <v>0</v>
      </c>
      <c r="I94" s="536">
        <f t="shared" si="5"/>
        <v>0</v>
      </c>
    </row>
    <row r="95" spans="1:9" x14ac:dyDescent="0.15">
      <c r="A95" s="152" t="s">
        <v>845</v>
      </c>
      <c r="B95" s="160" t="s">
        <v>1299</v>
      </c>
      <c r="C95" s="115" t="s">
        <v>154</v>
      </c>
      <c r="D95" s="147">
        <v>0</v>
      </c>
      <c r="E95" s="147">
        <v>0</v>
      </c>
      <c r="F95" s="147">
        <v>0</v>
      </c>
      <c r="G95" s="147">
        <v>0</v>
      </c>
      <c r="H95" s="147">
        <v>0</v>
      </c>
      <c r="I95" s="536">
        <f t="shared" si="5"/>
        <v>0</v>
      </c>
    </row>
    <row r="96" spans="1:9" x14ac:dyDescent="0.15">
      <c r="A96" s="152" t="s">
        <v>846</v>
      </c>
      <c r="B96" s="160" t="s">
        <v>1300</v>
      </c>
      <c r="C96" s="115" t="s">
        <v>155</v>
      </c>
      <c r="D96" s="147">
        <v>0</v>
      </c>
      <c r="E96" s="147">
        <v>0</v>
      </c>
      <c r="F96" s="147">
        <v>0</v>
      </c>
      <c r="G96" s="147">
        <v>0</v>
      </c>
      <c r="H96" s="147">
        <v>0</v>
      </c>
      <c r="I96" s="536">
        <f t="shared" si="5"/>
        <v>0</v>
      </c>
    </row>
    <row r="97" spans="1:9" x14ac:dyDescent="0.15">
      <c r="A97" s="152" t="s">
        <v>1582</v>
      </c>
      <c r="B97" s="160" t="s">
        <v>1301</v>
      </c>
      <c r="C97" s="115" t="s">
        <v>156</v>
      </c>
      <c r="D97" s="147">
        <v>0</v>
      </c>
      <c r="E97" s="147">
        <v>0</v>
      </c>
      <c r="F97" s="147">
        <v>0</v>
      </c>
      <c r="G97" s="147">
        <v>0</v>
      </c>
      <c r="H97" s="147">
        <v>0</v>
      </c>
      <c r="I97" s="536">
        <f t="shared" si="5"/>
        <v>0</v>
      </c>
    </row>
    <row r="98" spans="1:9" x14ac:dyDescent="0.15">
      <c r="A98" s="152" t="s">
        <v>847</v>
      </c>
      <c r="B98" s="160" t="s">
        <v>1302</v>
      </c>
      <c r="C98" s="115" t="s">
        <v>157</v>
      </c>
      <c r="D98" s="147">
        <v>0</v>
      </c>
      <c r="E98" s="147">
        <v>0</v>
      </c>
      <c r="F98" s="147">
        <v>0</v>
      </c>
      <c r="G98" s="147">
        <v>0</v>
      </c>
      <c r="H98" s="147">
        <v>0</v>
      </c>
      <c r="I98" s="536">
        <f t="shared" si="5"/>
        <v>0</v>
      </c>
    </row>
    <row r="99" spans="1:9" x14ac:dyDescent="0.15">
      <c r="A99" s="152" t="s">
        <v>1583</v>
      </c>
      <c r="B99" s="160" t="s">
        <v>1303</v>
      </c>
      <c r="C99" s="115" t="s">
        <v>160</v>
      </c>
      <c r="D99" s="147">
        <v>0</v>
      </c>
      <c r="E99" s="147">
        <v>0</v>
      </c>
      <c r="F99" s="147">
        <v>0</v>
      </c>
      <c r="G99" s="147">
        <v>0</v>
      </c>
      <c r="H99" s="147">
        <v>0</v>
      </c>
      <c r="I99" s="536">
        <f t="shared" si="5"/>
        <v>0</v>
      </c>
    </row>
    <row r="100" spans="1:9" x14ac:dyDescent="0.15">
      <c r="A100" s="152" t="s">
        <v>634</v>
      </c>
      <c r="B100" s="160" t="s">
        <v>1304</v>
      </c>
      <c r="C100" s="115" t="s">
        <v>165</v>
      </c>
      <c r="D100" s="147">
        <v>0</v>
      </c>
      <c r="E100" s="147">
        <v>0</v>
      </c>
      <c r="F100" s="147">
        <v>0</v>
      </c>
      <c r="G100" s="147">
        <v>0</v>
      </c>
      <c r="H100" s="147">
        <v>0</v>
      </c>
      <c r="I100" s="536">
        <f t="shared" si="5"/>
        <v>0</v>
      </c>
    </row>
    <row r="101" spans="1:9" x14ac:dyDescent="0.15">
      <c r="A101" s="152" t="s">
        <v>202</v>
      </c>
      <c r="B101" s="160" t="s">
        <v>1305</v>
      </c>
      <c r="C101" s="115" t="s">
        <v>171</v>
      </c>
      <c r="D101" s="147">
        <v>0</v>
      </c>
      <c r="E101" s="147">
        <v>0</v>
      </c>
      <c r="F101" s="147">
        <v>0</v>
      </c>
      <c r="G101" s="147">
        <v>0</v>
      </c>
      <c r="H101" s="147">
        <v>0</v>
      </c>
      <c r="I101" s="536">
        <f t="shared" si="5"/>
        <v>0</v>
      </c>
    </row>
    <row r="102" spans="1:9" x14ac:dyDescent="0.15">
      <c r="A102" s="152" t="s">
        <v>630</v>
      </c>
      <c r="B102" s="160" t="s">
        <v>1306</v>
      </c>
      <c r="C102" s="115" t="s">
        <v>172</v>
      </c>
      <c r="D102" s="147">
        <v>0</v>
      </c>
      <c r="E102" s="147">
        <v>0</v>
      </c>
      <c r="F102" s="147">
        <v>0</v>
      </c>
      <c r="G102" s="147">
        <v>0</v>
      </c>
      <c r="H102" s="147">
        <v>0</v>
      </c>
      <c r="I102" s="536">
        <f t="shared" si="5"/>
        <v>0</v>
      </c>
    </row>
    <row r="103" spans="1:9" x14ac:dyDescent="0.15">
      <c r="A103" s="652" t="s">
        <v>631</v>
      </c>
      <c r="B103" s="654" t="s">
        <v>1307</v>
      </c>
      <c r="C103" s="653" t="s">
        <v>173</v>
      </c>
      <c r="D103" s="147">
        <v>0</v>
      </c>
      <c r="E103" s="147">
        <v>0</v>
      </c>
      <c r="F103" s="147">
        <v>0</v>
      </c>
      <c r="G103" s="147">
        <v>0</v>
      </c>
      <c r="H103" s="147">
        <v>0</v>
      </c>
      <c r="I103" s="536">
        <f t="shared" si="5"/>
        <v>0</v>
      </c>
    </row>
    <row r="104" spans="1:9" x14ac:dyDescent="0.15">
      <c r="A104" s="152" t="s">
        <v>1584</v>
      </c>
      <c r="B104" s="160" t="s">
        <v>1308</v>
      </c>
      <c r="C104" s="115" t="s">
        <v>178</v>
      </c>
      <c r="D104" s="147">
        <v>0</v>
      </c>
      <c r="E104" s="147">
        <v>0</v>
      </c>
      <c r="F104" s="147">
        <v>0</v>
      </c>
      <c r="G104" s="147">
        <v>0</v>
      </c>
      <c r="H104" s="147">
        <v>0</v>
      </c>
      <c r="I104" s="536">
        <f t="shared" si="5"/>
        <v>0</v>
      </c>
    </row>
    <row r="105" spans="1:9" x14ac:dyDescent="0.15">
      <c r="A105" s="152" t="s">
        <v>174</v>
      </c>
      <c r="B105" s="160" t="s">
        <v>1309</v>
      </c>
      <c r="C105" s="115" t="s">
        <v>179</v>
      </c>
      <c r="D105" s="147">
        <v>0</v>
      </c>
      <c r="E105" s="147">
        <v>0</v>
      </c>
      <c r="F105" s="147">
        <v>0</v>
      </c>
      <c r="G105" s="147">
        <v>0</v>
      </c>
      <c r="H105" s="147">
        <v>0</v>
      </c>
      <c r="I105" s="536">
        <f t="shared" si="5"/>
        <v>0</v>
      </c>
    </row>
    <row r="106" spans="1:9" x14ac:dyDescent="0.15">
      <c r="A106" s="152" t="s">
        <v>175</v>
      </c>
      <c r="B106" s="160" t="s">
        <v>1310</v>
      </c>
      <c r="C106" s="115" t="s">
        <v>180</v>
      </c>
      <c r="D106" s="147">
        <v>0</v>
      </c>
      <c r="E106" s="147">
        <v>0</v>
      </c>
      <c r="F106" s="147">
        <v>0</v>
      </c>
      <c r="G106" s="147">
        <v>0</v>
      </c>
      <c r="H106" s="147">
        <v>0</v>
      </c>
      <c r="I106" s="536">
        <f t="shared" si="5"/>
        <v>0</v>
      </c>
    </row>
    <row r="107" spans="1:9" x14ac:dyDescent="0.15">
      <c r="A107" s="152" t="s">
        <v>176</v>
      </c>
      <c r="B107" s="160" t="s">
        <v>1311</v>
      </c>
      <c r="C107" s="115" t="s">
        <v>181</v>
      </c>
      <c r="D107" s="147">
        <v>0</v>
      </c>
      <c r="E107" s="147">
        <v>0</v>
      </c>
      <c r="F107" s="147">
        <v>0</v>
      </c>
      <c r="G107" s="147">
        <v>0</v>
      </c>
      <c r="H107" s="147">
        <v>0</v>
      </c>
      <c r="I107" s="536">
        <f t="shared" si="5"/>
        <v>0</v>
      </c>
    </row>
    <row r="108" spans="1:9" x14ac:dyDescent="0.15">
      <c r="A108" s="152" t="s">
        <v>177</v>
      </c>
      <c r="B108" s="160" t="s">
        <v>1312</v>
      </c>
      <c r="C108" s="115" t="s">
        <v>182</v>
      </c>
      <c r="D108" s="147">
        <v>0</v>
      </c>
      <c r="E108" s="147">
        <v>0</v>
      </c>
      <c r="F108" s="147">
        <v>0</v>
      </c>
      <c r="G108" s="147">
        <v>0</v>
      </c>
      <c r="H108" s="147">
        <v>0</v>
      </c>
      <c r="I108" s="536">
        <f t="shared" si="5"/>
        <v>0</v>
      </c>
    </row>
    <row r="109" spans="1:9" x14ac:dyDescent="0.15">
      <c r="A109" s="152" t="s">
        <v>632</v>
      </c>
      <c r="B109" s="160" t="s">
        <v>1313</v>
      </c>
      <c r="C109" s="115" t="s">
        <v>183</v>
      </c>
      <c r="D109" s="147">
        <v>0</v>
      </c>
      <c r="E109" s="147">
        <v>0</v>
      </c>
      <c r="F109" s="147">
        <v>0</v>
      </c>
      <c r="G109" s="147">
        <v>0</v>
      </c>
      <c r="H109" s="147">
        <v>0</v>
      </c>
      <c r="I109" s="536">
        <f t="shared" si="5"/>
        <v>0</v>
      </c>
    </row>
    <row r="110" spans="1:9" ht="11.25" thickBot="1" x14ac:dyDescent="0.2">
      <c r="A110" s="152"/>
      <c r="B110" s="115"/>
      <c r="G110" s="159"/>
      <c r="I110" s="167"/>
    </row>
    <row r="111" spans="1:9" ht="12" thickTop="1" thickBot="1" x14ac:dyDescent="0.2">
      <c r="A111" s="152"/>
      <c r="B111" s="152" t="s">
        <v>1314</v>
      </c>
      <c r="C111" s="172" t="s">
        <v>1048</v>
      </c>
      <c r="D111" s="180">
        <f t="shared" ref="D111:I111" si="6">SUM(D75:D109)</f>
        <v>0</v>
      </c>
      <c r="E111" s="180">
        <f t="shared" si="6"/>
        <v>0</v>
      </c>
      <c r="F111" s="180">
        <f t="shared" si="6"/>
        <v>0</v>
      </c>
      <c r="G111" s="180">
        <f t="shared" si="6"/>
        <v>0</v>
      </c>
      <c r="H111" s="180">
        <f t="shared" si="6"/>
        <v>0</v>
      </c>
      <c r="I111" s="180">
        <f t="shared" si="6"/>
        <v>0</v>
      </c>
    </row>
    <row r="112" spans="1:9" ht="11.25" thickTop="1" x14ac:dyDescent="0.15">
      <c r="A112" s="152"/>
      <c r="B112" s="115"/>
      <c r="G112" s="159"/>
      <c r="I112" s="167"/>
    </row>
    <row r="113" spans="1:9" x14ac:dyDescent="0.15">
      <c r="A113" s="152" t="s">
        <v>1521</v>
      </c>
      <c r="B113" s="152" t="s">
        <v>1315</v>
      </c>
      <c r="C113" s="172" t="s">
        <v>1155</v>
      </c>
      <c r="D113" s="147">
        <v>0</v>
      </c>
      <c r="E113" s="147">
        <v>0</v>
      </c>
      <c r="F113" s="147">
        <v>0</v>
      </c>
      <c r="G113" s="147">
        <v>0</v>
      </c>
      <c r="H113" s="147">
        <v>0</v>
      </c>
      <c r="I113" s="536">
        <f>G113+H113</f>
        <v>0</v>
      </c>
    </row>
    <row r="114" spans="1:9" x14ac:dyDescent="0.15">
      <c r="A114" s="152"/>
      <c r="B114" s="152" t="s">
        <v>41</v>
      </c>
      <c r="C114" s="665" t="s">
        <v>862</v>
      </c>
      <c r="D114" s="529">
        <f t="shared" ref="D114:I114" si="7">+D22</f>
        <v>0</v>
      </c>
      <c r="E114" s="529">
        <f t="shared" si="7"/>
        <v>0</v>
      </c>
      <c r="F114" s="529">
        <f t="shared" si="7"/>
        <v>0</v>
      </c>
      <c r="G114" s="529">
        <f t="shared" si="7"/>
        <v>0</v>
      </c>
      <c r="H114" s="529">
        <f t="shared" si="7"/>
        <v>0</v>
      </c>
      <c r="I114" s="529">
        <f t="shared" si="7"/>
        <v>0</v>
      </c>
    </row>
    <row r="115" spans="1:9" ht="11.25" thickBot="1" x14ac:dyDescent="0.2">
      <c r="A115" s="152"/>
      <c r="B115" s="115"/>
      <c r="G115" s="159"/>
      <c r="I115" s="167"/>
    </row>
    <row r="116" spans="1:9" ht="12" thickTop="1" thickBot="1" x14ac:dyDescent="0.2">
      <c r="B116" s="160" t="s">
        <v>1316</v>
      </c>
      <c r="C116" s="18" t="s">
        <v>42</v>
      </c>
      <c r="D116" s="180">
        <f t="shared" ref="D116:I116" si="8">D61+D111+D113+D114</f>
        <v>0</v>
      </c>
      <c r="E116" s="180">
        <f t="shared" si="8"/>
        <v>0</v>
      </c>
      <c r="F116" s="180">
        <f t="shared" si="8"/>
        <v>0</v>
      </c>
      <c r="G116" s="180">
        <f t="shared" si="8"/>
        <v>0</v>
      </c>
      <c r="H116" s="180">
        <f t="shared" si="8"/>
        <v>0</v>
      </c>
      <c r="I116" s="180">
        <f t="shared" si="8"/>
        <v>0</v>
      </c>
    </row>
    <row r="117" spans="1:9" ht="11.25" thickTop="1" x14ac:dyDescent="0.15">
      <c r="A117" s="152"/>
      <c r="B117" s="115"/>
      <c r="G117" s="159"/>
      <c r="I117" s="167"/>
    </row>
    <row r="118" spans="1:9" x14ac:dyDescent="0.15">
      <c r="A118" s="152"/>
      <c r="B118" s="115"/>
      <c r="G118" s="159"/>
      <c r="I118" s="167"/>
    </row>
    <row r="119" spans="1:9" x14ac:dyDescent="0.15">
      <c r="A119" s="155" t="s">
        <v>110</v>
      </c>
      <c r="C119" s="210" t="s">
        <v>737</v>
      </c>
      <c r="D119" s="159"/>
      <c r="E119" s="159"/>
      <c r="F119" s="159"/>
      <c r="G119" s="159"/>
      <c r="I119" s="167"/>
    </row>
    <row r="120" spans="1:9" x14ac:dyDescent="0.15">
      <c r="A120" s="154" t="s">
        <v>1522</v>
      </c>
      <c r="B120" s="160" t="s">
        <v>1317</v>
      </c>
      <c r="C120" s="115" t="s">
        <v>1516</v>
      </c>
      <c r="D120" s="41">
        <v>0</v>
      </c>
      <c r="E120" s="41">
        <v>0</v>
      </c>
      <c r="F120" s="41">
        <v>0</v>
      </c>
      <c r="G120" s="41">
        <v>0</v>
      </c>
      <c r="H120" s="147">
        <v>0</v>
      </c>
      <c r="I120" s="536">
        <f>G120+H120</f>
        <v>0</v>
      </c>
    </row>
    <row r="121" spans="1:9" x14ac:dyDescent="0.15">
      <c r="A121" s="154" t="s">
        <v>1523</v>
      </c>
      <c r="B121" s="160" t="s">
        <v>1318</v>
      </c>
      <c r="C121" s="115" t="s">
        <v>1517</v>
      </c>
      <c r="D121" s="41">
        <v>0</v>
      </c>
      <c r="E121" s="41">
        <v>0</v>
      </c>
      <c r="F121" s="41">
        <v>0</v>
      </c>
      <c r="G121" s="41">
        <v>0</v>
      </c>
      <c r="H121" s="147">
        <v>0</v>
      </c>
      <c r="I121" s="536">
        <f>G121+H121</f>
        <v>0</v>
      </c>
    </row>
    <row r="122" spans="1:9" s="176" customFormat="1" x14ac:dyDescent="0.15">
      <c r="A122" s="154" t="s">
        <v>1524</v>
      </c>
      <c r="B122" s="160" t="s">
        <v>1319</v>
      </c>
      <c r="C122" s="115" t="s">
        <v>1518</v>
      </c>
      <c r="D122" s="41">
        <v>0</v>
      </c>
      <c r="E122" s="41">
        <v>0</v>
      </c>
      <c r="F122" s="41">
        <v>0</v>
      </c>
      <c r="G122" s="41">
        <v>0</v>
      </c>
      <c r="H122" s="147">
        <v>0</v>
      </c>
      <c r="I122" s="536">
        <f>G122+H122</f>
        <v>0</v>
      </c>
    </row>
    <row r="123" spans="1:9" x14ac:dyDescent="0.15">
      <c r="A123" s="725" t="s">
        <v>1675</v>
      </c>
      <c r="B123" s="160" t="s">
        <v>1320</v>
      </c>
      <c r="C123" s="692" t="s">
        <v>1676</v>
      </c>
      <c r="D123" s="41">
        <v>0</v>
      </c>
      <c r="E123" s="41">
        <v>0</v>
      </c>
      <c r="F123" s="41">
        <v>0</v>
      </c>
      <c r="G123" s="41">
        <v>0</v>
      </c>
      <c r="H123" s="147">
        <v>0</v>
      </c>
      <c r="I123" s="536">
        <f>G123+H123</f>
        <v>0</v>
      </c>
    </row>
    <row r="124" spans="1:9" ht="11.25" thickBot="1" x14ac:dyDescent="0.2">
      <c r="A124" s="154" t="s">
        <v>1526</v>
      </c>
      <c r="B124" s="160" t="s">
        <v>796</v>
      </c>
      <c r="C124" s="115" t="s">
        <v>1520</v>
      </c>
      <c r="D124" s="150">
        <v>0</v>
      </c>
      <c r="E124" s="150">
        <v>0</v>
      </c>
      <c r="F124" s="150">
        <v>0</v>
      </c>
      <c r="G124" s="150">
        <v>0</v>
      </c>
      <c r="H124" s="147">
        <v>0</v>
      </c>
      <c r="I124" s="536">
        <f>G124+H124</f>
        <v>0</v>
      </c>
    </row>
    <row r="125" spans="1:9" ht="12" thickTop="1" thickBot="1" x14ac:dyDescent="0.2">
      <c r="A125" s="149"/>
      <c r="B125" s="160" t="s">
        <v>805</v>
      </c>
      <c r="C125" s="115" t="s">
        <v>1049</v>
      </c>
      <c r="D125" s="151">
        <f t="shared" ref="D125:I125" si="9">SUM(D120:D124)</f>
        <v>0</v>
      </c>
      <c r="E125" s="151">
        <f t="shared" si="9"/>
        <v>0</v>
      </c>
      <c r="F125" s="151">
        <f t="shared" si="9"/>
        <v>0</v>
      </c>
      <c r="G125" s="151">
        <f t="shared" si="9"/>
        <v>0</v>
      </c>
      <c r="H125" s="151">
        <f t="shared" si="9"/>
        <v>0</v>
      </c>
      <c r="I125" s="169">
        <f t="shared" si="9"/>
        <v>0</v>
      </c>
    </row>
    <row r="126" spans="1:9" ht="12" thickTop="1" thickBot="1" x14ac:dyDescent="0.2">
      <c r="A126" s="149"/>
      <c r="C126" s="115"/>
      <c r="D126" s="159"/>
      <c r="E126" s="159"/>
      <c r="F126" s="159"/>
      <c r="G126" s="159"/>
      <c r="I126" s="167"/>
    </row>
    <row r="127" spans="1:9" ht="11.25" thickBot="1" x14ac:dyDescent="0.2">
      <c r="A127" s="736" t="s">
        <v>1050</v>
      </c>
      <c r="B127" s="736"/>
      <c r="C127" s="737"/>
      <c r="D127" s="171">
        <f t="shared" ref="D127:I127" si="10">D116+D125</f>
        <v>0</v>
      </c>
      <c r="E127" s="171">
        <f t="shared" si="10"/>
        <v>0</v>
      </c>
      <c r="F127" s="171">
        <f t="shared" si="10"/>
        <v>0</v>
      </c>
      <c r="G127" s="171">
        <f t="shared" si="10"/>
        <v>0</v>
      </c>
      <c r="H127" s="171">
        <f t="shared" si="10"/>
        <v>0</v>
      </c>
      <c r="I127" s="171">
        <f t="shared" si="10"/>
        <v>0</v>
      </c>
    </row>
    <row r="128" spans="1:9" x14ac:dyDescent="0.15">
      <c r="A128" s="149"/>
      <c r="C128" s="115" t="s">
        <v>725</v>
      </c>
      <c r="D128" s="159"/>
      <c r="E128" s="159"/>
      <c r="F128" s="159"/>
      <c r="G128" s="159"/>
      <c r="I128" s="167"/>
    </row>
    <row r="129" spans="1:9" ht="11.25" thickBot="1" x14ac:dyDescent="0.2">
      <c r="A129" s="149"/>
      <c r="C129" s="115"/>
      <c r="D129" s="159"/>
      <c r="E129" s="159"/>
      <c r="F129" s="159"/>
      <c r="G129" s="159"/>
      <c r="I129" s="167"/>
    </row>
    <row r="130" spans="1:9" ht="12" thickTop="1" thickBot="1" x14ac:dyDescent="0.2">
      <c r="C130" s="172" t="s">
        <v>726</v>
      </c>
      <c r="D130" s="173">
        <f t="shared" ref="D130:I130" si="11">D19</f>
        <v>0</v>
      </c>
      <c r="E130" s="173">
        <f t="shared" si="11"/>
        <v>0</v>
      </c>
      <c r="F130" s="173">
        <f t="shared" si="11"/>
        <v>0</v>
      </c>
      <c r="G130" s="173">
        <f t="shared" si="11"/>
        <v>0</v>
      </c>
      <c r="H130" s="173">
        <f t="shared" si="11"/>
        <v>0</v>
      </c>
      <c r="I130" s="173">
        <f t="shared" si="11"/>
        <v>0</v>
      </c>
    </row>
    <row r="131" spans="1:9" ht="11.25" thickTop="1" x14ac:dyDescent="0.15">
      <c r="I131" s="167"/>
    </row>
    <row r="132" spans="1:9" x14ac:dyDescent="0.15">
      <c r="C132" s="172" t="s">
        <v>727</v>
      </c>
      <c r="D132" s="158">
        <f t="shared" ref="D132:I132" si="12">D127-D130</f>
        <v>0</v>
      </c>
      <c r="E132" s="158">
        <f t="shared" si="12"/>
        <v>0</v>
      </c>
      <c r="F132" s="158">
        <f t="shared" si="12"/>
        <v>0</v>
      </c>
      <c r="G132" s="158">
        <f t="shared" si="12"/>
        <v>0</v>
      </c>
      <c r="H132" s="158">
        <f t="shared" si="12"/>
        <v>0</v>
      </c>
      <c r="I132" s="167">
        <f t="shared" si="12"/>
        <v>0</v>
      </c>
    </row>
    <row r="133" spans="1:9" x14ac:dyDescent="0.15">
      <c r="I133" s="167"/>
    </row>
    <row r="134" spans="1:9" x14ac:dyDescent="0.15">
      <c r="I134" s="167"/>
    </row>
    <row r="135" spans="1:9" x14ac:dyDescent="0.15">
      <c r="A135" s="158" t="s">
        <v>1047</v>
      </c>
    </row>
    <row r="136" spans="1:9" x14ac:dyDescent="0.15">
      <c r="A136" s="158" t="s">
        <v>39</v>
      </c>
    </row>
    <row r="137" spans="1:9" x14ac:dyDescent="0.15">
      <c r="A137" s="115" t="s">
        <v>38</v>
      </c>
    </row>
  </sheetData>
  <sheetProtection password="CB03" sheet="1" formatCells="0" formatColumns="0" formatRows="0"/>
  <mergeCells count="1">
    <mergeCell ref="A127:C127"/>
  </mergeCells>
  <phoneticPr fontId="0" type="noConversion"/>
  <pageMargins left="0.5" right="0.5" top="0.75" bottom="0.75" header="0.5" footer="0.5"/>
  <pageSetup scale="63" firstPageNumber="27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Y119"/>
  <sheetViews>
    <sheetView zoomScale="80" zoomScaleNormal="8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L3" sqref="L3"/>
    </sheetView>
  </sheetViews>
  <sheetFormatPr defaultRowHeight="10.5" x14ac:dyDescent="0.15"/>
  <cols>
    <col min="1" max="1" width="9.33203125" style="289"/>
    <col min="3" max="3" width="61.33203125" customWidth="1"/>
    <col min="4" max="4" width="11.5" customWidth="1"/>
    <col min="5" max="5" width="10.83203125" customWidth="1"/>
    <col min="6" max="6" width="11.83203125" customWidth="1"/>
    <col min="7" max="7" width="11.6640625" customWidth="1"/>
    <col min="8" max="8" width="11" customWidth="1"/>
    <col min="9" max="9" width="11.5" customWidth="1"/>
    <col min="10" max="10" width="12.6640625" customWidth="1"/>
    <col min="11" max="12" width="11.5" customWidth="1"/>
    <col min="13" max="21" width="13.83203125" customWidth="1"/>
    <col min="22" max="22" width="13.83203125" style="289" customWidth="1"/>
    <col min="23" max="23" width="13.83203125" customWidth="1"/>
    <col min="24" max="24" width="12.6640625" customWidth="1"/>
    <col min="25" max="25" width="12" customWidth="1"/>
  </cols>
  <sheetData>
    <row r="1" spans="1:25" ht="15.75" customHeight="1" x14ac:dyDescent="0.25">
      <c r="A1" s="325"/>
      <c r="C1" s="325"/>
      <c r="D1" s="382">
        <f t="shared" ref="D1:W1" si="0">IF(D3&gt;4000,300,IF(D3&gt;3000,200,100))</f>
        <v>100</v>
      </c>
      <c r="E1" s="382">
        <f t="shared" si="0"/>
        <v>100</v>
      </c>
      <c r="F1" s="382">
        <f t="shared" si="0"/>
        <v>100</v>
      </c>
      <c r="G1" s="382">
        <f t="shared" si="0"/>
        <v>100</v>
      </c>
      <c r="H1" s="382">
        <f t="shared" si="0"/>
        <v>100</v>
      </c>
      <c r="I1" s="382">
        <f t="shared" si="0"/>
        <v>100</v>
      </c>
      <c r="J1" s="382">
        <f t="shared" si="0"/>
        <v>100</v>
      </c>
      <c r="K1" s="382">
        <f t="shared" si="0"/>
        <v>100</v>
      </c>
      <c r="L1" s="382">
        <f t="shared" si="0"/>
        <v>100</v>
      </c>
      <c r="M1" s="382">
        <f t="shared" si="0"/>
        <v>100</v>
      </c>
      <c r="N1" s="382">
        <f t="shared" si="0"/>
        <v>100</v>
      </c>
      <c r="O1" s="382">
        <f t="shared" si="0"/>
        <v>100</v>
      </c>
      <c r="P1" s="382">
        <f t="shared" si="0"/>
        <v>100</v>
      </c>
      <c r="Q1" s="382">
        <f t="shared" si="0"/>
        <v>100</v>
      </c>
      <c r="R1" s="382">
        <f t="shared" si="0"/>
        <v>100</v>
      </c>
      <c r="S1" s="382">
        <f t="shared" si="0"/>
        <v>100</v>
      </c>
      <c r="T1" s="382">
        <f t="shared" si="0"/>
        <v>100</v>
      </c>
      <c r="U1" s="382">
        <f t="shared" si="0"/>
        <v>100</v>
      </c>
      <c r="V1" s="382">
        <f t="shared" si="0"/>
        <v>100</v>
      </c>
      <c r="W1" s="382">
        <f t="shared" si="0"/>
        <v>100</v>
      </c>
      <c r="X1" s="328"/>
    </row>
    <row r="2" spans="1:25" ht="15" x14ac:dyDescent="0.25">
      <c r="A2" s="372" t="s">
        <v>970</v>
      </c>
      <c r="C2" s="329"/>
      <c r="D2" s="382">
        <f>D1+COUNTIF($D$1:D$1,D1)</f>
        <v>101</v>
      </c>
      <c r="E2" s="382">
        <f>E1+COUNTIF($D$1:E$1,E1)</f>
        <v>102</v>
      </c>
      <c r="F2" s="382">
        <f>F1+COUNTIF($D$1:F$1,F1)</f>
        <v>103</v>
      </c>
      <c r="G2" s="382">
        <f>G1+COUNTIF($D$1:G$1,G1)</f>
        <v>104</v>
      </c>
      <c r="H2" s="382">
        <f>H1+COUNTIF($D$1:H$1,H1)</f>
        <v>105</v>
      </c>
      <c r="I2" s="382">
        <f>I1+COUNTIF($D$1:I$1,I1)</f>
        <v>106</v>
      </c>
      <c r="J2" s="382">
        <f>J1+COUNTIF($D$1:J$1,J1)</f>
        <v>107</v>
      </c>
      <c r="K2" s="382">
        <f>K1+COUNTIF($D$1:K$1,K1)</f>
        <v>108</v>
      </c>
      <c r="L2" s="382">
        <f>L1+COUNTIF($D$1:L$1,L1)</f>
        <v>109</v>
      </c>
      <c r="M2" s="382">
        <f>M1+COUNTIF($D$1:M$1,M1)</f>
        <v>110</v>
      </c>
      <c r="N2" s="382">
        <f>N1+COUNTIF($D$1:N$1,N1)</f>
        <v>111</v>
      </c>
      <c r="O2" s="382">
        <f>O1+COUNTIF($D$1:O$1,O1)</f>
        <v>112</v>
      </c>
      <c r="P2" s="382">
        <f>P1+COUNTIF($D$1:P$1,P1)</f>
        <v>113</v>
      </c>
      <c r="Q2" s="382">
        <f>Q1+COUNTIF($D$1:Q$1,Q1)</f>
        <v>114</v>
      </c>
      <c r="R2" s="382">
        <f>R1+COUNTIF($D$1:R$1,R1)</f>
        <v>115</v>
      </c>
      <c r="S2" s="382">
        <f>S1+COUNTIF($D$1:S$1,S1)</f>
        <v>116</v>
      </c>
      <c r="T2" s="382">
        <f>T1+COUNTIF($D$1:T$1,T1)</f>
        <v>117</v>
      </c>
      <c r="U2" s="382">
        <f>U1+COUNTIF($D$1:U$1,U1)</f>
        <v>118</v>
      </c>
      <c r="V2" s="382">
        <f>V1+COUNTIF($D$1:V$1,V1)</f>
        <v>119</v>
      </c>
      <c r="W2" s="382">
        <f>W1+COUNTIF($D$1:W$1,W1)</f>
        <v>120</v>
      </c>
      <c r="X2" s="328"/>
    </row>
    <row r="3" spans="1:25" s="135" customFormat="1" ht="12.75" x14ac:dyDescent="0.2">
      <c r="A3" s="367"/>
      <c r="C3" s="622" t="s">
        <v>287</v>
      </c>
      <c r="D3" s="672"/>
      <c r="E3" s="673"/>
      <c r="F3" s="673"/>
      <c r="G3" s="672"/>
      <c r="H3" s="674"/>
      <c r="I3" s="673"/>
      <c r="J3" s="673"/>
      <c r="K3" s="672"/>
      <c r="L3" s="674"/>
      <c r="M3" s="674"/>
      <c r="N3" s="672"/>
      <c r="O3" s="672"/>
      <c r="P3" s="672"/>
      <c r="Q3" s="672"/>
      <c r="R3" s="672"/>
      <c r="S3" s="672"/>
      <c r="T3" s="672"/>
      <c r="U3" s="672"/>
      <c r="V3" s="672"/>
      <c r="W3" s="672"/>
      <c r="X3" s="368"/>
    </row>
    <row r="4" spans="1:25" ht="11.25" x14ac:dyDescent="0.15">
      <c r="A4" s="330" t="s">
        <v>267</v>
      </c>
      <c r="B4" s="330" t="s">
        <v>198</v>
      </c>
      <c r="C4" s="331" t="s">
        <v>1208</v>
      </c>
      <c r="D4" s="619"/>
      <c r="E4" s="619"/>
      <c r="F4" s="619"/>
      <c r="G4" s="619"/>
      <c r="H4" s="619"/>
      <c r="I4" s="619"/>
      <c r="J4" s="620"/>
      <c r="K4" s="619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332" t="s">
        <v>1211</v>
      </c>
      <c r="Y4" s="333"/>
    </row>
    <row r="5" spans="1:25" ht="11.25" x14ac:dyDescent="0.15">
      <c r="A5" s="334"/>
      <c r="C5" s="335"/>
      <c r="D5" s="336"/>
      <c r="E5" s="336"/>
      <c r="F5" s="336"/>
      <c r="G5" s="336"/>
      <c r="H5" s="336"/>
      <c r="I5" s="336"/>
      <c r="J5" s="336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8"/>
    </row>
    <row r="6" spans="1:25" ht="11.25" x14ac:dyDescent="0.15">
      <c r="A6" s="334"/>
      <c r="C6" s="335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9"/>
    </row>
    <row r="7" spans="1:25" ht="11.25" x14ac:dyDescent="0.2">
      <c r="A7" s="340">
        <v>1</v>
      </c>
      <c r="C7" s="329" t="s">
        <v>268</v>
      </c>
      <c r="D7" s="589">
        <v>0</v>
      </c>
      <c r="E7" s="589">
        <v>0</v>
      </c>
      <c r="F7" s="589">
        <v>0</v>
      </c>
      <c r="G7" s="589">
        <v>0</v>
      </c>
      <c r="H7" s="589">
        <v>0</v>
      </c>
      <c r="I7" s="589">
        <v>0</v>
      </c>
      <c r="J7" s="589">
        <v>0</v>
      </c>
      <c r="K7" s="589">
        <v>0</v>
      </c>
      <c r="L7" s="589">
        <v>0</v>
      </c>
      <c r="M7" s="589">
        <v>0</v>
      </c>
      <c r="N7" s="589">
        <v>0</v>
      </c>
      <c r="O7" s="589">
        <v>0</v>
      </c>
      <c r="P7" s="589">
        <v>0</v>
      </c>
      <c r="Q7" s="589">
        <v>0</v>
      </c>
      <c r="R7" s="589">
        <v>0</v>
      </c>
      <c r="S7" s="589">
        <v>0</v>
      </c>
      <c r="T7" s="589">
        <v>0</v>
      </c>
      <c r="U7" s="589">
        <v>0</v>
      </c>
      <c r="V7" s="589">
        <v>0</v>
      </c>
      <c r="W7" s="589">
        <v>0</v>
      </c>
      <c r="X7" s="341">
        <f>SUM(D7:W7)</f>
        <v>0</v>
      </c>
      <c r="Y7" s="342"/>
    </row>
    <row r="8" spans="1:25" ht="11.25" x14ac:dyDescent="0.2">
      <c r="A8" s="340" t="s">
        <v>269</v>
      </c>
      <c r="C8" s="343" t="s">
        <v>43</v>
      </c>
      <c r="D8" s="666">
        <v>0</v>
      </c>
      <c r="E8" s="666">
        <v>0</v>
      </c>
      <c r="F8" s="666">
        <v>0</v>
      </c>
      <c r="G8" s="666">
        <v>0</v>
      </c>
      <c r="H8" s="666">
        <v>0</v>
      </c>
      <c r="I8" s="666">
        <v>0</v>
      </c>
      <c r="J8" s="666">
        <v>0</v>
      </c>
      <c r="K8" s="666">
        <v>0</v>
      </c>
      <c r="L8" s="666">
        <v>0</v>
      </c>
      <c r="M8" s="666">
        <v>0</v>
      </c>
      <c r="N8" s="666">
        <v>0</v>
      </c>
      <c r="O8" s="666">
        <v>0</v>
      </c>
      <c r="P8" s="666">
        <v>0</v>
      </c>
      <c r="Q8" s="666">
        <v>0</v>
      </c>
      <c r="R8" s="666">
        <v>0</v>
      </c>
      <c r="S8" s="666">
        <v>0</v>
      </c>
      <c r="T8" s="666">
        <v>0</v>
      </c>
      <c r="U8" s="666">
        <v>0</v>
      </c>
      <c r="V8" s="666">
        <v>0</v>
      </c>
      <c r="W8" s="666">
        <v>0</v>
      </c>
      <c r="X8" s="341">
        <f>SUM(D8:W8)</f>
        <v>0</v>
      </c>
    </row>
    <row r="9" spans="1:25" ht="11.25" x14ac:dyDescent="0.2">
      <c r="A9" s="340" t="s">
        <v>270</v>
      </c>
      <c r="C9" s="343" t="s">
        <v>53</v>
      </c>
      <c r="D9" s="666">
        <v>0</v>
      </c>
      <c r="E9" s="666">
        <v>0</v>
      </c>
      <c r="F9" s="666">
        <v>0</v>
      </c>
      <c r="G9" s="666">
        <v>0</v>
      </c>
      <c r="H9" s="666">
        <v>0</v>
      </c>
      <c r="I9" s="666">
        <v>0</v>
      </c>
      <c r="J9" s="666">
        <v>0</v>
      </c>
      <c r="K9" s="666">
        <v>0</v>
      </c>
      <c r="L9" s="666">
        <v>0</v>
      </c>
      <c r="M9" s="666">
        <v>0</v>
      </c>
      <c r="N9" s="666">
        <v>0</v>
      </c>
      <c r="O9" s="666">
        <v>0</v>
      </c>
      <c r="P9" s="666">
        <v>0</v>
      </c>
      <c r="Q9" s="666">
        <v>0</v>
      </c>
      <c r="R9" s="666">
        <v>0</v>
      </c>
      <c r="S9" s="666">
        <v>0</v>
      </c>
      <c r="T9" s="666">
        <v>0</v>
      </c>
      <c r="U9" s="666">
        <v>0</v>
      </c>
      <c r="V9" s="666">
        <v>0</v>
      </c>
      <c r="W9" s="666">
        <v>0</v>
      </c>
      <c r="X9" s="341">
        <f>SUM(D9:W9)</f>
        <v>0</v>
      </c>
    </row>
    <row r="10" spans="1:25" ht="11.25" x14ac:dyDescent="0.2">
      <c r="A10" s="340">
        <v>3</v>
      </c>
      <c r="C10" s="329" t="s">
        <v>271</v>
      </c>
      <c r="D10" s="589">
        <v>0</v>
      </c>
      <c r="E10" s="589">
        <v>0</v>
      </c>
      <c r="F10" s="589">
        <v>0</v>
      </c>
      <c r="G10" s="589">
        <v>0</v>
      </c>
      <c r="H10" s="589">
        <v>0</v>
      </c>
      <c r="I10" s="589">
        <v>0</v>
      </c>
      <c r="J10" s="589">
        <v>0</v>
      </c>
      <c r="K10" s="589">
        <v>0</v>
      </c>
      <c r="L10" s="589">
        <v>0</v>
      </c>
      <c r="M10" s="589">
        <v>0</v>
      </c>
      <c r="N10" s="589">
        <v>0</v>
      </c>
      <c r="O10" s="589">
        <v>0</v>
      </c>
      <c r="P10" s="589">
        <v>0</v>
      </c>
      <c r="Q10" s="589">
        <v>0</v>
      </c>
      <c r="R10" s="589">
        <v>0</v>
      </c>
      <c r="S10" s="589">
        <v>0</v>
      </c>
      <c r="T10" s="589">
        <v>0</v>
      </c>
      <c r="U10" s="589">
        <v>0</v>
      </c>
      <c r="V10" s="589">
        <v>0</v>
      </c>
      <c r="W10" s="589">
        <v>0</v>
      </c>
      <c r="X10" s="341">
        <f>SUM(D10:W10)</f>
        <v>0</v>
      </c>
    </row>
    <row r="11" spans="1:25" ht="11.25" x14ac:dyDescent="0.2">
      <c r="A11" s="340" t="s">
        <v>272</v>
      </c>
      <c r="C11" s="329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1"/>
    </row>
    <row r="12" spans="1:25" ht="11.25" x14ac:dyDescent="0.2">
      <c r="A12" s="340">
        <v>4</v>
      </c>
      <c r="C12" s="346" t="s">
        <v>294</v>
      </c>
      <c r="D12" s="347">
        <f>SUM(D7:D10)</f>
        <v>0</v>
      </c>
      <c r="E12" s="347">
        <f>SUM(E7:E10)</f>
        <v>0</v>
      </c>
      <c r="F12" s="347">
        <f>SUM(F7:F10)</f>
        <v>0</v>
      </c>
      <c r="G12" s="347">
        <f>SUM(G7:G10)</f>
        <v>0</v>
      </c>
      <c r="H12" s="347">
        <f t="shared" ref="H12:W12" si="1">SUM(H7:H10)</f>
        <v>0</v>
      </c>
      <c r="I12" s="347">
        <f t="shared" si="1"/>
        <v>0</v>
      </c>
      <c r="J12" s="347">
        <f t="shared" si="1"/>
        <v>0</v>
      </c>
      <c r="K12" s="347">
        <f t="shared" si="1"/>
        <v>0</v>
      </c>
      <c r="L12" s="347">
        <f t="shared" si="1"/>
        <v>0</v>
      </c>
      <c r="M12" s="347">
        <f t="shared" si="1"/>
        <v>0</v>
      </c>
      <c r="N12" s="347">
        <f t="shared" si="1"/>
        <v>0</v>
      </c>
      <c r="O12" s="347">
        <f t="shared" si="1"/>
        <v>0</v>
      </c>
      <c r="P12" s="347">
        <f t="shared" si="1"/>
        <v>0</v>
      </c>
      <c r="Q12" s="347">
        <f t="shared" si="1"/>
        <v>0</v>
      </c>
      <c r="R12" s="347">
        <f t="shared" si="1"/>
        <v>0</v>
      </c>
      <c r="S12" s="347">
        <f t="shared" si="1"/>
        <v>0</v>
      </c>
      <c r="T12" s="347">
        <f t="shared" si="1"/>
        <v>0</v>
      </c>
      <c r="U12" s="347">
        <f t="shared" si="1"/>
        <v>0</v>
      </c>
      <c r="V12" s="347">
        <f t="shared" si="1"/>
        <v>0</v>
      </c>
      <c r="W12" s="347">
        <f t="shared" si="1"/>
        <v>0</v>
      </c>
      <c r="X12" s="341">
        <f>SUM(D12:W12)</f>
        <v>0</v>
      </c>
    </row>
    <row r="13" spans="1:25" ht="11.25" x14ac:dyDescent="0.2">
      <c r="A13" s="371" t="s">
        <v>1432</v>
      </c>
      <c r="B13" s="369"/>
      <c r="C13" s="348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</row>
    <row r="14" spans="1:25" ht="11.25" x14ac:dyDescent="0.2">
      <c r="A14" s="340">
        <v>5</v>
      </c>
      <c r="B14" s="588" t="s">
        <v>1577</v>
      </c>
      <c r="C14" s="312" t="s">
        <v>228</v>
      </c>
      <c r="D14" s="528">
        <f t="array" ref="D14">SUM(IF(CertFund&amp;CertProg&amp;CertObj&amp;CertGrant=RIGHT(LEFT($A$2,7),2)&amp;LEFT($A$13,4)&amp;$B$14&amp;D$3,CertSalary))</f>
        <v>0</v>
      </c>
      <c r="E14" s="528">
        <f t="array" ref="E14">SUM(IF(CertFund&amp;CertProg&amp;CertObj&amp;CertGrant=RIGHT(LEFT($A$2,7),2)&amp;LEFT($A$13,4)&amp;$B$14&amp;E$3,CertSalary))</f>
        <v>0</v>
      </c>
      <c r="F14" s="528">
        <f t="array" ref="F14">SUM(IF(CertFund&amp;CertProg&amp;CertObj&amp;CertGrant=RIGHT(LEFT($A$2,7),2)&amp;LEFT($A$13,4)&amp;$B$14&amp;F$3,CertSalary))</f>
        <v>0</v>
      </c>
      <c r="G14" s="528">
        <f t="array" ref="G14">SUM(IF(CertFund&amp;CertProg&amp;CertObj&amp;CertGrant=RIGHT(LEFT($A$2,7),2)&amp;LEFT($A$13,4)&amp;$B$14&amp;G$3,CertSalary))</f>
        <v>0</v>
      </c>
      <c r="H14" s="528">
        <f t="array" ref="H14">SUM(IF(CertFund&amp;CertProg&amp;CertObj&amp;CertGrant=RIGHT(LEFT($A$2,7),2)&amp;LEFT($A$13,4)&amp;$B$14&amp;H$3,CertSalary))</f>
        <v>0</v>
      </c>
      <c r="I14" s="528">
        <f t="array" ref="I14">SUM(IF(CertFund&amp;CertProg&amp;CertObj&amp;CertGrant=RIGHT(LEFT($A$2,7),2)&amp;LEFT($A$13,4)&amp;$B$14&amp;I$3,CertSalary))</f>
        <v>0</v>
      </c>
      <c r="J14" s="528">
        <f t="array" ref="J14">SUM(IF(CertFund&amp;CertProg&amp;CertObj&amp;CertGrant=RIGHT(LEFT($A$2,7),2)&amp;LEFT($A$13,4)&amp;$B$14&amp;J$3,CertSalary))</f>
        <v>0</v>
      </c>
      <c r="K14" s="528">
        <f t="array" ref="K14">SUM(IF(CertFund&amp;CertProg&amp;CertObj&amp;CertGrant=RIGHT(LEFT($A$2,7),2)&amp;LEFT($A$13,4)&amp;$B$14&amp;K$3,CertSalary))</f>
        <v>0</v>
      </c>
      <c r="L14" s="528">
        <f t="array" ref="L14">SUM(IF(CertFund&amp;CertProg&amp;CertObj&amp;CertGrant=RIGHT(LEFT($A$2,7),2)&amp;LEFT($A$13,4)&amp;$B$14&amp;L$3,CertSalary))</f>
        <v>0</v>
      </c>
      <c r="M14" s="528">
        <f t="array" ref="M14">SUM(IF(CertFund&amp;CertProg&amp;CertObj&amp;CertGrant=RIGHT(LEFT($A$2,7),2)&amp;LEFT($A$13,4)&amp;$B$14&amp;M$3,CertSalary))</f>
        <v>0</v>
      </c>
      <c r="N14" s="528">
        <f t="array" ref="N14">SUM(IF(CertFund&amp;CertProg&amp;CertObj&amp;CertGrant=RIGHT(LEFT($A$2,7),2)&amp;LEFT($A$13,4)&amp;$B$14&amp;N$3,CertSalary))</f>
        <v>0</v>
      </c>
      <c r="O14" s="528">
        <f t="array" ref="O14">SUM(IF(CertFund&amp;CertProg&amp;CertObj&amp;CertGrant=RIGHT(LEFT($A$2,7),2)&amp;LEFT($A$13,4)&amp;$B$14&amp;O$3,CertSalary))</f>
        <v>0</v>
      </c>
      <c r="P14" s="528">
        <f t="array" ref="P14">SUM(IF(CertFund&amp;CertProg&amp;CertObj&amp;CertGrant=RIGHT(LEFT($A$2,7),2)&amp;LEFT($A$13,4)&amp;$B$14&amp;P$3,CertSalary))</f>
        <v>0</v>
      </c>
      <c r="Q14" s="528">
        <f t="array" ref="Q14">SUM(IF(CertFund&amp;CertProg&amp;CertObj&amp;CertGrant=RIGHT(LEFT($A$2,7),2)&amp;LEFT($A$13,4)&amp;$B$14&amp;Q$3,CertSalary))</f>
        <v>0</v>
      </c>
      <c r="R14" s="528">
        <f t="array" ref="R14">SUM(IF(CertFund&amp;CertProg&amp;CertObj&amp;CertGrant=RIGHT(LEFT($A$2,7),2)&amp;LEFT($A$13,4)&amp;$B$14&amp;R$3,CertSalary))</f>
        <v>0</v>
      </c>
      <c r="S14" s="528">
        <f t="array" ref="S14">SUM(IF(CertFund&amp;CertProg&amp;CertObj&amp;CertGrant=RIGHT(LEFT($A$2,7),2)&amp;LEFT($A$13,4)&amp;$B$14&amp;S$3,CertSalary))</f>
        <v>0</v>
      </c>
      <c r="T14" s="528">
        <f t="array" ref="T14">SUM(IF(CertFund&amp;CertProg&amp;CertObj&amp;CertGrant=RIGHT(LEFT($A$2,7),2)&amp;LEFT($A$13,4)&amp;$B$14&amp;T$3,CertSalary))</f>
        <v>0</v>
      </c>
      <c r="U14" s="528">
        <f t="array" ref="U14">SUM(IF(CertFund&amp;CertProg&amp;CertObj&amp;CertGrant=RIGHT(LEFT($A$2,7),2)&amp;LEFT($A$13,4)&amp;$B$14&amp;U$3,CertSalary))</f>
        <v>0</v>
      </c>
      <c r="V14" s="528">
        <f t="array" ref="V14">SUM(IF(CertFund&amp;CertProg&amp;CertObj&amp;CertGrant=RIGHT(LEFT($A$2,7),2)&amp;LEFT($A$13,4)&amp;$B$14&amp;V$3,CertSalary))</f>
        <v>0</v>
      </c>
      <c r="W14" s="528">
        <f t="array" ref="W14">SUM(IF(CertFund&amp;CertProg&amp;CertObj&amp;CertGrant=RIGHT(LEFT($A$2,7),2)&amp;LEFT($A$13,4)&amp;$B$14&amp;W$3,CertSalary))</f>
        <v>0</v>
      </c>
      <c r="X14" s="347">
        <f t="shared" ref="X14:X22" si="2">SUM(D14:W14)</f>
        <v>0</v>
      </c>
    </row>
    <row r="15" spans="1:25" ht="11.25" x14ac:dyDescent="0.2">
      <c r="A15" s="340" t="s">
        <v>1437</v>
      </c>
      <c r="B15" s="588" t="s">
        <v>1577</v>
      </c>
      <c r="C15" s="312" t="s">
        <v>510</v>
      </c>
      <c r="D15" s="147">
        <v>0</v>
      </c>
      <c r="E15" s="147">
        <v>0</v>
      </c>
      <c r="F15" s="147">
        <v>0</v>
      </c>
      <c r="G15" s="147">
        <v>0</v>
      </c>
      <c r="H15" s="147">
        <v>0</v>
      </c>
      <c r="I15" s="147">
        <v>0</v>
      </c>
      <c r="J15" s="147">
        <v>0</v>
      </c>
      <c r="K15" s="147">
        <v>0</v>
      </c>
      <c r="L15" s="147">
        <v>0</v>
      </c>
      <c r="M15" s="147">
        <v>0</v>
      </c>
      <c r="N15" s="147">
        <v>0</v>
      </c>
      <c r="O15" s="147">
        <v>0</v>
      </c>
      <c r="P15" s="147">
        <v>0</v>
      </c>
      <c r="Q15" s="147">
        <v>0</v>
      </c>
      <c r="R15" s="147">
        <v>0</v>
      </c>
      <c r="S15" s="147">
        <v>0</v>
      </c>
      <c r="T15" s="147">
        <v>0</v>
      </c>
      <c r="U15" s="147">
        <v>0</v>
      </c>
      <c r="V15" s="147">
        <v>0</v>
      </c>
      <c r="W15" s="147">
        <v>0</v>
      </c>
      <c r="X15" s="341">
        <f t="shared" si="2"/>
        <v>0</v>
      </c>
    </row>
    <row r="16" spans="1:25" ht="11.25" x14ac:dyDescent="0.2">
      <c r="A16" s="340">
        <v>6</v>
      </c>
      <c r="B16" s="588" t="s">
        <v>1578</v>
      </c>
      <c r="C16" s="312" t="s">
        <v>76</v>
      </c>
      <c r="D16" s="528">
        <f t="array" ref="D16">SUM(IF(CertFund&amp;CertProg&amp;CertObj&amp;CertGrant=RIGHT(LEFT($A$2,7),2)&amp;LEFT($A$13,4)&amp;$B$14&amp;D$3,CertBen))</f>
        <v>0</v>
      </c>
      <c r="E16" s="528">
        <f t="array" ref="E16">SUM(IF(CertFund&amp;CertProg&amp;CertObj&amp;CertGrant=RIGHT(LEFT($A$2,7),2)&amp;LEFT($A$13,4)&amp;$B$14&amp;E$3,CertBen))</f>
        <v>0</v>
      </c>
      <c r="F16" s="528">
        <f t="array" ref="F16">SUM(IF(CertFund&amp;CertProg&amp;CertObj&amp;CertGrant=RIGHT(LEFT($A$2,7),2)&amp;LEFT($A$13,4)&amp;$B$14&amp;F$3,CertBen))</f>
        <v>0</v>
      </c>
      <c r="G16" s="528">
        <f t="array" ref="G16">SUM(IF(CertFund&amp;CertProg&amp;CertObj&amp;CertGrant=RIGHT(LEFT($A$2,7),2)&amp;LEFT($A$13,4)&amp;$B$14&amp;G$3,CertBen))</f>
        <v>0</v>
      </c>
      <c r="H16" s="528">
        <f t="array" ref="H16">SUM(IF(CertFund&amp;CertProg&amp;CertObj&amp;CertGrant=RIGHT(LEFT($A$2,7),2)&amp;LEFT($A$13,4)&amp;$B$14&amp;H$3,CertBen))</f>
        <v>0</v>
      </c>
      <c r="I16" s="528">
        <f t="array" ref="I16">SUM(IF(CertFund&amp;CertProg&amp;CertObj&amp;CertGrant=RIGHT(LEFT($A$2,7),2)&amp;LEFT($A$13,4)&amp;$B$14&amp;I$3,CertBen))</f>
        <v>0</v>
      </c>
      <c r="J16" s="528">
        <f t="array" ref="J16">SUM(IF(CertFund&amp;CertProg&amp;CertObj&amp;CertGrant=RIGHT(LEFT($A$2,7),2)&amp;LEFT($A$13,4)&amp;$B$14&amp;J$3,CertBen))</f>
        <v>0</v>
      </c>
      <c r="K16" s="528">
        <f t="array" ref="K16">SUM(IF(CertFund&amp;CertProg&amp;CertObj&amp;CertGrant=RIGHT(LEFT($A$2,7),2)&amp;LEFT($A$13,4)&amp;$B$14&amp;K$3,CertBen))</f>
        <v>0</v>
      </c>
      <c r="L16" s="528">
        <f t="array" ref="L16">SUM(IF(CertFund&amp;CertProg&amp;CertObj&amp;CertGrant=RIGHT(LEFT($A$2,7),2)&amp;LEFT($A$13,4)&amp;$B$14&amp;L$3,CertBen))</f>
        <v>0</v>
      </c>
      <c r="M16" s="528">
        <f t="array" ref="M16">SUM(IF(CertFund&amp;CertProg&amp;CertObj&amp;CertGrant=RIGHT(LEFT($A$2,7),2)&amp;LEFT($A$13,4)&amp;$B$14&amp;M$3,CertBen))</f>
        <v>0</v>
      </c>
      <c r="N16" s="528">
        <f t="array" ref="N16">SUM(IF(CertFund&amp;CertProg&amp;CertObj&amp;CertGrant=RIGHT(LEFT($A$2,7),2)&amp;LEFT($A$13,4)&amp;$B$14&amp;N$3,CertBen))</f>
        <v>0</v>
      </c>
      <c r="O16" s="528">
        <f t="array" ref="O16">SUM(IF(CertFund&amp;CertProg&amp;CertObj&amp;CertGrant=RIGHT(LEFT($A$2,7),2)&amp;LEFT($A$13,4)&amp;$B$14&amp;O$3,CertBen))</f>
        <v>0</v>
      </c>
      <c r="P16" s="528">
        <f t="array" ref="P16">SUM(IF(CertFund&amp;CertProg&amp;CertObj&amp;CertGrant=RIGHT(LEFT($A$2,7),2)&amp;LEFT($A$13,4)&amp;$B$14&amp;P$3,CertBen))</f>
        <v>0</v>
      </c>
      <c r="Q16" s="528">
        <f t="array" ref="Q16">SUM(IF(CertFund&amp;CertProg&amp;CertObj&amp;CertGrant=RIGHT(LEFT($A$2,7),2)&amp;LEFT($A$13,4)&amp;$B$14&amp;Q$3,CertBen))</f>
        <v>0</v>
      </c>
      <c r="R16" s="528">
        <f t="array" ref="R16">SUM(IF(CertFund&amp;CertProg&amp;CertObj&amp;CertGrant=RIGHT(LEFT($A$2,7),2)&amp;LEFT($A$13,4)&amp;$B$14&amp;R$3,CertBen))</f>
        <v>0</v>
      </c>
      <c r="S16" s="528">
        <f t="array" ref="S16">SUM(IF(CertFund&amp;CertProg&amp;CertObj&amp;CertGrant=RIGHT(LEFT($A$2,7),2)&amp;LEFT($A$13,4)&amp;$B$14&amp;S$3,CertBen))</f>
        <v>0</v>
      </c>
      <c r="T16" s="528">
        <f t="array" ref="T16">SUM(IF(CertFund&amp;CertProg&amp;CertObj&amp;CertGrant=RIGHT(LEFT($A$2,7),2)&amp;LEFT($A$13,4)&amp;$B$14&amp;T$3,CertBen))</f>
        <v>0</v>
      </c>
      <c r="U16" s="528">
        <f t="array" ref="U16">SUM(IF(CertFund&amp;CertProg&amp;CertObj&amp;CertGrant=RIGHT(LEFT($A$2,7),2)&amp;LEFT($A$13,4)&amp;$B$14&amp;U$3,CertBen))</f>
        <v>0</v>
      </c>
      <c r="V16" s="528">
        <f t="array" ref="V16">SUM(IF(CertFund&amp;CertProg&amp;CertObj&amp;CertGrant=RIGHT(LEFT($A$2,7),2)&amp;LEFT($A$13,4)&amp;$B$14&amp;V$3,CertBen))</f>
        <v>0</v>
      </c>
      <c r="W16" s="528">
        <f t="array" ref="W16">SUM(IF(CertFund&amp;CertProg&amp;CertObj&amp;CertGrant=RIGHT(LEFT($A$2,7),2)&amp;LEFT($A$13,4)&amp;$B$14&amp;W$3,CertBen))</f>
        <v>0</v>
      </c>
      <c r="X16" s="341">
        <f t="shared" si="2"/>
        <v>0</v>
      </c>
    </row>
    <row r="17" spans="1:24" ht="11.25" x14ac:dyDescent="0.2">
      <c r="A17" s="340" t="s">
        <v>1438</v>
      </c>
      <c r="B17" s="588" t="s">
        <v>1578</v>
      </c>
      <c r="C17" s="312" t="s">
        <v>511</v>
      </c>
      <c r="D17" s="590">
        <v>0</v>
      </c>
      <c r="E17" s="590">
        <v>0</v>
      </c>
      <c r="F17" s="590">
        <v>0</v>
      </c>
      <c r="G17" s="590">
        <v>0</v>
      </c>
      <c r="H17" s="590">
        <v>0</v>
      </c>
      <c r="I17" s="590">
        <v>0</v>
      </c>
      <c r="J17" s="590">
        <v>0</v>
      </c>
      <c r="K17" s="590">
        <v>0</v>
      </c>
      <c r="L17" s="590">
        <v>0</v>
      </c>
      <c r="M17" s="590">
        <v>0</v>
      </c>
      <c r="N17" s="590">
        <v>0</v>
      </c>
      <c r="O17" s="590">
        <v>0</v>
      </c>
      <c r="P17" s="590">
        <v>0</v>
      </c>
      <c r="Q17" s="590">
        <v>0</v>
      </c>
      <c r="R17" s="590">
        <v>0</v>
      </c>
      <c r="S17" s="590">
        <v>0</v>
      </c>
      <c r="T17" s="590">
        <v>0</v>
      </c>
      <c r="U17" s="590">
        <v>0</v>
      </c>
      <c r="V17" s="590">
        <v>0</v>
      </c>
      <c r="W17" s="590">
        <v>0</v>
      </c>
      <c r="X17" s="341">
        <f t="shared" si="2"/>
        <v>0</v>
      </c>
    </row>
    <row r="18" spans="1:24" ht="11.25" x14ac:dyDescent="0.2">
      <c r="A18" s="340">
        <v>7</v>
      </c>
      <c r="B18" s="188" t="s">
        <v>1579</v>
      </c>
      <c r="C18" s="329" t="s">
        <v>273</v>
      </c>
      <c r="D18" s="590">
        <v>0</v>
      </c>
      <c r="E18" s="590">
        <v>0</v>
      </c>
      <c r="F18" s="590">
        <v>0</v>
      </c>
      <c r="G18" s="590">
        <v>0</v>
      </c>
      <c r="H18" s="590">
        <v>0</v>
      </c>
      <c r="I18" s="590">
        <v>0</v>
      </c>
      <c r="J18" s="590">
        <v>0</v>
      </c>
      <c r="K18" s="590">
        <v>0</v>
      </c>
      <c r="L18" s="591">
        <v>0</v>
      </c>
      <c r="M18" s="591">
        <v>0</v>
      </c>
      <c r="N18" s="591">
        <v>0</v>
      </c>
      <c r="O18" s="591">
        <v>0</v>
      </c>
      <c r="P18" s="591">
        <v>0</v>
      </c>
      <c r="Q18" s="591">
        <v>0</v>
      </c>
      <c r="R18" s="591">
        <v>0</v>
      </c>
      <c r="S18" s="591">
        <v>0</v>
      </c>
      <c r="T18" s="591">
        <v>0</v>
      </c>
      <c r="U18" s="591">
        <v>0</v>
      </c>
      <c r="V18" s="591">
        <v>0</v>
      </c>
      <c r="W18" s="591">
        <v>0</v>
      </c>
      <c r="X18" s="341">
        <f t="shared" si="2"/>
        <v>0</v>
      </c>
    </row>
    <row r="19" spans="1:24" ht="11.25" x14ac:dyDescent="0.2">
      <c r="A19" s="340">
        <v>8</v>
      </c>
      <c r="B19" s="188" t="s">
        <v>1581</v>
      </c>
      <c r="C19" s="329" t="s">
        <v>274</v>
      </c>
      <c r="D19" s="590">
        <v>0</v>
      </c>
      <c r="E19" s="590">
        <v>0</v>
      </c>
      <c r="F19" s="590">
        <v>0</v>
      </c>
      <c r="G19" s="590">
        <v>0</v>
      </c>
      <c r="H19" s="590">
        <v>0</v>
      </c>
      <c r="I19" s="590">
        <v>0</v>
      </c>
      <c r="J19" s="590">
        <v>0</v>
      </c>
      <c r="K19" s="590">
        <v>0</v>
      </c>
      <c r="L19" s="591">
        <v>0</v>
      </c>
      <c r="M19" s="591">
        <v>0</v>
      </c>
      <c r="N19" s="591">
        <v>0</v>
      </c>
      <c r="O19" s="591">
        <v>0</v>
      </c>
      <c r="P19" s="591">
        <v>0</v>
      </c>
      <c r="Q19" s="591">
        <v>0</v>
      </c>
      <c r="R19" s="591">
        <v>0</v>
      </c>
      <c r="S19" s="591">
        <v>0</v>
      </c>
      <c r="T19" s="591">
        <v>0</v>
      </c>
      <c r="U19" s="591">
        <v>0</v>
      </c>
      <c r="V19" s="591">
        <v>0</v>
      </c>
      <c r="W19" s="591">
        <v>0</v>
      </c>
      <c r="X19" s="341">
        <f t="shared" si="2"/>
        <v>0</v>
      </c>
    </row>
    <row r="20" spans="1:24" ht="11.25" x14ac:dyDescent="0.2">
      <c r="A20" s="340">
        <v>9</v>
      </c>
      <c r="B20" s="188" t="s">
        <v>1582</v>
      </c>
      <c r="C20" s="329" t="s">
        <v>275</v>
      </c>
      <c r="D20" s="590">
        <v>0</v>
      </c>
      <c r="E20" s="590">
        <v>0</v>
      </c>
      <c r="F20" s="590">
        <v>0</v>
      </c>
      <c r="G20" s="590">
        <v>0</v>
      </c>
      <c r="H20" s="590">
        <v>0</v>
      </c>
      <c r="I20" s="590">
        <v>0</v>
      </c>
      <c r="J20" s="590">
        <v>0</v>
      </c>
      <c r="K20" s="590">
        <v>0</v>
      </c>
      <c r="L20" s="591">
        <v>0</v>
      </c>
      <c r="M20" s="591">
        <v>0</v>
      </c>
      <c r="N20" s="591">
        <v>0</v>
      </c>
      <c r="O20" s="591">
        <v>0</v>
      </c>
      <c r="P20" s="591">
        <v>0</v>
      </c>
      <c r="Q20" s="591">
        <v>0</v>
      </c>
      <c r="R20" s="591">
        <v>0</v>
      </c>
      <c r="S20" s="591">
        <v>0</v>
      </c>
      <c r="T20" s="591">
        <v>0</v>
      </c>
      <c r="U20" s="591">
        <v>0</v>
      </c>
      <c r="V20" s="591">
        <v>0</v>
      </c>
      <c r="W20" s="591">
        <v>0</v>
      </c>
      <c r="X20" s="341">
        <f t="shared" si="2"/>
        <v>0</v>
      </c>
    </row>
    <row r="21" spans="1:24" ht="11.25" x14ac:dyDescent="0.2">
      <c r="A21" s="350">
        <v>10</v>
      </c>
      <c r="B21" s="188" t="s">
        <v>1584</v>
      </c>
      <c r="C21" s="327" t="s">
        <v>276</v>
      </c>
      <c r="D21" s="590">
        <v>0</v>
      </c>
      <c r="E21" s="590">
        <v>0</v>
      </c>
      <c r="F21" s="590">
        <v>0</v>
      </c>
      <c r="G21" s="590">
        <v>0</v>
      </c>
      <c r="H21" s="590">
        <v>0</v>
      </c>
      <c r="I21" s="590">
        <v>0</v>
      </c>
      <c r="J21" s="590">
        <v>0</v>
      </c>
      <c r="K21" s="590">
        <v>0</v>
      </c>
      <c r="L21" s="591">
        <v>0</v>
      </c>
      <c r="M21" s="591">
        <v>0</v>
      </c>
      <c r="N21" s="591">
        <v>0</v>
      </c>
      <c r="O21" s="591">
        <v>0</v>
      </c>
      <c r="P21" s="591">
        <v>0</v>
      </c>
      <c r="Q21" s="591">
        <v>0</v>
      </c>
      <c r="R21" s="591">
        <v>0</v>
      </c>
      <c r="S21" s="591">
        <v>0</v>
      </c>
      <c r="T21" s="591">
        <v>0</v>
      </c>
      <c r="U21" s="591">
        <v>0</v>
      </c>
      <c r="V21" s="591">
        <v>0</v>
      </c>
      <c r="W21" s="591">
        <v>0</v>
      </c>
      <c r="X21" s="341">
        <f t="shared" si="2"/>
        <v>0</v>
      </c>
    </row>
    <row r="22" spans="1:24" ht="11.25" x14ac:dyDescent="0.2">
      <c r="A22" s="340">
        <v>11</v>
      </c>
      <c r="C22" s="346" t="s">
        <v>1626</v>
      </c>
      <c r="D22" s="347">
        <f>SUM(D14:D21)</f>
        <v>0</v>
      </c>
      <c r="E22" s="347">
        <f t="shared" ref="E22:W22" si="3">SUM(E14:E21)</f>
        <v>0</v>
      </c>
      <c r="F22" s="347">
        <f t="shared" si="3"/>
        <v>0</v>
      </c>
      <c r="G22" s="347">
        <f t="shared" si="3"/>
        <v>0</v>
      </c>
      <c r="H22" s="347">
        <f t="shared" si="3"/>
        <v>0</v>
      </c>
      <c r="I22" s="347">
        <f t="shared" si="3"/>
        <v>0</v>
      </c>
      <c r="J22" s="347">
        <f t="shared" si="3"/>
        <v>0</v>
      </c>
      <c r="K22" s="347">
        <f t="shared" si="3"/>
        <v>0</v>
      </c>
      <c r="L22" s="347">
        <f t="shared" si="3"/>
        <v>0</v>
      </c>
      <c r="M22" s="347">
        <f t="shared" si="3"/>
        <v>0</v>
      </c>
      <c r="N22" s="347">
        <f t="shared" si="3"/>
        <v>0</v>
      </c>
      <c r="O22" s="347">
        <f t="shared" si="3"/>
        <v>0</v>
      </c>
      <c r="P22" s="347">
        <f t="shared" si="3"/>
        <v>0</v>
      </c>
      <c r="Q22" s="347">
        <f t="shared" si="3"/>
        <v>0</v>
      </c>
      <c r="R22" s="347">
        <f t="shared" si="3"/>
        <v>0</v>
      </c>
      <c r="S22" s="347">
        <f t="shared" si="3"/>
        <v>0</v>
      </c>
      <c r="T22" s="347">
        <f t="shared" si="3"/>
        <v>0</v>
      </c>
      <c r="U22" s="347">
        <f t="shared" si="3"/>
        <v>0</v>
      </c>
      <c r="V22" s="347">
        <f t="shared" si="3"/>
        <v>0</v>
      </c>
      <c r="W22" s="347">
        <f t="shared" si="3"/>
        <v>0</v>
      </c>
      <c r="X22" s="341">
        <f t="shared" si="2"/>
        <v>0</v>
      </c>
    </row>
    <row r="23" spans="1:24" ht="11.25" x14ac:dyDescent="0.2">
      <c r="A23" s="371" t="s">
        <v>1433</v>
      </c>
      <c r="B23" s="369"/>
      <c r="C23" s="348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  <c r="V23" s="349"/>
      <c r="W23" s="349"/>
      <c r="X23" s="349"/>
    </row>
    <row r="24" spans="1:24" ht="11.25" x14ac:dyDescent="0.2">
      <c r="A24" s="340">
        <v>5</v>
      </c>
      <c r="B24" s="588" t="s">
        <v>1577</v>
      </c>
      <c r="C24" s="312" t="s">
        <v>228</v>
      </c>
      <c r="D24" s="528">
        <f t="array" ref="D24">SUM(IF(CertFund&amp;CertProg&amp;CertObj&amp;CertGrant=RIGHT(LEFT($A$2,7),2)&amp;LEFT($A$23,4)&amp;$B$24&amp;D$3,CertSalary))</f>
        <v>0</v>
      </c>
      <c r="E24" s="528">
        <f t="array" ref="E24">SUM(IF(CertFund&amp;CertProg&amp;CertObj&amp;CertGrant=RIGHT(LEFT($A$2,7),2)&amp;LEFT($A$23,4)&amp;$B$24&amp;E$3,CertSalary))</f>
        <v>0</v>
      </c>
      <c r="F24" s="528">
        <f t="array" ref="F24">SUM(IF(CertFund&amp;CertProg&amp;CertObj&amp;CertGrant=RIGHT(LEFT($A$2,7),2)&amp;LEFT($A$23,4)&amp;$B$24&amp;F$3,CertSalary))</f>
        <v>0</v>
      </c>
      <c r="G24" s="528">
        <f t="array" ref="G24">SUM(IF(CertFund&amp;CertProg&amp;CertObj&amp;CertGrant=RIGHT(LEFT($A$2,7),2)&amp;LEFT($A$23,4)&amp;$B$24&amp;G$3,CertSalary))</f>
        <v>0</v>
      </c>
      <c r="H24" s="528">
        <f t="array" ref="H24">SUM(IF(CertFund&amp;CertProg&amp;CertObj&amp;CertGrant=RIGHT(LEFT($A$2,7),2)&amp;LEFT($A$23,4)&amp;$B$24&amp;H$3,CertSalary))</f>
        <v>0</v>
      </c>
      <c r="I24" s="528">
        <f t="array" ref="I24">SUM(IF(CertFund&amp;CertProg&amp;CertObj&amp;CertGrant=RIGHT(LEFT($A$2,7),2)&amp;LEFT($A$23,4)&amp;$B$24&amp;I$3,CertSalary))</f>
        <v>0</v>
      </c>
      <c r="J24" s="528">
        <f t="array" ref="J24">SUM(IF(CertFund&amp;CertProg&amp;CertObj&amp;CertGrant=RIGHT(LEFT($A$2,7),2)&amp;LEFT($A$23,4)&amp;$B$24&amp;J$3,CertSalary))</f>
        <v>0</v>
      </c>
      <c r="K24" s="528">
        <f t="array" ref="K24">SUM(IF(CertFund&amp;CertProg&amp;CertObj&amp;CertGrant=RIGHT(LEFT($A$2,7),2)&amp;LEFT($A$23,4)&amp;$B$24&amp;K$3,CertSalary))</f>
        <v>0</v>
      </c>
      <c r="L24" s="528">
        <f t="array" ref="L24">SUM(IF(CertFund&amp;CertProg&amp;CertObj&amp;CertGrant=RIGHT(LEFT($A$2,7),2)&amp;LEFT($A$23,4)&amp;$B$24&amp;L$3,CertSalary))</f>
        <v>0</v>
      </c>
      <c r="M24" s="528">
        <f t="array" ref="M24">SUM(IF(CertFund&amp;CertProg&amp;CertObj&amp;CertGrant=RIGHT(LEFT($A$2,7),2)&amp;LEFT($A$23,4)&amp;$B$24&amp;M$3,CertSalary))</f>
        <v>0</v>
      </c>
      <c r="N24" s="528">
        <f t="array" ref="N24">SUM(IF(CertFund&amp;CertProg&amp;CertObj&amp;CertGrant=RIGHT(LEFT($A$2,7),2)&amp;LEFT($A$23,4)&amp;$B$24&amp;N$3,CertSalary))</f>
        <v>0</v>
      </c>
      <c r="O24" s="528">
        <f t="array" ref="O24">SUM(IF(CertFund&amp;CertProg&amp;CertObj&amp;CertGrant=RIGHT(LEFT($A$2,7),2)&amp;LEFT($A$23,4)&amp;$B$24&amp;O$3,CertSalary))</f>
        <v>0</v>
      </c>
      <c r="P24" s="528">
        <f t="array" ref="P24">SUM(IF(CertFund&amp;CertProg&amp;CertObj&amp;CertGrant=RIGHT(LEFT($A$2,7),2)&amp;LEFT($A$23,4)&amp;$B$24&amp;P$3,CertSalary))</f>
        <v>0</v>
      </c>
      <c r="Q24" s="528">
        <f t="array" ref="Q24">SUM(IF(CertFund&amp;CertProg&amp;CertObj&amp;CertGrant=RIGHT(LEFT($A$2,7),2)&amp;LEFT($A$23,4)&amp;$B$24&amp;Q$3,CertSalary))</f>
        <v>0</v>
      </c>
      <c r="R24" s="528">
        <f t="array" ref="R24">SUM(IF(CertFund&amp;CertProg&amp;CertObj&amp;CertGrant=RIGHT(LEFT($A$2,7),2)&amp;LEFT($A$23,4)&amp;$B$24&amp;R$3,CertSalary))</f>
        <v>0</v>
      </c>
      <c r="S24" s="528">
        <f t="array" ref="S24">SUM(IF(CertFund&amp;CertProg&amp;CertObj&amp;CertGrant=RIGHT(LEFT($A$2,7),2)&amp;LEFT($A$23,4)&amp;$B$24&amp;S$3,CertSalary))</f>
        <v>0</v>
      </c>
      <c r="T24" s="528">
        <f t="array" ref="T24">SUM(IF(CertFund&amp;CertProg&amp;CertObj&amp;CertGrant=RIGHT(LEFT($A$2,7),2)&amp;LEFT($A$23,4)&amp;$B$24&amp;T$3,CertSalary))</f>
        <v>0</v>
      </c>
      <c r="U24" s="528">
        <f t="array" ref="U24">SUM(IF(CertFund&amp;CertProg&amp;CertObj&amp;CertGrant=RIGHT(LEFT($A$2,7),2)&amp;LEFT($A$23,4)&amp;$B$24&amp;U$3,CertSalary))</f>
        <v>0</v>
      </c>
      <c r="V24" s="528">
        <f t="array" ref="V24">SUM(IF(CertFund&amp;CertProg&amp;CertObj&amp;CertGrant=RIGHT(LEFT($A$2,7),2)&amp;LEFT($A$23,4)&amp;$B$24&amp;V$3,CertSalary))</f>
        <v>0</v>
      </c>
      <c r="W24" s="528">
        <f t="array" ref="W24">SUM(IF(CertFund&amp;CertProg&amp;CertObj&amp;CertGrant=RIGHT(LEFT($A$2,7),2)&amp;LEFT($A$23,4)&amp;$B$24&amp;W$3,CertSalary))</f>
        <v>0</v>
      </c>
      <c r="X24" s="347">
        <f t="shared" ref="X24:X32" si="4">SUM(D24:W24)</f>
        <v>0</v>
      </c>
    </row>
    <row r="25" spans="1:24" ht="11.25" x14ac:dyDescent="0.2">
      <c r="A25" s="340" t="s">
        <v>1437</v>
      </c>
      <c r="B25" s="588" t="s">
        <v>1577</v>
      </c>
      <c r="C25" s="312" t="s">
        <v>510</v>
      </c>
      <c r="D25" s="147">
        <v>0</v>
      </c>
      <c r="E25" s="147">
        <v>0</v>
      </c>
      <c r="F25" s="147">
        <v>0</v>
      </c>
      <c r="G25" s="147">
        <v>0</v>
      </c>
      <c r="H25" s="147">
        <v>0</v>
      </c>
      <c r="I25" s="147">
        <v>0</v>
      </c>
      <c r="J25" s="147">
        <v>0</v>
      </c>
      <c r="K25" s="147">
        <v>0</v>
      </c>
      <c r="L25" s="147">
        <v>0</v>
      </c>
      <c r="M25" s="147">
        <v>0</v>
      </c>
      <c r="N25" s="147">
        <v>0</v>
      </c>
      <c r="O25" s="147">
        <v>0</v>
      </c>
      <c r="P25" s="147">
        <v>0</v>
      </c>
      <c r="Q25" s="147">
        <v>0</v>
      </c>
      <c r="R25" s="147">
        <v>0</v>
      </c>
      <c r="S25" s="147">
        <v>0</v>
      </c>
      <c r="T25" s="147">
        <v>0</v>
      </c>
      <c r="U25" s="147">
        <v>0</v>
      </c>
      <c r="V25" s="147">
        <v>0</v>
      </c>
      <c r="W25" s="147">
        <v>0</v>
      </c>
      <c r="X25" s="341">
        <f t="shared" si="4"/>
        <v>0</v>
      </c>
    </row>
    <row r="26" spans="1:24" ht="11.25" x14ac:dyDescent="0.2">
      <c r="A26" s="340">
        <v>6</v>
      </c>
      <c r="B26" s="588" t="s">
        <v>1578</v>
      </c>
      <c r="C26" s="312" t="s">
        <v>76</v>
      </c>
      <c r="D26" s="528">
        <f t="array" ref="D26">SUM(IF(CertFund&amp;CertProg&amp;CertObj&amp;CertGrant=RIGHT(LEFT($A$2,7),2)&amp;LEFT($A$23,4)&amp;$B$24&amp;D$3,CertBen))</f>
        <v>0</v>
      </c>
      <c r="E26" s="528">
        <f t="array" ref="E26">SUM(IF(CertFund&amp;CertProg&amp;CertObj&amp;CertGrant=RIGHT(LEFT($A$2,7),2)&amp;LEFT($A$23,4)&amp;$B$24&amp;E$3,CertBen))</f>
        <v>0</v>
      </c>
      <c r="F26" s="528">
        <f t="array" ref="F26">SUM(IF(CertFund&amp;CertProg&amp;CertObj&amp;CertGrant=RIGHT(LEFT($A$2,7),2)&amp;LEFT($A$23,4)&amp;$B$24&amp;F$3,CertBen))</f>
        <v>0</v>
      </c>
      <c r="G26" s="528">
        <f t="array" ref="G26">SUM(IF(CertFund&amp;CertProg&amp;CertObj&amp;CertGrant=RIGHT(LEFT($A$2,7),2)&amp;LEFT($A$23,4)&amp;$B$24&amp;G$3,CertBen))</f>
        <v>0</v>
      </c>
      <c r="H26" s="528">
        <f t="array" ref="H26">SUM(IF(CertFund&amp;CertProg&amp;CertObj&amp;CertGrant=RIGHT(LEFT($A$2,7),2)&amp;LEFT($A$23,4)&amp;$B$24&amp;H$3,CertBen))</f>
        <v>0</v>
      </c>
      <c r="I26" s="528">
        <f t="array" ref="I26">SUM(IF(CertFund&amp;CertProg&amp;CertObj&amp;CertGrant=RIGHT(LEFT($A$2,7),2)&amp;LEFT($A$23,4)&amp;$B$24&amp;I$3,CertBen))</f>
        <v>0</v>
      </c>
      <c r="J26" s="528">
        <f t="array" ref="J26">SUM(IF(CertFund&amp;CertProg&amp;CertObj&amp;CertGrant=RIGHT(LEFT($A$2,7),2)&amp;LEFT($A$23,4)&amp;$B$24&amp;J$3,CertBen))</f>
        <v>0</v>
      </c>
      <c r="K26" s="528">
        <f t="array" ref="K26">SUM(IF(CertFund&amp;CertProg&amp;CertObj&amp;CertGrant=RIGHT(LEFT($A$2,7),2)&amp;LEFT($A$23,4)&amp;$B$24&amp;K$3,CertBen))</f>
        <v>0</v>
      </c>
      <c r="L26" s="528">
        <f t="array" ref="L26">SUM(IF(CertFund&amp;CertProg&amp;CertObj&amp;CertGrant=RIGHT(LEFT($A$2,7),2)&amp;LEFT($A$23,4)&amp;$B$24&amp;L$3,CertBen))</f>
        <v>0</v>
      </c>
      <c r="M26" s="528">
        <f t="array" ref="M26">SUM(IF(CertFund&amp;CertProg&amp;CertObj&amp;CertGrant=RIGHT(LEFT($A$2,7),2)&amp;LEFT($A$23,4)&amp;$B$24&amp;M$3,CertBen))</f>
        <v>0</v>
      </c>
      <c r="N26" s="528">
        <f t="array" ref="N26">SUM(IF(CertFund&amp;CertProg&amp;CertObj&amp;CertGrant=RIGHT(LEFT($A$2,7),2)&amp;LEFT($A$23,4)&amp;$B$24&amp;N$3,CertBen))</f>
        <v>0</v>
      </c>
      <c r="O26" s="528">
        <f t="array" ref="O26">SUM(IF(CertFund&amp;CertProg&amp;CertObj&amp;CertGrant=RIGHT(LEFT($A$2,7),2)&amp;LEFT($A$23,4)&amp;$B$24&amp;O$3,CertBen))</f>
        <v>0</v>
      </c>
      <c r="P26" s="528">
        <f t="array" ref="P26">SUM(IF(CertFund&amp;CertProg&amp;CertObj&amp;CertGrant=RIGHT(LEFT($A$2,7),2)&amp;LEFT($A$23,4)&amp;$B$24&amp;P$3,CertBen))</f>
        <v>0</v>
      </c>
      <c r="Q26" s="528">
        <f t="array" ref="Q26">SUM(IF(CertFund&amp;CertProg&amp;CertObj&amp;CertGrant=RIGHT(LEFT($A$2,7),2)&amp;LEFT($A$23,4)&amp;$B$24&amp;Q$3,CertBen))</f>
        <v>0</v>
      </c>
      <c r="R26" s="528">
        <f t="array" ref="R26">SUM(IF(CertFund&amp;CertProg&amp;CertObj&amp;CertGrant=RIGHT(LEFT($A$2,7),2)&amp;LEFT($A$23,4)&amp;$B$24&amp;R$3,CertBen))</f>
        <v>0</v>
      </c>
      <c r="S26" s="528">
        <f t="array" ref="S26">SUM(IF(CertFund&amp;CertProg&amp;CertObj&amp;CertGrant=RIGHT(LEFT($A$2,7),2)&amp;LEFT($A$23,4)&amp;$B$24&amp;S$3,CertBen))</f>
        <v>0</v>
      </c>
      <c r="T26" s="528">
        <f t="array" ref="T26">SUM(IF(CertFund&amp;CertProg&amp;CertObj&amp;CertGrant=RIGHT(LEFT($A$2,7),2)&amp;LEFT($A$23,4)&amp;$B$24&amp;T$3,CertBen))</f>
        <v>0</v>
      </c>
      <c r="U26" s="528">
        <f t="array" ref="U26">SUM(IF(CertFund&amp;CertProg&amp;CertObj&amp;CertGrant=RIGHT(LEFT($A$2,7),2)&amp;LEFT($A$23,4)&amp;$B$24&amp;U$3,CertBen))</f>
        <v>0</v>
      </c>
      <c r="V26" s="528">
        <f t="array" ref="V26">SUM(IF(CertFund&amp;CertProg&amp;CertObj&amp;CertGrant=RIGHT(LEFT($A$2,7),2)&amp;LEFT($A$23,4)&amp;$B$24&amp;V$3,CertBen))</f>
        <v>0</v>
      </c>
      <c r="W26" s="528">
        <f t="array" ref="W26">SUM(IF(CertFund&amp;CertProg&amp;CertObj&amp;CertGrant=RIGHT(LEFT($A$2,7),2)&amp;LEFT($A$23,4)&amp;$B$24&amp;W$3,CertBen))</f>
        <v>0</v>
      </c>
      <c r="X26" s="341">
        <f t="shared" si="4"/>
        <v>0</v>
      </c>
    </row>
    <row r="27" spans="1:24" ht="11.25" x14ac:dyDescent="0.2">
      <c r="A27" s="340" t="s">
        <v>1438</v>
      </c>
      <c r="B27" s="588" t="s">
        <v>1578</v>
      </c>
      <c r="C27" s="312" t="s">
        <v>511</v>
      </c>
      <c r="D27" s="590">
        <v>0</v>
      </c>
      <c r="E27" s="590">
        <v>0</v>
      </c>
      <c r="F27" s="590">
        <v>0</v>
      </c>
      <c r="G27" s="590">
        <v>0</v>
      </c>
      <c r="H27" s="590">
        <v>0</v>
      </c>
      <c r="I27" s="590">
        <v>0</v>
      </c>
      <c r="J27" s="590">
        <v>0</v>
      </c>
      <c r="K27" s="590">
        <v>0</v>
      </c>
      <c r="L27" s="590">
        <v>0</v>
      </c>
      <c r="M27" s="590">
        <v>0</v>
      </c>
      <c r="N27" s="590">
        <v>0</v>
      </c>
      <c r="O27" s="590">
        <v>0</v>
      </c>
      <c r="P27" s="590">
        <v>0</v>
      </c>
      <c r="Q27" s="590">
        <v>0</v>
      </c>
      <c r="R27" s="590">
        <v>0</v>
      </c>
      <c r="S27" s="590">
        <v>0</v>
      </c>
      <c r="T27" s="590">
        <v>0</v>
      </c>
      <c r="U27" s="590">
        <v>0</v>
      </c>
      <c r="V27" s="590">
        <v>0</v>
      </c>
      <c r="W27" s="590">
        <v>0</v>
      </c>
      <c r="X27" s="341">
        <f t="shared" si="4"/>
        <v>0</v>
      </c>
    </row>
    <row r="28" spans="1:24" ht="11.25" x14ac:dyDescent="0.2">
      <c r="A28" s="340">
        <v>7</v>
      </c>
      <c r="B28" s="188" t="s">
        <v>1579</v>
      </c>
      <c r="C28" s="329" t="s">
        <v>273</v>
      </c>
      <c r="D28" s="590">
        <v>0</v>
      </c>
      <c r="E28" s="590">
        <v>0</v>
      </c>
      <c r="F28" s="590">
        <v>0</v>
      </c>
      <c r="G28" s="590">
        <v>0</v>
      </c>
      <c r="H28" s="590">
        <v>0</v>
      </c>
      <c r="I28" s="590">
        <v>0</v>
      </c>
      <c r="J28" s="590">
        <v>0</v>
      </c>
      <c r="K28" s="590">
        <v>0</v>
      </c>
      <c r="L28" s="591">
        <v>0</v>
      </c>
      <c r="M28" s="591">
        <v>0</v>
      </c>
      <c r="N28" s="591">
        <v>0</v>
      </c>
      <c r="O28" s="591">
        <v>0</v>
      </c>
      <c r="P28" s="591">
        <v>0</v>
      </c>
      <c r="Q28" s="591">
        <v>0</v>
      </c>
      <c r="R28" s="591">
        <v>0</v>
      </c>
      <c r="S28" s="591">
        <v>0</v>
      </c>
      <c r="T28" s="591">
        <v>0</v>
      </c>
      <c r="U28" s="591">
        <v>0</v>
      </c>
      <c r="V28" s="591">
        <v>0</v>
      </c>
      <c r="W28" s="591">
        <v>0</v>
      </c>
      <c r="X28" s="341">
        <f t="shared" si="4"/>
        <v>0</v>
      </c>
    </row>
    <row r="29" spans="1:24" ht="11.25" x14ac:dyDescent="0.2">
      <c r="A29" s="340">
        <v>8</v>
      </c>
      <c r="B29" s="188" t="s">
        <v>1581</v>
      </c>
      <c r="C29" s="329" t="s">
        <v>274</v>
      </c>
      <c r="D29" s="590">
        <v>0</v>
      </c>
      <c r="E29" s="590">
        <v>0</v>
      </c>
      <c r="F29" s="590">
        <v>0</v>
      </c>
      <c r="G29" s="590">
        <v>0</v>
      </c>
      <c r="H29" s="590">
        <v>0</v>
      </c>
      <c r="I29" s="590">
        <v>0</v>
      </c>
      <c r="J29" s="590">
        <v>0</v>
      </c>
      <c r="K29" s="590">
        <v>0</v>
      </c>
      <c r="L29" s="591">
        <v>0</v>
      </c>
      <c r="M29" s="591">
        <v>0</v>
      </c>
      <c r="N29" s="591">
        <v>0</v>
      </c>
      <c r="O29" s="591">
        <v>0</v>
      </c>
      <c r="P29" s="591">
        <v>0</v>
      </c>
      <c r="Q29" s="591">
        <v>0</v>
      </c>
      <c r="R29" s="591">
        <v>0</v>
      </c>
      <c r="S29" s="591">
        <v>0</v>
      </c>
      <c r="T29" s="591">
        <v>0</v>
      </c>
      <c r="U29" s="591">
        <v>0</v>
      </c>
      <c r="V29" s="591">
        <v>0</v>
      </c>
      <c r="W29" s="591">
        <v>0</v>
      </c>
      <c r="X29" s="341">
        <f t="shared" si="4"/>
        <v>0</v>
      </c>
    </row>
    <row r="30" spans="1:24" ht="11.25" x14ac:dyDescent="0.2">
      <c r="A30" s="340">
        <v>9</v>
      </c>
      <c r="B30" s="188" t="s">
        <v>1582</v>
      </c>
      <c r="C30" s="329" t="s">
        <v>275</v>
      </c>
      <c r="D30" s="590">
        <v>0</v>
      </c>
      <c r="E30" s="590">
        <v>0</v>
      </c>
      <c r="F30" s="590">
        <v>0</v>
      </c>
      <c r="G30" s="590">
        <v>0</v>
      </c>
      <c r="H30" s="590">
        <v>0</v>
      </c>
      <c r="I30" s="590">
        <v>0</v>
      </c>
      <c r="J30" s="590">
        <v>0</v>
      </c>
      <c r="K30" s="590">
        <v>0</v>
      </c>
      <c r="L30" s="591">
        <v>0</v>
      </c>
      <c r="M30" s="591">
        <v>0</v>
      </c>
      <c r="N30" s="591">
        <v>0</v>
      </c>
      <c r="O30" s="591">
        <v>0</v>
      </c>
      <c r="P30" s="591">
        <v>0</v>
      </c>
      <c r="Q30" s="591">
        <v>0</v>
      </c>
      <c r="R30" s="591">
        <v>0</v>
      </c>
      <c r="S30" s="591">
        <v>0</v>
      </c>
      <c r="T30" s="591">
        <v>0</v>
      </c>
      <c r="U30" s="591">
        <v>0</v>
      </c>
      <c r="V30" s="591">
        <v>0</v>
      </c>
      <c r="W30" s="591">
        <v>0</v>
      </c>
      <c r="X30" s="341">
        <f t="shared" si="4"/>
        <v>0</v>
      </c>
    </row>
    <row r="31" spans="1:24" ht="11.25" x14ac:dyDescent="0.2">
      <c r="A31" s="350">
        <v>10</v>
      </c>
      <c r="B31" s="188" t="s">
        <v>1584</v>
      </c>
      <c r="C31" s="327" t="s">
        <v>276</v>
      </c>
      <c r="D31" s="590">
        <v>0</v>
      </c>
      <c r="E31" s="590">
        <v>0</v>
      </c>
      <c r="F31" s="590">
        <v>0</v>
      </c>
      <c r="G31" s="590">
        <v>0</v>
      </c>
      <c r="H31" s="590">
        <v>0</v>
      </c>
      <c r="I31" s="590">
        <v>0</v>
      </c>
      <c r="J31" s="590">
        <v>0</v>
      </c>
      <c r="K31" s="590">
        <v>0</v>
      </c>
      <c r="L31" s="591">
        <v>0</v>
      </c>
      <c r="M31" s="591">
        <v>0</v>
      </c>
      <c r="N31" s="591">
        <v>0</v>
      </c>
      <c r="O31" s="591">
        <v>0</v>
      </c>
      <c r="P31" s="591">
        <v>0</v>
      </c>
      <c r="Q31" s="591">
        <v>0</v>
      </c>
      <c r="R31" s="591">
        <v>0</v>
      </c>
      <c r="S31" s="591">
        <v>0</v>
      </c>
      <c r="T31" s="591">
        <v>0</v>
      </c>
      <c r="U31" s="591">
        <v>0</v>
      </c>
      <c r="V31" s="591">
        <v>0</v>
      </c>
      <c r="W31" s="591">
        <v>0</v>
      </c>
      <c r="X31" s="341">
        <f t="shared" si="4"/>
        <v>0</v>
      </c>
    </row>
    <row r="32" spans="1:24" ht="11.25" x14ac:dyDescent="0.2">
      <c r="A32" s="340">
        <v>11</v>
      </c>
      <c r="C32" s="346" t="s">
        <v>1627</v>
      </c>
      <c r="D32" s="347">
        <f>SUM(D24:D31)</f>
        <v>0</v>
      </c>
      <c r="E32" s="347">
        <f t="shared" ref="E32:W32" si="5">SUM(E24:E31)</f>
        <v>0</v>
      </c>
      <c r="F32" s="347">
        <f t="shared" si="5"/>
        <v>0</v>
      </c>
      <c r="G32" s="347">
        <f t="shared" si="5"/>
        <v>0</v>
      </c>
      <c r="H32" s="347">
        <f t="shared" si="5"/>
        <v>0</v>
      </c>
      <c r="I32" s="347">
        <f t="shared" si="5"/>
        <v>0</v>
      </c>
      <c r="J32" s="347">
        <f t="shared" si="5"/>
        <v>0</v>
      </c>
      <c r="K32" s="347">
        <f t="shared" si="5"/>
        <v>0</v>
      </c>
      <c r="L32" s="347">
        <f t="shared" si="5"/>
        <v>0</v>
      </c>
      <c r="M32" s="347">
        <f t="shared" si="5"/>
        <v>0</v>
      </c>
      <c r="N32" s="347">
        <f t="shared" si="5"/>
        <v>0</v>
      </c>
      <c r="O32" s="347">
        <f t="shared" si="5"/>
        <v>0</v>
      </c>
      <c r="P32" s="347">
        <f t="shared" si="5"/>
        <v>0</v>
      </c>
      <c r="Q32" s="347">
        <f t="shared" si="5"/>
        <v>0</v>
      </c>
      <c r="R32" s="347">
        <f t="shared" si="5"/>
        <v>0</v>
      </c>
      <c r="S32" s="347">
        <f t="shared" si="5"/>
        <v>0</v>
      </c>
      <c r="T32" s="347">
        <f t="shared" si="5"/>
        <v>0</v>
      </c>
      <c r="U32" s="347">
        <f t="shared" si="5"/>
        <v>0</v>
      </c>
      <c r="V32" s="347">
        <f t="shared" si="5"/>
        <v>0</v>
      </c>
      <c r="W32" s="347">
        <f t="shared" si="5"/>
        <v>0</v>
      </c>
      <c r="X32" s="341">
        <f t="shared" si="4"/>
        <v>0</v>
      </c>
    </row>
    <row r="33" spans="1:24" ht="11.25" x14ac:dyDescent="0.2">
      <c r="A33" s="371" t="s">
        <v>1095</v>
      </c>
      <c r="B33" s="369"/>
      <c r="C33" s="348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</row>
    <row r="34" spans="1:24" ht="11.25" x14ac:dyDescent="0.2">
      <c r="A34" s="340">
        <v>5</v>
      </c>
      <c r="B34" s="588" t="s">
        <v>1577</v>
      </c>
      <c r="C34" s="312" t="s">
        <v>228</v>
      </c>
      <c r="D34" s="528">
        <f t="array" ref="D34">SUM(IF(CertFund&amp;CertProg&amp;CertObj&amp;CertGrant=RIGHT(LEFT($A$2,7),2)&amp;LEFT($A$33,4)&amp;$B$34&amp;D$3,CertSalary))</f>
        <v>0</v>
      </c>
      <c r="E34" s="528">
        <f t="array" ref="E34">SUM(IF(CertFund&amp;CertProg&amp;CertObj&amp;CertGrant=RIGHT(LEFT($A$2,7),2)&amp;LEFT($A$33,4)&amp;$B$34&amp;E$3,CertSalary))</f>
        <v>0</v>
      </c>
      <c r="F34" s="528">
        <f t="array" ref="F34">SUM(IF(CertFund&amp;CertProg&amp;CertObj&amp;CertGrant=RIGHT(LEFT($A$2,7),2)&amp;LEFT($A$33,4)&amp;$B$34&amp;F$3,CertSalary))</f>
        <v>0</v>
      </c>
      <c r="G34" s="528">
        <f t="array" ref="G34">SUM(IF(CertFund&amp;CertProg&amp;CertObj&amp;CertGrant=RIGHT(LEFT($A$2,7),2)&amp;LEFT($A$33,4)&amp;$B$34&amp;G$3,CertSalary))</f>
        <v>0</v>
      </c>
      <c r="H34" s="528">
        <f t="array" ref="H34">SUM(IF(CertFund&amp;CertProg&amp;CertObj&amp;CertGrant=RIGHT(LEFT($A$2,7),2)&amp;LEFT($A$33,4)&amp;$B$34&amp;H$3,CertSalary))</f>
        <v>0</v>
      </c>
      <c r="I34" s="528">
        <f t="array" ref="I34">SUM(IF(CertFund&amp;CertProg&amp;CertObj&amp;CertGrant=RIGHT(LEFT($A$2,7),2)&amp;LEFT($A$33,4)&amp;$B$34&amp;I$3,CertSalary))</f>
        <v>0</v>
      </c>
      <c r="J34" s="528">
        <f t="array" ref="J34">SUM(IF(CertFund&amp;CertProg&amp;CertObj&amp;CertGrant=RIGHT(LEFT($A$2,7),2)&amp;LEFT($A$33,4)&amp;$B$34&amp;J$3,CertSalary))</f>
        <v>0</v>
      </c>
      <c r="K34" s="528">
        <f t="array" ref="K34">SUM(IF(CertFund&amp;CertProg&amp;CertObj&amp;CertGrant=RIGHT(LEFT($A$2,7),2)&amp;LEFT($A$33,4)&amp;$B$34&amp;K$3,CertSalary))</f>
        <v>0</v>
      </c>
      <c r="L34" s="528">
        <f t="array" ref="L34">SUM(IF(CertFund&amp;CertProg&amp;CertObj&amp;CertGrant=RIGHT(LEFT($A$2,7),2)&amp;LEFT($A$33,4)&amp;$B$34&amp;L$3,CertSalary))</f>
        <v>0</v>
      </c>
      <c r="M34" s="528">
        <f t="array" ref="M34">SUM(IF(CertFund&amp;CertProg&amp;CertObj&amp;CertGrant=RIGHT(LEFT($A$2,7),2)&amp;LEFT($A$33,4)&amp;$B$34&amp;M$3,CertSalary))</f>
        <v>0</v>
      </c>
      <c r="N34" s="528">
        <f t="array" ref="N34">SUM(IF(CertFund&amp;CertProg&amp;CertObj&amp;CertGrant=RIGHT(LEFT($A$2,7),2)&amp;LEFT($A$33,4)&amp;$B$34&amp;N$3,CertSalary))</f>
        <v>0</v>
      </c>
      <c r="O34" s="528">
        <f t="array" ref="O34">SUM(IF(CertFund&amp;CertProg&amp;CertObj&amp;CertGrant=RIGHT(LEFT($A$2,7),2)&amp;LEFT($A$33,4)&amp;$B$34&amp;O$3,CertSalary))</f>
        <v>0</v>
      </c>
      <c r="P34" s="528">
        <f t="array" ref="P34">SUM(IF(CertFund&amp;CertProg&amp;CertObj&amp;CertGrant=RIGHT(LEFT($A$2,7),2)&amp;LEFT($A$33,4)&amp;$B$34&amp;P$3,CertSalary))</f>
        <v>0</v>
      </c>
      <c r="Q34" s="528">
        <f t="array" ref="Q34">SUM(IF(CertFund&amp;CertProg&amp;CertObj&amp;CertGrant=RIGHT(LEFT($A$2,7),2)&amp;LEFT($A$33,4)&amp;$B$34&amp;Q$3,CertSalary))</f>
        <v>0</v>
      </c>
      <c r="R34" s="528">
        <f t="array" ref="R34">SUM(IF(CertFund&amp;CertProg&amp;CertObj&amp;CertGrant=RIGHT(LEFT($A$2,7),2)&amp;LEFT($A$33,4)&amp;$B$34&amp;R$3,CertSalary))</f>
        <v>0</v>
      </c>
      <c r="S34" s="528">
        <f t="array" ref="S34">SUM(IF(CertFund&amp;CertProg&amp;CertObj&amp;CertGrant=RIGHT(LEFT($A$2,7),2)&amp;LEFT($A$33,4)&amp;$B$34&amp;S$3,CertSalary))</f>
        <v>0</v>
      </c>
      <c r="T34" s="528">
        <f t="array" ref="T34">SUM(IF(CertFund&amp;CertProg&amp;CertObj&amp;CertGrant=RIGHT(LEFT($A$2,7),2)&amp;LEFT($A$33,4)&amp;$B$34&amp;T$3,CertSalary))</f>
        <v>0</v>
      </c>
      <c r="U34" s="528">
        <f t="array" ref="U34">SUM(IF(CertFund&amp;CertProg&amp;CertObj&amp;CertGrant=RIGHT(LEFT($A$2,7),2)&amp;LEFT($A$33,4)&amp;$B$34&amp;U$3,CertSalary))</f>
        <v>0</v>
      </c>
      <c r="V34" s="528">
        <f t="array" ref="V34">SUM(IF(CertFund&amp;CertProg&amp;CertObj&amp;CertGrant=RIGHT(LEFT($A$2,7),2)&amp;LEFT($A$33,4)&amp;$B$34&amp;V$3,CertSalary))</f>
        <v>0</v>
      </c>
      <c r="W34" s="528">
        <f t="array" ref="W34">SUM(IF(CertFund&amp;CertProg&amp;CertObj&amp;CertGrant=RIGHT(LEFT($A$2,7),2)&amp;LEFT($A$33,4)&amp;$B$34&amp;W$3,CertSalary))</f>
        <v>0</v>
      </c>
      <c r="X34" s="347">
        <f t="shared" ref="X34:X42" si="6">SUM(D34:W34)</f>
        <v>0</v>
      </c>
    </row>
    <row r="35" spans="1:24" ht="11.25" x14ac:dyDescent="0.2">
      <c r="A35" s="340" t="s">
        <v>1437</v>
      </c>
      <c r="B35" s="588" t="s">
        <v>1577</v>
      </c>
      <c r="C35" s="312" t="s">
        <v>510</v>
      </c>
      <c r="D35" s="147">
        <v>0</v>
      </c>
      <c r="E35" s="147">
        <v>0</v>
      </c>
      <c r="F35" s="147">
        <v>0</v>
      </c>
      <c r="G35" s="147">
        <v>0</v>
      </c>
      <c r="H35" s="147">
        <v>0</v>
      </c>
      <c r="I35" s="147">
        <v>0</v>
      </c>
      <c r="J35" s="147">
        <v>0</v>
      </c>
      <c r="K35" s="147">
        <v>0</v>
      </c>
      <c r="L35" s="147">
        <v>0</v>
      </c>
      <c r="M35" s="147">
        <v>0</v>
      </c>
      <c r="N35" s="147">
        <v>0</v>
      </c>
      <c r="O35" s="147">
        <v>0</v>
      </c>
      <c r="P35" s="147">
        <v>0</v>
      </c>
      <c r="Q35" s="147">
        <v>0</v>
      </c>
      <c r="R35" s="147">
        <v>0</v>
      </c>
      <c r="S35" s="147">
        <v>0</v>
      </c>
      <c r="T35" s="147">
        <v>0</v>
      </c>
      <c r="U35" s="147">
        <v>0</v>
      </c>
      <c r="V35" s="147">
        <v>0</v>
      </c>
      <c r="W35" s="147">
        <v>0</v>
      </c>
      <c r="X35" s="341">
        <f t="shared" si="6"/>
        <v>0</v>
      </c>
    </row>
    <row r="36" spans="1:24" ht="11.25" x14ac:dyDescent="0.2">
      <c r="A36" s="340">
        <v>6</v>
      </c>
      <c r="B36" s="588" t="s">
        <v>1578</v>
      </c>
      <c r="C36" s="312" t="s">
        <v>76</v>
      </c>
      <c r="D36" s="528">
        <f t="array" ref="D36">SUM(IF(CertFund&amp;CertProg&amp;CertObj&amp;CertGrant=RIGHT(LEFT($A$2,7),2)&amp;LEFT($A$33,4)&amp;$B$34&amp;D$3,CertBen))</f>
        <v>0</v>
      </c>
      <c r="E36" s="528">
        <f t="array" ref="E36">SUM(IF(CertFund&amp;CertProg&amp;CertObj&amp;CertGrant=RIGHT(LEFT($A$2,7),2)&amp;LEFT($A$33,4)&amp;$B$34&amp;E$3,CertBen))</f>
        <v>0</v>
      </c>
      <c r="F36" s="528">
        <f t="array" ref="F36">SUM(IF(CertFund&amp;CertProg&amp;CertObj&amp;CertGrant=RIGHT(LEFT($A$2,7),2)&amp;LEFT($A$33,4)&amp;$B$34&amp;F$3,CertBen))</f>
        <v>0</v>
      </c>
      <c r="G36" s="528">
        <f t="array" ref="G36">SUM(IF(CertFund&amp;CertProg&amp;CertObj&amp;CertGrant=RIGHT(LEFT($A$2,7),2)&amp;LEFT($A$33,4)&amp;$B$34&amp;G$3,CertBen))</f>
        <v>0</v>
      </c>
      <c r="H36" s="528">
        <f t="array" ref="H36">SUM(IF(CertFund&amp;CertProg&amp;CertObj&amp;CertGrant=RIGHT(LEFT($A$2,7),2)&amp;LEFT($A$33,4)&amp;$B$34&amp;H$3,CertBen))</f>
        <v>0</v>
      </c>
      <c r="I36" s="528">
        <f t="array" ref="I36">SUM(IF(CertFund&amp;CertProg&amp;CertObj&amp;CertGrant=RIGHT(LEFT($A$2,7),2)&amp;LEFT($A$33,4)&amp;$B$34&amp;I$3,CertBen))</f>
        <v>0</v>
      </c>
      <c r="J36" s="528">
        <f t="array" ref="J36">SUM(IF(CertFund&amp;CertProg&amp;CertObj&amp;CertGrant=RIGHT(LEFT($A$2,7),2)&amp;LEFT($A$33,4)&amp;$B$34&amp;J$3,CertBen))</f>
        <v>0</v>
      </c>
      <c r="K36" s="528">
        <f t="array" ref="K36">SUM(IF(CertFund&amp;CertProg&amp;CertObj&amp;CertGrant=RIGHT(LEFT($A$2,7),2)&amp;LEFT($A$33,4)&amp;$B$34&amp;K$3,CertBen))</f>
        <v>0</v>
      </c>
      <c r="L36" s="528">
        <f t="array" ref="L36">SUM(IF(CertFund&amp;CertProg&amp;CertObj&amp;CertGrant=RIGHT(LEFT($A$2,7),2)&amp;LEFT($A$33,4)&amp;$B$34&amp;L$3,CertBen))</f>
        <v>0</v>
      </c>
      <c r="M36" s="528">
        <f t="array" ref="M36">SUM(IF(CertFund&amp;CertProg&amp;CertObj&amp;CertGrant=RIGHT(LEFT($A$2,7),2)&amp;LEFT($A$33,4)&amp;$B$34&amp;M$3,CertBen))</f>
        <v>0</v>
      </c>
      <c r="N36" s="528">
        <f t="array" ref="N36">SUM(IF(CertFund&amp;CertProg&amp;CertObj&amp;CertGrant=RIGHT(LEFT($A$2,7),2)&amp;LEFT($A$33,4)&amp;$B$34&amp;N$3,CertBen))</f>
        <v>0</v>
      </c>
      <c r="O36" s="528">
        <f t="array" ref="O36">SUM(IF(CertFund&amp;CertProg&amp;CertObj&amp;CertGrant=RIGHT(LEFT($A$2,7),2)&amp;LEFT($A$33,4)&amp;$B$34&amp;O$3,CertBen))</f>
        <v>0</v>
      </c>
      <c r="P36" s="528">
        <f t="array" ref="P36">SUM(IF(CertFund&amp;CertProg&amp;CertObj&amp;CertGrant=RIGHT(LEFT($A$2,7),2)&amp;LEFT($A$33,4)&amp;$B$34&amp;P$3,CertBen))</f>
        <v>0</v>
      </c>
      <c r="Q36" s="528">
        <f t="array" ref="Q36">SUM(IF(CertFund&amp;CertProg&amp;CertObj&amp;CertGrant=RIGHT(LEFT($A$2,7),2)&amp;LEFT($A$33,4)&amp;$B$34&amp;Q$3,CertBen))</f>
        <v>0</v>
      </c>
      <c r="R36" s="528">
        <f t="array" ref="R36">SUM(IF(CertFund&amp;CertProg&amp;CertObj&amp;CertGrant=RIGHT(LEFT($A$2,7),2)&amp;LEFT($A$33,4)&amp;$B$34&amp;R$3,CertBen))</f>
        <v>0</v>
      </c>
      <c r="S36" s="528">
        <f t="array" ref="S36">SUM(IF(CertFund&amp;CertProg&amp;CertObj&amp;CertGrant=RIGHT(LEFT($A$2,7),2)&amp;LEFT($A$33,4)&amp;$B$34&amp;S$3,CertBen))</f>
        <v>0</v>
      </c>
      <c r="T36" s="528">
        <f t="array" ref="T36">SUM(IF(CertFund&amp;CertProg&amp;CertObj&amp;CertGrant=RIGHT(LEFT($A$2,7),2)&amp;LEFT($A$33,4)&amp;$B$34&amp;T$3,CertBen))</f>
        <v>0</v>
      </c>
      <c r="U36" s="528">
        <f t="array" ref="U36">SUM(IF(CertFund&amp;CertProg&amp;CertObj&amp;CertGrant=RIGHT(LEFT($A$2,7),2)&amp;LEFT($A$33,4)&amp;$B$34&amp;U$3,CertBen))</f>
        <v>0</v>
      </c>
      <c r="V36" s="528">
        <f t="array" ref="V36">SUM(IF(CertFund&amp;CertProg&amp;CertObj&amp;CertGrant=RIGHT(LEFT($A$2,7),2)&amp;LEFT($A$33,4)&amp;$B$34&amp;V$3,CertBen))</f>
        <v>0</v>
      </c>
      <c r="W36" s="528">
        <f t="array" ref="W36">SUM(IF(CertFund&amp;CertProg&amp;CertObj&amp;CertGrant=RIGHT(LEFT($A$2,7),2)&amp;LEFT($A$33,4)&amp;$B$34&amp;W$3,CertBen))</f>
        <v>0</v>
      </c>
      <c r="X36" s="341">
        <f t="shared" si="6"/>
        <v>0</v>
      </c>
    </row>
    <row r="37" spans="1:24" ht="11.25" x14ac:dyDescent="0.2">
      <c r="A37" s="340" t="s">
        <v>1438</v>
      </c>
      <c r="B37" s="588" t="s">
        <v>1578</v>
      </c>
      <c r="C37" s="312" t="s">
        <v>511</v>
      </c>
      <c r="D37" s="590">
        <v>0</v>
      </c>
      <c r="E37" s="590">
        <v>0</v>
      </c>
      <c r="F37" s="590">
        <v>0</v>
      </c>
      <c r="G37" s="590">
        <v>0</v>
      </c>
      <c r="H37" s="590">
        <v>0</v>
      </c>
      <c r="I37" s="590">
        <v>0</v>
      </c>
      <c r="J37" s="590">
        <v>0</v>
      </c>
      <c r="K37" s="590">
        <v>0</v>
      </c>
      <c r="L37" s="590">
        <v>0</v>
      </c>
      <c r="M37" s="590">
        <v>0</v>
      </c>
      <c r="N37" s="590">
        <v>0</v>
      </c>
      <c r="O37" s="590">
        <v>0</v>
      </c>
      <c r="P37" s="590">
        <v>0</v>
      </c>
      <c r="Q37" s="590">
        <v>0</v>
      </c>
      <c r="R37" s="590">
        <v>0</v>
      </c>
      <c r="S37" s="590">
        <v>0</v>
      </c>
      <c r="T37" s="590">
        <v>0</v>
      </c>
      <c r="U37" s="590">
        <v>0</v>
      </c>
      <c r="V37" s="590">
        <v>0</v>
      </c>
      <c r="W37" s="590">
        <v>0</v>
      </c>
      <c r="X37" s="341">
        <f t="shared" si="6"/>
        <v>0</v>
      </c>
    </row>
    <row r="38" spans="1:24" ht="11.25" x14ac:dyDescent="0.2">
      <c r="A38" s="340">
        <v>7</v>
      </c>
      <c r="B38" s="188" t="s">
        <v>1579</v>
      </c>
      <c r="C38" s="329" t="s">
        <v>273</v>
      </c>
      <c r="D38" s="590">
        <v>0</v>
      </c>
      <c r="E38" s="590">
        <v>0</v>
      </c>
      <c r="F38" s="590">
        <v>0</v>
      </c>
      <c r="G38" s="590">
        <v>0</v>
      </c>
      <c r="H38" s="590">
        <v>0</v>
      </c>
      <c r="I38" s="590">
        <v>0</v>
      </c>
      <c r="J38" s="590">
        <v>0</v>
      </c>
      <c r="K38" s="590">
        <v>0</v>
      </c>
      <c r="L38" s="591">
        <v>0</v>
      </c>
      <c r="M38" s="591">
        <v>0</v>
      </c>
      <c r="N38" s="591">
        <v>0</v>
      </c>
      <c r="O38" s="591">
        <v>0</v>
      </c>
      <c r="P38" s="591">
        <v>0</v>
      </c>
      <c r="Q38" s="591">
        <v>0</v>
      </c>
      <c r="R38" s="591">
        <v>0</v>
      </c>
      <c r="S38" s="591">
        <v>0</v>
      </c>
      <c r="T38" s="591">
        <v>0</v>
      </c>
      <c r="U38" s="591">
        <v>0</v>
      </c>
      <c r="V38" s="591">
        <v>0</v>
      </c>
      <c r="W38" s="591">
        <v>0</v>
      </c>
      <c r="X38" s="341">
        <f t="shared" si="6"/>
        <v>0</v>
      </c>
    </row>
    <row r="39" spans="1:24" ht="11.25" x14ac:dyDescent="0.2">
      <c r="A39" s="340">
        <v>8</v>
      </c>
      <c r="B39" s="188" t="s">
        <v>1581</v>
      </c>
      <c r="C39" s="329" t="s">
        <v>274</v>
      </c>
      <c r="D39" s="590">
        <v>0</v>
      </c>
      <c r="E39" s="590">
        <v>0</v>
      </c>
      <c r="F39" s="590">
        <v>0</v>
      </c>
      <c r="G39" s="590">
        <v>0</v>
      </c>
      <c r="H39" s="590">
        <v>0</v>
      </c>
      <c r="I39" s="590">
        <v>0</v>
      </c>
      <c r="J39" s="590">
        <v>0</v>
      </c>
      <c r="K39" s="590">
        <v>0</v>
      </c>
      <c r="L39" s="591">
        <v>0</v>
      </c>
      <c r="M39" s="591">
        <v>0</v>
      </c>
      <c r="N39" s="591">
        <v>0</v>
      </c>
      <c r="O39" s="591">
        <v>0</v>
      </c>
      <c r="P39" s="591">
        <v>0</v>
      </c>
      <c r="Q39" s="591">
        <v>0</v>
      </c>
      <c r="R39" s="591">
        <v>0</v>
      </c>
      <c r="S39" s="591">
        <v>0</v>
      </c>
      <c r="T39" s="591">
        <v>0</v>
      </c>
      <c r="U39" s="591">
        <v>0</v>
      </c>
      <c r="V39" s="591">
        <v>0</v>
      </c>
      <c r="W39" s="591">
        <v>0</v>
      </c>
      <c r="X39" s="341">
        <f t="shared" si="6"/>
        <v>0</v>
      </c>
    </row>
    <row r="40" spans="1:24" ht="11.25" x14ac:dyDescent="0.2">
      <c r="A40" s="340">
        <v>9</v>
      </c>
      <c r="B40" s="188" t="s">
        <v>1582</v>
      </c>
      <c r="C40" s="329" t="s">
        <v>275</v>
      </c>
      <c r="D40" s="590">
        <v>0</v>
      </c>
      <c r="E40" s="590">
        <v>0</v>
      </c>
      <c r="F40" s="590">
        <v>0</v>
      </c>
      <c r="G40" s="590">
        <v>0</v>
      </c>
      <c r="H40" s="590">
        <v>0</v>
      </c>
      <c r="I40" s="590">
        <v>0</v>
      </c>
      <c r="J40" s="590">
        <v>0</v>
      </c>
      <c r="K40" s="590">
        <v>0</v>
      </c>
      <c r="L40" s="591">
        <v>0</v>
      </c>
      <c r="M40" s="591">
        <v>0</v>
      </c>
      <c r="N40" s="591">
        <v>0</v>
      </c>
      <c r="O40" s="591">
        <v>0</v>
      </c>
      <c r="P40" s="591">
        <v>0</v>
      </c>
      <c r="Q40" s="591">
        <v>0</v>
      </c>
      <c r="R40" s="591">
        <v>0</v>
      </c>
      <c r="S40" s="591">
        <v>0</v>
      </c>
      <c r="T40" s="591">
        <v>0</v>
      </c>
      <c r="U40" s="591">
        <v>0</v>
      </c>
      <c r="V40" s="591">
        <v>0</v>
      </c>
      <c r="W40" s="591">
        <v>0</v>
      </c>
      <c r="X40" s="341">
        <f t="shared" si="6"/>
        <v>0</v>
      </c>
    </row>
    <row r="41" spans="1:24" ht="11.25" x14ac:dyDescent="0.2">
      <c r="A41" s="350">
        <v>10</v>
      </c>
      <c r="B41" s="188" t="s">
        <v>1584</v>
      </c>
      <c r="C41" s="327" t="s">
        <v>276</v>
      </c>
      <c r="D41" s="590">
        <v>0</v>
      </c>
      <c r="E41" s="590">
        <v>0</v>
      </c>
      <c r="F41" s="590">
        <v>0</v>
      </c>
      <c r="G41" s="590">
        <v>0</v>
      </c>
      <c r="H41" s="590">
        <v>0</v>
      </c>
      <c r="I41" s="590">
        <v>0</v>
      </c>
      <c r="J41" s="590">
        <v>0</v>
      </c>
      <c r="K41" s="590">
        <v>0</v>
      </c>
      <c r="L41" s="591">
        <v>0</v>
      </c>
      <c r="M41" s="591">
        <v>0</v>
      </c>
      <c r="N41" s="591">
        <v>0</v>
      </c>
      <c r="O41" s="591">
        <v>0</v>
      </c>
      <c r="P41" s="591">
        <v>0</v>
      </c>
      <c r="Q41" s="591">
        <v>0</v>
      </c>
      <c r="R41" s="591">
        <v>0</v>
      </c>
      <c r="S41" s="591">
        <v>0</v>
      </c>
      <c r="T41" s="591">
        <v>0</v>
      </c>
      <c r="U41" s="591">
        <v>0</v>
      </c>
      <c r="V41" s="591">
        <v>0</v>
      </c>
      <c r="W41" s="591">
        <v>0</v>
      </c>
      <c r="X41" s="341">
        <f t="shared" si="6"/>
        <v>0</v>
      </c>
    </row>
    <row r="42" spans="1:24" ht="11.25" x14ac:dyDescent="0.2">
      <c r="A42" s="340">
        <v>11</v>
      </c>
      <c r="C42" s="346" t="s">
        <v>1628</v>
      </c>
      <c r="D42" s="347">
        <f>SUM(D34:D41)</f>
        <v>0</v>
      </c>
      <c r="E42" s="347">
        <f t="shared" ref="E42:W42" si="7">SUM(E34:E41)</f>
        <v>0</v>
      </c>
      <c r="F42" s="347">
        <f t="shared" si="7"/>
        <v>0</v>
      </c>
      <c r="G42" s="347">
        <f t="shared" si="7"/>
        <v>0</v>
      </c>
      <c r="H42" s="347">
        <f t="shared" si="7"/>
        <v>0</v>
      </c>
      <c r="I42" s="347">
        <f t="shared" si="7"/>
        <v>0</v>
      </c>
      <c r="J42" s="347">
        <f t="shared" si="7"/>
        <v>0</v>
      </c>
      <c r="K42" s="347">
        <f t="shared" si="7"/>
        <v>0</v>
      </c>
      <c r="L42" s="347">
        <f t="shared" si="7"/>
        <v>0</v>
      </c>
      <c r="M42" s="347">
        <f t="shared" si="7"/>
        <v>0</v>
      </c>
      <c r="N42" s="347">
        <f t="shared" si="7"/>
        <v>0</v>
      </c>
      <c r="O42" s="347">
        <f t="shared" si="7"/>
        <v>0</v>
      </c>
      <c r="P42" s="347">
        <f t="shared" si="7"/>
        <v>0</v>
      </c>
      <c r="Q42" s="347">
        <f t="shared" si="7"/>
        <v>0</v>
      </c>
      <c r="R42" s="347">
        <f t="shared" si="7"/>
        <v>0</v>
      </c>
      <c r="S42" s="347">
        <f t="shared" si="7"/>
        <v>0</v>
      </c>
      <c r="T42" s="347">
        <f t="shared" si="7"/>
        <v>0</v>
      </c>
      <c r="U42" s="347">
        <f t="shared" si="7"/>
        <v>0</v>
      </c>
      <c r="V42" s="347">
        <f t="shared" si="7"/>
        <v>0</v>
      </c>
      <c r="W42" s="347">
        <f t="shared" si="7"/>
        <v>0</v>
      </c>
      <c r="X42" s="341">
        <f t="shared" si="6"/>
        <v>0</v>
      </c>
    </row>
    <row r="43" spans="1:24" ht="11.25" x14ac:dyDescent="0.2">
      <c r="A43" s="371" t="s">
        <v>1434</v>
      </c>
      <c r="B43" s="369"/>
      <c r="C43" s="348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</row>
    <row r="44" spans="1:24" ht="11.25" x14ac:dyDescent="0.2">
      <c r="A44" s="340">
        <v>5</v>
      </c>
      <c r="B44" s="588" t="s">
        <v>1577</v>
      </c>
      <c r="C44" s="312" t="s">
        <v>228</v>
      </c>
      <c r="D44" s="528">
        <f t="array" ref="D44">SUM(IF(CertFund&amp;CertProg&amp;CertObj&amp;CertGrant=RIGHT(LEFT($A$2,7),2)&amp;LEFT($A$43,4)&amp;$B$44&amp;D$3,CertSalary))</f>
        <v>0</v>
      </c>
      <c r="E44" s="528">
        <f t="array" ref="E44">SUM(IF(CertFund&amp;CertProg&amp;CertObj&amp;CertGrant=RIGHT(LEFT($A$2,7),2)&amp;LEFT($A$43,4)&amp;$B$44&amp;E$3,CertSalary))</f>
        <v>0</v>
      </c>
      <c r="F44" s="528">
        <f t="array" ref="F44">SUM(IF(CertFund&amp;CertProg&amp;CertObj&amp;CertGrant=RIGHT(LEFT($A$2,7),2)&amp;LEFT($A$43,4)&amp;$B$44&amp;F$3,CertSalary))</f>
        <v>0</v>
      </c>
      <c r="G44" s="528">
        <f t="array" ref="G44">SUM(IF(CertFund&amp;CertProg&amp;CertObj&amp;CertGrant=RIGHT(LEFT($A$2,7),2)&amp;LEFT($A$43,4)&amp;$B$44&amp;G$3,CertSalary))</f>
        <v>0</v>
      </c>
      <c r="H44" s="528">
        <f t="array" ref="H44">SUM(IF(CertFund&amp;CertProg&amp;CertObj&amp;CertGrant=RIGHT(LEFT($A$2,7),2)&amp;LEFT($A$43,4)&amp;$B$44&amp;H$3,CertSalary))</f>
        <v>0</v>
      </c>
      <c r="I44" s="528">
        <f t="array" ref="I44">SUM(IF(CertFund&amp;CertProg&amp;CertObj&amp;CertGrant=RIGHT(LEFT($A$2,7),2)&amp;LEFT($A$43,4)&amp;$B$44&amp;I$3,CertSalary))</f>
        <v>0</v>
      </c>
      <c r="J44" s="528">
        <f t="array" ref="J44">SUM(IF(CertFund&amp;CertProg&amp;CertObj&amp;CertGrant=RIGHT(LEFT($A$2,7),2)&amp;LEFT($A$43,4)&amp;$B$44&amp;J$3,CertSalary))</f>
        <v>0</v>
      </c>
      <c r="K44" s="528">
        <f t="array" ref="K44">SUM(IF(CertFund&amp;CertProg&amp;CertObj&amp;CertGrant=RIGHT(LEFT($A$2,7),2)&amp;LEFT($A$43,4)&amp;$B$44&amp;K$3,CertSalary))</f>
        <v>0</v>
      </c>
      <c r="L44" s="528">
        <f t="array" ref="L44">SUM(IF(CertFund&amp;CertProg&amp;CertObj&amp;CertGrant=RIGHT(LEFT($A$2,7),2)&amp;LEFT($A$43,4)&amp;$B$44&amp;L$3,CertSalary))</f>
        <v>0</v>
      </c>
      <c r="M44" s="528">
        <f t="array" ref="M44">SUM(IF(CertFund&amp;CertProg&amp;CertObj&amp;CertGrant=RIGHT(LEFT($A$2,7),2)&amp;LEFT($A$43,4)&amp;$B$44&amp;M$3,CertSalary))</f>
        <v>0</v>
      </c>
      <c r="N44" s="528">
        <f t="array" ref="N44">SUM(IF(CertFund&amp;CertProg&amp;CertObj&amp;CertGrant=RIGHT(LEFT($A$2,7),2)&amp;LEFT($A$43,4)&amp;$B$44&amp;N$3,CertSalary))</f>
        <v>0</v>
      </c>
      <c r="O44" s="528">
        <f t="array" ref="O44">SUM(IF(CertFund&amp;CertProg&amp;CertObj&amp;CertGrant=RIGHT(LEFT($A$2,7),2)&amp;LEFT($A$43,4)&amp;$B$44&amp;O$3,CertSalary))</f>
        <v>0</v>
      </c>
      <c r="P44" s="528">
        <f t="array" ref="P44">SUM(IF(CertFund&amp;CertProg&amp;CertObj&amp;CertGrant=RIGHT(LEFT($A$2,7),2)&amp;LEFT($A$43,4)&amp;$B$44&amp;P$3,CertSalary))</f>
        <v>0</v>
      </c>
      <c r="Q44" s="528">
        <f t="array" ref="Q44">SUM(IF(CertFund&amp;CertProg&amp;CertObj&amp;CertGrant=RIGHT(LEFT($A$2,7),2)&amp;LEFT($A$43,4)&amp;$B$44&amp;Q$3,CertSalary))</f>
        <v>0</v>
      </c>
      <c r="R44" s="528">
        <f t="array" ref="R44">SUM(IF(CertFund&amp;CertProg&amp;CertObj&amp;CertGrant=RIGHT(LEFT($A$2,7),2)&amp;LEFT($A$43,4)&amp;$B$44&amp;R$3,CertSalary))</f>
        <v>0</v>
      </c>
      <c r="S44" s="528">
        <f t="array" ref="S44">SUM(IF(CertFund&amp;CertProg&amp;CertObj&amp;CertGrant=RIGHT(LEFT($A$2,7),2)&amp;LEFT($A$43,4)&amp;$B$44&amp;S$3,CertSalary))</f>
        <v>0</v>
      </c>
      <c r="T44" s="528">
        <f t="array" ref="T44">SUM(IF(CertFund&amp;CertProg&amp;CertObj&amp;CertGrant=RIGHT(LEFT($A$2,7),2)&amp;LEFT($A$43,4)&amp;$B$44&amp;T$3,CertSalary))</f>
        <v>0</v>
      </c>
      <c r="U44" s="528">
        <f t="array" ref="U44">SUM(IF(CertFund&amp;CertProg&amp;CertObj&amp;CertGrant=RIGHT(LEFT($A$2,7),2)&amp;LEFT($A$43,4)&amp;$B$44&amp;U$3,CertSalary))</f>
        <v>0</v>
      </c>
      <c r="V44" s="528">
        <f t="array" ref="V44">SUM(IF(CertFund&amp;CertProg&amp;CertObj&amp;CertGrant=RIGHT(LEFT($A$2,7),2)&amp;LEFT($A$43,4)&amp;$B$44&amp;V$3,CertSalary))</f>
        <v>0</v>
      </c>
      <c r="W44" s="528">
        <f t="array" ref="W44">SUM(IF(CertFund&amp;CertProg&amp;CertObj&amp;CertGrant=RIGHT(LEFT($A$2,7),2)&amp;LEFT($A$43,4)&amp;$B$44&amp;W$3,CertSalary))</f>
        <v>0</v>
      </c>
      <c r="X44" s="347">
        <f t="shared" ref="X44:X52" si="8">SUM(D44:W44)</f>
        <v>0</v>
      </c>
    </row>
    <row r="45" spans="1:24" ht="11.25" x14ac:dyDescent="0.2">
      <c r="A45" s="340" t="s">
        <v>1437</v>
      </c>
      <c r="B45" s="588" t="s">
        <v>1577</v>
      </c>
      <c r="C45" s="312" t="s">
        <v>510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47">
        <v>0</v>
      </c>
      <c r="T45" s="147">
        <v>0</v>
      </c>
      <c r="U45" s="147">
        <v>0</v>
      </c>
      <c r="V45" s="147">
        <v>0</v>
      </c>
      <c r="W45" s="147">
        <v>0</v>
      </c>
      <c r="X45" s="341">
        <f t="shared" si="8"/>
        <v>0</v>
      </c>
    </row>
    <row r="46" spans="1:24" ht="11.25" x14ac:dyDescent="0.2">
      <c r="A46" s="340">
        <v>6</v>
      </c>
      <c r="B46" s="588" t="s">
        <v>1578</v>
      </c>
      <c r="C46" s="312" t="s">
        <v>76</v>
      </c>
      <c r="D46" s="528">
        <f t="array" ref="D46">SUM(IF(CertFund&amp;CertProg&amp;CertObj&amp;CertGrant=RIGHT(LEFT($A$2,7),2)&amp;LEFT($A$43,4)&amp;$B$44&amp;D$3,CertBen))</f>
        <v>0</v>
      </c>
      <c r="E46" s="528">
        <f t="array" ref="E46">SUM(IF(CertFund&amp;CertProg&amp;CertObj&amp;CertGrant=RIGHT(LEFT($A$2,7),2)&amp;LEFT($A$43,4)&amp;$B$44&amp;E$3,CertBen))</f>
        <v>0</v>
      </c>
      <c r="F46" s="528">
        <f t="array" ref="F46">SUM(IF(CertFund&amp;CertProg&amp;CertObj&amp;CertGrant=RIGHT(LEFT($A$2,7),2)&amp;LEFT($A$43,4)&amp;$B$44&amp;F$3,CertBen))</f>
        <v>0</v>
      </c>
      <c r="G46" s="528">
        <f t="array" ref="G46">SUM(IF(CertFund&amp;CertProg&amp;CertObj&amp;CertGrant=RIGHT(LEFT($A$2,7),2)&amp;LEFT($A$43,4)&amp;$B$44&amp;G$3,CertBen))</f>
        <v>0</v>
      </c>
      <c r="H46" s="528">
        <f t="array" ref="H46">SUM(IF(CertFund&amp;CertProg&amp;CertObj&amp;CertGrant=RIGHT(LEFT($A$2,7),2)&amp;LEFT($A$43,4)&amp;$B$44&amp;H$3,CertBen))</f>
        <v>0</v>
      </c>
      <c r="I46" s="528">
        <f t="array" ref="I46">SUM(IF(CertFund&amp;CertProg&amp;CertObj&amp;CertGrant=RIGHT(LEFT($A$2,7),2)&amp;LEFT($A$43,4)&amp;$B$44&amp;I$3,CertBen))</f>
        <v>0</v>
      </c>
      <c r="J46" s="528">
        <f t="array" ref="J46">SUM(IF(CertFund&amp;CertProg&amp;CertObj&amp;CertGrant=RIGHT(LEFT($A$2,7),2)&amp;LEFT($A$43,4)&amp;$B$44&amp;J$3,CertBen))</f>
        <v>0</v>
      </c>
      <c r="K46" s="528">
        <f t="array" ref="K46">SUM(IF(CertFund&amp;CertProg&amp;CertObj&amp;CertGrant=RIGHT(LEFT($A$2,7),2)&amp;LEFT($A$43,4)&amp;$B$44&amp;K$3,CertBen))</f>
        <v>0</v>
      </c>
      <c r="L46" s="528">
        <f t="array" ref="L46">SUM(IF(CertFund&amp;CertProg&amp;CertObj&amp;CertGrant=RIGHT(LEFT($A$2,7),2)&amp;LEFT($A$43,4)&amp;$B$44&amp;L$3,CertBen))</f>
        <v>0</v>
      </c>
      <c r="M46" s="528">
        <f t="array" ref="M46">SUM(IF(CertFund&amp;CertProg&amp;CertObj&amp;CertGrant=RIGHT(LEFT($A$2,7),2)&amp;LEFT($A$43,4)&amp;$B$44&amp;M$3,CertBen))</f>
        <v>0</v>
      </c>
      <c r="N46" s="528">
        <f t="array" ref="N46">SUM(IF(CertFund&amp;CertProg&amp;CertObj&amp;CertGrant=RIGHT(LEFT($A$2,7),2)&amp;LEFT($A$43,4)&amp;$B$44&amp;N$3,CertBen))</f>
        <v>0</v>
      </c>
      <c r="O46" s="528">
        <f t="array" ref="O46">SUM(IF(CertFund&amp;CertProg&amp;CertObj&amp;CertGrant=RIGHT(LEFT($A$2,7),2)&amp;LEFT($A$43,4)&amp;$B$44&amp;O$3,CertBen))</f>
        <v>0</v>
      </c>
      <c r="P46" s="528">
        <f t="array" ref="P46">SUM(IF(CertFund&amp;CertProg&amp;CertObj&amp;CertGrant=RIGHT(LEFT($A$2,7),2)&amp;LEFT($A$43,4)&amp;$B$44&amp;P$3,CertBen))</f>
        <v>0</v>
      </c>
      <c r="Q46" s="528">
        <f t="array" ref="Q46">SUM(IF(CertFund&amp;CertProg&amp;CertObj&amp;CertGrant=RIGHT(LEFT($A$2,7),2)&amp;LEFT($A$43,4)&amp;$B$44&amp;Q$3,CertBen))</f>
        <v>0</v>
      </c>
      <c r="R46" s="528">
        <f t="array" ref="R46">SUM(IF(CertFund&amp;CertProg&amp;CertObj&amp;CertGrant=RIGHT(LEFT($A$2,7),2)&amp;LEFT($A$43,4)&amp;$B$44&amp;R$3,CertBen))</f>
        <v>0</v>
      </c>
      <c r="S46" s="528">
        <f t="array" ref="S46">SUM(IF(CertFund&amp;CertProg&amp;CertObj&amp;CertGrant=RIGHT(LEFT($A$2,7),2)&amp;LEFT($A$43,4)&amp;$B$44&amp;S$3,CertBen))</f>
        <v>0</v>
      </c>
      <c r="T46" s="528">
        <f t="array" ref="T46">SUM(IF(CertFund&amp;CertProg&amp;CertObj&amp;CertGrant=RIGHT(LEFT($A$2,7),2)&amp;LEFT($A$43,4)&amp;$B$44&amp;T$3,CertBen))</f>
        <v>0</v>
      </c>
      <c r="U46" s="528">
        <f t="array" ref="U46">SUM(IF(CertFund&amp;CertProg&amp;CertObj&amp;CertGrant=RIGHT(LEFT($A$2,7),2)&amp;LEFT($A$43,4)&amp;$B$44&amp;U$3,CertBen))</f>
        <v>0</v>
      </c>
      <c r="V46" s="528">
        <f t="array" ref="V46">SUM(IF(CertFund&amp;CertProg&amp;CertObj&amp;CertGrant=RIGHT(LEFT($A$2,7),2)&amp;LEFT($A$43,4)&amp;$B$44&amp;V$3,CertBen))</f>
        <v>0</v>
      </c>
      <c r="W46" s="528">
        <f t="array" ref="W46">SUM(IF(CertFund&amp;CertProg&amp;CertObj&amp;CertGrant=RIGHT(LEFT($A$2,7),2)&amp;LEFT($A$43,4)&amp;$B$44&amp;W$3,CertBen))</f>
        <v>0</v>
      </c>
      <c r="X46" s="341">
        <f t="shared" si="8"/>
        <v>0</v>
      </c>
    </row>
    <row r="47" spans="1:24" ht="11.25" x14ac:dyDescent="0.2">
      <c r="A47" s="340" t="s">
        <v>1438</v>
      </c>
      <c r="B47" s="588" t="s">
        <v>1578</v>
      </c>
      <c r="C47" s="312" t="s">
        <v>511</v>
      </c>
      <c r="D47" s="590">
        <v>0</v>
      </c>
      <c r="E47" s="590">
        <v>0</v>
      </c>
      <c r="F47" s="590">
        <v>0</v>
      </c>
      <c r="G47" s="590">
        <v>0</v>
      </c>
      <c r="H47" s="590">
        <v>0</v>
      </c>
      <c r="I47" s="590">
        <v>0</v>
      </c>
      <c r="J47" s="590">
        <v>0</v>
      </c>
      <c r="K47" s="590">
        <v>0</v>
      </c>
      <c r="L47" s="590">
        <v>0</v>
      </c>
      <c r="M47" s="590">
        <v>0</v>
      </c>
      <c r="N47" s="590">
        <v>0</v>
      </c>
      <c r="O47" s="590">
        <v>0</v>
      </c>
      <c r="P47" s="590">
        <v>0</v>
      </c>
      <c r="Q47" s="590">
        <v>0</v>
      </c>
      <c r="R47" s="590">
        <v>0</v>
      </c>
      <c r="S47" s="590">
        <v>0</v>
      </c>
      <c r="T47" s="590">
        <v>0</v>
      </c>
      <c r="U47" s="590">
        <v>0</v>
      </c>
      <c r="V47" s="590">
        <v>0</v>
      </c>
      <c r="W47" s="590">
        <v>0</v>
      </c>
      <c r="X47" s="341">
        <f t="shared" si="8"/>
        <v>0</v>
      </c>
    </row>
    <row r="48" spans="1:24" ht="11.25" x14ac:dyDescent="0.2">
      <c r="A48" s="340">
        <v>7</v>
      </c>
      <c r="B48" s="188" t="s">
        <v>1579</v>
      </c>
      <c r="C48" s="329" t="s">
        <v>273</v>
      </c>
      <c r="D48" s="590">
        <v>0</v>
      </c>
      <c r="E48" s="590">
        <v>0</v>
      </c>
      <c r="F48" s="590">
        <v>0</v>
      </c>
      <c r="G48" s="590">
        <v>0</v>
      </c>
      <c r="H48" s="590">
        <v>0</v>
      </c>
      <c r="I48" s="590">
        <v>0</v>
      </c>
      <c r="J48" s="590">
        <v>0</v>
      </c>
      <c r="K48" s="590">
        <v>0</v>
      </c>
      <c r="L48" s="591">
        <v>0</v>
      </c>
      <c r="M48" s="591">
        <v>0</v>
      </c>
      <c r="N48" s="591">
        <v>0</v>
      </c>
      <c r="O48" s="591">
        <v>0</v>
      </c>
      <c r="P48" s="591">
        <v>0</v>
      </c>
      <c r="Q48" s="591">
        <v>0</v>
      </c>
      <c r="R48" s="591">
        <v>0</v>
      </c>
      <c r="S48" s="591">
        <v>0</v>
      </c>
      <c r="T48" s="591">
        <v>0</v>
      </c>
      <c r="U48" s="591">
        <v>0</v>
      </c>
      <c r="V48" s="591">
        <v>0</v>
      </c>
      <c r="W48" s="591">
        <v>0</v>
      </c>
      <c r="X48" s="341">
        <f t="shared" si="8"/>
        <v>0</v>
      </c>
    </row>
    <row r="49" spans="1:24" ht="11.25" x14ac:dyDescent="0.2">
      <c r="A49" s="340">
        <v>8</v>
      </c>
      <c r="B49" s="188" t="s">
        <v>1581</v>
      </c>
      <c r="C49" s="329" t="s">
        <v>274</v>
      </c>
      <c r="D49" s="590">
        <v>0</v>
      </c>
      <c r="E49" s="590">
        <v>0</v>
      </c>
      <c r="F49" s="590">
        <v>0</v>
      </c>
      <c r="G49" s="590">
        <v>0</v>
      </c>
      <c r="H49" s="590">
        <v>0</v>
      </c>
      <c r="I49" s="590">
        <v>0</v>
      </c>
      <c r="J49" s="590">
        <v>0</v>
      </c>
      <c r="K49" s="590">
        <v>0</v>
      </c>
      <c r="L49" s="591">
        <v>0</v>
      </c>
      <c r="M49" s="591">
        <v>0</v>
      </c>
      <c r="N49" s="591">
        <v>0</v>
      </c>
      <c r="O49" s="591">
        <v>0</v>
      </c>
      <c r="P49" s="591">
        <v>0</v>
      </c>
      <c r="Q49" s="591">
        <v>0</v>
      </c>
      <c r="R49" s="591">
        <v>0</v>
      </c>
      <c r="S49" s="591">
        <v>0</v>
      </c>
      <c r="T49" s="591">
        <v>0</v>
      </c>
      <c r="U49" s="591">
        <v>0</v>
      </c>
      <c r="V49" s="591">
        <v>0</v>
      </c>
      <c r="W49" s="591">
        <v>0</v>
      </c>
      <c r="X49" s="341">
        <f t="shared" si="8"/>
        <v>0</v>
      </c>
    </row>
    <row r="50" spans="1:24" ht="11.25" x14ac:dyDescent="0.2">
      <c r="A50" s="340">
        <v>9</v>
      </c>
      <c r="B50" s="188" t="s">
        <v>1582</v>
      </c>
      <c r="C50" s="329" t="s">
        <v>275</v>
      </c>
      <c r="D50" s="590">
        <v>0</v>
      </c>
      <c r="E50" s="590">
        <v>0</v>
      </c>
      <c r="F50" s="590">
        <v>0</v>
      </c>
      <c r="G50" s="590">
        <v>0</v>
      </c>
      <c r="H50" s="590">
        <v>0</v>
      </c>
      <c r="I50" s="590">
        <v>0</v>
      </c>
      <c r="J50" s="590">
        <v>0</v>
      </c>
      <c r="K50" s="590">
        <v>0</v>
      </c>
      <c r="L50" s="591">
        <v>0</v>
      </c>
      <c r="M50" s="591">
        <v>0</v>
      </c>
      <c r="N50" s="591">
        <v>0</v>
      </c>
      <c r="O50" s="591">
        <v>0</v>
      </c>
      <c r="P50" s="591">
        <v>0</v>
      </c>
      <c r="Q50" s="591">
        <v>0</v>
      </c>
      <c r="R50" s="591">
        <v>0</v>
      </c>
      <c r="S50" s="591">
        <v>0</v>
      </c>
      <c r="T50" s="591">
        <v>0</v>
      </c>
      <c r="U50" s="591">
        <v>0</v>
      </c>
      <c r="V50" s="591">
        <v>0</v>
      </c>
      <c r="W50" s="591">
        <v>0</v>
      </c>
      <c r="X50" s="341">
        <f t="shared" si="8"/>
        <v>0</v>
      </c>
    </row>
    <row r="51" spans="1:24" ht="11.25" x14ac:dyDescent="0.2">
      <c r="A51" s="350">
        <v>10</v>
      </c>
      <c r="B51" s="188" t="s">
        <v>1584</v>
      </c>
      <c r="C51" s="327" t="s">
        <v>276</v>
      </c>
      <c r="D51" s="590">
        <v>0</v>
      </c>
      <c r="E51" s="590">
        <v>0</v>
      </c>
      <c r="F51" s="590">
        <v>0</v>
      </c>
      <c r="G51" s="590">
        <v>0</v>
      </c>
      <c r="H51" s="590">
        <v>0</v>
      </c>
      <c r="I51" s="590">
        <v>0</v>
      </c>
      <c r="J51" s="590">
        <v>0</v>
      </c>
      <c r="K51" s="590">
        <v>0</v>
      </c>
      <c r="L51" s="591">
        <v>0</v>
      </c>
      <c r="M51" s="591">
        <v>0</v>
      </c>
      <c r="N51" s="591">
        <v>0</v>
      </c>
      <c r="O51" s="591">
        <v>0</v>
      </c>
      <c r="P51" s="591">
        <v>0</v>
      </c>
      <c r="Q51" s="591">
        <v>0</v>
      </c>
      <c r="R51" s="591">
        <v>0</v>
      </c>
      <c r="S51" s="591">
        <v>0</v>
      </c>
      <c r="T51" s="591">
        <v>0</v>
      </c>
      <c r="U51" s="591">
        <v>0</v>
      </c>
      <c r="V51" s="591">
        <v>0</v>
      </c>
      <c r="W51" s="591">
        <v>0</v>
      </c>
      <c r="X51" s="341">
        <f t="shared" si="8"/>
        <v>0</v>
      </c>
    </row>
    <row r="52" spans="1:24" ht="11.25" x14ac:dyDescent="0.2">
      <c r="A52" s="340">
        <v>11</v>
      </c>
      <c r="C52" s="346" t="s">
        <v>1629</v>
      </c>
      <c r="D52" s="347">
        <f>SUM(D44:D51)</f>
        <v>0</v>
      </c>
      <c r="E52" s="347">
        <f t="shared" ref="E52:W52" si="9">SUM(E44:E51)</f>
        <v>0</v>
      </c>
      <c r="F52" s="347">
        <f t="shared" si="9"/>
        <v>0</v>
      </c>
      <c r="G52" s="347">
        <f t="shared" si="9"/>
        <v>0</v>
      </c>
      <c r="H52" s="347">
        <f t="shared" si="9"/>
        <v>0</v>
      </c>
      <c r="I52" s="347">
        <f t="shared" si="9"/>
        <v>0</v>
      </c>
      <c r="J52" s="347">
        <f t="shared" si="9"/>
        <v>0</v>
      </c>
      <c r="K52" s="347">
        <f t="shared" si="9"/>
        <v>0</v>
      </c>
      <c r="L52" s="347">
        <f t="shared" si="9"/>
        <v>0</v>
      </c>
      <c r="M52" s="347">
        <f t="shared" si="9"/>
        <v>0</v>
      </c>
      <c r="N52" s="347">
        <f t="shared" si="9"/>
        <v>0</v>
      </c>
      <c r="O52" s="347">
        <f t="shared" si="9"/>
        <v>0</v>
      </c>
      <c r="P52" s="347">
        <f t="shared" si="9"/>
        <v>0</v>
      </c>
      <c r="Q52" s="347">
        <f t="shared" si="9"/>
        <v>0</v>
      </c>
      <c r="R52" s="347">
        <f t="shared" si="9"/>
        <v>0</v>
      </c>
      <c r="S52" s="347">
        <f t="shared" si="9"/>
        <v>0</v>
      </c>
      <c r="T52" s="347">
        <f t="shared" si="9"/>
        <v>0</v>
      </c>
      <c r="U52" s="347">
        <f t="shared" si="9"/>
        <v>0</v>
      </c>
      <c r="V52" s="347">
        <f t="shared" si="9"/>
        <v>0</v>
      </c>
      <c r="W52" s="347">
        <f t="shared" si="9"/>
        <v>0</v>
      </c>
      <c r="X52" s="341">
        <f t="shared" si="8"/>
        <v>0</v>
      </c>
    </row>
    <row r="53" spans="1:24" ht="11.25" x14ac:dyDescent="0.2">
      <c r="A53" s="371" t="s">
        <v>1096</v>
      </c>
      <c r="B53" s="677"/>
      <c r="C53" s="348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</row>
    <row r="54" spans="1:24" ht="11.25" x14ac:dyDescent="0.2">
      <c r="A54" s="340">
        <v>5</v>
      </c>
      <c r="B54" s="588" t="s">
        <v>1577</v>
      </c>
      <c r="C54" s="312" t="s">
        <v>228</v>
      </c>
      <c r="D54" s="528">
        <f t="array" ref="D54">SUM(IF(CertFund&amp;CertProg&amp;CertObj&amp;CertGrant=RIGHT(LEFT($A$2,7),2)&amp;LEFT($A$53,4)&amp;$B$54&amp;D$3,CertSalary))</f>
        <v>0</v>
      </c>
      <c r="E54" s="528">
        <f t="array" ref="E54">SUM(IF(CertFund&amp;CertProg&amp;CertObj&amp;CertGrant=RIGHT(LEFT($A$2,7),2)&amp;LEFT($A$53,4)&amp;$B$54&amp;E$3,CertSalary))</f>
        <v>0</v>
      </c>
      <c r="F54" s="528">
        <f t="array" ref="F54">SUM(IF(CertFund&amp;CertProg&amp;CertObj&amp;CertGrant=RIGHT(LEFT($A$2,7),2)&amp;LEFT($A$53,4)&amp;$B$54&amp;F$3,CertSalary))</f>
        <v>0</v>
      </c>
      <c r="G54" s="528">
        <f t="array" ref="G54">SUM(IF(CertFund&amp;CertProg&amp;CertObj&amp;CertGrant=RIGHT(LEFT($A$2,7),2)&amp;LEFT($A$53,4)&amp;$B$54&amp;G$3,CertSalary))</f>
        <v>0</v>
      </c>
      <c r="H54" s="528">
        <f t="array" ref="H54">SUM(IF(CertFund&amp;CertProg&amp;CertObj&amp;CertGrant=RIGHT(LEFT($A$2,7),2)&amp;LEFT($A$53,4)&amp;$B$54&amp;H$3,CertSalary))</f>
        <v>0</v>
      </c>
      <c r="I54" s="528">
        <f t="array" ref="I54">SUM(IF(CertFund&amp;CertProg&amp;CertObj&amp;CertGrant=RIGHT(LEFT($A$2,7),2)&amp;LEFT($A$53,4)&amp;$B$54&amp;I$3,CertSalary))</f>
        <v>0</v>
      </c>
      <c r="J54" s="528">
        <f t="array" ref="J54">SUM(IF(CertFund&amp;CertProg&amp;CertObj&amp;CertGrant=RIGHT(LEFT($A$2,7),2)&amp;LEFT($A$53,4)&amp;$B$54&amp;J$3,CertSalary))</f>
        <v>0</v>
      </c>
      <c r="K54" s="528">
        <f t="array" ref="K54">SUM(IF(CertFund&amp;CertProg&amp;CertObj&amp;CertGrant=RIGHT(LEFT($A$2,7),2)&amp;LEFT($A$53,4)&amp;$B$54&amp;K$3,CertSalary))</f>
        <v>0</v>
      </c>
      <c r="L54" s="528">
        <f t="array" ref="L54">SUM(IF(CertFund&amp;CertProg&amp;CertObj&amp;CertGrant=RIGHT(LEFT($A$2,7),2)&amp;LEFT($A$53,4)&amp;$B$54&amp;L$3,CertSalary))</f>
        <v>0</v>
      </c>
      <c r="M54" s="528">
        <f t="array" ref="M54">SUM(IF(CertFund&amp;CertProg&amp;CertObj&amp;CertGrant=RIGHT(LEFT($A$2,7),2)&amp;LEFT($A$53,4)&amp;$B$54&amp;M$3,CertSalary))</f>
        <v>0</v>
      </c>
      <c r="N54" s="528">
        <f t="array" ref="N54">SUM(IF(CertFund&amp;CertProg&amp;CertObj&amp;CertGrant=RIGHT(LEFT($A$2,7),2)&amp;LEFT($A$53,4)&amp;$B$54&amp;N$3,CertSalary))</f>
        <v>0</v>
      </c>
      <c r="O54" s="528">
        <f t="array" ref="O54">SUM(IF(CertFund&amp;CertProg&amp;CertObj&amp;CertGrant=RIGHT(LEFT($A$2,7),2)&amp;LEFT($A$53,4)&amp;$B$54&amp;O$3,CertSalary))</f>
        <v>0</v>
      </c>
      <c r="P54" s="528">
        <f t="array" ref="P54">SUM(IF(CertFund&amp;CertProg&amp;CertObj&amp;CertGrant=RIGHT(LEFT($A$2,7),2)&amp;LEFT($A$53,4)&amp;$B$54&amp;P$3,CertSalary))</f>
        <v>0</v>
      </c>
      <c r="Q54" s="528">
        <f t="array" ref="Q54">SUM(IF(CertFund&amp;CertProg&amp;CertObj&amp;CertGrant=RIGHT(LEFT($A$2,7),2)&amp;LEFT($A$53,4)&amp;$B$54&amp;Q$3,CertSalary))</f>
        <v>0</v>
      </c>
      <c r="R54" s="528">
        <f t="array" ref="R54">SUM(IF(CertFund&amp;CertProg&amp;CertObj&amp;CertGrant=RIGHT(LEFT($A$2,7),2)&amp;LEFT($A$53,4)&amp;$B$54&amp;R$3,CertSalary))</f>
        <v>0</v>
      </c>
      <c r="S54" s="528">
        <f t="array" ref="S54">SUM(IF(CertFund&amp;CertProg&amp;CertObj&amp;CertGrant=RIGHT(LEFT($A$2,7),2)&amp;LEFT($A$53,4)&amp;$B$54&amp;S$3,CertSalary))</f>
        <v>0</v>
      </c>
      <c r="T54" s="528">
        <f t="array" ref="T54">SUM(IF(CertFund&amp;CertProg&amp;CertObj&amp;CertGrant=RIGHT(LEFT($A$2,7),2)&amp;LEFT($A$53,4)&amp;$B$54&amp;T$3,CertSalary))</f>
        <v>0</v>
      </c>
      <c r="U54" s="528">
        <f t="array" ref="U54">SUM(IF(CertFund&amp;CertProg&amp;CertObj&amp;CertGrant=RIGHT(LEFT($A$2,7),2)&amp;LEFT($A$53,4)&amp;$B$54&amp;U$3,CertSalary))</f>
        <v>0</v>
      </c>
      <c r="V54" s="528">
        <f t="array" ref="V54">SUM(IF(CertFund&amp;CertProg&amp;CertObj&amp;CertGrant=RIGHT(LEFT($A$2,7),2)&amp;LEFT($A$53,4)&amp;$B$54&amp;V$3,CertSalary))</f>
        <v>0</v>
      </c>
      <c r="W54" s="528">
        <f t="array" ref="W54">SUM(IF(CertFund&amp;CertProg&amp;CertObj&amp;CertGrant=RIGHT(LEFT($A$2,7),2)&amp;LEFT($A$53,4)&amp;$B$54&amp;W$3,CertSalary))</f>
        <v>0</v>
      </c>
      <c r="X54" s="347">
        <f t="shared" ref="X54:X62" si="10">SUM(D54:W54)</f>
        <v>0</v>
      </c>
    </row>
    <row r="55" spans="1:24" ht="11.25" x14ac:dyDescent="0.2">
      <c r="A55" s="340" t="s">
        <v>1437</v>
      </c>
      <c r="B55" s="588" t="s">
        <v>1577</v>
      </c>
      <c r="C55" s="312" t="s">
        <v>510</v>
      </c>
      <c r="D55" s="147">
        <v>0</v>
      </c>
      <c r="E55" s="147">
        <v>0</v>
      </c>
      <c r="F55" s="147">
        <v>0</v>
      </c>
      <c r="G55" s="147">
        <v>0</v>
      </c>
      <c r="H55" s="147">
        <v>0</v>
      </c>
      <c r="I55" s="147">
        <v>0</v>
      </c>
      <c r="J55" s="147">
        <v>0</v>
      </c>
      <c r="K55" s="147">
        <v>0</v>
      </c>
      <c r="L55" s="147">
        <v>0</v>
      </c>
      <c r="M55" s="147">
        <v>0</v>
      </c>
      <c r="N55" s="147">
        <v>0</v>
      </c>
      <c r="O55" s="147">
        <v>0</v>
      </c>
      <c r="P55" s="147">
        <v>0</v>
      </c>
      <c r="Q55" s="147">
        <v>0</v>
      </c>
      <c r="R55" s="147">
        <v>0</v>
      </c>
      <c r="S55" s="147">
        <v>0</v>
      </c>
      <c r="T55" s="147">
        <v>0</v>
      </c>
      <c r="U55" s="147">
        <v>0</v>
      </c>
      <c r="V55" s="147">
        <v>0</v>
      </c>
      <c r="W55" s="147">
        <v>0</v>
      </c>
      <c r="X55" s="341">
        <f t="shared" si="10"/>
        <v>0</v>
      </c>
    </row>
    <row r="56" spans="1:24" ht="11.25" x14ac:dyDescent="0.2">
      <c r="A56" s="340">
        <v>6</v>
      </c>
      <c r="B56" s="588" t="s">
        <v>1578</v>
      </c>
      <c r="C56" s="312" t="s">
        <v>76</v>
      </c>
      <c r="D56" s="528">
        <f t="array" ref="D56">SUM(IF(CertFund&amp;CertProg&amp;CertObj&amp;CertGrant=RIGHT(LEFT($A$2,7),2)&amp;LEFT($A$53,4)&amp;$B$54&amp;D$3,CertBen))</f>
        <v>0</v>
      </c>
      <c r="E56" s="528">
        <f t="array" ref="E56">SUM(IF(CertFund&amp;CertProg&amp;CertObj&amp;CertGrant=RIGHT(LEFT($A$2,7),2)&amp;LEFT($A$53,4)&amp;$B$54&amp;E$3,CertBen))</f>
        <v>0</v>
      </c>
      <c r="F56" s="528">
        <f t="array" ref="F56">SUM(IF(CertFund&amp;CertProg&amp;CertObj&amp;CertGrant=RIGHT(LEFT($A$2,7),2)&amp;LEFT($A$53,4)&amp;$B$54&amp;F$3,CertBen))</f>
        <v>0</v>
      </c>
      <c r="G56" s="528">
        <f t="array" ref="G56">SUM(IF(CertFund&amp;CertProg&amp;CertObj&amp;CertGrant=RIGHT(LEFT($A$2,7),2)&amp;LEFT($A$53,4)&amp;$B$54&amp;G$3,CertBen))</f>
        <v>0</v>
      </c>
      <c r="H56" s="528">
        <f t="array" ref="H56">SUM(IF(CertFund&amp;CertProg&amp;CertObj&amp;CertGrant=RIGHT(LEFT($A$2,7),2)&amp;LEFT($A$53,4)&amp;$B$54&amp;H$3,CertBen))</f>
        <v>0</v>
      </c>
      <c r="I56" s="528">
        <f t="array" ref="I56">SUM(IF(CertFund&amp;CertProg&amp;CertObj&amp;CertGrant=RIGHT(LEFT($A$2,7),2)&amp;LEFT($A$53,4)&amp;$B$54&amp;I$3,CertBen))</f>
        <v>0</v>
      </c>
      <c r="J56" s="528">
        <f t="array" ref="J56">SUM(IF(CertFund&amp;CertProg&amp;CertObj&amp;CertGrant=RIGHT(LEFT($A$2,7),2)&amp;LEFT($A$53,4)&amp;$B$54&amp;J$3,CertBen))</f>
        <v>0</v>
      </c>
      <c r="K56" s="528">
        <f t="array" ref="K56">SUM(IF(CertFund&amp;CertProg&amp;CertObj&amp;CertGrant=RIGHT(LEFT($A$2,7),2)&amp;LEFT($A$53,4)&amp;$B$54&amp;K$3,CertBen))</f>
        <v>0</v>
      </c>
      <c r="L56" s="528">
        <f t="array" ref="L56">SUM(IF(CertFund&amp;CertProg&amp;CertObj&amp;CertGrant=RIGHT(LEFT($A$2,7),2)&amp;LEFT($A$53,4)&amp;$B$54&amp;L$3,CertBen))</f>
        <v>0</v>
      </c>
      <c r="M56" s="528">
        <f t="array" ref="M56">SUM(IF(CertFund&amp;CertProg&amp;CertObj&amp;CertGrant=RIGHT(LEFT($A$2,7),2)&amp;LEFT($A$53,4)&amp;$B$54&amp;M$3,CertBen))</f>
        <v>0</v>
      </c>
      <c r="N56" s="528">
        <f t="array" ref="N56">SUM(IF(CertFund&amp;CertProg&amp;CertObj&amp;CertGrant=RIGHT(LEFT($A$2,7),2)&amp;LEFT($A$53,4)&amp;$B$54&amp;N$3,CertBen))</f>
        <v>0</v>
      </c>
      <c r="O56" s="528">
        <f t="array" ref="O56">SUM(IF(CertFund&amp;CertProg&amp;CertObj&amp;CertGrant=RIGHT(LEFT($A$2,7),2)&amp;LEFT($A$53,4)&amp;$B$54&amp;O$3,CertBen))</f>
        <v>0</v>
      </c>
      <c r="P56" s="528">
        <f t="array" ref="P56">SUM(IF(CertFund&amp;CertProg&amp;CertObj&amp;CertGrant=RIGHT(LEFT($A$2,7),2)&amp;LEFT($A$53,4)&amp;$B$54&amp;P$3,CertBen))</f>
        <v>0</v>
      </c>
      <c r="Q56" s="528">
        <f t="array" ref="Q56">SUM(IF(CertFund&amp;CertProg&amp;CertObj&amp;CertGrant=RIGHT(LEFT($A$2,7),2)&amp;LEFT($A$53,4)&amp;$B$54&amp;Q$3,CertBen))</f>
        <v>0</v>
      </c>
      <c r="R56" s="528">
        <f t="array" ref="R56">SUM(IF(CertFund&amp;CertProg&amp;CertObj&amp;CertGrant=RIGHT(LEFT($A$2,7),2)&amp;LEFT($A$53,4)&amp;$B$54&amp;R$3,CertBen))</f>
        <v>0</v>
      </c>
      <c r="S56" s="528">
        <f t="array" ref="S56">SUM(IF(CertFund&amp;CertProg&amp;CertObj&amp;CertGrant=RIGHT(LEFT($A$2,7),2)&amp;LEFT($A$53,4)&amp;$B$54&amp;S$3,CertBen))</f>
        <v>0</v>
      </c>
      <c r="T56" s="528">
        <f t="array" ref="T56">SUM(IF(CertFund&amp;CertProg&amp;CertObj&amp;CertGrant=RIGHT(LEFT($A$2,7),2)&amp;LEFT($A$53,4)&amp;$B$54&amp;T$3,CertBen))</f>
        <v>0</v>
      </c>
      <c r="U56" s="528">
        <f t="array" ref="U56">SUM(IF(CertFund&amp;CertProg&amp;CertObj&amp;CertGrant=RIGHT(LEFT($A$2,7),2)&amp;LEFT($A$53,4)&amp;$B$54&amp;U$3,CertBen))</f>
        <v>0</v>
      </c>
      <c r="V56" s="528">
        <f t="array" ref="V56">SUM(IF(CertFund&amp;CertProg&amp;CertObj&amp;CertGrant=RIGHT(LEFT($A$2,7),2)&amp;LEFT($A$53,4)&amp;$B$54&amp;V$3,CertBen))</f>
        <v>0</v>
      </c>
      <c r="W56" s="528">
        <f t="array" ref="W56">SUM(IF(CertFund&amp;CertProg&amp;CertObj&amp;CertGrant=RIGHT(LEFT($A$2,7),2)&amp;LEFT($A$53,4)&amp;$B$54&amp;W$3,CertBen))</f>
        <v>0</v>
      </c>
      <c r="X56" s="341">
        <f t="shared" si="10"/>
        <v>0</v>
      </c>
    </row>
    <row r="57" spans="1:24" ht="11.25" x14ac:dyDescent="0.2">
      <c r="A57" s="340" t="s">
        <v>1438</v>
      </c>
      <c r="B57" s="588" t="s">
        <v>1578</v>
      </c>
      <c r="C57" s="312" t="s">
        <v>511</v>
      </c>
      <c r="D57" s="590">
        <v>0</v>
      </c>
      <c r="E57" s="590">
        <v>0</v>
      </c>
      <c r="F57" s="590">
        <v>0</v>
      </c>
      <c r="G57" s="590">
        <v>0</v>
      </c>
      <c r="H57" s="590">
        <v>0</v>
      </c>
      <c r="I57" s="590">
        <v>0</v>
      </c>
      <c r="J57" s="590">
        <v>0</v>
      </c>
      <c r="K57" s="590">
        <v>0</v>
      </c>
      <c r="L57" s="590">
        <v>0</v>
      </c>
      <c r="M57" s="590">
        <v>0</v>
      </c>
      <c r="N57" s="590">
        <v>0</v>
      </c>
      <c r="O57" s="590">
        <v>0</v>
      </c>
      <c r="P57" s="590">
        <v>0</v>
      </c>
      <c r="Q57" s="590">
        <v>0</v>
      </c>
      <c r="R57" s="590">
        <v>0</v>
      </c>
      <c r="S57" s="590">
        <v>0</v>
      </c>
      <c r="T57" s="590">
        <v>0</v>
      </c>
      <c r="U57" s="590">
        <v>0</v>
      </c>
      <c r="V57" s="590">
        <v>0</v>
      </c>
      <c r="W57" s="590">
        <v>0</v>
      </c>
      <c r="X57" s="341">
        <f t="shared" si="10"/>
        <v>0</v>
      </c>
    </row>
    <row r="58" spans="1:24" ht="11.25" x14ac:dyDescent="0.2">
      <c r="A58" s="340">
        <v>7</v>
      </c>
      <c r="B58" s="188" t="s">
        <v>1579</v>
      </c>
      <c r="C58" s="329" t="s">
        <v>273</v>
      </c>
      <c r="D58" s="590">
        <v>0</v>
      </c>
      <c r="E58" s="590">
        <v>0</v>
      </c>
      <c r="F58" s="590">
        <v>0</v>
      </c>
      <c r="G58" s="590">
        <v>0</v>
      </c>
      <c r="H58" s="590">
        <v>0</v>
      </c>
      <c r="I58" s="590">
        <v>0</v>
      </c>
      <c r="J58" s="590">
        <v>0</v>
      </c>
      <c r="K58" s="590">
        <v>0</v>
      </c>
      <c r="L58" s="591">
        <v>0</v>
      </c>
      <c r="M58" s="591">
        <v>0</v>
      </c>
      <c r="N58" s="591">
        <v>0</v>
      </c>
      <c r="O58" s="591">
        <v>0</v>
      </c>
      <c r="P58" s="591">
        <v>0</v>
      </c>
      <c r="Q58" s="591">
        <v>0</v>
      </c>
      <c r="R58" s="591">
        <v>0</v>
      </c>
      <c r="S58" s="591">
        <v>0</v>
      </c>
      <c r="T58" s="591">
        <v>0</v>
      </c>
      <c r="U58" s="591">
        <v>0</v>
      </c>
      <c r="V58" s="591">
        <v>0</v>
      </c>
      <c r="W58" s="591">
        <v>0</v>
      </c>
      <c r="X58" s="341">
        <f t="shared" si="10"/>
        <v>0</v>
      </c>
    </row>
    <row r="59" spans="1:24" ht="11.25" x14ac:dyDescent="0.2">
      <c r="A59" s="340">
        <v>8</v>
      </c>
      <c r="B59" s="188" t="s">
        <v>1581</v>
      </c>
      <c r="C59" s="329" t="s">
        <v>274</v>
      </c>
      <c r="D59" s="590">
        <v>0</v>
      </c>
      <c r="E59" s="590">
        <v>0</v>
      </c>
      <c r="F59" s="590">
        <v>0</v>
      </c>
      <c r="G59" s="590">
        <v>0</v>
      </c>
      <c r="H59" s="590">
        <v>0</v>
      </c>
      <c r="I59" s="590">
        <v>0</v>
      </c>
      <c r="J59" s="590">
        <v>0</v>
      </c>
      <c r="K59" s="590">
        <v>0</v>
      </c>
      <c r="L59" s="591">
        <v>0</v>
      </c>
      <c r="M59" s="591">
        <v>0</v>
      </c>
      <c r="N59" s="591">
        <v>0</v>
      </c>
      <c r="O59" s="591">
        <v>0</v>
      </c>
      <c r="P59" s="591">
        <v>0</v>
      </c>
      <c r="Q59" s="591">
        <v>0</v>
      </c>
      <c r="R59" s="591">
        <v>0</v>
      </c>
      <c r="S59" s="591">
        <v>0</v>
      </c>
      <c r="T59" s="591">
        <v>0</v>
      </c>
      <c r="U59" s="591">
        <v>0</v>
      </c>
      <c r="V59" s="591">
        <v>0</v>
      </c>
      <c r="W59" s="591">
        <v>0</v>
      </c>
      <c r="X59" s="341">
        <f t="shared" si="10"/>
        <v>0</v>
      </c>
    </row>
    <row r="60" spans="1:24" ht="11.25" x14ac:dyDescent="0.2">
      <c r="A60" s="340">
        <v>9</v>
      </c>
      <c r="B60" s="188" t="s">
        <v>1582</v>
      </c>
      <c r="C60" s="329" t="s">
        <v>275</v>
      </c>
      <c r="D60" s="590">
        <v>0</v>
      </c>
      <c r="E60" s="590">
        <v>0</v>
      </c>
      <c r="F60" s="590">
        <v>0</v>
      </c>
      <c r="G60" s="590">
        <v>0</v>
      </c>
      <c r="H60" s="590">
        <v>0</v>
      </c>
      <c r="I60" s="590">
        <v>0</v>
      </c>
      <c r="J60" s="590">
        <v>0</v>
      </c>
      <c r="K60" s="590">
        <v>0</v>
      </c>
      <c r="L60" s="591">
        <v>0</v>
      </c>
      <c r="M60" s="591">
        <v>0</v>
      </c>
      <c r="N60" s="591">
        <v>0</v>
      </c>
      <c r="O60" s="591">
        <v>0</v>
      </c>
      <c r="P60" s="591">
        <v>0</v>
      </c>
      <c r="Q60" s="591">
        <v>0</v>
      </c>
      <c r="R60" s="591">
        <v>0</v>
      </c>
      <c r="S60" s="591">
        <v>0</v>
      </c>
      <c r="T60" s="591">
        <v>0</v>
      </c>
      <c r="U60" s="591">
        <v>0</v>
      </c>
      <c r="V60" s="591">
        <v>0</v>
      </c>
      <c r="W60" s="591">
        <v>0</v>
      </c>
      <c r="X60" s="341">
        <f t="shared" si="10"/>
        <v>0</v>
      </c>
    </row>
    <row r="61" spans="1:24" ht="11.25" x14ac:dyDescent="0.2">
      <c r="A61" s="350">
        <v>10</v>
      </c>
      <c r="B61" s="188" t="s">
        <v>1584</v>
      </c>
      <c r="C61" s="327" t="s">
        <v>276</v>
      </c>
      <c r="D61" s="590">
        <v>0</v>
      </c>
      <c r="E61" s="590">
        <v>0</v>
      </c>
      <c r="F61" s="590">
        <v>0</v>
      </c>
      <c r="G61" s="590">
        <v>0</v>
      </c>
      <c r="H61" s="590">
        <v>0</v>
      </c>
      <c r="I61" s="590">
        <v>0</v>
      </c>
      <c r="J61" s="590">
        <v>0</v>
      </c>
      <c r="K61" s="590">
        <v>0</v>
      </c>
      <c r="L61" s="591">
        <v>0</v>
      </c>
      <c r="M61" s="591">
        <v>0</v>
      </c>
      <c r="N61" s="591">
        <v>0</v>
      </c>
      <c r="O61" s="591">
        <v>0</v>
      </c>
      <c r="P61" s="591">
        <v>0</v>
      </c>
      <c r="Q61" s="591">
        <v>0</v>
      </c>
      <c r="R61" s="591">
        <v>0</v>
      </c>
      <c r="S61" s="591">
        <v>0</v>
      </c>
      <c r="T61" s="591">
        <v>0</v>
      </c>
      <c r="U61" s="591">
        <v>0</v>
      </c>
      <c r="V61" s="591">
        <v>0</v>
      </c>
      <c r="W61" s="591">
        <v>0</v>
      </c>
      <c r="X61" s="341">
        <f t="shared" si="10"/>
        <v>0</v>
      </c>
    </row>
    <row r="62" spans="1:24" ht="11.25" x14ac:dyDescent="0.2">
      <c r="A62" s="340">
        <v>11</v>
      </c>
      <c r="C62" s="346" t="s">
        <v>1630</v>
      </c>
      <c r="D62" s="347">
        <f>SUM(D54:D61)</f>
        <v>0</v>
      </c>
      <c r="E62" s="347">
        <f t="shared" ref="E62:W62" si="11">SUM(E54:E61)</f>
        <v>0</v>
      </c>
      <c r="F62" s="347">
        <f t="shared" si="11"/>
        <v>0</v>
      </c>
      <c r="G62" s="347">
        <f t="shared" si="11"/>
        <v>0</v>
      </c>
      <c r="H62" s="347">
        <f t="shared" si="11"/>
        <v>0</v>
      </c>
      <c r="I62" s="347">
        <f t="shared" si="11"/>
        <v>0</v>
      </c>
      <c r="J62" s="347">
        <f t="shared" si="11"/>
        <v>0</v>
      </c>
      <c r="K62" s="347">
        <f t="shared" si="11"/>
        <v>0</v>
      </c>
      <c r="L62" s="347">
        <f t="shared" si="11"/>
        <v>0</v>
      </c>
      <c r="M62" s="347">
        <f t="shared" si="11"/>
        <v>0</v>
      </c>
      <c r="N62" s="347">
        <f t="shared" si="11"/>
        <v>0</v>
      </c>
      <c r="O62" s="347">
        <f t="shared" si="11"/>
        <v>0</v>
      </c>
      <c r="P62" s="347">
        <f t="shared" si="11"/>
        <v>0</v>
      </c>
      <c r="Q62" s="347">
        <f t="shared" si="11"/>
        <v>0</v>
      </c>
      <c r="R62" s="347">
        <f t="shared" si="11"/>
        <v>0</v>
      </c>
      <c r="S62" s="347">
        <f t="shared" si="11"/>
        <v>0</v>
      </c>
      <c r="T62" s="347">
        <f t="shared" si="11"/>
        <v>0</v>
      </c>
      <c r="U62" s="347">
        <f t="shared" si="11"/>
        <v>0</v>
      </c>
      <c r="V62" s="347">
        <f t="shared" si="11"/>
        <v>0</v>
      </c>
      <c r="W62" s="347">
        <f t="shared" si="11"/>
        <v>0</v>
      </c>
      <c r="X62" s="341">
        <f t="shared" si="10"/>
        <v>0</v>
      </c>
    </row>
    <row r="63" spans="1:24" ht="11.25" x14ac:dyDescent="0.2">
      <c r="A63" s="370" t="s">
        <v>641</v>
      </c>
      <c r="B63" s="369"/>
      <c r="C63" s="348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</row>
    <row r="64" spans="1:24" ht="11.25" x14ac:dyDescent="0.2">
      <c r="A64" s="370" t="s">
        <v>642</v>
      </c>
      <c r="B64" s="369"/>
      <c r="C64" s="348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</row>
    <row r="65" spans="1:24" ht="11.25" x14ac:dyDescent="0.2">
      <c r="A65" s="370" t="s">
        <v>656</v>
      </c>
      <c r="B65" s="369"/>
      <c r="C65" s="348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</row>
    <row r="66" spans="1:24" ht="11.25" x14ac:dyDescent="0.2">
      <c r="A66" s="370" t="s">
        <v>658</v>
      </c>
      <c r="B66" s="369"/>
      <c r="C66" s="348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</row>
    <row r="67" spans="1:24" ht="11.25" x14ac:dyDescent="0.2">
      <c r="A67" s="370" t="s">
        <v>660</v>
      </c>
      <c r="B67" s="369"/>
      <c r="C67" s="348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</row>
    <row r="68" spans="1:24" ht="11.25" x14ac:dyDescent="0.2">
      <c r="A68" s="370" t="s">
        <v>662</v>
      </c>
      <c r="B68" s="369"/>
      <c r="C68" s="348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</row>
    <row r="69" spans="1:24" ht="11.25" x14ac:dyDescent="0.2">
      <c r="A69" s="370" t="s">
        <v>667</v>
      </c>
      <c r="B69" s="369"/>
      <c r="C69" s="348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</row>
    <row r="70" spans="1:24" ht="11.25" x14ac:dyDescent="0.2">
      <c r="A70" s="340">
        <v>12</v>
      </c>
      <c r="B70" s="588" t="s">
        <v>1577</v>
      </c>
      <c r="C70" s="312" t="s">
        <v>228</v>
      </c>
      <c r="D70" s="528">
        <f t="array" ref="D70">SUM(IF(CertFund&amp;CertProg&amp;CertObj&amp;CertGrant=RIGHT(LEFT($A$2,7),2)&amp;LEFT($A$63,4)&amp;$B$70&amp;D$3,CertSalary))+SUM(IF(CertFund&amp;CertProg&amp;CertObj&amp;CertGrant=RIGHT(LEFT($A$2,7),2)&amp;LEFT($A$64,4)&amp;$B$70&amp;D$3,CertSalary))+SUM(IF(CertFund&amp;CertProg&amp;CertObj&amp;CertGrant=RIGHT(LEFT($A$2,7),2)&amp;LEFT($A$65,4)&amp;$B$70&amp;D$3,CertSalary))+SUM(IF(CertFund&amp;CertProg&amp;CertObj&amp;CertGrant=RIGHT(LEFT($A$2,7),2)&amp;LEFT($A$66,4)&amp;$B$70&amp;D$3,CertSalary))+SUM(IF(CertFund&amp;CertProg&amp;CertObj&amp;CertGrant=RIGHT(LEFT($A$2,7),2)&amp;LEFT($A$67,4)&amp;$B$70&amp;D$3,CertSalary))+SUM(IF(CertFund&amp;CertProg&amp;CertObj&amp;CertGrant=RIGHT(LEFT($A$2,7),2)&amp;LEFT($A$68,4)&amp;$B$70&amp;D$3,CertSalary))+SUM(IF(CertFund&amp;CertProg&amp;CertObj&amp;CertGrant=RIGHT(LEFT($A$2,7),2)&amp;LEFT($A$69,4)&amp;$B$70&amp;D$3,CertSalary))</f>
        <v>0</v>
      </c>
      <c r="E70" s="528">
        <f t="array" ref="E70">SUM(IF(CertFund&amp;CertProg&amp;CertObj&amp;CertGrant=RIGHT(LEFT($A$2,7),2)&amp;LEFT($A$63,4)&amp;$B$70&amp;E$3,CertSalary))+SUM(IF(CertFund&amp;CertProg&amp;CertObj&amp;CertGrant=RIGHT(LEFT($A$2,7),2)&amp;LEFT($A$64,4)&amp;$B$70&amp;E$3,CertSalary))+SUM(IF(CertFund&amp;CertProg&amp;CertObj&amp;CertGrant=RIGHT(LEFT($A$2,7),2)&amp;LEFT($A$65,4)&amp;$B$70&amp;E$3,CertSalary))+SUM(IF(CertFund&amp;CertProg&amp;CertObj&amp;CertGrant=RIGHT(LEFT($A$2,7),2)&amp;LEFT($A$66,4)&amp;$B$70&amp;E$3,CertSalary))+SUM(IF(CertFund&amp;CertProg&amp;CertObj&amp;CertGrant=RIGHT(LEFT($A$2,7),2)&amp;LEFT($A$67,4)&amp;$B$70&amp;E$3,CertSalary))+SUM(IF(CertFund&amp;CertProg&amp;CertObj&amp;CertGrant=RIGHT(LEFT($A$2,7),2)&amp;LEFT($A$68,4)&amp;$B$70&amp;E$3,CertSalary))+SUM(IF(CertFund&amp;CertProg&amp;CertObj&amp;CertGrant=RIGHT(LEFT($A$2,7),2)&amp;LEFT($A$69,4)&amp;$B$70&amp;E$3,CertSalary))</f>
        <v>0</v>
      </c>
      <c r="F70" s="528">
        <f t="array" ref="F70">SUM(IF(CertFund&amp;CertProg&amp;CertObj&amp;CertGrant=RIGHT(LEFT($A$2,7),2)&amp;LEFT($A$63,4)&amp;$B$70&amp;F$3,CertSalary))+SUM(IF(CertFund&amp;CertProg&amp;CertObj&amp;CertGrant=RIGHT(LEFT($A$2,7),2)&amp;LEFT($A$64,4)&amp;$B$70&amp;F$3,CertSalary))+SUM(IF(CertFund&amp;CertProg&amp;CertObj&amp;CertGrant=RIGHT(LEFT($A$2,7),2)&amp;LEFT($A$65,4)&amp;$B$70&amp;F$3,CertSalary))+SUM(IF(CertFund&amp;CertProg&amp;CertObj&amp;CertGrant=RIGHT(LEFT($A$2,7),2)&amp;LEFT($A$66,4)&amp;$B$70&amp;F$3,CertSalary))+SUM(IF(CertFund&amp;CertProg&amp;CertObj&amp;CertGrant=RIGHT(LEFT($A$2,7),2)&amp;LEFT($A$67,4)&amp;$B$70&amp;F$3,CertSalary))+SUM(IF(CertFund&amp;CertProg&amp;CertObj&amp;CertGrant=RIGHT(LEFT($A$2,7),2)&amp;LEFT($A$68,4)&amp;$B$70&amp;F$3,CertSalary))+SUM(IF(CertFund&amp;CertProg&amp;CertObj&amp;CertGrant=RIGHT(LEFT($A$2,7),2)&amp;LEFT($A$69,4)&amp;$B$70&amp;F$3,CertSalary))</f>
        <v>0</v>
      </c>
      <c r="G70" s="528">
        <f t="array" ref="G70">SUM(IF(CertFund&amp;CertProg&amp;CertObj&amp;CertGrant=RIGHT(LEFT($A$2,7),2)&amp;LEFT($A$63,4)&amp;$B$70&amp;G$3,CertSalary))+SUM(IF(CertFund&amp;CertProg&amp;CertObj&amp;CertGrant=RIGHT(LEFT($A$2,7),2)&amp;LEFT($A$64,4)&amp;$B$70&amp;G$3,CertSalary))+SUM(IF(CertFund&amp;CertProg&amp;CertObj&amp;CertGrant=RIGHT(LEFT($A$2,7),2)&amp;LEFT($A$65,4)&amp;$B$70&amp;G$3,CertSalary))+SUM(IF(CertFund&amp;CertProg&amp;CertObj&amp;CertGrant=RIGHT(LEFT($A$2,7),2)&amp;LEFT($A$66,4)&amp;$B$70&amp;G$3,CertSalary))+SUM(IF(CertFund&amp;CertProg&amp;CertObj&amp;CertGrant=RIGHT(LEFT($A$2,7),2)&amp;LEFT($A$67,4)&amp;$B$70&amp;G$3,CertSalary))+SUM(IF(CertFund&amp;CertProg&amp;CertObj&amp;CertGrant=RIGHT(LEFT($A$2,7),2)&amp;LEFT($A$68,4)&amp;$B$70&amp;G$3,CertSalary))+SUM(IF(CertFund&amp;CertProg&amp;CertObj&amp;CertGrant=RIGHT(LEFT($A$2,7),2)&amp;LEFT($A$69,4)&amp;$B$70&amp;G$3,CertSalary))</f>
        <v>0</v>
      </c>
      <c r="H70" s="528">
        <f t="array" ref="H70">SUM(IF(CertFund&amp;CertProg&amp;CertObj&amp;CertGrant=RIGHT(LEFT($A$2,7),2)&amp;LEFT($A$63,4)&amp;$B$70&amp;H$3,CertSalary))+SUM(IF(CertFund&amp;CertProg&amp;CertObj&amp;CertGrant=RIGHT(LEFT($A$2,7),2)&amp;LEFT($A$64,4)&amp;$B$70&amp;H$3,CertSalary))+SUM(IF(CertFund&amp;CertProg&amp;CertObj&amp;CertGrant=RIGHT(LEFT($A$2,7),2)&amp;LEFT($A$65,4)&amp;$B$70&amp;H$3,CertSalary))+SUM(IF(CertFund&amp;CertProg&amp;CertObj&amp;CertGrant=RIGHT(LEFT($A$2,7),2)&amp;LEFT($A$66,4)&amp;$B$70&amp;H$3,CertSalary))+SUM(IF(CertFund&amp;CertProg&amp;CertObj&amp;CertGrant=RIGHT(LEFT($A$2,7),2)&amp;LEFT($A$67,4)&amp;$B$70&amp;H$3,CertSalary))+SUM(IF(CertFund&amp;CertProg&amp;CertObj&amp;CertGrant=RIGHT(LEFT($A$2,7),2)&amp;LEFT($A$68,4)&amp;$B$70&amp;H$3,CertSalary))+SUM(IF(CertFund&amp;CertProg&amp;CertObj&amp;CertGrant=RIGHT(LEFT($A$2,7),2)&amp;LEFT($A$69,4)&amp;$B$70&amp;H$3,CertSalary))</f>
        <v>0</v>
      </c>
      <c r="I70" s="528">
        <f t="array" ref="I70">SUM(IF(CertFund&amp;CertProg&amp;CertObj&amp;CertGrant=RIGHT(LEFT($A$2,7),2)&amp;LEFT($A$63,4)&amp;$B$70&amp;I$3,CertSalary))+SUM(IF(CertFund&amp;CertProg&amp;CertObj&amp;CertGrant=RIGHT(LEFT($A$2,7),2)&amp;LEFT($A$64,4)&amp;$B$70&amp;I$3,CertSalary))+SUM(IF(CertFund&amp;CertProg&amp;CertObj&amp;CertGrant=RIGHT(LEFT($A$2,7),2)&amp;LEFT($A$65,4)&amp;$B$70&amp;I$3,CertSalary))+SUM(IF(CertFund&amp;CertProg&amp;CertObj&amp;CertGrant=RIGHT(LEFT($A$2,7),2)&amp;LEFT($A$66,4)&amp;$B$70&amp;I$3,CertSalary))+SUM(IF(CertFund&amp;CertProg&amp;CertObj&amp;CertGrant=RIGHT(LEFT($A$2,7),2)&amp;LEFT($A$67,4)&amp;$B$70&amp;I$3,CertSalary))+SUM(IF(CertFund&amp;CertProg&amp;CertObj&amp;CertGrant=RIGHT(LEFT($A$2,7),2)&amp;LEFT($A$68,4)&amp;$B$70&amp;I$3,CertSalary))+SUM(IF(CertFund&amp;CertProg&amp;CertObj&amp;CertGrant=RIGHT(LEFT($A$2,7),2)&amp;LEFT($A$69,4)&amp;$B$70&amp;I$3,CertSalary))</f>
        <v>0</v>
      </c>
      <c r="J70" s="528">
        <f t="array" ref="J70">SUM(IF(CertFund&amp;CertProg&amp;CertObj&amp;CertGrant=RIGHT(LEFT($A$2,7),2)&amp;LEFT($A$63,4)&amp;$B$70&amp;J$3,CertSalary))+SUM(IF(CertFund&amp;CertProg&amp;CertObj&amp;CertGrant=RIGHT(LEFT($A$2,7),2)&amp;LEFT($A$64,4)&amp;$B$70&amp;J$3,CertSalary))+SUM(IF(CertFund&amp;CertProg&amp;CertObj&amp;CertGrant=RIGHT(LEFT($A$2,7),2)&amp;LEFT($A$65,4)&amp;$B$70&amp;J$3,CertSalary))+SUM(IF(CertFund&amp;CertProg&amp;CertObj&amp;CertGrant=RIGHT(LEFT($A$2,7),2)&amp;LEFT($A$66,4)&amp;$B$70&amp;J$3,CertSalary))+SUM(IF(CertFund&amp;CertProg&amp;CertObj&amp;CertGrant=RIGHT(LEFT($A$2,7),2)&amp;LEFT($A$67,4)&amp;$B$70&amp;J$3,CertSalary))+SUM(IF(CertFund&amp;CertProg&amp;CertObj&amp;CertGrant=RIGHT(LEFT($A$2,7),2)&amp;LEFT($A$68,4)&amp;$B$70&amp;J$3,CertSalary))+SUM(IF(CertFund&amp;CertProg&amp;CertObj&amp;CertGrant=RIGHT(LEFT($A$2,7),2)&amp;LEFT($A$69,4)&amp;$B$70&amp;J$3,CertSalary))</f>
        <v>0</v>
      </c>
      <c r="K70" s="528">
        <f t="array" ref="K70">SUM(IF(CertFund&amp;CertProg&amp;CertObj&amp;CertGrant=RIGHT(LEFT($A$2,7),2)&amp;LEFT($A$63,4)&amp;$B$70&amp;K$3,CertSalary))+SUM(IF(CertFund&amp;CertProg&amp;CertObj&amp;CertGrant=RIGHT(LEFT($A$2,7),2)&amp;LEFT($A$64,4)&amp;$B$70&amp;K$3,CertSalary))+SUM(IF(CertFund&amp;CertProg&amp;CertObj&amp;CertGrant=RIGHT(LEFT($A$2,7),2)&amp;LEFT($A$65,4)&amp;$B$70&amp;K$3,CertSalary))+SUM(IF(CertFund&amp;CertProg&amp;CertObj&amp;CertGrant=RIGHT(LEFT($A$2,7),2)&amp;LEFT($A$66,4)&amp;$B$70&amp;K$3,CertSalary))+SUM(IF(CertFund&amp;CertProg&amp;CertObj&amp;CertGrant=RIGHT(LEFT($A$2,7),2)&amp;LEFT($A$67,4)&amp;$B$70&amp;K$3,CertSalary))+SUM(IF(CertFund&amp;CertProg&amp;CertObj&amp;CertGrant=RIGHT(LEFT($A$2,7),2)&amp;LEFT($A$68,4)&amp;$B$70&amp;K$3,CertSalary))+SUM(IF(CertFund&amp;CertProg&amp;CertObj&amp;CertGrant=RIGHT(LEFT($A$2,7),2)&amp;LEFT($A$69,4)&amp;$B$70&amp;K$3,CertSalary))</f>
        <v>0</v>
      </c>
      <c r="L70" s="528">
        <f t="array" ref="L70">SUM(IF(CertFund&amp;CertProg&amp;CertObj&amp;CertGrant=RIGHT(LEFT($A$2,7),2)&amp;LEFT($A$63,4)&amp;$B$70&amp;L$3,CertSalary))+SUM(IF(CertFund&amp;CertProg&amp;CertObj&amp;CertGrant=RIGHT(LEFT($A$2,7),2)&amp;LEFT($A$64,4)&amp;$B$70&amp;L$3,CertSalary))+SUM(IF(CertFund&amp;CertProg&amp;CertObj&amp;CertGrant=RIGHT(LEFT($A$2,7),2)&amp;LEFT($A$65,4)&amp;$B$70&amp;L$3,CertSalary))+SUM(IF(CertFund&amp;CertProg&amp;CertObj&amp;CertGrant=RIGHT(LEFT($A$2,7),2)&amp;LEFT($A$66,4)&amp;$B$70&amp;L$3,CertSalary))+SUM(IF(CertFund&amp;CertProg&amp;CertObj&amp;CertGrant=RIGHT(LEFT($A$2,7),2)&amp;LEFT($A$67,4)&amp;$B$70&amp;L$3,CertSalary))+SUM(IF(CertFund&amp;CertProg&amp;CertObj&amp;CertGrant=RIGHT(LEFT($A$2,7),2)&amp;LEFT($A$68,4)&amp;$B$70&amp;L$3,CertSalary))+SUM(IF(CertFund&amp;CertProg&amp;CertObj&amp;CertGrant=RIGHT(LEFT($A$2,7),2)&amp;LEFT($A$69,4)&amp;$B$70&amp;L$3,CertSalary))</f>
        <v>0</v>
      </c>
      <c r="M70" s="528">
        <f t="array" ref="M70">SUM(IF(CertFund&amp;CertProg&amp;CertObj&amp;CertGrant=RIGHT(LEFT($A$2,7),2)&amp;LEFT($A$63,4)&amp;$B$70&amp;M$3,CertSalary))+SUM(IF(CertFund&amp;CertProg&amp;CertObj&amp;CertGrant=RIGHT(LEFT($A$2,7),2)&amp;LEFT($A$64,4)&amp;$B$70&amp;M$3,CertSalary))+SUM(IF(CertFund&amp;CertProg&amp;CertObj&amp;CertGrant=RIGHT(LEFT($A$2,7),2)&amp;LEFT($A$65,4)&amp;$B$70&amp;M$3,CertSalary))+SUM(IF(CertFund&amp;CertProg&amp;CertObj&amp;CertGrant=RIGHT(LEFT($A$2,7),2)&amp;LEFT($A$66,4)&amp;$B$70&amp;M$3,CertSalary))+SUM(IF(CertFund&amp;CertProg&amp;CertObj&amp;CertGrant=RIGHT(LEFT($A$2,7),2)&amp;LEFT($A$67,4)&amp;$B$70&amp;M$3,CertSalary))+SUM(IF(CertFund&amp;CertProg&amp;CertObj&amp;CertGrant=RIGHT(LEFT($A$2,7),2)&amp;LEFT($A$68,4)&amp;$B$70&amp;M$3,CertSalary))+SUM(IF(CertFund&amp;CertProg&amp;CertObj&amp;CertGrant=RIGHT(LEFT($A$2,7),2)&amp;LEFT($A$69,4)&amp;$B$70&amp;M$3,CertSalary))</f>
        <v>0</v>
      </c>
      <c r="N70" s="528">
        <f t="array" ref="N70">SUM(IF(CertFund&amp;CertProg&amp;CertObj&amp;CertGrant=RIGHT(LEFT($A$2,7),2)&amp;LEFT($A$63,4)&amp;$B$70&amp;N$3,CertSalary))+SUM(IF(CertFund&amp;CertProg&amp;CertObj&amp;CertGrant=RIGHT(LEFT($A$2,7),2)&amp;LEFT($A$64,4)&amp;$B$70&amp;N$3,CertSalary))+SUM(IF(CertFund&amp;CertProg&amp;CertObj&amp;CertGrant=RIGHT(LEFT($A$2,7),2)&amp;LEFT($A$65,4)&amp;$B$70&amp;N$3,CertSalary))+SUM(IF(CertFund&amp;CertProg&amp;CertObj&amp;CertGrant=RIGHT(LEFT($A$2,7),2)&amp;LEFT($A$66,4)&amp;$B$70&amp;N$3,CertSalary))+SUM(IF(CertFund&amp;CertProg&amp;CertObj&amp;CertGrant=RIGHT(LEFT($A$2,7),2)&amp;LEFT($A$67,4)&amp;$B$70&amp;N$3,CertSalary))+SUM(IF(CertFund&amp;CertProg&amp;CertObj&amp;CertGrant=RIGHT(LEFT($A$2,7),2)&amp;LEFT($A$68,4)&amp;$B$70&amp;N$3,CertSalary))+SUM(IF(CertFund&amp;CertProg&amp;CertObj&amp;CertGrant=RIGHT(LEFT($A$2,7),2)&amp;LEFT($A$69,4)&amp;$B$70&amp;N$3,CertSalary))</f>
        <v>0</v>
      </c>
      <c r="O70" s="528">
        <f t="array" ref="O70">SUM(IF(CertFund&amp;CertProg&amp;CertObj&amp;CertGrant=RIGHT(LEFT($A$2,7),2)&amp;LEFT($A$63,4)&amp;$B$70&amp;O$3,CertSalary))+SUM(IF(CertFund&amp;CertProg&amp;CertObj&amp;CertGrant=RIGHT(LEFT($A$2,7),2)&amp;LEFT($A$64,4)&amp;$B$70&amp;O$3,CertSalary))+SUM(IF(CertFund&amp;CertProg&amp;CertObj&amp;CertGrant=RIGHT(LEFT($A$2,7),2)&amp;LEFT($A$65,4)&amp;$B$70&amp;O$3,CertSalary))+SUM(IF(CertFund&amp;CertProg&amp;CertObj&amp;CertGrant=RIGHT(LEFT($A$2,7),2)&amp;LEFT($A$66,4)&amp;$B$70&amp;O$3,CertSalary))+SUM(IF(CertFund&amp;CertProg&amp;CertObj&amp;CertGrant=RIGHT(LEFT($A$2,7),2)&amp;LEFT($A$67,4)&amp;$B$70&amp;O$3,CertSalary))+SUM(IF(CertFund&amp;CertProg&amp;CertObj&amp;CertGrant=RIGHT(LEFT($A$2,7),2)&amp;LEFT($A$68,4)&amp;$B$70&amp;O$3,CertSalary))+SUM(IF(CertFund&amp;CertProg&amp;CertObj&amp;CertGrant=RIGHT(LEFT($A$2,7),2)&amp;LEFT($A$69,4)&amp;$B$70&amp;O$3,CertSalary))</f>
        <v>0</v>
      </c>
      <c r="P70" s="528">
        <f t="array" ref="P70">SUM(IF(CertFund&amp;CertProg&amp;CertObj&amp;CertGrant=RIGHT(LEFT($A$2,7),2)&amp;LEFT($A$63,4)&amp;$B$70&amp;P$3,CertSalary))+SUM(IF(CertFund&amp;CertProg&amp;CertObj&amp;CertGrant=RIGHT(LEFT($A$2,7),2)&amp;LEFT($A$64,4)&amp;$B$70&amp;P$3,CertSalary))+SUM(IF(CertFund&amp;CertProg&amp;CertObj&amp;CertGrant=RIGHT(LEFT($A$2,7),2)&amp;LEFT($A$65,4)&amp;$B$70&amp;P$3,CertSalary))+SUM(IF(CertFund&amp;CertProg&amp;CertObj&amp;CertGrant=RIGHT(LEFT($A$2,7),2)&amp;LEFT($A$66,4)&amp;$B$70&amp;P$3,CertSalary))+SUM(IF(CertFund&amp;CertProg&amp;CertObj&amp;CertGrant=RIGHT(LEFT($A$2,7),2)&amp;LEFT($A$67,4)&amp;$B$70&amp;P$3,CertSalary))+SUM(IF(CertFund&amp;CertProg&amp;CertObj&amp;CertGrant=RIGHT(LEFT($A$2,7),2)&amp;LEFT($A$68,4)&amp;$B$70&amp;P$3,CertSalary))+SUM(IF(CertFund&amp;CertProg&amp;CertObj&amp;CertGrant=RIGHT(LEFT($A$2,7),2)&amp;LEFT($A$69,4)&amp;$B$70&amp;P$3,CertSalary))</f>
        <v>0</v>
      </c>
      <c r="Q70" s="528">
        <f t="array" ref="Q70">SUM(IF(CertFund&amp;CertProg&amp;CertObj&amp;CertGrant=RIGHT(LEFT($A$2,7),2)&amp;LEFT($A$63,4)&amp;$B$70&amp;Q$3,CertSalary))+SUM(IF(CertFund&amp;CertProg&amp;CertObj&amp;CertGrant=RIGHT(LEFT($A$2,7),2)&amp;LEFT($A$64,4)&amp;$B$70&amp;Q$3,CertSalary))+SUM(IF(CertFund&amp;CertProg&amp;CertObj&amp;CertGrant=RIGHT(LEFT($A$2,7),2)&amp;LEFT($A$65,4)&amp;$B$70&amp;Q$3,CertSalary))+SUM(IF(CertFund&amp;CertProg&amp;CertObj&amp;CertGrant=RIGHT(LEFT($A$2,7),2)&amp;LEFT($A$66,4)&amp;$B$70&amp;Q$3,CertSalary))+SUM(IF(CertFund&amp;CertProg&amp;CertObj&amp;CertGrant=RIGHT(LEFT($A$2,7),2)&amp;LEFT($A$67,4)&amp;$B$70&amp;Q$3,CertSalary))+SUM(IF(CertFund&amp;CertProg&amp;CertObj&amp;CertGrant=RIGHT(LEFT($A$2,7),2)&amp;LEFT($A$68,4)&amp;$B$70&amp;Q$3,CertSalary))+SUM(IF(CertFund&amp;CertProg&amp;CertObj&amp;CertGrant=RIGHT(LEFT($A$2,7),2)&amp;LEFT($A$69,4)&amp;$B$70&amp;Q$3,CertSalary))</f>
        <v>0</v>
      </c>
      <c r="R70" s="528">
        <f t="array" ref="R70">SUM(IF(CertFund&amp;CertProg&amp;CertObj&amp;CertGrant=RIGHT(LEFT($A$2,7),2)&amp;LEFT($A$63,4)&amp;$B$70&amp;R$3,CertSalary))+SUM(IF(CertFund&amp;CertProg&amp;CertObj&amp;CertGrant=RIGHT(LEFT($A$2,7),2)&amp;LEFT($A$64,4)&amp;$B$70&amp;R$3,CertSalary))+SUM(IF(CertFund&amp;CertProg&amp;CertObj&amp;CertGrant=RIGHT(LEFT($A$2,7),2)&amp;LEFT($A$65,4)&amp;$B$70&amp;R$3,CertSalary))+SUM(IF(CertFund&amp;CertProg&amp;CertObj&amp;CertGrant=RIGHT(LEFT($A$2,7),2)&amp;LEFT($A$66,4)&amp;$B$70&amp;R$3,CertSalary))+SUM(IF(CertFund&amp;CertProg&amp;CertObj&amp;CertGrant=RIGHT(LEFT($A$2,7),2)&amp;LEFT($A$67,4)&amp;$B$70&amp;R$3,CertSalary))+SUM(IF(CertFund&amp;CertProg&amp;CertObj&amp;CertGrant=RIGHT(LEFT($A$2,7),2)&amp;LEFT($A$68,4)&amp;$B$70&amp;R$3,CertSalary))+SUM(IF(CertFund&amp;CertProg&amp;CertObj&amp;CertGrant=RIGHT(LEFT($A$2,7),2)&amp;LEFT($A$69,4)&amp;$B$70&amp;R$3,CertSalary))</f>
        <v>0</v>
      </c>
      <c r="S70" s="528">
        <f t="array" ref="S70">SUM(IF(CertFund&amp;CertProg&amp;CertObj&amp;CertGrant=RIGHT(LEFT($A$2,7),2)&amp;LEFT($A$63,4)&amp;$B$70&amp;S$3,CertSalary))+SUM(IF(CertFund&amp;CertProg&amp;CertObj&amp;CertGrant=RIGHT(LEFT($A$2,7),2)&amp;LEFT($A$64,4)&amp;$B$70&amp;S$3,CertSalary))+SUM(IF(CertFund&amp;CertProg&amp;CertObj&amp;CertGrant=RIGHT(LEFT($A$2,7),2)&amp;LEFT($A$65,4)&amp;$B$70&amp;S$3,CertSalary))+SUM(IF(CertFund&amp;CertProg&amp;CertObj&amp;CertGrant=RIGHT(LEFT($A$2,7),2)&amp;LEFT($A$66,4)&amp;$B$70&amp;S$3,CertSalary))+SUM(IF(CertFund&amp;CertProg&amp;CertObj&amp;CertGrant=RIGHT(LEFT($A$2,7),2)&amp;LEFT($A$67,4)&amp;$B$70&amp;S$3,CertSalary))+SUM(IF(CertFund&amp;CertProg&amp;CertObj&amp;CertGrant=RIGHT(LEFT($A$2,7),2)&amp;LEFT($A$68,4)&amp;$B$70&amp;S$3,CertSalary))+SUM(IF(CertFund&amp;CertProg&amp;CertObj&amp;CertGrant=RIGHT(LEFT($A$2,7),2)&amp;LEFT($A$69,4)&amp;$B$70&amp;S$3,CertSalary))</f>
        <v>0</v>
      </c>
      <c r="T70" s="528">
        <f t="array" ref="T70">SUM(IF(CertFund&amp;CertProg&amp;CertObj&amp;CertGrant=RIGHT(LEFT($A$2,7),2)&amp;LEFT($A$63,4)&amp;$B$70&amp;T$3,CertSalary))+SUM(IF(CertFund&amp;CertProg&amp;CertObj&amp;CertGrant=RIGHT(LEFT($A$2,7),2)&amp;LEFT($A$64,4)&amp;$B$70&amp;T$3,CertSalary))+SUM(IF(CertFund&amp;CertProg&amp;CertObj&amp;CertGrant=RIGHT(LEFT($A$2,7),2)&amp;LEFT($A$65,4)&amp;$B$70&amp;T$3,CertSalary))+SUM(IF(CertFund&amp;CertProg&amp;CertObj&amp;CertGrant=RIGHT(LEFT($A$2,7),2)&amp;LEFT($A$66,4)&amp;$B$70&amp;T$3,CertSalary))+SUM(IF(CertFund&amp;CertProg&amp;CertObj&amp;CertGrant=RIGHT(LEFT($A$2,7),2)&amp;LEFT($A$67,4)&amp;$B$70&amp;T$3,CertSalary))+SUM(IF(CertFund&amp;CertProg&amp;CertObj&amp;CertGrant=RIGHT(LEFT($A$2,7),2)&amp;LEFT($A$68,4)&amp;$B$70&amp;T$3,CertSalary))+SUM(IF(CertFund&amp;CertProg&amp;CertObj&amp;CertGrant=RIGHT(LEFT($A$2,7),2)&amp;LEFT($A$69,4)&amp;$B$70&amp;T$3,CertSalary))</f>
        <v>0</v>
      </c>
      <c r="U70" s="528">
        <f t="array" ref="U70">SUM(IF(CertFund&amp;CertProg&amp;CertObj&amp;CertGrant=RIGHT(LEFT($A$2,7),2)&amp;LEFT($A$63,4)&amp;$B$70&amp;U$3,CertSalary))+SUM(IF(CertFund&amp;CertProg&amp;CertObj&amp;CertGrant=RIGHT(LEFT($A$2,7),2)&amp;LEFT($A$64,4)&amp;$B$70&amp;U$3,CertSalary))+SUM(IF(CertFund&amp;CertProg&amp;CertObj&amp;CertGrant=RIGHT(LEFT($A$2,7),2)&amp;LEFT($A$65,4)&amp;$B$70&amp;U$3,CertSalary))+SUM(IF(CertFund&amp;CertProg&amp;CertObj&amp;CertGrant=RIGHT(LEFT($A$2,7),2)&amp;LEFT($A$66,4)&amp;$B$70&amp;U$3,CertSalary))+SUM(IF(CertFund&amp;CertProg&amp;CertObj&amp;CertGrant=RIGHT(LEFT($A$2,7),2)&amp;LEFT($A$67,4)&amp;$B$70&amp;U$3,CertSalary))+SUM(IF(CertFund&amp;CertProg&amp;CertObj&amp;CertGrant=RIGHT(LEFT($A$2,7),2)&amp;LEFT($A$68,4)&amp;$B$70&amp;U$3,CertSalary))+SUM(IF(CertFund&amp;CertProg&amp;CertObj&amp;CertGrant=RIGHT(LEFT($A$2,7),2)&amp;LEFT($A$69,4)&amp;$B$70&amp;U$3,CertSalary))</f>
        <v>0</v>
      </c>
      <c r="V70" s="528">
        <f t="array" ref="V70">SUM(IF(CertFund&amp;CertProg&amp;CertObj&amp;CertGrant=RIGHT(LEFT($A$2,7),2)&amp;LEFT($A$63,4)&amp;$B$70&amp;V$3,CertSalary))+SUM(IF(CertFund&amp;CertProg&amp;CertObj&amp;CertGrant=RIGHT(LEFT($A$2,7),2)&amp;LEFT($A$64,4)&amp;$B$70&amp;V$3,CertSalary))+SUM(IF(CertFund&amp;CertProg&amp;CertObj&amp;CertGrant=RIGHT(LEFT($A$2,7),2)&amp;LEFT($A$65,4)&amp;$B$70&amp;V$3,CertSalary))+SUM(IF(CertFund&amp;CertProg&amp;CertObj&amp;CertGrant=RIGHT(LEFT($A$2,7),2)&amp;LEFT($A$66,4)&amp;$B$70&amp;V$3,CertSalary))+SUM(IF(CertFund&amp;CertProg&amp;CertObj&amp;CertGrant=RIGHT(LEFT($A$2,7),2)&amp;LEFT($A$67,4)&amp;$B$70&amp;V$3,CertSalary))+SUM(IF(CertFund&amp;CertProg&amp;CertObj&amp;CertGrant=RIGHT(LEFT($A$2,7),2)&amp;LEFT($A$68,4)&amp;$B$70&amp;V$3,CertSalary))+SUM(IF(CertFund&amp;CertProg&amp;CertObj&amp;CertGrant=RIGHT(LEFT($A$2,7),2)&amp;LEFT($A$69,4)&amp;$B$70&amp;V$3,CertSalary))</f>
        <v>0</v>
      </c>
      <c r="W70" s="528">
        <f t="array" ref="W70">SUM(IF(CertFund&amp;CertProg&amp;CertObj&amp;CertGrant=RIGHT(LEFT($A$2,7),2)&amp;LEFT($A$63,4)&amp;$B$70&amp;W$3,CertSalary))+SUM(IF(CertFund&amp;CertProg&amp;CertObj&amp;CertGrant=RIGHT(LEFT($A$2,7),2)&amp;LEFT($A$64,4)&amp;$B$70&amp;W$3,CertSalary))+SUM(IF(CertFund&amp;CertProg&amp;CertObj&amp;CertGrant=RIGHT(LEFT($A$2,7),2)&amp;LEFT($A$65,4)&amp;$B$70&amp;W$3,CertSalary))+SUM(IF(CertFund&amp;CertProg&amp;CertObj&amp;CertGrant=RIGHT(LEFT($A$2,7),2)&amp;LEFT($A$66,4)&amp;$B$70&amp;W$3,CertSalary))+SUM(IF(CertFund&amp;CertProg&amp;CertObj&amp;CertGrant=RIGHT(LEFT($A$2,7),2)&amp;LEFT($A$67,4)&amp;$B$70&amp;W$3,CertSalary))+SUM(IF(CertFund&amp;CertProg&amp;CertObj&amp;CertGrant=RIGHT(LEFT($A$2,7),2)&amp;LEFT($A$68,4)&amp;$B$70&amp;W$3,CertSalary))+SUM(IF(CertFund&amp;CertProg&amp;CertObj&amp;CertGrant=RIGHT(LEFT($A$2,7),2)&amp;LEFT($A$69,4)&amp;$B$70&amp;W$3,CertSalary))</f>
        <v>0</v>
      </c>
      <c r="X70" s="347">
        <f t="shared" ref="X70:X79" si="12">SUM(D70:W70)</f>
        <v>0</v>
      </c>
    </row>
    <row r="71" spans="1:24" ht="11.25" x14ac:dyDescent="0.2">
      <c r="A71" s="340" t="s">
        <v>1338</v>
      </c>
      <c r="B71" s="588" t="s">
        <v>1577</v>
      </c>
      <c r="C71" s="312" t="s">
        <v>510</v>
      </c>
      <c r="D71" s="147">
        <v>0</v>
      </c>
      <c r="E71" s="147">
        <v>0</v>
      </c>
      <c r="F71" s="147">
        <v>0</v>
      </c>
      <c r="G71" s="147">
        <v>0</v>
      </c>
      <c r="H71" s="147">
        <v>0</v>
      </c>
      <c r="I71" s="147">
        <v>0</v>
      </c>
      <c r="J71" s="147">
        <v>0</v>
      </c>
      <c r="K71" s="147">
        <v>0</v>
      </c>
      <c r="L71" s="147">
        <v>0</v>
      </c>
      <c r="M71" s="147">
        <v>0</v>
      </c>
      <c r="N71" s="147">
        <v>0</v>
      </c>
      <c r="O71" s="147">
        <v>0</v>
      </c>
      <c r="P71" s="147">
        <v>0</v>
      </c>
      <c r="Q71" s="147">
        <v>0</v>
      </c>
      <c r="R71" s="147">
        <v>0</v>
      </c>
      <c r="S71" s="147">
        <v>0</v>
      </c>
      <c r="T71" s="147">
        <v>0</v>
      </c>
      <c r="U71" s="147">
        <v>0</v>
      </c>
      <c r="V71" s="147">
        <v>0</v>
      </c>
      <c r="W71" s="147">
        <v>0</v>
      </c>
      <c r="X71" s="341">
        <f t="shared" si="12"/>
        <v>0</v>
      </c>
    </row>
    <row r="72" spans="1:24" ht="11.25" x14ac:dyDescent="0.2">
      <c r="A72" s="350">
        <v>13</v>
      </c>
      <c r="B72" s="588" t="s">
        <v>1578</v>
      </c>
      <c r="C72" s="312" t="s">
        <v>76</v>
      </c>
      <c r="D72" s="528">
        <f t="array" ref="D72">SUM(IF(CertFund&amp;CertProg&amp;CertObj&amp;CertGrant=RIGHT(LEFT($A$2,7),2)&amp;LEFT($A$63,4)&amp;$B$70&amp;D$3,CertBen))+SUM(IF(CertFund&amp;CertProg&amp;CertObj&amp;CertGrant=RIGHT(LEFT($A$2,7),2)&amp;LEFT($A$64,4)&amp;$B$70&amp;D$3,CertBen))+SUM(IF(CertFund&amp;CertProg&amp;CertObj&amp;CertGrant=RIGHT(LEFT($A$2,7),2)&amp;LEFT($A$65,4)&amp;$B$70&amp;D$3,CertBen))+SUM(IF(CertFund&amp;CertProg&amp;CertObj&amp;CertGrant=RIGHT(LEFT($A$2,7),2)&amp;LEFT($A$66,4)&amp;$B$70&amp;D$3,CertBen))+SUM(IF(CertFund&amp;CertProg&amp;CertObj&amp;CertGrant=RIGHT(LEFT($A$2,7),2)&amp;LEFT($A$67,4)&amp;$B$70&amp;D$3,CertBen))+SUM(IF(CertFund&amp;CertProg&amp;CertObj&amp;CertGrant=RIGHT(LEFT($A$2,7),2)&amp;LEFT($A$68,4)&amp;$B$70&amp;D$3,CertBen))+SUM(IF(CertFund&amp;CertProg&amp;CertObj&amp;CertGrant=RIGHT(LEFT($A$2,7),2)&amp;LEFT($A$69,4)&amp;$B$70&amp;D$3,CertBen))</f>
        <v>0</v>
      </c>
      <c r="E72" s="528">
        <f t="array" ref="E72">SUM(IF(CertFund&amp;CertProg&amp;CertObj&amp;CertGrant=RIGHT(LEFT($A$2,7),2)&amp;LEFT($A$63,4)&amp;$B$70&amp;E$3,CertBen))+SUM(IF(CertFund&amp;CertProg&amp;CertObj&amp;CertGrant=RIGHT(LEFT($A$2,7),2)&amp;LEFT($A$64,4)&amp;$B$70&amp;E$3,CertBen))+SUM(IF(CertFund&amp;CertProg&amp;CertObj&amp;CertGrant=RIGHT(LEFT($A$2,7),2)&amp;LEFT($A$65,4)&amp;$B$70&amp;E$3,CertBen))+SUM(IF(CertFund&amp;CertProg&amp;CertObj&amp;CertGrant=RIGHT(LEFT($A$2,7),2)&amp;LEFT($A$66,4)&amp;$B$70&amp;E$3,CertBen))+SUM(IF(CertFund&amp;CertProg&amp;CertObj&amp;CertGrant=RIGHT(LEFT($A$2,7),2)&amp;LEFT($A$67,4)&amp;$B$70&amp;E$3,CertBen))+SUM(IF(CertFund&amp;CertProg&amp;CertObj&amp;CertGrant=RIGHT(LEFT($A$2,7),2)&amp;LEFT($A$68,4)&amp;$B$70&amp;E$3,CertBen))+SUM(IF(CertFund&amp;CertProg&amp;CertObj&amp;CertGrant=RIGHT(LEFT($A$2,7),2)&amp;LEFT($A$69,4)&amp;$B$70&amp;E$3,CertBen))</f>
        <v>0</v>
      </c>
      <c r="F72" s="528">
        <f t="array" ref="F72">SUM(IF(CertFund&amp;CertProg&amp;CertObj&amp;CertGrant=RIGHT(LEFT($A$2,7),2)&amp;LEFT($A$63,4)&amp;$B$70&amp;F$3,CertBen))+SUM(IF(CertFund&amp;CertProg&amp;CertObj&amp;CertGrant=RIGHT(LEFT($A$2,7),2)&amp;LEFT($A$64,4)&amp;$B$70&amp;F$3,CertBen))+SUM(IF(CertFund&amp;CertProg&amp;CertObj&amp;CertGrant=RIGHT(LEFT($A$2,7),2)&amp;LEFT($A$65,4)&amp;$B$70&amp;F$3,CertBen))+SUM(IF(CertFund&amp;CertProg&amp;CertObj&amp;CertGrant=RIGHT(LEFT($A$2,7),2)&amp;LEFT($A$66,4)&amp;$B$70&amp;F$3,CertBen))+SUM(IF(CertFund&amp;CertProg&amp;CertObj&amp;CertGrant=RIGHT(LEFT($A$2,7),2)&amp;LEFT($A$67,4)&amp;$B$70&amp;F$3,CertBen))+SUM(IF(CertFund&amp;CertProg&amp;CertObj&amp;CertGrant=RIGHT(LEFT($A$2,7),2)&amp;LEFT($A$68,4)&amp;$B$70&amp;F$3,CertBen))+SUM(IF(CertFund&amp;CertProg&amp;CertObj&amp;CertGrant=RIGHT(LEFT($A$2,7),2)&amp;LEFT($A$69,4)&amp;$B$70&amp;F$3,CertBen))</f>
        <v>0</v>
      </c>
      <c r="G72" s="528">
        <f t="array" ref="G72">SUM(IF(CertFund&amp;CertProg&amp;CertObj&amp;CertGrant=RIGHT(LEFT($A$2,7),2)&amp;LEFT($A$63,4)&amp;$B$70&amp;G$3,CertBen))+SUM(IF(CertFund&amp;CertProg&amp;CertObj&amp;CertGrant=RIGHT(LEFT($A$2,7),2)&amp;LEFT($A$64,4)&amp;$B$70&amp;G$3,CertBen))+SUM(IF(CertFund&amp;CertProg&amp;CertObj&amp;CertGrant=RIGHT(LEFT($A$2,7),2)&amp;LEFT($A$65,4)&amp;$B$70&amp;G$3,CertBen))+SUM(IF(CertFund&amp;CertProg&amp;CertObj&amp;CertGrant=RIGHT(LEFT($A$2,7),2)&amp;LEFT($A$66,4)&amp;$B$70&amp;G$3,CertBen))+SUM(IF(CertFund&amp;CertProg&amp;CertObj&amp;CertGrant=RIGHT(LEFT($A$2,7),2)&amp;LEFT($A$67,4)&amp;$B$70&amp;G$3,CertBen))+SUM(IF(CertFund&amp;CertProg&amp;CertObj&amp;CertGrant=RIGHT(LEFT($A$2,7),2)&amp;LEFT($A$68,4)&amp;$B$70&amp;G$3,CertBen))+SUM(IF(CertFund&amp;CertProg&amp;CertObj&amp;CertGrant=RIGHT(LEFT($A$2,7),2)&amp;LEFT($A$69,4)&amp;$B$70&amp;G$3,CertBen))</f>
        <v>0</v>
      </c>
      <c r="H72" s="528">
        <f t="array" ref="H72">SUM(IF(CertFund&amp;CertProg&amp;CertObj&amp;CertGrant=RIGHT(LEFT($A$2,7),2)&amp;LEFT($A$63,4)&amp;$B$70&amp;H$3,CertBen))+SUM(IF(CertFund&amp;CertProg&amp;CertObj&amp;CertGrant=RIGHT(LEFT($A$2,7),2)&amp;LEFT($A$64,4)&amp;$B$70&amp;H$3,CertBen))+SUM(IF(CertFund&amp;CertProg&amp;CertObj&amp;CertGrant=RIGHT(LEFT($A$2,7),2)&amp;LEFT($A$65,4)&amp;$B$70&amp;H$3,CertBen))+SUM(IF(CertFund&amp;CertProg&amp;CertObj&amp;CertGrant=RIGHT(LEFT($A$2,7),2)&amp;LEFT($A$66,4)&amp;$B$70&amp;H$3,CertBen))+SUM(IF(CertFund&amp;CertProg&amp;CertObj&amp;CertGrant=RIGHT(LEFT($A$2,7),2)&amp;LEFT($A$67,4)&amp;$B$70&amp;H$3,CertBen))+SUM(IF(CertFund&amp;CertProg&amp;CertObj&amp;CertGrant=RIGHT(LEFT($A$2,7),2)&amp;LEFT($A$68,4)&amp;$B$70&amp;H$3,CertBen))+SUM(IF(CertFund&amp;CertProg&amp;CertObj&amp;CertGrant=RIGHT(LEFT($A$2,7),2)&amp;LEFT($A$69,4)&amp;$B$70&amp;H$3,CertBen))</f>
        <v>0</v>
      </c>
      <c r="I72" s="528">
        <f t="array" ref="I72">SUM(IF(CertFund&amp;CertProg&amp;CertObj&amp;CertGrant=RIGHT(LEFT($A$2,7),2)&amp;LEFT($A$63,4)&amp;$B$70&amp;I$3,CertBen))+SUM(IF(CertFund&amp;CertProg&amp;CertObj&amp;CertGrant=RIGHT(LEFT($A$2,7),2)&amp;LEFT($A$64,4)&amp;$B$70&amp;I$3,CertBen))+SUM(IF(CertFund&amp;CertProg&amp;CertObj&amp;CertGrant=RIGHT(LEFT($A$2,7),2)&amp;LEFT($A$65,4)&amp;$B$70&amp;I$3,CertBen))+SUM(IF(CertFund&amp;CertProg&amp;CertObj&amp;CertGrant=RIGHT(LEFT($A$2,7),2)&amp;LEFT($A$66,4)&amp;$B$70&amp;I$3,CertBen))+SUM(IF(CertFund&amp;CertProg&amp;CertObj&amp;CertGrant=RIGHT(LEFT($A$2,7),2)&amp;LEFT($A$67,4)&amp;$B$70&amp;I$3,CertBen))+SUM(IF(CertFund&amp;CertProg&amp;CertObj&amp;CertGrant=RIGHT(LEFT($A$2,7),2)&amp;LEFT($A$68,4)&amp;$B$70&amp;I$3,CertBen))+SUM(IF(CertFund&amp;CertProg&amp;CertObj&amp;CertGrant=RIGHT(LEFT($A$2,7),2)&amp;LEFT($A$69,4)&amp;$B$70&amp;I$3,CertBen))</f>
        <v>0</v>
      </c>
      <c r="J72" s="528">
        <f t="array" ref="J72">SUM(IF(CertFund&amp;CertProg&amp;CertObj&amp;CertGrant=RIGHT(LEFT($A$2,7),2)&amp;LEFT($A$63,4)&amp;$B$70&amp;J$3,CertBen))+SUM(IF(CertFund&amp;CertProg&amp;CertObj&amp;CertGrant=RIGHT(LEFT($A$2,7),2)&amp;LEFT($A$64,4)&amp;$B$70&amp;J$3,CertBen))+SUM(IF(CertFund&amp;CertProg&amp;CertObj&amp;CertGrant=RIGHT(LEFT($A$2,7),2)&amp;LEFT($A$65,4)&amp;$B$70&amp;J$3,CertBen))+SUM(IF(CertFund&amp;CertProg&amp;CertObj&amp;CertGrant=RIGHT(LEFT($A$2,7),2)&amp;LEFT($A$66,4)&amp;$B$70&amp;J$3,CertBen))+SUM(IF(CertFund&amp;CertProg&amp;CertObj&amp;CertGrant=RIGHT(LEFT($A$2,7),2)&amp;LEFT($A$67,4)&amp;$B$70&amp;J$3,CertBen))+SUM(IF(CertFund&amp;CertProg&amp;CertObj&amp;CertGrant=RIGHT(LEFT($A$2,7),2)&amp;LEFT($A$68,4)&amp;$B$70&amp;J$3,CertBen))+SUM(IF(CertFund&amp;CertProg&amp;CertObj&amp;CertGrant=RIGHT(LEFT($A$2,7),2)&amp;LEFT($A$69,4)&amp;$B$70&amp;J$3,CertBen))</f>
        <v>0</v>
      </c>
      <c r="K72" s="528">
        <f t="array" ref="K72">SUM(IF(CertFund&amp;CertProg&amp;CertObj&amp;CertGrant=RIGHT(LEFT($A$2,7),2)&amp;LEFT($A$63,4)&amp;$B$70&amp;K$3,CertBen))+SUM(IF(CertFund&amp;CertProg&amp;CertObj&amp;CertGrant=RIGHT(LEFT($A$2,7),2)&amp;LEFT($A$64,4)&amp;$B$70&amp;K$3,CertBen))+SUM(IF(CertFund&amp;CertProg&amp;CertObj&amp;CertGrant=RIGHT(LEFT($A$2,7),2)&amp;LEFT($A$65,4)&amp;$B$70&amp;K$3,CertBen))+SUM(IF(CertFund&amp;CertProg&amp;CertObj&amp;CertGrant=RIGHT(LEFT($A$2,7),2)&amp;LEFT($A$66,4)&amp;$B$70&amp;K$3,CertBen))+SUM(IF(CertFund&amp;CertProg&amp;CertObj&amp;CertGrant=RIGHT(LEFT($A$2,7),2)&amp;LEFT($A$67,4)&amp;$B$70&amp;K$3,CertBen))+SUM(IF(CertFund&amp;CertProg&amp;CertObj&amp;CertGrant=RIGHT(LEFT($A$2,7),2)&amp;LEFT($A$68,4)&amp;$B$70&amp;K$3,CertBen))+SUM(IF(CertFund&amp;CertProg&amp;CertObj&amp;CertGrant=RIGHT(LEFT($A$2,7),2)&amp;LEFT($A$69,4)&amp;$B$70&amp;K$3,CertBen))</f>
        <v>0</v>
      </c>
      <c r="L72" s="528">
        <f t="array" ref="L72">SUM(IF(CertFund&amp;CertProg&amp;CertObj&amp;CertGrant=RIGHT(LEFT($A$2,7),2)&amp;LEFT($A$63,4)&amp;$B$70&amp;L$3,CertBen))+SUM(IF(CertFund&amp;CertProg&amp;CertObj&amp;CertGrant=RIGHT(LEFT($A$2,7),2)&amp;LEFT($A$64,4)&amp;$B$70&amp;L$3,CertBen))+SUM(IF(CertFund&amp;CertProg&amp;CertObj&amp;CertGrant=RIGHT(LEFT($A$2,7),2)&amp;LEFT($A$65,4)&amp;$B$70&amp;L$3,CertBen))+SUM(IF(CertFund&amp;CertProg&amp;CertObj&amp;CertGrant=RIGHT(LEFT($A$2,7),2)&amp;LEFT($A$66,4)&amp;$B$70&amp;L$3,CertBen))+SUM(IF(CertFund&amp;CertProg&amp;CertObj&amp;CertGrant=RIGHT(LEFT($A$2,7),2)&amp;LEFT($A$67,4)&amp;$B$70&amp;L$3,CertBen))+SUM(IF(CertFund&amp;CertProg&amp;CertObj&amp;CertGrant=RIGHT(LEFT($A$2,7),2)&amp;LEFT($A$68,4)&amp;$B$70&amp;L$3,CertBen))+SUM(IF(CertFund&amp;CertProg&amp;CertObj&amp;CertGrant=RIGHT(LEFT($A$2,7),2)&amp;LEFT($A$69,4)&amp;$B$70&amp;L$3,CertBen))</f>
        <v>0</v>
      </c>
      <c r="M72" s="528">
        <f t="array" ref="M72">SUM(IF(CertFund&amp;CertProg&amp;CertObj&amp;CertGrant=RIGHT(LEFT($A$2,7),2)&amp;LEFT($A$63,4)&amp;$B$70&amp;M$3,CertBen))+SUM(IF(CertFund&amp;CertProg&amp;CertObj&amp;CertGrant=RIGHT(LEFT($A$2,7),2)&amp;LEFT($A$64,4)&amp;$B$70&amp;M$3,CertBen))+SUM(IF(CertFund&amp;CertProg&amp;CertObj&amp;CertGrant=RIGHT(LEFT($A$2,7),2)&amp;LEFT($A$65,4)&amp;$B$70&amp;M$3,CertBen))+SUM(IF(CertFund&amp;CertProg&amp;CertObj&amp;CertGrant=RIGHT(LEFT($A$2,7),2)&amp;LEFT($A$66,4)&amp;$B$70&amp;M$3,CertBen))+SUM(IF(CertFund&amp;CertProg&amp;CertObj&amp;CertGrant=RIGHT(LEFT($A$2,7),2)&amp;LEFT($A$67,4)&amp;$B$70&amp;M$3,CertBen))+SUM(IF(CertFund&amp;CertProg&amp;CertObj&amp;CertGrant=RIGHT(LEFT($A$2,7),2)&amp;LEFT($A$68,4)&amp;$B$70&amp;M$3,CertBen))+SUM(IF(CertFund&amp;CertProg&amp;CertObj&amp;CertGrant=RIGHT(LEFT($A$2,7),2)&amp;LEFT($A$69,4)&amp;$B$70&amp;M$3,CertBen))</f>
        <v>0</v>
      </c>
      <c r="N72" s="528">
        <f t="array" ref="N72">SUM(IF(CertFund&amp;CertProg&amp;CertObj&amp;CertGrant=RIGHT(LEFT($A$2,7),2)&amp;LEFT($A$63,4)&amp;$B$70&amp;N$3,CertBen))+SUM(IF(CertFund&amp;CertProg&amp;CertObj&amp;CertGrant=RIGHT(LEFT($A$2,7),2)&amp;LEFT($A$64,4)&amp;$B$70&amp;N$3,CertBen))+SUM(IF(CertFund&amp;CertProg&amp;CertObj&amp;CertGrant=RIGHT(LEFT($A$2,7),2)&amp;LEFT($A$65,4)&amp;$B$70&amp;N$3,CertBen))+SUM(IF(CertFund&amp;CertProg&amp;CertObj&amp;CertGrant=RIGHT(LEFT($A$2,7),2)&amp;LEFT($A$66,4)&amp;$B$70&amp;N$3,CertBen))+SUM(IF(CertFund&amp;CertProg&amp;CertObj&amp;CertGrant=RIGHT(LEFT($A$2,7),2)&amp;LEFT($A$67,4)&amp;$B$70&amp;N$3,CertBen))+SUM(IF(CertFund&amp;CertProg&amp;CertObj&amp;CertGrant=RIGHT(LEFT($A$2,7),2)&amp;LEFT($A$68,4)&amp;$B$70&amp;N$3,CertBen))+SUM(IF(CertFund&amp;CertProg&amp;CertObj&amp;CertGrant=RIGHT(LEFT($A$2,7),2)&amp;LEFT($A$69,4)&amp;$B$70&amp;N$3,CertBen))</f>
        <v>0</v>
      </c>
      <c r="O72" s="528">
        <f t="array" ref="O72">SUM(IF(CertFund&amp;CertProg&amp;CertObj&amp;CertGrant=RIGHT(LEFT($A$2,7),2)&amp;LEFT($A$63,4)&amp;$B$70&amp;O$3,CertBen))+SUM(IF(CertFund&amp;CertProg&amp;CertObj&amp;CertGrant=RIGHT(LEFT($A$2,7),2)&amp;LEFT($A$64,4)&amp;$B$70&amp;O$3,CertBen))+SUM(IF(CertFund&amp;CertProg&amp;CertObj&amp;CertGrant=RIGHT(LEFT($A$2,7),2)&amp;LEFT($A$65,4)&amp;$B$70&amp;O$3,CertBen))+SUM(IF(CertFund&amp;CertProg&amp;CertObj&amp;CertGrant=RIGHT(LEFT($A$2,7),2)&amp;LEFT($A$66,4)&amp;$B$70&amp;O$3,CertBen))+SUM(IF(CertFund&amp;CertProg&amp;CertObj&amp;CertGrant=RIGHT(LEFT($A$2,7),2)&amp;LEFT($A$67,4)&amp;$B$70&amp;O$3,CertBen))+SUM(IF(CertFund&amp;CertProg&amp;CertObj&amp;CertGrant=RIGHT(LEFT($A$2,7),2)&amp;LEFT($A$68,4)&amp;$B$70&amp;O$3,CertBen))+SUM(IF(CertFund&amp;CertProg&amp;CertObj&amp;CertGrant=RIGHT(LEFT($A$2,7),2)&amp;LEFT($A$69,4)&amp;$B$70&amp;O$3,CertBen))</f>
        <v>0</v>
      </c>
      <c r="P72" s="528">
        <f t="array" ref="P72">SUM(IF(CertFund&amp;CertProg&amp;CertObj&amp;CertGrant=RIGHT(LEFT($A$2,7),2)&amp;LEFT($A$63,4)&amp;$B$70&amp;P$3,CertBen))+SUM(IF(CertFund&amp;CertProg&amp;CertObj&amp;CertGrant=RIGHT(LEFT($A$2,7),2)&amp;LEFT($A$64,4)&amp;$B$70&amp;P$3,CertBen))+SUM(IF(CertFund&amp;CertProg&amp;CertObj&amp;CertGrant=RIGHT(LEFT($A$2,7),2)&amp;LEFT($A$65,4)&amp;$B$70&amp;P$3,CertBen))+SUM(IF(CertFund&amp;CertProg&amp;CertObj&amp;CertGrant=RIGHT(LEFT($A$2,7),2)&amp;LEFT($A$66,4)&amp;$B$70&amp;P$3,CertBen))+SUM(IF(CertFund&amp;CertProg&amp;CertObj&amp;CertGrant=RIGHT(LEFT($A$2,7),2)&amp;LEFT($A$67,4)&amp;$B$70&amp;P$3,CertBen))+SUM(IF(CertFund&amp;CertProg&amp;CertObj&amp;CertGrant=RIGHT(LEFT($A$2,7),2)&amp;LEFT($A$68,4)&amp;$B$70&amp;P$3,CertBen))+SUM(IF(CertFund&amp;CertProg&amp;CertObj&amp;CertGrant=RIGHT(LEFT($A$2,7),2)&amp;LEFT($A$69,4)&amp;$B$70&amp;P$3,CertBen))</f>
        <v>0</v>
      </c>
      <c r="Q72" s="528">
        <f t="array" ref="Q72">SUM(IF(CertFund&amp;CertProg&amp;CertObj&amp;CertGrant=RIGHT(LEFT($A$2,7),2)&amp;LEFT($A$63,4)&amp;$B$70&amp;Q$3,CertBen))+SUM(IF(CertFund&amp;CertProg&amp;CertObj&amp;CertGrant=RIGHT(LEFT($A$2,7),2)&amp;LEFT($A$64,4)&amp;$B$70&amp;Q$3,CertBen))+SUM(IF(CertFund&amp;CertProg&amp;CertObj&amp;CertGrant=RIGHT(LEFT($A$2,7),2)&amp;LEFT($A$65,4)&amp;$B$70&amp;Q$3,CertBen))+SUM(IF(CertFund&amp;CertProg&amp;CertObj&amp;CertGrant=RIGHT(LEFT($A$2,7),2)&amp;LEFT($A$66,4)&amp;$B$70&amp;Q$3,CertBen))+SUM(IF(CertFund&amp;CertProg&amp;CertObj&amp;CertGrant=RIGHT(LEFT($A$2,7),2)&amp;LEFT($A$67,4)&amp;$B$70&amp;Q$3,CertBen))+SUM(IF(CertFund&amp;CertProg&amp;CertObj&amp;CertGrant=RIGHT(LEFT($A$2,7),2)&amp;LEFT($A$68,4)&amp;$B$70&amp;Q$3,CertBen))+SUM(IF(CertFund&amp;CertProg&amp;CertObj&amp;CertGrant=RIGHT(LEFT($A$2,7),2)&amp;LEFT($A$69,4)&amp;$B$70&amp;Q$3,CertBen))</f>
        <v>0</v>
      </c>
      <c r="R72" s="528">
        <f t="array" ref="R72">SUM(IF(CertFund&amp;CertProg&amp;CertObj&amp;CertGrant=RIGHT(LEFT($A$2,7),2)&amp;LEFT($A$63,4)&amp;$B$70&amp;R$3,CertBen))+SUM(IF(CertFund&amp;CertProg&amp;CertObj&amp;CertGrant=RIGHT(LEFT($A$2,7),2)&amp;LEFT($A$64,4)&amp;$B$70&amp;R$3,CertBen))+SUM(IF(CertFund&amp;CertProg&amp;CertObj&amp;CertGrant=RIGHT(LEFT($A$2,7),2)&amp;LEFT($A$65,4)&amp;$B$70&amp;R$3,CertBen))+SUM(IF(CertFund&amp;CertProg&amp;CertObj&amp;CertGrant=RIGHT(LEFT($A$2,7),2)&amp;LEFT($A$66,4)&amp;$B$70&amp;R$3,CertBen))+SUM(IF(CertFund&amp;CertProg&amp;CertObj&amp;CertGrant=RIGHT(LEFT($A$2,7),2)&amp;LEFT($A$67,4)&amp;$B$70&amp;R$3,CertBen))+SUM(IF(CertFund&amp;CertProg&amp;CertObj&amp;CertGrant=RIGHT(LEFT($A$2,7),2)&amp;LEFT($A$68,4)&amp;$B$70&amp;R$3,CertBen))+SUM(IF(CertFund&amp;CertProg&amp;CertObj&amp;CertGrant=RIGHT(LEFT($A$2,7),2)&amp;LEFT($A$69,4)&amp;$B$70&amp;R$3,CertBen))</f>
        <v>0</v>
      </c>
      <c r="S72" s="528">
        <f t="array" ref="S72">SUM(IF(CertFund&amp;CertProg&amp;CertObj&amp;CertGrant=RIGHT(LEFT($A$2,7),2)&amp;LEFT($A$63,4)&amp;$B$70&amp;S$3,CertBen))+SUM(IF(CertFund&amp;CertProg&amp;CertObj&amp;CertGrant=RIGHT(LEFT($A$2,7),2)&amp;LEFT($A$64,4)&amp;$B$70&amp;S$3,CertBen))+SUM(IF(CertFund&amp;CertProg&amp;CertObj&amp;CertGrant=RIGHT(LEFT($A$2,7),2)&amp;LEFT($A$65,4)&amp;$B$70&amp;S$3,CertBen))+SUM(IF(CertFund&amp;CertProg&amp;CertObj&amp;CertGrant=RIGHT(LEFT($A$2,7),2)&amp;LEFT($A$66,4)&amp;$B$70&amp;S$3,CertBen))+SUM(IF(CertFund&amp;CertProg&amp;CertObj&amp;CertGrant=RIGHT(LEFT($A$2,7),2)&amp;LEFT($A$67,4)&amp;$B$70&amp;S$3,CertBen))+SUM(IF(CertFund&amp;CertProg&amp;CertObj&amp;CertGrant=RIGHT(LEFT($A$2,7),2)&amp;LEFT($A$68,4)&amp;$B$70&amp;S$3,CertBen))+SUM(IF(CertFund&amp;CertProg&amp;CertObj&amp;CertGrant=RIGHT(LEFT($A$2,7),2)&amp;LEFT($A$69,4)&amp;$B$70&amp;S$3,CertBen))</f>
        <v>0</v>
      </c>
      <c r="T72" s="528">
        <f t="array" ref="T72">SUM(IF(CertFund&amp;CertProg&amp;CertObj&amp;CertGrant=RIGHT(LEFT($A$2,7),2)&amp;LEFT($A$63,4)&amp;$B$70&amp;T$3,CertBen))+SUM(IF(CertFund&amp;CertProg&amp;CertObj&amp;CertGrant=RIGHT(LEFT($A$2,7),2)&amp;LEFT($A$64,4)&amp;$B$70&amp;T$3,CertBen))+SUM(IF(CertFund&amp;CertProg&amp;CertObj&amp;CertGrant=RIGHT(LEFT($A$2,7),2)&amp;LEFT($A$65,4)&amp;$B$70&amp;T$3,CertBen))+SUM(IF(CertFund&amp;CertProg&amp;CertObj&amp;CertGrant=RIGHT(LEFT($A$2,7),2)&amp;LEFT($A$66,4)&amp;$B$70&amp;T$3,CertBen))+SUM(IF(CertFund&amp;CertProg&amp;CertObj&amp;CertGrant=RIGHT(LEFT($A$2,7),2)&amp;LEFT($A$67,4)&amp;$B$70&amp;T$3,CertBen))+SUM(IF(CertFund&amp;CertProg&amp;CertObj&amp;CertGrant=RIGHT(LEFT($A$2,7),2)&amp;LEFT($A$68,4)&amp;$B$70&amp;T$3,CertBen))+SUM(IF(CertFund&amp;CertProg&amp;CertObj&amp;CertGrant=RIGHT(LEFT($A$2,7),2)&amp;LEFT($A$69,4)&amp;$B$70&amp;T$3,CertBen))</f>
        <v>0</v>
      </c>
      <c r="U72" s="528">
        <f t="array" ref="U72">SUM(IF(CertFund&amp;CertProg&amp;CertObj&amp;CertGrant=RIGHT(LEFT($A$2,7),2)&amp;LEFT($A$63,4)&amp;$B$70&amp;U$3,CertBen))+SUM(IF(CertFund&amp;CertProg&amp;CertObj&amp;CertGrant=RIGHT(LEFT($A$2,7),2)&amp;LEFT($A$64,4)&amp;$B$70&amp;U$3,CertBen))+SUM(IF(CertFund&amp;CertProg&amp;CertObj&amp;CertGrant=RIGHT(LEFT($A$2,7),2)&amp;LEFT($A$65,4)&amp;$B$70&amp;U$3,CertBen))+SUM(IF(CertFund&amp;CertProg&amp;CertObj&amp;CertGrant=RIGHT(LEFT($A$2,7),2)&amp;LEFT($A$66,4)&amp;$B$70&amp;U$3,CertBen))+SUM(IF(CertFund&amp;CertProg&amp;CertObj&amp;CertGrant=RIGHT(LEFT($A$2,7),2)&amp;LEFT($A$67,4)&amp;$B$70&amp;U$3,CertBen))+SUM(IF(CertFund&amp;CertProg&amp;CertObj&amp;CertGrant=RIGHT(LEFT($A$2,7),2)&amp;LEFT($A$68,4)&amp;$B$70&amp;U$3,CertBen))+SUM(IF(CertFund&amp;CertProg&amp;CertObj&amp;CertGrant=RIGHT(LEFT($A$2,7),2)&amp;LEFT($A$69,4)&amp;$B$70&amp;U$3,CertBen))</f>
        <v>0</v>
      </c>
      <c r="V72" s="528">
        <f t="array" ref="V72">SUM(IF(CertFund&amp;CertProg&amp;CertObj&amp;CertGrant=RIGHT(LEFT($A$2,7),2)&amp;LEFT($A$63,4)&amp;$B$70&amp;V$3,CertBen))+SUM(IF(CertFund&amp;CertProg&amp;CertObj&amp;CertGrant=RIGHT(LEFT($A$2,7),2)&amp;LEFT($A$64,4)&amp;$B$70&amp;V$3,CertBen))+SUM(IF(CertFund&amp;CertProg&amp;CertObj&amp;CertGrant=RIGHT(LEFT($A$2,7),2)&amp;LEFT($A$65,4)&amp;$B$70&amp;V$3,CertBen))+SUM(IF(CertFund&amp;CertProg&amp;CertObj&amp;CertGrant=RIGHT(LEFT($A$2,7),2)&amp;LEFT($A$66,4)&amp;$B$70&amp;V$3,CertBen))+SUM(IF(CertFund&amp;CertProg&amp;CertObj&amp;CertGrant=RIGHT(LEFT($A$2,7),2)&amp;LEFT($A$67,4)&amp;$B$70&amp;V$3,CertBen))+SUM(IF(CertFund&amp;CertProg&amp;CertObj&amp;CertGrant=RIGHT(LEFT($A$2,7),2)&amp;LEFT($A$68,4)&amp;$B$70&amp;V$3,CertBen))+SUM(IF(CertFund&amp;CertProg&amp;CertObj&amp;CertGrant=RIGHT(LEFT($A$2,7),2)&amp;LEFT($A$69,4)&amp;$B$70&amp;V$3,CertBen))</f>
        <v>0</v>
      </c>
      <c r="W72" s="528">
        <f t="array" ref="W72">SUM(IF(CertFund&amp;CertProg&amp;CertObj&amp;CertGrant=RIGHT(LEFT($A$2,7),2)&amp;LEFT($A$63,4)&amp;$B$70&amp;W$3,CertBen))+SUM(IF(CertFund&amp;CertProg&amp;CertObj&amp;CertGrant=RIGHT(LEFT($A$2,7),2)&amp;LEFT($A$64,4)&amp;$B$70&amp;W$3,CertBen))+SUM(IF(CertFund&amp;CertProg&amp;CertObj&amp;CertGrant=RIGHT(LEFT($A$2,7),2)&amp;LEFT($A$65,4)&amp;$B$70&amp;W$3,CertBen))+SUM(IF(CertFund&amp;CertProg&amp;CertObj&amp;CertGrant=RIGHT(LEFT($A$2,7),2)&amp;LEFT($A$66,4)&amp;$B$70&amp;W$3,CertBen))+SUM(IF(CertFund&amp;CertProg&amp;CertObj&amp;CertGrant=RIGHT(LEFT($A$2,7),2)&amp;LEFT($A$67,4)&amp;$B$70&amp;W$3,CertBen))+SUM(IF(CertFund&amp;CertProg&amp;CertObj&amp;CertGrant=RIGHT(LEFT($A$2,7),2)&amp;LEFT($A$68,4)&amp;$B$70&amp;W$3,CertBen))+SUM(IF(CertFund&amp;CertProg&amp;CertObj&amp;CertGrant=RIGHT(LEFT($A$2,7),2)&amp;LEFT($A$69,4)&amp;$B$70&amp;W$3,CertBen))</f>
        <v>0</v>
      </c>
      <c r="X72" s="341">
        <f t="shared" si="12"/>
        <v>0</v>
      </c>
    </row>
    <row r="73" spans="1:24" ht="11.25" x14ac:dyDescent="0.2">
      <c r="A73" s="350" t="s">
        <v>1439</v>
      </c>
      <c r="B73" s="588" t="s">
        <v>1578</v>
      </c>
      <c r="C73" s="312" t="s">
        <v>511</v>
      </c>
      <c r="D73" s="590">
        <v>0</v>
      </c>
      <c r="E73" s="590">
        <v>0</v>
      </c>
      <c r="F73" s="590">
        <v>0</v>
      </c>
      <c r="G73" s="590">
        <v>0</v>
      </c>
      <c r="H73" s="590">
        <v>0</v>
      </c>
      <c r="I73" s="590">
        <v>0</v>
      </c>
      <c r="J73" s="590">
        <v>0</v>
      </c>
      <c r="K73" s="590">
        <v>0</v>
      </c>
      <c r="L73" s="590">
        <v>0</v>
      </c>
      <c r="M73" s="590">
        <v>0</v>
      </c>
      <c r="N73" s="590">
        <v>0</v>
      </c>
      <c r="O73" s="590">
        <v>0</v>
      </c>
      <c r="P73" s="590">
        <v>0</v>
      </c>
      <c r="Q73" s="590">
        <v>0</v>
      </c>
      <c r="R73" s="590">
        <v>0</v>
      </c>
      <c r="S73" s="590">
        <v>0</v>
      </c>
      <c r="T73" s="590">
        <v>0</v>
      </c>
      <c r="U73" s="590">
        <v>0</v>
      </c>
      <c r="V73" s="590">
        <v>0</v>
      </c>
      <c r="W73" s="590">
        <v>0</v>
      </c>
      <c r="X73" s="341">
        <f t="shared" si="12"/>
        <v>0</v>
      </c>
    </row>
    <row r="74" spans="1:24" ht="11.25" x14ac:dyDescent="0.2">
      <c r="A74" s="350">
        <v>14</v>
      </c>
      <c r="B74" s="588" t="s">
        <v>1579</v>
      </c>
      <c r="C74" s="329" t="s">
        <v>273</v>
      </c>
      <c r="D74" s="590">
        <v>0</v>
      </c>
      <c r="E74" s="590">
        <v>0</v>
      </c>
      <c r="F74" s="590">
        <v>0</v>
      </c>
      <c r="G74" s="590">
        <v>0</v>
      </c>
      <c r="H74" s="590">
        <v>0</v>
      </c>
      <c r="I74" s="590">
        <v>0</v>
      </c>
      <c r="J74" s="590">
        <v>0</v>
      </c>
      <c r="K74" s="590">
        <v>0</v>
      </c>
      <c r="L74" s="591">
        <v>0</v>
      </c>
      <c r="M74" s="591">
        <v>0</v>
      </c>
      <c r="N74" s="591">
        <v>0</v>
      </c>
      <c r="O74" s="591">
        <v>0</v>
      </c>
      <c r="P74" s="591">
        <v>0</v>
      </c>
      <c r="Q74" s="591">
        <v>0</v>
      </c>
      <c r="R74" s="591">
        <v>0</v>
      </c>
      <c r="S74" s="591">
        <v>0</v>
      </c>
      <c r="T74" s="591">
        <v>0</v>
      </c>
      <c r="U74" s="591">
        <v>0</v>
      </c>
      <c r="V74" s="591">
        <v>0</v>
      </c>
      <c r="W74" s="591">
        <v>0</v>
      </c>
      <c r="X74" s="341">
        <f t="shared" si="12"/>
        <v>0</v>
      </c>
    </row>
    <row r="75" spans="1:24" ht="11.25" x14ac:dyDescent="0.2">
      <c r="A75" s="350">
        <v>15</v>
      </c>
      <c r="B75" s="588" t="s">
        <v>1580</v>
      </c>
      <c r="C75" s="327" t="s">
        <v>277</v>
      </c>
      <c r="D75" s="590">
        <v>0</v>
      </c>
      <c r="E75" s="590">
        <v>0</v>
      </c>
      <c r="F75" s="590">
        <v>0</v>
      </c>
      <c r="G75" s="590">
        <v>0</v>
      </c>
      <c r="H75" s="590">
        <v>0</v>
      </c>
      <c r="I75" s="590">
        <v>0</v>
      </c>
      <c r="J75" s="590">
        <v>0</v>
      </c>
      <c r="K75" s="590">
        <v>0</v>
      </c>
      <c r="L75" s="591">
        <v>0</v>
      </c>
      <c r="M75" s="591">
        <v>0</v>
      </c>
      <c r="N75" s="591">
        <v>0</v>
      </c>
      <c r="O75" s="591">
        <v>0</v>
      </c>
      <c r="P75" s="591">
        <v>0</v>
      </c>
      <c r="Q75" s="591">
        <v>0</v>
      </c>
      <c r="R75" s="591">
        <v>0</v>
      </c>
      <c r="S75" s="591">
        <v>0</v>
      </c>
      <c r="T75" s="591">
        <v>0</v>
      </c>
      <c r="U75" s="591">
        <v>0</v>
      </c>
      <c r="V75" s="591">
        <v>0</v>
      </c>
      <c r="W75" s="591">
        <v>0</v>
      </c>
      <c r="X75" s="341">
        <f t="shared" si="12"/>
        <v>0</v>
      </c>
    </row>
    <row r="76" spans="1:24" ht="11.25" x14ac:dyDescent="0.2">
      <c r="A76" s="350">
        <v>16</v>
      </c>
      <c r="B76" s="188" t="s">
        <v>1581</v>
      </c>
      <c r="C76" s="329" t="s">
        <v>274</v>
      </c>
      <c r="D76" s="590">
        <v>0</v>
      </c>
      <c r="E76" s="590">
        <v>0</v>
      </c>
      <c r="F76" s="590">
        <v>0</v>
      </c>
      <c r="G76" s="590">
        <v>0</v>
      </c>
      <c r="H76" s="590">
        <v>0</v>
      </c>
      <c r="I76" s="590">
        <v>0</v>
      </c>
      <c r="J76" s="590">
        <v>0</v>
      </c>
      <c r="K76" s="590">
        <v>0</v>
      </c>
      <c r="L76" s="591">
        <v>0</v>
      </c>
      <c r="M76" s="591">
        <v>0</v>
      </c>
      <c r="N76" s="591">
        <v>0</v>
      </c>
      <c r="O76" s="591">
        <v>0</v>
      </c>
      <c r="P76" s="591">
        <v>0</v>
      </c>
      <c r="Q76" s="591">
        <v>0</v>
      </c>
      <c r="R76" s="591">
        <v>0</v>
      </c>
      <c r="S76" s="591">
        <v>0</v>
      </c>
      <c r="T76" s="591">
        <v>0</v>
      </c>
      <c r="U76" s="591">
        <v>0</v>
      </c>
      <c r="V76" s="591">
        <v>0</v>
      </c>
      <c r="W76" s="591">
        <v>0</v>
      </c>
      <c r="X76" s="341">
        <f t="shared" si="12"/>
        <v>0</v>
      </c>
    </row>
    <row r="77" spans="1:24" ht="11.25" x14ac:dyDescent="0.2">
      <c r="A77" s="350">
        <v>17</v>
      </c>
      <c r="B77" s="188" t="s">
        <v>1582</v>
      </c>
      <c r="C77" s="327" t="s">
        <v>275</v>
      </c>
      <c r="D77" s="590">
        <v>0</v>
      </c>
      <c r="E77" s="590">
        <v>0</v>
      </c>
      <c r="F77" s="590">
        <v>0</v>
      </c>
      <c r="G77" s="590">
        <v>0</v>
      </c>
      <c r="H77" s="590">
        <v>0</v>
      </c>
      <c r="I77" s="590">
        <v>0</v>
      </c>
      <c r="J77" s="590">
        <v>0</v>
      </c>
      <c r="K77" s="590">
        <v>0</v>
      </c>
      <c r="L77" s="591">
        <v>0</v>
      </c>
      <c r="M77" s="591">
        <v>0</v>
      </c>
      <c r="N77" s="591">
        <v>0</v>
      </c>
      <c r="O77" s="591">
        <v>0</v>
      </c>
      <c r="P77" s="591">
        <v>0</v>
      </c>
      <c r="Q77" s="591">
        <v>0</v>
      </c>
      <c r="R77" s="591">
        <v>0</v>
      </c>
      <c r="S77" s="591">
        <v>0</v>
      </c>
      <c r="T77" s="591">
        <v>0</v>
      </c>
      <c r="U77" s="591">
        <v>0</v>
      </c>
      <c r="V77" s="591">
        <v>0</v>
      </c>
      <c r="W77" s="591">
        <v>0</v>
      </c>
      <c r="X77" s="341">
        <f t="shared" si="12"/>
        <v>0</v>
      </c>
    </row>
    <row r="78" spans="1:24" ht="11.25" x14ac:dyDescent="0.2">
      <c r="A78" s="350">
        <v>18</v>
      </c>
      <c r="B78" s="188" t="s">
        <v>1584</v>
      </c>
      <c r="C78" s="327" t="s">
        <v>276</v>
      </c>
      <c r="D78" s="590">
        <v>0</v>
      </c>
      <c r="E78" s="590">
        <v>0</v>
      </c>
      <c r="F78" s="590">
        <v>0</v>
      </c>
      <c r="G78" s="590">
        <v>0</v>
      </c>
      <c r="H78" s="590">
        <v>0</v>
      </c>
      <c r="I78" s="590">
        <v>0</v>
      </c>
      <c r="J78" s="590">
        <v>0</v>
      </c>
      <c r="K78" s="590">
        <v>0</v>
      </c>
      <c r="L78" s="591">
        <v>0</v>
      </c>
      <c r="M78" s="591">
        <v>0</v>
      </c>
      <c r="N78" s="591">
        <v>0</v>
      </c>
      <c r="O78" s="591">
        <v>0</v>
      </c>
      <c r="P78" s="591">
        <v>0</v>
      </c>
      <c r="Q78" s="591">
        <v>0</v>
      </c>
      <c r="R78" s="591">
        <v>0</v>
      </c>
      <c r="S78" s="591">
        <v>0</v>
      </c>
      <c r="T78" s="591">
        <v>0</v>
      </c>
      <c r="U78" s="591">
        <v>0</v>
      </c>
      <c r="V78" s="591">
        <v>0</v>
      </c>
      <c r="W78" s="591">
        <v>0</v>
      </c>
      <c r="X78" s="341">
        <f t="shared" si="12"/>
        <v>0</v>
      </c>
    </row>
    <row r="79" spans="1:24" ht="11.25" x14ac:dyDescent="0.2">
      <c r="A79" s="351">
        <v>19</v>
      </c>
      <c r="C79" s="352" t="s">
        <v>295</v>
      </c>
      <c r="D79" s="347">
        <f>SUM(D70:D78)</f>
        <v>0</v>
      </c>
      <c r="E79" s="347">
        <f t="shared" ref="E79:W79" si="13">SUM(E70:E78)</f>
        <v>0</v>
      </c>
      <c r="F79" s="347">
        <f t="shared" si="13"/>
        <v>0</v>
      </c>
      <c r="G79" s="347">
        <f t="shared" si="13"/>
        <v>0</v>
      </c>
      <c r="H79" s="347">
        <f t="shared" si="13"/>
        <v>0</v>
      </c>
      <c r="I79" s="347">
        <f t="shared" si="13"/>
        <v>0</v>
      </c>
      <c r="J79" s="347">
        <f t="shared" si="13"/>
        <v>0</v>
      </c>
      <c r="K79" s="347">
        <f t="shared" si="13"/>
        <v>0</v>
      </c>
      <c r="L79" s="347">
        <f t="shared" si="13"/>
        <v>0</v>
      </c>
      <c r="M79" s="347">
        <f t="shared" si="13"/>
        <v>0</v>
      </c>
      <c r="N79" s="347">
        <f t="shared" si="13"/>
        <v>0</v>
      </c>
      <c r="O79" s="347">
        <f t="shared" si="13"/>
        <v>0</v>
      </c>
      <c r="P79" s="347">
        <f t="shared" si="13"/>
        <v>0</v>
      </c>
      <c r="Q79" s="347">
        <f t="shared" si="13"/>
        <v>0</v>
      </c>
      <c r="R79" s="347">
        <f t="shared" si="13"/>
        <v>0</v>
      </c>
      <c r="S79" s="347">
        <f t="shared" si="13"/>
        <v>0</v>
      </c>
      <c r="T79" s="347">
        <f t="shared" si="13"/>
        <v>0</v>
      </c>
      <c r="U79" s="347">
        <f t="shared" si="13"/>
        <v>0</v>
      </c>
      <c r="V79" s="347">
        <f t="shared" si="13"/>
        <v>0</v>
      </c>
      <c r="W79" s="347">
        <f t="shared" si="13"/>
        <v>0</v>
      </c>
      <c r="X79" s="341">
        <f t="shared" si="12"/>
        <v>0</v>
      </c>
    </row>
    <row r="80" spans="1:24" ht="11.25" x14ac:dyDescent="0.2">
      <c r="A80" s="371" t="s">
        <v>1435</v>
      </c>
      <c r="B80" s="369"/>
      <c r="C80" s="348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</row>
    <row r="81" spans="1:24" ht="11.25" x14ac:dyDescent="0.2">
      <c r="A81" s="340">
        <v>20</v>
      </c>
      <c r="B81" s="588" t="s">
        <v>1577</v>
      </c>
      <c r="C81" s="312" t="s">
        <v>228</v>
      </c>
      <c r="D81" s="528">
        <f t="array" ref="D81">SUM(IF(CertFund&amp;CertProg&amp;CertObj&amp;CertGrant=RIGHT(LEFT($A$2,7),2)&amp;LEFT($A$80,4)&amp;$B$81&amp;D$3,CertSalary))</f>
        <v>0</v>
      </c>
      <c r="E81" s="528">
        <f t="array" ref="E81">SUM(IF(CertFund&amp;CertProg&amp;CertObj&amp;CertGrant=RIGHT(LEFT($A$2,7),2)&amp;LEFT($A$80,4)&amp;$B$81&amp;E$3,CertSalary))</f>
        <v>0</v>
      </c>
      <c r="F81" s="528">
        <f t="array" ref="F81">SUM(IF(CertFund&amp;CertProg&amp;CertObj&amp;CertGrant=RIGHT(LEFT($A$2,7),2)&amp;LEFT($A$80,4)&amp;$B$81&amp;F$3,CertSalary))</f>
        <v>0</v>
      </c>
      <c r="G81" s="528">
        <f t="array" ref="G81">SUM(IF(CertFund&amp;CertProg&amp;CertObj&amp;CertGrant=RIGHT(LEFT($A$2,7),2)&amp;LEFT($A$80,4)&amp;$B$81&amp;G$3,CertSalary))</f>
        <v>0</v>
      </c>
      <c r="H81" s="528">
        <f t="array" ref="H81">SUM(IF(CertFund&amp;CertProg&amp;CertObj&amp;CertGrant=RIGHT(LEFT($A$2,7),2)&amp;LEFT($A$80,4)&amp;$B$81&amp;H$3,CertSalary))</f>
        <v>0</v>
      </c>
      <c r="I81" s="528">
        <f t="array" ref="I81">SUM(IF(CertFund&amp;CertProg&amp;CertObj&amp;CertGrant=RIGHT(LEFT($A$2,7),2)&amp;LEFT($A$80,4)&amp;$B$81&amp;I$3,CertSalary))</f>
        <v>0</v>
      </c>
      <c r="J81" s="528">
        <f t="array" ref="J81">SUM(IF(CertFund&amp;CertProg&amp;CertObj&amp;CertGrant=RIGHT(LEFT($A$2,7),2)&amp;LEFT($A$80,4)&amp;$B$81&amp;J$3,CertSalary))</f>
        <v>0</v>
      </c>
      <c r="K81" s="528">
        <f t="array" ref="K81">SUM(IF(CertFund&amp;CertProg&amp;CertObj&amp;CertGrant=RIGHT(LEFT($A$2,7),2)&amp;LEFT($A$80,4)&amp;$B$81&amp;K$3,CertSalary))</f>
        <v>0</v>
      </c>
      <c r="L81" s="528">
        <f t="array" ref="L81">SUM(IF(CertFund&amp;CertProg&amp;CertObj&amp;CertGrant=RIGHT(LEFT($A$2,7),2)&amp;LEFT($A$80,4)&amp;$B$81&amp;L$3,CertSalary))</f>
        <v>0</v>
      </c>
      <c r="M81" s="528">
        <f t="array" ref="M81">SUM(IF(CertFund&amp;CertProg&amp;CertObj&amp;CertGrant=RIGHT(LEFT($A$2,7),2)&amp;LEFT($A$80,4)&amp;$B$81&amp;M$3,CertSalary))</f>
        <v>0</v>
      </c>
      <c r="N81" s="528">
        <f t="array" ref="N81">SUM(IF(CertFund&amp;CertProg&amp;CertObj&amp;CertGrant=RIGHT(LEFT($A$2,7),2)&amp;LEFT($A$80,4)&amp;$B$81&amp;N$3,CertSalary))</f>
        <v>0</v>
      </c>
      <c r="O81" s="528">
        <f t="array" ref="O81">SUM(IF(CertFund&amp;CertProg&amp;CertObj&amp;CertGrant=RIGHT(LEFT($A$2,7),2)&amp;LEFT($A$80,4)&amp;$B$81&amp;O$3,CertSalary))</f>
        <v>0</v>
      </c>
      <c r="P81" s="528">
        <f t="array" ref="P81">SUM(IF(CertFund&amp;CertProg&amp;CertObj&amp;CertGrant=RIGHT(LEFT($A$2,7),2)&amp;LEFT($A$80,4)&amp;$B$81&amp;P$3,CertSalary))</f>
        <v>0</v>
      </c>
      <c r="Q81" s="528">
        <f t="array" ref="Q81">SUM(IF(CertFund&amp;CertProg&amp;CertObj&amp;CertGrant=RIGHT(LEFT($A$2,7),2)&amp;LEFT($A$80,4)&amp;$B$81&amp;Q$3,CertSalary))</f>
        <v>0</v>
      </c>
      <c r="R81" s="528">
        <f t="array" ref="R81">SUM(IF(CertFund&amp;CertProg&amp;CertObj&amp;CertGrant=RIGHT(LEFT($A$2,7),2)&amp;LEFT($A$80,4)&amp;$B$81&amp;R$3,CertSalary))</f>
        <v>0</v>
      </c>
      <c r="S81" s="528">
        <f t="array" ref="S81">SUM(IF(CertFund&amp;CertProg&amp;CertObj&amp;CertGrant=RIGHT(LEFT($A$2,7),2)&amp;LEFT($A$80,4)&amp;$B$81&amp;S$3,CertSalary))</f>
        <v>0</v>
      </c>
      <c r="T81" s="528">
        <f t="array" ref="T81">SUM(IF(CertFund&amp;CertProg&amp;CertObj&amp;CertGrant=RIGHT(LEFT($A$2,7),2)&amp;LEFT($A$80,4)&amp;$B$81&amp;T$3,CertSalary))</f>
        <v>0</v>
      </c>
      <c r="U81" s="528">
        <f t="array" ref="U81">SUM(IF(CertFund&amp;CertProg&amp;CertObj&amp;CertGrant=RIGHT(LEFT($A$2,7),2)&amp;LEFT($A$80,4)&amp;$B$81&amp;U$3,CertSalary))</f>
        <v>0</v>
      </c>
      <c r="V81" s="528">
        <f t="array" ref="V81">SUM(IF(CertFund&amp;CertProg&amp;CertObj&amp;CertGrant=RIGHT(LEFT($A$2,7),2)&amp;LEFT($A$80,4)&amp;$B$81&amp;V$3,CertSalary))</f>
        <v>0</v>
      </c>
      <c r="W81" s="528">
        <f t="array" ref="W81">SUM(IF(CertFund&amp;CertProg&amp;CertObj&amp;CertGrant=RIGHT(LEFT($A$2,7),2)&amp;LEFT($A$80,4)&amp;$B$81&amp;W$3,CertSalary))</f>
        <v>0</v>
      </c>
      <c r="X81" s="347">
        <f t="shared" ref="X81:X89" si="14">SUM(D81:W81)</f>
        <v>0</v>
      </c>
    </row>
    <row r="82" spans="1:24" ht="11.25" x14ac:dyDescent="0.2">
      <c r="A82" s="340" t="s">
        <v>1440</v>
      </c>
      <c r="B82" s="588" t="s">
        <v>1577</v>
      </c>
      <c r="C82" s="312" t="s">
        <v>510</v>
      </c>
      <c r="D82" s="147">
        <v>0</v>
      </c>
      <c r="E82" s="147">
        <v>0</v>
      </c>
      <c r="F82" s="147">
        <v>0</v>
      </c>
      <c r="G82" s="147">
        <v>0</v>
      </c>
      <c r="H82" s="147">
        <v>0</v>
      </c>
      <c r="I82" s="147">
        <v>0</v>
      </c>
      <c r="J82" s="147">
        <v>0</v>
      </c>
      <c r="K82" s="147">
        <v>0</v>
      </c>
      <c r="L82" s="147">
        <v>0</v>
      </c>
      <c r="M82" s="147">
        <v>0</v>
      </c>
      <c r="N82" s="147">
        <v>0</v>
      </c>
      <c r="O82" s="147">
        <v>0</v>
      </c>
      <c r="P82" s="147">
        <v>0</v>
      </c>
      <c r="Q82" s="147">
        <v>0</v>
      </c>
      <c r="R82" s="147">
        <v>0</v>
      </c>
      <c r="S82" s="147">
        <v>0</v>
      </c>
      <c r="T82" s="147">
        <v>0</v>
      </c>
      <c r="U82" s="147">
        <v>0</v>
      </c>
      <c r="V82" s="147">
        <v>0</v>
      </c>
      <c r="W82" s="147">
        <v>0</v>
      </c>
      <c r="X82" s="341">
        <f t="shared" si="14"/>
        <v>0</v>
      </c>
    </row>
    <row r="83" spans="1:24" ht="11.25" x14ac:dyDescent="0.2">
      <c r="A83" s="340">
        <v>21</v>
      </c>
      <c r="B83" s="588" t="s">
        <v>1578</v>
      </c>
      <c r="C83" s="312" t="s">
        <v>76</v>
      </c>
      <c r="D83" s="528">
        <f t="array" ref="D83">SUM(IF(CertFund&amp;CertProg&amp;CertObj&amp;CertGrant=RIGHT(LEFT($A$2,7),2)&amp;LEFT($A$80,4)&amp;$B$81&amp;D$3,CertBen))</f>
        <v>0</v>
      </c>
      <c r="E83" s="528">
        <f t="array" ref="E83">SUM(IF(CertFund&amp;CertProg&amp;CertObj&amp;CertGrant=RIGHT(LEFT($A$2,7),2)&amp;LEFT($A$80,4)&amp;$B$81&amp;E$3,CertBen))</f>
        <v>0</v>
      </c>
      <c r="F83" s="528">
        <f t="array" ref="F83">SUM(IF(CertFund&amp;CertProg&amp;CertObj&amp;CertGrant=RIGHT(LEFT($A$2,7),2)&amp;LEFT($A$80,4)&amp;$B$81&amp;F$3,CertBen))</f>
        <v>0</v>
      </c>
      <c r="G83" s="528">
        <f t="array" ref="G83">SUM(IF(CertFund&amp;CertProg&amp;CertObj&amp;CertGrant=RIGHT(LEFT($A$2,7),2)&amp;LEFT($A$80,4)&amp;$B$81&amp;G$3,CertBen))</f>
        <v>0</v>
      </c>
      <c r="H83" s="528">
        <f t="array" ref="H83">SUM(IF(CertFund&amp;CertProg&amp;CertObj&amp;CertGrant=RIGHT(LEFT($A$2,7),2)&amp;LEFT($A$80,4)&amp;$B$81&amp;H$3,CertBen))</f>
        <v>0</v>
      </c>
      <c r="I83" s="528">
        <f t="array" ref="I83">SUM(IF(CertFund&amp;CertProg&amp;CertObj&amp;CertGrant=RIGHT(LEFT($A$2,7),2)&amp;LEFT($A$80,4)&amp;$B$81&amp;I$3,CertBen))</f>
        <v>0</v>
      </c>
      <c r="J83" s="528">
        <f t="array" ref="J83">SUM(IF(CertFund&amp;CertProg&amp;CertObj&amp;CertGrant=RIGHT(LEFT($A$2,7),2)&amp;LEFT($A$80,4)&amp;$B$81&amp;J$3,CertBen))</f>
        <v>0</v>
      </c>
      <c r="K83" s="528">
        <f t="array" ref="K83">SUM(IF(CertFund&amp;CertProg&amp;CertObj&amp;CertGrant=RIGHT(LEFT($A$2,7),2)&amp;LEFT($A$80,4)&amp;$B$81&amp;K$3,CertBen))</f>
        <v>0</v>
      </c>
      <c r="L83" s="528">
        <f t="array" ref="L83">SUM(IF(CertFund&amp;CertProg&amp;CertObj&amp;CertGrant=RIGHT(LEFT($A$2,7),2)&amp;LEFT($A$80,4)&amp;$B$81&amp;L$3,CertBen))</f>
        <v>0</v>
      </c>
      <c r="M83" s="528">
        <f t="array" ref="M83">SUM(IF(CertFund&amp;CertProg&amp;CertObj&amp;CertGrant=RIGHT(LEFT($A$2,7),2)&amp;LEFT($A$80,4)&amp;$B$81&amp;M$3,CertBen))</f>
        <v>0</v>
      </c>
      <c r="N83" s="528">
        <f t="array" ref="N83">SUM(IF(CertFund&amp;CertProg&amp;CertObj&amp;CertGrant=RIGHT(LEFT($A$2,7),2)&amp;LEFT($A$80,4)&amp;$B$81&amp;N$3,CertBen))</f>
        <v>0</v>
      </c>
      <c r="O83" s="528">
        <f t="array" ref="O83">SUM(IF(CertFund&amp;CertProg&amp;CertObj&amp;CertGrant=RIGHT(LEFT($A$2,7),2)&amp;LEFT($A$80,4)&amp;$B$81&amp;O$3,CertBen))</f>
        <v>0</v>
      </c>
      <c r="P83" s="528">
        <f t="array" ref="P83">SUM(IF(CertFund&amp;CertProg&amp;CertObj&amp;CertGrant=RIGHT(LEFT($A$2,7),2)&amp;LEFT($A$80,4)&amp;$B$81&amp;P$3,CertBen))</f>
        <v>0</v>
      </c>
      <c r="Q83" s="528">
        <f t="array" ref="Q83">SUM(IF(CertFund&amp;CertProg&amp;CertObj&amp;CertGrant=RIGHT(LEFT($A$2,7),2)&amp;LEFT($A$80,4)&amp;$B$81&amp;Q$3,CertBen))</f>
        <v>0</v>
      </c>
      <c r="R83" s="528">
        <f t="array" ref="R83">SUM(IF(CertFund&amp;CertProg&amp;CertObj&amp;CertGrant=RIGHT(LEFT($A$2,7),2)&amp;LEFT($A$80,4)&amp;$B$81&amp;R$3,CertBen))</f>
        <v>0</v>
      </c>
      <c r="S83" s="528">
        <f t="array" ref="S83">SUM(IF(CertFund&amp;CertProg&amp;CertObj&amp;CertGrant=RIGHT(LEFT($A$2,7),2)&amp;LEFT($A$80,4)&amp;$B$81&amp;S$3,CertBen))</f>
        <v>0</v>
      </c>
      <c r="T83" s="528">
        <f t="array" ref="T83">SUM(IF(CertFund&amp;CertProg&amp;CertObj&amp;CertGrant=RIGHT(LEFT($A$2,7),2)&amp;LEFT($A$80,4)&amp;$B$81&amp;T$3,CertBen))</f>
        <v>0</v>
      </c>
      <c r="U83" s="528">
        <f t="array" ref="U83">SUM(IF(CertFund&amp;CertProg&amp;CertObj&amp;CertGrant=RIGHT(LEFT($A$2,7),2)&amp;LEFT($A$80,4)&amp;$B$81&amp;U$3,CertBen))</f>
        <v>0</v>
      </c>
      <c r="V83" s="528">
        <f t="array" ref="V83">SUM(IF(CertFund&amp;CertProg&amp;CertObj&amp;CertGrant=RIGHT(LEFT($A$2,7),2)&amp;LEFT($A$80,4)&amp;$B$81&amp;V$3,CertBen))</f>
        <v>0</v>
      </c>
      <c r="W83" s="528">
        <f t="array" ref="W83">SUM(IF(CertFund&amp;CertProg&amp;CertObj&amp;CertGrant=RIGHT(LEFT($A$2,7),2)&amp;LEFT($A$80,4)&amp;$B$81&amp;W$3,CertBen))</f>
        <v>0</v>
      </c>
      <c r="X83" s="341">
        <f t="shared" si="14"/>
        <v>0</v>
      </c>
    </row>
    <row r="84" spans="1:24" ht="11.25" x14ac:dyDescent="0.2">
      <c r="A84" s="340" t="s">
        <v>1441</v>
      </c>
      <c r="B84" s="588" t="s">
        <v>1578</v>
      </c>
      <c r="C84" s="312" t="s">
        <v>511</v>
      </c>
      <c r="D84" s="590">
        <v>0</v>
      </c>
      <c r="E84" s="590">
        <v>0</v>
      </c>
      <c r="F84" s="590">
        <v>0</v>
      </c>
      <c r="G84" s="590">
        <v>0</v>
      </c>
      <c r="H84" s="590">
        <v>0</v>
      </c>
      <c r="I84" s="590">
        <v>0</v>
      </c>
      <c r="J84" s="590">
        <v>0</v>
      </c>
      <c r="K84" s="590">
        <v>0</v>
      </c>
      <c r="L84" s="590">
        <v>0</v>
      </c>
      <c r="M84" s="590">
        <v>0</v>
      </c>
      <c r="N84" s="590">
        <v>0</v>
      </c>
      <c r="O84" s="590">
        <v>0</v>
      </c>
      <c r="P84" s="590">
        <v>0</v>
      </c>
      <c r="Q84" s="590">
        <v>0</v>
      </c>
      <c r="R84" s="590">
        <v>0</v>
      </c>
      <c r="S84" s="590">
        <v>0</v>
      </c>
      <c r="T84" s="590">
        <v>0</v>
      </c>
      <c r="U84" s="590">
        <v>0</v>
      </c>
      <c r="V84" s="590">
        <v>0</v>
      </c>
      <c r="W84" s="590">
        <v>0</v>
      </c>
      <c r="X84" s="341">
        <f t="shared" si="14"/>
        <v>0</v>
      </c>
    </row>
    <row r="85" spans="1:24" ht="11.25" x14ac:dyDescent="0.2">
      <c r="A85" s="340">
        <v>22</v>
      </c>
      <c r="B85" s="588" t="s">
        <v>1579</v>
      </c>
      <c r="C85" s="329" t="s">
        <v>273</v>
      </c>
      <c r="D85" s="590">
        <v>0</v>
      </c>
      <c r="E85" s="590">
        <v>0</v>
      </c>
      <c r="F85" s="590">
        <v>0</v>
      </c>
      <c r="G85" s="590">
        <v>0</v>
      </c>
      <c r="H85" s="590">
        <v>0</v>
      </c>
      <c r="I85" s="590">
        <v>0</v>
      </c>
      <c r="J85" s="590">
        <v>0</v>
      </c>
      <c r="K85" s="590">
        <v>0</v>
      </c>
      <c r="L85" s="591">
        <v>0</v>
      </c>
      <c r="M85" s="591">
        <v>0</v>
      </c>
      <c r="N85" s="591">
        <v>0</v>
      </c>
      <c r="O85" s="591">
        <v>0</v>
      </c>
      <c r="P85" s="591">
        <v>0</v>
      </c>
      <c r="Q85" s="591">
        <v>0</v>
      </c>
      <c r="R85" s="591">
        <v>0</v>
      </c>
      <c r="S85" s="591">
        <v>0</v>
      </c>
      <c r="T85" s="591">
        <v>0</v>
      </c>
      <c r="U85" s="591">
        <v>0</v>
      </c>
      <c r="V85" s="591">
        <v>0</v>
      </c>
      <c r="W85" s="591">
        <v>0</v>
      </c>
      <c r="X85" s="341">
        <f t="shared" si="14"/>
        <v>0</v>
      </c>
    </row>
    <row r="86" spans="1:24" ht="11.25" x14ac:dyDescent="0.2">
      <c r="A86" s="340">
        <v>23</v>
      </c>
      <c r="B86" s="188" t="s">
        <v>1581</v>
      </c>
      <c r="C86" s="329" t="s">
        <v>274</v>
      </c>
      <c r="D86" s="590">
        <v>0</v>
      </c>
      <c r="E86" s="590">
        <v>0</v>
      </c>
      <c r="F86" s="590">
        <v>0</v>
      </c>
      <c r="G86" s="590">
        <v>0</v>
      </c>
      <c r="H86" s="590">
        <v>0</v>
      </c>
      <c r="I86" s="590">
        <v>0</v>
      </c>
      <c r="J86" s="590">
        <v>0</v>
      </c>
      <c r="K86" s="590">
        <v>0</v>
      </c>
      <c r="L86" s="591">
        <v>0</v>
      </c>
      <c r="M86" s="591">
        <v>0</v>
      </c>
      <c r="N86" s="591">
        <v>0</v>
      </c>
      <c r="O86" s="591">
        <v>0</v>
      </c>
      <c r="P86" s="591">
        <v>0</v>
      </c>
      <c r="Q86" s="591">
        <v>0</v>
      </c>
      <c r="R86" s="591">
        <v>0</v>
      </c>
      <c r="S86" s="591">
        <v>0</v>
      </c>
      <c r="T86" s="591">
        <v>0</v>
      </c>
      <c r="U86" s="591">
        <v>0</v>
      </c>
      <c r="V86" s="591">
        <v>0</v>
      </c>
      <c r="W86" s="591">
        <v>0</v>
      </c>
      <c r="X86" s="341">
        <f t="shared" si="14"/>
        <v>0</v>
      </c>
    </row>
    <row r="87" spans="1:24" ht="11.25" x14ac:dyDescent="0.2">
      <c r="A87" s="340">
        <v>24</v>
      </c>
      <c r="B87" s="188" t="s">
        <v>1582</v>
      </c>
      <c r="C87" s="329" t="s">
        <v>275</v>
      </c>
      <c r="D87" s="590">
        <v>0</v>
      </c>
      <c r="E87" s="590">
        <v>0</v>
      </c>
      <c r="F87" s="590">
        <v>0</v>
      </c>
      <c r="G87" s="590">
        <v>0</v>
      </c>
      <c r="H87" s="590">
        <v>0</v>
      </c>
      <c r="I87" s="590">
        <v>0</v>
      </c>
      <c r="J87" s="590">
        <v>0</v>
      </c>
      <c r="K87" s="590">
        <v>0</v>
      </c>
      <c r="L87" s="591">
        <v>0</v>
      </c>
      <c r="M87" s="591">
        <v>0</v>
      </c>
      <c r="N87" s="591">
        <v>0</v>
      </c>
      <c r="O87" s="591">
        <v>0</v>
      </c>
      <c r="P87" s="591">
        <v>0</v>
      </c>
      <c r="Q87" s="591">
        <v>0</v>
      </c>
      <c r="R87" s="591">
        <v>0</v>
      </c>
      <c r="S87" s="591">
        <v>0</v>
      </c>
      <c r="T87" s="591">
        <v>0</v>
      </c>
      <c r="U87" s="591">
        <v>0</v>
      </c>
      <c r="V87" s="591">
        <v>0</v>
      </c>
      <c r="W87" s="591">
        <v>0</v>
      </c>
      <c r="X87" s="341">
        <f t="shared" si="14"/>
        <v>0</v>
      </c>
    </row>
    <row r="88" spans="1:24" ht="11.25" x14ac:dyDescent="0.2">
      <c r="A88" s="350">
        <v>25</v>
      </c>
      <c r="B88" s="188" t="s">
        <v>1584</v>
      </c>
      <c r="C88" s="327" t="s">
        <v>276</v>
      </c>
      <c r="D88" s="590">
        <v>0</v>
      </c>
      <c r="E88" s="590">
        <v>0</v>
      </c>
      <c r="F88" s="590">
        <v>0</v>
      </c>
      <c r="G88" s="590">
        <v>0</v>
      </c>
      <c r="H88" s="590">
        <v>0</v>
      </c>
      <c r="I88" s="590">
        <v>0</v>
      </c>
      <c r="J88" s="590">
        <v>0</v>
      </c>
      <c r="K88" s="590">
        <v>0</v>
      </c>
      <c r="L88" s="591">
        <v>0</v>
      </c>
      <c r="M88" s="591">
        <v>0</v>
      </c>
      <c r="N88" s="591">
        <v>0</v>
      </c>
      <c r="O88" s="591">
        <v>0</v>
      </c>
      <c r="P88" s="591">
        <v>0</v>
      </c>
      <c r="Q88" s="591">
        <v>0</v>
      </c>
      <c r="R88" s="591">
        <v>0</v>
      </c>
      <c r="S88" s="591">
        <v>0</v>
      </c>
      <c r="T88" s="591">
        <v>0</v>
      </c>
      <c r="U88" s="591">
        <v>0</v>
      </c>
      <c r="V88" s="591">
        <v>0</v>
      </c>
      <c r="W88" s="591">
        <v>0</v>
      </c>
      <c r="X88" s="341">
        <f t="shared" si="14"/>
        <v>0</v>
      </c>
    </row>
    <row r="89" spans="1:24" ht="11.25" x14ac:dyDescent="0.2">
      <c r="A89" s="340">
        <v>26</v>
      </c>
      <c r="C89" s="346" t="s">
        <v>296</v>
      </c>
      <c r="D89" s="347">
        <f>SUM(D81:D88)</f>
        <v>0</v>
      </c>
      <c r="E89" s="347">
        <f t="shared" ref="E89:W89" si="15">SUM(E81:E88)</f>
        <v>0</v>
      </c>
      <c r="F89" s="347">
        <f t="shared" si="15"/>
        <v>0</v>
      </c>
      <c r="G89" s="347">
        <f t="shared" si="15"/>
        <v>0</v>
      </c>
      <c r="H89" s="347">
        <f t="shared" si="15"/>
        <v>0</v>
      </c>
      <c r="I89" s="347">
        <f t="shared" si="15"/>
        <v>0</v>
      </c>
      <c r="J89" s="347">
        <f t="shared" si="15"/>
        <v>0</v>
      </c>
      <c r="K89" s="353">
        <f t="shared" si="15"/>
        <v>0</v>
      </c>
      <c r="L89" s="353">
        <f t="shared" si="15"/>
        <v>0</v>
      </c>
      <c r="M89" s="353">
        <f t="shared" si="15"/>
        <v>0</v>
      </c>
      <c r="N89" s="353">
        <f t="shared" si="15"/>
        <v>0</v>
      </c>
      <c r="O89" s="353">
        <f t="shared" si="15"/>
        <v>0</v>
      </c>
      <c r="P89" s="353">
        <f t="shared" si="15"/>
        <v>0</v>
      </c>
      <c r="Q89" s="353">
        <f t="shared" si="15"/>
        <v>0</v>
      </c>
      <c r="R89" s="353">
        <f t="shared" si="15"/>
        <v>0</v>
      </c>
      <c r="S89" s="353">
        <f t="shared" si="15"/>
        <v>0</v>
      </c>
      <c r="T89" s="353">
        <f t="shared" si="15"/>
        <v>0</v>
      </c>
      <c r="U89" s="353">
        <f t="shared" si="15"/>
        <v>0</v>
      </c>
      <c r="V89" s="353">
        <f t="shared" si="15"/>
        <v>0</v>
      </c>
      <c r="W89" s="353">
        <f t="shared" si="15"/>
        <v>0</v>
      </c>
      <c r="X89" s="341">
        <f t="shared" si="14"/>
        <v>0</v>
      </c>
    </row>
    <row r="90" spans="1:24" ht="11.25" x14ac:dyDescent="0.2">
      <c r="A90" s="371" t="s">
        <v>1444</v>
      </c>
      <c r="B90" s="369"/>
      <c r="C90" s="348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</row>
    <row r="91" spans="1:24" ht="11.25" x14ac:dyDescent="0.2">
      <c r="A91" s="371" t="s">
        <v>1436</v>
      </c>
      <c r="B91" s="369"/>
      <c r="C91" s="348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</row>
    <row r="92" spans="1:24" ht="11.25" x14ac:dyDescent="0.2">
      <c r="A92" s="371" t="s">
        <v>623</v>
      </c>
      <c r="B92" s="369"/>
      <c r="C92" s="348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</row>
    <row r="93" spans="1:24" ht="11.25" x14ac:dyDescent="0.2">
      <c r="A93" s="340">
        <v>27</v>
      </c>
      <c r="B93" s="588" t="s">
        <v>1577</v>
      </c>
      <c r="C93" s="312" t="s">
        <v>228</v>
      </c>
      <c r="D93" s="528">
        <f t="array" ref="D93">SUM(IF(CertFund&amp;CertProg&amp;CertObj&amp;CertGrant=RIGHT(LEFT($A$2,7),2)&amp;LEFT($A$90,4)&amp;$B$93&amp;D$3,CertSalary))+SUM(IF(CertFund&amp;CertProg&amp;CertObj&amp;CertGrant=RIGHT(LEFT($A$2,7),2)&amp;LEFT($A$91,4)&amp;$B$93&amp;D$3,CertSalary))+SUM(IF(CertFund&amp;CertProg&amp;CertObj&amp;CertGrant=RIGHT(LEFT($A$2,7),2)&amp;LEFT($A$92,4)&amp;$B$93&amp;D$3,CertSalary))</f>
        <v>0</v>
      </c>
      <c r="E93" s="528">
        <f t="array" ref="E93">SUM(IF(CertFund&amp;CertProg&amp;CertObj&amp;CertGrant=RIGHT(LEFT($A$2,7),2)&amp;LEFT($A$90,4)&amp;$B$93&amp;E$3,CertSalary))+SUM(IF(CertFund&amp;CertProg&amp;CertObj&amp;CertGrant=RIGHT(LEFT($A$2,7),2)&amp;LEFT($A$91,4)&amp;$B$93&amp;E$3,CertSalary))+SUM(IF(CertFund&amp;CertProg&amp;CertObj&amp;CertGrant=RIGHT(LEFT($A$2,7),2)&amp;LEFT($A$92,4)&amp;$B$93&amp;E$3,CertSalary))</f>
        <v>0</v>
      </c>
      <c r="F93" s="528">
        <f t="array" ref="F93">SUM(IF(CertFund&amp;CertProg&amp;CertObj&amp;CertGrant=RIGHT(LEFT($A$2,7),2)&amp;LEFT($A$90,4)&amp;$B$93&amp;F$3,CertSalary))+SUM(IF(CertFund&amp;CertProg&amp;CertObj&amp;CertGrant=RIGHT(LEFT($A$2,7),2)&amp;LEFT($A$91,4)&amp;$B$93&amp;F$3,CertSalary))+SUM(IF(CertFund&amp;CertProg&amp;CertObj&amp;CertGrant=RIGHT(LEFT($A$2,7),2)&amp;LEFT($A$92,4)&amp;$B$93&amp;F$3,CertSalary))</f>
        <v>0</v>
      </c>
      <c r="G93" s="528">
        <f t="array" ref="G93">SUM(IF(CertFund&amp;CertProg&amp;CertObj&amp;CertGrant=RIGHT(LEFT($A$2,7),2)&amp;LEFT($A$90,4)&amp;$B$93&amp;G$3,CertSalary))+SUM(IF(CertFund&amp;CertProg&amp;CertObj&amp;CertGrant=RIGHT(LEFT($A$2,7),2)&amp;LEFT($A$91,4)&amp;$B$93&amp;G$3,CertSalary))+SUM(IF(CertFund&amp;CertProg&amp;CertObj&amp;CertGrant=RIGHT(LEFT($A$2,7),2)&amp;LEFT($A$92,4)&amp;$B$93&amp;G$3,CertSalary))</f>
        <v>0</v>
      </c>
      <c r="H93" s="528">
        <f t="array" ref="H93">SUM(IF(CertFund&amp;CertProg&amp;CertObj&amp;CertGrant=RIGHT(LEFT($A$2,7),2)&amp;LEFT($A$90,4)&amp;$B$93&amp;H$3,CertSalary))+SUM(IF(CertFund&amp;CertProg&amp;CertObj&amp;CertGrant=RIGHT(LEFT($A$2,7),2)&amp;LEFT($A$91,4)&amp;$B$93&amp;H$3,CertSalary))+SUM(IF(CertFund&amp;CertProg&amp;CertObj&amp;CertGrant=RIGHT(LEFT($A$2,7),2)&amp;LEFT($A$92,4)&amp;$B$93&amp;H$3,CertSalary))</f>
        <v>0</v>
      </c>
      <c r="I93" s="528">
        <f t="array" ref="I93">SUM(IF(CertFund&amp;CertProg&amp;CertObj&amp;CertGrant=RIGHT(LEFT($A$2,7),2)&amp;LEFT($A$90,4)&amp;$B$93&amp;I$3,CertSalary))+SUM(IF(CertFund&amp;CertProg&amp;CertObj&amp;CertGrant=RIGHT(LEFT($A$2,7),2)&amp;LEFT($A$91,4)&amp;$B$93&amp;I$3,CertSalary))+SUM(IF(CertFund&amp;CertProg&amp;CertObj&amp;CertGrant=RIGHT(LEFT($A$2,7),2)&amp;LEFT($A$92,4)&amp;$B$93&amp;I$3,CertSalary))</f>
        <v>0</v>
      </c>
      <c r="J93" s="528">
        <f t="array" ref="J93">SUM(IF(CertFund&amp;CertProg&amp;CertObj&amp;CertGrant=RIGHT(LEFT($A$2,7),2)&amp;LEFT($A$90,4)&amp;$B$93&amp;J$3,CertSalary))+SUM(IF(CertFund&amp;CertProg&amp;CertObj&amp;CertGrant=RIGHT(LEFT($A$2,7),2)&amp;LEFT($A$91,4)&amp;$B$93&amp;J$3,CertSalary))+SUM(IF(CertFund&amp;CertProg&amp;CertObj&amp;CertGrant=RIGHT(LEFT($A$2,7),2)&amp;LEFT($A$92,4)&amp;$B$93&amp;J$3,CertSalary))</f>
        <v>0</v>
      </c>
      <c r="K93" s="528">
        <f t="array" ref="K93">SUM(IF(CertFund&amp;CertProg&amp;CertObj&amp;CertGrant=RIGHT(LEFT($A$2,7),2)&amp;LEFT($A$90,4)&amp;$B$93&amp;K$3,CertSalary))+SUM(IF(CertFund&amp;CertProg&amp;CertObj&amp;CertGrant=RIGHT(LEFT($A$2,7),2)&amp;LEFT($A$91,4)&amp;$B$93&amp;K$3,CertSalary))+SUM(IF(CertFund&amp;CertProg&amp;CertObj&amp;CertGrant=RIGHT(LEFT($A$2,7),2)&amp;LEFT($A$92,4)&amp;$B$93&amp;K$3,CertSalary))</f>
        <v>0</v>
      </c>
      <c r="L93" s="528">
        <f t="array" ref="L93">SUM(IF(CertFund&amp;CertProg&amp;CertObj&amp;CertGrant=RIGHT(LEFT($A$2,7),2)&amp;LEFT($A$90,4)&amp;$B$93&amp;L$3,CertSalary))+SUM(IF(CertFund&amp;CertProg&amp;CertObj&amp;CertGrant=RIGHT(LEFT($A$2,7),2)&amp;LEFT($A$91,4)&amp;$B$93&amp;L$3,CertSalary))+SUM(IF(CertFund&amp;CertProg&amp;CertObj&amp;CertGrant=RIGHT(LEFT($A$2,7),2)&amp;LEFT($A$92,4)&amp;$B$93&amp;L$3,CertSalary))</f>
        <v>0</v>
      </c>
      <c r="M93" s="528">
        <f t="array" ref="M93">SUM(IF(CertFund&amp;CertProg&amp;CertObj&amp;CertGrant=RIGHT(LEFT($A$2,7),2)&amp;LEFT($A$90,4)&amp;$B$93&amp;M$3,CertSalary))+SUM(IF(CertFund&amp;CertProg&amp;CertObj&amp;CertGrant=RIGHT(LEFT($A$2,7),2)&amp;LEFT($A$91,4)&amp;$B$93&amp;M$3,CertSalary))+SUM(IF(CertFund&amp;CertProg&amp;CertObj&amp;CertGrant=RIGHT(LEFT($A$2,7),2)&amp;LEFT($A$92,4)&amp;$B$93&amp;M$3,CertSalary))</f>
        <v>0</v>
      </c>
      <c r="N93" s="528">
        <f t="array" ref="N93">SUM(IF(CertFund&amp;CertProg&amp;CertObj&amp;CertGrant=RIGHT(LEFT($A$2,7),2)&amp;LEFT($A$90,4)&amp;$B$93&amp;N$3,CertSalary))+SUM(IF(CertFund&amp;CertProg&amp;CertObj&amp;CertGrant=RIGHT(LEFT($A$2,7),2)&amp;LEFT($A$91,4)&amp;$B$93&amp;N$3,CertSalary))+SUM(IF(CertFund&amp;CertProg&amp;CertObj&amp;CertGrant=RIGHT(LEFT($A$2,7),2)&amp;LEFT($A$92,4)&amp;$B$93&amp;N$3,CertSalary))</f>
        <v>0</v>
      </c>
      <c r="O93" s="528">
        <f t="array" ref="O93">SUM(IF(CertFund&amp;CertProg&amp;CertObj&amp;CertGrant=RIGHT(LEFT($A$2,7),2)&amp;LEFT($A$90,4)&amp;$B$93&amp;O$3,CertSalary))+SUM(IF(CertFund&amp;CertProg&amp;CertObj&amp;CertGrant=RIGHT(LEFT($A$2,7),2)&amp;LEFT($A$91,4)&amp;$B$93&amp;O$3,CertSalary))+SUM(IF(CertFund&amp;CertProg&amp;CertObj&amp;CertGrant=RIGHT(LEFT($A$2,7),2)&amp;LEFT($A$92,4)&amp;$B$93&amp;O$3,CertSalary))</f>
        <v>0</v>
      </c>
      <c r="P93" s="528">
        <f t="array" ref="P93">SUM(IF(CertFund&amp;CertProg&amp;CertObj&amp;CertGrant=RIGHT(LEFT($A$2,7),2)&amp;LEFT($A$90,4)&amp;$B$93&amp;P$3,CertSalary))+SUM(IF(CertFund&amp;CertProg&amp;CertObj&amp;CertGrant=RIGHT(LEFT($A$2,7),2)&amp;LEFT($A$91,4)&amp;$B$93&amp;P$3,CertSalary))+SUM(IF(CertFund&amp;CertProg&amp;CertObj&amp;CertGrant=RIGHT(LEFT($A$2,7),2)&amp;LEFT($A$92,4)&amp;$B$93&amp;P$3,CertSalary))</f>
        <v>0</v>
      </c>
      <c r="Q93" s="528">
        <f t="array" ref="Q93">SUM(IF(CertFund&amp;CertProg&amp;CertObj&amp;CertGrant=RIGHT(LEFT($A$2,7),2)&amp;LEFT($A$90,4)&amp;$B$93&amp;Q$3,CertSalary))+SUM(IF(CertFund&amp;CertProg&amp;CertObj&amp;CertGrant=RIGHT(LEFT($A$2,7),2)&amp;LEFT($A$91,4)&amp;$B$93&amp;Q$3,CertSalary))+SUM(IF(CertFund&amp;CertProg&amp;CertObj&amp;CertGrant=RIGHT(LEFT($A$2,7),2)&amp;LEFT($A$92,4)&amp;$B$93&amp;Q$3,CertSalary))</f>
        <v>0</v>
      </c>
      <c r="R93" s="528">
        <f t="array" ref="R93">SUM(IF(CertFund&amp;CertProg&amp;CertObj&amp;CertGrant=RIGHT(LEFT($A$2,7),2)&amp;LEFT($A$90,4)&amp;$B$93&amp;R$3,CertSalary))+SUM(IF(CertFund&amp;CertProg&amp;CertObj&amp;CertGrant=RIGHT(LEFT($A$2,7),2)&amp;LEFT($A$91,4)&amp;$B$93&amp;R$3,CertSalary))+SUM(IF(CertFund&amp;CertProg&amp;CertObj&amp;CertGrant=RIGHT(LEFT($A$2,7),2)&amp;LEFT($A$92,4)&amp;$B$93&amp;R$3,CertSalary))</f>
        <v>0</v>
      </c>
      <c r="S93" s="528">
        <f t="array" ref="S93">SUM(IF(CertFund&amp;CertProg&amp;CertObj&amp;CertGrant=RIGHT(LEFT($A$2,7),2)&amp;LEFT($A$90,4)&amp;$B$93&amp;S$3,CertSalary))+SUM(IF(CertFund&amp;CertProg&amp;CertObj&amp;CertGrant=RIGHT(LEFT($A$2,7),2)&amp;LEFT($A$91,4)&amp;$B$93&amp;S$3,CertSalary))+SUM(IF(CertFund&amp;CertProg&amp;CertObj&amp;CertGrant=RIGHT(LEFT($A$2,7),2)&amp;LEFT($A$92,4)&amp;$B$93&amp;S$3,CertSalary))</f>
        <v>0</v>
      </c>
      <c r="T93" s="528">
        <f t="array" ref="T93">SUM(IF(CertFund&amp;CertProg&amp;CertObj&amp;CertGrant=RIGHT(LEFT($A$2,7),2)&amp;LEFT($A$90,4)&amp;$B$93&amp;T$3,CertSalary))+SUM(IF(CertFund&amp;CertProg&amp;CertObj&amp;CertGrant=RIGHT(LEFT($A$2,7),2)&amp;LEFT($A$91,4)&amp;$B$93&amp;T$3,CertSalary))+SUM(IF(CertFund&amp;CertProg&amp;CertObj&amp;CertGrant=RIGHT(LEFT($A$2,7),2)&amp;LEFT($A$92,4)&amp;$B$93&amp;T$3,CertSalary))</f>
        <v>0</v>
      </c>
      <c r="U93" s="528">
        <f t="array" ref="U93">SUM(IF(CertFund&amp;CertProg&amp;CertObj&amp;CertGrant=RIGHT(LEFT($A$2,7),2)&amp;LEFT($A$90,4)&amp;$B$93&amp;U$3,CertSalary))+SUM(IF(CertFund&amp;CertProg&amp;CertObj&amp;CertGrant=RIGHT(LEFT($A$2,7),2)&amp;LEFT($A$91,4)&amp;$B$93&amp;U$3,CertSalary))+SUM(IF(CertFund&amp;CertProg&amp;CertObj&amp;CertGrant=RIGHT(LEFT($A$2,7),2)&amp;LEFT($A$92,4)&amp;$B$93&amp;U$3,CertSalary))</f>
        <v>0</v>
      </c>
      <c r="V93" s="528">
        <f t="array" ref="V93">SUM(IF(CertFund&amp;CertProg&amp;CertObj&amp;CertGrant=RIGHT(LEFT($A$2,7),2)&amp;LEFT($A$90,4)&amp;$B$93&amp;V$3,CertSalary))+SUM(IF(CertFund&amp;CertProg&amp;CertObj&amp;CertGrant=RIGHT(LEFT($A$2,7),2)&amp;LEFT($A$91,4)&amp;$B$93&amp;V$3,CertSalary))+SUM(IF(CertFund&amp;CertProg&amp;CertObj&amp;CertGrant=RIGHT(LEFT($A$2,7),2)&amp;LEFT($A$92,4)&amp;$B$93&amp;V$3,CertSalary))</f>
        <v>0</v>
      </c>
      <c r="W93" s="528">
        <f t="array" ref="W93">SUM(IF(CertFund&amp;CertProg&amp;CertObj&amp;CertGrant=RIGHT(LEFT($A$2,7),2)&amp;LEFT($A$90,4)&amp;$B$93&amp;W$3,CertSalary))+SUM(IF(CertFund&amp;CertProg&amp;CertObj&amp;CertGrant=RIGHT(LEFT($A$2,7),2)&amp;LEFT($A$91,4)&amp;$B$93&amp;W$3,CertSalary))+SUM(IF(CertFund&amp;CertProg&amp;CertObj&amp;CertGrant=RIGHT(LEFT($A$2,7),2)&amp;LEFT($A$92,4)&amp;$B$93&amp;W$3,CertSalary))</f>
        <v>0</v>
      </c>
      <c r="X93" s="347">
        <f t="shared" ref="X93:X102" si="16">SUM(D93:W93)</f>
        <v>0</v>
      </c>
    </row>
    <row r="94" spans="1:24" ht="11.25" x14ac:dyDescent="0.2">
      <c r="A94" s="340" t="s">
        <v>1442</v>
      </c>
      <c r="B94" s="588" t="s">
        <v>1577</v>
      </c>
      <c r="C94" s="312" t="s">
        <v>510</v>
      </c>
      <c r="D94" s="147">
        <v>0</v>
      </c>
      <c r="E94" s="147">
        <v>0</v>
      </c>
      <c r="F94" s="147">
        <v>0</v>
      </c>
      <c r="G94" s="147">
        <v>0</v>
      </c>
      <c r="H94" s="147">
        <v>0</v>
      </c>
      <c r="I94" s="147">
        <v>0</v>
      </c>
      <c r="J94" s="147">
        <v>0</v>
      </c>
      <c r="K94" s="147">
        <v>0</v>
      </c>
      <c r="L94" s="147">
        <v>0</v>
      </c>
      <c r="M94" s="147">
        <v>0</v>
      </c>
      <c r="N94" s="147">
        <v>0</v>
      </c>
      <c r="O94" s="147">
        <v>0</v>
      </c>
      <c r="P94" s="147">
        <v>0</v>
      </c>
      <c r="Q94" s="147">
        <v>0</v>
      </c>
      <c r="R94" s="147">
        <v>0</v>
      </c>
      <c r="S94" s="147">
        <v>0</v>
      </c>
      <c r="T94" s="147">
        <v>0</v>
      </c>
      <c r="U94" s="147">
        <v>0</v>
      </c>
      <c r="V94" s="147">
        <v>0</v>
      </c>
      <c r="W94" s="147">
        <v>0</v>
      </c>
      <c r="X94" s="341">
        <f t="shared" si="16"/>
        <v>0</v>
      </c>
    </row>
    <row r="95" spans="1:24" ht="11.25" x14ac:dyDescent="0.2">
      <c r="A95" s="340">
        <v>28</v>
      </c>
      <c r="B95" s="588" t="s">
        <v>1578</v>
      </c>
      <c r="C95" s="312" t="s">
        <v>76</v>
      </c>
      <c r="D95" s="528">
        <f t="array" ref="D95">SUM(IF(CertFund&amp;CertProg&amp;CertObj&amp;CertGrant=RIGHT(LEFT($A$2,7),2)&amp;LEFT($A$90,4)&amp;$B$93&amp;D$3,CertBen))+SUM(IF(CertFund&amp;CertProg&amp;CertObj&amp;CertGrant=RIGHT(LEFT($A$2,7),2)&amp;LEFT($A$91,4)&amp;$B$93&amp;D$3,CertBen))+SUM(IF(CertFund&amp;CertProg&amp;CertObj&amp;CertGrant=RIGHT(LEFT($A$2,7),2)&amp;LEFT($A$92,4)&amp;$B$93&amp;D$3,CertBen))</f>
        <v>0</v>
      </c>
      <c r="E95" s="528">
        <f t="array" ref="E95">SUM(IF(CertFund&amp;CertProg&amp;CertObj&amp;CertGrant=RIGHT(LEFT($A$2,7),2)&amp;LEFT($A$90,4)&amp;$B$93&amp;E$3,CertBen))+SUM(IF(CertFund&amp;CertProg&amp;CertObj&amp;CertGrant=RIGHT(LEFT($A$2,7),2)&amp;LEFT($A$91,4)&amp;$B$93&amp;E$3,CertBen))+SUM(IF(CertFund&amp;CertProg&amp;CertObj&amp;CertGrant=RIGHT(LEFT($A$2,7),2)&amp;LEFT($A$92,4)&amp;$B$93&amp;E$3,CertBen))</f>
        <v>0</v>
      </c>
      <c r="F95" s="528">
        <f t="array" ref="F95">SUM(IF(CertFund&amp;CertProg&amp;CertObj&amp;CertGrant=RIGHT(LEFT($A$2,7),2)&amp;LEFT($A$90,4)&amp;$B$93&amp;F$3,CertBen))+SUM(IF(CertFund&amp;CertProg&amp;CertObj&amp;CertGrant=RIGHT(LEFT($A$2,7),2)&amp;LEFT($A$91,4)&amp;$B$93&amp;F$3,CertBen))+SUM(IF(CertFund&amp;CertProg&amp;CertObj&amp;CertGrant=RIGHT(LEFT($A$2,7),2)&amp;LEFT($A$92,4)&amp;$B$93&amp;F$3,CertBen))</f>
        <v>0</v>
      </c>
      <c r="G95" s="528">
        <f t="array" ref="G95">SUM(IF(CertFund&amp;CertProg&amp;CertObj&amp;CertGrant=RIGHT(LEFT($A$2,7),2)&amp;LEFT($A$90,4)&amp;$B$93&amp;G$3,CertBen))+SUM(IF(CertFund&amp;CertProg&amp;CertObj&amp;CertGrant=RIGHT(LEFT($A$2,7),2)&amp;LEFT($A$91,4)&amp;$B$93&amp;G$3,CertBen))+SUM(IF(CertFund&amp;CertProg&amp;CertObj&amp;CertGrant=RIGHT(LEFT($A$2,7),2)&amp;LEFT($A$92,4)&amp;$B$93&amp;G$3,CertBen))</f>
        <v>0</v>
      </c>
      <c r="H95" s="528">
        <f t="array" ref="H95">SUM(IF(CertFund&amp;CertProg&amp;CertObj&amp;CertGrant=RIGHT(LEFT($A$2,7),2)&amp;LEFT($A$90,4)&amp;$B$93&amp;H$3,CertBen))+SUM(IF(CertFund&amp;CertProg&amp;CertObj&amp;CertGrant=RIGHT(LEFT($A$2,7),2)&amp;LEFT($A$91,4)&amp;$B$93&amp;H$3,CertBen))+SUM(IF(CertFund&amp;CertProg&amp;CertObj&amp;CertGrant=RIGHT(LEFT($A$2,7),2)&amp;LEFT($A$92,4)&amp;$B$93&amp;H$3,CertBen))</f>
        <v>0</v>
      </c>
      <c r="I95" s="528">
        <f t="array" ref="I95">SUM(IF(CertFund&amp;CertProg&amp;CertObj&amp;CertGrant=RIGHT(LEFT($A$2,7),2)&amp;LEFT($A$90,4)&amp;$B$93&amp;I$3,CertBen))+SUM(IF(CertFund&amp;CertProg&amp;CertObj&amp;CertGrant=RIGHT(LEFT($A$2,7),2)&amp;LEFT($A$91,4)&amp;$B$93&amp;I$3,CertBen))+SUM(IF(CertFund&amp;CertProg&amp;CertObj&amp;CertGrant=RIGHT(LEFT($A$2,7),2)&amp;LEFT($A$92,4)&amp;$B$93&amp;I$3,CertBen))</f>
        <v>0</v>
      </c>
      <c r="J95" s="528">
        <f t="array" ref="J95">SUM(IF(CertFund&amp;CertProg&amp;CertObj&amp;CertGrant=RIGHT(LEFT($A$2,7),2)&amp;LEFT($A$90,4)&amp;$B$93&amp;J$3,CertBen))+SUM(IF(CertFund&amp;CertProg&amp;CertObj&amp;CertGrant=RIGHT(LEFT($A$2,7),2)&amp;LEFT($A$91,4)&amp;$B$93&amp;J$3,CertBen))+SUM(IF(CertFund&amp;CertProg&amp;CertObj&amp;CertGrant=RIGHT(LEFT($A$2,7),2)&amp;LEFT($A$92,4)&amp;$B$93&amp;J$3,CertBen))</f>
        <v>0</v>
      </c>
      <c r="K95" s="528">
        <f t="array" ref="K95">SUM(IF(CertFund&amp;CertProg&amp;CertObj&amp;CertGrant=RIGHT(LEFT($A$2,7),2)&amp;LEFT($A$90,4)&amp;$B$93&amp;K$3,CertBen))+SUM(IF(CertFund&amp;CertProg&amp;CertObj&amp;CertGrant=RIGHT(LEFT($A$2,7),2)&amp;LEFT($A$91,4)&amp;$B$93&amp;K$3,CertBen))+SUM(IF(CertFund&amp;CertProg&amp;CertObj&amp;CertGrant=RIGHT(LEFT($A$2,7),2)&amp;LEFT($A$92,4)&amp;$B$93&amp;K$3,CertBen))</f>
        <v>0</v>
      </c>
      <c r="L95" s="528">
        <f t="array" ref="L95">SUM(IF(CertFund&amp;CertProg&amp;CertObj&amp;CertGrant=RIGHT(LEFT($A$2,7),2)&amp;LEFT($A$90,4)&amp;$B$93&amp;L$3,CertBen))+SUM(IF(CertFund&amp;CertProg&amp;CertObj&amp;CertGrant=RIGHT(LEFT($A$2,7),2)&amp;LEFT($A$91,4)&amp;$B$93&amp;L$3,CertBen))+SUM(IF(CertFund&amp;CertProg&amp;CertObj&amp;CertGrant=RIGHT(LEFT($A$2,7),2)&amp;LEFT($A$92,4)&amp;$B$93&amp;L$3,CertBen))</f>
        <v>0</v>
      </c>
      <c r="M95" s="528">
        <f t="array" ref="M95">SUM(IF(CertFund&amp;CertProg&amp;CertObj&amp;CertGrant=RIGHT(LEFT($A$2,7),2)&amp;LEFT($A$90,4)&amp;$B$93&amp;M$3,CertBen))+SUM(IF(CertFund&amp;CertProg&amp;CertObj&amp;CertGrant=RIGHT(LEFT($A$2,7),2)&amp;LEFT($A$91,4)&amp;$B$93&amp;M$3,CertBen))+SUM(IF(CertFund&amp;CertProg&amp;CertObj&amp;CertGrant=RIGHT(LEFT($A$2,7),2)&amp;LEFT($A$92,4)&amp;$B$93&amp;M$3,CertBen))</f>
        <v>0</v>
      </c>
      <c r="N95" s="528">
        <f t="array" ref="N95">SUM(IF(CertFund&amp;CertProg&amp;CertObj&amp;CertGrant=RIGHT(LEFT($A$2,7),2)&amp;LEFT($A$90,4)&amp;$B$93&amp;N$3,CertBen))+SUM(IF(CertFund&amp;CertProg&amp;CertObj&amp;CertGrant=RIGHT(LEFT($A$2,7),2)&amp;LEFT($A$91,4)&amp;$B$93&amp;N$3,CertBen))+SUM(IF(CertFund&amp;CertProg&amp;CertObj&amp;CertGrant=RIGHT(LEFT($A$2,7),2)&amp;LEFT($A$92,4)&amp;$B$93&amp;N$3,CertBen))</f>
        <v>0</v>
      </c>
      <c r="O95" s="528">
        <f t="array" ref="O95">SUM(IF(CertFund&amp;CertProg&amp;CertObj&amp;CertGrant=RIGHT(LEFT($A$2,7),2)&amp;LEFT($A$90,4)&amp;$B$93&amp;O$3,CertBen))+SUM(IF(CertFund&amp;CertProg&amp;CertObj&amp;CertGrant=RIGHT(LEFT($A$2,7),2)&amp;LEFT($A$91,4)&amp;$B$93&amp;O$3,CertBen))+SUM(IF(CertFund&amp;CertProg&amp;CertObj&amp;CertGrant=RIGHT(LEFT($A$2,7),2)&amp;LEFT($A$92,4)&amp;$B$93&amp;O$3,CertBen))</f>
        <v>0</v>
      </c>
      <c r="P95" s="528">
        <f t="array" ref="P95">SUM(IF(CertFund&amp;CertProg&amp;CertObj&amp;CertGrant=RIGHT(LEFT($A$2,7),2)&amp;LEFT($A$90,4)&amp;$B$93&amp;P$3,CertBen))+SUM(IF(CertFund&amp;CertProg&amp;CertObj&amp;CertGrant=RIGHT(LEFT($A$2,7),2)&amp;LEFT($A$91,4)&amp;$B$93&amp;P$3,CertBen))+SUM(IF(CertFund&amp;CertProg&amp;CertObj&amp;CertGrant=RIGHT(LEFT($A$2,7),2)&amp;LEFT($A$92,4)&amp;$B$93&amp;P$3,CertBen))</f>
        <v>0</v>
      </c>
      <c r="Q95" s="528">
        <f t="array" ref="Q95">SUM(IF(CertFund&amp;CertProg&amp;CertObj&amp;CertGrant=RIGHT(LEFT($A$2,7),2)&amp;LEFT($A$90,4)&amp;$B$93&amp;Q$3,CertBen))+SUM(IF(CertFund&amp;CertProg&amp;CertObj&amp;CertGrant=RIGHT(LEFT($A$2,7),2)&amp;LEFT($A$91,4)&amp;$B$93&amp;Q$3,CertBen))+SUM(IF(CertFund&amp;CertProg&amp;CertObj&amp;CertGrant=RIGHT(LEFT($A$2,7),2)&amp;LEFT($A$92,4)&amp;$B$93&amp;Q$3,CertBen))</f>
        <v>0</v>
      </c>
      <c r="R95" s="528">
        <f t="array" ref="R95">SUM(IF(CertFund&amp;CertProg&amp;CertObj&amp;CertGrant=RIGHT(LEFT($A$2,7),2)&amp;LEFT($A$90,4)&amp;$B$93&amp;R$3,CertBen))+SUM(IF(CertFund&amp;CertProg&amp;CertObj&amp;CertGrant=RIGHT(LEFT($A$2,7),2)&amp;LEFT($A$91,4)&amp;$B$93&amp;R$3,CertBen))+SUM(IF(CertFund&amp;CertProg&amp;CertObj&amp;CertGrant=RIGHT(LEFT($A$2,7),2)&amp;LEFT($A$92,4)&amp;$B$93&amp;R$3,CertBen))</f>
        <v>0</v>
      </c>
      <c r="S95" s="528">
        <f t="array" ref="S95">SUM(IF(CertFund&amp;CertProg&amp;CertObj&amp;CertGrant=RIGHT(LEFT($A$2,7),2)&amp;LEFT($A$90,4)&amp;$B$93&amp;S$3,CertBen))+SUM(IF(CertFund&amp;CertProg&amp;CertObj&amp;CertGrant=RIGHT(LEFT($A$2,7),2)&amp;LEFT($A$91,4)&amp;$B$93&amp;S$3,CertBen))+SUM(IF(CertFund&amp;CertProg&amp;CertObj&amp;CertGrant=RIGHT(LEFT($A$2,7),2)&amp;LEFT($A$92,4)&amp;$B$93&amp;S$3,CertBen))</f>
        <v>0</v>
      </c>
      <c r="T95" s="528">
        <f t="array" ref="T95">SUM(IF(CertFund&amp;CertProg&amp;CertObj&amp;CertGrant=RIGHT(LEFT($A$2,7),2)&amp;LEFT($A$90,4)&amp;$B$93&amp;T$3,CertBen))+SUM(IF(CertFund&amp;CertProg&amp;CertObj&amp;CertGrant=RIGHT(LEFT($A$2,7),2)&amp;LEFT($A$91,4)&amp;$B$93&amp;T$3,CertBen))+SUM(IF(CertFund&amp;CertProg&amp;CertObj&amp;CertGrant=RIGHT(LEFT($A$2,7),2)&amp;LEFT($A$92,4)&amp;$B$93&amp;T$3,CertBen))</f>
        <v>0</v>
      </c>
      <c r="U95" s="528">
        <f t="array" ref="U95">SUM(IF(CertFund&amp;CertProg&amp;CertObj&amp;CertGrant=RIGHT(LEFT($A$2,7),2)&amp;LEFT($A$90,4)&amp;$B$93&amp;U$3,CertBen))+SUM(IF(CertFund&amp;CertProg&amp;CertObj&amp;CertGrant=RIGHT(LEFT($A$2,7),2)&amp;LEFT($A$91,4)&amp;$B$93&amp;U$3,CertBen))+SUM(IF(CertFund&amp;CertProg&amp;CertObj&amp;CertGrant=RIGHT(LEFT($A$2,7),2)&amp;LEFT($A$92,4)&amp;$B$93&amp;U$3,CertBen))</f>
        <v>0</v>
      </c>
      <c r="V95" s="528">
        <f t="array" ref="V95">SUM(IF(CertFund&amp;CertProg&amp;CertObj&amp;CertGrant=RIGHT(LEFT($A$2,7),2)&amp;LEFT($A$90,4)&amp;$B$93&amp;V$3,CertBen))+SUM(IF(CertFund&amp;CertProg&amp;CertObj&amp;CertGrant=RIGHT(LEFT($A$2,7),2)&amp;LEFT($A$91,4)&amp;$B$93&amp;V$3,CertBen))+SUM(IF(CertFund&amp;CertProg&amp;CertObj&amp;CertGrant=RIGHT(LEFT($A$2,7),2)&amp;LEFT($A$92,4)&amp;$B$93&amp;V$3,CertBen))</f>
        <v>0</v>
      </c>
      <c r="W95" s="528">
        <f t="array" ref="W95">SUM(IF(CertFund&amp;CertProg&amp;CertObj&amp;CertGrant=RIGHT(LEFT($A$2,7),2)&amp;LEFT($A$90,4)&amp;$B$93&amp;W$3,CertBen))+SUM(IF(CertFund&amp;CertProg&amp;CertObj&amp;CertGrant=RIGHT(LEFT($A$2,7),2)&amp;LEFT($A$91,4)&amp;$B$93&amp;W$3,CertBen))+SUM(IF(CertFund&amp;CertProg&amp;CertObj&amp;CertGrant=RIGHT(LEFT($A$2,7),2)&amp;LEFT($A$92,4)&amp;$B$93&amp;W$3,CertBen))</f>
        <v>0</v>
      </c>
      <c r="X95" s="341">
        <f t="shared" si="16"/>
        <v>0</v>
      </c>
    </row>
    <row r="96" spans="1:24" ht="11.25" x14ac:dyDescent="0.2">
      <c r="A96" s="340" t="s">
        <v>1443</v>
      </c>
      <c r="B96" s="588" t="s">
        <v>1578</v>
      </c>
      <c r="C96" s="312" t="s">
        <v>511</v>
      </c>
      <c r="D96" s="590">
        <v>0</v>
      </c>
      <c r="E96" s="590">
        <v>0</v>
      </c>
      <c r="F96" s="590">
        <v>0</v>
      </c>
      <c r="G96" s="590">
        <v>0</v>
      </c>
      <c r="H96" s="590">
        <v>0</v>
      </c>
      <c r="I96" s="590">
        <v>0</v>
      </c>
      <c r="J96" s="590">
        <v>0</v>
      </c>
      <c r="K96" s="590">
        <v>0</v>
      </c>
      <c r="L96" s="590">
        <v>0</v>
      </c>
      <c r="M96" s="590">
        <v>0</v>
      </c>
      <c r="N96" s="590">
        <v>0</v>
      </c>
      <c r="O96" s="590">
        <v>0</v>
      </c>
      <c r="P96" s="590">
        <v>0</v>
      </c>
      <c r="Q96" s="590">
        <v>0</v>
      </c>
      <c r="R96" s="590">
        <v>0</v>
      </c>
      <c r="S96" s="590">
        <v>0</v>
      </c>
      <c r="T96" s="590">
        <v>0</v>
      </c>
      <c r="U96" s="590">
        <v>0</v>
      </c>
      <c r="V96" s="590">
        <v>0</v>
      </c>
      <c r="W96" s="590">
        <v>0</v>
      </c>
      <c r="X96" s="341">
        <f t="shared" si="16"/>
        <v>0</v>
      </c>
    </row>
    <row r="97" spans="1:24" ht="11.25" x14ac:dyDescent="0.2">
      <c r="A97" s="340">
        <v>29</v>
      </c>
      <c r="B97" s="188" t="s">
        <v>1579</v>
      </c>
      <c r="C97" s="329" t="s">
        <v>273</v>
      </c>
      <c r="D97" s="592">
        <v>0</v>
      </c>
      <c r="E97" s="592">
        <v>0</v>
      </c>
      <c r="F97" s="592">
        <v>0</v>
      </c>
      <c r="G97" s="592">
        <v>0</v>
      </c>
      <c r="H97" s="592">
        <v>0</v>
      </c>
      <c r="I97" s="592">
        <v>0</v>
      </c>
      <c r="J97" s="592">
        <v>0</v>
      </c>
      <c r="K97" s="592">
        <v>0</v>
      </c>
      <c r="L97" s="593">
        <v>0</v>
      </c>
      <c r="M97" s="593">
        <v>0</v>
      </c>
      <c r="N97" s="593">
        <v>0</v>
      </c>
      <c r="O97" s="593">
        <v>0</v>
      </c>
      <c r="P97" s="593">
        <v>0</v>
      </c>
      <c r="Q97" s="593">
        <v>0</v>
      </c>
      <c r="R97" s="593">
        <v>0</v>
      </c>
      <c r="S97" s="593">
        <v>0</v>
      </c>
      <c r="T97" s="593">
        <v>0</v>
      </c>
      <c r="U97" s="593">
        <v>0</v>
      </c>
      <c r="V97" s="593">
        <v>0</v>
      </c>
      <c r="W97" s="593">
        <v>0</v>
      </c>
      <c r="X97" s="341">
        <f t="shared" si="16"/>
        <v>0</v>
      </c>
    </row>
    <row r="98" spans="1:24" ht="11.25" x14ac:dyDescent="0.2">
      <c r="A98" s="340">
        <v>30</v>
      </c>
      <c r="B98" s="188" t="s">
        <v>1581</v>
      </c>
      <c r="C98" s="329" t="s">
        <v>274</v>
      </c>
      <c r="D98" s="592">
        <v>0</v>
      </c>
      <c r="E98" s="592">
        <v>0</v>
      </c>
      <c r="F98" s="592">
        <v>0</v>
      </c>
      <c r="G98" s="592">
        <v>0</v>
      </c>
      <c r="H98" s="592">
        <v>0</v>
      </c>
      <c r="I98" s="592">
        <v>0</v>
      </c>
      <c r="J98" s="592">
        <v>0</v>
      </c>
      <c r="K98" s="592">
        <v>0</v>
      </c>
      <c r="L98" s="593">
        <v>0</v>
      </c>
      <c r="M98" s="593">
        <v>0</v>
      </c>
      <c r="N98" s="593">
        <v>0</v>
      </c>
      <c r="O98" s="593">
        <v>0</v>
      </c>
      <c r="P98" s="593">
        <v>0</v>
      </c>
      <c r="Q98" s="593">
        <v>0</v>
      </c>
      <c r="R98" s="593">
        <v>0</v>
      </c>
      <c r="S98" s="593">
        <v>0</v>
      </c>
      <c r="T98" s="593">
        <v>0</v>
      </c>
      <c r="U98" s="593">
        <v>0</v>
      </c>
      <c r="V98" s="593">
        <v>0</v>
      </c>
      <c r="W98" s="593">
        <v>0</v>
      </c>
      <c r="X98" s="341">
        <f t="shared" si="16"/>
        <v>0</v>
      </c>
    </row>
    <row r="99" spans="1:24" ht="11.25" x14ac:dyDescent="0.2">
      <c r="A99" s="340">
        <v>31</v>
      </c>
      <c r="B99" s="188" t="s">
        <v>1582</v>
      </c>
      <c r="C99" s="329" t="s">
        <v>275</v>
      </c>
      <c r="D99" s="592">
        <v>0</v>
      </c>
      <c r="E99" s="592">
        <v>0</v>
      </c>
      <c r="F99" s="592">
        <v>0</v>
      </c>
      <c r="G99" s="592">
        <v>0</v>
      </c>
      <c r="H99" s="592">
        <v>0</v>
      </c>
      <c r="I99" s="592">
        <v>0</v>
      </c>
      <c r="J99" s="592">
        <v>0</v>
      </c>
      <c r="K99" s="592">
        <v>0</v>
      </c>
      <c r="L99" s="593">
        <v>0</v>
      </c>
      <c r="M99" s="593">
        <v>0</v>
      </c>
      <c r="N99" s="593">
        <v>0</v>
      </c>
      <c r="O99" s="593">
        <v>0</v>
      </c>
      <c r="P99" s="593">
        <v>0</v>
      </c>
      <c r="Q99" s="593">
        <v>0</v>
      </c>
      <c r="R99" s="593">
        <v>0</v>
      </c>
      <c r="S99" s="593">
        <v>0</v>
      </c>
      <c r="T99" s="593">
        <v>0</v>
      </c>
      <c r="U99" s="593">
        <v>0</v>
      </c>
      <c r="V99" s="593">
        <v>0</v>
      </c>
      <c r="W99" s="593">
        <v>0</v>
      </c>
      <c r="X99" s="341">
        <f t="shared" si="16"/>
        <v>0</v>
      </c>
    </row>
    <row r="100" spans="1:24" ht="11.25" x14ac:dyDescent="0.2">
      <c r="A100" s="340" t="s">
        <v>278</v>
      </c>
      <c r="B100" s="188" t="s">
        <v>634</v>
      </c>
      <c r="C100" s="329" t="s">
        <v>279</v>
      </c>
      <c r="D100" s="594">
        <v>0</v>
      </c>
      <c r="E100" s="592">
        <v>0</v>
      </c>
      <c r="F100" s="592">
        <v>0</v>
      </c>
      <c r="G100" s="592">
        <v>0</v>
      </c>
      <c r="H100" s="592">
        <v>0</v>
      </c>
      <c r="I100" s="592">
        <v>0</v>
      </c>
      <c r="J100" s="592">
        <v>0</v>
      </c>
      <c r="K100" s="592">
        <v>0</v>
      </c>
      <c r="L100" s="593">
        <v>0</v>
      </c>
      <c r="M100" s="593">
        <v>0</v>
      </c>
      <c r="N100" s="593">
        <v>0</v>
      </c>
      <c r="O100" s="593">
        <v>0</v>
      </c>
      <c r="P100" s="593">
        <v>0</v>
      </c>
      <c r="Q100" s="593">
        <v>0</v>
      </c>
      <c r="R100" s="593">
        <v>0</v>
      </c>
      <c r="S100" s="593">
        <v>0</v>
      </c>
      <c r="T100" s="593">
        <v>0</v>
      </c>
      <c r="U100" s="593">
        <v>0</v>
      </c>
      <c r="V100" s="593">
        <v>0</v>
      </c>
      <c r="W100" s="593">
        <v>0</v>
      </c>
      <c r="X100" s="341">
        <f t="shared" si="16"/>
        <v>0</v>
      </c>
    </row>
    <row r="101" spans="1:24" ht="11.25" x14ac:dyDescent="0.2">
      <c r="A101" s="340" t="s">
        <v>280</v>
      </c>
      <c r="B101" s="188" t="s">
        <v>630</v>
      </c>
      <c r="C101" s="329" t="s">
        <v>281</v>
      </c>
      <c r="D101" s="595">
        <v>0</v>
      </c>
      <c r="E101" s="596">
        <v>0</v>
      </c>
      <c r="F101" s="596">
        <v>0</v>
      </c>
      <c r="G101" s="596">
        <v>0</v>
      </c>
      <c r="H101" s="596">
        <v>0</v>
      </c>
      <c r="I101" s="596">
        <v>0</v>
      </c>
      <c r="J101" s="596">
        <v>0</v>
      </c>
      <c r="K101" s="596">
        <v>0</v>
      </c>
      <c r="L101" s="597">
        <v>0</v>
      </c>
      <c r="M101" s="597">
        <v>0</v>
      </c>
      <c r="N101" s="597">
        <v>0</v>
      </c>
      <c r="O101" s="597">
        <v>0</v>
      </c>
      <c r="P101" s="597">
        <v>0</v>
      </c>
      <c r="Q101" s="597">
        <v>0</v>
      </c>
      <c r="R101" s="597">
        <v>0</v>
      </c>
      <c r="S101" s="597">
        <v>0</v>
      </c>
      <c r="T101" s="597">
        <v>0</v>
      </c>
      <c r="U101" s="597">
        <v>0</v>
      </c>
      <c r="V101" s="597">
        <v>0</v>
      </c>
      <c r="W101" s="597">
        <v>0</v>
      </c>
      <c r="X101" s="341">
        <f t="shared" si="16"/>
        <v>0</v>
      </c>
    </row>
    <row r="102" spans="1:24" ht="11.25" x14ac:dyDescent="0.2">
      <c r="A102" s="340">
        <v>33</v>
      </c>
      <c r="C102" s="346" t="s">
        <v>297</v>
      </c>
      <c r="D102" s="347">
        <f>SUM(D93:D101)</f>
        <v>0</v>
      </c>
      <c r="E102" s="347">
        <f t="shared" ref="E102:W102" si="17">SUM(E93:E101)</f>
        <v>0</v>
      </c>
      <c r="F102" s="347">
        <f t="shared" si="17"/>
        <v>0</v>
      </c>
      <c r="G102" s="347">
        <f t="shared" si="17"/>
        <v>0</v>
      </c>
      <c r="H102" s="347">
        <f t="shared" si="17"/>
        <v>0</v>
      </c>
      <c r="I102" s="347">
        <f t="shared" si="17"/>
        <v>0</v>
      </c>
      <c r="J102" s="347">
        <f t="shared" si="17"/>
        <v>0</v>
      </c>
      <c r="K102" s="347">
        <f t="shared" si="17"/>
        <v>0</v>
      </c>
      <c r="L102" s="347">
        <f t="shared" si="17"/>
        <v>0</v>
      </c>
      <c r="M102" s="347">
        <f t="shared" si="17"/>
        <v>0</v>
      </c>
      <c r="N102" s="347">
        <f t="shared" si="17"/>
        <v>0</v>
      </c>
      <c r="O102" s="347">
        <f t="shared" si="17"/>
        <v>0</v>
      </c>
      <c r="P102" s="347">
        <f t="shared" si="17"/>
        <v>0</v>
      </c>
      <c r="Q102" s="347">
        <f t="shared" si="17"/>
        <v>0</v>
      </c>
      <c r="R102" s="347">
        <f t="shared" si="17"/>
        <v>0</v>
      </c>
      <c r="S102" s="347">
        <f t="shared" si="17"/>
        <v>0</v>
      </c>
      <c r="T102" s="347">
        <f t="shared" si="17"/>
        <v>0</v>
      </c>
      <c r="U102" s="347">
        <f t="shared" si="17"/>
        <v>0</v>
      </c>
      <c r="V102" s="347">
        <f t="shared" si="17"/>
        <v>0</v>
      </c>
      <c r="W102" s="347">
        <f t="shared" si="17"/>
        <v>0</v>
      </c>
      <c r="X102" s="341">
        <f t="shared" si="16"/>
        <v>0</v>
      </c>
    </row>
    <row r="103" spans="1:24" ht="11.25" x14ac:dyDescent="0.2">
      <c r="A103" s="340"/>
      <c r="C103" s="329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4"/>
    </row>
    <row r="104" spans="1:24" ht="11.25" x14ac:dyDescent="0.2">
      <c r="A104" s="340">
        <v>34</v>
      </c>
      <c r="C104" s="329" t="s">
        <v>282</v>
      </c>
      <c r="D104" s="598">
        <v>0</v>
      </c>
      <c r="E104" s="598">
        <v>0</v>
      </c>
      <c r="F104" s="598">
        <v>0</v>
      </c>
      <c r="G104" s="598">
        <v>0</v>
      </c>
      <c r="H104" s="598">
        <v>0</v>
      </c>
      <c r="I104" s="598">
        <v>0</v>
      </c>
      <c r="J104" s="598">
        <v>0</v>
      </c>
      <c r="K104" s="598">
        <v>0</v>
      </c>
      <c r="L104" s="598">
        <v>0</v>
      </c>
      <c r="M104" s="598">
        <v>0</v>
      </c>
      <c r="N104" s="598">
        <v>0</v>
      </c>
      <c r="O104" s="598">
        <v>0</v>
      </c>
      <c r="P104" s="598">
        <v>0</v>
      </c>
      <c r="Q104" s="598">
        <v>0</v>
      </c>
      <c r="R104" s="598">
        <v>0</v>
      </c>
      <c r="S104" s="598">
        <v>0</v>
      </c>
      <c r="T104" s="598">
        <v>0</v>
      </c>
      <c r="U104" s="598">
        <v>0</v>
      </c>
      <c r="V104" s="598">
        <v>0</v>
      </c>
      <c r="W104" s="598">
        <v>0</v>
      </c>
      <c r="X104" s="347">
        <f>SUM(D104:W104)</f>
        <v>0</v>
      </c>
    </row>
    <row r="105" spans="1:24" ht="11.25" x14ac:dyDescent="0.2">
      <c r="A105" s="340" t="s">
        <v>283</v>
      </c>
      <c r="C105" s="346" t="s">
        <v>298</v>
      </c>
      <c r="D105" s="355">
        <f>+D22+D79+D89+D102+D104+D32+D62+D42+D52</f>
        <v>0</v>
      </c>
      <c r="E105" s="355">
        <f t="shared" ref="E105:W105" si="18">+E22+E79+E89+E102+E104+E32+E62+E42+E52</f>
        <v>0</v>
      </c>
      <c r="F105" s="355">
        <f t="shared" si="18"/>
        <v>0</v>
      </c>
      <c r="G105" s="355">
        <f t="shared" si="18"/>
        <v>0</v>
      </c>
      <c r="H105" s="355">
        <f t="shared" si="18"/>
        <v>0</v>
      </c>
      <c r="I105" s="355">
        <f t="shared" si="18"/>
        <v>0</v>
      </c>
      <c r="J105" s="355">
        <f t="shared" si="18"/>
        <v>0</v>
      </c>
      <c r="K105" s="355">
        <f t="shared" si="18"/>
        <v>0</v>
      </c>
      <c r="L105" s="355">
        <f t="shared" si="18"/>
        <v>0</v>
      </c>
      <c r="M105" s="355">
        <f t="shared" si="18"/>
        <v>0</v>
      </c>
      <c r="N105" s="355">
        <f t="shared" si="18"/>
        <v>0</v>
      </c>
      <c r="O105" s="355">
        <f t="shared" si="18"/>
        <v>0</v>
      </c>
      <c r="P105" s="355">
        <f t="shared" si="18"/>
        <v>0</v>
      </c>
      <c r="Q105" s="355">
        <f t="shared" si="18"/>
        <v>0</v>
      </c>
      <c r="R105" s="355">
        <f t="shared" si="18"/>
        <v>0</v>
      </c>
      <c r="S105" s="355">
        <f t="shared" si="18"/>
        <v>0</v>
      </c>
      <c r="T105" s="355">
        <f t="shared" si="18"/>
        <v>0</v>
      </c>
      <c r="U105" s="355">
        <f t="shared" si="18"/>
        <v>0</v>
      </c>
      <c r="V105" s="355">
        <f t="shared" si="18"/>
        <v>0</v>
      </c>
      <c r="W105" s="355">
        <f t="shared" si="18"/>
        <v>0</v>
      </c>
      <c r="X105" s="341">
        <f>SUM(D105:W105)</f>
        <v>0</v>
      </c>
    </row>
    <row r="106" spans="1:24" ht="11.25" x14ac:dyDescent="0.2">
      <c r="A106" s="340" t="s">
        <v>284</v>
      </c>
      <c r="B106" s="188" t="s">
        <v>630</v>
      </c>
      <c r="C106" s="329" t="s">
        <v>285</v>
      </c>
      <c r="D106" s="592">
        <v>0</v>
      </c>
      <c r="E106" s="592">
        <v>0</v>
      </c>
      <c r="F106" s="592">
        <v>0</v>
      </c>
      <c r="G106" s="592">
        <v>0</v>
      </c>
      <c r="H106" s="592">
        <v>0</v>
      </c>
      <c r="I106" s="592">
        <v>0</v>
      </c>
      <c r="J106" s="592">
        <v>0</v>
      </c>
      <c r="K106" s="592">
        <v>0</v>
      </c>
      <c r="L106" s="592">
        <v>0</v>
      </c>
      <c r="M106" s="592">
        <v>0</v>
      </c>
      <c r="N106" s="592">
        <v>0</v>
      </c>
      <c r="O106" s="592">
        <v>0</v>
      </c>
      <c r="P106" s="592">
        <v>0</v>
      </c>
      <c r="Q106" s="592">
        <v>0</v>
      </c>
      <c r="R106" s="592">
        <v>0</v>
      </c>
      <c r="S106" s="592">
        <v>0</v>
      </c>
      <c r="T106" s="592">
        <v>0</v>
      </c>
      <c r="U106" s="592">
        <v>0</v>
      </c>
      <c r="V106" s="592">
        <v>0</v>
      </c>
      <c r="W106" s="592">
        <v>0</v>
      </c>
      <c r="X106" s="341">
        <f>SUM(D106:W106)</f>
        <v>0</v>
      </c>
    </row>
    <row r="107" spans="1:24" ht="11.25" x14ac:dyDescent="0.2">
      <c r="A107" s="340" t="s">
        <v>286</v>
      </c>
      <c r="B107" s="188" t="s">
        <v>634</v>
      </c>
      <c r="C107" s="329" t="s">
        <v>288</v>
      </c>
      <c r="D107" s="592">
        <v>0</v>
      </c>
      <c r="E107" s="592">
        <v>0</v>
      </c>
      <c r="F107" s="592">
        <v>0</v>
      </c>
      <c r="G107" s="592">
        <v>0</v>
      </c>
      <c r="H107" s="592">
        <v>0</v>
      </c>
      <c r="I107" s="592">
        <v>0</v>
      </c>
      <c r="J107" s="592">
        <v>0</v>
      </c>
      <c r="K107" s="592">
        <v>0</v>
      </c>
      <c r="L107" s="592">
        <v>0</v>
      </c>
      <c r="M107" s="592">
        <v>0</v>
      </c>
      <c r="N107" s="592">
        <v>0</v>
      </c>
      <c r="O107" s="592">
        <v>0</v>
      </c>
      <c r="P107" s="592">
        <v>0</v>
      </c>
      <c r="Q107" s="592">
        <v>0</v>
      </c>
      <c r="R107" s="592">
        <v>0</v>
      </c>
      <c r="S107" s="592">
        <v>0</v>
      </c>
      <c r="T107" s="592">
        <v>0</v>
      </c>
      <c r="U107" s="592">
        <v>0</v>
      </c>
      <c r="V107" s="592">
        <v>0</v>
      </c>
      <c r="W107" s="592">
        <v>0</v>
      </c>
      <c r="X107" s="341">
        <f>SUM(D107:W107)</f>
        <v>0</v>
      </c>
    </row>
    <row r="108" spans="1:24" ht="11.25" x14ac:dyDescent="0.2">
      <c r="A108" s="340" t="s">
        <v>289</v>
      </c>
      <c r="C108" s="346" t="s">
        <v>290</v>
      </c>
      <c r="D108" s="354">
        <f>+D105+D106+D107</f>
        <v>0</v>
      </c>
      <c r="E108" s="354">
        <f t="shared" ref="E108:W108" si="19">+E105+E106+E107</f>
        <v>0</v>
      </c>
      <c r="F108" s="354">
        <f t="shared" si="19"/>
        <v>0</v>
      </c>
      <c r="G108" s="354">
        <f t="shared" si="19"/>
        <v>0</v>
      </c>
      <c r="H108" s="354">
        <f t="shared" si="19"/>
        <v>0</v>
      </c>
      <c r="I108" s="354">
        <f t="shared" si="19"/>
        <v>0</v>
      </c>
      <c r="J108" s="354">
        <f t="shared" si="19"/>
        <v>0</v>
      </c>
      <c r="K108" s="354">
        <f t="shared" si="19"/>
        <v>0</v>
      </c>
      <c r="L108" s="354">
        <f t="shared" si="19"/>
        <v>0</v>
      </c>
      <c r="M108" s="354">
        <f t="shared" si="19"/>
        <v>0</v>
      </c>
      <c r="N108" s="354">
        <f t="shared" si="19"/>
        <v>0</v>
      </c>
      <c r="O108" s="354">
        <f t="shared" si="19"/>
        <v>0</v>
      </c>
      <c r="P108" s="354">
        <f t="shared" si="19"/>
        <v>0</v>
      </c>
      <c r="Q108" s="354">
        <f t="shared" si="19"/>
        <v>0</v>
      </c>
      <c r="R108" s="354">
        <f t="shared" si="19"/>
        <v>0</v>
      </c>
      <c r="S108" s="354">
        <f t="shared" si="19"/>
        <v>0</v>
      </c>
      <c r="T108" s="354">
        <f t="shared" si="19"/>
        <v>0</v>
      </c>
      <c r="U108" s="354">
        <f t="shared" si="19"/>
        <v>0</v>
      </c>
      <c r="V108" s="354">
        <f t="shared" si="19"/>
        <v>0</v>
      </c>
      <c r="W108" s="354">
        <f t="shared" si="19"/>
        <v>0</v>
      </c>
      <c r="X108" s="341">
        <f>SUM(D108:W108)</f>
        <v>0</v>
      </c>
    </row>
    <row r="109" spans="1:24" ht="11.25" x14ac:dyDescent="0.2">
      <c r="A109" s="340">
        <v>36</v>
      </c>
      <c r="C109" s="329" t="s">
        <v>1574</v>
      </c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41"/>
    </row>
    <row r="110" spans="1:24" ht="11.25" x14ac:dyDescent="0.2">
      <c r="A110" s="340">
        <v>37</v>
      </c>
      <c r="B110" s="188"/>
      <c r="C110" s="346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41"/>
    </row>
    <row r="111" spans="1:24" ht="11.25" x14ac:dyDescent="0.2">
      <c r="A111" s="340" t="s">
        <v>291</v>
      </c>
      <c r="B111" s="188" t="s">
        <v>632</v>
      </c>
      <c r="C111" s="346" t="s">
        <v>1631</v>
      </c>
      <c r="D111" s="599">
        <v>0</v>
      </c>
      <c r="E111" s="599">
        <v>0</v>
      </c>
      <c r="F111" s="599">
        <v>0</v>
      </c>
      <c r="G111" s="599">
        <v>0</v>
      </c>
      <c r="H111" s="599">
        <v>0</v>
      </c>
      <c r="I111" s="599">
        <v>0</v>
      </c>
      <c r="J111" s="599">
        <v>0</v>
      </c>
      <c r="K111" s="599">
        <v>0</v>
      </c>
      <c r="L111" s="599">
        <v>0</v>
      </c>
      <c r="M111" s="599">
        <v>0</v>
      </c>
      <c r="N111" s="599">
        <v>0</v>
      </c>
      <c r="O111" s="599">
        <v>0</v>
      </c>
      <c r="P111" s="599">
        <v>0</v>
      </c>
      <c r="Q111" s="599">
        <v>0</v>
      </c>
      <c r="R111" s="599">
        <v>0</v>
      </c>
      <c r="S111" s="599">
        <v>0</v>
      </c>
      <c r="T111" s="599">
        <v>0</v>
      </c>
      <c r="U111" s="599">
        <v>0</v>
      </c>
      <c r="V111" s="599">
        <v>0</v>
      </c>
      <c r="W111" s="599">
        <v>0</v>
      </c>
      <c r="X111" s="341">
        <f>SUM(D111:W111)</f>
        <v>0</v>
      </c>
    </row>
    <row r="112" spans="1:24" ht="11.25" x14ac:dyDescent="0.2">
      <c r="A112" s="340" t="s">
        <v>292</v>
      </c>
      <c r="B112" s="188" t="s">
        <v>634</v>
      </c>
      <c r="C112" s="329" t="s">
        <v>293</v>
      </c>
      <c r="D112" s="596">
        <v>0</v>
      </c>
      <c r="E112" s="596">
        <v>0</v>
      </c>
      <c r="F112" s="596">
        <v>0</v>
      </c>
      <c r="G112" s="596">
        <v>0</v>
      </c>
      <c r="H112" s="596">
        <v>0</v>
      </c>
      <c r="I112" s="596">
        <v>0</v>
      </c>
      <c r="J112" s="596">
        <v>0</v>
      </c>
      <c r="K112" s="596">
        <v>0</v>
      </c>
      <c r="L112" s="596">
        <v>0</v>
      </c>
      <c r="M112" s="596">
        <v>0</v>
      </c>
      <c r="N112" s="596">
        <v>0</v>
      </c>
      <c r="O112" s="596">
        <v>0</v>
      </c>
      <c r="P112" s="596">
        <v>0</v>
      </c>
      <c r="Q112" s="596">
        <v>0</v>
      </c>
      <c r="R112" s="596">
        <v>0</v>
      </c>
      <c r="S112" s="596">
        <v>0</v>
      </c>
      <c r="T112" s="596">
        <v>0</v>
      </c>
      <c r="U112" s="596">
        <v>0</v>
      </c>
      <c r="V112" s="596">
        <v>0</v>
      </c>
      <c r="W112" s="596">
        <v>0</v>
      </c>
      <c r="X112" s="341">
        <f>SUM(D112:W112)</f>
        <v>0</v>
      </c>
    </row>
    <row r="113" spans="1:24" ht="11.25" x14ac:dyDescent="0.2">
      <c r="A113" s="340">
        <v>39</v>
      </c>
      <c r="C113" s="346" t="s">
        <v>299</v>
      </c>
      <c r="D113" s="347">
        <f>+D108+D111+D112</f>
        <v>0</v>
      </c>
      <c r="E113" s="347">
        <f t="shared" ref="E113:W113" si="20">+E108+E111+E112</f>
        <v>0</v>
      </c>
      <c r="F113" s="347">
        <f t="shared" si="20"/>
        <v>0</v>
      </c>
      <c r="G113" s="347">
        <f t="shared" si="20"/>
        <v>0</v>
      </c>
      <c r="H113" s="347">
        <f t="shared" si="20"/>
        <v>0</v>
      </c>
      <c r="I113" s="347">
        <f t="shared" si="20"/>
        <v>0</v>
      </c>
      <c r="J113" s="347">
        <f t="shared" si="20"/>
        <v>0</v>
      </c>
      <c r="K113" s="347">
        <f t="shared" si="20"/>
        <v>0</v>
      </c>
      <c r="L113" s="347">
        <f t="shared" si="20"/>
        <v>0</v>
      </c>
      <c r="M113" s="347">
        <f t="shared" si="20"/>
        <v>0</v>
      </c>
      <c r="N113" s="347">
        <f t="shared" si="20"/>
        <v>0</v>
      </c>
      <c r="O113" s="347">
        <f t="shared" si="20"/>
        <v>0</v>
      </c>
      <c r="P113" s="347">
        <f t="shared" si="20"/>
        <v>0</v>
      </c>
      <c r="Q113" s="347">
        <f t="shared" si="20"/>
        <v>0</v>
      </c>
      <c r="R113" s="347">
        <f t="shared" si="20"/>
        <v>0</v>
      </c>
      <c r="S113" s="347">
        <f t="shared" si="20"/>
        <v>0</v>
      </c>
      <c r="T113" s="347">
        <f t="shared" si="20"/>
        <v>0</v>
      </c>
      <c r="U113" s="347">
        <f t="shared" si="20"/>
        <v>0</v>
      </c>
      <c r="V113" s="347">
        <f t="shared" si="20"/>
        <v>0</v>
      </c>
      <c r="W113" s="347">
        <f t="shared" si="20"/>
        <v>0</v>
      </c>
      <c r="X113" s="341">
        <f>SUM(D113:W113)</f>
        <v>0</v>
      </c>
    </row>
    <row r="114" spans="1:24" x14ac:dyDescent="0.15">
      <c r="A114" s="358"/>
      <c r="C114" s="359"/>
      <c r="D114" s="360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2"/>
    </row>
    <row r="115" spans="1:24" ht="11.25" x14ac:dyDescent="0.2">
      <c r="A115" s="340">
        <v>40</v>
      </c>
      <c r="C115" s="346" t="s">
        <v>300</v>
      </c>
      <c r="D115" s="347">
        <f>+D12</f>
        <v>0</v>
      </c>
      <c r="E115" s="347">
        <f t="shared" ref="E115:W115" si="21">+E12</f>
        <v>0</v>
      </c>
      <c r="F115" s="347">
        <f t="shared" si="21"/>
        <v>0</v>
      </c>
      <c r="G115" s="347">
        <f t="shared" si="21"/>
        <v>0</v>
      </c>
      <c r="H115" s="347">
        <f t="shared" si="21"/>
        <v>0</v>
      </c>
      <c r="I115" s="347">
        <f t="shared" si="21"/>
        <v>0</v>
      </c>
      <c r="J115" s="347">
        <f t="shared" si="21"/>
        <v>0</v>
      </c>
      <c r="K115" s="347">
        <f t="shared" si="21"/>
        <v>0</v>
      </c>
      <c r="L115" s="347">
        <f t="shared" si="21"/>
        <v>0</v>
      </c>
      <c r="M115" s="347">
        <f t="shared" si="21"/>
        <v>0</v>
      </c>
      <c r="N115" s="347">
        <f t="shared" si="21"/>
        <v>0</v>
      </c>
      <c r="O115" s="347">
        <f t="shared" si="21"/>
        <v>0</v>
      </c>
      <c r="P115" s="347">
        <f t="shared" si="21"/>
        <v>0</v>
      </c>
      <c r="Q115" s="347">
        <f t="shared" si="21"/>
        <v>0</v>
      </c>
      <c r="R115" s="347">
        <f t="shared" si="21"/>
        <v>0</v>
      </c>
      <c r="S115" s="347">
        <f t="shared" si="21"/>
        <v>0</v>
      </c>
      <c r="T115" s="347">
        <f t="shared" si="21"/>
        <v>0</v>
      </c>
      <c r="U115" s="347">
        <f t="shared" si="21"/>
        <v>0</v>
      </c>
      <c r="V115" s="347">
        <f t="shared" si="21"/>
        <v>0</v>
      </c>
      <c r="W115" s="347">
        <f t="shared" si="21"/>
        <v>0</v>
      </c>
      <c r="X115" s="347">
        <f>SUM(D115:W115)</f>
        <v>0</v>
      </c>
    </row>
    <row r="116" spans="1:24" x14ac:dyDescent="0.15">
      <c r="A116" s="358"/>
      <c r="C116" s="359"/>
      <c r="D116" s="360" t="s">
        <v>432</v>
      </c>
      <c r="E116" s="360" t="s">
        <v>432</v>
      </c>
      <c r="F116" s="360" t="s">
        <v>432</v>
      </c>
      <c r="G116" s="360" t="s">
        <v>432</v>
      </c>
      <c r="H116" s="360" t="s">
        <v>432</v>
      </c>
      <c r="I116" s="360" t="s">
        <v>432</v>
      </c>
      <c r="J116" s="360" t="s">
        <v>432</v>
      </c>
      <c r="K116" s="360" t="s">
        <v>432</v>
      </c>
      <c r="L116" s="360" t="s">
        <v>432</v>
      </c>
      <c r="M116" s="360" t="s">
        <v>432</v>
      </c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</row>
    <row r="117" spans="1:24" ht="11.25" x14ac:dyDescent="0.2">
      <c r="A117" s="340">
        <v>41</v>
      </c>
      <c r="C117" s="346" t="s">
        <v>301</v>
      </c>
      <c r="D117" s="363">
        <f>+D115-D113</f>
        <v>0</v>
      </c>
      <c r="E117" s="363">
        <f t="shared" ref="E117:W117" si="22">+E115-E113</f>
        <v>0</v>
      </c>
      <c r="F117" s="363">
        <f t="shared" si="22"/>
        <v>0</v>
      </c>
      <c r="G117" s="363">
        <f t="shared" si="22"/>
        <v>0</v>
      </c>
      <c r="H117" s="363">
        <f t="shared" si="22"/>
        <v>0</v>
      </c>
      <c r="I117" s="363">
        <f t="shared" si="22"/>
        <v>0</v>
      </c>
      <c r="J117" s="363">
        <f t="shared" si="22"/>
        <v>0</v>
      </c>
      <c r="K117" s="363">
        <f t="shared" si="22"/>
        <v>0</v>
      </c>
      <c r="L117" s="363">
        <f t="shared" si="22"/>
        <v>0</v>
      </c>
      <c r="M117" s="363">
        <f t="shared" si="22"/>
        <v>0</v>
      </c>
      <c r="N117" s="363">
        <f t="shared" si="22"/>
        <v>0</v>
      </c>
      <c r="O117" s="363">
        <f t="shared" si="22"/>
        <v>0</v>
      </c>
      <c r="P117" s="363">
        <f t="shared" si="22"/>
        <v>0</v>
      </c>
      <c r="Q117" s="363">
        <f t="shared" si="22"/>
        <v>0</v>
      </c>
      <c r="R117" s="363">
        <f t="shared" si="22"/>
        <v>0</v>
      </c>
      <c r="S117" s="363">
        <f t="shared" si="22"/>
        <v>0</v>
      </c>
      <c r="T117" s="363">
        <f t="shared" si="22"/>
        <v>0</v>
      </c>
      <c r="U117" s="363">
        <f t="shared" si="22"/>
        <v>0</v>
      </c>
      <c r="V117" s="363">
        <f t="shared" si="22"/>
        <v>0</v>
      </c>
      <c r="W117" s="363">
        <f t="shared" si="22"/>
        <v>0</v>
      </c>
      <c r="X117" s="347">
        <f>SUM(D117:W117)</f>
        <v>0</v>
      </c>
    </row>
    <row r="118" spans="1:24" ht="11.25" x14ac:dyDescent="0.2">
      <c r="A118" s="364"/>
      <c r="C118" s="346"/>
      <c r="D118" s="365"/>
      <c r="E118" s="365"/>
      <c r="F118" s="365"/>
      <c r="G118" s="365"/>
      <c r="H118" s="365"/>
      <c r="I118" s="365"/>
      <c r="J118" s="365"/>
      <c r="K118" s="365"/>
      <c r="L118" s="366"/>
      <c r="M118" s="366"/>
      <c r="N118" s="366"/>
      <c r="O118" s="366"/>
      <c r="P118" s="366"/>
      <c r="Q118" s="366"/>
      <c r="R118" s="366"/>
      <c r="S118" s="366"/>
      <c r="T118" s="366"/>
      <c r="U118" s="366"/>
      <c r="V118" s="366"/>
      <c r="W118" s="366"/>
      <c r="X118" s="347"/>
    </row>
    <row r="119" spans="1:24" x14ac:dyDescent="0.15">
      <c r="A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</row>
  </sheetData>
  <sheetProtection password="CB03" sheet="1" objects="1" scenarios="1" formatColumns="0" formatRows="0"/>
  <phoneticPr fontId="0" type="noConversion"/>
  <dataValidations count="1">
    <dataValidation type="whole" allowBlank="1" showInputMessage="1" showErrorMessage="1" errorTitle="Grant Code" error="Must be between 0000 and 9999" sqref="D3:W3">
      <formula1>0</formula1>
      <formula2>9999</formula2>
    </dataValidation>
  </dataValidations>
  <pageMargins left="0.75" right="0.75" top="1" bottom="1" header="0.5" footer="0.5"/>
  <pageSetup paperSize="5" scale="58" fitToWidth="2" fitToHeight="2" orientation="landscape" r:id="rId1"/>
  <headerFooter alignWithMargins="0">
    <oddFooter>&amp;LCDE, Public School Finance Unit&amp;C&amp;P&amp;RRevised, March 2009</oddFooter>
  </headerFooter>
  <rowBreaks count="1" manualBreakCount="1">
    <brk id="62" max="23" man="1"/>
  </rowBreaks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J198"/>
  <sheetViews>
    <sheetView zoomScaleNormal="100" workbookViewId="0">
      <selection activeCell="A5" sqref="A5"/>
    </sheetView>
  </sheetViews>
  <sheetFormatPr defaultRowHeight="10.5" x14ac:dyDescent="0.15"/>
  <cols>
    <col min="1" max="1" width="15.33203125" style="158" customWidth="1"/>
    <col min="2" max="2" width="5.83203125" style="158" customWidth="1"/>
    <col min="3" max="3" width="74.6640625" style="158" customWidth="1"/>
    <col min="4" max="4" width="5.33203125" style="158" customWidth="1"/>
    <col min="5" max="5" width="15.83203125" customWidth="1"/>
    <col min="6" max="6" width="17" style="158" customWidth="1"/>
    <col min="7" max="7" width="16.83203125" style="158" customWidth="1"/>
    <col min="8" max="8" width="16.33203125" style="158" customWidth="1"/>
    <col min="9" max="9" width="15.33203125" style="158" customWidth="1"/>
    <col min="10" max="10" width="14.33203125" style="158" customWidth="1"/>
    <col min="11" max="16384" width="9.33203125" style="158"/>
  </cols>
  <sheetData>
    <row r="1" spans="1:10" x14ac:dyDescent="0.15">
      <c r="A1" s="158" t="s">
        <v>106</v>
      </c>
      <c r="C1" s="163">
        <v>0</v>
      </c>
      <c r="D1" s="163"/>
      <c r="E1" s="158" t="s">
        <v>1586</v>
      </c>
      <c r="F1" s="164">
        <v>0</v>
      </c>
      <c r="G1" s="165"/>
      <c r="H1" s="38" t="s">
        <v>1588</v>
      </c>
    </row>
    <row r="2" spans="1:10" x14ac:dyDescent="0.15">
      <c r="A2" s="15" t="s">
        <v>971</v>
      </c>
    </row>
    <row r="3" spans="1:10" ht="42" x14ac:dyDescent="0.15">
      <c r="E3" s="166" t="s">
        <v>1447</v>
      </c>
      <c r="F3" s="166" t="s">
        <v>1448</v>
      </c>
      <c r="G3" s="166" t="s">
        <v>1449</v>
      </c>
      <c r="H3" s="166" t="s">
        <v>1450</v>
      </c>
      <c r="I3" s="166" t="s">
        <v>1451</v>
      </c>
      <c r="J3" s="166" t="s">
        <v>1452</v>
      </c>
    </row>
    <row r="4" spans="1:10" ht="52.5" x14ac:dyDescent="0.15">
      <c r="E4" s="166"/>
      <c r="F4" s="166"/>
      <c r="G4" s="166"/>
      <c r="H4" s="166"/>
      <c r="I4" s="251" t="s">
        <v>193</v>
      </c>
      <c r="J4" s="251" t="s">
        <v>192</v>
      </c>
    </row>
    <row r="5" spans="1:10" ht="11.25" thickBot="1" x14ac:dyDescent="0.2">
      <c r="E5" s="166"/>
      <c r="F5" s="166"/>
      <c r="G5" s="166"/>
      <c r="H5" s="166"/>
      <c r="J5" s="167"/>
    </row>
    <row r="6" spans="1:10" ht="11.25" thickBot="1" x14ac:dyDescent="0.2">
      <c r="A6" s="35" t="s">
        <v>1589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171">
        <f>H6+I6</f>
        <v>0</v>
      </c>
    </row>
    <row r="7" spans="1:10" x14ac:dyDescent="0.15">
      <c r="A7" s="18"/>
      <c r="C7" s="209" t="s">
        <v>196</v>
      </c>
      <c r="F7" s="159"/>
      <c r="G7" s="8"/>
      <c r="J7" s="167"/>
    </row>
    <row r="8" spans="1:10" x14ac:dyDescent="0.15">
      <c r="A8" s="35" t="s">
        <v>203</v>
      </c>
      <c r="B8" s="159"/>
      <c r="C8" s="35" t="s">
        <v>1189</v>
      </c>
      <c r="D8" s="35"/>
      <c r="F8" s="159"/>
      <c r="G8" s="8"/>
      <c r="J8" s="167"/>
    </row>
    <row r="9" spans="1:10" x14ac:dyDescent="0.15">
      <c r="C9" s="40" t="s">
        <v>204</v>
      </c>
      <c r="D9" s="40"/>
      <c r="F9" s="177"/>
      <c r="G9" s="159"/>
      <c r="J9" s="167"/>
    </row>
    <row r="10" spans="1:10" x14ac:dyDescent="0.15">
      <c r="A10" s="379" t="e">
        <f>HLOOKUP(201,'Fund 20 Grants'!$D$2:$W$3,2,FALSE)</f>
        <v>#N/A</v>
      </c>
      <c r="B10" s="380"/>
      <c r="C10" s="381" t="e">
        <f>HLOOKUP(201,'Fund 20 Grants'!$D$2:$W$4,3,FALSE)</f>
        <v>#N/A</v>
      </c>
      <c r="D10" s="115"/>
      <c r="E10" s="41">
        <v>0</v>
      </c>
      <c r="F10" s="41">
        <v>0</v>
      </c>
      <c r="G10" s="41">
        <v>0</v>
      </c>
      <c r="H10" s="383">
        <f>IF(ISERROR(HLOOKUP(201,'Fund 20 Grants'!$D$2:$W$12,11,FALSE)),0,(HLOOKUP(201,'Fund 20 Grants'!$D$2:$W$12,11,FALSE)))</f>
        <v>0</v>
      </c>
      <c r="I10" s="41">
        <v>0</v>
      </c>
      <c r="J10" s="564">
        <f t="shared" ref="J10:J21" si="0">H10+I10</f>
        <v>0</v>
      </c>
    </row>
    <row r="11" spans="1:10" x14ac:dyDescent="0.15">
      <c r="A11" s="379" t="e">
        <f>HLOOKUP(202,'Fund 20 Grants'!$D$2:$W$3,2,FALSE)</f>
        <v>#N/A</v>
      </c>
      <c r="B11" s="380"/>
      <c r="C11" s="381" t="e">
        <f>HLOOKUP(202,'Fund 20 Grants'!$D$2:$W$4,3,FALSE)</f>
        <v>#N/A</v>
      </c>
      <c r="D11" s="115"/>
      <c r="E11" s="41">
        <v>0</v>
      </c>
      <c r="F11" s="41">
        <v>0</v>
      </c>
      <c r="G11" s="41">
        <v>0</v>
      </c>
      <c r="H11" s="383">
        <f>IF(ISERROR(HLOOKUP(202,'Fund 20 Grants'!$D$2:$W$12,11,FALSE)),0,(HLOOKUP(202,'Fund 20 Grants'!$D$2:$W$12,11,FALSE)))</f>
        <v>0</v>
      </c>
      <c r="I11" s="41">
        <v>0</v>
      </c>
      <c r="J11" s="564">
        <f t="shared" si="0"/>
        <v>0</v>
      </c>
    </row>
    <row r="12" spans="1:10" x14ac:dyDescent="0.15">
      <c r="A12" s="379" t="e">
        <f>HLOOKUP(203,'Fund 20 Grants'!$D$2:$W$3,2,FALSE)</f>
        <v>#N/A</v>
      </c>
      <c r="B12" s="380"/>
      <c r="C12" s="381" t="e">
        <f>HLOOKUP(203,'Fund 20 Grants'!$D$2:$W$4,3,FALSE)</f>
        <v>#N/A</v>
      </c>
      <c r="D12" s="115"/>
      <c r="E12" s="41">
        <v>0</v>
      </c>
      <c r="F12" s="41">
        <v>0</v>
      </c>
      <c r="G12" s="41">
        <v>0</v>
      </c>
      <c r="H12" s="383">
        <f>IF(ISERROR(HLOOKUP(203,'Fund 20 Grants'!$D$2:$W$12,11,FALSE)),0,(HLOOKUP(203,'Fund 20 Grants'!$D$2:$W$12,11,FALSE)))</f>
        <v>0</v>
      </c>
      <c r="I12" s="41">
        <v>0</v>
      </c>
      <c r="J12" s="564">
        <f t="shared" si="0"/>
        <v>0</v>
      </c>
    </row>
    <row r="13" spans="1:10" x14ac:dyDescent="0.15">
      <c r="A13" s="379" t="e">
        <f>HLOOKUP(204,'Fund 20 Grants'!$D$2:$W$3,2,FALSE)</f>
        <v>#N/A</v>
      </c>
      <c r="B13" s="380"/>
      <c r="C13" s="381" t="e">
        <f>HLOOKUP(204,'Fund 20 Grants'!$D$2:$W$4,3,FALSE)</f>
        <v>#N/A</v>
      </c>
      <c r="D13" s="115"/>
      <c r="E13" s="41">
        <v>0</v>
      </c>
      <c r="F13" s="41">
        <v>0</v>
      </c>
      <c r="G13" s="41">
        <v>0</v>
      </c>
      <c r="H13" s="383">
        <f>IF(ISERROR(HLOOKUP(204,'Fund 20 Grants'!$D$2:$W$12,11,FALSE)),0,(HLOOKUP(204,'Fund 20 Grants'!$D$2:$W$12,11,FALSE)))</f>
        <v>0</v>
      </c>
      <c r="I13" s="41">
        <v>0</v>
      </c>
      <c r="J13" s="564">
        <f t="shared" si="0"/>
        <v>0</v>
      </c>
    </row>
    <row r="14" spans="1:10" x14ac:dyDescent="0.15">
      <c r="A14" s="379" t="e">
        <f>HLOOKUP(205,'Fund 20 Grants'!$D$2:$W$3,2,FALSE)</f>
        <v>#N/A</v>
      </c>
      <c r="B14" s="380"/>
      <c r="C14" s="381" t="e">
        <f>HLOOKUP(205,'Fund 20 Grants'!$D$2:$W$4,3,FALSE)</f>
        <v>#N/A</v>
      </c>
      <c r="D14" s="115"/>
      <c r="E14" s="41">
        <v>0</v>
      </c>
      <c r="F14" s="41">
        <v>0</v>
      </c>
      <c r="G14" s="41">
        <v>0</v>
      </c>
      <c r="H14" s="383">
        <f>IF(ISERROR(HLOOKUP(205,'Fund 20 Grants'!$D$2:$W$12,11,FALSE)),0,(HLOOKUP(205,'Fund 20 Grants'!$D$2:$W$12,11,FALSE)))</f>
        <v>0</v>
      </c>
      <c r="I14" s="41">
        <v>0</v>
      </c>
      <c r="J14" s="564">
        <f t="shared" si="0"/>
        <v>0</v>
      </c>
    </row>
    <row r="15" spans="1:10" x14ac:dyDescent="0.15">
      <c r="A15" s="379" t="e">
        <f>HLOOKUP(206,'Fund 20 Grants'!$D$2:$W$3,2,FALSE)</f>
        <v>#N/A</v>
      </c>
      <c r="B15" s="380"/>
      <c r="C15" s="381" t="e">
        <f>HLOOKUP(206,'Fund 20 Grants'!$D$2:$W$4,3,FALSE)</f>
        <v>#N/A</v>
      </c>
      <c r="D15" s="115"/>
      <c r="E15" s="41">
        <v>0</v>
      </c>
      <c r="F15" s="41">
        <v>0</v>
      </c>
      <c r="G15" s="41">
        <v>0</v>
      </c>
      <c r="H15" s="383">
        <f>IF(ISERROR(HLOOKUP(206,'Fund 20 Grants'!$D$2:$W$12,11,FALSE)),0,(HLOOKUP(206,'Fund 20 Grants'!$D$2:$W$12,11,FALSE)))</f>
        <v>0</v>
      </c>
      <c r="I15" s="41">
        <v>0</v>
      </c>
      <c r="J15" s="564">
        <f t="shared" si="0"/>
        <v>0</v>
      </c>
    </row>
    <row r="16" spans="1:10" x14ac:dyDescent="0.15">
      <c r="A16" s="379" t="e">
        <f>HLOOKUP(207,'Fund 20 Grants'!$D$2:$W$3,2,FALSE)</f>
        <v>#N/A</v>
      </c>
      <c r="B16" s="380"/>
      <c r="C16" s="381" t="e">
        <f>HLOOKUP(207,'Fund 20 Grants'!$D$2:$W$4,3,FALSE)</f>
        <v>#N/A</v>
      </c>
      <c r="D16" s="115"/>
      <c r="E16" s="41">
        <v>0</v>
      </c>
      <c r="F16" s="41">
        <v>0</v>
      </c>
      <c r="G16" s="41">
        <v>0</v>
      </c>
      <c r="H16" s="383">
        <f>IF(ISERROR(HLOOKUP(207,'Fund 20 Grants'!$D$2:$W$12,11,FALSE)),0,(HLOOKUP(207,'Fund 20 Grants'!$D$2:$W$12,11,FALSE)))</f>
        <v>0</v>
      </c>
      <c r="I16" s="41">
        <v>0</v>
      </c>
      <c r="J16" s="564">
        <f t="shared" si="0"/>
        <v>0</v>
      </c>
    </row>
    <row r="17" spans="1:10" x14ac:dyDescent="0.15">
      <c r="A17" s="379" t="e">
        <f>HLOOKUP(208,'Fund 20 Grants'!$D$2:$W$3,2,FALSE)</f>
        <v>#N/A</v>
      </c>
      <c r="B17" s="380"/>
      <c r="C17" s="381" t="e">
        <f>HLOOKUP(208,'Fund 20 Grants'!$D$2:$W$4,3,FALSE)</f>
        <v>#N/A</v>
      </c>
      <c r="D17" s="115"/>
      <c r="E17" s="41">
        <v>0</v>
      </c>
      <c r="F17" s="41">
        <v>0</v>
      </c>
      <c r="G17" s="41">
        <v>0</v>
      </c>
      <c r="H17" s="383">
        <f>IF(ISERROR(HLOOKUP(208,'Fund 20 Grants'!$D$2:$W$12,11,FALSE)),0,(HLOOKUP(208,'Fund 20 Grants'!$D$2:$W$12,11,FALSE)))</f>
        <v>0</v>
      </c>
      <c r="I17" s="41">
        <v>0</v>
      </c>
      <c r="J17" s="564">
        <f t="shared" si="0"/>
        <v>0</v>
      </c>
    </row>
    <row r="18" spans="1:10" x14ac:dyDescent="0.15">
      <c r="A18" s="379" t="e">
        <f>HLOOKUP(209,'Fund 20 Grants'!$D$2:$W$3,2,FALSE)</f>
        <v>#N/A</v>
      </c>
      <c r="B18" s="380"/>
      <c r="C18" s="381" t="e">
        <f>HLOOKUP(209,'Fund 20 Grants'!$D$2:$W$4,3,FALSE)</f>
        <v>#N/A</v>
      </c>
      <c r="D18" s="115"/>
      <c r="E18" s="41">
        <v>0</v>
      </c>
      <c r="F18" s="41">
        <v>0</v>
      </c>
      <c r="G18" s="41">
        <v>0</v>
      </c>
      <c r="H18" s="383">
        <f>IF(ISERROR(HLOOKUP(209,'Fund 20 Grants'!$D$2:$W$12,11,FALSE)),0,(HLOOKUP(209,'Fund 20 Grants'!$D$2:$W$12,11,FALSE)))</f>
        <v>0</v>
      </c>
      <c r="I18" s="41">
        <v>0</v>
      </c>
      <c r="J18" s="564">
        <f t="shared" si="0"/>
        <v>0</v>
      </c>
    </row>
    <row r="19" spans="1:10" x14ac:dyDescent="0.15">
      <c r="A19" s="379" t="e">
        <f>HLOOKUP(210,'Fund 20 Grants'!$D$2:$W$3,2,FALSE)</f>
        <v>#N/A</v>
      </c>
      <c r="B19" s="380"/>
      <c r="C19" s="381" t="e">
        <f>HLOOKUP(210,'Fund 20 Grants'!$D$2:$W$4,3,FALSE)</f>
        <v>#N/A</v>
      </c>
      <c r="D19" s="194"/>
      <c r="E19" s="41">
        <v>0</v>
      </c>
      <c r="F19" s="41">
        <v>0</v>
      </c>
      <c r="G19" s="41">
        <v>0</v>
      </c>
      <c r="H19" s="383">
        <f>IF(ISERROR(HLOOKUP(210,'Fund 20 Grants'!$D$2:$W$12,11,FALSE)),0,(HLOOKUP(210,'Fund 20 Grants'!$D$2:$W$12,11,FALSE)))</f>
        <v>0</v>
      </c>
      <c r="I19" s="41">
        <v>0</v>
      </c>
      <c r="J19" s="564">
        <f t="shared" si="0"/>
        <v>0</v>
      </c>
    </row>
    <row r="20" spans="1:10" x14ac:dyDescent="0.15">
      <c r="A20" s="379" t="e">
        <f>HLOOKUP(211,'Fund 20 Grants'!$D$2:$W$3,2,FALSE)</f>
        <v>#N/A</v>
      </c>
      <c r="B20" s="380"/>
      <c r="C20" s="381" t="e">
        <f>HLOOKUP(211,'Fund 20 Grants'!$D$2:$W$4,3,FALSE)</f>
        <v>#N/A</v>
      </c>
      <c r="D20" s="115"/>
      <c r="E20" s="41">
        <v>0</v>
      </c>
      <c r="F20" s="41">
        <v>0</v>
      </c>
      <c r="G20" s="41">
        <v>0</v>
      </c>
      <c r="H20" s="383">
        <f>IF(ISERROR(HLOOKUP(211,'Fund 20 Grants'!$D$2:$W$12,11,FALSE)),0,(HLOOKUP(211,'Fund 20 Grants'!$D$2:$W$12,11,FALSE)))</f>
        <v>0</v>
      </c>
      <c r="I20" s="41">
        <v>0</v>
      </c>
      <c r="J20" s="564">
        <f t="shared" si="0"/>
        <v>0</v>
      </c>
    </row>
    <row r="21" spans="1:10" x14ac:dyDescent="0.15">
      <c r="A21" s="379" t="e">
        <f>HLOOKUP(212,'Fund 20 Grants'!$D$2:$W$3,2,FALSE)</f>
        <v>#N/A</v>
      </c>
      <c r="B21" s="380"/>
      <c r="C21" s="381" t="e">
        <f>HLOOKUP(212,'Fund 20 Grants'!$D$2:$W$4,3,FALSE)</f>
        <v>#N/A</v>
      </c>
      <c r="D21" s="194"/>
      <c r="E21" s="41">
        <v>0</v>
      </c>
      <c r="F21" s="41">
        <v>0</v>
      </c>
      <c r="G21" s="41">
        <v>0</v>
      </c>
      <c r="H21" s="383">
        <f>IF(ISERROR(HLOOKUP(212,'Fund 20 Grants'!$D$2:$W$12,11,FALSE)),0,(HLOOKUP(212,'Fund 20 Grants'!$D$2:$W$12,11,FALSE)))</f>
        <v>0</v>
      </c>
      <c r="I21" s="41">
        <v>0</v>
      </c>
      <c r="J21" s="564">
        <f t="shared" si="0"/>
        <v>0</v>
      </c>
    </row>
    <row r="22" spans="1:10" ht="11.25" thickBot="1" x14ac:dyDescent="0.2">
      <c r="A22" s="152"/>
      <c r="B22" s="167"/>
      <c r="E22" s="14"/>
      <c r="F22" s="14"/>
      <c r="G22" s="14"/>
      <c r="H22" s="14"/>
      <c r="J22" s="167"/>
    </row>
    <row r="23" spans="1:10" ht="12" thickTop="1" thickBot="1" x14ac:dyDescent="0.2">
      <c r="C23" s="115" t="s">
        <v>1186</v>
      </c>
      <c r="D23" s="115"/>
      <c r="E23" s="169">
        <f t="shared" ref="E23:J23" si="1">SUM(E10:E21)</f>
        <v>0</v>
      </c>
      <c r="F23" s="169">
        <f t="shared" si="1"/>
        <v>0</v>
      </c>
      <c r="G23" s="169">
        <f t="shared" si="1"/>
        <v>0</v>
      </c>
      <c r="H23" s="169">
        <f t="shared" si="1"/>
        <v>0</v>
      </c>
      <c r="I23" s="169">
        <f t="shared" si="1"/>
        <v>0</v>
      </c>
      <c r="J23" s="169">
        <f t="shared" si="1"/>
        <v>0</v>
      </c>
    </row>
    <row r="24" spans="1:10" ht="11.25" thickTop="1" x14ac:dyDescent="0.15">
      <c r="F24" s="159"/>
      <c r="G24" s="159"/>
      <c r="J24" s="167"/>
    </row>
    <row r="25" spans="1:10" x14ac:dyDescent="0.15">
      <c r="B25" s="40" t="s">
        <v>1185</v>
      </c>
      <c r="F25" s="159"/>
      <c r="G25" s="159"/>
      <c r="J25" s="167"/>
    </row>
    <row r="26" spans="1:10" x14ac:dyDescent="0.15">
      <c r="A26" s="235" t="s">
        <v>163</v>
      </c>
      <c r="B26" s="40"/>
      <c r="F26" s="159"/>
      <c r="G26" s="159"/>
      <c r="J26" s="167"/>
    </row>
    <row r="27" spans="1:10" x14ac:dyDescent="0.15">
      <c r="A27" s="35" t="s">
        <v>203</v>
      </c>
      <c r="B27" s="159"/>
      <c r="C27" s="35" t="s">
        <v>1188</v>
      </c>
      <c r="D27" s="35"/>
      <c r="F27" s="159"/>
      <c r="G27" s="159"/>
      <c r="J27" s="167"/>
    </row>
    <row r="28" spans="1:10" x14ac:dyDescent="0.15">
      <c r="A28" s="373"/>
      <c r="B28" s="167"/>
      <c r="C28" s="40" t="s">
        <v>554</v>
      </c>
      <c r="D28" s="194"/>
      <c r="F28" s="159"/>
      <c r="G28" s="159"/>
      <c r="J28" s="167"/>
    </row>
    <row r="29" spans="1:10" x14ac:dyDescent="0.15">
      <c r="A29" s="379" t="e">
        <f>HLOOKUP(301,'Fund 20 Grants'!$D$2:$W$3,2,FALSE)</f>
        <v>#N/A</v>
      </c>
      <c r="B29" s="380"/>
      <c r="C29" s="381" t="e">
        <f>HLOOKUP(301,'Fund 20 Grants'!$D$2:$W$4,3,FALSE)</f>
        <v>#N/A</v>
      </c>
      <c r="D29" s="194"/>
      <c r="E29" s="41">
        <v>0</v>
      </c>
      <c r="F29" s="41">
        <v>0</v>
      </c>
      <c r="G29" s="41">
        <v>0</v>
      </c>
      <c r="H29" s="383">
        <f>IF(ISERROR(HLOOKUP(301,'Fund 20 Grants'!$D$2:$W$12,11,FALSE)),0,(HLOOKUP(301,'Fund 20 Grants'!$D$2:$W$12,11,FALSE)))</f>
        <v>0</v>
      </c>
      <c r="I29" s="41">
        <v>0</v>
      </c>
      <c r="J29" s="564">
        <f t="shared" ref="J29:J48" si="2">H29+I29</f>
        <v>0</v>
      </c>
    </row>
    <row r="30" spans="1:10" x14ac:dyDescent="0.15">
      <c r="A30" s="379" t="e">
        <f>HLOOKUP(302,'Fund 20 Grants'!$D$2:$W$3,2,FALSE)</f>
        <v>#N/A</v>
      </c>
      <c r="B30" s="380"/>
      <c r="C30" s="381" t="e">
        <f>HLOOKUP(302,'Fund 20 Grants'!$D$2:$W$4,3,FALSE)</f>
        <v>#N/A</v>
      </c>
      <c r="D30" s="194"/>
      <c r="E30" s="41">
        <v>0</v>
      </c>
      <c r="F30" s="41">
        <v>0</v>
      </c>
      <c r="G30" s="41">
        <v>0</v>
      </c>
      <c r="H30" s="383">
        <f>IF(ISERROR(HLOOKUP(302,'Fund 20 Grants'!$D$2:$W$12,11,FALSE)),0,(HLOOKUP(302,'Fund 20 Grants'!$D$2:$W$12,11,FALSE)))</f>
        <v>0</v>
      </c>
      <c r="I30" s="41">
        <v>0</v>
      </c>
      <c r="J30" s="564">
        <f t="shared" si="2"/>
        <v>0</v>
      </c>
    </row>
    <row r="31" spans="1:10" x14ac:dyDescent="0.15">
      <c r="A31" s="379" t="e">
        <f>HLOOKUP(303,'Fund 20 Grants'!$D$2:$W$3,2,FALSE)</f>
        <v>#N/A</v>
      </c>
      <c r="B31" s="380"/>
      <c r="C31" s="381" t="e">
        <f>HLOOKUP(303,'Fund 20 Grants'!$D$2:$W$4,3,FALSE)</f>
        <v>#N/A</v>
      </c>
      <c r="D31" s="194"/>
      <c r="E31" s="41">
        <v>0</v>
      </c>
      <c r="F31" s="41">
        <v>0</v>
      </c>
      <c r="G31" s="41">
        <v>0</v>
      </c>
      <c r="H31" s="383">
        <f>IF(ISERROR(HLOOKUP(303,'Fund 20 Grants'!$D$2:$W$12,11,FALSE)),0,(HLOOKUP(303,'Fund 20 Grants'!$D$2:$W$12,11,FALSE)))</f>
        <v>0</v>
      </c>
      <c r="I31" s="41">
        <v>0</v>
      </c>
      <c r="J31" s="564">
        <f t="shared" si="2"/>
        <v>0</v>
      </c>
    </row>
    <row r="32" spans="1:10" x14ac:dyDescent="0.15">
      <c r="A32" s="379" t="e">
        <f>HLOOKUP(304,'Fund 20 Grants'!$D$2:$W$3,2,FALSE)</f>
        <v>#N/A</v>
      </c>
      <c r="B32" s="380"/>
      <c r="C32" s="381" t="e">
        <f>HLOOKUP(304,'Fund 20 Grants'!$D$2:$W$4,3,FALSE)</f>
        <v>#N/A</v>
      </c>
      <c r="D32" s="194"/>
      <c r="E32" s="41">
        <v>0</v>
      </c>
      <c r="F32" s="41">
        <v>0</v>
      </c>
      <c r="G32" s="41">
        <v>0</v>
      </c>
      <c r="H32" s="383">
        <f>IF(ISERROR(HLOOKUP(304,'Fund 20 Grants'!$D$2:$W$12,11,FALSE)),0,(HLOOKUP(304,'Fund 20 Grants'!$D$2:$W$12,11,FALSE)))</f>
        <v>0</v>
      </c>
      <c r="I32" s="41">
        <v>0</v>
      </c>
      <c r="J32" s="564">
        <f t="shared" si="2"/>
        <v>0</v>
      </c>
    </row>
    <row r="33" spans="1:10" x14ac:dyDescent="0.15">
      <c r="A33" s="379" t="e">
        <f>HLOOKUP(305,'Fund 20 Grants'!$D$2:$W$3,2,FALSE)</f>
        <v>#N/A</v>
      </c>
      <c r="B33" s="380"/>
      <c r="C33" s="381" t="e">
        <f>HLOOKUP(305,'Fund 20 Grants'!$D$2:$W$4,3,FALSE)</f>
        <v>#N/A</v>
      </c>
      <c r="D33" s="194"/>
      <c r="E33" s="41">
        <v>0</v>
      </c>
      <c r="F33" s="41">
        <v>0</v>
      </c>
      <c r="G33" s="41">
        <v>0</v>
      </c>
      <c r="H33" s="383">
        <f>IF(ISERROR(HLOOKUP(305,'Fund 20 Grants'!$D$2:$W$12,11,FALSE)),0,(HLOOKUP(305,'Fund 20 Grants'!$D$2:$W$12,11,FALSE)))</f>
        <v>0</v>
      </c>
      <c r="I33" s="41">
        <v>0</v>
      </c>
      <c r="J33" s="564">
        <f t="shared" si="2"/>
        <v>0</v>
      </c>
    </row>
    <row r="34" spans="1:10" x14ac:dyDescent="0.15">
      <c r="A34" s="379" t="e">
        <f>HLOOKUP(306,'Fund 20 Grants'!$D$2:$W$3,2,FALSE)</f>
        <v>#N/A</v>
      </c>
      <c r="B34" s="380"/>
      <c r="C34" s="381" t="e">
        <f>HLOOKUP(306,'Fund 20 Grants'!$D$2:$W$4,3,FALSE)</f>
        <v>#N/A</v>
      </c>
      <c r="D34" s="194"/>
      <c r="E34" s="41">
        <v>0</v>
      </c>
      <c r="F34" s="41">
        <v>0</v>
      </c>
      <c r="G34" s="41">
        <v>0</v>
      </c>
      <c r="H34" s="383">
        <f>IF(ISERROR(HLOOKUP(306,'Fund 20 Grants'!$D$2:$W$12,11,FALSE)),0,(HLOOKUP(306,'Fund 20 Grants'!$D$2:$W$12,11,FALSE)))</f>
        <v>0</v>
      </c>
      <c r="I34" s="41">
        <v>0</v>
      </c>
      <c r="J34" s="564">
        <f t="shared" si="2"/>
        <v>0</v>
      </c>
    </row>
    <row r="35" spans="1:10" x14ac:dyDescent="0.15">
      <c r="A35" s="379" t="e">
        <f>HLOOKUP(307,'Fund 20 Grants'!$D$2:$W$3,2,FALSE)</f>
        <v>#N/A</v>
      </c>
      <c r="B35" s="380"/>
      <c r="C35" s="381" t="e">
        <f>HLOOKUP(307,'Fund 20 Grants'!$D$2:$W$4,3,FALSE)</f>
        <v>#N/A</v>
      </c>
      <c r="D35" s="194"/>
      <c r="E35" s="41">
        <v>0</v>
      </c>
      <c r="F35" s="41">
        <v>0</v>
      </c>
      <c r="G35" s="41">
        <v>0</v>
      </c>
      <c r="H35" s="383">
        <f>IF(ISERROR(HLOOKUP(307,'Fund 20 Grants'!$D$2:$W$12,11,FALSE)),0,(HLOOKUP(307,'Fund 20 Grants'!$D$2:$W$12,11,FALSE)))</f>
        <v>0</v>
      </c>
      <c r="I35" s="41">
        <v>0</v>
      </c>
      <c r="J35" s="564">
        <f t="shared" si="2"/>
        <v>0</v>
      </c>
    </row>
    <row r="36" spans="1:10" x14ac:dyDescent="0.15">
      <c r="A36" s="379" t="e">
        <f>HLOOKUP(308,'Fund 20 Grants'!$D$2:$W$3,2,FALSE)</f>
        <v>#N/A</v>
      </c>
      <c r="B36" s="380"/>
      <c r="C36" s="381" t="e">
        <f>HLOOKUP(308,'Fund 20 Grants'!$D$2:$W$4,3,FALSE)</f>
        <v>#N/A</v>
      </c>
      <c r="D36" s="194"/>
      <c r="E36" s="41">
        <v>0</v>
      </c>
      <c r="F36" s="41">
        <v>0</v>
      </c>
      <c r="G36" s="41">
        <v>0</v>
      </c>
      <c r="H36" s="383">
        <f>IF(ISERROR(HLOOKUP(308,'Fund 20 Grants'!$D$2:$W$12,11,FALSE)),0,(HLOOKUP(308,'Fund 20 Grants'!$D$2:$W$12,11,FALSE)))</f>
        <v>0</v>
      </c>
      <c r="I36" s="41">
        <v>0</v>
      </c>
      <c r="J36" s="564">
        <f t="shared" si="2"/>
        <v>0</v>
      </c>
    </row>
    <row r="37" spans="1:10" x14ac:dyDescent="0.15">
      <c r="A37" s="379" t="e">
        <f>HLOOKUP(309,'Fund 20 Grants'!$D$2:$W$3,2,FALSE)</f>
        <v>#N/A</v>
      </c>
      <c r="B37" s="380"/>
      <c r="C37" s="381" t="e">
        <f>HLOOKUP(309,'Fund 20 Grants'!$D$2:$W$4,3,FALSE)</f>
        <v>#N/A</v>
      </c>
      <c r="D37" s="194"/>
      <c r="E37" s="41">
        <v>0</v>
      </c>
      <c r="F37" s="41">
        <v>0</v>
      </c>
      <c r="G37" s="41">
        <v>0</v>
      </c>
      <c r="H37" s="383">
        <f>IF(ISERROR(HLOOKUP(309,'Fund 20 Grants'!$D$2:$W$12,11,FALSE)),0,(HLOOKUP(309,'Fund 20 Grants'!$D$2:$W$12,11,FALSE)))</f>
        <v>0</v>
      </c>
      <c r="I37" s="41">
        <v>0</v>
      </c>
      <c r="J37" s="564">
        <f t="shared" si="2"/>
        <v>0</v>
      </c>
    </row>
    <row r="38" spans="1:10" x14ac:dyDescent="0.15">
      <c r="A38" s="379" t="e">
        <f>HLOOKUP(310,'Fund 20 Grants'!$D$2:$W$3,2,FALSE)</f>
        <v>#N/A</v>
      </c>
      <c r="B38" s="380"/>
      <c r="C38" s="381" t="e">
        <f>HLOOKUP(310,'Fund 20 Grants'!$D$2:$W$4,3,FALSE)</f>
        <v>#N/A</v>
      </c>
      <c r="D38" s="194"/>
      <c r="E38" s="41">
        <v>0</v>
      </c>
      <c r="F38" s="41">
        <v>0</v>
      </c>
      <c r="G38" s="41">
        <v>0</v>
      </c>
      <c r="H38" s="383">
        <f>IF(ISERROR(HLOOKUP(310,'Fund 20 Grants'!$D$2:$W$12,11,FALSE)),0,(HLOOKUP(310,'Fund 20 Grants'!$D$2:$W$12,11,FALSE)))</f>
        <v>0</v>
      </c>
      <c r="I38" s="41">
        <v>0</v>
      </c>
      <c r="J38" s="564">
        <f t="shared" si="2"/>
        <v>0</v>
      </c>
    </row>
    <row r="39" spans="1:10" x14ac:dyDescent="0.15">
      <c r="A39" s="379" t="e">
        <f>HLOOKUP(311,'Fund 20 Grants'!$D$2:$W$3,2,FALSE)</f>
        <v>#N/A</v>
      </c>
      <c r="B39" s="380"/>
      <c r="C39" s="381" t="e">
        <f>HLOOKUP(311,'Fund 20 Grants'!$D$2:$W$4,3,FALSE)</f>
        <v>#N/A</v>
      </c>
      <c r="D39" s="194"/>
      <c r="E39" s="41">
        <v>0</v>
      </c>
      <c r="F39" s="41">
        <v>0</v>
      </c>
      <c r="G39" s="41">
        <v>0</v>
      </c>
      <c r="H39" s="383">
        <f>IF(ISERROR(HLOOKUP(311,'Fund 20 Grants'!$D$2:$W$12,11,FALSE)),0,(HLOOKUP(311,'Fund 20 Grants'!$D$2:$W$12,11,FALSE)))</f>
        <v>0</v>
      </c>
      <c r="I39" s="41">
        <v>0</v>
      </c>
      <c r="J39" s="564">
        <f t="shared" si="2"/>
        <v>0</v>
      </c>
    </row>
    <row r="40" spans="1:10" x14ac:dyDescent="0.15">
      <c r="A40" s="379" t="e">
        <f>HLOOKUP(312,'Fund 20 Grants'!$D$2:$W$3,2,FALSE)</f>
        <v>#N/A</v>
      </c>
      <c r="B40" s="380"/>
      <c r="C40" s="381" t="e">
        <f>HLOOKUP(312,'Fund 20 Grants'!$D$2:$W$4,3,FALSE)</f>
        <v>#N/A</v>
      </c>
      <c r="D40" s="194"/>
      <c r="E40" s="41">
        <v>0</v>
      </c>
      <c r="F40" s="41">
        <v>0</v>
      </c>
      <c r="G40" s="41">
        <v>0</v>
      </c>
      <c r="H40" s="383">
        <f>IF(ISERROR(HLOOKUP(312,'Fund 20 Grants'!$D$2:$W$12,11,FALSE)),0,(HLOOKUP(312,'Fund 20 Grants'!$D$2:$W$12,11,FALSE)))</f>
        <v>0</v>
      </c>
      <c r="I40" s="41">
        <v>0</v>
      </c>
      <c r="J40" s="564">
        <f t="shared" si="2"/>
        <v>0</v>
      </c>
    </row>
    <row r="41" spans="1:10" x14ac:dyDescent="0.15">
      <c r="A41" s="379" t="e">
        <f>HLOOKUP(313,'Fund 20 Grants'!$D$2:$W$3,2,FALSE)</f>
        <v>#N/A</v>
      </c>
      <c r="B41" s="380"/>
      <c r="C41" s="381" t="e">
        <f>HLOOKUP(313,'Fund 20 Grants'!$D$2:$W$4,3,FALSE)</f>
        <v>#N/A</v>
      </c>
      <c r="D41" s="194"/>
      <c r="E41" s="41">
        <v>0</v>
      </c>
      <c r="F41" s="41">
        <v>0</v>
      </c>
      <c r="G41" s="41">
        <v>0</v>
      </c>
      <c r="H41" s="383">
        <f>IF(ISERROR(HLOOKUP(313,'Fund 20 Grants'!$D$2:$W$12,11,FALSE)),0,(HLOOKUP(313,'Fund 20 Grants'!$D$2:$W$12,11,FALSE)))</f>
        <v>0</v>
      </c>
      <c r="I41" s="41">
        <v>0</v>
      </c>
      <c r="J41" s="564">
        <f t="shared" si="2"/>
        <v>0</v>
      </c>
    </row>
    <row r="42" spans="1:10" x14ac:dyDescent="0.15">
      <c r="A42" s="379" t="e">
        <f>HLOOKUP(314,'Fund 20 Grants'!$D$2:$W$3,2,FALSE)</f>
        <v>#N/A</v>
      </c>
      <c r="B42" s="380"/>
      <c r="C42" s="381" t="e">
        <f>HLOOKUP(314,'Fund 20 Grants'!$D$2:$W$4,3,FALSE)</f>
        <v>#N/A</v>
      </c>
      <c r="D42" s="194"/>
      <c r="E42" s="41">
        <v>0</v>
      </c>
      <c r="F42" s="41">
        <v>0</v>
      </c>
      <c r="G42" s="41">
        <v>0</v>
      </c>
      <c r="H42" s="383">
        <f>IF(ISERROR(HLOOKUP(314,'Fund 20 Grants'!$D$2:$W$12,11,FALSE)),0,(HLOOKUP(314,'Fund 20 Grants'!$D$2:$W$12,11,FALSE)))</f>
        <v>0</v>
      </c>
      <c r="I42" s="41">
        <v>0</v>
      </c>
      <c r="J42" s="564">
        <f t="shared" si="2"/>
        <v>0</v>
      </c>
    </row>
    <row r="43" spans="1:10" x14ac:dyDescent="0.15">
      <c r="A43" s="379" t="e">
        <f>HLOOKUP(315,'Fund 20 Grants'!$D$2:$W$3,2,FALSE)</f>
        <v>#N/A</v>
      </c>
      <c r="B43" s="380"/>
      <c r="C43" s="381" t="e">
        <f>HLOOKUP(315,'Fund 20 Grants'!$D$2:$W$4,3,FALSE)</f>
        <v>#N/A</v>
      </c>
      <c r="D43" s="194"/>
      <c r="E43" s="41">
        <v>0</v>
      </c>
      <c r="F43" s="41">
        <v>0</v>
      </c>
      <c r="G43" s="41">
        <v>0</v>
      </c>
      <c r="H43" s="383">
        <f>IF(ISERROR(HLOOKUP(315,'Fund 20 Grants'!$D$2:$W$12,11,FALSE)),0,(HLOOKUP(315,'Fund 20 Grants'!$D$2:$W$12,11,FALSE)))</f>
        <v>0</v>
      </c>
      <c r="I43" s="41">
        <v>0</v>
      </c>
      <c r="J43" s="564">
        <f t="shared" si="2"/>
        <v>0</v>
      </c>
    </row>
    <row r="44" spans="1:10" x14ac:dyDescent="0.15">
      <c r="A44" s="379" t="e">
        <f>HLOOKUP(316,'Fund 20 Grants'!$D$2:$W$3,2,FALSE)</f>
        <v>#N/A</v>
      </c>
      <c r="B44" s="380"/>
      <c r="C44" s="381" t="e">
        <f>HLOOKUP(316,'Fund 20 Grants'!$D$2:$W$4,3,FALSE)</f>
        <v>#N/A</v>
      </c>
      <c r="D44" s="194"/>
      <c r="E44" s="41">
        <v>0</v>
      </c>
      <c r="F44" s="41">
        <v>0</v>
      </c>
      <c r="G44" s="41">
        <v>0</v>
      </c>
      <c r="H44" s="383">
        <f>IF(ISERROR(HLOOKUP(316,'Fund 20 Grants'!$D$2:$W$12,11,FALSE)),0,(HLOOKUP(316,'Fund 20 Grants'!$D$2:$W$12,11,FALSE)))</f>
        <v>0</v>
      </c>
      <c r="I44" s="41">
        <v>0</v>
      </c>
      <c r="J44" s="564">
        <f t="shared" si="2"/>
        <v>0</v>
      </c>
    </row>
    <row r="45" spans="1:10" x14ac:dyDescent="0.15">
      <c r="A45" s="379" t="e">
        <f>HLOOKUP(317,'Fund 20 Grants'!$D$2:$W$3,2,FALSE)</f>
        <v>#N/A</v>
      </c>
      <c r="B45" s="380"/>
      <c r="C45" s="381" t="e">
        <f>HLOOKUP(317,'Fund 20 Grants'!$D$2:$W$4,3,FALSE)</f>
        <v>#N/A</v>
      </c>
      <c r="D45" s="194"/>
      <c r="E45" s="41">
        <v>0</v>
      </c>
      <c r="F45" s="41">
        <v>0</v>
      </c>
      <c r="G45" s="41">
        <v>0</v>
      </c>
      <c r="H45" s="383">
        <f>IF(ISERROR(HLOOKUP(317,'Fund 20 Grants'!$D$2:$W$12,11,FALSE)),0,(HLOOKUP(317,'Fund 20 Grants'!$D$2:$W$12,11,FALSE)))</f>
        <v>0</v>
      </c>
      <c r="I45" s="41">
        <v>0</v>
      </c>
      <c r="J45" s="564">
        <f t="shared" si="2"/>
        <v>0</v>
      </c>
    </row>
    <row r="46" spans="1:10" x14ac:dyDescent="0.15">
      <c r="A46" s="379" t="e">
        <f>HLOOKUP(318,'Fund 20 Grants'!$D$2:$W$3,2,FALSE)</f>
        <v>#N/A</v>
      </c>
      <c r="B46" s="380"/>
      <c r="C46" s="381" t="e">
        <f>HLOOKUP(318,'Fund 20 Grants'!$D$2:$W$4,3,FALSE)</f>
        <v>#N/A</v>
      </c>
      <c r="D46" s="194"/>
      <c r="E46" s="41">
        <v>0</v>
      </c>
      <c r="F46" s="41">
        <v>0</v>
      </c>
      <c r="G46" s="41">
        <v>0</v>
      </c>
      <c r="H46" s="383">
        <f>IF(ISERROR(HLOOKUP(318,'Fund 20 Grants'!$D$2:$W$12,11,FALSE)),0,(HLOOKUP(318,'Fund 20 Grants'!$D$2:$W$12,11,FALSE)))</f>
        <v>0</v>
      </c>
      <c r="I46" s="41">
        <v>0</v>
      </c>
      <c r="J46" s="564">
        <f t="shared" si="2"/>
        <v>0</v>
      </c>
    </row>
    <row r="47" spans="1:10" x14ac:dyDescent="0.15">
      <c r="A47" s="379" t="e">
        <f>HLOOKUP(319,'Fund 20 Grants'!$D$2:$W$3,2,FALSE)</f>
        <v>#N/A</v>
      </c>
      <c r="B47" s="380"/>
      <c r="C47" s="381" t="e">
        <f>HLOOKUP(319,'Fund 20 Grants'!$D$2:$W$4,3,FALSE)</f>
        <v>#N/A</v>
      </c>
      <c r="D47" s="194"/>
      <c r="E47" s="41">
        <v>0</v>
      </c>
      <c r="F47" s="41">
        <v>0</v>
      </c>
      <c r="G47" s="41">
        <v>0</v>
      </c>
      <c r="H47" s="383">
        <f>IF(ISERROR(HLOOKUP(319,'Fund 20 Grants'!$D$2:$W$12,11,FALSE)),0,(HLOOKUP(319,'Fund 20 Grants'!$D$2:$W$12,11,FALSE)))</f>
        <v>0</v>
      </c>
      <c r="I47" s="41">
        <v>0</v>
      </c>
      <c r="J47" s="564">
        <f t="shared" si="2"/>
        <v>0</v>
      </c>
    </row>
    <row r="48" spans="1:10" x14ac:dyDescent="0.15">
      <c r="A48" s="379" t="e">
        <f>HLOOKUP(320,'Fund 20 Grants'!$D$2:$W$3,2,FALSE)</f>
        <v>#N/A</v>
      </c>
      <c r="B48" s="380"/>
      <c r="C48" s="381" t="e">
        <f>HLOOKUP(320,'Fund 20 Grants'!$D$2:$W$4,3,FALSE)</f>
        <v>#N/A</v>
      </c>
      <c r="D48" s="115"/>
      <c r="E48" s="41">
        <v>0</v>
      </c>
      <c r="F48" s="41">
        <v>0</v>
      </c>
      <c r="G48" s="41">
        <v>0</v>
      </c>
      <c r="H48" s="383">
        <f>IF(ISERROR(HLOOKUP(320,'Fund 20 Grants'!$D$2:$W$12,11,FALSE)),0,(HLOOKUP(320,'Fund 20 Grants'!$D$2:$W$12,11,FALSE)))</f>
        <v>0</v>
      </c>
      <c r="I48" s="41">
        <v>0</v>
      </c>
      <c r="J48" s="564">
        <f t="shared" si="2"/>
        <v>0</v>
      </c>
    </row>
    <row r="49" spans="1:10" ht="11.25" thickBot="1" x14ac:dyDescent="0.2">
      <c r="A49" s="384"/>
      <c r="B49" s="385"/>
      <c r="C49" s="172"/>
      <c r="D49" s="115"/>
      <c r="E49" s="14"/>
      <c r="F49" s="14"/>
      <c r="G49" s="14"/>
      <c r="H49" s="14"/>
      <c r="J49" s="167"/>
    </row>
    <row r="50" spans="1:10" ht="12" thickTop="1" thickBot="1" x14ac:dyDescent="0.2">
      <c r="C50" s="115" t="s">
        <v>1187</v>
      </c>
      <c r="E50" s="169">
        <f t="shared" ref="E50:J50" si="3">SUM(E29:E49)</f>
        <v>0</v>
      </c>
      <c r="F50" s="169">
        <f t="shared" si="3"/>
        <v>0</v>
      </c>
      <c r="G50" s="169">
        <f t="shared" si="3"/>
        <v>0</v>
      </c>
      <c r="H50" s="169">
        <f t="shared" si="3"/>
        <v>0</v>
      </c>
      <c r="I50" s="169">
        <f t="shared" si="3"/>
        <v>0</v>
      </c>
      <c r="J50" s="169">
        <f t="shared" si="3"/>
        <v>0</v>
      </c>
    </row>
    <row r="51" spans="1:10" ht="11.25" thickTop="1" x14ac:dyDescent="0.15">
      <c r="F51" s="159"/>
      <c r="G51" s="159"/>
      <c r="J51" s="167"/>
    </row>
    <row r="52" spans="1:10" x14ac:dyDescent="0.15">
      <c r="B52" s="40" t="s">
        <v>1346</v>
      </c>
      <c r="D52" s="35"/>
      <c r="F52" s="159"/>
      <c r="G52" s="159"/>
      <c r="J52" s="167"/>
    </row>
    <row r="53" spans="1:10" x14ac:dyDescent="0.15">
      <c r="A53" s="35" t="s">
        <v>203</v>
      </c>
      <c r="B53" s="159"/>
      <c r="C53" s="35" t="s">
        <v>1330</v>
      </c>
      <c r="D53" s="202"/>
      <c r="F53" s="159"/>
      <c r="G53" s="159"/>
      <c r="J53" s="167"/>
    </row>
    <row r="54" spans="1:10" x14ac:dyDescent="0.15">
      <c r="A54" s="379">
        <f>HLOOKUP(101,'Fund 20 Grants'!$D$2:$W$3,2,FALSE)</f>
        <v>0</v>
      </c>
      <c r="B54" s="380"/>
      <c r="C54" s="381">
        <f>HLOOKUP(101,'Fund 20 Grants'!$D$2:$W$4,3,FALSE)</f>
        <v>0</v>
      </c>
      <c r="D54" s="202"/>
      <c r="E54" s="41">
        <v>0</v>
      </c>
      <c r="F54" s="41">
        <v>0</v>
      </c>
      <c r="G54" s="41">
        <v>0</v>
      </c>
      <c r="H54" s="383">
        <f>IF(ISERROR(HLOOKUP(101,'Fund 20 Grants'!$D$2:$W$12,11,FALSE)),0,(HLOOKUP(101,'Fund 20 Grants'!$D$2:$W$12,11,FALSE)))</f>
        <v>0</v>
      </c>
      <c r="I54" s="41">
        <v>0</v>
      </c>
      <c r="J54" s="564">
        <f t="shared" ref="J54:J63" si="4">H54+I54</f>
        <v>0</v>
      </c>
    </row>
    <row r="55" spans="1:10" x14ac:dyDescent="0.15">
      <c r="A55" s="379">
        <f>HLOOKUP(102,'Fund 20 Grants'!$D$2:$W$3,2,FALSE)</f>
        <v>0</v>
      </c>
      <c r="B55" s="380"/>
      <c r="C55" s="381">
        <f>HLOOKUP(102,'Fund 20 Grants'!$D$2:$W$4,3,FALSE)</f>
        <v>0</v>
      </c>
      <c r="D55" s="202"/>
      <c r="E55" s="41">
        <v>0</v>
      </c>
      <c r="F55" s="41">
        <v>0</v>
      </c>
      <c r="G55" s="41">
        <v>0</v>
      </c>
      <c r="H55" s="383">
        <f>IF(ISERROR(HLOOKUP(102,'Fund 20 Grants'!$D$2:$W$12,11,FALSE)),0,(HLOOKUP(102,'Fund 20 Grants'!$D$2:$W$12,11,FALSE)))</f>
        <v>0</v>
      </c>
      <c r="I55" s="41">
        <v>0</v>
      </c>
      <c r="J55" s="564">
        <f t="shared" si="4"/>
        <v>0</v>
      </c>
    </row>
    <row r="56" spans="1:10" x14ac:dyDescent="0.15">
      <c r="A56" s="379">
        <f>HLOOKUP(103,'Fund 20 Grants'!$D$2:$W$3,2,FALSE)</f>
        <v>0</v>
      </c>
      <c r="B56" s="380"/>
      <c r="C56" s="381">
        <f>HLOOKUP(103,'Fund 20 Grants'!$D$2:$W$4,3,FALSE)</f>
        <v>0</v>
      </c>
      <c r="D56" s="202"/>
      <c r="E56" s="41">
        <v>0</v>
      </c>
      <c r="F56" s="41">
        <v>0</v>
      </c>
      <c r="G56" s="41">
        <v>0</v>
      </c>
      <c r="H56" s="383">
        <f>IF(ISERROR(HLOOKUP(103,'Fund 20 Grants'!$D$2:$W$12,11,FALSE)),0,(HLOOKUP(103,'Fund 20 Grants'!$D$2:$W$12,11,FALSE)))</f>
        <v>0</v>
      </c>
      <c r="I56" s="41">
        <v>0</v>
      </c>
      <c r="J56" s="564">
        <f t="shared" si="4"/>
        <v>0</v>
      </c>
    </row>
    <row r="57" spans="1:10" x14ac:dyDescent="0.15">
      <c r="A57" s="379">
        <f>HLOOKUP(104,'Fund 20 Grants'!$D$2:$W$3,2,FALSE)</f>
        <v>0</v>
      </c>
      <c r="B57" s="380"/>
      <c r="C57" s="381">
        <f>HLOOKUP(104,'Fund 20 Grants'!$D$2:$W$4,3,FALSE)</f>
        <v>0</v>
      </c>
      <c r="D57" s="202"/>
      <c r="E57" s="41">
        <v>0</v>
      </c>
      <c r="F57" s="41">
        <v>0</v>
      </c>
      <c r="G57" s="41">
        <v>0</v>
      </c>
      <c r="H57" s="383">
        <f>IF(ISERROR(HLOOKUP(104,'Fund 20 Grants'!$D$2:$W$12,11,FALSE)),0,(HLOOKUP(104,'Fund 20 Grants'!$D$2:$W$12,11,FALSE)))</f>
        <v>0</v>
      </c>
      <c r="I57" s="41">
        <v>0</v>
      </c>
      <c r="J57" s="564">
        <f t="shared" si="4"/>
        <v>0</v>
      </c>
    </row>
    <row r="58" spans="1:10" x14ac:dyDescent="0.15">
      <c r="A58" s="379">
        <f>HLOOKUP(105,'Fund 20 Grants'!$D$2:$W$3,2,FALSE)</f>
        <v>0</v>
      </c>
      <c r="B58" s="380"/>
      <c r="C58" s="381">
        <f>HLOOKUP(105,'Fund 20 Grants'!$D$2:$W$4,3,FALSE)</f>
        <v>0</v>
      </c>
      <c r="D58" s="202"/>
      <c r="E58" s="41">
        <v>0</v>
      </c>
      <c r="F58" s="41">
        <v>0</v>
      </c>
      <c r="G58" s="41">
        <v>0</v>
      </c>
      <c r="H58" s="383">
        <f>IF(ISERROR(HLOOKUP(105,'Fund 20 Grants'!$D$2:$W$12,11,FALSE)),0,(HLOOKUP(105,'Fund 20 Grants'!$D$2:$W$12,11,FALSE)))</f>
        <v>0</v>
      </c>
      <c r="I58" s="41">
        <v>0</v>
      </c>
      <c r="J58" s="564">
        <f t="shared" si="4"/>
        <v>0</v>
      </c>
    </row>
    <row r="59" spans="1:10" x14ac:dyDescent="0.15">
      <c r="A59" s="379">
        <f>HLOOKUP(106,'Fund 20 Grants'!$D$2:$W$3,2,FALSE)</f>
        <v>0</v>
      </c>
      <c r="B59" s="380"/>
      <c r="C59" s="381">
        <f>HLOOKUP(106,'Fund 20 Grants'!$D$2:$W$4,3,FALSE)</f>
        <v>0</v>
      </c>
      <c r="D59" s="202"/>
      <c r="E59" s="41">
        <v>0</v>
      </c>
      <c r="F59" s="41">
        <v>0</v>
      </c>
      <c r="G59" s="41">
        <v>0</v>
      </c>
      <c r="H59" s="383">
        <f>IF(ISERROR(HLOOKUP(106,'Fund 20 Grants'!$D$2:$W$12,11,FALSE)),0,(HLOOKUP(106,'Fund 20 Grants'!$D$2:$W$12,11,FALSE)))</f>
        <v>0</v>
      </c>
      <c r="I59" s="41">
        <v>0</v>
      </c>
      <c r="J59" s="564">
        <f t="shared" si="4"/>
        <v>0</v>
      </c>
    </row>
    <row r="60" spans="1:10" x14ac:dyDescent="0.15">
      <c r="A60" s="379">
        <f>HLOOKUP(107,'Fund 20 Grants'!$D$2:$W$3,2,FALSE)</f>
        <v>0</v>
      </c>
      <c r="B60" s="380"/>
      <c r="C60" s="381">
        <f>HLOOKUP(107,'Fund 20 Grants'!$D$2:$W$4,3,FALSE)</f>
        <v>0</v>
      </c>
      <c r="D60" s="202"/>
      <c r="E60" s="41">
        <v>0</v>
      </c>
      <c r="F60" s="41">
        <v>0</v>
      </c>
      <c r="G60" s="41">
        <v>0</v>
      </c>
      <c r="H60" s="383">
        <f>IF(ISERROR(HLOOKUP(107,'Fund 20 Grants'!$D$2:$W$12,11,FALSE)),0,(HLOOKUP(107,'Fund 20 Grants'!$D$2:$W$12,11,FALSE)))</f>
        <v>0</v>
      </c>
      <c r="I60" s="41">
        <v>0</v>
      </c>
      <c r="J60" s="564">
        <f t="shared" si="4"/>
        <v>0</v>
      </c>
    </row>
    <row r="61" spans="1:10" x14ac:dyDescent="0.15">
      <c r="A61" s="379">
        <f>HLOOKUP(108,'Fund 20 Grants'!$D$2:$W$3,2,FALSE)</f>
        <v>0</v>
      </c>
      <c r="B61" s="380"/>
      <c r="C61" s="381">
        <f>HLOOKUP(108,'Fund 20 Grants'!$D$2:$W$4,3,FALSE)</f>
        <v>0</v>
      </c>
      <c r="D61" s="202"/>
      <c r="E61" s="41">
        <v>0</v>
      </c>
      <c r="F61" s="41">
        <v>0</v>
      </c>
      <c r="G61" s="41">
        <v>0</v>
      </c>
      <c r="H61" s="383">
        <f>IF(ISERROR(HLOOKUP(108,'Fund 20 Grants'!$D$2:$W$12,11,FALSE)),0,(HLOOKUP(108,'Fund 20 Grants'!$D$2:$W$12,11,FALSE)))</f>
        <v>0</v>
      </c>
      <c r="I61" s="41">
        <v>0</v>
      </c>
      <c r="J61" s="564">
        <f t="shared" si="4"/>
        <v>0</v>
      </c>
    </row>
    <row r="62" spans="1:10" x14ac:dyDescent="0.15">
      <c r="A62" s="379">
        <f>HLOOKUP(109,'Fund 20 Grants'!$D$2:$W$3,2,FALSE)</f>
        <v>0</v>
      </c>
      <c r="B62" s="380"/>
      <c r="C62" s="381">
        <f>HLOOKUP(109,'Fund 20 Grants'!$D$2:$W$4,3,FALSE)</f>
        <v>0</v>
      </c>
      <c r="D62" s="202"/>
      <c r="E62" s="41">
        <v>0</v>
      </c>
      <c r="F62" s="41">
        <v>0</v>
      </c>
      <c r="G62" s="41">
        <v>0</v>
      </c>
      <c r="H62" s="383">
        <f>IF(ISERROR(HLOOKUP(109,'Fund 20 Grants'!$D$2:$W$12,11,FALSE)),0,(HLOOKUP(109,'Fund 20 Grants'!$D$2:$W$12,11,FALSE)))</f>
        <v>0</v>
      </c>
      <c r="I62" s="41">
        <v>0</v>
      </c>
      <c r="J62" s="564">
        <f t="shared" si="4"/>
        <v>0</v>
      </c>
    </row>
    <row r="63" spans="1:10" x14ac:dyDescent="0.15">
      <c r="A63" s="379">
        <f>HLOOKUP(110,'Fund 20 Grants'!$D$2:$W$3,2,FALSE)</f>
        <v>0</v>
      </c>
      <c r="B63" s="380"/>
      <c r="C63" s="381">
        <f>HLOOKUP(110,'Fund 20 Grants'!$D$2:$W$4,3,FALSE)</f>
        <v>0</v>
      </c>
      <c r="D63" s="40"/>
      <c r="E63" s="41">
        <v>0</v>
      </c>
      <c r="F63" s="41">
        <v>0</v>
      </c>
      <c r="G63" s="41">
        <v>0</v>
      </c>
      <c r="H63" s="383">
        <f>IF(ISERROR(HLOOKUP(110,'Fund 20 Grants'!$D$2:$W$12,11,FALSE)),0,(HLOOKUP(110,'Fund 20 Grants'!$D$2:$W$12,11,FALSE)))</f>
        <v>0</v>
      </c>
      <c r="I63" s="41">
        <v>0</v>
      </c>
      <c r="J63" s="564">
        <f t="shared" si="4"/>
        <v>0</v>
      </c>
    </row>
    <row r="64" spans="1:10" ht="11.25" thickBot="1" x14ac:dyDescent="0.2">
      <c r="C64" s="40"/>
      <c r="D64" s="115"/>
      <c r="F64" s="159"/>
      <c r="G64" s="159"/>
      <c r="J64" s="167"/>
    </row>
    <row r="65" spans="1:10" ht="12" thickTop="1" thickBot="1" x14ac:dyDescent="0.2">
      <c r="A65" s="115" t="s">
        <v>1527</v>
      </c>
      <c r="C65" s="115" t="s">
        <v>1350</v>
      </c>
      <c r="E65" s="151">
        <f t="shared" ref="E65:J65" si="5">SUM(E54:E64)</f>
        <v>0</v>
      </c>
      <c r="F65" s="151">
        <f t="shared" si="5"/>
        <v>0</v>
      </c>
      <c r="G65" s="151">
        <f t="shared" si="5"/>
        <v>0</v>
      </c>
      <c r="H65" s="151">
        <f t="shared" si="5"/>
        <v>0</v>
      </c>
      <c r="I65" s="151">
        <f t="shared" si="5"/>
        <v>0</v>
      </c>
      <c r="J65" s="169">
        <f t="shared" si="5"/>
        <v>0</v>
      </c>
    </row>
    <row r="66" spans="1:10" ht="12" thickTop="1" thickBot="1" x14ac:dyDescent="0.2">
      <c r="D66" s="115"/>
      <c r="F66" s="159"/>
      <c r="G66" s="159"/>
      <c r="J66" s="167"/>
    </row>
    <row r="67" spans="1:10" ht="12" thickTop="1" thickBot="1" x14ac:dyDescent="0.2">
      <c r="C67" s="115" t="s">
        <v>416</v>
      </c>
      <c r="D67" s="115"/>
      <c r="E67" s="193">
        <f t="shared" ref="E67:J67" si="6">E23+E50+E65</f>
        <v>0</v>
      </c>
      <c r="F67" s="193">
        <f t="shared" si="6"/>
        <v>0</v>
      </c>
      <c r="G67" s="193">
        <f t="shared" si="6"/>
        <v>0</v>
      </c>
      <c r="H67" s="193">
        <f t="shared" si="6"/>
        <v>0</v>
      </c>
      <c r="I67" s="193">
        <f t="shared" si="6"/>
        <v>0</v>
      </c>
      <c r="J67" s="600">
        <f t="shared" si="6"/>
        <v>0</v>
      </c>
    </row>
    <row r="68" spans="1:10" ht="11.25" thickTop="1" x14ac:dyDescent="0.15">
      <c r="C68" s="115"/>
      <c r="D68" s="115"/>
      <c r="F68" s="159"/>
      <c r="G68" s="159"/>
      <c r="J68" s="167"/>
    </row>
    <row r="69" spans="1:10" x14ac:dyDescent="0.15">
      <c r="B69" s="21" t="s">
        <v>1223</v>
      </c>
      <c r="C69" s="115"/>
      <c r="D69" s="35"/>
      <c r="F69" s="159"/>
      <c r="G69" s="159"/>
      <c r="J69" s="167"/>
    </row>
    <row r="70" spans="1:10" ht="12" customHeight="1" thickBot="1" x14ac:dyDescent="0.2">
      <c r="A70" s="35" t="s">
        <v>203</v>
      </c>
      <c r="C70" s="35" t="s">
        <v>1351</v>
      </c>
      <c r="D70" s="203"/>
      <c r="F70" s="159"/>
      <c r="G70" s="159"/>
      <c r="J70" s="167"/>
    </row>
    <row r="71" spans="1:10" ht="12" thickTop="1" thickBot="1" x14ac:dyDescent="0.2">
      <c r="A71" s="162" t="s">
        <v>105</v>
      </c>
      <c r="B71" s="205" t="s">
        <v>1229</v>
      </c>
      <c r="C71" s="2" t="s">
        <v>860</v>
      </c>
      <c r="D71" s="115"/>
      <c r="E71" s="670">
        <v>0</v>
      </c>
      <c r="F71" s="670">
        <v>0</v>
      </c>
      <c r="G71" s="670">
        <v>0</v>
      </c>
      <c r="H71" s="670">
        <v>0</v>
      </c>
      <c r="I71" s="670">
        <v>0</v>
      </c>
      <c r="J71" s="600">
        <f>+H71+I71</f>
        <v>0</v>
      </c>
    </row>
    <row r="72" spans="1:10" ht="11.25" thickTop="1" x14ac:dyDescent="0.15">
      <c r="C72" s="115"/>
      <c r="D72" s="115"/>
      <c r="F72" s="159"/>
      <c r="G72" s="159"/>
      <c r="J72" s="167"/>
    </row>
    <row r="73" spans="1:10" x14ac:dyDescent="0.15">
      <c r="B73" s="21" t="s">
        <v>792</v>
      </c>
      <c r="C73" s="115"/>
      <c r="D73" s="35"/>
      <c r="F73" s="159"/>
      <c r="G73" s="159"/>
      <c r="J73" s="167"/>
    </row>
    <row r="74" spans="1:10" x14ac:dyDescent="0.15">
      <c r="A74" s="35" t="s">
        <v>203</v>
      </c>
      <c r="C74" s="35" t="s">
        <v>1034</v>
      </c>
      <c r="D74" s="203"/>
      <c r="F74" s="159"/>
      <c r="G74" s="159"/>
      <c r="J74" s="167"/>
    </row>
    <row r="75" spans="1:10" x14ac:dyDescent="0.15">
      <c r="A75" s="374"/>
      <c r="C75" s="195"/>
      <c r="D75" s="203"/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564">
        <f t="shared" ref="J75:J84" si="7">H75+I75</f>
        <v>0</v>
      </c>
    </row>
    <row r="76" spans="1:10" x14ac:dyDescent="0.15">
      <c r="A76" s="374"/>
      <c r="C76" s="195"/>
      <c r="D76" s="203"/>
      <c r="E76" s="41">
        <v>0</v>
      </c>
      <c r="F76" s="41">
        <v>0</v>
      </c>
      <c r="G76" s="41">
        <v>0</v>
      </c>
      <c r="H76" s="41">
        <v>0</v>
      </c>
      <c r="I76" s="41">
        <v>0</v>
      </c>
      <c r="J76" s="564">
        <f t="shared" si="7"/>
        <v>0</v>
      </c>
    </row>
    <row r="77" spans="1:10" x14ac:dyDescent="0.15">
      <c r="A77" s="374"/>
      <c r="C77" s="195"/>
      <c r="D77" s="203"/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564">
        <f t="shared" si="7"/>
        <v>0</v>
      </c>
    </row>
    <row r="78" spans="1:10" x14ac:dyDescent="0.15">
      <c r="A78" s="374"/>
      <c r="C78" s="195"/>
      <c r="D78" s="203"/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564">
        <f t="shared" si="7"/>
        <v>0</v>
      </c>
    </row>
    <row r="79" spans="1:10" x14ac:dyDescent="0.15">
      <c r="A79" s="374"/>
      <c r="C79" s="195"/>
      <c r="D79" s="203"/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564">
        <f t="shared" si="7"/>
        <v>0</v>
      </c>
    </row>
    <row r="80" spans="1:10" x14ac:dyDescent="0.15">
      <c r="A80" s="374"/>
      <c r="C80" s="195"/>
      <c r="D80" s="203"/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564">
        <f t="shared" si="7"/>
        <v>0</v>
      </c>
    </row>
    <row r="81" spans="1:10" x14ac:dyDescent="0.15">
      <c r="A81" s="374"/>
      <c r="C81" s="195"/>
      <c r="D81" s="203"/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564">
        <f t="shared" si="7"/>
        <v>0</v>
      </c>
    </row>
    <row r="82" spans="1:10" x14ac:dyDescent="0.15">
      <c r="A82" s="374"/>
      <c r="C82" s="195"/>
      <c r="D82" s="203"/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564">
        <f t="shared" si="7"/>
        <v>0</v>
      </c>
    </row>
    <row r="83" spans="1:10" x14ac:dyDescent="0.15">
      <c r="A83" s="374"/>
      <c r="C83" s="195"/>
      <c r="D83" s="203"/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564">
        <f t="shared" si="7"/>
        <v>0</v>
      </c>
    </row>
    <row r="84" spans="1:10" x14ac:dyDescent="0.15">
      <c r="A84" s="374"/>
      <c r="C84" s="195"/>
      <c r="D84" s="115"/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564">
        <f t="shared" si="7"/>
        <v>0</v>
      </c>
    </row>
    <row r="85" spans="1:10" ht="11.25" thickBot="1" x14ac:dyDescent="0.2">
      <c r="C85" s="115"/>
      <c r="D85" s="115"/>
      <c r="F85" s="159"/>
      <c r="G85" s="159"/>
      <c r="J85" s="167"/>
    </row>
    <row r="86" spans="1:10" ht="12" thickTop="1" thickBot="1" x14ac:dyDescent="0.2">
      <c r="C86" s="115" t="s">
        <v>793</v>
      </c>
      <c r="D86" s="115"/>
      <c r="E86" s="193">
        <f t="shared" ref="E86:J86" si="8">SUM(E75:E85)</f>
        <v>0</v>
      </c>
      <c r="F86" s="193">
        <f t="shared" si="8"/>
        <v>0</v>
      </c>
      <c r="G86" s="193">
        <f t="shared" si="8"/>
        <v>0</v>
      </c>
      <c r="H86" s="193">
        <f t="shared" si="8"/>
        <v>0</v>
      </c>
      <c r="I86" s="193">
        <f t="shared" si="8"/>
        <v>0</v>
      </c>
      <c r="J86" s="600">
        <f t="shared" si="8"/>
        <v>0</v>
      </c>
    </row>
    <row r="87" spans="1:10" ht="21.75" customHeight="1" thickTop="1" thickBot="1" x14ac:dyDescent="0.2">
      <c r="C87" s="115"/>
      <c r="D87" s="196"/>
      <c r="F87" s="159"/>
      <c r="G87" s="159"/>
      <c r="J87" s="167"/>
    </row>
    <row r="88" spans="1:10" ht="11.25" thickBot="1" x14ac:dyDescent="0.2">
      <c r="A88" s="737" t="s">
        <v>1352</v>
      </c>
      <c r="B88" s="737"/>
      <c r="C88" s="737"/>
      <c r="D88" s="115"/>
      <c r="E88" s="171">
        <f t="shared" ref="E88:J88" si="9">E6+E67+E71+E86</f>
        <v>0</v>
      </c>
      <c r="F88" s="171">
        <f t="shared" si="9"/>
        <v>0</v>
      </c>
      <c r="G88" s="171">
        <f t="shared" si="9"/>
        <v>0</v>
      </c>
      <c r="H88" s="171">
        <f t="shared" si="9"/>
        <v>0</v>
      </c>
      <c r="I88" s="171">
        <f t="shared" si="9"/>
        <v>0</v>
      </c>
      <c r="J88" s="171">
        <f t="shared" si="9"/>
        <v>0</v>
      </c>
    </row>
    <row r="89" spans="1:10" x14ac:dyDescent="0.15">
      <c r="C89" s="115"/>
      <c r="D89" s="115"/>
      <c r="F89" s="159"/>
      <c r="G89" s="159"/>
      <c r="J89" s="167"/>
    </row>
    <row r="90" spans="1:10" x14ac:dyDescent="0.15">
      <c r="A90" s="660" t="s">
        <v>824</v>
      </c>
      <c r="B90" s="424"/>
      <c r="C90" s="495" t="s">
        <v>816</v>
      </c>
      <c r="D90" s="423"/>
      <c r="E90" s="423"/>
      <c r="F90" s="423"/>
      <c r="G90" s="423"/>
      <c r="H90" s="423"/>
      <c r="I90" s="179"/>
      <c r="J90" s="167"/>
    </row>
    <row r="91" spans="1:10" x14ac:dyDescent="0.15">
      <c r="A91" s="659" t="s">
        <v>105</v>
      </c>
      <c r="B91" s="501" t="s">
        <v>1437</v>
      </c>
      <c r="C91" s="2" t="s">
        <v>40</v>
      </c>
      <c r="E91" s="41">
        <v>0</v>
      </c>
      <c r="F91" s="41">
        <v>0</v>
      </c>
      <c r="G91" s="41">
        <v>0</v>
      </c>
      <c r="H91" s="41">
        <v>0</v>
      </c>
      <c r="I91" s="534">
        <v>0</v>
      </c>
      <c r="J91" s="535">
        <f>SUM(H91+I91)</f>
        <v>0</v>
      </c>
    </row>
    <row r="92" spans="1:10" x14ac:dyDescent="0.15">
      <c r="A92" s="490"/>
      <c r="B92" s="424"/>
      <c r="C92" s="423"/>
      <c r="D92" s="423"/>
      <c r="E92" s="423"/>
      <c r="F92" s="423"/>
      <c r="G92" s="423"/>
      <c r="H92" s="423"/>
      <c r="I92" s="423"/>
      <c r="J92" s="167"/>
    </row>
    <row r="93" spans="1:10" x14ac:dyDescent="0.15">
      <c r="C93" s="115"/>
      <c r="F93" s="159"/>
      <c r="G93" s="159"/>
      <c r="J93" s="167"/>
    </row>
    <row r="94" spans="1:10" x14ac:dyDescent="0.15">
      <c r="A94" s="18"/>
      <c r="C94" s="209" t="s">
        <v>199</v>
      </c>
      <c r="D94" s="35"/>
      <c r="F94" s="159"/>
      <c r="G94" s="8"/>
      <c r="J94" s="167"/>
    </row>
    <row r="95" spans="1:10" x14ac:dyDescent="0.15">
      <c r="A95" s="35" t="s">
        <v>203</v>
      </c>
      <c r="B95" s="159"/>
      <c r="C95" s="35" t="s">
        <v>1189</v>
      </c>
      <c r="D95" s="40"/>
      <c r="F95" s="159"/>
      <c r="G95" s="8"/>
      <c r="J95" s="167"/>
    </row>
    <row r="96" spans="1:10" x14ac:dyDescent="0.15">
      <c r="C96" s="40" t="s">
        <v>204</v>
      </c>
      <c r="D96" s="115"/>
      <c r="F96" s="177"/>
      <c r="G96" s="159"/>
      <c r="J96" s="167"/>
    </row>
    <row r="97" spans="1:10" x14ac:dyDescent="0.15">
      <c r="A97" s="379" t="e">
        <f>HLOOKUP(201,'Fund 20 Grants'!$D$2:$W$3,2,FALSE)</f>
        <v>#N/A</v>
      </c>
      <c r="B97" s="380"/>
      <c r="C97" s="381" t="e">
        <f>HLOOKUP(201,'Fund 20 Grants'!$D$2:$W$4,3,FALSE)</f>
        <v>#N/A</v>
      </c>
      <c r="D97" s="115"/>
      <c r="E97" s="41">
        <v>0</v>
      </c>
      <c r="F97" s="41">
        <v>0</v>
      </c>
      <c r="G97" s="41">
        <v>0</v>
      </c>
      <c r="H97" s="383">
        <f>IF(ISERROR(HLOOKUP(201,'Fund 20 Grants'!$D$2:$W$113,112,FALSE)),0,(HLOOKUP(201,'Fund 20 Grants'!$D$2:$W$113,112,FALSE)))</f>
        <v>0</v>
      </c>
      <c r="I97" s="41">
        <v>0</v>
      </c>
      <c r="J97" s="564">
        <f t="shared" ref="J97:J108" si="10">H97+I97</f>
        <v>0</v>
      </c>
    </row>
    <row r="98" spans="1:10" x14ac:dyDescent="0.15">
      <c r="A98" s="379" t="e">
        <f>HLOOKUP(202,'Fund 20 Grants'!$D$2:$W$3,2,FALSE)</f>
        <v>#N/A</v>
      </c>
      <c r="B98" s="380"/>
      <c r="C98" s="381" t="e">
        <f>HLOOKUP(202,'Fund 20 Grants'!$D$2:$W$4,3,FALSE)</f>
        <v>#N/A</v>
      </c>
      <c r="D98" s="115"/>
      <c r="E98" s="41">
        <v>0</v>
      </c>
      <c r="F98" s="41">
        <v>0</v>
      </c>
      <c r="G98" s="41">
        <v>0</v>
      </c>
      <c r="H98" s="383">
        <f>IF(ISERROR(HLOOKUP(202,'Fund 20 Grants'!$D$2:$W$13,112,FALSE)),0,(HLOOKUP(202,'Fund 20 Grants'!$D$2:$W$113,112,FALSE)))</f>
        <v>0</v>
      </c>
      <c r="I98" s="41">
        <v>0</v>
      </c>
      <c r="J98" s="564">
        <f t="shared" si="10"/>
        <v>0</v>
      </c>
    </row>
    <row r="99" spans="1:10" x14ac:dyDescent="0.15">
      <c r="A99" s="379" t="e">
        <f>HLOOKUP(203,'Fund 20 Grants'!$D$2:$W$3,2,FALSE)</f>
        <v>#N/A</v>
      </c>
      <c r="B99" s="380"/>
      <c r="C99" s="381" t="e">
        <f>HLOOKUP(203,'Fund 20 Grants'!$D$2:$W$4,3,FALSE)</f>
        <v>#N/A</v>
      </c>
      <c r="D99" s="115"/>
      <c r="E99" s="41">
        <v>0</v>
      </c>
      <c r="F99" s="41">
        <v>0</v>
      </c>
      <c r="G99" s="41">
        <v>0</v>
      </c>
      <c r="H99" s="383">
        <f>IF(ISERROR(HLOOKUP(203,'Fund 20 Grants'!$D$2:$W$113,12,FALSE)),0,(HLOOKUP(203,'Fund 20 Grants'!$D$2:$W$113,112,FALSE)))</f>
        <v>0</v>
      </c>
      <c r="I99" s="41">
        <v>0</v>
      </c>
      <c r="J99" s="564">
        <f t="shared" si="10"/>
        <v>0</v>
      </c>
    </row>
    <row r="100" spans="1:10" x14ac:dyDescent="0.15">
      <c r="A100" s="379" t="e">
        <f>HLOOKUP(204,'Fund 20 Grants'!$D$2:$W$3,2,FALSE)</f>
        <v>#N/A</v>
      </c>
      <c r="B100" s="380"/>
      <c r="C100" s="381" t="e">
        <f>HLOOKUP(204,'Fund 20 Grants'!$D$2:$W$4,3,FALSE)</f>
        <v>#N/A</v>
      </c>
      <c r="D100" s="115"/>
      <c r="E100" s="41">
        <v>0</v>
      </c>
      <c r="F100" s="41">
        <v>0</v>
      </c>
      <c r="G100" s="41">
        <v>0</v>
      </c>
      <c r="H100" s="383">
        <f>IF(ISERROR(HLOOKUP(204,'Fund 20 Grants'!$D$2:$W$113,112,FALSE)),0,(HLOOKUP(204,'Fund 20 Grants'!$D$2:$W$113,112,FALSE)))</f>
        <v>0</v>
      </c>
      <c r="I100" s="41">
        <v>0</v>
      </c>
      <c r="J100" s="564">
        <f t="shared" si="10"/>
        <v>0</v>
      </c>
    </row>
    <row r="101" spans="1:10" x14ac:dyDescent="0.15">
      <c r="A101" s="379" t="e">
        <f>HLOOKUP(205,'Fund 20 Grants'!$D$2:$W$3,2,FALSE)</f>
        <v>#N/A</v>
      </c>
      <c r="B101" s="380"/>
      <c r="C101" s="381" t="e">
        <f>HLOOKUP(205,'Fund 20 Grants'!$D$2:$W$4,3,FALSE)</f>
        <v>#N/A</v>
      </c>
      <c r="D101" s="115"/>
      <c r="E101" s="41">
        <v>0</v>
      </c>
      <c r="F101" s="41">
        <v>0</v>
      </c>
      <c r="G101" s="41">
        <v>0</v>
      </c>
      <c r="H101" s="383">
        <f>IF(ISERROR(HLOOKUP(205,'Fund 20 Grants'!$D$2:$W$113,112,FALSE)),0,(HLOOKUP(205,'Fund 20 Grants'!$D$2:$W$113,112,FALSE)))</f>
        <v>0</v>
      </c>
      <c r="I101" s="41">
        <v>0</v>
      </c>
      <c r="J101" s="564">
        <f t="shared" si="10"/>
        <v>0</v>
      </c>
    </row>
    <row r="102" spans="1:10" x14ac:dyDescent="0.15">
      <c r="A102" s="379" t="e">
        <f>HLOOKUP(206,'Fund 20 Grants'!$D$2:$W$3,2,FALSE)</f>
        <v>#N/A</v>
      </c>
      <c r="B102" s="380"/>
      <c r="C102" s="381" t="e">
        <f>HLOOKUP(206,'Fund 20 Grants'!$D$2:$W$4,3,FALSE)</f>
        <v>#N/A</v>
      </c>
      <c r="D102" s="115"/>
      <c r="E102" s="41">
        <v>0</v>
      </c>
      <c r="F102" s="41">
        <v>0</v>
      </c>
      <c r="G102" s="41">
        <v>0</v>
      </c>
      <c r="H102" s="383">
        <f>IF(ISERROR(HLOOKUP(206,'Fund 20 Grants'!$D$2:$W$113,112,FALSE)),0,(HLOOKUP(206,'Fund 20 Grants'!$D$2:$W$113,112,FALSE)))</f>
        <v>0</v>
      </c>
      <c r="I102" s="41">
        <v>0</v>
      </c>
      <c r="J102" s="564">
        <f t="shared" si="10"/>
        <v>0</v>
      </c>
    </row>
    <row r="103" spans="1:10" x14ac:dyDescent="0.15">
      <c r="A103" s="379" t="e">
        <f>HLOOKUP(207,'Fund 20 Grants'!$D$2:$W$3,2,FALSE)</f>
        <v>#N/A</v>
      </c>
      <c r="B103" s="380"/>
      <c r="C103" s="381" t="e">
        <f>HLOOKUP(207,'Fund 20 Grants'!$D$2:$W$4,3,FALSE)</f>
        <v>#N/A</v>
      </c>
      <c r="D103" s="115"/>
      <c r="E103" s="41">
        <v>0</v>
      </c>
      <c r="F103" s="41">
        <v>0</v>
      </c>
      <c r="G103" s="41">
        <v>0</v>
      </c>
      <c r="H103" s="383">
        <f>IF(ISERROR(HLOOKUP(207,'Fund 20 Grants'!$D$2:$W$113,112,FALSE)),0,(HLOOKUP(207,'Fund 20 Grants'!$D$2:$W$113,112,FALSE)))</f>
        <v>0</v>
      </c>
      <c r="I103" s="41">
        <v>0</v>
      </c>
      <c r="J103" s="564">
        <f t="shared" si="10"/>
        <v>0</v>
      </c>
    </row>
    <row r="104" spans="1:10" x14ac:dyDescent="0.15">
      <c r="A104" s="379" t="e">
        <f>HLOOKUP(208,'Fund 20 Grants'!$D$2:$W$3,2,FALSE)</f>
        <v>#N/A</v>
      </c>
      <c r="B104" s="380"/>
      <c r="C104" s="381" t="e">
        <f>HLOOKUP(208,'Fund 20 Grants'!$D$2:$W$4,3,FALSE)</f>
        <v>#N/A</v>
      </c>
      <c r="D104" s="115"/>
      <c r="E104" s="41">
        <v>0</v>
      </c>
      <c r="F104" s="41">
        <v>0</v>
      </c>
      <c r="G104" s="41">
        <v>0</v>
      </c>
      <c r="H104" s="383">
        <f>IF(ISERROR(HLOOKUP(208,'Fund 20 Grants'!$D$2:$W$113,112,FALSE)),0,(HLOOKUP(208,'Fund 20 Grants'!$D$2:$W$113,112,FALSE)))</f>
        <v>0</v>
      </c>
      <c r="I104" s="41">
        <v>0</v>
      </c>
      <c r="J104" s="564">
        <f t="shared" si="10"/>
        <v>0</v>
      </c>
    </row>
    <row r="105" spans="1:10" x14ac:dyDescent="0.15">
      <c r="A105" s="379" t="e">
        <f>HLOOKUP(209,'Fund 20 Grants'!$D$2:$W$3,2,FALSE)</f>
        <v>#N/A</v>
      </c>
      <c r="B105" s="380"/>
      <c r="C105" s="381" t="e">
        <f>HLOOKUP(209,'Fund 20 Grants'!$D$2:$W$4,3,FALSE)</f>
        <v>#N/A</v>
      </c>
      <c r="D105" s="194"/>
      <c r="E105" s="41">
        <v>0</v>
      </c>
      <c r="F105" s="41">
        <v>0</v>
      </c>
      <c r="G105" s="41">
        <v>0</v>
      </c>
      <c r="H105" s="383">
        <f>IF(ISERROR(HLOOKUP(209,'Fund 20 Grants'!$D$2:$W$113,112,FALSE)),0,(HLOOKUP(209,'Fund 20 Grants'!$D$2:$W$113,112,FALSE)))</f>
        <v>0</v>
      </c>
      <c r="I105" s="41">
        <v>0</v>
      </c>
      <c r="J105" s="564">
        <f t="shared" si="10"/>
        <v>0</v>
      </c>
    </row>
    <row r="106" spans="1:10" x14ac:dyDescent="0.15">
      <c r="A106" s="379" t="e">
        <f>HLOOKUP(210,'Fund 20 Grants'!$D$2:$W$3,2,FALSE)</f>
        <v>#N/A</v>
      </c>
      <c r="B106" s="380"/>
      <c r="C106" s="381" t="e">
        <f>HLOOKUP(210,'Fund 20 Grants'!$D$2:$W$4,3,FALSE)</f>
        <v>#N/A</v>
      </c>
      <c r="D106" s="115"/>
      <c r="E106" s="41">
        <v>0</v>
      </c>
      <c r="F106" s="41">
        <v>0</v>
      </c>
      <c r="G106" s="41">
        <v>0</v>
      </c>
      <c r="H106" s="383">
        <f>IF(ISERROR(HLOOKUP(210,'Fund 20 Grants'!$D$2:$W$113,112,FALSE)),0,(HLOOKUP(210,'Fund 20 Grants'!$D$2:$W$113,112,FALSE)))</f>
        <v>0</v>
      </c>
      <c r="I106" s="41">
        <v>0</v>
      </c>
      <c r="J106" s="564">
        <f t="shared" si="10"/>
        <v>0</v>
      </c>
    </row>
    <row r="107" spans="1:10" x14ac:dyDescent="0.15">
      <c r="A107" s="379" t="e">
        <f>HLOOKUP(211,'Fund 20 Grants'!$D$2:$W$3,2,FALSE)</f>
        <v>#N/A</v>
      </c>
      <c r="B107" s="380"/>
      <c r="C107" s="381" t="e">
        <f>HLOOKUP(211,'Fund 20 Grants'!$D$2:$W$4,3,FALSE)</f>
        <v>#N/A</v>
      </c>
      <c r="D107" s="194"/>
      <c r="E107" s="41">
        <v>0</v>
      </c>
      <c r="F107" s="41">
        <v>0</v>
      </c>
      <c r="G107" s="41">
        <v>0</v>
      </c>
      <c r="H107" s="383">
        <f>IF(ISERROR(HLOOKUP(211,'Fund 20 Grants'!$D$2:$W$113,112,FALSE)),0,(HLOOKUP(211,'Fund 20 Grants'!$D$2:$W$113,112,FALSE)))</f>
        <v>0</v>
      </c>
      <c r="I107" s="41">
        <v>0</v>
      </c>
      <c r="J107" s="564">
        <f t="shared" si="10"/>
        <v>0</v>
      </c>
    </row>
    <row r="108" spans="1:10" x14ac:dyDescent="0.15">
      <c r="A108" s="379" t="e">
        <f>HLOOKUP(212,'Fund 20 Grants'!$D$2:$W$3,2,FALSE)</f>
        <v>#N/A</v>
      </c>
      <c r="B108" s="380"/>
      <c r="C108" s="381" t="e">
        <f>HLOOKUP(212,'Fund 20 Grants'!$D$2:$W$4,3,FALSE)</f>
        <v>#N/A</v>
      </c>
      <c r="E108" s="41">
        <v>0</v>
      </c>
      <c r="F108" s="41">
        <v>0</v>
      </c>
      <c r="G108" s="41">
        <v>0</v>
      </c>
      <c r="H108" s="383">
        <f>IF(ISERROR(HLOOKUP(212,'Fund 20 Grants'!$D$2:$W$113,112,FALSE)),0,(HLOOKUP(212,'Fund 20 Grants'!$D$2:$W$113,112,FALSE)))</f>
        <v>0</v>
      </c>
      <c r="I108" s="41">
        <v>0</v>
      </c>
      <c r="J108" s="564">
        <f t="shared" si="10"/>
        <v>0</v>
      </c>
    </row>
    <row r="109" spans="1:10" ht="11.25" thickBot="1" x14ac:dyDescent="0.2">
      <c r="A109" s="152"/>
      <c r="B109" s="167"/>
      <c r="D109" s="115"/>
      <c r="E109" s="14"/>
      <c r="F109" s="14"/>
      <c r="G109" s="14"/>
      <c r="H109" s="14"/>
      <c r="J109" s="167"/>
    </row>
    <row r="110" spans="1:10" ht="12" thickTop="1" thickBot="1" x14ac:dyDescent="0.2">
      <c r="C110" s="115" t="s">
        <v>1498</v>
      </c>
      <c r="E110" s="169">
        <f t="shared" ref="E110:J110" si="11">SUM(E97:E108)</f>
        <v>0</v>
      </c>
      <c r="F110" s="169">
        <f t="shared" si="11"/>
        <v>0</v>
      </c>
      <c r="G110" s="169">
        <f t="shared" si="11"/>
        <v>0</v>
      </c>
      <c r="H110" s="169">
        <f t="shared" si="11"/>
        <v>0</v>
      </c>
      <c r="I110" s="169">
        <f t="shared" si="11"/>
        <v>0</v>
      </c>
      <c r="J110" s="169">
        <f t="shared" si="11"/>
        <v>0</v>
      </c>
    </row>
    <row r="111" spans="1:10" ht="11.25" thickTop="1" x14ac:dyDescent="0.15">
      <c r="F111" s="159"/>
      <c r="G111" s="159"/>
      <c r="J111" s="167"/>
    </row>
    <row r="112" spans="1:10" x14ac:dyDescent="0.15">
      <c r="B112" s="40" t="s">
        <v>1185</v>
      </c>
      <c r="D112" s="35"/>
      <c r="F112" s="159"/>
      <c r="G112" s="159"/>
      <c r="J112" s="167"/>
    </row>
    <row r="113" spans="1:10" x14ac:dyDescent="0.15">
      <c r="A113" s="35" t="s">
        <v>203</v>
      </c>
      <c r="B113" s="159"/>
      <c r="C113" s="35" t="s">
        <v>1188</v>
      </c>
      <c r="D113" s="35"/>
      <c r="F113" s="159"/>
      <c r="G113" s="159"/>
      <c r="J113" s="167"/>
    </row>
    <row r="114" spans="1:10" x14ac:dyDescent="0.15">
      <c r="A114" s="35"/>
      <c r="B114" s="159"/>
      <c r="C114" s="40" t="s">
        <v>554</v>
      </c>
      <c r="D114" s="178"/>
      <c r="F114" s="159"/>
      <c r="G114" s="159"/>
      <c r="J114" s="167"/>
    </row>
    <row r="115" spans="1:10" x14ac:dyDescent="0.15">
      <c r="A115" s="379" t="e">
        <f>HLOOKUP(301,'Fund 20 Grants'!$D$2:$W$3,2,FALSE)</f>
        <v>#N/A</v>
      </c>
      <c r="B115" s="380"/>
      <c r="C115" s="381" t="e">
        <f>HLOOKUP(301,'Fund 20 Grants'!$D$2:$W$4,3,FALSE)</f>
        <v>#N/A</v>
      </c>
      <c r="D115" s="178"/>
      <c r="E115" s="41">
        <v>0</v>
      </c>
      <c r="F115" s="41">
        <v>0</v>
      </c>
      <c r="G115" s="41">
        <v>0</v>
      </c>
      <c r="H115" s="383">
        <f>IF(ISERROR(HLOOKUP(301,'Fund 20 Grants'!$D$2:$W$113,112,FALSE)),0,(HLOOKUP(301,'Fund 20 Grants'!$D$2:$W$113,112,FALSE)))</f>
        <v>0</v>
      </c>
      <c r="I115" s="41">
        <v>0</v>
      </c>
      <c r="J115" s="564">
        <f t="shared" ref="J115:J134" si="12">H115+I115</f>
        <v>0</v>
      </c>
    </row>
    <row r="116" spans="1:10" x14ac:dyDescent="0.15">
      <c r="A116" s="379" t="e">
        <f>HLOOKUP(302,'Fund 20 Grants'!$D$2:$W$3,2,FALSE)</f>
        <v>#N/A</v>
      </c>
      <c r="B116" s="380"/>
      <c r="C116" s="381" t="e">
        <f>HLOOKUP(302,'Fund 20 Grants'!$D$2:$W$4,3,FALSE)</f>
        <v>#N/A</v>
      </c>
      <c r="D116" s="178"/>
      <c r="E116" s="41">
        <v>0</v>
      </c>
      <c r="F116" s="41">
        <v>0</v>
      </c>
      <c r="G116" s="41">
        <v>0</v>
      </c>
      <c r="H116" s="383">
        <f>IF(ISERROR(HLOOKUP(302,'Fund 20 Grants'!$D$2:$W$113,112,FALSE)),0,(HLOOKUP(302,'Fund 20 Grants'!$D$2:$W$113,112,FALSE)))</f>
        <v>0</v>
      </c>
      <c r="I116" s="41">
        <v>0</v>
      </c>
      <c r="J116" s="564">
        <f t="shared" si="12"/>
        <v>0</v>
      </c>
    </row>
    <row r="117" spans="1:10" x14ac:dyDescent="0.15">
      <c r="A117" s="379" t="e">
        <f>HLOOKUP(303,'Fund 20 Grants'!$D$2:$W$3,2,FALSE)</f>
        <v>#N/A</v>
      </c>
      <c r="B117" s="380"/>
      <c r="C117" s="381" t="e">
        <f>HLOOKUP(303,'Fund 20 Grants'!$D$2:$W$4,3,FALSE)</f>
        <v>#N/A</v>
      </c>
      <c r="D117" s="178"/>
      <c r="E117" s="41">
        <v>0</v>
      </c>
      <c r="F117" s="41">
        <v>0</v>
      </c>
      <c r="G117" s="41">
        <v>0</v>
      </c>
      <c r="H117" s="383">
        <f>IF(ISERROR(HLOOKUP(303,'Fund 20 Grants'!$D$2:$W$113,112,FALSE)),0,(HLOOKUP(303,'Fund 20 Grants'!$D$2:$W$113,112,FALSE)))</f>
        <v>0</v>
      </c>
      <c r="I117" s="41">
        <v>0</v>
      </c>
      <c r="J117" s="564">
        <f t="shared" si="12"/>
        <v>0</v>
      </c>
    </row>
    <row r="118" spans="1:10" x14ac:dyDescent="0.15">
      <c r="A118" s="379" t="e">
        <f>HLOOKUP(304,'Fund 20 Grants'!$D$2:$W$3,2,FALSE)</f>
        <v>#N/A</v>
      </c>
      <c r="B118" s="380"/>
      <c r="C118" s="381" t="e">
        <f>HLOOKUP(304,'Fund 20 Grants'!$D$2:$W$4,3,FALSE)</f>
        <v>#N/A</v>
      </c>
      <c r="D118" s="178"/>
      <c r="E118" s="41">
        <v>0</v>
      </c>
      <c r="F118" s="41">
        <v>0</v>
      </c>
      <c r="G118" s="41">
        <v>0</v>
      </c>
      <c r="H118" s="383">
        <f>IF(ISERROR(HLOOKUP(304,'Fund 20 Grants'!$D$2:$W$113,112,FALSE)),0,(HLOOKUP(304,'Fund 20 Grants'!$D$2:$W$113,112,FALSE)))</f>
        <v>0</v>
      </c>
      <c r="I118" s="41">
        <v>0</v>
      </c>
      <c r="J118" s="564">
        <f t="shared" si="12"/>
        <v>0</v>
      </c>
    </row>
    <row r="119" spans="1:10" x14ac:dyDescent="0.15">
      <c r="A119" s="379" t="e">
        <f>HLOOKUP(305,'Fund 20 Grants'!$D$2:$W$3,2,FALSE)</f>
        <v>#N/A</v>
      </c>
      <c r="B119" s="380"/>
      <c r="C119" s="381" t="e">
        <f>HLOOKUP(305,'Fund 20 Grants'!$D$2:$W$4,3,FALSE)</f>
        <v>#N/A</v>
      </c>
      <c r="D119" s="178"/>
      <c r="E119" s="41">
        <v>0</v>
      </c>
      <c r="F119" s="41">
        <v>0</v>
      </c>
      <c r="G119" s="41">
        <v>0</v>
      </c>
      <c r="H119" s="383">
        <f>IF(ISERROR(HLOOKUP(305,'Fund 20 Grants'!$D$2:$W$113,112,FALSE)),0,(HLOOKUP(305,'Fund 20 Grants'!$D$2:$W$113,112,FALSE)))</f>
        <v>0</v>
      </c>
      <c r="I119" s="41">
        <v>0</v>
      </c>
      <c r="J119" s="564">
        <f t="shared" si="12"/>
        <v>0</v>
      </c>
    </row>
    <row r="120" spans="1:10" x14ac:dyDescent="0.15">
      <c r="A120" s="379" t="e">
        <f>HLOOKUP(306,'Fund 20 Grants'!$D$2:$W$3,2,FALSE)</f>
        <v>#N/A</v>
      </c>
      <c r="B120" s="380"/>
      <c r="C120" s="381" t="e">
        <f>HLOOKUP(306,'Fund 20 Grants'!$D$2:$W$4,3,FALSE)</f>
        <v>#N/A</v>
      </c>
      <c r="D120" s="178"/>
      <c r="E120" s="41">
        <v>0</v>
      </c>
      <c r="F120" s="41">
        <v>0</v>
      </c>
      <c r="G120" s="41">
        <v>0</v>
      </c>
      <c r="H120" s="383">
        <f>IF(ISERROR(HLOOKUP(306,'Fund 20 Grants'!$D$2:$W$113,112,FALSE)),0,(HLOOKUP(306,'Fund 20 Grants'!$D$2:$W$113,112,FALSE)))</f>
        <v>0</v>
      </c>
      <c r="I120" s="41">
        <v>0</v>
      </c>
      <c r="J120" s="564">
        <f t="shared" si="12"/>
        <v>0</v>
      </c>
    </row>
    <row r="121" spans="1:10" x14ac:dyDescent="0.15">
      <c r="A121" s="379" t="e">
        <f>HLOOKUP(307,'Fund 20 Grants'!$D$2:$W$3,2,FALSE)</f>
        <v>#N/A</v>
      </c>
      <c r="B121" s="380"/>
      <c r="C121" s="381" t="e">
        <f>HLOOKUP(307,'Fund 20 Grants'!$D$2:$W$4,3,FALSE)</f>
        <v>#N/A</v>
      </c>
      <c r="D121" s="178"/>
      <c r="E121" s="41">
        <v>0</v>
      </c>
      <c r="F121" s="41">
        <v>0</v>
      </c>
      <c r="G121" s="41">
        <v>0</v>
      </c>
      <c r="H121" s="383">
        <f>IF(ISERROR(HLOOKUP(307,'Fund 20 Grants'!$D$2:$W$113,112,FALSE)),0,(HLOOKUP(307,'Fund 20 Grants'!$D$2:$W$113,112,FALSE)))</f>
        <v>0</v>
      </c>
      <c r="I121" s="41">
        <v>0</v>
      </c>
      <c r="J121" s="564">
        <f t="shared" si="12"/>
        <v>0</v>
      </c>
    </row>
    <row r="122" spans="1:10" x14ac:dyDescent="0.15">
      <c r="A122" s="379" t="e">
        <f>HLOOKUP(308,'Fund 20 Grants'!$D$2:$W$3,2,FALSE)</f>
        <v>#N/A</v>
      </c>
      <c r="B122" s="380"/>
      <c r="C122" s="381" t="e">
        <f>HLOOKUP(308,'Fund 20 Grants'!$D$2:$W$4,3,FALSE)</f>
        <v>#N/A</v>
      </c>
      <c r="D122" s="178"/>
      <c r="E122" s="41">
        <v>0</v>
      </c>
      <c r="F122" s="41">
        <v>0</v>
      </c>
      <c r="G122" s="41">
        <v>0</v>
      </c>
      <c r="H122" s="383">
        <f>IF(ISERROR(HLOOKUP(308,'Fund 20 Grants'!$D$2:$W$113,112,FALSE)),0,(HLOOKUP(308,'Fund 20 Grants'!$D$2:$W$113,112,FALSE)))</f>
        <v>0</v>
      </c>
      <c r="I122" s="41">
        <v>0</v>
      </c>
      <c r="J122" s="564">
        <f t="shared" si="12"/>
        <v>0</v>
      </c>
    </row>
    <row r="123" spans="1:10" x14ac:dyDescent="0.15">
      <c r="A123" s="379" t="e">
        <f>HLOOKUP(309,'Fund 20 Grants'!$D$2:$W$3,2,FALSE)</f>
        <v>#N/A</v>
      </c>
      <c r="B123" s="380"/>
      <c r="C123" s="381" t="e">
        <f>HLOOKUP(309,'Fund 20 Grants'!$D$2:$W$4,3,FALSE)</f>
        <v>#N/A</v>
      </c>
      <c r="D123" s="178"/>
      <c r="E123" s="41">
        <v>0</v>
      </c>
      <c r="F123" s="41">
        <v>0</v>
      </c>
      <c r="G123" s="41">
        <v>0</v>
      </c>
      <c r="H123" s="383">
        <f>IF(ISERROR(HLOOKUP(309,'Fund 20 Grants'!$D$2:$W$113,112,FALSE)),0,(HLOOKUP(309,'Fund 20 Grants'!$D$2:$W$113,112,FALSE)))</f>
        <v>0</v>
      </c>
      <c r="I123" s="41">
        <v>0</v>
      </c>
      <c r="J123" s="564">
        <f t="shared" si="12"/>
        <v>0</v>
      </c>
    </row>
    <row r="124" spans="1:10" x14ac:dyDescent="0.15">
      <c r="A124" s="379" t="e">
        <f>HLOOKUP(310,'Fund 20 Grants'!$D$2:$W$3,2,FALSE)</f>
        <v>#N/A</v>
      </c>
      <c r="B124" s="380"/>
      <c r="C124" s="381" t="e">
        <f>HLOOKUP(310,'Fund 20 Grants'!$D$2:$W$4,3,FALSE)</f>
        <v>#N/A</v>
      </c>
      <c r="D124" s="178"/>
      <c r="E124" s="41">
        <v>0</v>
      </c>
      <c r="F124" s="41">
        <v>0</v>
      </c>
      <c r="G124" s="41">
        <v>0</v>
      </c>
      <c r="H124" s="383">
        <f>IF(ISERROR(HLOOKUP(310,'Fund 20 Grants'!$D$2:$W$113,112,FALSE)),0,(HLOOKUP(310,'Fund 20 Grants'!$D$2:$W$113,112,FALSE)))</f>
        <v>0</v>
      </c>
      <c r="I124" s="41">
        <v>0</v>
      </c>
      <c r="J124" s="564">
        <f t="shared" si="12"/>
        <v>0</v>
      </c>
    </row>
    <row r="125" spans="1:10" x14ac:dyDescent="0.15">
      <c r="A125" s="379" t="e">
        <f>HLOOKUP(311,'Fund 20 Grants'!$D$2:$W$3,2,FALSE)</f>
        <v>#N/A</v>
      </c>
      <c r="B125" s="380"/>
      <c r="C125" s="381" t="e">
        <f>HLOOKUP(311,'Fund 20 Grants'!$D$2:$W$4,3,FALSE)</f>
        <v>#N/A</v>
      </c>
      <c r="D125" s="178"/>
      <c r="E125" s="41">
        <v>0</v>
      </c>
      <c r="F125" s="41">
        <v>0</v>
      </c>
      <c r="G125" s="41">
        <v>0</v>
      </c>
      <c r="H125" s="383">
        <f>IF(ISERROR(HLOOKUP(311,'Fund 20 Grants'!$D$2:$W$113,112,FALSE)),0,(HLOOKUP(311,'Fund 20 Grants'!$D$2:$W$113,112,FALSE)))</f>
        <v>0</v>
      </c>
      <c r="I125" s="41">
        <v>0</v>
      </c>
      <c r="J125" s="564">
        <f t="shared" si="12"/>
        <v>0</v>
      </c>
    </row>
    <row r="126" spans="1:10" x14ac:dyDescent="0.15">
      <c r="A126" s="379" t="e">
        <f>HLOOKUP(312,'Fund 20 Grants'!$D$2:$W$3,2,FALSE)</f>
        <v>#N/A</v>
      </c>
      <c r="B126" s="380"/>
      <c r="C126" s="381" t="e">
        <f>HLOOKUP(312,'Fund 20 Grants'!$D$2:$W$4,3,FALSE)</f>
        <v>#N/A</v>
      </c>
      <c r="D126" s="178"/>
      <c r="E126" s="41">
        <v>0</v>
      </c>
      <c r="F126" s="41">
        <v>0</v>
      </c>
      <c r="G126" s="41">
        <v>0</v>
      </c>
      <c r="H126" s="383">
        <f>IF(ISERROR(HLOOKUP(312,'Fund 20 Grants'!$D$2:$W$113,112,FALSE)),0,(HLOOKUP(312,'Fund 20 Grants'!$D$2:$W$113,112,FALSE)))</f>
        <v>0</v>
      </c>
      <c r="I126" s="41">
        <v>0</v>
      </c>
      <c r="J126" s="564">
        <f t="shared" si="12"/>
        <v>0</v>
      </c>
    </row>
    <row r="127" spans="1:10" x14ac:dyDescent="0.15">
      <c r="A127" s="379" t="e">
        <f>HLOOKUP(313,'Fund 20 Grants'!$D$2:$W$3,2,FALSE)</f>
        <v>#N/A</v>
      </c>
      <c r="B127" s="380"/>
      <c r="C127" s="381" t="e">
        <f>HLOOKUP(313,'Fund 20 Grants'!$D$2:$W$4,3,FALSE)</f>
        <v>#N/A</v>
      </c>
      <c r="D127" s="178"/>
      <c r="E127" s="41">
        <v>0</v>
      </c>
      <c r="F127" s="41">
        <v>0</v>
      </c>
      <c r="G127" s="41">
        <v>0</v>
      </c>
      <c r="H127" s="383">
        <f>IF(ISERROR(HLOOKUP(313,'Fund 20 Grants'!$D$2:$W$113,112,FALSE)),0,(HLOOKUP(313,'Fund 20 Grants'!$D$2:$W$113,112,FALSE)))</f>
        <v>0</v>
      </c>
      <c r="I127" s="41">
        <v>0</v>
      </c>
      <c r="J127" s="564">
        <f t="shared" si="12"/>
        <v>0</v>
      </c>
    </row>
    <row r="128" spans="1:10" x14ac:dyDescent="0.15">
      <c r="A128" s="379" t="e">
        <f>HLOOKUP(314,'Fund 20 Grants'!$D$2:$W$3,2,FALSE)</f>
        <v>#N/A</v>
      </c>
      <c r="B128" s="380"/>
      <c r="C128" s="381" t="e">
        <f>HLOOKUP(314,'Fund 20 Grants'!$D$2:$W$4,3,FALSE)</f>
        <v>#N/A</v>
      </c>
      <c r="D128" s="178"/>
      <c r="E128" s="41">
        <v>0</v>
      </c>
      <c r="F128" s="41">
        <v>0</v>
      </c>
      <c r="G128" s="41">
        <v>0</v>
      </c>
      <c r="H128" s="383">
        <f>IF(ISERROR(HLOOKUP(314,'Fund 20 Grants'!$D$2:$W$113,112,FALSE)),0,(HLOOKUP(314,'Fund 20 Grants'!$D$2:$W$113,112,FALSE)))</f>
        <v>0</v>
      </c>
      <c r="I128" s="41">
        <v>0</v>
      </c>
      <c r="J128" s="564">
        <f t="shared" si="12"/>
        <v>0</v>
      </c>
    </row>
    <row r="129" spans="1:10" x14ac:dyDescent="0.15">
      <c r="A129" s="379" t="e">
        <f>HLOOKUP(315,'Fund 20 Grants'!$D$2:$W$3,2,FALSE)</f>
        <v>#N/A</v>
      </c>
      <c r="B129" s="380"/>
      <c r="C129" s="381" t="e">
        <f>HLOOKUP(315,'Fund 20 Grants'!$D$2:$W$4,3,FALSE)</f>
        <v>#N/A</v>
      </c>
      <c r="D129" s="178"/>
      <c r="E129" s="41">
        <v>0</v>
      </c>
      <c r="F129" s="41">
        <v>0</v>
      </c>
      <c r="G129" s="41">
        <v>0</v>
      </c>
      <c r="H129" s="383">
        <f>IF(ISERROR(HLOOKUP(315,'Fund 20 Grants'!$D$2:$W$113,112,FALSE)),0,(HLOOKUP(315,'Fund 20 Grants'!$D$2:$W$113,112,FALSE)))</f>
        <v>0</v>
      </c>
      <c r="I129" s="41">
        <v>0</v>
      </c>
      <c r="J129" s="564">
        <f t="shared" si="12"/>
        <v>0</v>
      </c>
    </row>
    <row r="130" spans="1:10" x14ac:dyDescent="0.15">
      <c r="A130" s="379" t="e">
        <f>HLOOKUP(316,'Fund 20 Grants'!$D$2:$W$3,2,FALSE)</f>
        <v>#N/A</v>
      </c>
      <c r="B130" s="380"/>
      <c r="C130" s="381" t="e">
        <f>HLOOKUP(316,'Fund 20 Grants'!$D$2:$W$4,3,FALSE)</f>
        <v>#N/A</v>
      </c>
      <c r="D130" s="178"/>
      <c r="E130" s="41">
        <v>0</v>
      </c>
      <c r="F130" s="41">
        <v>0</v>
      </c>
      <c r="G130" s="41">
        <v>0</v>
      </c>
      <c r="H130" s="383">
        <f>IF(ISERROR(HLOOKUP(316,'Fund 20 Grants'!$D$2:$W$113,112,FALSE)),0,(HLOOKUP(316,'Fund 20 Grants'!$D$2:$W$113,112,FALSE)))</f>
        <v>0</v>
      </c>
      <c r="I130" s="41">
        <v>0</v>
      </c>
      <c r="J130" s="564">
        <f t="shared" si="12"/>
        <v>0</v>
      </c>
    </row>
    <row r="131" spans="1:10" x14ac:dyDescent="0.15">
      <c r="A131" s="379" t="e">
        <f>HLOOKUP(317,'Fund 20 Grants'!$D$2:$W$3,2,FALSE)</f>
        <v>#N/A</v>
      </c>
      <c r="B131" s="380"/>
      <c r="C131" s="381" t="e">
        <f>HLOOKUP(317,'Fund 20 Grants'!$D$2:$W$4,3,FALSE)</f>
        <v>#N/A</v>
      </c>
      <c r="D131" s="178"/>
      <c r="E131" s="41">
        <v>0</v>
      </c>
      <c r="F131" s="41">
        <v>0</v>
      </c>
      <c r="G131" s="41">
        <v>0</v>
      </c>
      <c r="H131" s="383">
        <f>IF(ISERROR(HLOOKUP(317,'Fund 20 Grants'!$D$2:$W$113,112,FALSE)),0,(HLOOKUP(317,'Fund 20 Grants'!$D$2:$W$113,112,FALSE)))</f>
        <v>0</v>
      </c>
      <c r="I131" s="41">
        <v>0</v>
      </c>
      <c r="J131" s="564">
        <f t="shared" si="12"/>
        <v>0</v>
      </c>
    </row>
    <row r="132" spans="1:10" x14ac:dyDescent="0.15">
      <c r="A132" s="379" t="e">
        <f>HLOOKUP(318,'Fund 20 Grants'!$D$2:$W$3,2,FALSE)</f>
        <v>#N/A</v>
      </c>
      <c r="B132" s="380"/>
      <c r="C132" s="381" t="e">
        <f>HLOOKUP(318,'Fund 20 Grants'!$D$2:$W$4,3,FALSE)</f>
        <v>#N/A</v>
      </c>
      <c r="D132" s="178"/>
      <c r="E132" s="41">
        <v>0</v>
      </c>
      <c r="F132" s="41">
        <v>0</v>
      </c>
      <c r="G132" s="41">
        <v>0</v>
      </c>
      <c r="H132" s="383">
        <f>IF(ISERROR(HLOOKUP(318,'Fund 20 Grants'!$D$2:$W$113,112,FALSE)),0,(HLOOKUP(318,'Fund 20 Grants'!$D$2:$W$113,112,FALSE)))</f>
        <v>0</v>
      </c>
      <c r="I132" s="41">
        <v>0</v>
      </c>
      <c r="J132" s="564">
        <f t="shared" si="12"/>
        <v>0</v>
      </c>
    </row>
    <row r="133" spans="1:10" x14ac:dyDescent="0.15">
      <c r="A133" s="379" t="e">
        <f>HLOOKUP(319,'Fund 20 Grants'!$D$2:$W$3,2,FALSE)</f>
        <v>#N/A</v>
      </c>
      <c r="B133" s="380"/>
      <c r="C133" s="381" t="e">
        <f>HLOOKUP(319,'Fund 20 Grants'!$D$2:$W$4,3,FALSE)</f>
        <v>#N/A</v>
      </c>
      <c r="D133" s="194"/>
      <c r="E133" s="41">
        <v>0</v>
      </c>
      <c r="F133" s="41">
        <v>0</v>
      </c>
      <c r="G133" s="41">
        <v>0</v>
      </c>
      <c r="H133" s="383">
        <f>IF(ISERROR(HLOOKUP(319,'Fund 20 Grants'!$D$2:$W$113,112,FALSE)),0,(HLOOKUP(319,'Fund 20 Grants'!$D$2:$W$113,112,FALSE)))</f>
        <v>0</v>
      </c>
      <c r="I133" s="41">
        <v>0</v>
      </c>
      <c r="J133" s="564">
        <f t="shared" si="12"/>
        <v>0</v>
      </c>
    </row>
    <row r="134" spans="1:10" x14ac:dyDescent="0.15">
      <c r="A134" s="379" t="e">
        <f>HLOOKUP(320,'Fund 20 Grants'!$D$2:$W$3,2,FALSE)</f>
        <v>#N/A</v>
      </c>
      <c r="B134" s="380"/>
      <c r="C134" s="381" t="e">
        <f>HLOOKUP(320,'Fund 20 Grants'!$D$2:$W$4,3,FALSE)</f>
        <v>#N/A</v>
      </c>
      <c r="D134" s="115"/>
      <c r="E134" s="41">
        <v>0</v>
      </c>
      <c r="F134" s="41">
        <v>0</v>
      </c>
      <c r="G134" s="41">
        <v>0</v>
      </c>
      <c r="H134" s="383">
        <f>IF(ISERROR(HLOOKUP(320,'Fund 20 Grants'!$D$2:$W$113,112,FALSE)),0,(HLOOKUP(320,'Fund 20 Grants'!$D$2:$W$113,112,FALSE)))</f>
        <v>0</v>
      </c>
      <c r="I134" s="41">
        <v>0</v>
      </c>
      <c r="J134" s="564">
        <f t="shared" si="12"/>
        <v>0</v>
      </c>
    </row>
    <row r="135" spans="1:10" ht="11.25" thickBot="1" x14ac:dyDescent="0.2">
      <c r="A135" s="194"/>
      <c r="B135" s="167"/>
      <c r="C135" s="115"/>
      <c r="D135" s="115"/>
      <c r="E135" s="14"/>
      <c r="F135" s="14"/>
      <c r="G135" s="14"/>
      <c r="H135" s="14"/>
      <c r="J135" s="167"/>
    </row>
    <row r="136" spans="1:10" ht="12" thickTop="1" thickBot="1" x14ac:dyDescent="0.2">
      <c r="C136" s="115" t="s">
        <v>1497</v>
      </c>
      <c r="E136" s="169">
        <f t="shared" ref="E136:J136" si="13">SUM(E115:E135)</f>
        <v>0</v>
      </c>
      <c r="F136" s="169">
        <f t="shared" si="13"/>
        <v>0</v>
      </c>
      <c r="G136" s="169">
        <f t="shared" si="13"/>
        <v>0</v>
      </c>
      <c r="H136" s="169">
        <f t="shared" si="13"/>
        <v>0</v>
      </c>
      <c r="I136" s="169">
        <f t="shared" si="13"/>
        <v>0</v>
      </c>
      <c r="J136" s="169">
        <f t="shared" si="13"/>
        <v>0</v>
      </c>
    </row>
    <row r="137" spans="1:10" ht="11.25" thickTop="1" x14ac:dyDescent="0.15">
      <c r="F137" s="159"/>
      <c r="G137" s="159"/>
      <c r="J137" s="167"/>
    </row>
    <row r="138" spans="1:10" x14ac:dyDescent="0.15">
      <c r="B138" s="40" t="s">
        <v>1346</v>
      </c>
      <c r="D138" s="35"/>
      <c r="F138" s="159"/>
      <c r="G138" s="159"/>
      <c r="J138" s="167"/>
    </row>
    <row r="139" spans="1:10" x14ac:dyDescent="0.15">
      <c r="A139" s="35" t="s">
        <v>203</v>
      </c>
      <c r="B139" s="159"/>
      <c r="C139" s="35" t="s">
        <v>1330</v>
      </c>
      <c r="D139" s="202"/>
      <c r="F139" s="159"/>
      <c r="G139" s="159"/>
      <c r="J139" s="167"/>
    </row>
    <row r="140" spans="1:10" x14ac:dyDescent="0.15">
      <c r="A140" s="379">
        <f>HLOOKUP(101,'Fund 20 Grants'!$D$2:$W$3,2,FALSE)</f>
        <v>0</v>
      </c>
      <c r="B140" s="380"/>
      <c r="C140" s="381">
        <f>HLOOKUP(101,'Fund 20 Grants'!$D$2:$W$4,3,FALSE)</f>
        <v>0</v>
      </c>
      <c r="D140" s="202"/>
      <c r="E140" s="41">
        <v>0</v>
      </c>
      <c r="F140" s="41">
        <v>0</v>
      </c>
      <c r="G140" s="41">
        <v>0</v>
      </c>
      <c r="H140" s="383">
        <f>IF(ISERROR(HLOOKUP(101,'Fund 20 Grants'!$D$2:$W$113,112,FALSE)),0,(HLOOKUP(101,'Fund 20 Grants'!$D$2:$W$113,112,FALSE)))</f>
        <v>0</v>
      </c>
      <c r="I140" s="41">
        <v>0</v>
      </c>
      <c r="J140" s="564">
        <f t="shared" ref="J140:J149" si="14">H140+I140</f>
        <v>0</v>
      </c>
    </row>
    <row r="141" spans="1:10" x14ac:dyDescent="0.15">
      <c r="A141" s="379">
        <f>HLOOKUP(102,'Fund 20 Grants'!$D$2:$W$3,2,FALSE)</f>
        <v>0</v>
      </c>
      <c r="B141" s="380"/>
      <c r="C141" s="381">
        <f>HLOOKUP(102,'Fund 20 Grants'!$D$2:$W$4,3,FALSE)</f>
        <v>0</v>
      </c>
      <c r="D141" s="202"/>
      <c r="E141" s="41">
        <v>0</v>
      </c>
      <c r="F141" s="41">
        <v>0</v>
      </c>
      <c r="G141" s="41">
        <v>0</v>
      </c>
      <c r="H141" s="383">
        <f>IF(ISERROR(HLOOKUP(102,'Fund 20 Grants'!$D$2:$W$113,112,FALSE)),0,(HLOOKUP(102,'Fund 20 Grants'!$D$2:$W$113,112,FALSE)))</f>
        <v>0</v>
      </c>
      <c r="I141" s="41">
        <v>0</v>
      </c>
      <c r="J141" s="564">
        <f t="shared" si="14"/>
        <v>0</v>
      </c>
    </row>
    <row r="142" spans="1:10" x14ac:dyDescent="0.15">
      <c r="A142" s="379">
        <f>HLOOKUP(103,'Fund 20 Grants'!$D$2:$W$3,2,FALSE)</f>
        <v>0</v>
      </c>
      <c r="B142" s="380"/>
      <c r="C142" s="381">
        <f>HLOOKUP(103,'Fund 20 Grants'!$D$2:$W$4,3,FALSE)</f>
        <v>0</v>
      </c>
      <c r="D142" s="202"/>
      <c r="E142" s="41">
        <v>0</v>
      </c>
      <c r="F142" s="41">
        <v>0</v>
      </c>
      <c r="G142" s="41">
        <v>0</v>
      </c>
      <c r="H142" s="383">
        <f>IF(ISERROR(HLOOKUP(103,'Fund 20 Grants'!$D$2:$W$113,112,FALSE)),0,(HLOOKUP(103,'Fund 20 Grants'!$D$2:$W$113,112,FALSE)))</f>
        <v>0</v>
      </c>
      <c r="I142" s="41">
        <v>0</v>
      </c>
      <c r="J142" s="564">
        <f t="shared" si="14"/>
        <v>0</v>
      </c>
    </row>
    <row r="143" spans="1:10" x14ac:dyDescent="0.15">
      <c r="A143" s="379">
        <f>HLOOKUP(104,'Fund 20 Grants'!$D$2:$W$3,2,FALSE)</f>
        <v>0</v>
      </c>
      <c r="B143" s="380"/>
      <c r="C143" s="381">
        <f>HLOOKUP(104,'Fund 20 Grants'!$D$2:$W$4,3,FALSE)</f>
        <v>0</v>
      </c>
      <c r="D143" s="202"/>
      <c r="E143" s="41">
        <v>0</v>
      </c>
      <c r="F143" s="41">
        <v>0</v>
      </c>
      <c r="G143" s="41">
        <v>0</v>
      </c>
      <c r="H143" s="383">
        <f>IF(ISERROR(HLOOKUP(104,'Fund 20 Grants'!$D$2:$W$113,112,FALSE)),0,(HLOOKUP(104,'Fund 20 Grants'!$D$2:$W$113,112,FALSE)))</f>
        <v>0</v>
      </c>
      <c r="I143" s="41">
        <v>0</v>
      </c>
      <c r="J143" s="564">
        <f t="shared" si="14"/>
        <v>0</v>
      </c>
    </row>
    <row r="144" spans="1:10" x14ac:dyDescent="0.15">
      <c r="A144" s="379">
        <f>HLOOKUP(105,'Fund 20 Grants'!$D$2:$W$3,2,FALSE)</f>
        <v>0</v>
      </c>
      <c r="B144" s="380"/>
      <c r="C144" s="381">
        <f>HLOOKUP(105,'Fund 20 Grants'!$D$2:$W$4,3,FALSE)</f>
        <v>0</v>
      </c>
      <c r="D144" s="202"/>
      <c r="E144" s="41">
        <v>0</v>
      </c>
      <c r="F144" s="41">
        <v>0</v>
      </c>
      <c r="G144" s="41">
        <v>0</v>
      </c>
      <c r="H144" s="383">
        <f>IF(ISERROR(HLOOKUP(105,'Fund 20 Grants'!$D$2:$W$113,112,FALSE)),0,(HLOOKUP(105,'Fund 20 Grants'!$D$2:$W$113,112,FALSE)))</f>
        <v>0</v>
      </c>
      <c r="I144" s="41">
        <v>0</v>
      </c>
      <c r="J144" s="564">
        <f t="shared" si="14"/>
        <v>0</v>
      </c>
    </row>
    <row r="145" spans="1:10" x14ac:dyDescent="0.15">
      <c r="A145" s="379">
        <f>HLOOKUP(106,'Fund 20 Grants'!$D$2:$W$3,2,FALSE)</f>
        <v>0</v>
      </c>
      <c r="B145" s="380"/>
      <c r="C145" s="381">
        <f>HLOOKUP(106,'Fund 20 Grants'!$D$2:$W$4,3,FALSE)</f>
        <v>0</v>
      </c>
      <c r="D145" s="202"/>
      <c r="E145" s="41">
        <v>0</v>
      </c>
      <c r="F145" s="41">
        <v>0</v>
      </c>
      <c r="G145" s="41">
        <v>0</v>
      </c>
      <c r="H145" s="383">
        <f>IF(ISERROR(HLOOKUP(106,'Fund 20 Grants'!$D$2:$W$113,112,FALSE)),0,(HLOOKUP(106,'Fund 20 Grants'!$D$2:$W$113,112,FALSE)))</f>
        <v>0</v>
      </c>
      <c r="I145" s="41">
        <v>0</v>
      </c>
      <c r="J145" s="564">
        <f t="shared" si="14"/>
        <v>0</v>
      </c>
    </row>
    <row r="146" spans="1:10" x14ac:dyDescent="0.15">
      <c r="A146" s="379">
        <f>HLOOKUP(107,'Fund 20 Grants'!$D$2:$W$3,2,FALSE)</f>
        <v>0</v>
      </c>
      <c r="B146" s="380"/>
      <c r="C146" s="381">
        <f>HLOOKUP(107,'Fund 20 Grants'!$D$2:$W$4,3,FALSE)</f>
        <v>0</v>
      </c>
      <c r="D146" s="202"/>
      <c r="E146" s="41">
        <v>0</v>
      </c>
      <c r="F146" s="41">
        <v>0</v>
      </c>
      <c r="G146" s="41">
        <v>0</v>
      </c>
      <c r="H146" s="383">
        <f>IF(ISERROR(HLOOKUP(107,'Fund 20 Grants'!$D$2:$W$113,112,FALSE)),0,(HLOOKUP(107,'Fund 20 Grants'!$D$2:$W$113,112,FALSE)))</f>
        <v>0</v>
      </c>
      <c r="I146" s="41">
        <v>0</v>
      </c>
      <c r="J146" s="564">
        <f t="shared" si="14"/>
        <v>0</v>
      </c>
    </row>
    <row r="147" spans="1:10" x14ac:dyDescent="0.15">
      <c r="A147" s="379">
        <f>HLOOKUP(108,'Fund 20 Grants'!$D$2:$W$3,2,FALSE)</f>
        <v>0</v>
      </c>
      <c r="B147" s="380"/>
      <c r="C147" s="381">
        <f>HLOOKUP(108,'Fund 20 Grants'!$D$2:$W$4,3,FALSE)</f>
        <v>0</v>
      </c>
      <c r="D147" s="202"/>
      <c r="E147" s="41">
        <v>0</v>
      </c>
      <c r="F147" s="41">
        <v>0</v>
      </c>
      <c r="G147" s="41">
        <v>0</v>
      </c>
      <c r="H147" s="383">
        <f>IF(ISERROR(HLOOKUP(108,'Fund 20 Grants'!$D$2:$W$113,112,FALSE)),0,(HLOOKUP(108,'Fund 20 Grants'!$D$2:$W$113,112,FALSE)))</f>
        <v>0</v>
      </c>
      <c r="I147" s="41">
        <v>0</v>
      </c>
      <c r="J147" s="564">
        <f t="shared" si="14"/>
        <v>0</v>
      </c>
    </row>
    <row r="148" spans="1:10" x14ac:dyDescent="0.15">
      <c r="A148" s="379">
        <f>HLOOKUP(109,'Fund 20 Grants'!$D$2:$W$3,2,FALSE)</f>
        <v>0</v>
      </c>
      <c r="B148" s="380"/>
      <c r="C148" s="381">
        <f>HLOOKUP(109,'Fund 20 Grants'!$D$2:$W$4,3,FALSE)</f>
        <v>0</v>
      </c>
      <c r="D148" s="202"/>
      <c r="E148" s="41">
        <v>0</v>
      </c>
      <c r="F148" s="41">
        <v>0</v>
      </c>
      <c r="G148" s="41">
        <v>0</v>
      </c>
      <c r="H148" s="383">
        <f>IF(ISERROR(HLOOKUP(109,'Fund 20 Grants'!$D$2:$W$113,112,FALSE)),0,(HLOOKUP(109,'Fund 20 Grants'!$D$2:$W$113,112,FALSE)))</f>
        <v>0</v>
      </c>
      <c r="I148" s="41">
        <v>0</v>
      </c>
      <c r="J148" s="564">
        <f t="shared" si="14"/>
        <v>0</v>
      </c>
    </row>
    <row r="149" spans="1:10" x14ac:dyDescent="0.15">
      <c r="A149" s="379">
        <f>HLOOKUP(110,'Fund 20 Grants'!$D$2:$W$3,2,FALSE)</f>
        <v>0</v>
      </c>
      <c r="B149" s="380"/>
      <c r="C149" s="381">
        <f>HLOOKUP(110,'Fund 20 Grants'!$D$2:$W$4,3,FALSE)</f>
        <v>0</v>
      </c>
      <c r="D149" s="40"/>
      <c r="E149" s="41">
        <v>0</v>
      </c>
      <c r="F149" s="41">
        <v>0</v>
      </c>
      <c r="G149" s="41">
        <v>0</v>
      </c>
      <c r="H149" s="383">
        <f>IF(ISERROR(HLOOKUP(110,'Fund 20 Grants'!$D$2:$W$113,112,FALSE)),0,(HLOOKUP(110,'Fund 20 Grants'!$D$2:$W$113,112,FALSE)))</f>
        <v>0</v>
      </c>
      <c r="I149" s="41">
        <v>0</v>
      </c>
      <c r="J149" s="564">
        <f t="shared" si="14"/>
        <v>0</v>
      </c>
    </row>
    <row r="150" spans="1:10" ht="11.25" thickBot="1" x14ac:dyDescent="0.2">
      <c r="C150" s="40"/>
      <c r="D150" s="115"/>
      <c r="F150" s="159"/>
      <c r="G150" s="159"/>
      <c r="J150" s="167"/>
    </row>
    <row r="151" spans="1:10" ht="12" thickTop="1" thickBot="1" x14ac:dyDescent="0.2">
      <c r="A151" s="115" t="s">
        <v>1527</v>
      </c>
      <c r="C151" s="115" t="s">
        <v>1224</v>
      </c>
      <c r="E151" s="151">
        <f t="shared" ref="E151:J151" si="15">SUM(E140:E150)</f>
        <v>0</v>
      </c>
      <c r="F151" s="151">
        <f t="shared" si="15"/>
        <v>0</v>
      </c>
      <c r="G151" s="151">
        <f t="shared" si="15"/>
        <v>0</v>
      </c>
      <c r="H151" s="151">
        <f t="shared" si="15"/>
        <v>0</v>
      </c>
      <c r="I151" s="151">
        <f t="shared" si="15"/>
        <v>0</v>
      </c>
      <c r="J151" s="169">
        <f t="shared" si="15"/>
        <v>0</v>
      </c>
    </row>
    <row r="152" spans="1:10" ht="12" thickTop="1" thickBot="1" x14ac:dyDescent="0.2">
      <c r="D152" s="115"/>
      <c r="F152" s="159"/>
      <c r="G152" s="159"/>
      <c r="J152" s="167"/>
    </row>
    <row r="153" spans="1:10" ht="12" thickTop="1" thickBot="1" x14ac:dyDescent="0.2">
      <c r="C153" s="115" t="s">
        <v>841</v>
      </c>
      <c r="D153" s="115"/>
      <c r="E153" s="193">
        <f t="shared" ref="E153:J153" si="16">E110+E136+E151</f>
        <v>0</v>
      </c>
      <c r="F153" s="193">
        <f t="shared" si="16"/>
        <v>0</v>
      </c>
      <c r="G153" s="193">
        <f t="shared" si="16"/>
        <v>0</v>
      </c>
      <c r="H153" s="193">
        <f t="shared" si="16"/>
        <v>0</v>
      </c>
      <c r="I153" s="193">
        <f t="shared" si="16"/>
        <v>0</v>
      </c>
      <c r="J153" s="600">
        <f t="shared" si="16"/>
        <v>0</v>
      </c>
    </row>
    <row r="154" spans="1:10" ht="11.25" thickTop="1" x14ac:dyDescent="0.15">
      <c r="C154" s="115"/>
      <c r="D154" s="115"/>
      <c r="F154" s="159"/>
      <c r="G154" s="159"/>
      <c r="J154" s="167"/>
    </row>
    <row r="155" spans="1:10" x14ac:dyDescent="0.15">
      <c r="B155" s="21" t="s">
        <v>1502</v>
      </c>
      <c r="C155" s="115"/>
      <c r="D155" s="35"/>
      <c r="F155" s="159"/>
      <c r="G155" s="159"/>
      <c r="J155" s="167"/>
    </row>
    <row r="156" spans="1:10" x14ac:dyDescent="0.15">
      <c r="A156" s="35" t="s">
        <v>203</v>
      </c>
      <c r="C156" s="35" t="s">
        <v>1034</v>
      </c>
      <c r="D156" s="203"/>
      <c r="F156" s="159"/>
      <c r="G156" s="159"/>
      <c r="J156" s="167"/>
    </row>
    <row r="157" spans="1:10" x14ac:dyDescent="0.15">
      <c r="A157" s="374"/>
      <c r="C157" s="195"/>
      <c r="D157" s="203"/>
      <c r="E157" s="41">
        <v>0</v>
      </c>
      <c r="F157" s="41">
        <v>0</v>
      </c>
      <c r="G157" s="41">
        <v>0</v>
      </c>
      <c r="H157" s="41">
        <v>0</v>
      </c>
      <c r="I157" s="41">
        <v>0</v>
      </c>
      <c r="J157" s="564">
        <f t="shared" ref="J157:J165" si="17">H157+I157</f>
        <v>0</v>
      </c>
    </row>
    <row r="158" spans="1:10" x14ac:dyDescent="0.15">
      <c r="A158" s="374"/>
      <c r="C158" s="195"/>
      <c r="D158" s="203"/>
      <c r="E158" s="41">
        <v>0</v>
      </c>
      <c r="F158" s="41">
        <v>0</v>
      </c>
      <c r="G158" s="41">
        <v>0</v>
      </c>
      <c r="H158" s="41">
        <v>0</v>
      </c>
      <c r="I158" s="41">
        <v>0</v>
      </c>
      <c r="J158" s="564">
        <f t="shared" si="17"/>
        <v>0</v>
      </c>
    </row>
    <row r="159" spans="1:10" x14ac:dyDescent="0.15">
      <c r="A159" s="374"/>
      <c r="C159" s="195"/>
      <c r="D159" s="203"/>
      <c r="E159" s="41">
        <v>0</v>
      </c>
      <c r="F159" s="41">
        <v>0</v>
      </c>
      <c r="G159" s="41">
        <v>0</v>
      </c>
      <c r="H159" s="41">
        <v>0</v>
      </c>
      <c r="I159" s="41">
        <v>0</v>
      </c>
      <c r="J159" s="564">
        <f t="shared" si="17"/>
        <v>0</v>
      </c>
    </row>
    <row r="160" spans="1:10" x14ac:dyDescent="0.15">
      <c r="A160" s="374"/>
      <c r="C160" s="195"/>
      <c r="D160" s="203"/>
      <c r="E160" s="41">
        <v>0</v>
      </c>
      <c r="F160" s="41">
        <v>0</v>
      </c>
      <c r="G160" s="41">
        <v>0</v>
      </c>
      <c r="H160" s="41">
        <v>0</v>
      </c>
      <c r="I160" s="41">
        <v>0</v>
      </c>
      <c r="J160" s="564">
        <f t="shared" si="17"/>
        <v>0</v>
      </c>
    </row>
    <row r="161" spans="1:10" x14ac:dyDescent="0.15">
      <c r="A161" s="374"/>
      <c r="C161" s="195"/>
      <c r="D161" s="203"/>
      <c r="E161" s="41">
        <v>0</v>
      </c>
      <c r="F161" s="41">
        <v>0</v>
      </c>
      <c r="G161" s="41">
        <v>0</v>
      </c>
      <c r="H161" s="41">
        <v>0</v>
      </c>
      <c r="I161" s="41">
        <v>0</v>
      </c>
      <c r="J161" s="564">
        <f t="shared" si="17"/>
        <v>0</v>
      </c>
    </row>
    <row r="162" spans="1:10" ht="12" customHeight="1" x14ac:dyDescent="0.15">
      <c r="A162" s="374"/>
      <c r="C162" s="195"/>
      <c r="D162" s="203"/>
      <c r="E162" s="41">
        <v>0</v>
      </c>
      <c r="F162" s="41">
        <v>0</v>
      </c>
      <c r="G162" s="41">
        <v>0</v>
      </c>
      <c r="H162" s="41">
        <v>0</v>
      </c>
      <c r="I162" s="41">
        <v>0</v>
      </c>
      <c r="J162" s="564">
        <f t="shared" si="17"/>
        <v>0</v>
      </c>
    </row>
    <row r="163" spans="1:10" x14ac:dyDescent="0.15">
      <c r="A163" s="374"/>
      <c r="C163" s="195"/>
      <c r="D163" s="203"/>
      <c r="E163" s="41">
        <v>0</v>
      </c>
      <c r="F163" s="41">
        <v>0</v>
      </c>
      <c r="G163" s="41">
        <v>0</v>
      </c>
      <c r="H163" s="41">
        <v>0</v>
      </c>
      <c r="I163" s="41">
        <v>0</v>
      </c>
      <c r="J163" s="564">
        <f t="shared" si="17"/>
        <v>0</v>
      </c>
    </row>
    <row r="164" spans="1:10" x14ac:dyDescent="0.15">
      <c r="A164" s="374"/>
      <c r="C164" s="195"/>
      <c r="D164" s="203"/>
      <c r="E164" s="41">
        <v>0</v>
      </c>
      <c r="F164" s="41">
        <v>0</v>
      </c>
      <c r="G164" s="41">
        <v>0</v>
      </c>
      <c r="H164" s="41">
        <v>0</v>
      </c>
      <c r="I164" s="41">
        <v>0</v>
      </c>
      <c r="J164" s="564">
        <f t="shared" si="17"/>
        <v>0</v>
      </c>
    </row>
    <row r="165" spans="1:10" x14ac:dyDescent="0.15">
      <c r="A165" s="374"/>
      <c r="C165" s="195"/>
      <c r="D165" s="203"/>
      <c r="E165" s="41">
        <v>0</v>
      </c>
      <c r="F165" s="41">
        <v>0</v>
      </c>
      <c r="G165" s="41">
        <v>0</v>
      </c>
      <c r="H165" s="41">
        <v>0</v>
      </c>
      <c r="I165" s="41">
        <v>0</v>
      </c>
      <c r="J165" s="564">
        <f t="shared" si="17"/>
        <v>0</v>
      </c>
    </row>
    <row r="166" spans="1:10" x14ac:dyDescent="0.15">
      <c r="A166" s="668"/>
      <c r="B166" s="669"/>
      <c r="C166" s="665" t="s">
        <v>862</v>
      </c>
      <c r="D166" s="667"/>
      <c r="E166" s="529">
        <f t="shared" ref="E166:J166" si="18">+E91</f>
        <v>0</v>
      </c>
      <c r="F166" s="529">
        <f t="shared" si="18"/>
        <v>0</v>
      </c>
      <c r="G166" s="529">
        <f t="shared" si="18"/>
        <v>0</v>
      </c>
      <c r="H166" s="529">
        <f t="shared" si="18"/>
        <v>0</v>
      </c>
      <c r="I166" s="529">
        <f t="shared" si="18"/>
        <v>0</v>
      </c>
      <c r="J166" s="529">
        <f t="shared" si="18"/>
        <v>0</v>
      </c>
    </row>
    <row r="167" spans="1:10" ht="11.25" thickBot="1" x14ac:dyDescent="0.2">
      <c r="C167" s="115"/>
      <c r="D167" s="115"/>
      <c r="F167" s="159"/>
      <c r="G167" s="159"/>
      <c r="J167" s="167"/>
    </row>
    <row r="168" spans="1:10" ht="12" thickTop="1" thickBot="1" x14ac:dyDescent="0.2">
      <c r="C168" s="115" t="s">
        <v>1275</v>
      </c>
      <c r="D168" s="115"/>
      <c r="E168" s="193">
        <f t="shared" ref="E168:J168" si="19">SUM(E157:E167)</f>
        <v>0</v>
      </c>
      <c r="F168" s="193">
        <f t="shared" si="19"/>
        <v>0</v>
      </c>
      <c r="G168" s="193">
        <f t="shared" si="19"/>
        <v>0</v>
      </c>
      <c r="H168" s="193">
        <f t="shared" si="19"/>
        <v>0</v>
      </c>
      <c r="I168" s="193">
        <f t="shared" si="19"/>
        <v>0</v>
      </c>
      <c r="J168" s="600">
        <f t="shared" si="19"/>
        <v>0</v>
      </c>
    </row>
    <row r="169" spans="1:10" ht="12" thickTop="1" thickBot="1" x14ac:dyDescent="0.2">
      <c r="C169" s="115"/>
      <c r="D169" s="196"/>
      <c r="F169" s="159"/>
      <c r="G169" s="159"/>
      <c r="J169" s="167"/>
    </row>
    <row r="170" spans="1:10" ht="23.25" customHeight="1" thickTop="1" thickBot="1" x14ac:dyDescent="0.2">
      <c r="A170" s="737" t="s">
        <v>1499</v>
      </c>
      <c r="B170" s="737"/>
      <c r="C170" s="737"/>
      <c r="E170" s="169">
        <f t="shared" ref="E170:J170" si="20">+E153+E168</f>
        <v>0</v>
      </c>
      <c r="F170" s="169">
        <f t="shared" si="20"/>
        <v>0</v>
      </c>
      <c r="G170" s="169">
        <f t="shared" si="20"/>
        <v>0</v>
      </c>
      <c r="H170" s="169">
        <f t="shared" si="20"/>
        <v>0</v>
      </c>
      <c r="I170" s="169">
        <f t="shared" si="20"/>
        <v>0</v>
      </c>
      <c r="J170" s="169">
        <f t="shared" si="20"/>
        <v>0</v>
      </c>
    </row>
    <row r="171" spans="1:10" ht="11.25" thickTop="1" x14ac:dyDescent="0.15">
      <c r="F171" s="159"/>
      <c r="G171" s="159"/>
      <c r="J171" s="167"/>
    </row>
    <row r="172" spans="1:10" x14ac:dyDescent="0.15">
      <c r="F172" s="159"/>
      <c r="G172" s="159"/>
      <c r="J172" s="167"/>
    </row>
    <row r="173" spans="1:10" s="176" customFormat="1" ht="23.25" customHeight="1" x14ac:dyDescent="0.15">
      <c r="A173" s="155" t="s">
        <v>110</v>
      </c>
      <c r="B173" s="158"/>
      <c r="C173" s="210" t="s">
        <v>737</v>
      </c>
      <c r="D173" s="115"/>
      <c r="E173" s="159"/>
      <c r="F173" s="159"/>
      <c r="G173" s="159"/>
      <c r="H173" s="159"/>
      <c r="I173" s="158"/>
      <c r="J173" s="167"/>
    </row>
    <row r="174" spans="1:10" x14ac:dyDescent="0.15">
      <c r="A174" s="154" t="s">
        <v>1522</v>
      </c>
      <c r="C174" s="115" t="s">
        <v>1516</v>
      </c>
      <c r="D174" s="115"/>
      <c r="E174" s="41">
        <v>0</v>
      </c>
      <c r="F174" s="41">
        <v>0</v>
      </c>
      <c r="G174" s="41">
        <v>0</v>
      </c>
      <c r="H174" s="41">
        <v>0</v>
      </c>
      <c r="I174" s="41">
        <v>0</v>
      </c>
      <c r="J174" s="564">
        <f>H174+I174</f>
        <v>0</v>
      </c>
    </row>
    <row r="175" spans="1:10" x14ac:dyDescent="0.15">
      <c r="A175" s="154" t="s">
        <v>1523</v>
      </c>
      <c r="C175" s="115" t="s">
        <v>1517</v>
      </c>
      <c r="D175" s="115"/>
      <c r="E175" s="41">
        <v>0</v>
      </c>
      <c r="F175" s="41">
        <v>0</v>
      </c>
      <c r="G175" s="41">
        <v>0</v>
      </c>
      <c r="H175" s="41">
        <v>0</v>
      </c>
      <c r="I175" s="41">
        <v>0</v>
      </c>
      <c r="J175" s="564">
        <f>H175+I175</f>
        <v>0</v>
      </c>
    </row>
    <row r="176" spans="1:10" x14ac:dyDescent="0.15">
      <c r="A176" s="154" t="s">
        <v>1524</v>
      </c>
      <c r="C176" s="115" t="s">
        <v>1518</v>
      </c>
      <c r="D176" s="115"/>
      <c r="E176" s="41">
        <v>0</v>
      </c>
      <c r="F176" s="41">
        <v>0</v>
      </c>
      <c r="G176" s="41">
        <v>0</v>
      </c>
      <c r="H176" s="41">
        <v>0</v>
      </c>
      <c r="I176" s="41">
        <v>0</v>
      </c>
      <c r="J176" s="564">
        <f>H176+I176</f>
        <v>0</v>
      </c>
    </row>
    <row r="177" spans="1:10" x14ac:dyDescent="0.15">
      <c r="A177" s="154" t="s">
        <v>1525</v>
      </c>
      <c r="C177" s="115" t="s">
        <v>1519</v>
      </c>
      <c r="D177" s="115"/>
      <c r="E177" s="41">
        <v>0</v>
      </c>
      <c r="F177" s="41">
        <v>0</v>
      </c>
      <c r="G177" s="41">
        <v>0</v>
      </c>
      <c r="H177" s="41">
        <v>0</v>
      </c>
      <c r="I177" s="41">
        <v>0</v>
      </c>
      <c r="J177" s="564">
        <f>H177+I177</f>
        <v>0</v>
      </c>
    </row>
    <row r="178" spans="1:10" ht="11.25" thickBot="1" x14ac:dyDescent="0.2">
      <c r="A178" s="154" t="s">
        <v>1526</v>
      </c>
      <c r="C178" s="115" t="s">
        <v>1520</v>
      </c>
      <c r="D178" s="115"/>
      <c r="E178" s="150">
        <v>0</v>
      </c>
      <c r="F178" s="150">
        <v>0</v>
      </c>
      <c r="G178" s="150">
        <v>0</v>
      </c>
      <c r="H178" s="150">
        <v>0</v>
      </c>
      <c r="I178" s="41">
        <v>0</v>
      </c>
      <c r="J178" s="564">
        <f>H178+I178</f>
        <v>0</v>
      </c>
    </row>
    <row r="179" spans="1:10" ht="12" thickTop="1" thickBot="1" x14ac:dyDescent="0.2">
      <c r="A179" s="149"/>
      <c r="C179" s="115" t="s">
        <v>724</v>
      </c>
      <c r="D179" s="115"/>
      <c r="E179" s="151">
        <f t="shared" ref="E179:J179" si="21">SUM(E174:E178)</f>
        <v>0</v>
      </c>
      <c r="F179" s="151">
        <f t="shared" si="21"/>
        <v>0</v>
      </c>
      <c r="G179" s="151">
        <f t="shared" si="21"/>
        <v>0</v>
      </c>
      <c r="H179" s="151">
        <f t="shared" si="21"/>
        <v>0</v>
      </c>
      <c r="I179" s="151">
        <f t="shared" si="21"/>
        <v>0</v>
      </c>
      <c r="J179" s="151">
        <f t="shared" si="21"/>
        <v>0</v>
      </c>
    </row>
    <row r="180" spans="1:10" ht="12" thickTop="1" thickBot="1" x14ac:dyDescent="0.2">
      <c r="A180" s="149"/>
      <c r="C180" s="115"/>
      <c r="D180" s="176"/>
      <c r="E180" s="159"/>
      <c r="F180" s="159"/>
      <c r="G180" s="159"/>
      <c r="H180" s="159"/>
      <c r="J180" s="167"/>
    </row>
    <row r="181" spans="1:10" ht="11.25" thickBot="1" x14ac:dyDescent="0.2">
      <c r="A181" s="736" t="s">
        <v>794</v>
      </c>
      <c r="B181" s="736"/>
      <c r="C181" s="736"/>
      <c r="D181" s="115"/>
      <c r="E181" s="171">
        <f t="shared" ref="E181:J181" si="22">E170+E179</f>
        <v>0</v>
      </c>
      <c r="F181" s="171">
        <f t="shared" si="22"/>
        <v>0</v>
      </c>
      <c r="G181" s="171">
        <f t="shared" si="22"/>
        <v>0</v>
      </c>
      <c r="H181" s="171">
        <f t="shared" si="22"/>
        <v>0</v>
      </c>
      <c r="I181" s="171">
        <f t="shared" si="22"/>
        <v>0</v>
      </c>
      <c r="J181" s="171">
        <f t="shared" si="22"/>
        <v>0</v>
      </c>
    </row>
    <row r="182" spans="1:10" x14ac:dyDescent="0.15">
      <c r="A182" s="149"/>
      <c r="C182" s="115" t="s">
        <v>725</v>
      </c>
      <c r="D182" s="115"/>
      <c r="E182" s="159"/>
      <c r="F182" s="159"/>
      <c r="G182" s="159"/>
      <c r="H182" s="159"/>
      <c r="J182" s="167"/>
    </row>
    <row r="183" spans="1:10" ht="11.25" thickBot="1" x14ac:dyDescent="0.2">
      <c r="A183" s="149"/>
      <c r="C183" s="115"/>
      <c r="D183" s="172"/>
      <c r="E183" s="159"/>
      <c r="F183" s="159"/>
      <c r="G183" s="159"/>
      <c r="H183" s="159"/>
      <c r="J183" s="167"/>
    </row>
    <row r="184" spans="1:10" ht="12" thickTop="1" thickBot="1" x14ac:dyDescent="0.2">
      <c r="C184" s="172" t="s">
        <v>726</v>
      </c>
      <c r="E184" s="173">
        <f t="shared" ref="E184:J184" si="23">E88</f>
        <v>0</v>
      </c>
      <c r="F184" s="173">
        <f t="shared" si="23"/>
        <v>0</v>
      </c>
      <c r="G184" s="173">
        <f t="shared" si="23"/>
        <v>0</v>
      </c>
      <c r="H184" s="173">
        <f t="shared" si="23"/>
        <v>0</v>
      </c>
      <c r="I184" s="173">
        <f t="shared" si="23"/>
        <v>0</v>
      </c>
      <c r="J184" s="173">
        <f t="shared" si="23"/>
        <v>0</v>
      </c>
    </row>
    <row r="185" spans="1:10" ht="11.25" thickTop="1" x14ac:dyDescent="0.15">
      <c r="D185" s="172"/>
      <c r="E185" s="158"/>
      <c r="J185" s="167"/>
    </row>
    <row r="186" spans="1:10" x14ac:dyDescent="0.15">
      <c r="C186" s="172" t="s">
        <v>727</v>
      </c>
      <c r="E186" s="158">
        <f t="shared" ref="E186:J186" si="24">E181-E184</f>
        <v>0</v>
      </c>
      <c r="F186" s="158">
        <f t="shared" si="24"/>
        <v>0</v>
      </c>
      <c r="G186" s="158">
        <f t="shared" si="24"/>
        <v>0</v>
      </c>
      <c r="H186" s="158">
        <f t="shared" si="24"/>
        <v>0</v>
      </c>
      <c r="I186" s="158">
        <f t="shared" si="24"/>
        <v>0</v>
      </c>
      <c r="J186" s="167">
        <f t="shared" si="24"/>
        <v>0</v>
      </c>
    </row>
    <row r="187" spans="1:10" x14ac:dyDescent="0.15">
      <c r="J187" s="167"/>
    </row>
    <row r="188" spans="1:10" x14ac:dyDescent="0.15">
      <c r="J188" s="167"/>
    </row>
    <row r="189" spans="1:10" x14ac:dyDescent="0.15">
      <c r="A189" s="115" t="s">
        <v>417</v>
      </c>
    </row>
    <row r="192" spans="1:10" x14ac:dyDescent="0.15">
      <c r="A192" s="18" t="s">
        <v>164</v>
      </c>
      <c r="D192" s="115"/>
    </row>
    <row r="193" spans="2:3" x14ac:dyDescent="0.15">
      <c r="B193" s="183" t="s">
        <v>389</v>
      </c>
      <c r="C193" s="115" t="s">
        <v>679</v>
      </c>
    </row>
    <row r="194" spans="2:3" x14ac:dyDescent="0.15">
      <c r="B194" s="184" t="s">
        <v>682</v>
      </c>
      <c r="C194" s="115" t="s">
        <v>680</v>
      </c>
    </row>
    <row r="195" spans="2:3" x14ac:dyDescent="0.15">
      <c r="B195" s="184" t="s">
        <v>683</v>
      </c>
      <c r="C195" s="115" t="s">
        <v>681</v>
      </c>
    </row>
    <row r="196" spans="2:3" x14ac:dyDescent="0.15">
      <c r="B196" s="183" t="s">
        <v>590</v>
      </c>
      <c r="C196" s="115" t="s">
        <v>591</v>
      </c>
    </row>
    <row r="197" spans="2:3" x14ac:dyDescent="0.15">
      <c r="B197" s="183" t="s">
        <v>592</v>
      </c>
      <c r="C197" s="115" t="s">
        <v>593</v>
      </c>
    </row>
    <row r="198" spans="2:3" x14ac:dyDescent="0.15">
      <c r="B198" s="183" t="s">
        <v>594</v>
      </c>
      <c r="C198" s="115" t="s">
        <v>595</v>
      </c>
    </row>
  </sheetData>
  <sheetProtection password="CB03" sheet="1" objects="1" scenarios="1" formatCells="0" formatColumns="0" formatRows="0"/>
  <mergeCells count="3">
    <mergeCell ref="A181:C181"/>
    <mergeCell ref="A88:C88"/>
    <mergeCell ref="A170:C170"/>
  </mergeCells>
  <phoneticPr fontId="15" type="noConversion"/>
  <pageMargins left="0.5" right="0.5" top="0.75" bottom="0.75" header="0.5" footer="0.5"/>
  <pageSetup scale="61" firstPageNumber="31" fitToHeight="0" orientation="portrait" horizontalDpi="300" verticalDpi="300" r:id="rId1"/>
  <headerFooter alignWithMargins="0">
    <oddFooter>&amp;LCDE, Public Scool Finance Unit&amp;C&amp;P&amp;RRevised March, 2009</oddFooter>
  </headerFooter>
  <rowBreaks count="2" manualBreakCount="2">
    <brk id="92" max="16383" man="1"/>
    <brk id="18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0"/>
  <sheetViews>
    <sheetView topLeftCell="A46" zoomScaleNormal="100" workbookViewId="0">
      <selection activeCell="E79" sqref="E79"/>
    </sheetView>
  </sheetViews>
  <sheetFormatPr defaultRowHeight="10.5" x14ac:dyDescent="0.15"/>
  <cols>
    <col min="1" max="1" width="10" style="158" customWidth="1"/>
    <col min="2" max="2" width="3.6640625" style="158" customWidth="1"/>
    <col min="3" max="3" width="70.83203125" style="158" customWidth="1"/>
    <col min="4" max="4" width="15.83203125" style="158" customWidth="1"/>
    <col min="5" max="5" width="18" style="158" customWidth="1"/>
    <col min="6" max="6" width="17.33203125" style="158" customWidth="1"/>
    <col min="7" max="7" width="16.6640625" style="158" customWidth="1"/>
    <col min="8" max="8" width="14.83203125" style="158" customWidth="1"/>
    <col min="9" max="9" width="18.832031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63" t="s">
        <v>1586</v>
      </c>
      <c r="E1" s="164">
        <f>+'Page 1 - FY2013-14'!F7</f>
        <v>0</v>
      </c>
      <c r="G1" s="38" t="s">
        <v>1588</v>
      </c>
    </row>
    <row r="2" spans="1:9" x14ac:dyDescent="0.15">
      <c r="A2" s="15" t="s">
        <v>194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E7" s="159"/>
      <c r="F7" s="159"/>
      <c r="G7" s="159"/>
      <c r="I7" s="167"/>
    </row>
    <row r="8" spans="1:9" x14ac:dyDescent="0.15">
      <c r="A8" s="115" t="s">
        <v>1595</v>
      </c>
      <c r="B8" s="160" t="s">
        <v>1159</v>
      </c>
      <c r="C8" s="115" t="s">
        <v>206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G8+H8</f>
        <v>0</v>
      </c>
    </row>
    <row r="9" spans="1:9" x14ac:dyDescent="0.15">
      <c r="A9" s="115" t="s">
        <v>1596</v>
      </c>
      <c r="B9" s="160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23" si="0">G9+H9</f>
        <v>0</v>
      </c>
    </row>
    <row r="10" spans="1:9" x14ac:dyDescent="0.15">
      <c r="A10" s="152" t="s">
        <v>205</v>
      </c>
      <c r="B10" s="160" t="s">
        <v>1161</v>
      </c>
      <c r="C10" s="115" t="s">
        <v>207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1602</v>
      </c>
      <c r="B11" s="160" t="s">
        <v>1228</v>
      </c>
      <c r="C11" s="115" t="s">
        <v>443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1157</v>
      </c>
      <c r="B12" s="160" t="s">
        <v>1229</v>
      </c>
      <c r="C12" s="115" t="s">
        <v>208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52" t="s">
        <v>95</v>
      </c>
      <c r="B13" s="160" t="s">
        <v>1230</v>
      </c>
      <c r="C13" s="115" t="s">
        <v>1149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15" t="s">
        <v>97</v>
      </c>
      <c r="B14" s="160" t="s">
        <v>1231</v>
      </c>
      <c r="C14" s="115" t="s">
        <v>452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52" t="s">
        <v>759</v>
      </c>
      <c r="B15" s="160" t="s">
        <v>1232</v>
      </c>
      <c r="C15" s="115" t="s">
        <v>453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52" t="s">
        <v>760</v>
      </c>
      <c r="B16" s="160" t="s">
        <v>1240</v>
      </c>
      <c r="C16" s="115" t="s">
        <v>209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52" t="s">
        <v>210</v>
      </c>
      <c r="B17" s="160" t="s">
        <v>1244</v>
      </c>
      <c r="C17" s="115" t="s">
        <v>211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A18" s="152" t="s">
        <v>440</v>
      </c>
      <c r="B18" s="160" t="s">
        <v>1245</v>
      </c>
      <c r="C18" s="115" t="s">
        <v>1151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x14ac:dyDescent="0.15">
      <c r="A19" s="162" t="s">
        <v>105</v>
      </c>
      <c r="B19" s="174" t="s">
        <v>1241</v>
      </c>
      <c r="C19" s="2" t="s">
        <v>860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9" x14ac:dyDescent="0.15">
      <c r="A20" s="168" t="s">
        <v>537</v>
      </c>
      <c r="B20" s="174" t="s">
        <v>1242</v>
      </c>
      <c r="C20" s="138" t="s">
        <v>538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9" x14ac:dyDescent="0.15">
      <c r="A21" s="168" t="s">
        <v>536</v>
      </c>
      <c r="B21" s="174" t="s">
        <v>1247</v>
      </c>
      <c r="C21" s="138" t="s">
        <v>115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564">
        <f t="shared" si="0"/>
        <v>0</v>
      </c>
    </row>
    <row r="22" spans="1:9" x14ac:dyDescent="0.15">
      <c r="A22" s="115" t="s">
        <v>197</v>
      </c>
      <c r="B22" s="174" t="s">
        <v>1248</v>
      </c>
      <c r="C22" s="718" t="s">
        <v>893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564">
        <f t="shared" si="0"/>
        <v>0</v>
      </c>
    </row>
    <row r="23" spans="1:9" x14ac:dyDescent="0.15">
      <c r="B23" s="174" t="s">
        <v>1249</v>
      </c>
      <c r="C23" s="115" t="s">
        <v>212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si="0"/>
        <v>0</v>
      </c>
    </row>
    <row r="24" spans="1:9" ht="11.25" thickBot="1" x14ac:dyDescent="0.2">
      <c r="C24" s="115"/>
      <c r="D24" s="14"/>
      <c r="E24" s="14"/>
      <c r="F24" s="14"/>
      <c r="G24" s="14"/>
      <c r="I24" s="167"/>
    </row>
    <row r="25" spans="1:9" ht="12" thickTop="1" thickBot="1" x14ac:dyDescent="0.2">
      <c r="B25" s="174" t="s">
        <v>1250</v>
      </c>
      <c r="C25" s="35" t="s">
        <v>1135</v>
      </c>
      <c r="D25" s="169">
        <f t="shared" ref="D25:I25" si="1">SUM(D8:D23)</f>
        <v>0</v>
      </c>
      <c r="E25" s="169">
        <f t="shared" si="1"/>
        <v>0</v>
      </c>
      <c r="F25" s="169">
        <f t="shared" si="1"/>
        <v>0</v>
      </c>
      <c r="G25" s="169">
        <f t="shared" si="1"/>
        <v>0</v>
      </c>
      <c r="H25" s="169">
        <f t="shared" si="1"/>
        <v>0</v>
      </c>
      <c r="I25" s="169">
        <f t="shared" si="1"/>
        <v>0</v>
      </c>
    </row>
    <row r="26" spans="1:9" ht="12" thickTop="1" thickBot="1" x14ac:dyDescent="0.2">
      <c r="C26" s="152"/>
      <c r="D26" s="170"/>
      <c r="E26" s="170"/>
      <c r="F26" s="170"/>
      <c r="G26" s="170"/>
      <c r="I26" s="167"/>
    </row>
    <row r="27" spans="1:9" ht="10.5" customHeight="1" thickBot="1" x14ac:dyDescent="0.2">
      <c r="A27" s="35" t="s">
        <v>1616</v>
      </c>
      <c r="D27" s="171">
        <f t="shared" ref="D27:I27" si="2">D6+D25</f>
        <v>0</v>
      </c>
      <c r="E27" s="171">
        <f t="shared" si="2"/>
        <v>0</v>
      </c>
      <c r="F27" s="171">
        <f t="shared" si="2"/>
        <v>0</v>
      </c>
      <c r="G27" s="171">
        <f t="shared" si="2"/>
        <v>0</v>
      </c>
      <c r="H27" s="171">
        <f t="shared" si="2"/>
        <v>0</v>
      </c>
      <c r="I27" s="171">
        <f t="shared" si="2"/>
        <v>0</v>
      </c>
    </row>
    <row r="28" spans="1:9" x14ac:dyDescent="0.15">
      <c r="E28" s="159"/>
      <c r="F28" s="159"/>
      <c r="G28" s="159"/>
      <c r="I28" s="167"/>
    </row>
    <row r="29" spans="1:9" x14ac:dyDescent="0.15">
      <c r="A29" s="660" t="s">
        <v>824</v>
      </c>
      <c r="B29" s="424"/>
      <c r="C29" s="495" t="s">
        <v>816</v>
      </c>
      <c r="D29" s="423"/>
      <c r="E29" s="423"/>
      <c r="F29" s="423"/>
      <c r="G29" s="423"/>
      <c r="H29" s="423"/>
      <c r="I29" s="179"/>
    </row>
    <row r="30" spans="1:9" x14ac:dyDescent="0.15">
      <c r="A30" s="436" t="s">
        <v>105</v>
      </c>
      <c r="B30" s="501" t="s">
        <v>1338</v>
      </c>
      <c r="C30" s="2" t="s">
        <v>827</v>
      </c>
      <c r="D30" s="41">
        <v>0</v>
      </c>
      <c r="E30" s="41">
        <v>0</v>
      </c>
      <c r="F30" s="41">
        <v>0</v>
      </c>
      <c r="G30" s="41">
        <v>0</v>
      </c>
      <c r="H30" s="534">
        <v>0</v>
      </c>
      <c r="I30" s="535">
        <f>SUM(G30+H30)</f>
        <v>0</v>
      </c>
    </row>
    <row r="31" spans="1:9" x14ac:dyDescent="0.15">
      <c r="A31" s="436"/>
      <c r="B31" s="501"/>
      <c r="C31" s="2"/>
      <c r="D31" s="14"/>
      <c r="E31" s="14"/>
      <c r="F31" s="14"/>
      <c r="G31" s="14"/>
      <c r="H31" s="308"/>
      <c r="I31" s="305"/>
    </row>
    <row r="32" spans="1:9" x14ac:dyDescent="0.15">
      <c r="A32" s="490"/>
      <c r="B32" s="424"/>
      <c r="C32" s="423"/>
      <c r="D32" s="423"/>
      <c r="E32" s="423"/>
      <c r="F32" s="423"/>
      <c r="G32" s="423"/>
      <c r="H32" s="423"/>
      <c r="I32" s="423"/>
    </row>
    <row r="33" spans="1:9" x14ac:dyDescent="0.15">
      <c r="A33" s="36" t="s">
        <v>198</v>
      </c>
      <c r="C33" s="210" t="s">
        <v>199</v>
      </c>
      <c r="E33" s="159"/>
      <c r="F33" s="159"/>
      <c r="G33" s="159"/>
      <c r="I33" s="167"/>
    </row>
    <row r="34" spans="1:9" x14ac:dyDescent="0.15">
      <c r="A34" s="36"/>
      <c r="B34" s="40"/>
      <c r="C34" s="158" t="s">
        <v>1190</v>
      </c>
      <c r="E34" s="159"/>
      <c r="F34" s="159"/>
      <c r="G34" s="159"/>
      <c r="I34" s="167"/>
    </row>
    <row r="35" spans="1:9" x14ac:dyDescent="0.15">
      <c r="A35" s="152" t="s">
        <v>1583</v>
      </c>
      <c r="B35" s="152" t="s">
        <v>1251</v>
      </c>
      <c r="C35" s="158" t="s">
        <v>160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>G35+H35</f>
        <v>0</v>
      </c>
    </row>
    <row r="36" spans="1:9" x14ac:dyDescent="0.15">
      <c r="A36" s="115" t="s">
        <v>200</v>
      </c>
      <c r="B36" s="160" t="s">
        <v>1252</v>
      </c>
      <c r="C36" s="115" t="s">
        <v>161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ref="I36:I44" si="3">G36+H36</f>
        <v>0</v>
      </c>
    </row>
    <row r="37" spans="1:9" x14ac:dyDescent="0.15">
      <c r="A37" s="152" t="s">
        <v>201</v>
      </c>
      <c r="B37" s="160" t="s">
        <v>1253</v>
      </c>
      <c r="C37" s="115" t="s">
        <v>162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x14ac:dyDescent="0.15">
      <c r="A38" s="152" t="s">
        <v>158</v>
      </c>
      <c r="B38" s="160" t="s">
        <v>1254</v>
      </c>
      <c r="C38" s="115" t="s">
        <v>464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3"/>
        <v>0</v>
      </c>
    </row>
    <row r="39" spans="1:9" x14ac:dyDescent="0.15">
      <c r="A39" s="152" t="s">
        <v>159</v>
      </c>
      <c r="B39" s="160" t="s">
        <v>1255</v>
      </c>
      <c r="C39" s="172" t="s">
        <v>465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3"/>
        <v>0</v>
      </c>
    </row>
    <row r="40" spans="1:9" x14ac:dyDescent="0.15">
      <c r="A40" s="152" t="s">
        <v>466</v>
      </c>
      <c r="B40" s="160" t="s">
        <v>467</v>
      </c>
      <c r="C40" s="172" t="s">
        <v>468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3"/>
        <v>0</v>
      </c>
    </row>
    <row r="41" spans="1:9" x14ac:dyDescent="0.15">
      <c r="A41" s="152" t="s">
        <v>634</v>
      </c>
      <c r="B41" s="160" t="s">
        <v>469</v>
      </c>
      <c r="C41" s="115" t="s">
        <v>409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3"/>
        <v>0</v>
      </c>
    </row>
    <row r="42" spans="1:9" x14ac:dyDescent="0.15">
      <c r="A42" s="115" t="s">
        <v>202</v>
      </c>
      <c r="B42" s="160" t="s">
        <v>470</v>
      </c>
      <c r="C42" s="115" t="s">
        <v>410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3"/>
        <v>0</v>
      </c>
    </row>
    <row r="43" spans="1:9" x14ac:dyDescent="0.15">
      <c r="A43" s="652" t="s">
        <v>631</v>
      </c>
      <c r="B43" s="654" t="s">
        <v>471</v>
      </c>
      <c r="C43" s="653" t="s">
        <v>173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3"/>
        <v>0</v>
      </c>
    </row>
    <row r="44" spans="1:9" x14ac:dyDescent="0.15">
      <c r="B44" s="160" t="s">
        <v>472</v>
      </c>
      <c r="C44" s="115" t="s">
        <v>1572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 t="shared" si="3"/>
        <v>0</v>
      </c>
    </row>
    <row r="45" spans="1:9" ht="11.25" thickBot="1" x14ac:dyDescent="0.2">
      <c r="C45" s="115"/>
      <c r="D45" s="14"/>
      <c r="E45" s="14"/>
      <c r="F45" s="14"/>
      <c r="G45" s="14"/>
      <c r="I45" s="167"/>
    </row>
    <row r="46" spans="1:9" ht="12" thickTop="1" thickBot="1" x14ac:dyDescent="0.2">
      <c r="B46" s="160" t="s">
        <v>478</v>
      </c>
      <c r="C46" s="115" t="s">
        <v>502</v>
      </c>
      <c r="D46" s="156">
        <f t="shared" ref="D46:I46" si="4">SUM(D35:D45)</f>
        <v>0</v>
      </c>
      <c r="E46" s="156">
        <f t="shared" si="4"/>
        <v>0</v>
      </c>
      <c r="F46" s="156">
        <f t="shared" si="4"/>
        <v>0</v>
      </c>
      <c r="G46" s="156">
        <f t="shared" si="4"/>
        <v>0</v>
      </c>
      <c r="H46" s="156">
        <f t="shared" si="4"/>
        <v>0</v>
      </c>
      <c r="I46" s="173">
        <f t="shared" si="4"/>
        <v>0</v>
      </c>
    </row>
    <row r="47" spans="1:9" ht="11.25" thickTop="1" x14ac:dyDescent="0.15">
      <c r="C47" s="115"/>
      <c r="D47" s="14"/>
      <c r="E47" s="14"/>
      <c r="F47" s="14"/>
      <c r="G47" s="14"/>
      <c r="I47" s="167"/>
    </row>
    <row r="48" spans="1:9" x14ac:dyDescent="0.15">
      <c r="C48" s="172" t="s">
        <v>411</v>
      </c>
      <c r="D48" s="14"/>
      <c r="E48" s="14"/>
      <c r="F48" s="14"/>
      <c r="G48" s="14"/>
      <c r="I48" s="167"/>
    </row>
    <row r="49" spans="1:9" x14ac:dyDescent="0.15">
      <c r="A49" s="160" t="s">
        <v>1580</v>
      </c>
      <c r="B49" s="160" t="s">
        <v>479</v>
      </c>
      <c r="C49" s="172" t="s">
        <v>412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564">
        <f>G49+H49</f>
        <v>0</v>
      </c>
    </row>
    <row r="50" spans="1:9" x14ac:dyDescent="0.15">
      <c r="A50" s="152" t="s">
        <v>1583</v>
      </c>
      <c r="B50" s="152" t="s">
        <v>480</v>
      </c>
      <c r="C50" s="158" t="s">
        <v>160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564">
        <f t="shared" ref="I50:I59" si="5">G50+H50</f>
        <v>0</v>
      </c>
    </row>
    <row r="51" spans="1:9" x14ac:dyDescent="0.15">
      <c r="A51" s="115" t="s">
        <v>200</v>
      </c>
      <c r="B51" s="160" t="s">
        <v>481</v>
      </c>
      <c r="C51" s="115" t="s">
        <v>161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564">
        <f t="shared" si="5"/>
        <v>0</v>
      </c>
    </row>
    <row r="52" spans="1:9" x14ac:dyDescent="0.15">
      <c r="A52" s="152" t="s">
        <v>201</v>
      </c>
      <c r="B52" s="160" t="s">
        <v>482</v>
      </c>
      <c r="C52" s="115" t="s">
        <v>162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 t="shared" si="5"/>
        <v>0</v>
      </c>
    </row>
    <row r="53" spans="1:9" x14ac:dyDescent="0.15">
      <c r="A53" s="152" t="s">
        <v>158</v>
      </c>
      <c r="B53" s="160" t="s">
        <v>483</v>
      </c>
      <c r="C53" s="115" t="s">
        <v>464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 t="shared" si="5"/>
        <v>0</v>
      </c>
    </row>
    <row r="54" spans="1:9" x14ac:dyDescent="0.15">
      <c r="A54" s="152" t="s">
        <v>159</v>
      </c>
      <c r="B54" s="160" t="s">
        <v>484</v>
      </c>
      <c r="C54" s="172" t="s">
        <v>465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 t="shared" si="5"/>
        <v>0</v>
      </c>
    </row>
    <row r="55" spans="1:9" x14ac:dyDescent="0.15">
      <c r="A55" s="152" t="s">
        <v>466</v>
      </c>
      <c r="B55" s="160" t="s">
        <v>485</v>
      </c>
      <c r="C55" s="172" t="s">
        <v>468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564">
        <f t="shared" si="5"/>
        <v>0</v>
      </c>
    </row>
    <row r="56" spans="1:9" x14ac:dyDescent="0.15">
      <c r="A56" s="152" t="s">
        <v>634</v>
      </c>
      <c r="B56" s="160" t="s">
        <v>486</v>
      </c>
      <c r="C56" s="115" t="s">
        <v>409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564">
        <f t="shared" si="5"/>
        <v>0</v>
      </c>
    </row>
    <row r="57" spans="1:9" x14ac:dyDescent="0.15">
      <c r="A57" s="115" t="s">
        <v>202</v>
      </c>
      <c r="B57" s="160" t="s">
        <v>487</v>
      </c>
      <c r="C57" s="115" t="s">
        <v>410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564">
        <f t="shared" si="5"/>
        <v>0</v>
      </c>
    </row>
    <row r="58" spans="1:9" x14ac:dyDescent="0.15">
      <c r="A58" s="652" t="s">
        <v>631</v>
      </c>
      <c r="B58" s="654" t="s">
        <v>488</v>
      </c>
      <c r="C58" s="653" t="s">
        <v>173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564">
        <f t="shared" si="5"/>
        <v>0</v>
      </c>
    </row>
    <row r="59" spans="1:9" x14ac:dyDescent="0.15">
      <c r="B59" s="160" t="s">
        <v>489</v>
      </c>
      <c r="C59" s="115" t="s">
        <v>1572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564">
        <f t="shared" si="5"/>
        <v>0</v>
      </c>
    </row>
    <row r="60" spans="1:9" ht="11.25" thickBot="1" x14ac:dyDescent="0.2">
      <c r="C60" s="115"/>
      <c r="D60" s="14"/>
      <c r="E60" s="14"/>
      <c r="F60" s="14"/>
      <c r="G60" s="14"/>
      <c r="I60" s="167"/>
    </row>
    <row r="61" spans="1:9" ht="12" thickTop="1" thickBot="1" x14ac:dyDescent="0.2">
      <c r="B61" s="160" t="s">
        <v>490</v>
      </c>
      <c r="C61" s="172" t="s">
        <v>503</v>
      </c>
      <c r="D61" s="156">
        <f t="shared" ref="D61:I61" si="6">SUM(D49:D59)</f>
        <v>0</v>
      </c>
      <c r="E61" s="156">
        <f t="shared" si="6"/>
        <v>0</v>
      </c>
      <c r="F61" s="156">
        <f t="shared" si="6"/>
        <v>0</v>
      </c>
      <c r="G61" s="156">
        <f t="shared" si="6"/>
        <v>0</v>
      </c>
      <c r="H61" s="156">
        <f t="shared" si="6"/>
        <v>0</v>
      </c>
      <c r="I61" s="173">
        <f t="shared" si="6"/>
        <v>0</v>
      </c>
    </row>
    <row r="62" spans="1:9" ht="11.25" thickTop="1" x14ac:dyDescent="0.15">
      <c r="C62" s="115"/>
      <c r="D62" s="14"/>
      <c r="E62" s="14"/>
      <c r="F62" s="14"/>
      <c r="G62" s="14"/>
      <c r="I62" s="167"/>
    </row>
    <row r="63" spans="1:9" x14ac:dyDescent="0.15">
      <c r="C63" s="115" t="s">
        <v>391</v>
      </c>
      <c r="D63" s="14"/>
      <c r="E63" s="14"/>
      <c r="F63" s="14"/>
      <c r="G63" s="14"/>
      <c r="I63" s="167"/>
    </row>
    <row r="64" spans="1:9" x14ac:dyDescent="0.15">
      <c r="A64" s="160" t="s">
        <v>434</v>
      </c>
      <c r="B64" s="160" t="s">
        <v>491</v>
      </c>
      <c r="C64" s="115" t="s">
        <v>413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564">
        <f>G64+H64</f>
        <v>0</v>
      </c>
    </row>
    <row r="65" spans="1:9" x14ac:dyDescent="0.15">
      <c r="A65" s="160"/>
      <c r="B65" s="160" t="s">
        <v>492</v>
      </c>
      <c r="C65" s="115" t="s">
        <v>414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564">
        <f>G65+H65</f>
        <v>0</v>
      </c>
    </row>
    <row r="66" spans="1:9" x14ac:dyDescent="0.15">
      <c r="A66" s="495" t="s">
        <v>853</v>
      </c>
      <c r="B66" s="511"/>
      <c r="C66" s="138"/>
      <c r="D66" s="161"/>
      <c r="E66" s="161"/>
      <c r="F66" s="161"/>
      <c r="G66" s="161"/>
      <c r="H66" s="291"/>
      <c r="I66" s="671"/>
    </row>
    <row r="67" spans="1:9" x14ac:dyDescent="0.15">
      <c r="A67" s="423"/>
      <c r="B67" s="511"/>
      <c r="C67" s="658" t="s">
        <v>852</v>
      </c>
      <c r="D67" s="529">
        <f t="shared" ref="D67:I67" si="7">+D30</f>
        <v>0</v>
      </c>
      <c r="E67" s="529">
        <f t="shared" si="7"/>
        <v>0</v>
      </c>
      <c r="F67" s="529">
        <f t="shared" si="7"/>
        <v>0</v>
      </c>
      <c r="G67" s="529">
        <f t="shared" si="7"/>
        <v>0</v>
      </c>
      <c r="H67" s="529">
        <f t="shared" si="7"/>
        <v>0</v>
      </c>
      <c r="I67" s="529">
        <f t="shared" si="7"/>
        <v>0</v>
      </c>
    </row>
    <row r="68" spans="1:9" ht="11.25" thickBot="1" x14ac:dyDescent="0.2">
      <c r="C68" s="115"/>
      <c r="D68" s="14"/>
      <c r="E68" s="14"/>
      <c r="F68" s="14"/>
      <c r="G68" s="14"/>
      <c r="I68" s="167"/>
    </row>
    <row r="69" spans="1:9" ht="12" thickTop="1" thickBot="1" x14ac:dyDescent="0.2">
      <c r="B69" s="160" t="s">
        <v>493</v>
      </c>
      <c r="C69" s="115" t="s">
        <v>1264</v>
      </c>
      <c r="D69" s="173">
        <f t="shared" ref="D69:I69" si="8">SUM(D64:D68)</f>
        <v>0</v>
      </c>
      <c r="E69" s="173">
        <f t="shared" si="8"/>
        <v>0</v>
      </c>
      <c r="F69" s="173">
        <f t="shared" si="8"/>
        <v>0</v>
      </c>
      <c r="G69" s="173">
        <f t="shared" si="8"/>
        <v>0</v>
      </c>
      <c r="H69" s="173">
        <f t="shared" si="8"/>
        <v>0</v>
      </c>
      <c r="I69" s="173">
        <f t="shared" si="8"/>
        <v>0</v>
      </c>
    </row>
    <row r="70" spans="1:9" ht="12" thickTop="1" thickBot="1" x14ac:dyDescent="0.2">
      <c r="C70" s="115"/>
      <c r="D70" s="14"/>
      <c r="E70" s="14"/>
      <c r="F70" s="14"/>
      <c r="G70" s="14"/>
      <c r="I70" s="167"/>
    </row>
    <row r="71" spans="1:9" ht="12" thickTop="1" thickBot="1" x14ac:dyDescent="0.2">
      <c r="B71" s="204" t="s">
        <v>494</v>
      </c>
      <c r="C71" s="35" t="s">
        <v>501</v>
      </c>
      <c r="D71" s="169">
        <f t="shared" ref="D71:I71" si="9">D46+D61+D69</f>
        <v>0</v>
      </c>
      <c r="E71" s="169">
        <f t="shared" si="9"/>
        <v>0</v>
      </c>
      <c r="F71" s="169">
        <f t="shared" si="9"/>
        <v>0</v>
      </c>
      <c r="G71" s="169">
        <f t="shared" si="9"/>
        <v>0</v>
      </c>
      <c r="H71" s="169">
        <f t="shared" si="9"/>
        <v>0</v>
      </c>
      <c r="I71" s="169">
        <f t="shared" si="9"/>
        <v>0</v>
      </c>
    </row>
    <row r="72" spans="1:9" ht="11.25" thickTop="1" x14ac:dyDescent="0.15">
      <c r="E72" s="159"/>
      <c r="F72" s="159"/>
      <c r="G72" s="159"/>
      <c r="I72" s="167"/>
    </row>
    <row r="73" spans="1:9" x14ac:dyDescent="0.15">
      <c r="A73" s="155" t="s">
        <v>110</v>
      </c>
      <c r="C73" s="210" t="s">
        <v>737</v>
      </c>
      <c r="D73" s="159"/>
      <c r="E73" s="159"/>
      <c r="F73" s="159"/>
      <c r="G73" s="159"/>
      <c r="I73" s="167"/>
    </row>
    <row r="74" spans="1:9" x14ac:dyDescent="0.15">
      <c r="A74" s="154" t="s">
        <v>1522</v>
      </c>
      <c r="B74" s="160" t="s">
        <v>495</v>
      </c>
      <c r="C74" s="115" t="s">
        <v>1516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564">
        <f>G74+H74</f>
        <v>0</v>
      </c>
    </row>
    <row r="75" spans="1:9" x14ac:dyDescent="0.15">
      <c r="A75" s="154" t="s">
        <v>1523</v>
      </c>
      <c r="B75" s="160" t="s">
        <v>496</v>
      </c>
      <c r="C75" s="115" t="s">
        <v>1517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564">
        <f>G75+H75</f>
        <v>0</v>
      </c>
    </row>
    <row r="76" spans="1:9" x14ac:dyDescent="0.15">
      <c r="A76" s="154" t="s">
        <v>1524</v>
      </c>
      <c r="B76" s="160" t="s">
        <v>497</v>
      </c>
      <c r="C76" s="115" t="s">
        <v>1518</v>
      </c>
      <c r="D76" s="41">
        <v>0</v>
      </c>
      <c r="E76" s="41">
        <v>0</v>
      </c>
      <c r="F76" s="41">
        <v>0</v>
      </c>
      <c r="G76" s="41">
        <v>0</v>
      </c>
      <c r="H76" s="41">
        <v>0</v>
      </c>
      <c r="I76" s="564">
        <f>G76+H76</f>
        <v>0</v>
      </c>
    </row>
    <row r="77" spans="1:9" ht="9.75" customHeight="1" x14ac:dyDescent="0.15">
      <c r="A77" s="725" t="s">
        <v>1675</v>
      </c>
      <c r="B77" s="160" t="s">
        <v>498</v>
      </c>
      <c r="C77" s="692" t="s">
        <v>1676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564">
        <f>G77+H77</f>
        <v>0</v>
      </c>
    </row>
    <row r="78" spans="1:9" ht="11.25" thickBot="1" x14ac:dyDescent="0.2">
      <c r="A78" s="154" t="s">
        <v>1526</v>
      </c>
      <c r="B78" s="160" t="s">
        <v>499</v>
      </c>
      <c r="C78" s="115" t="s">
        <v>1520</v>
      </c>
      <c r="D78" s="150">
        <v>0</v>
      </c>
      <c r="E78" s="150">
        <v>0</v>
      </c>
      <c r="F78" s="150">
        <v>0</v>
      </c>
      <c r="G78" s="150">
        <v>0</v>
      </c>
      <c r="H78" s="41">
        <v>0</v>
      </c>
      <c r="I78" s="564">
        <f>G78+H78</f>
        <v>0</v>
      </c>
    </row>
    <row r="79" spans="1:9" ht="12" thickTop="1" thickBot="1" x14ac:dyDescent="0.2">
      <c r="A79" s="149"/>
      <c r="B79" s="160" t="s">
        <v>500</v>
      </c>
      <c r="C79" s="1" t="s">
        <v>1687</v>
      </c>
      <c r="D79" s="151">
        <f t="shared" ref="D79:I79" si="10">SUM(D74:D78)</f>
        <v>0</v>
      </c>
      <c r="E79" s="151">
        <f t="shared" si="10"/>
        <v>0</v>
      </c>
      <c r="F79" s="151">
        <f t="shared" si="10"/>
        <v>0</v>
      </c>
      <c r="G79" s="151">
        <f t="shared" si="10"/>
        <v>0</v>
      </c>
      <c r="H79" s="151">
        <f t="shared" si="10"/>
        <v>0</v>
      </c>
      <c r="I79" s="169">
        <f t="shared" si="10"/>
        <v>0</v>
      </c>
    </row>
    <row r="80" spans="1:9" ht="12" thickTop="1" thickBot="1" x14ac:dyDescent="0.2">
      <c r="A80" s="149"/>
      <c r="C80" s="115"/>
      <c r="D80" s="159"/>
      <c r="E80" s="159"/>
      <c r="F80" s="159"/>
      <c r="G80" s="159"/>
      <c r="I80" s="167"/>
    </row>
    <row r="81" spans="1:9" ht="11.25" thickBot="1" x14ac:dyDescent="0.2">
      <c r="A81" s="736" t="s">
        <v>504</v>
      </c>
      <c r="B81" s="736"/>
      <c r="C81" s="737"/>
      <c r="D81" s="212">
        <f t="shared" ref="D81:I81" si="11">D71+D79</f>
        <v>0</v>
      </c>
      <c r="E81" s="212">
        <f t="shared" si="11"/>
        <v>0</v>
      </c>
      <c r="F81" s="212">
        <f t="shared" si="11"/>
        <v>0</v>
      </c>
      <c r="G81" s="212">
        <f t="shared" si="11"/>
        <v>0</v>
      </c>
      <c r="H81" s="212">
        <f t="shared" si="11"/>
        <v>0</v>
      </c>
      <c r="I81" s="212">
        <f t="shared" si="11"/>
        <v>0</v>
      </c>
    </row>
    <row r="82" spans="1:9" x14ac:dyDescent="0.15">
      <c r="A82" s="149"/>
      <c r="C82" s="115" t="s">
        <v>725</v>
      </c>
      <c r="D82" s="159"/>
      <c r="E82" s="159"/>
      <c r="F82" s="159"/>
      <c r="G82" s="159"/>
      <c r="I82" s="167"/>
    </row>
    <row r="83" spans="1:9" ht="11.25" thickBot="1" x14ac:dyDescent="0.2">
      <c r="A83" s="149"/>
      <c r="C83" s="115"/>
      <c r="D83" s="159"/>
      <c r="E83" s="159"/>
      <c r="F83" s="159"/>
      <c r="G83" s="159"/>
      <c r="I83" s="167"/>
    </row>
    <row r="84" spans="1:9" ht="12" thickTop="1" thickBot="1" x14ac:dyDescent="0.2">
      <c r="C84" s="172" t="s">
        <v>726</v>
      </c>
      <c r="D84" s="173">
        <f t="shared" ref="D84:I84" si="12">D27</f>
        <v>0</v>
      </c>
      <c r="E84" s="173">
        <f t="shared" si="12"/>
        <v>0</v>
      </c>
      <c r="F84" s="173">
        <f t="shared" si="12"/>
        <v>0</v>
      </c>
      <c r="G84" s="173">
        <f t="shared" si="12"/>
        <v>0</v>
      </c>
      <c r="H84" s="173">
        <f t="shared" si="12"/>
        <v>0</v>
      </c>
      <c r="I84" s="173">
        <f t="shared" si="12"/>
        <v>0</v>
      </c>
    </row>
    <row r="85" spans="1:9" ht="11.25" thickTop="1" x14ac:dyDescent="0.15">
      <c r="I85" s="167"/>
    </row>
    <row r="86" spans="1:9" x14ac:dyDescent="0.15">
      <c r="C86" s="172" t="s">
        <v>727</v>
      </c>
      <c r="D86" s="158">
        <f t="shared" ref="D86:I86" si="13">D81-D84</f>
        <v>0</v>
      </c>
      <c r="E86" s="158">
        <f t="shared" si="13"/>
        <v>0</v>
      </c>
      <c r="F86" s="158">
        <f t="shared" si="13"/>
        <v>0</v>
      </c>
      <c r="G86" s="158">
        <f t="shared" si="13"/>
        <v>0</v>
      </c>
      <c r="H86" s="158">
        <f t="shared" si="13"/>
        <v>0</v>
      </c>
      <c r="I86" s="167">
        <f t="shared" si="13"/>
        <v>0</v>
      </c>
    </row>
    <row r="87" spans="1:9" x14ac:dyDescent="0.15">
      <c r="B87" s="3"/>
      <c r="D87" s="3"/>
      <c r="E87" s="8"/>
      <c r="F87" s="8"/>
      <c r="G87" s="159"/>
      <c r="I87" s="167"/>
    </row>
    <row r="88" spans="1:9" x14ac:dyDescent="0.15">
      <c r="A88" s="3" t="s">
        <v>1227</v>
      </c>
      <c r="D88" s="3"/>
      <c r="E88" s="8"/>
      <c r="F88" s="8"/>
      <c r="G88" s="159"/>
      <c r="I88" s="167"/>
    </row>
    <row r="89" spans="1:9" x14ac:dyDescent="0.15">
      <c r="B89" s="3"/>
      <c r="D89" s="3"/>
      <c r="E89" s="8"/>
      <c r="F89" s="8"/>
      <c r="G89" s="159"/>
    </row>
    <row r="90" spans="1:9" x14ac:dyDescent="0.15">
      <c r="A90" s="653" t="s">
        <v>851</v>
      </c>
      <c r="B90" s="719"/>
      <c r="C90" s="719"/>
      <c r="D90" s="720"/>
      <c r="E90" s="721"/>
      <c r="F90" s="721"/>
      <c r="G90" s="159"/>
    </row>
  </sheetData>
  <sheetProtection formatCells="0" formatColumns="0" formatRows="0"/>
  <mergeCells count="1">
    <mergeCell ref="A81:C81"/>
  </mergeCells>
  <phoneticPr fontId="15" type="noConversion"/>
  <pageMargins left="0.5" right="0.5" top="0.75" bottom="0.75" header="0.5" footer="0.5"/>
  <pageSetup scale="65" firstPageNumber="29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zoomScale="80" zoomScaleNormal="80" workbookViewId="0">
      <selection activeCell="D106" sqref="D106"/>
    </sheetView>
  </sheetViews>
  <sheetFormatPr defaultRowHeight="10.5" x14ac:dyDescent="0.15"/>
  <cols>
    <col min="1" max="1" width="9.33203125" style="289"/>
    <col min="3" max="3" width="61.33203125" customWidth="1"/>
    <col min="4" max="4" width="11.5" customWidth="1"/>
    <col min="5" max="5" width="10.83203125" customWidth="1"/>
    <col min="6" max="6" width="11.83203125" customWidth="1"/>
    <col min="7" max="7" width="11.6640625" customWidth="1"/>
    <col min="8" max="8" width="11" customWidth="1"/>
    <col min="9" max="9" width="11.5" customWidth="1"/>
    <col min="10" max="10" width="12.6640625" customWidth="1"/>
    <col min="11" max="12" width="11.5" customWidth="1"/>
    <col min="13" max="21" width="13.83203125" customWidth="1"/>
    <col min="22" max="22" width="13.83203125" style="289" customWidth="1"/>
    <col min="23" max="23" width="13.83203125" customWidth="1"/>
    <col min="24" max="24" width="12.6640625" customWidth="1"/>
    <col min="25" max="25" width="12" customWidth="1"/>
  </cols>
  <sheetData>
    <row r="1" spans="1:25" ht="15.75" customHeight="1" x14ac:dyDescent="0.25">
      <c r="A1" s="325"/>
      <c r="C1" s="325"/>
      <c r="D1" s="382">
        <f t="shared" ref="D1:W1" si="0">IF(D3&gt;4000,300,IF(D3&gt;3000,200,100))</f>
        <v>100</v>
      </c>
      <c r="E1" s="382">
        <f t="shared" si="0"/>
        <v>100</v>
      </c>
      <c r="F1" s="382">
        <f t="shared" si="0"/>
        <v>100</v>
      </c>
      <c r="G1" s="382">
        <f t="shared" si="0"/>
        <v>100</v>
      </c>
      <c r="H1" s="382">
        <f t="shared" si="0"/>
        <v>100</v>
      </c>
      <c r="I1" s="382">
        <f t="shared" si="0"/>
        <v>100</v>
      </c>
      <c r="J1" s="382">
        <f t="shared" si="0"/>
        <v>100</v>
      </c>
      <c r="K1" s="382">
        <f t="shared" si="0"/>
        <v>100</v>
      </c>
      <c r="L1" s="382">
        <f t="shared" si="0"/>
        <v>100</v>
      </c>
      <c r="M1" s="382">
        <f t="shared" si="0"/>
        <v>100</v>
      </c>
      <c r="N1" s="382">
        <f t="shared" si="0"/>
        <v>100</v>
      </c>
      <c r="O1" s="382">
        <f t="shared" si="0"/>
        <v>100</v>
      </c>
      <c r="P1" s="382">
        <f t="shared" si="0"/>
        <v>100</v>
      </c>
      <c r="Q1" s="382">
        <f t="shared" si="0"/>
        <v>100</v>
      </c>
      <c r="R1" s="382">
        <f t="shared" si="0"/>
        <v>100</v>
      </c>
      <c r="S1" s="382">
        <f t="shared" si="0"/>
        <v>100</v>
      </c>
      <c r="T1" s="382">
        <f t="shared" si="0"/>
        <v>100</v>
      </c>
      <c r="U1" s="382">
        <f t="shared" si="0"/>
        <v>100</v>
      </c>
      <c r="V1" s="382">
        <f t="shared" si="0"/>
        <v>100</v>
      </c>
      <c r="W1" s="382">
        <f t="shared" si="0"/>
        <v>100</v>
      </c>
      <c r="X1" s="328"/>
    </row>
    <row r="2" spans="1:25" ht="15" x14ac:dyDescent="0.25">
      <c r="A2" s="372" t="s">
        <v>1702</v>
      </c>
      <c r="C2" s="329"/>
      <c r="D2" s="382">
        <f>D1+COUNTIF($D$1:D$1,D1)</f>
        <v>101</v>
      </c>
      <c r="E2" s="382">
        <f>E1+COUNTIF($D$1:E$1,E1)</f>
        <v>102</v>
      </c>
      <c r="F2" s="382">
        <f>F1+COUNTIF($D$1:F$1,F1)</f>
        <v>103</v>
      </c>
      <c r="G2" s="382">
        <f>G1+COUNTIF($D$1:G$1,G1)</f>
        <v>104</v>
      </c>
      <c r="H2" s="382">
        <f>H1+COUNTIF($D$1:H$1,H1)</f>
        <v>105</v>
      </c>
      <c r="I2" s="382">
        <f>I1+COUNTIF($D$1:I$1,I1)</f>
        <v>106</v>
      </c>
      <c r="J2" s="382">
        <f>J1+COUNTIF($D$1:J$1,J1)</f>
        <v>107</v>
      </c>
      <c r="K2" s="382">
        <f>K1+COUNTIF($D$1:K$1,K1)</f>
        <v>108</v>
      </c>
      <c r="L2" s="382">
        <f>L1+COUNTIF($D$1:L$1,L1)</f>
        <v>109</v>
      </c>
      <c r="M2" s="382">
        <f>M1+COUNTIF($D$1:M$1,M1)</f>
        <v>110</v>
      </c>
      <c r="N2" s="382">
        <f>N1+COUNTIF($D$1:N$1,N1)</f>
        <v>111</v>
      </c>
      <c r="O2" s="382">
        <f>O1+COUNTIF($D$1:O$1,O1)</f>
        <v>112</v>
      </c>
      <c r="P2" s="382">
        <f>P1+COUNTIF($D$1:P$1,P1)</f>
        <v>113</v>
      </c>
      <c r="Q2" s="382">
        <f>Q1+COUNTIF($D$1:Q$1,Q1)</f>
        <v>114</v>
      </c>
      <c r="R2" s="382">
        <f>R1+COUNTIF($D$1:R$1,R1)</f>
        <v>115</v>
      </c>
      <c r="S2" s="382">
        <f>S1+COUNTIF($D$1:S$1,S1)</f>
        <v>116</v>
      </c>
      <c r="T2" s="382">
        <f>T1+COUNTIF($D$1:T$1,T1)</f>
        <v>117</v>
      </c>
      <c r="U2" s="382">
        <f>U1+COUNTIF($D$1:U$1,U1)</f>
        <v>118</v>
      </c>
      <c r="V2" s="382">
        <f>V1+COUNTIF($D$1:V$1,V1)</f>
        <v>119</v>
      </c>
      <c r="W2" s="382">
        <f>W1+COUNTIF($D$1:W$1,W1)</f>
        <v>120</v>
      </c>
      <c r="X2" s="328"/>
    </row>
    <row r="3" spans="1:25" s="135" customFormat="1" ht="12.75" x14ac:dyDescent="0.2">
      <c r="A3" s="367"/>
      <c r="C3" s="622" t="s">
        <v>287</v>
      </c>
      <c r="D3" s="672"/>
      <c r="E3" s="673"/>
      <c r="F3" s="673"/>
      <c r="G3" s="672"/>
      <c r="H3" s="674"/>
      <c r="I3" s="673"/>
      <c r="J3" s="673"/>
      <c r="K3" s="672"/>
      <c r="L3" s="674"/>
      <c r="M3" s="674"/>
      <c r="N3" s="672"/>
      <c r="O3" s="672"/>
      <c r="P3" s="672"/>
      <c r="Q3" s="672"/>
      <c r="R3" s="672"/>
      <c r="S3" s="672"/>
      <c r="T3" s="672"/>
      <c r="U3" s="672"/>
      <c r="V3" s="672"/>
      <c r="W3" s="672"/>
      <c r="X3" s="368"/>
    </row>
    <row r="4" spans="1:25" ht="11.25" x14ac:dyDescent="0.15">
      <c r="A4" s="330" t="s">
        <v>267</v>
      </c>
      <c r="B4" s="330" t="s">
        <v>198</v>
      </c>
      <c r="C4" s="331" t="s">
        <v>1208</v>
      </c>
      <c r="D4" s="619"/>
      <c r="E4" s="619"/>
      <c r="F4" s="619"/>
      <c r="G4" s="619"/>
      <c r="H4" s="619"/>
      <c r="I4" s="619"/>
      <c r="J4" s="620"/>
      <c r="K4" s="619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332" t="s">
        <v>1211</v>
      </c>
      <c r="Y4" s="333"/>
    </row>
    <row r="5" spans="1:25" ht="11.25" x14ac:dyDescent="0.15">
      <c r="A5" s="334"/>
      <c r="C5" s="335"/>
      <c r="D5" s="336"/>
      <c r="E5" s="336"/>
      <c r="F5" s="336"/>
      <c r="G5" s="336"/>
      <c r="H5" s="336"/>
      <c r="I5" s="336"/>
      <c r="J5" s="336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8"/>
    </row>
    <row r="6" spans="1:25" ht="11.25" x14ac:dyDescent="0.15">
      <c r="A6" s="334"/>
      <c r="C6" s="335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9"/>
    </row>
    <row r="7" spans="1:25" ht="11.25" x14ac:dyDescent="0.2">
      <c r="A7" s="340">
        <v>1</v>
      </c>
      <c r="C7" s="329" t="s">
        <v>268</v>
      </c>
      <c r="D7" s="589">
        <v>0</v>
      </c>
      <c r="E7" s="589">
        <v>0</v>
      </c>
      <c r="F7" s="589">
        <v>0</v>
      </c>
      <c r="G7" s="589">
        <v>0</v>
      </c>
      <c r="H7" s="589">
        <v>0</v>
      </c>
      <c r="I7" s="589">
        <v>0</v>
      </c>
      <c r="J7" s="589">
        <v>0</v>
      </c>
      <c r="K7" s="589">
        <v>0</v>
      </c>
      <c r="L7" s="589">
        <v>0</v>
      </c>
      <c r="M7" s="589">
        <v>0</v>
      </c>
      <c r="N7" s="589">
        <v>0</v>
      </c>
      <c r="O7" s="589">
        <v>0</v>
      </c>
      <c r="P7" s="589">
        <v>0</v>
      </c>
      <c r="Q7" s="589">
        <v>0</v>
      </c>
      <c r="R7" s="589">
        <v>0</v>
      </c>
      <c r="S7" s="589">
        <v>0</v>
      </c>
      <c r="T7" s="589">
        <v>0</v>
      </c>
      <c r="U7" s="589">
        <v>0</v>
      </c>
      <c r="V7" s="589">
        <v>0</v>
      </c>
      <c r="W7" s="589">
        <v>0</v>
      </c>
      <c r="X7" s="341">
        <f>SUM(D7:W7)</f>
        <v>0</v>
      </c>
      <c r="Y7" s="342"/>
    </row>
    <row r="8" spans="1:25" ht="11.25" x14ac:dyDescent="0.2">
      <c r="A8" s="340" t="s">
        <v>269</v>
      </c>
      <c r="C8" s="343" t="s">
        <v>43</v>
      </c>
      <c r="D8" s="589">
        <v>0</v>
      </c>
      <c r="E8" s="589">
        <v>0</v>
      </c>
      <c r="F8" s="589">
        <v>0</v>
      </c>
      <c r="G8" s="589">
        <v>0</v>
      </c>
      <c r="H8" s="589">
        <v>0</v>
      </c>
      <c r="I8" s="589">
        <v>0</v>
      </c>
      <c r="J8" s="589">
        <v>0</v>
      </c>
      <c r="K8" s="589">
        <v>0</v>
      </c>
      <c r="L8" s="589">
        <v>0</v>
      </c>
      <c r="M8" s="589">
        <v>0</v>
      </c>
      <c r="N8" s="589">
        <v>0</v>
      </c>
      <c r="O8" s="589">
        <v>0</v>
      </c>
      <c r="P8" s="589">
        <v>0</v>
      </c>
      <c r="Q8" s="589">
        <v>0</v>
      </c>
      <c r="R8" s="589">
        <v>0</v>
      </c>
      <c r="S8" s="589">
        <v>0</v>
      </c>
      <c r="T8" s="589">
        <v>0</v>
      </c>
      <c r="U8" s="589">
        <v>0</v>
      </c>
      <c r="V8" s="589">
        <v>0</v>
      </c>
      <c r="W8" s="589">
        <v>0</v>
      </c>
      <c r="X8" s="341">
        <f>SUM(D8:W8)</f>
        <v>0</v>
      </c>
    </row>
    <row r="9" spans="1:25" ht="11.25" x14ac:dyDescent="0.2">
      <c r="A9" s="340" t="s">
        <v>270</v>
      </c>
      <c r="C9" s="343" t="s">
        <v>53</v>
      </c>
      <c r="D9" s="589">
        <v>0</v>
      </c>
      <c r="E9" s="589">
        <v>0</v>
      </c>
      <c r="F9" s="589">
        <v>0</v>
      </c>
      <c r="G9" s="589">
        <v>0</v>
      </c>
      <c r="H9" s="589">
        <v>0</v>
      </c>
      <c r="I9" s="589">
        <v>0</v>
      </c>
      <c r="J9" s="589">
        <v>0</v>
      </c>
      <c r="K9" s="589">
        <v>0</v>
      </c>
      <c r="L9" s="589">
        <v>0</v>
      </c>
      <c r="M9" s="589">
        <v>0</v>
      </c>
      <c r="N9" s="589">
        <v>0</v>
      </c>
      <c r="O9" s="589">
        <v>0</v>
      </c>
      <c r="P9" s="589">
        <v>0</v>
      </c>
      <c r="Q9" s="589">
        <v>0</v>
      </c>
      <c r="R9" s="589">
        <v>0</v>
      </c>
      <c r="S9" s="589">
        <v>0</v>
      </c>
      <c r="T9" s="589">
        <v>0</v>
      </c>
      <c r="U9" s="589">
        <v>0</v>
      </c>
      <c r="V9" s="589">
        <v>0</v>
      </c>
      <c r="W9" s="589">
        <v>0</v>
      </c>
      <c r="X9" s="341">
        <f>SUM(D9:W9)</f>
        <v>0</v>
      </c>
    </row>
    <row r="10" spans="1:25" ht="11.25" x14ac:dyDescent="0.2">
      <c r="A10" s="340">
        <v>3</v>
      </c>
      <c r="C10" s="329" t="s">
        <v>271</v>
      </c>
      <c r="D10" s="589">
        <v>0</v>
      </c>
      <c r="E10" s="589">
        <v>0</v>
      </c>
      <c r="F10" s="589">
        <v>0</v>
      </c>
      <c r="G10" s="589">
        <v>0</v>
      </c>
      <c r="H10" s="589">
        <v>0</v>
      </c>
      <c r="I10" s="589">
        <v>0</v>
      </c>
      <c r="J10" s="589">
        <v>0</v>
      </c>
      <c r="K10" s="589">
        <v>0</v>
      </c>
      <c r="L10" s="589">
        <v>0</v>
      </c>
      <c r="M10" s="589">
        <v>0</v>
      </c>
      <c r="N10" s="589">
        <v>0</v>
      </c>
      <c r="O10" s="589">
        <v>0</v>
      </c>
      <c r="P10" s="589">
        <v>0</v>
      </c>
      <c r="Q10" s="589">
        <v>0</v>
      </c>
      <c r="R10" s="589">
        <v>0</v>
      </c>
      <c r="S10" s="589">
        <v>0</v>
      </c>
      <c r="T10" s="589">
        <v>0</v>
      </c>
      <c r="U10" s="589">
        <v>0</v>
      </c>
      <c r="V10" s="589">
        <v>0</v>
      </c>
      <c r="W10" s="589">
        <v>0</v>
      </c>
      <c r="X10" s="341">
        <f>SUM(D10:W10)</f>
        <v>0</v>
      </c>
    </row>
    <row r="11" spans="1:25" ht="11.25" x14ac:dyDescent="0.2">
      <c r="A11" s="340" t="s">
        <v>272</v>
      </c>
      <c r="C11" s="329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1"/>
    </row>
    <row r="12" spans="1:25" ht="11.25" x14ac:dyDescent="0.2">
      <c r="A12" s="340">
        <v>4</v>
      </c>
      <c r="C12" s="346" t="s">
        <v>294</v>
      </c>
      <c r="D12" s="347">
        <f>SUM(D7:D10)</f>
        <v>0</v>
      </c>
      <c r="E12" s="347">
        <f>SUM(E7:E10)</f>
        <v>0</v>
      </c>
      <c r="F12" s="347">
        <f>SUM(F7:F10)</f>
        <v>0</v>
      </c>
      <c r="G12" s="347">
        <f>SUM(G7:G10)</f>
        <v>0</v>
      </c>
      <c r="H12" s="347">
        <f t="shared" ref="H12:W12" si="1">SUM(H7:H10)</f>
        <v>0</v>
      </c>
      <c r="I12" s="347">
        <f t="shared" si="1"/>
        <v>0</v>
      </c>
      <c r="J12" s="347">
        <f t="shared" si="1"/>
        <v>0</v>
      </c>
      <c r="K12" s="347">
        <f t="shared" si="1"/>
        <v>0</v>
      </c>
      <c r="L12" s="347">
        <f t="shared" si="1"/>
        <v>0</v>
      </c>
      <c r="M12" s="347">
        <f t="shared" si="1"/>
        <v>0</v>
      </c>
      <c r="N12" s="347">
        <f t="shared" si="1"/>
        <v>0</v>
      </c>
      <c r="O12" s="347">
        <f t="shared" si="1"/>
        <v>0</v>
      </c>
      <c r="P12" s="347">
        <f t="shared" si="1"/>
        <v>0</v>
      </c>
      <c r="Q12" s="347">
        <f t="shared" si="1"/>
        <v>0</v>
      </c>
      <c r="R12" s="347">
        <f t="shared" si="1"/>
        <v>0</v>
      </c>
      <c r="S12" s="347">
        <f t="shared" si="1"/>
        <v>0</v>
      </c>
      <c r="T12" s="347">
        <f t="shared" si="1"/>
        <v>0</v>
      </c>
      <c r="U12" s="347">
        <f t="shared" si="1"/>
        <v>0</v>
      </c>
      <c r="V12" s="347">
        <f t="shared" si="1"/>
        <v>0</v>
      </c>
      <c r="W12" s="347">
        <f t="shared" si="1"/>
        <v>0</v>
      </c>
      <c r="X12" s="341">
        <f>SUM(D12:W12)</f>
        <v>0</v>
      </c>
    </row>
    <row r="13" spans="1:25" ht="11.25" x14ac:dyDescent="0.2">
      <c r="A13" s="371" t="s">
        <v>1432</v>
      </c>
      <c r="B13" s="369"/>
      <c r="C13" s="348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</row>
    <row r="14" spans="1:25" ht="11.25" x14ac:dyDescent="0.2">
      <c r="A14" s="340">
        <v>5</v>
      </c>
      <c r="B14" s="588" t="s">
        <v>1577</v>
      </c>
      <c r="C14" s="312" t="s">
        <v>228</v>
      </c>
      <c r="D14" s="528">
        <f t="array" ref="D14">SUM(IF(CertFund&amp;CertProg&amp;CertObj&amp;CertGrant=RIGHT(LEFT($A$2,7),2)&amp;LEFT($A$13,4)&amp;$B$14&amp;D$3,CertSalary))</f>
        <v>0</v>
      </c>
      <c r="E14" s="528">
        <f t="array" ref="E14">SUM(IF(CertFund&amp;CertProg&amp;CertObj&amp;CertGrant=RIGHT(LEFT($A$2,7),2)&amp;LEFT($A$13,4)&amp;$B$14&amp;E$3,CertSalary))</f>
        <v>0</v>
      </c>
      <c r="F14" s="528">
        <f t="array" ref="F14">SUM(IF(CertFund&amp;CertProg&amp;CertObj&amp;CertGrant=RIGHT(LEFT($A$2,7),2)&amp;LEFT($A$13,4)&amp;$B$14&amp;F$3,CertSalary))</f>
        <v>0</v>
      </c>
      <c r="G14" s="528">
        <f t="array" ref="G14">SUM(IF(CertFund&amp;CertProg&amp;CertObj&amp;CertGrant=RIGHT(LEFT($A$2,7),2)&amp;LEFT($A$13,4)&amp;$B$14&amp;G$3,CertSalary))</f>
        <v>0</v>
      </c>
      <c r="H14" s="528">
        <f t="array" ref="H14">SUM(IF(CertFund&amp;CertProg&amp;CertObj&amp;CertGrant=RIGHT(LEFT($A$2,7),2)&amp;LEFT($A$13,4)&amp;$B$14&amp;H$3,CertSalary))</f>
        <v>0</v>
      </c>
      <c r="I14" s="528">
        <f t="array" ref="I14">SUM(IF(CertFund&amp;CertProg&amp;CertObj&amp;CertGrant=RIGHT(LEFT($A$2,7),2)&amp;LEFT($A$13,4)&amp;$B$14&amp;I$3,CertSalary))</f>
        <v>0</v>
      </c>
      <c r="J14" s="528">
        <f t="array" ref="J14">SUM(IF(CertFund&amp;CertProg&amp;CertObj&amp;CertGrant=RIGHT(LEFT($A$2,7),2)&amp;LEFT($A$13,4)&amp;$B$14&amp;J$3,CertSalary))</f>
        <v>0</v>
      </c>
      <c r="K14" s="528">
        <f t="array" ref="K14">SUM(IF(CertFund&amp;CertProg&amp;CertObj&amp;CertGrant=RIGHT(LEFT($A$2,7),2)&amp;LEFT($A$13,4)&amp;$B$14&amp;K$3,CertSalary))</f>
        <v>0</v>
      </c>
      <c r="L14" s="528">
        <f t="array" ref="L14">SUM(IF(CertFund&amp;CertProg&amp;CertObj&amp;CertGrant=RIGHT(LEFT($A$2,7),2)&amp;LEFT($A$13,4)&amp;$B$14&amp;L$3,CertSalary))</f>
        <v>0</v>
      </c>
      <c r="M14" s="528">
        <f t="array" ref="M14">SUM(IF(CertFund&amp;CertProg&amp;CertObj&amp;CertGrant=RIGHT(LEFT($A$2,7),2)&amp;LEFT($A$13,4)&amp;$B$14&amp;M$3,CertSalary))</f>
        <v>0</v>
      </c>
      <c r="N14" s="528">
        <f t="array" ref="N14">SUM(IF(CertFund&amp;CertProg&amp;CertObj&amp;CertGrant=RIGHT(LEFT($A$2,7),2)&amp;LEFT($A$13,4)&amp;$B$14&amp;N$3,CertSalary))</f>
        <v>0</v>
      </c>
      <c r="O14" s="528">
        <f t="array" ref="O14">SUM(IF(CertFund&amp;CertProg&amp;CertObj&amp;CertGrant=RIGHT(LEFT($A$2,7),2)&amp;LEFT($A$13,4)&amp;$B$14&amp;O$3,CertSalary))</f>
        <v>0</v>
      </c>
      <c r="P14" s="528">
        <f t="array" ref="P14">SUM(IF(CertFund&amp;CertProg&amp;CertObj&amp;CertGrant=RIGHT(LEFT($A$2,7),2)&amp;LEFT($A$13,4)&amp;$B$14&amp;P$3,CertSalary))</f>
        <v>0</v>
      </c>
      <c r="Q14" s="528">
        <f t="array" ref="Q14">SUM(IF(CertFund&amp;CertProg&amp;CertObj&amp;CertGrant=RIGHT(LEFT($A$2,7),2)&amp;LEFT($A$13,4)&amp;$B$14&amp;Q$3,CertSalary))</f>
        <v>0</v>
      </c>
      <c r="R14" s="528">
        <f t="array" ref="R14">SUM(IF(CertFund&amp;CertProg&amp;CertObj&amp;CertGrant=RIGHT(LEFT($A$2,7),2)&amp;LEFT($A$13,4)&amp;$B$14&amp;R$3,CertSalary))</f>
        <v>0</v>
      </c>
      <c r="S14" s="528">
        <f t="array" ref="S14">SUM(IF(CertFund&amp;CertProg&amp;CertObj&amp;CertGrant=RIGHT(LEFT($A$2,7),2)&amp;LEFT($A$13,4)&amp;$B$14&amp;S$3,CertSalary))</f>
        <v>0</v>
      </c>
      <c r="T14" s="528">
        <f t="array" ref="T14">SUM(IF(CertFund&amp;CertProg&amp;CertObj&amp;CertGrant=RIGHT(LEFT($A$2,7),2)&amp;LEFT($A$13,4)&amp;$B$14&amp;T$3,CertSalary))</f>
        <v>0</v>
      </c>
      <c r="U14" s="528">
        <f t="array" ref="U14">SUM(IF(CertFund&amp;CertProg&amp;CertObj&amp;CertGrant=RIGHT(LEFT($A$2,7),2)&amp;LEFT($A$13,4)&amp;$B$14&amp;U$3,CertSalary))</f>
        <v>0</v>
      </c>
      <c r="V14" s="528">
        <f t="array" ref="V14">SUM(IF(CertFund&amp;CertProg&amp;CertObj&amp;CertGrant=RIGHT(LEFT($A$2,7),2)&amp;LEFT($A$13,4)&amp;$B$14&amp;V$3,CertSalary))</f>
        <v>0</v>
      </c>
      <c r="W14" s="528">
        <f t="array" ref="W14">SUM(IF(CertFund&amp;CertProg&amp;CertObj&amp;CertGrant=RIGHT(LEFT($A$2,7),2)&amp;LEFT($A$13,4)&amp;$B$14&amp;W$3,CertSalary))</f>
        <v>0</v>
      </c>
      <c r="X14" s="347">
        <f t="shared" ref="X14:X22" si="2">SUM(D14:W14)</f>
        <v>0</v>
      </c>
    </row>
    <row r="15" spans="1:25" ht="11.25" x14ac:dyDescent="0.2">
      <c r="A15" s="340" t="s">
        <v>1437</v>
      </c>
      <c r="B15" s="588" t="s">
        <v>1577</v>
      </c>
      <c r="C15" s="312" t="s">
        <v>510</v>
      </c>
      <c r="D15" s="147">
        <v>0</v>
      </c>
      <c r="E15" s="147">
        <v>0</v>
      </c>
      <c r="F15" s="147">
        <v>0</v>
      </c>
      <c r="G15" s="147">
        <v>0</v>
      </c>
      <c r="H15" s="147">
        <v>0</v>
      </c>
      <c r="I15" s="147">
        <v>0</v>
      </c>
      <c r="J15" s="147">
        <v>0</v>
      </c>
      <c r="K15" s="147">
        <v>0</v>
      </c>
      <c r="L15" s="147">
        <v>0</v>
      </c>
      <c r="M15" s="147">
        <v>0</v>
      </c>
      <c r="N15" s="147">
        <v>0</v>
      </c>
      <c r="O15" s="147">
        <v>0</v>
      </c>
      <c r="P15" s="147">
        <v>0</v>
      </c>
      <c r="Q15" s="147">
        <v>0</v>
      </c>
      <c r="R15" s="147">
        <v>0</v>
      </c>
      <c r="S15" s="147">
        <v>0</v>
      </c>
      <c r="T15" s="147">
        <v>0</v>
      </c>
      <c r="U15" s="147">
        <v>0</v>
      </c>
      <c r="V15" s="147">
        <v>0</v>
      </c>
      <c r="W15" s="147">
        <v>0</v>
      </c>
      <c r="X15" s="341">
        <f t="shared" si="2"/>
        <v>0</v>
      </c>
    </row>
    <row r="16" spans="1:25" ht="11.25" x14ac:dyDescent="0.2">
      <c r="A16" s="340">
        <v>6</v>
      </c>
      <c r="B16" s="588" t="s">
        <v>1578</v>
      </c>
      <c r="C16" s="312" t="s">
        <v>76</v>
      </c>
      <c r="D16" s="528">
        <f t="array" ref="D16">SUM(IF(CertFund&amp;CertProg&amp;CertObj&amp;CertGrant=RIGHT(LEFT($A$2,7),2)&amp;LEFT($A$13,4)&amp;$B$14&amp;D$3,CertBen))</f>
        <v>0</v>
      </c>
      <c r="E16" s="528">
        <f t="array" ref="E16">SUM(IF(CertFund&amp;CertProg&amp;CertObj&amp;CertGrant=RIGHT(LEFT($A$2,7),2)&amp;LEFT($A$13,4)&amp;$B$14&amp;E$3,CertBen))</f>
        <v>0</v>
      </c>
      <c r="F16" s="528">
        <f t="array" ref="F16">SUM(IF(CertFund&amp;CertProg&amp;CertObj&amp;CertGrant=RIGHT(LEFT($A$2,7),2)&amp;LEFT($A$13,4)&amp;$B$14&amp;F$3,CertBen))</f>
        <v>0</v>
      </c>
      <c r="G16" s="528">
        <f t="array" ref="G16">SUM(IF(CertFund&amp;CertProg&amp;CertObj&amp;CertGrant=RIGHT(LEFT($A$2,7),2)&amp;LEFT($A$13,4)&amp;$B$14&amp;G$3,CertBen))</f>
        <v>0</v>
      </c>
      <c r="H16" s="528">
        <f t="array" ref="H16">SUM(IF(CertFund&amp;CertProg&amp;CertObj&amp;CertGrant=RIGHT(LEFT($A$2,7),2)&amp;LEFT($A$13,4)&amp;$B$14&amp;H$3,CertBen))</f>
        <v>0</v>
      </c>
      <c r="I16" s="528">
        <f t="array" ref="I16">SUM(IF(CertFund&amp;CertProg&amp;CertObj&amp;CertGrant=RIGHT(LEFT($A$2,7),2)&amp;LEFT($A$13,4)&amp;$B$14&amp;I$3,CertBen))</f>
        <v>0</v>
      </c>
      <c r="J16" s="528">
        <f t="array" ref="J16">SUM(IF(CertFund&amp;CertProg&amp;CertObj&amp;CertGrant=RIGHT(LEFT($A$2,7),2)&amp;LEFT($A$13,4)&amp;$B$14&amp;J$3,CertBen))</f>
        <v>0</v>
      </c>
      <c r="K16" s="528">
        <f t="array" ref="K16">SUM(IF(CertFund&amp;CertProg&amp;CertObj&amp;CertGrant=RIGHT(LEFT($A$2,7),2)&amp;LEFT($A$13,4)&amp;$B$14&amp;K$3,CertBen))</f>
        <v>0</v>
      </c>
      <c r="L16" s="528">
        <f t="array" ref="L16">SUM(IF(CertFund&amp;CertProg&amp;CertObj&amp;CertGrant=RIGHT(LEFT($A$2,7),2)&amp;LEFT($A$13,4)&amp;$B$14&amp;L$3,CertBen))</f>
        <v>0</v>
      </c>
      <c r="M16" s="528">
        <f t="array" ref="M16">SUM(IF(CertFund&amp;CertProg&amp;CertObj&amp;CertGrant=RIGHT(LEFT($A$2,7),2)&amp;LEFT($A$13,4)&amp;$B$14&amp;M$3,CertBen))</f>
        <v>0</v>
      </c>
      <c r="N16" s="528">
        <f t="array" ref="N16">SUM(IF(CertFund&amp;CertProg&amp;CertObj&amp;CertGrant=RIGHT(LEFT($A$2,7),2)&amp;LEFT($A$13,4)&amp;$B$14&amp;N$3,CertBen))</f>
        <v>0</v>
      </c>
      <c r="O16" s="528">
        <f t="array" ref="O16">SUM(IF(CertFund&amp;CertProg&amp;CertObj&amp;CertGrant=RIGHT(LEFT($A$2,7),2)&amp;LEFT($A$13,4)&amp;$B$14&amp;O$3,CertBen))</f>
        <v>0</v>
      </c>
      <c r="P16" s="528">
        <f t="array" ref="P16">SUM(IF(CertFund&amp;CertProg&amp;CertObj&amp;CertGrant=RIGHT(LEFT($A$2,7),2)&amp;LEFT($A$13,4)&amp;$B$14&amp;P$3,CertBen))</f>
        <v>0</v>
      </c>
      <c r="Q16" s="528">
        <f t="array" ref="Q16">SUM(IF(CertFund&amp;CertProg&amp;CertObj&amp;CertGrant=RIGHT(LEFT($A$2,7),2)&amp;LEFT($A$13,4)&amp;$B$14&amp;Q$3,CertBen))</f>
        <v>0</v>
      </c>
      <c r="R16" s="528">
        <f t="array" ref="R16">SUM(IF(CertFund&amp;CertProg&amp;CertObj&amp;CertGrant=RIGHT(LEFT($A$2,7),2)&amp;LEFT($A$13,4)&amp;$B$14&amp;R$3,CertBen))</f>
        <v>0</v>
      </c>
      <c r="S16" s="528">
        <f t="array" ref="S16">SUM(IF(CertFund&amp;CertProg&amp;CertObj&amp;CertGrant=RIGHT(LEFT($A$2,7),2)&amp;LEFT($A$13,4)&amp;$B$14&amp;S$3,CertBen))</f>
        <v>0</v>
      </c>
      <c r="T16" s="528">
        <f t="array" ref="T16">SUM(IF(CertFund&amp;CertProg&amp;CertObj&amp;CertGrant=RIGHT(LEFT($A$2,7),2)&amp;LEFT($A$13,4)&amp;$B$14&amp;T$3,CertBen))</f>
        <v>0</v>
      </c>
      <c r="U16" s="528">
        <f t="array" ref="U16">SUM(IF(CertFund&amp;CertProg&amp;CertObj&amp;CertGrant=RIGHT(LEFT($A$2,7),2)&amp;LEFT($A$13,4)&amp;$B$14&amp;U$3,CertBen))</f>
        <v>0</v>
      </c>
      <c r="V16" s="528">
        <f t="array" ref="V16">SUM(IF(CertFund&amp;CertProg&amp;CertObj&amp;CertGrant=RIGHT(LEFT($A$2,7),2)&amp;LEFT($A$13,4)&amp;$B$14&amp;V$3,CertBen))</f>
        <v>0</v>
      </c>
      <c r="W16" s="528">
        <f t="array" ref="W16">SUM(IF(CertFund&amp;CertProg&amp;CertObj&amp;CertGrant=RIGHT(LEFT($A$2,7),2)&amp;LEFT($A$13,4)&amp;$B$14&amp;W$3,CertBen))</f>
        <v>0</v>
      </c>
      <c r="X16" s="341">
        <f t="shared" si="2"/>
        <v>0</v>
      </c>
    </row>
    <row r="17" spans="1:24" ht="11.25" x14ac:dyDescent="0.2">
      <c r="A17" s="340" t="s">
        <v>1438</v>
      </c>
      <c r="B17" s="588" t="s">
        <v>1578</v>
      </c>
      <c r="C17" s="312" t="s">
        <v>511</v>
      </c>
      <c r="D17" s="590">
        <v>0</v>
      </c>
      <c r="E17" s="590">
        <v>0</v>
      </c>
      <c r="F17" s="590">
        <v>0</v>
      </c>
      <c r="G17" s="590">
        <v>0</v>
      </c>
      <c r="H17" s="590">
        <v>0</v>
      </c>
      <c r="I17" s="590">
        <v>0</v>
      </c>
      <c r="J17" s="590">
        <v>0</v>
      </c>
      <c r="K17" s="590">
        <v>0</v>
      </c>
      <c r="L17" s="590">
        <v>0</v>
      </c>
      <c r="M17" s="590">
        <v>0</v>
      </c>
      <c r="N17" s="590">
        <v>0</v>
      </c>
      <c r="O17" s="590">
        <v>0</v>
      </c>
      <c r="P17" s="590">
        <v>0</v>
      </c>
      <c r="Q17" s="590">
        <v>0</v>
      </c>
      <c r="R17" s="590">
        <v>0</v>
      </c>
      <c r="S17" s="590">
        <v>0</v>
      </c>
      <c r="T17" s="590">
        <v>0</v>
      </c>
      <c r="U17" s="590">
        <v>0</v>
      </c>
      <c r="V17" s="590">
        <v>0</v>
      </c>
      <c r="W17" s="590">
        <v>0</v>
      </c>
      <c r="X17" s="341">
        <f t="shared" si="2"/>
        <v>0</v>
      </c>
    </row>
    <row r="18" spans="1:24" ht="11.25" x14ac:dyDescent="0.2">
      <c r="A18" s="340">
        <v>7</v>
      </c>
      <c r="B18" s="188" t="s">
        <v>1579</v>
      </c>
      <c r="C18" s="329" t="s">
        <v>273</v>
      </c>
      <c r="D18" s="590">
        <v>0</v>
      </c>
      <c r="E18" s="590">
        <v>0</v>
      </c>
      <c r="F18" s="590">
        <v>0</v>
      </c>
      <c r="G18" s="590">
        <v>0</v>
      </c>
      <c r="H18" s="590">
        <v>0</v>
      </c>
      <c r="I18" s="590">
        <v>0</v>
      </c>
      <c r="J18" s="590">
        <v>0</v>
      </c>
      <c r="K18" s="590">
        <v>0</v>
      </c>
      <c r="L18" s="591">
        <v>0</v>
      </c>
      <c r="M18" s="591">
        <v>0</v>
      </c>
      <c r="N18" s="591">
        <v>0</v>
      </c>
      <c r="O18" s="591">
        <v>0</v>
      </c>
      <c r="P18" s="591">
        <v>0</v>
      </c>
      <c r="Q18" s="591">
        <v>0</v>
      </c>
      <c r="R18" s="591">
        <v>0</v>
      </c>
      <c r="S18" s="591">
        <v>0</v>
      </c>
      <c r="T18" s="591">
        <v>0</v>
      </c>
      <c r="U18" s="591">
        <v>0</v>
      </c>
      <c r="V18" s="591">
        <v>0</v>
      </c>
      <c r="W18" s="591">
        <v>0</v>
      </c>
      <c r="X18" s="341">
        <f t="shared" si="2"/>
        <v>0</v>
      </c>
    </row>
    <row r="19" spans="1:24" ht="11.25" x14ac:dyDescent="0.2">
      <c r="A19" s="340">
        <v>8</v>
      </c>
      <c r="B19" s="188" t="s">
        <v>1581</v>
      </c>
      <c r="C19" s="329" t="s">
        <v>274</v>
      </c>
      <c r="D19" s="590">
        <v>0</v>
      </c>
      <c r="E19" s="590">
        <v>0</v>
      </c>
      <c r="F19" s="590">
        <v>0</v>
      </c>
      <c r="G19" s="590">
        <v>0</v>
      </c>
      <c r="H19" s="590">
        <v>0</v>
      </c>
      <c r="I19" s="590">
        <v>0</v>
      </c>
      <c r="J19" s="590">
        <v>0</v>
      </c>
      <c r="K19" s="590">
        <v>0</v>
      </c>
      <c r="L19" s="591">
        <v>0</v>
      </c>
      <c r="M19" s="591">
        <v>0</v>
      </c>
      <c r="N19" s="591">
        <v>0</v>
      </c>
      <c r="O19" s="591">
        <v>0</v>
      </c>
      <c r="P19" s="591">
        <v>0</v>
      </c>
      <c r="Q19" s="591">
        <v>0</v>
      </c>
      <c r="R19" s="591">
        <v>0</v>
      </c>
      <c r="S19" s="591">
        <v>0</v>
      </c>
      <c r="T19" s="591">
        <v>0</v>
      </c>
      <c r="U19" s="591">
        <v>0</v>
      </c>
      <c r="V19" s="591">
        <v>0</v>
      </c>
      <c r="W19" s="591">
        <v>0</v>
      </c>
      <c r="X19" s="341">
        <f t="shared" si="2"/>
        <v>0</v>
      </c>
    </row>
    <row r="20" spans="1:24" ht="11.25" x14ac:dyDescent="0.2">
      <c r="A20" s="340">
        <v>9</v>
      </c>
      <c r="B20" s="188" t="s">
        <v>1582</v>
      </c>
      <c r="C20" s="329" t="s">
        <v>275</v>
      </c>
      <c r="D20" s="590">
        <v>0</v>
      </c>
      <c r="E20" s="590">
        <v>0</v>
      </c>
      <c r="F20" s="590">
        <v>0</v>
      </c>
      <c r="G20" s="590">
        <v>0</v>
      </c>
      <c r="H20" s="590">
        <v>0</v>
      </c>
      <c r="I20" s="590">
        <v>0</v>
      </c>
      <c r="J20" s="590">
        <v>0</v>
      </c>
      <c r="K20" s="590">
        <v>0</v>
      </c>
      <c r="L20" s="591">
        <v>0</v>
      </c>
      <c r="M20" s="591">
        <v>0</v>
      </c>
      <c r="N20" s="591">
        <v>0</v>
      </c>
      <c r="O20" s="591">
        <v>0</v>
      </c>
      <c r="P20" s="591">
        <v>0</v>
      </c>
      <c r="Q20" s="591">
        <v>0</v>
      </c>
      <c r="R20" s="591">
        <v>0</v>
      </c>
      <c r="S20" s="591">
        <v>0</v>
      </c>
      <c r="T20" s="591">
        <v>0</v>
      </c>
      <c r="U20" s="591">
        <v>0</v>
      </c>
      <c r="V20" s="591">
        <v>0</v>
      </c>
      <c r="W20" s="591">
        <v>0</v>
      </c>
      <c r="X20" s="341">
        <f t="shared" si="2"/>
        <v>0</v>
      </c>
    </row>
    <row r="21" spans="1:24" ht="11.25" x14ac:dyDescent="0.2">
      <c r="A21" s="350">
        <v>10</v>
      </c>
      <c r="B21" s="188" t="s">
        <v>1584</v>
      </c>
      <c r="C21" s="327" t="s">
        <v>276</v>
      </c>
      <c r="D21" s="590">
        <v>0</v>
      </c>
      <c r="E21" s="590">
        <v>0</v>
      </c>
      <c r="F21" s="590">
        <v>0</v>
      </c>
      <c r="G21" s="590">
        <v>0</v>
      </c>
      <c r="H21" s="590">
        <v>0</v>
      </c>
      <c r="I21" s="590">
        <v>0</v>
      </c>
      <c r="J21" s="590">
        <v>0</v>
      </c>
      <c r="K21" s="590">
        <v>0</v>
      </c>
      <c r="L21" s="591">
        <v>0</v>
      </c>
      <c r="M21" s="591">
        <v>0</v>
      </c>
      <c r="N21" s="591">
        <v>0</v>
      </c>
      <c r="O21" s="591">
        <v>0</v>
      </c>
      <c r="P21" s="591">
        <v>0</v>
      </c>
      <c r="Q21" s="591">
        <v>0</v>
      </c>
      <c r="R21" s="591">
        <v>0</v>
      </c>
      <c r="S21" s="591">
        <v>0</v>
      </c>
      <c r="T21" s="591">
        <v>0</v>
      </c>
      <c r="U21" s="591">
        <v>0</v>
      </c>
      <c r="V21" s="591">
        <v>0</v>
      </c>
      <c r="W21" s="591">
        <v>0</v>
      </c>
      <c r="X21" s="341">
        <f t="shared" si="2"/>
        <v>0</v>
      </c>
    </row>
    <row r="22" spans="1:24" ht="11.25" x14ac:dyDescent="0.2">
      <c r="A22" s="340">
        <v>11</v>
      </c>
      <c r="C22" s="346" t="s">
        <v>1626</v>
      </c>
      <c r="D22" s="347">
        <f>SUM(D14:D21)</f>
        <v>0</v>
      </c>
      <c r="E22" s="347">
        <f t="shared" ref="E22:W22" si="3">SUM(E14:E21)</f>
        <v>0</v>
      </c>
      <c r="F22" s="347">
        <f t="shared" si="3"/>
        <v>0</v>
      </c>
      <c r="G22" s="347">
        <f t="shared" si="3"/>
        <v>0</v>
      </c>
      <c r="H22" s="347">
        <f t="shared" si="3"/>
        <v>0</v>
      </c>
      <c r="I22" s="347">
        <f t="shared" si="3"/>
        <v>0</v>
      </c>
      <c r="J22" s="347">
        <f t="shared" si="3"/>
        <v>0</v>
      </c>
      <c r="K22" s="347">
        <f t="shared" si="3"/>
        <v>0</v>
      </c>
      <c r="L22" s="347">
        <f t="shared" si="3"/>
        <v>0</v>
      </c>
      <c r="M22" s="347">
        <f t="shared" si="3"/>
        <v>0</v>
      </c>
      <c r="N22" s="347">
        <f t="shared" si="3"/>
        <v>0</v>
      </c>
      <c r="O22" s="347">
        <f t="shared" si="3"/>
        <v>0</v>
      </c>
      <c r="P22" s="347">
        <f t="shared" si="3"/>
        <v>0</v>
      </c>
      <c r="Q22" s="347">
        <f t="shared" si="3"/>
        <v>0</v>
      </c>
      <c r="R22" s="347">
        <f t="shared" si="3"/>
        <v>0</v>
      </c>
      <c r="S22" s="347">
        <f t="shared" si="3"/>
        <v>0</v>
      </c>
      <c r="T22" s="347">
        <f t="shared" si="3"/>
        <v>0</v>
      </c>
      <c r="U22" s="347">
        <f t="shared" si="3"/>
        <v>0</v>
      </c>
      <c r="V22" s="347">
        <f t="shared" si="3"/>
        <v>0</v>
      </c>
      <c r="W22" s="347">
        <f t="shared" si="3"/>
        <v>0</v>
      </c>
      <c r="X22" s="341">
        <f t="shared" si="2"/>
        <v>0</v>
      </c>
    </row>
    <row r="23" spans="1:24" ht="11.25" x14ac:dyDescent="0.2">
      <c r="A23" s="371" t="s">
        <v>1433</v>
      </c>
      <c r="B23" s="369"/>
      <c r="C23" s="348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  <c r="V23" s="349"/>
      <c r="W23" s="349"/>
      <c r="X23" s="349"/>
    </row>
    <row r="24" spans="1:24" ht="11.25" x14ac:dyDescent="0.2">
      <c r="A24" s="340">
        <v>5</v>
      </c>
      <c r="B24" s="588" t="s">
        <v>1577</v>
      </c>
      <c r="C24" s="312" t="s">
        <v>228</v>
      </c>
      <c r="D24" s="528">
        <f t="array" ref="D24">SUM(IF(CertFund&amp;CertProg&amp;CertObj&amp;CertGrant=RIGHT(LEFT($A$2,7),2)&amp;LEFT($A$23,4)&amp;$B$24&amp;D$3,CertSalary))</f>
        <v>0</v>
      </c>
      <c r="E24" s="528">
        <f t="array" ref="E24">SUM(IF(CertFund&amp;CertProg&amp;CertObj&amp;CertGrant=RIGHT(LEFT($A$2,7),2)&amp;LEFT($A$23,4)&amp;$B$24&amp;E$3,CertSalary))</f>
        <v>0</v>
      </c>
      <c r="F24" s="528">
        <f t="array" ref="F24">SUM(IF(CertFund&amp;CertProg&amp;CertObj&amp;CertGrant=RIGHT(LEFT($A$2,7),2)&amp;LEFT($A$23,4)&amp;$B$24&amp;F$3,CertSalary))</f>
        <v>0</v>
      </c>
      <c r="G24" s="528">
        <f t="array" ref="G24">SUM(IF(CertFund&amp;CertProg&amp;CertObj&amp;CertGrant=RIGHT(LEFT($A$2,7),2)&amp;LEFT($A$23,4)&amp;$B$24&amp;G$3,CertSalary))</f>
        <v>0</v>
      </c>
      <c r="H24" s="528">
        <f t="array" ref="H24">SUM(IF(CertFund&amp;CertProg&amp;CertObj&amp;CertGrant=RIGHT(LEFT($A$2,7),2)&amp;LEFT($A$23,4)&amp;$B$24&amp;H$3,CertSalary))</f>
        <v>0</v>
      </c>
      <c r="I24" s="528">
        <f t="array" ref="I24">SUM(IF(CertFund&amp;CertProg&amp;CertObj&amp;CertGrant=RIGHT(LEFT($A$2,7),2)&amp;LEFT($A$23,4)&amp;$B$24&amp;I$3,CertSalary))</f>
        <v>0</v>
      </c>
      <c r="J24" s="528">
        <f t="array" ref="J24">SUM(IF(CertFund&amp;CertProg&amp;CertObj&amp;CertGrant=RIGHT(LEFT($A$2,7),2)&amp;LEFT($A$23,4)&amp;$B$24&amp;J$3,CertSalary))</f>
        <v>0</v>
      </c>
      <c r="K24" s="528">
        <f t="array" ref="K24">SUM(IF(CertFund&amp;CertProg&amp;CertObj&amp;CertGrant=RIGHT(LEFT($A$2,7),2)&amp;LEFT($A$23,4)&amp;$B$24&amp;K$3,CertSalary))</f>
        <v>0</v>
      </c>
      <c r="L24" s="528">
        <f t="array" ref="L24">SUM(IF(CertFund&amp;CertProg&amp;CertObj&amp;CertGrant=RIGHT(LEFT($A$2,7),2)&amp;LEFT($A$23,4)&amp;$B$24&amp;L$3,CertSalary))</f>
        <v>0</v>
      </c>
      <c r="M24" s="528">
        <f t="array" ref="M24">SUM(IF(CertFund&amp;CertProg&amp;CertObj&amp;CertGrant=RIGHT(LEFT($A$2,7),2)&amp;LEFT($A$23,4)&amp;$B$24&amp;M$3,CertSalary))</f>
        <v>0</v>
      </c>
      <c r="N24" s="528">
        <f t="array" ref="N24">SUM(IF(CertFund&amp;CertProg&amp;CertObj&amp;CertGrant=RIGHT(LEFT($A$2,7),2)&amp;LEFT($A$23,4)&amp;$B$24&amp;N$3,CertSalary))</f>
        <v>0</v>
      </c>
      <c r="O24" s="528">
        <f t="array" ref="O24">SUM(IF(CertFund&amp;CertProg&amp;CertObj&amp;CertGrant=RIGHT(LEFT($A$2,7),2)&amp;LEFT($A$23,4)&amp;$B$24&amp;O$3,CertSalary))</f>
        <v>0</v>
      </c>
      <c r="P24" s="528">
        <f t="array" ref="P24">SUM(IF(CertFund&amp;CertProg&amp;CertObj&amp;CertGrant=RIGHT(LEFT($A$2,7),2)&amp;LEFT($A$23,4)&amp;$B$24&amp;P$3,CertSalary))</f>
        <v>0</v>
      </c>
      <c r="Q24" s="528">
        <f t="array" ref="Q24">SUM(IF(CertFund&amp;CertProg&amp;CertObj&amp;CertGrant=RIGHT(LEFT($A$2,7),2)&amp;LEFT($A$23,4)&amp;$B$24&amp;Q$3,CertSalary))</f>
        <v>0</v>
      </c>
      <c r="R24" s="528">
        <f t="array" ref="R24">SUM(IF(CertFund&amp;CertProg&amp;CertObj&amp;CertGrant=RIGHT(LEFT($A$2,7),2)&amp;LEFT($A$23,4)&amp;$B$24&amp;R$3,CertSalary))</f>
        <v>0</v>
      </c>
      <c r="S24" s="528">
        <f t="array" ref="S24">SUM(IF(CertFund&amp;CertProg&amp;CertObj&amp;CertGrant=RIGHT(LEFT($A$2,7),2)&amp;LEFT($A$23,4)&amp;$B$24&amp;S$3,CertSalary))</f>
        <v>0</v>
      </c>
      <c r="T24" s="528">
        <f t="array" ref="T24">SUM(IF(CertFund&amp;CertProg&amp;CertObj&amp;CertGrant=RIGHT(LEFT($A$2,7),2)&amp;LEFT($A$23,4)&amp;$B$24&amp;T$3,CertSalary))</f>
        <v>0</v>
      </c>
      <c r="U24" s="528">
        <f t="array" ref="U24">SUM(IF(CertFund&amp;CertProg&amp;CertObj&amp;CertGrant=RIGHT(LEFT($A$2,7),2)&amp;LEFT($A$23,4)&amp;$B$24&amp;U$3,CertSalary))</f>
        <v>0</v>
      </c>
      <c r="V24" s="528">
        <f t="array" ref="V24">SUM(IF(CertFund&amp;CertProg&amp;CertObj&amp;CertGrant=RIGHT(LEFT($A$2,7),2)&amp;LEFT($A$23,4)&amp;$B$24&amp;V$3,CertSalary))</f>
        <v>0</v>
      </c>
      <c r="W24" s="528">
        <f t="array" ref="W24">SUM(IF(CertFund&amp;CertProg&amp;CertObj&amp;CertGrant=RIGHT(LEFT($A$2,7),2)&amp;LEFT($A$23,4)&amp;$B$24&amp;W$3,CertSalary))</f>
        <v>0</v>
      </c>
      <c r="X24" s="347">
        <f t="shared" ref="X24:X32" si="4">SUM(D24:W24)</f>
        <v>0</v>
      </c>
    </row>
    <row r="25" spans="1:24" ht="11.25" x14ac:dyDescent="0.2">
      <c r="A25" s="340" t="s">
        <v>1437</v>
      </c>
      <c r="B25" s="588" t="s">
        <v>1577</v>
      </c>
      <c r="C25" s="312" t="s">
        <v>510</v>
      </c>
      <c r="D25" s="147">
        <v>0</v>
      </c>
      <c r="E25" s="147">
        <v>0</v>
      </c>
      <c r="F25" s="147">
        <v>0</v>
      </c>
      <c r="G25" s="147">
        <v>0</v>
      </c>
      <c r="H25" s="147">
        <v>0</v>
      </c>
      <c r="I25" s="147">
        <v>0</v>
      </c>
      <c r="J25" s="147">
        <v>0</v>
      </c>
      <c r="K25" s="147">
        <v>0</v>
      </c>
      <c r="L25" s="147">
        <v>0</v>
      </c>
      <c r="M25" s="147">
        <v>0</v>
      </c>
      <c r="N25" s="147">
        <v>0</v>
      </c>
      <c r="O25" s="147">
        <v>0</v>
      </c>
      <c r="P25" s="147">
        <v>0</v>
      </c>
      <c r="Q25" s="147">
        <v>0</v>
      </c>
      <c r="R25" s="147">
        <v>0</v>
      </c>
      <c r="S25" s="147">
        <v>0</v>
      </c>
      <c r="T25" s="147">
        <v>0</v>
      </c>
      <c r="U25" s="147">
        <v>0</v>
      </c>
      <c r="V25" s="147">
        <v>0</v>
      </c>
      <c r="W25" s="147">
        <v>0</v>
      </c>
      <c r="X25" s="341">
        <f t="shared" si="4"/>
        <v>0</v>
      </c>
    </row>
    <row r="26" spans="1:24" ht="11.25" x14ac:dyDescent="0.2">
      <c r="A26" s="340">
        <v>6</v>
      </c>
      <c r="B26" s="588" t="s">
        <v>1578</v>
      </c>
      <c r="C26" s="312" t="s">
        <v>76</v>
      </c>
      <c r="D26" s="528">
        <f t="array" ref="D26">SUM(IF(CertFund&amp;CertProg&amp;CertObj&amp;CertGrant=RIGHT(LEFT($A$2,7),2)&amp;LEFT($A$23,4)&amp;$B$24&amp;D$3,CertBen))</f>
        <v>0</v>
      </c>
      <c r="E26" s="528">
        <f t="array" ref="E26">SUM(IF(CertFund&amp;CertProg&amp;CertObj&amp;CertGrant=RIGHT(LEFT($A$2,7),2)&amp;LEFT($A$23,4)&amp;$B$24&amp;E$3,CertBen))</f>
        <v>0</v>
      </c>
      <c r="F26" s="528">
        <f t="array" ref="F26">SUM(IF(CertFund&amp;CertProg&amp;CertObj&amp;CertGrant=RIGHT(LEFT($A$2,7),2)&amp;LEFT($A$23,4)&amp;$B$24&amp;F$3,CertBen))</f>
        <v>0</v>
      </c>
      <c r="G26" s="528">
        <f t="array" ref="G26">SUM(IF(CertFund&amp;CertProg&amp;CertObj&amp;CertGrant=RIGHT(LEFT($A$2,7),2)&amp;LEFT($A$23,4)&amp;$B$24&amp;G$3,CertBen))</f>
        <v>0</v>
      </c>
      <c r="H26" s="528">
        <f t="array" ref="H26">SUM(IF(CertFund&amp;CertProg&amp;CertObj&amp;CertGrant=RIGHT(LEFT($A$2,7),2)&amp;LEFT($A$23,4)&amp;$B$24&amp;H$3,CertBen))</f>
        <v>0</v>
      </c>
      <c r="I26" s="528">
        <f t="array" ref="I26">SUM(IF(CertFund&amp;CertProg&amp;CertObj&amp;CertGrant=RIGHT(LEFT($A$2,7),2)&amp;LEFT($A$23,4)&amp;$B$24&amp;I$3,CertBen))</f>
        <v>0</v>
      </c>
      <c r="J26" s="528">
        <f t="array" ref="J26">SUM(IF(CertFund&amp;CertProg&amp;CertObj&amp;CertGrant=RIGHT(LEFT($A$2,7),2)&amp;LEFT($A$23,4)&amp;$B$24&amp;J$3,CertBen))</f>
        <v>0</v>
      </c>
      <c r="K26" s="528">
        <f t="array" ref="K26">SUM(IF(CertFund&amp;CertProg&amp;CertObj&amp;CertGrant=RIGHT(LEFT($A$2,7),2)&amp;LEFT($A$23,4)&amp;$B$24&amp;K$3,CertBen))</f>
        <v>0</v>
      </c>
      <c r="L26" s="528">
        <f t="array" ref="L26">SUM(IF(CertFund&amp;CertProg&amp;CertObj&amp;CertGrant=RIGHT(LEFT($A$2,7),2)&amp;LEFT($A$23,4)&amp;$B$24&amp;L$3,CertBen))</f>
        <v>0</v>
      </c>
      <c r="M26" s="528">
        <f t="array" ref="M26">SUM(IF(CertFund&amp;CertProg&amp;CertObj&amp;CertGrant=RIGHT(LEFT($A$2,7),2)&amp;LEFT($A$23,4)&amp;$B$24&amp;M$3,CertBen))</f>
        <v>0</v>
      </c>
      <c r="N26" s="528">
        <f t="array" ref="N26">SUM(IF(CertFund&amp;CertProg&amp;CertObj&amp;CertGrant=RIGHT(LEFT($A$2,7),2)&amp;LEFT($A$23,4)&amp;$B$24&amp;N$3,CertBen))</f>
        <v>0</v>
      </c>
      <c r="O26" s="528">
        <f t="array" ref="O26">SUM(IF(CertFund&amp;CertProg&amp;CertObj&amp;CertGrant=RIGHT(LEFT($A$2,7),2)&amp;LEFT($A$23,4)&amp;$B$24&amp;O$3,CertBen))</f>
        <v>0</v>
      </c>
      <c r="P26" s="528">
        <f t="array" ref="P26">SUM(IF(CertFund&amp;CertProg&amp;CertObj&amp;CertGrant=RIGHT(LEFT($A$2,7),2)&amp;LEFT($A$23,4)&amp;$B$24&amp;P$3,CertBen))</f>
        <v>0</v>
      </c>
      <c r="Q26" s="528">
        <f t="array" ref="Q26">SUM(IF(CertFund&amp;CertProg&amp;CertObj&amp;CertGrant=RIGHT(LEFT($A$2,7),2)&amp;LEFT($A$23,4)&amp;$B$24&amp;Q$3,CertBen))</f>
        <v>0</v>
      </c>
      <c r="R26" s="528">
        <f t="array" ref="R26">SUM(IF(CertFund&amp;CertProg&amp;CertObj&amp;CertGrant=RIGHT(LEFT($A$2,7),2)&amp;LEFT($A$23,4)&amp;$B$24&amp;R$3,CertBen))</f>
        <v>0</v>
      </c>
      <c r="S26" s="528">
        <f t="array" ref="S26">SUM(IF(CertFund&amp;CertProg&amp;CertObj&amp;CertGrant=RIGHT(LEFT($A$2,7),2)&amp;LEFT($A$23,4)&amp;$B$24&amp;S$3,CertBen))</f>
        <v>0</v>
      </c>
      <c r="T26" s="528">
        <f t="array" ref="T26">SUM(IF(CertFund&amp;CertProg&amp;CertObj&amp;CertGrant=RIGHT(LEFT($A$2,7),2)&amp;LEFT($A$23,4)&amp;$B$24&amp;T$3,CertBen))</f>
        <v>0</v>
      </c>
      <c r="U26" s="528">
        <f t="array" ref="U26">SUM(IF(CertFund&amp;CertProg&amp;CertObj&amp;CertGrant=RIGHT(LEFT($A$2,7),2)&amp;LEFT($A$23,4)&amp;$B$24&amp;U$3,CertBen))</f>
        <v>0</v>
      </c>
      <c r="V26" s="528">
        <f t="array" ref="V26">SUM(IF(CertFund&amp;CertProg&amp;CertObj&amp;CertGrant=RIGHT(LEFT($A$2,7),2)&amp;LEFT($A$23,4)&amp;$B$24&amp;V$3,CertBen))</f>
        <v>0</v>
      </c>
      <c r="W26" s="528">
        <f t="array" ref="W26">SUM(IF(CertFund&amp;CertProg&amp;CertObj&amp;CertGrant=RIGHT(LEFT($A$2,7),2)&amp;LEFT($A$23,4)&amp;$B$24&amp;W$3,CertBen))</f>
        <v>0</v>
      </c>
      <c r="X26" s="341">
        <f t="shared" si="4"/>
        <v>0</v>
      </c>
    </row>
    <row r="27" spans="1:24" ht="11.25" x14ac:dyDescent="0.2">
      <c r="A27" s="340" t="s">
        <v>1438</v>
      </c>
      <c r="B27" s="588" t="s">
        <v>1578</v>
      </c>
      <c r="C27" s="312" t="s">
        <v>511</v>
      </c>
      <c r="D27" s="590">
        <v>0</v>
      </c>
      <c r="E27" s="590">
        <v>0</v>
      </c>
      <c r="F27" s="590">
        <v>0</v>
      </c>
      <c r="G27" s="590">
        <v>0</v>
      </c>
      <c r="H27" s="590">
        <v>0</v>
      </c>
      <c r="I27" s="590">
        <v>0</v>
      </c>
      <c r="J27" s="590">
        <v>0</v>
      </c>
      <c r="K27" s="590">
        <v>0</v>
      </c>
      <c r="L27" s="590">
        <v>0</v>
      </c>
      <c r="M27" s="590">
        <v>0</v>
      </c>
      <c r="N27" s="590">
        <v>0</v>
      </c>
      <c r="O27" s="590">
        <v>0</v>
      </c>
      <c r="P27" s="590">
        <v>0</v>
      </c>
      <c r="Q27" s="590">
        <v>0</v>
      </c>
      <c r="R27" s="590">
        <v>0</v>
      </c>
      <c r="S27" s="590">
        <v>0</v>
      </c>
      <c r="T27" s="590">
        <v>0</v>
      </c>
      <c r="U27" s="590">
        <v>0</v>
      </c>
      <c r="V27" s="590">
        <v>0</v>
      </c>
      <c r="W27" s="590">
        <v>0</v>
      </c>
      <c r="X27" s="341">
        <f t="shared" si="4"/>
        <v>0</v>
      </c>
    </row>
    <row r="28" spans="1:24" ht="11.25" x14ac:dyDescent="0.2">
      <c r="A28" s="340">
        <v>7</v>
      </c>
      <c r="B28" s="188" t="s">
        <v>1579</v>
      </c>
      <c r="C28" s="329" t="s">
        <v>273</v>
      </c>
      <c r="D28" s="590">
        <v>0</v>
      </c>
      <c r="E28" s="590">
        <v>0</v>
      </c>
      <c r="F28" s="590">
        <v>0</v>
      </c>
      <c r="G28" s="590">
        <v>0</v>
      </c>
      <c r="H28" s="590">
        <v>0</v>
      </c>
      <c r="I28" s="590">
        <v>0</v>
      </c>
      <c r="J28" s="590">
        <v>0</v>
      </c>
      <c r="K28" s="590">
        <v>0</v>
      </c>
      <c r="L28" s="591">
        <v>0</v>
      </c>
      <c r="M28" s="591">
        <v>0</v>
      </c>
      <c r="N28" s="591">
        <v>0</v>
      </c>
      <c r="O28" s="591">
        <v>0</v>
      </c>
      <c r="P28" s="591">
        <v>0</v>
      </c>
      <c r="Q28" s="591">
        <v>0</v>
      </c>
      <c r="R28" s="591">
        <v>0</v>
      </c>
      <c r="S28" s="591">
        <v>0</v>
      </c>
      <c r="T28" s="591">
        <v>0</v>
      </c>
      <c r="U28" s="591">
        <v>0</v>
      </c>
      <c r="V28" s="591">
        <v>0</v>
      </c>
      <c r="W28" s="591">
        <v>0</v>
      </c>
      <c r="X28" s="341">
        <f t="shared" si="4"/>
        <v>0</v>
      </c>
    </row>
    <row r="29" spans="1:24" ht="11.25" x14ac:dyDescent="0.2">
      <c r="A29" s="340">
        <v>8</v>
      </c>
      <c r="B29" s="188" t="s">
        <v>1581</v>
      </c>
      <c r="C29" s="329" t="s">
        <v>274</v>
      </c>
      <c r="D29" s="590">
        <v>0</v>
      </c>
      <c r="E29" s="590">
        <v>0</v>
      </c>
      <c r="F29" s="590">
        <v>0</v>
      </c>
      <c r="G29" s="590">
        <v>0</v>
      </c>
      <c r="H29" s="590">
        <v>0</v>
      </c>
      <c r="I29" s="590">
        <v>0</v>
      </c>
      <c r="J29" s="590">
        <v>0</v>
      </c>
      <c r="K29" s="590">
        <v>0</v>
      </c>
      <c r="L29" s="591">
        <v>0</v>
      </c>
      <c r="M29" s="591">
        <v>0</v>
      </c>
      <c r="N29" s="591">
        <v>0</v>
      </c>
      <c r="O29" s="591">
        <v>0</v>
      </c>
      <c r="P29" s="591">
        <v>0</v>
      </c>
      <c r="Q29" s="591">
        <v>0</v>
      </c>
      <c r="R29" s="591">
        <v>0</v>
      </c>
      <c r="S29" s="591">
        <v>0</v>
      </c>
      <c r="T29" s="591">
        <v>0</v>
      </c>
      <c r="U29" s="591">
        <v>0</v>
      </c>
      <c r="V29" s="591">
        <v>0</v>
      </c>
      <c r="W29" s="591">
        <v>0</v>
      </c>
      <c r="X29" s="341">
        <f t="shared" si="4"/>
        <v>0</v>
      </c>
    </row>
    <row r="30" spans="1:24" ht="11.25" x14ac:dyDescent="0.2">
      <c r="A30" s="340">
        <v>9</v>
      </c>
      <c r="B30" s="188" t="s">
        <v>1582</v>
      </c>
      <c r="C30" s="329" t="s">
        <v>275</v>
      </c>
      <c r="D30" s="590">
        <v>0</v>
      </c>
      <c r="E30" s="590">
        <v>0</v>
      </c>
      <c r="F30" s="590">
        <v>0</v>
      </c>
      <c r="G30" s="590">
        <v>0</v>
      </c>
      <c r="H30" s="590">
        <v>0</v>
      </c>
      <c r="I30" s="590">
        <v>0</v>
      </c>
      <c r="J30" s="590">
        <v>0</v>
      </c>
      <c r="K30" s="590">
        <v>0</v>
      </c>
      <c r="L30" s="591">
        <v>0</v>
      </c>
      <c r="M30" s="591">
        <v>0</v>
      </c>
      <c r="N30" s="591">
        <v>0</v>
      </c>
      <c r="O30" s="591">
        <v>0</v>
      </c>
      <c r="P30" s="591">
        <v>0</v>
      </c>
      <c r="Q30" s="591">
        <v>0</v>
      </c>
      <c r="R30" s="591">
        <v>0</v>
      </c>
      <c r="S30" s="591">
        <v>0</v>
      </c>
      <c r="T30" s="591">
        <v>0</v>
      </c>
      <c r="U30" s="591">
        <v>0</v>
      </c>
      <c r="V30" s="591">
        <v>0</v>
      </c>
      <c r="W30" s="591">
        <v>0</v>
      </c>
      <c r="X30" s="341">
        <f t="shared" si="4"/>
        <v>0</v>
      </c>
    </row>
    <row r="31" spans="1:24" ht="11.25" x14ac:dyDescent="0.2">
      <c r="A31" s="350">
        <v>10</v>
      </c>
      <c r="B31" s="188" t="s">
        <v>1584</v>
      </c>
      <c r="C31" s="327" t="s">
        <v>276</v>
      </c>
      <c r="D31" s="590">
        <v>0</v>
      </c>
      <c r="E31" s="590">
        <v>0</v>
      </c>
      <c r="F31" s="590">
        <v>0</v>
      </c>
      <c r="G31" s="590">
        <v>0</v>
      </c>
      <c r="H31" s="590">
        <v>0</v>
      </c>
      <c r="I31" s="590">
        <v>0</v>
      </c>
      <c r="J31" s="590">
        <v>0</v>
      </c>
      <c r="K31" s="590">
        <v>0</v>
      </c>
      <c r="L31" s="591">
        <v>0</v>
      </c>
      <c r="M31" s="591">
        <v>0</v>
      </c>
      <c r="N31" s="591">
        <v>0</v>
      </c>
      <c r="O31" s="591">
        <v>0</v>
      </c>
      <c r="P31" s="591">
        <v>0</v>
      </c>
      <c r="Q31" s="591">
        <v>0</v>
      </c>
      <c r="R31" s="591">
        <v>0</v>
      </c>
      <c r="S31" s="591">
        <v>0</v>
      </c>
      <c r="T31" s="591">
        <v>0</v>
      </c>
      <c r="U31" s="591">
        <v>0</v>
      </c>
      <c r="V31" s="591">
        <v>0</v>
      </c>
      <c r="W31" s="591">
        <v>0</v>
      </c>
      <c r="X31" s="341">
        <f t="shared" si="4"/>
        <v>0</v>
      </c>
    </row>
    <row r="32" spans="1:24" ht="11.25" x14ac:dyDescent="0.2">
      <c r="A32" s="340">
        <v>11</v>
      </c>
      <c r="C32" s="346" t="s">
        <v>1627</v>
      </c>
      <c r="D32" s="347">
        <f>SUM(D24:D31)</f>
        <v>0</v>
      </c>
      <c r="E32" s="347">
        <f t="shared" ref="E32:W32" si="5">SUM(E24:E31)</f>
        <v>0</v>
      </c>
      <c r="F32" s="347">
        <f t="shared" si="5"/>
        <v>0</v>
      </c>
      <c r="G32" s="347">
        <f t="shared" si="5"/>
        <v>0</v>
      </c>
      <c r="H32" s="347">
        <f t="shared" si="5"/>
        <v>0</v>
      </c>
      <c r="I32" s="347">
        <f t="shared" si="5"/>
        <v>0</v>
      </c>
      <c r="J32" s="347">
        <f t="shared" si="5"/>
        <v>0</v>
      </c>
      <c r="K32" s="347">
        <f t="shared" si="5"/>
        <v>0</v>
      </c>
      <c r="L32" s="347">
        <f t="shared" si="5"/>
        <v>0</v>
      </c>
      <c r="M32" s="347">
        <f t="shared" si="5"/>
        <v>0</v>
      </c>
      <c r="N32" s="347">
        <f t="shared" si="5"/>
        <v>0</v>
      </c>
      <c r="O32" s="347">
        <f t="shared" si="5"/>
        <v>0</v>
      </c>
      <c r="P32" s="347">
        <f t="shared" si="5"/>
        <v>0</v>
      </c>
      <c r="Q32" s="347">
        <f t="shared" si="5"/>
        <v>0</v>
      </c>
      <c r="R32" s="347">
        <f t="shared" si="5"/>
        <v>0</v>
      </c>
      <c r="S32" s="347">
        <f t="shared" si="5"/>
        <v>0</v>
      </c>
      <c r="T32" s="347">
        <f t="shared" si="5"/>
        <v>0</v>
      </c>
      <c r="U32" s="347">
        <f t="shared" si="5"/>
        <v>0</v>
      </c>
      <c r="V32" s="347">
        <f t="shared" si="5"/>
        <v>0</v>
      </c>
      <c r="W32" s="347">
        <f t="shared" si="5"/>
        <v>0</v>
      </c>
      <c r="X32" s="341">
        <f t="shared" si="4"/>
        <v>0</v>
      </c>
    </row>
    <row r="33" spans="1:24" ht="11.25" x14ac:dyDescent="0.2">
      <c r="A33" s="371" t="s">
        <v>1095</v>
      </c>
      <c r="B33" s="369"/>
      <c r="C33" s="348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</row>
    <row r="34" spans="1:24" ht="11.25" x14ac:dyDescent="0.2">
      <c r="A34" s="340">
        <v>5</v>
      </c>
      <c r="B34" s="588" t="s">
        <v>1577</v>
      </c>
      <c r="C34" s="312" t="s">
        <v>228</v>
      </c>
      <c r="D34" s="528">
        <f t="array" ref="D34">SUM(IF(CertFund&amp;CertProg&amp;CertObj&amp;CertGrant=RIGHT(LEFT($A$2,7),2)&amp;LEFT($A$33,4)&amp;$B$34&amp;D$3,CertSalary))</f>
        <v>0</v>
      </c>
      <c r="E34" s="528">
        <f t="array" ref="E34">SUM(IF(CertFund&amp;CertProg&amp;CertObj&amp;CertGrant=RIGHT(LEFT($A$2,7),2)&amp;LEFT($A$33,4)&amp;$B$34&amp;E$3,CertSalary))</f>
        <v>0</v>
      </c>
      <c r="F34" s="528">
        <f t="array" ref="F34">SUM(IF(CertFund&amp;CertProg&amp;CertObj&amp;CertGrant=RIGHT(LEFT($A$2,7),2)&amp;LEFT($A$33,4)&amp;$B$34&amp;F$3,CertSalary))</f>
        <v>0</v>
      </c>
      <c r="G34" s="528">
        <f t="array" ref="G34">SUM(IF(CertFund&amp;CertProg&amp;CertObj&amp;CertGrant=RIGHT(LEFT($A$2,7),2)&amp;LEFT($A$33,4)&amp;$B$34&amp;G$3,CertSalary))</f>
        <v>0</v>
      </c>
      <c r="H34" s="528">
        <f t="array" ref="H34">SUM(IF(CertFund&amp;CertProg&amp;CertObj&amp;CertGrant=RIGHT(LEFT($A$2,7),2)&amp;LEFT($A$33,4)&amp;$B$34&amp;H$3,CertSalary))</f>
        <v>0</v>
      </c>
      <c r="I34" s="528">
        <f t="array" ref="I34">SUM(IF(CertFund&amp;CertProg&amp;CertObj&amp;CertGrant=RIGHT(LEFT($A$2,7),2)&amp;LEFT($A$33,4)&amp;$B$34&amp;I$3,CertSalary))</f>
        <v>0</v>
      </c>
      <c r="J34" s="528">
        <f t="array" ref="J34">SUM(IF(CertFund&amp;CertProg&amp;CertObj&amp;CertGrant=RIGHT(LEFT($A$2,7),2)&amp;LEFT($A$33,4)&amp;$B$34&amp;J$3,CertSalary))</f>
        <v>0</v>
      </c>
      <c r="K34" s="528">
        <f t="array" ref="K34">SUM(IF(CertFund&amp;CertProg&amp;CertObj&amp;CertGrant=RIGHT(LEFT($A$2,7),2)&amp;LEFT($A$33,4)&amp;$B$34&amp;K$3,CertSalary))</f>
        <v>0</v>
      </c>
      <c r="L34" s="528">
        <f t="array" ref="L34">SUM(IF(CertFund&amp;CertProg&amp;CertObj&amp;CertGrant=RIGHT(LEFT($A$2,7),2)&amp;LEFT($A$33,4)&amp;$B$34&amp;L$3,CertSalary))</f>
        <v>0</v>
      </c>
      <c r="M34" s="528">
        <f t="array" ref="M34">SUM(IF(CertFund&amp;CertProg&amp;CertObj&amp;CertGrant=RIGHT(LEFT($A$2,7),2)&amp;LEFT($A$33,4)&amp;$B$34&amp;M$3,CertSalary))</f>
        <v>0</v>
      </c>
      <c r="N34" s="528">
        <f t="array" ref="N34">SUM(IF(CertFund&amp;CertProg&amp;CertObj&amp;CertGrant=RIGHT(LEFT($A$2,7),2)&amp;LEFT($A$33,4)&amp;$B$34&amp;N$3,CertSalary))</f>
        <v>0</v>
      </c>
      <c r="O34" s="528">
        <f t="array" ref="O34">SUM(IF(CertFund&amp;CertProg&amp;CertObj&amp;CertGrant=RIGHT(LEFT($A$2,7),2)&amp;LEFT($A$33,4)&amp;$B$34&amp;O$3,CertSalary))</f>
        <v>0</v>
      </c>
      <c r="P34" s="528">
        <f t="array" ref="P34">SUM(IF(CertFund&amp;CertProg&amp;CertObj&amp;CertGrant=RIGHT(LEFT($A$2,7),2)&amp;LEFT($A$33,4)&amp;$B$34&amp;P$3,CertSalary))</f>
        <v>0</v>
      </c>
      <c r="Q34" s="528">
        <f t="array" ref="Q34">SUM(IF(CertFund&amp;CertProg&amp;CertObj&amp;CertGrant=RIGHT(LEFT($A$2,7),2)&amp;LEFT($A$33,4)&amp;$B$34&amp;Q$3,CertSalary))</f>
        <v>0</v>
      </c>
      <c r="R34" s="528">
        <f t="array" ref="R34">SUM(IF(CertFund&amp;CertProg&amp;CertObj&amp;CertGrant=RIGHT(LEFT($A$2,7),2)&amp;LEFT($A$33,4)&amp;$B$34&amp;R$3,CertSalary))</f>
        <v>0</v>
      </c>
      <c r="S34" s="528">
        <f t="array" ref="S34">SUM(IF(CertFund&amp;CertProg&amp;CertObj&amp;CertGrant=RIGHT(LEFT($A$2,7),2)&amp;LEFT($A$33,4)&amp;$B$34&amp;S$3,CertSalary))</f>
        <v>0</v>
      </c>
      <c r="T34" s="528">
        <f t="array" ref="T34">SUM(IF(CertFund&amp;CertProg&amp;CertObj&amp;CertGrant=RIGHT(LEFT($A$2,7),2)&amp;LEFT($A$33,4)&amp;$B$34&amp;T$3,CertSalary))</f>
        <v>0</v>
      </c>
      <c r="U34" s="528">
        <f t="array" ref="U34">SUM(IF(CertFund&amp;CertProg&amp;CertObj&amp;CertGrant=RIGHT(LEFT($A$2,7),2)&amp;LEFT($A$33,4)&amp;$B$34&amp;U$3,CertSalary))</f>
        <v>0</v>
      </c>
      <c r="V34" s="528">
        <f t="array" ref="V34">SUM(IF(CertFund&amp;CertProg&amp;CertObj&amp;CertGrant=RIGHT(LEFT($A$2,7),2)&amp;LEFT($A$33,4)&amp;$B$34&amp;V$3,CertSalary))</f>
        <v>0</v>
      </c>
      <c r="W34" s="528">
        <f t="array" ref="W34">SUM(IF(CertFund&amp;CertProg&amp;CertObj&amp;CertGrant=RIGHT(LEFT($A$2,7),2)&amp;LEFT($A$33,4)&amp;$B$34&amp;W$3,CertSalary))</f>
        <v>0</v>
      </c>
      <c r="X34" s="347">
        <f t="shared" ref="X34:X42" si="6">SUM(D34:W34)</f>
        <v>0</v>
      </c>
    </row>
    <row r="35" spans="1:24" ht="11.25" x14ac:dyDescent="0.2">
      <c r="A35" s="340" t="s">
        <v>1437</v>
      </c>
      <c r="B35" s="588" t="s">
        <v>1577</v>
      </c>
      <c r="C35" s="312" t="s">
        <v>510</v>
      </c>
      <c r="D35" s="147">
        <v>0</v>
      </c>
      <c r="E35" s="147">
        <v>0</v>
      </c>
      <c r="F35" s="147">
        <v>0</v>
      </c>
      <c r="G35" s="147">
        <v>0</v>
      </c>
      <c r="H35" s="147">
        <v>0</v>
      </c>
      <c r="I35" s="147">
        <v>0</v>
      </c>
      <c r="J35" s="147">
        <v>0</v>
      </c>
      <c r="K35" s="147">
        <v>0</v>
      </c>
      <c r="L35" s="147">
        <v>0</v>
      </c>
      <c r="M35" s="147">
        <v>0</v>
      </c>
      <c r="N35" s="147">
        <v>0</v>
      </c>
      <c r="O35" s="147">
        <v>0</v>
      </c>
      <c r="P35" s="147">
        <v>0</v>
      </c>
      <c r="Q35" s="147">
        <v>0</v>
      </c>
      <c r="R35" s="147">
        <v>0</v>
      </c>
      <c r="S35" s="147">
        <v>0</v>
      </c>
      <c r="T35" s="147">
        <v>0</v>
      </c>
      <c r="U35" s="147">
        <v>0</v>
      </c>
      <c r="V35" s="147">
        <v>0</v>
      </c>
      <c r="W35" s="147">
        <v>0</v>
      </c>
      <c r="X35" s="341">
        <f t="shared" si="6"/>
        <v>0</v>
      </c>
    </row>
    <row r="36" spans="1:24" ht="11.25" x14ac:dyDescent="0.2">
      <c r="A36" s="340">
        <v>6</v>
      </c>
      <c r="B36" s="588" t="s">
        <v>1578</v>
      </c>
      <c r="C36" s="312" t="s">
        <v>76</v>
      </c>
      <c r="D36" s="528">
        <f t="array" ref="D36">SUM(IF(CertFund&amp;CertProg&amp;CertObj&amp;CertGrant=RIGHT(LEFT($A$2,7),2)&amp;LEFT($A$33,4)&amp;$B$34&amp;D$3,CertBen))</f>
        <v>0</v>
      </c>
      <c r="E36" s="528">
        <f t="array" ref="E36">SUM(IF(CertFund&amp;CertProg&amp;CertObj&amp;CertGrant=RIGHT(LEFT($A$2,7),2)&amp;LEFT($A$33,4)&amp;$B$34&amp;E$3,CertBen))</f>
        <v>0</v>
      </c>
      <c r="F36" s="528">
        <f t="array" ref="F36">SUM(IF(CertFund&amp;CertProg&amp;CertObj&amp;CertGrant=RIGHT(LEFT($A$2,7),2)&amp;LEFT($A$33,4)&amp;$B$34&amp;F$3,CertBen))</f>
        <v>0</v>
      </c>
      <c r="G36" s="528">
        <f t="array" ref="G36">SUM(IF(CertFund&amp;CertProg&amp;CertObj&amp;CertGrant=RIGHT(LEFT($A$2,7),2)&amp;LEFT($A$33,4)&amp;$B$34&amp;G$3,CertBen))</f>
        <v>0</v>
      </c>
      <c r="H36" s="528">
        <f t="array" ref="H36">SUM(IF(CertFund&amp;CertProg&amp;CertObj&amp;CertGrant=RIGHT(LEFT($A$2,7),2)&amp;LEFT($A$33,4)&amp;$B$34&amp;H$3,CertBen))</f>
        <v>0</v>
      </c>
      <c r="I36" s="528">
        <f t="array" ref="I36">SUM(IF(CertFund&amp;CertProg&amp;CertObj&amp;CertGrant=RIGHT(LEFT($A$2,7),2)&amp;LEFT($A$33,4)&amp;$B$34&amp;I$3,CertBen))</f>
        <v>0</v>
      </c>
      <c r="J36" s="528">
        <f t="array" ref="J36">SUM(IF(CertFund&amp;CertProg&amp;CertObj&amp;CertGrant=RIGHT(LEFT($A$2,7),2)&amp;LEFT($A$33,4)&amp;$B$34&amp;J$3,CertBen))</f>
        <v>0</v>
      </c>
      <c r="K36" s="528">
        <f t="array" ref="K36">SUM(IF(CertFund&amp;CertProg&amp;CertObj&amp;CertGrant=RIGHT(LEFT($A$2,7),2)&amp;LEFT($A$33,4)&amp;$B$34&amp;K$3,CertBen))</f>
        <v>0</v>
      </c>
      <c r="L36" s="528">
        <f t="array" ref="L36">SUM(IF(CertFund&amp;CertProg&amp;CertObj&amp;CertGrant=RIGHT(LEFT($A$2,7),2)&amp;LEFT($A$33,4)&amp;$B$34&amp;L$3,CertBen))</f>
        <v>0</v>
      </c>
      <c r="M36" s="528">
        <f t="array" ref="M36">SUM(IF(CertFund&amp;CertProg&amp;CertObj&amp;CertGrant=RIGHT(LEFT($A$2,7),2)&amp;LEFT($A$33,4)&amp;$B$34&amp;M$3,CertBen))</f>
        <v>0</v>
      </c>
      <c r="N36" s="528">
        <f t="array" ref="N36">SUM(IF(CertFund&amp;CertProg&amp;CertObj&amp;CertGrant=RIGHT(LEFT($A$2,7),2)&amp;LEFT($A$33,4)&amp;$B$34&amp;N$3,CertBen))</f>
        <v>0</v>
      </c>
      <c r="O36" s="528">
        <f t="array" ref="O36">SUM(IF(CertFund&amp;CertProg&amp;CertObj&amp;CertGrant=RIGHT(LEFT($A$2,7),2)&amp;LEFT($A$33,4)&amp;$B$34&amp;O$3,CertBen))</f>
        <v>0</v>
      </c>
      <c r="P36" s="528">
        <f t="array" ref="P36">SUM(IF(CertFund&amp;CertProg&amp;CertObj&amp;CertGrant=RIGHT(LEFT($A$2,7),2)&amp;LEFT($A$33,4)&amp;$B$34&amp;P$3,CertBen))</f>
        <v>0</v>
      </c>
      <c r="Q36" s="528">
        <f t="array" ref="Q36">SUM(IF(CertFund&amp;CertProg&amp;CertObj&amp;CertGrant=RIGHT(LEFT($A$2,7),2)&amp;LEFT($A$33,4)&amp;$B$34&amp;Q$3,CertBen))</f>
        <v>0</v>
      </c>
      <c r="R36" s="528">
        <f t="array" ref="R36">SUM(IF(CertFund&amp;CertProg&amp;CertObj&amp;CertGrant=RIGHT(LEFT($A$2,7),2)&amp;LEFT($A$33,4)&amp;$B$34&amp;R$3,CertBen))</f>
        <v>0</v>
      </c>
      <c r="S36" s="528">
        <f t="array" ref="S36">SUM(IF(CertFund&amp;CertProg&amp;CertObj&amp;CertGrant=RIGHT(LEFT($A$2,7),2)&amp;LEFT($A$33,4)&amp;$B$34&amp;S$3,CertBen))</f>
        <v>0</v>
      </c>
      <c r="T36" s="528">
        <f t="array" ref="T36">SUM(IF(CertFund&amp;CertProg&amp;CertObj&amp;CertGrant=RIGHT(LEFT($A$2,7),2)&amp;LEFT($A$33,4)&amp;$B$34&amp;T$3,CertBen))</f>
        <v>0</v>
      </c>
      <c r="U36" s="528">
        <f t="array" ref="U36">SUM(IF(CertFund&amp;CertProg&amp;CertObj&amp;CertGrant=RIGHT(LEFT($A$2,7),2)&amp;LEFT($A$33,4)&amp;$B$34&amp;U$3,CertBen))</f>
        <v>0</v>
      </c>
      <c r="V36" s="528">
        <f t="array" ref="V36">SUM(IF(CertFund&amp;CertProg&amp;CertObj&amp;CertGrant=RIGHT(LEFT($A$2,7),2)&amp;LEFT($A$33,4)&amp;$B$34&amp;V$3,CertBen))</f>
        <v>0</v>
      </c>
      <c r="W36" s="528">
        <f t="array" ref="W36">SUM(IF(CertFund&amp;CertProg&amp;CertObj&amp;CertGrant=RIGHT(LEFT($A$2,7),2)&amp;LEFT($A$33,4)&amp;$B$34&amp;W$3,CertBen))</f>
        <v>0</v>
      </c>
      <c r="X36" s="341">
        <f t="shared" si="6"/>
        <v>0</v>
      </c>
    </row>
    <row r="37" spans="1:24" ht="11.25" x14ac:dyDescent="0.2">
      <c r="A37" s="340" t="s">
        <v>1438</v>
      </c>
      <c r="B37" s="588" t="s">
        <v>1578</v>
      </c>
      <c r="C37" s="312" t="s">
        <v>511</v>
      </c>
      <c r="D37" s="590">
        <v>0</v>
      </c>
      <c r="E37" s="590">
        <v>0</v>
      </c>
      <c r="F37" s="590">
        <v>0</v>
      </c>
      <c r="G37" s="590">
        <v>0</v>
      </c>
      <c r="H37" s="590">
        <v>0</v>
      </c>
      <c r="I37" s="590">
        <v>0</v>
      </c>
      <c r="J37" s="590">
        <v>0</v>
      </c>
      <c r="K37" s="590">
        <v>0</v>
      </c>
      <c r="L37" s="590">
        <v>0</v>
      </c>
      <c r="M37" s="590">
        <v>0</v>
      </c>
      <c r="N37" s="590">
        <v>0</v>
      </c>
      <c r="O37" s="590">
        <v>0</v>
      </c>
      <c r="P37" s="590">
        <v>0</v>
      </c>
      <c r="Q37" s="590">
        <v>0</v>
      </c>
      <c r="R37" s="590">
        <v>0</v>
      </c>
      <c r="S37" s="590">
        <v>0</v>
      </c>
      <c r="T37" s="590">
        <v>0</v>
      </c>
      <c r="U37" s="590">
        <v>0</v>
      </c>
      <c r="V37" s="590">
        <v>0</v>
      </c>
      <c r="W37" s="590">
        <v>0</v>
      </c>
      <c r="X37" s="341">
        <f t="shared" si="6"/>
        <v>0</v>
      </c>
    </row>
    <row r="38" spans="1:24" ht="11.25" x14ac:dyDescent="0.2">
      <c r="A38" s="340">
        <v>7</v>
      </c>
      <c r="B38" s="188" t="s">
        <v>1579</v>
      </c>
      <c r="C38" s="329" t="s">
        <v>273</v>
      </c>
      <c r="D38" s="590">
        <v>0</v>
      </c>
      <c r="E38" s="590">
        <v>0</v>
      </c>
      <c r="F38" s="590">
        <v>0</v>
      </c>
      <c r="G38" s="590">
        <v>0</v>
      </c>
      <c r="H38" s="590">
        <v>0</v>
      </c>
      <c r="I38" s="590">
        <v>0</v>
      </c>
      <c r="J38" s="590">
        <v>0</v>
      </c>
      <c r="K38" s="590">
        <v>0</v>
      </c>
      <c r="L38" s="591">
        <v>0</v>
      </c>
      <c r="M38" s="591">
        <v>0</v>
      </c>
      <c r="N38" s="591">
        <v>0</v>
      </c>
      <c r="O38" s="591">
        <v>0</v>
      </c>
      <c r="P38" s="591">
        <v>0</v>
      </c>
      <c r="Q38" s="591">
        <v>0</v>
      </c>
      <c r="R38" s="591">
        <v>0</v>
      </c>
      <c r="S38" s="591">
        <v>0</v>
      </c>
      <c r="T38" s="591">
        <v>0</v>
      </c>
      <c r="U38" s="591">
        <v>0</v>
      </c>
      <c r="V38" s="591">
        <v>0</v>
      </c>
      <c r="W38" s="591">
        <v>0</v>
      </c>
      <c r="X38" s="341">
        <f t="shared" si="6"/>
        <v>0</v>
      </c>
    </row>
    <row r="39" spans="1:24" ht="11.25" x14ac:dyDescent="0.2">
      <c r="A39" s="340">
        <v>8</v>
      </c>
      <c r="B39" s="188" t="s">
        <v>1581</v>
      </c>
      <c r="C39" s="329" t="s">
        <v>274</v>
      </c>
      <c r="D39" s="590">
        <v>0</v>
      </c>
      <c r="E39" s="590">
        <v>0</v>
      </c>
      <c r="F39" s="590">
        <v>0</v>
      </c>
      <c r="G39" s="590">
        <v>0</v>
      </c>
      <c r="H39" s="590">
        <v>0</v>
      </c>
      <c r="I39" s="590">
        <v>0</v>
      </c>
      <c r="J39" s="590">
        <v>0</v>
      </c>
      <c r="K39" s="590">
        <v>0</v>
      </c>
      <c r="L39" s="591">
        <v>0</v>
      </c>
      <c r="M39" s="591">
        <v>0</v>
      </c>
      <c r="N39" s="591">
        <v>0</v>
      </c>
      <c r="O39" s="591">
        <v>0</v>
      </c>
      <c r="P39" s="591">
        <v>0</v>
      </c>
      <c r="Q39" s="591">
        <v>0</v>
      </c>
      <c r="R39" s="591">
        <v>0</v>
      </c>
      <c r="S39" s="591">
        <v>0</v>
      </c>
      <c r="T39" s="591">
        <v>0</v>
      </c>
      <c r="U39" s="591">
        <v>0</v>
      </c>
      <c r="V39" s="591">
        <v>0</v>
      </c>
      <c r="W39" s="591">
        <v>0</v>
      </c>
      <c r="X39" s="341">
        <f t="shared" si="6"/>
        <v>0</v>
      </c>
    </row>
    <row r="40" spans="1:24" ht="11.25" x14ac:dyDescent="0.2">
      <c r="A40" s="340">
        <v>9</v>
      </c>
      <c r="B40" s="188" t="s">
        <v>1582</v>
      </c>
      <c r="C40" s="329" t="s">
        <v>275</v>
      </c>
      <c r="D40" s="590">
        <v>0</v>
      </c>
      <c r="E40" s="590">
        <v>0</v>
      </c>
      <c r="F40" s="590">
        <v>0</v>
      </c>
      <c r="G40" s="590">
        <v>0</v>
      </c>
      <c r="H40" s="590">
        <v>0</v>
      </c>
      <c r="I40" s="590">
        <v>0</v>
      </c>
      <c r="J40" s="590">
        <v>0</v>
      </c>
      <c r="K40" s="590">
        <v>0</v>
      </c>
      <c r="L40" s="591">
        <v>0</v>
      </c>
      <c r="M40" s="591">
        <v>0</v>
      </c>
      <c r="N40" s="591">
        <v>0</v>
      </c>
      <c r="O40" s="591">
        <v>0</v>
      </c>
      <c r="P40" s="591">
        <v>0</v>
      </c>
      <c r="Q40" s="591">
        <v>0</v>
      </c>
      <c r="R40" s="591">
        <v>0</v>
      </c>
      <c r="S40" s="591">
        <v>0</v>
      </c>
      <c r="T40" s="591">
        <v>0</v>
      </c>
      <c r="U40" s="591">
        <v>0</v>
      </c>
      <c r="V40" s="591">
        <v>0</v>
      </c>
      <c r="W40" s="591">
        <v>0</v>
      </c>
      <c r="X40" s="341">
        <f t="shared" si="6"/>
        <v>0</v>
      </c>
    </row>
    <row r="41" spans="1:24" ht="11.25" x14ac:dyDescent="0.2">
      <c r="A41" s="350">
        <v>10</v>
      </c>
      <c r="B41" s="188" t="s">
        <v>1584</v>
      </c>
      <c r="C41" s="327" t="s">
        <v>276</v>
      </c>
      <c r="D41" s="590">
        <v>0</v>
      </c>
      <c r="E41" s="590">
        <v>0</v>
      </c>
      <c r="F41" s="590">
        <v>0</v>
      </c>
      <c r="G41" s="590">
        <v>0</v>
      </c>
      <c r="H41" s="590">
        <v>0</v>
      </c>
      <c r="I41" s="590">
        <v>0</v>
      </c>
      <c r="J41" s="590">
        <v>0</v>
      </c>
      <c r="K41" s="590">
        <v>0</v>
      </c>
      <c r="L41" s="591">
        <v>0</v>
      </c>
      <c r="M41" s="591">
        <v>0</v>
      </c>
      <c r="N41" s="591">
        <v>0</v>
      </c>
      <c r="O41" s="591">
        <v>0</v>
      </c>
      <c r="P41" s="591">
        <v>0</v>
      </c>
      <c r="Q41" s="591">
        <v>0</v>
      </c>
      <c r="R41" s="591">
        <v>0</v>
      </c>
      <c r="S41" s="591">
        <v>0</v>
      </c>
      <c r="T41" s="591">
        <v>0</v>
      </c>
      <c r="U41" s="591">
        <v>0</v>
      </c>
      <c r="V41" s="591">
        <v>0</v>
      </c>
      <c r="W41" s="591">
        <v>0</v>
      </c>
      <c r="X41" s="341">
        <f t="shared" si="6"/>
        <v>0</v>
      </c>
    </row>
    <row r="42" spans="1:24" ht="11.25" x14ac:dyDescent="0.2">
      <c r="A42" s="340">
        <v>11</v>
      </c>
      <c r="C42" s="346" t="s">
        <v>1628</v>
      </c>
      <c r="D42" s="347">
        <f>SUM(D34:D41)</f>
        <v>0</v>
      </c>
      <c r="E42" s="347">
        <f t="shared" ref="E42:W42" si="7">SUM(E34:E41)</f>
        <v>0</v>
      </c>
      <c r="F42" s="347">
        <f t="shared" si="7"/>
        <v>0</v>
      </c>
      <c r="G42" s="347">
        <f t="shared" si="7"/>
        <v>0</v>
      </c>
      <c r="H42" s="347">
        <f t="shared" si="7"/>
        <v>0</v>
      </c>
      <c r="I42" s="347">
        <f t="shared" si="7"/>
        <v>0</v>
      </c>
      <c r="J42" s="347">
        <f t="shared" si="7"/>
        <v>0</v>
      </c>
      <c r="K42" s="347">
        <f t="shared" si="7"/>
        <v>0</v>
      </c>
      <c r="L42" s="347">
        <f t="shared" si="7"/>
        <v>0</v>
      </c>
      <c r="M42" s="347">
        <f t="shared" si="7"/>
        <v>0</v>
      </c>
      <c r="N42" s="347">
        <f t="shared" si="7"/>
        <v>0</v>
      </c>
      <c r="O42" s="347">
        <f t="shared" si="7"/>
        <v>0</v>
      </c>
      <c r="P42" s="347">
        <f t="shared" si="7"/>
        <v>0</v>
      </c>
      <c r="Q42" s="347">
        <f t="shared" si="7"/>
        <v>0</v>
      </c>
      <c r="R42" s="347">
        <f t="shared" si="7"/>
        <v>0</v>
      </c>
      <c r="S42" s="347">
        <f t="shared" si="7"/>
        <v>0</v>
      </c>
      <c r="T42" s="347">
        <f t="shared" si="7"/>
        <v>0</v>
      </c>
      <c r="U42" s="347">
        <f t="shared" si="7"/>
        <v>0</v>
      </c>
      <c r="V42" s="347">
        <f t="shared" si="7"/>
        <v>0</v>
      </c>
      <c r="W42" s="347">
        <f t="shared" si="7"/>
        <v>0</v>
      </c>
      <c r="X42" s="341">
        <f t="shared" si="6"/>
        <v>0</v>
      </c>
    </row>
    <row r="43" spans="1:24" ht="11.25" x14ac:dyDescent="0.2">
      <c r="A43" s="371" t="s">
        <v>1434</v>
      </c>
      <c r="B43" s="369"/>
      <c r="C43" s="348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</row>
    <row r="44" spans="1:24" ht="11.25" x14ac:dyDescent="0.2">
      <c r="A44" s="340">
        <v>5</v>
      </c>
      <c r="B44" s="588" t="s">
        <v>1577</v>
      </c>
      <c r="C44" s="312" t="s">
        <v>228</v>
      </c>
      <c r="D44" s="528">
        <f t="array" ref="D44">SUM(IF(CertFund&amp;CertProg&amp;CertObj&amp;CertGrant=RIGHT(LEFT($A$2,7),2)&amp;LEFT($A$43,4)&amp;$B$44&amp;D$3,CertSalary))</f>
        <v>0</v>
      </c>
      <c r="E44" s="528">
        <f t="array" ref="E44">SUM(IF(CertFund&amp;CertProg&amp;CertObj&amp;CertGrant=RIGHT(LEFT($A$2,7),2)&amp;LEFT($A$43,4)&amp;$B$44&amp;E$3,CertSalary))</f>
        <v>0</v>
      </c>
      <c r="F44" s="528">
        <f t="array" ref="F44">SUM(IF(CertFund&amp;CertProg&amp;CertObj&amp;CertGrant=RIGHT(LEFT($A$2,7),2)&amp;LEFT($A$43,4)&amp;$B$44&amp;F$3,CertSalary))</f>
        <v>0</v>
      </c>
      <c r="G44" s="528">
        <f t="array" ref="G44">SUM(IF(CertFund&amp;CertProg&amp;CertObj&amp;CertGrant=RIGHT(LEFT($A$2,7),2)&amp;LEFT($A$43,4)&amp;$B$44&amp;G$3,CertSalary))</f>
        <v>0</v>
      </c>
      <c r="H44" s="528">
        <f t="array" ref="H44">SUM(IF(CertFund&amp;CertProg&amp;CertObj&amp;CertGrant=RIGHT(LEFT($A$2,7),2)&amp;LEFT($A$43,4)&amp;$B$44&amp;H$3,CertSalary))</f>
        <v>0</v>
      </c>
      <c r="I44" s="528">
        <f t="array" ref="I44">SUM(IF(CertFund&amp;CertProg&amp;CertObj&amp;CertGrant=RIGHT(LEFT($A$2,7),2)&amp;LEFT($A$43,4)&amp;$B$44&amp;I$3,CertSalary))</f>
        <v>0</v>
      </c>
      <c r="J44" s="528">
        <f t="array" ref="J44">SUM(IF(CertFund&amp;CertProg&amp;CertObj&amp;CertGrant=RIGHT(LEFT($A$2,7),2)&amp;LEFT($A$43,4)&amp;$B$44&amp;J$3,CertSalary))</f>
        <v>0</v>
      </c>
      <c r="K44" s="528">
        <f t="array" ref="K44">SUM(IF(CertFund&amp;CertProg&amp;CertObj&amp;CertGrant=RIGHT(LEFT($A$2,7),2)&amp;LEFT($A$43,4)&amp;$B$44&amp;K$3,CertSalary))</f>
        <v>0</v>
      </c>
      <c r="L44" s="528">
        <f t="array" ref="L44">SUM(IF(CertFund&amp;CertProg&amp;CertObj&amp;CertGrant=RIGHT(LEFT($A$2,7),2)&amp;LEFT($A$43,4)&amp;$B$44&amp;L$3,CertSalary))</f>
        <v>0</v>
      </c>
      <c r="M44" s="528">
        <f t="array" ref="M44">SUM(IF(CertFund&amp;CertProg&amp;CertObj&amp;CertGrant=RIGHT(LEFT($A$2,7),2)&amp;LEFT($A$43,4)&amp;$B$44&amp;M$3,CertSalary))</f>
        <v>0</v>
      </c>
      <c r="N44" s="528">
        <f t="array" ref="N44">SUM(IF(CertFund&amp;CertProg&amp;CertObj&amp;CertGrant=RIGHT(LEFT($A$2,7),2)&amp;LEFT($A$43,4)&amp;$B$44&amp;N$3,CertSalary))</f>
        <v>0</v>
      </c>
      <c r="O44" s="528">
        <f t="array" ref="O44">SUM(IF(CertFund&amp;CertProg&amp;CertObj&amp;CertGrant=RIGHT(LEFT($A$2,7),2)&amp;LEFT($A$43,4)&amp;$B$44&amp;O$3,CertSalary))</f>
        <v>0</v>
      </c>
      <c r="P44" s="528">
        <f t="array" ref="P44">SUM(IF(CertFund&amp;CertProg&amp;CertObj&amp;CertGrant=RIGHT(LEFT($A$2,7),2)&amp;LEFT($A$43,4)&amp;$B$44&amp;P$3,CertSalary))</f>
        <v>0</v>
      </c>
      <c r="Q44" s="528">
        <f t="array" ref="Q44">SUM(IF(CertFund&amp;CertProg&amp;CertObj&amp;CertGrant=RIGHT(LEFT($A$2,7),2)&amp;LEFT($A$43,4)&amp;$B$44&amp;Q$3,CertSalary))</f>
        <v>0</v>
      </c>
      <c r="R44" s="528">
        <f t="array" ref="R44">SUM(IF(CertFund&amp;CertProg&amp;CertObj&amp;CertGrant=RIGHT(LEFT($A$2,7),2)&amp;LEFT($A$43,4)&amp;$B$44&amp;R$3,CertSalary))</f>
        <v>0</v>
      </c>
      <c r="S44" s="528">
        <f t="array" ref="S44">SUM(IF(CertFund&amp;CertProg&amp;CertObj&amp;CertGrant=RIGHT(LEFT($A$2,7),2)&amp;LEFT($A$43,4)&amp;$B$44&amp;S$3,CertSalary))</f>
        <v>0</v>
      </c>
      <c r="T44" s="528">
        <f t="array" ref="T44">SUM(IF(CertFund&amp;CertProg&amp;CertObj&amp;CertGrant=RIGHT(LEFT($A$2,7),2)&amp;LEFT($A$43,4)&amp;$B$44&amp;T$3,CertSalary))</f>
        <v>0</v>
      </c>
      <c r="U44" s="528">
        <f t="array" ref="U44">SUM(IF(CertFund&amp;CertProg&amp;CertObj&amp;CertGrant=RIGHT(LEFT($A$2,7),2)&amp;LEFT($A$43,4)&amp;$B$44&amp;U$3,CertSalary))</f>
        <v>0</v>
      </c>
      <c r="V44" s="528">
        <f t="array" ref="V44">SUM(IF(CertFund&amp;CertProg&amp;CertObj&amp;CertGrant=RIGHT(LEFT($A$2,7),2)&amp;LEFT($A$43,4)&amp;$B$44&amp;V$3,CertSalary))</f>
        <v>0</v>
      </c>
      <c r="W44" s="528">
        <f t="array" ref="W44">SUM(IF(CertFund&amp;CertProg&amp;CertObj&amp;CertGrant=RIGHT(LEFT($A$2,7),2)&amp;LEFT($A$43,4)&amp;$B$44&amp;W$3,CertSalary))</f>
        <v>0</v>
      </c>
      <c r="X44" s="347">
        <f t="shared" ref="X44:X52" si="8">SUM(D44:W44)</f>
        <v>0</v>
      </c>
    </row>
    <row r="45" spans="1:24" ht="11.25" x14ac:dyDescent="0.2">
      <c r="A45" s="340" t="s">
        <v>1437</v>
      </c>
      <c r="B45" s="588" t="s">
        <v>1577</v>
      </c>
      <c r="C45" s="312" t="s">
        <v>510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47">
        <v>0</v>
      </c>
      <c r="T45" s="147">
        <v>0</v>
      </c>
      <c r="U45" s="147">
        <v>0</v>
      </c>
      <c r="V45" s="147">
        <v>0</v>
      </c>
      <c r="W45" s="147">
        <v>0</v>
      </c>
      <c r="X45" s="341">
        <f t="shared" si="8"/>
        <v>0</v>
      </c>
    </row>
    <row r="46" spans="1:24" ht="11.25" x14ac:dyDescent="0.2">
      <c r="A46" s="340">
        <v>6</v>
      </c>
      <c r="B46" s="588" t="s">
        <v>1578</v>
      </c>
      <c r="C46" s="312" t="s">
        <v>76</v>
      </c>
      <c r="D46" s="528">
        <f t="array" ref="D46">SUM(IF(CertFund&amp;CertProg&amp;CertObj&amp;CertGrant=RIGHT(LEFT($A$2,7),2)&amp;LEFT($A$43,4)&amp;$B$44&amp;D$3,CertBen))</f>
        <v>0</v>
      </c>
      <c r="E46" s="528">
        <f t="array" ref="E46">SUM(IF(CertFund&amp;CertProg&amp;CertObj&amp;CertGrant=RIGHT(LEFT($A$2,7),2)&amp;LEFT($A$43,4)&amp;$B$44&amp;E$3,CertBen))</f>
        <v>0</v>
      </c>
      <c r="F46" s="528">
        <f t="array" ref="F46">SUM(IF(CertFund&amp;CertProg&amp;CertObj&amp;CertGrant=RIGHT(LEFT($A$2,7),2)&amp;LEFT($A$43,4)&amp;$B$44&amp;F$3,CertBen))</f>
        <v>0</v>
      </c>
      <c r="G46" s="528">
        <f t="array" ref="G46">SUM(IF(CertFund&amp;CertProg&amp;CertObj&amp;CertGrant=RIGHT(LEFT($A$2,7),2)&amp;LEFT($A$43,4)&amp;$B$44&amp;G$3,CertBen))</f>
        <v>0</v>
      </c>
      <c r="H46" s="528">
        <f t="array" ref="H46">SUM(IF(CertFund&amp;CertProg&amp;CertObj&amp;CertGrant=RIGHT(LEFT($A$2,7),2)&amp;LEFT($A$43,4)&amp;$B$44&amp;H$3,CertBen))</f>
        <v>0</v>
      </c>
      <c r="I46" s="528">
        <f t="array" ref="I46">SUM(IF(CertFund&amp;CertProg&amp;CertObj&amp;CertGrant=RIGHT(LEFT($A$2,7),2)&amp;LEFT($A$43,4)&amp;$B$44&amp;I$3,CertBen))</f>
        <v>0</v>
      </c>
      <c r="J46" s="528">
        <f t="array" ref="J46">SUM(IF(CertFund&amp;CertProg&amp;CertObj&amp;CertGrant=RIGHT(LEFT($A$2,7),2)&amp;LEFT($A$43,4)&amp;$B$44&amp;J$3,CertBen))</f>
        <v>0</v>
      </c>
      <c r="K46" s="528">
        <f t="array" ref="K46">SUM(IF(CertFund&amp;CertProg&amp;CertObj&amp;CertGrant=RIGHT(LEFT($A$2,7),2)&amp;LEFT($A$43,4)&amp;$B$44&amp;K$3,CertBen))</f>
        <v>0</v>
      </c>
      <c r="L46" s="528">
        <f t="array" ref="L46">SUM(IF(CertFund&amp;CertProg&amp;CertObj&amp;CertGrant=RIGHT(LEFT($A$2,7),2)&amp;LEFT($A$43,4)&amp;$B$44&amp;L$3,CertBen))</f>
        <v>0</v>
      </c>
      <c r="M46" s="528">
        <f t="array" ref="M46">SUM(IF(CertFund&amp;CertProg&amp;CertObj&amp;CertGrant=RIGHT(LEFT($A$2,7),2)&amp;LEFT($A$43,4)&amp;$B$44&amp;M$3,CertBen))</f>
        <v>0</v>
      </c>
      <c r="N46" s="528">
        <f t="array" ref="N46">SUM(IF(CertFund&amp;CertProg&amp;CertObj&amp;CertGrant=RIGHT(LEFT($A$2,7),2)&amp;LEFT($A$43,4)&amp;$B$44&amp;N$3,CertBen))</f>
        <v>0</v>
      </c>
      <c r="O46" s="528">
        <f t="array" ref="O46">SUM(IF(CertFund&amp;CertProg&amp;CertObj&amp;CertGrant=RIGHT(LEFT($A$2,7),2)&amp;LEFT($A$43,4)&amp;$B$44&amp;O$3,CertBen))</f>
        <v>0</v>
      </c>
      <c r="P46" s="528">
        <f t="array" ref="P46">SUM(IF(CertFund&amp;CertProg&amp;CertObj&amp;CertGrant=RIGHT(LEFT($A$2,7),2)&amp;LEFT($A$43,4)&amp;$B$44&amp;P$3,CertBen))</f>
        <v>0</v>
      </c>
      <c r="Q46" s="528">
        <f t="array" ref="Q46">SUM(IF(CertFund&amp;CertProg&amp;CertObj&amp;CertGrant=RIGHT(LEFT($A$2,7),2)&amp;LEFT($A$43,4)&amp;$B$44&amp;Q$3,CertBen))</f>
        <v>0</v>
      </c>
      <c r="R46" s="528">
        <f t="array" ref="R46">SUM(IF(CertFund&amp;CertProg&amp;CertObj&amp;CertGrant=RIGHT(LEFT($A$2,7),2)&amp;LEFT($A$43,4)&amp;$B$44&amp;R$3,CertBen))</f>
        <v>0</v>
      </c>
      <c r="S46" s="528">
        <f t="array" ref="S46">SUM(IF(CertFund&amp;CertProg&amp;CertObj&amp;CertGrant=RIGHT(LEFT($A$2,7),2)&amp;LEFT($A$43,4)&amp;$B$44&amp;S$3,CertBen))</f>
        <v>0</v>
      </c>
      <c r="T46" s="528">
        <f t="array" ref="T46">SUM(IF(CertFund&amp;CertProg&amp;CertObj&amp;CertGrant=RIGHT(LEFT($A$2,7),2)&amp;LEFT($A$43,4)&amp;$B$44&amp;T$3,CertBen))</f>
        <v>0</v>
      </c>
      <c r="U46" s="528">
        <f t="array" ref="U46">SUM(IF(CertFund&amp;CertProg&amp;CertObj&amp;CertGrant=RIGHT(LEFT($A$2,7),2)&amp;LEFT($A$43,4)&amp;$B$44&amp;U$3,CertBen))</f>
        <v>0</v>
      </c>
      <c r="V46" s="528">
        <f t="array" ref="V46">SUM(IF(CertFund&amp;CertProg&amp;CertObj&amp;CertGrant=RIGHT(LEFT($A$2,7),2)&amp;LEFT($A$43,4)&amp;$B$44&amp;V$3,CertBen))</f>
        <v>0</v>
      </c>
      <c r="W46" s="528">
        <f t="array" ref="W46">SUM(IF(CertFund&amp;CertProg&amp;CertObj&amp;CertGrant=RIGHT(LEFT($A$2,7),2)&amp;LEFT($A$43,4)&amp;$B$44&amp;W$3,CertBen))</f>
        <v>0</v>
      </c>
      <c r="X46" s="341">
        <f t="shared" si="8"/>
        <v>0</v>
      </c>
    </row>
    <row r="47" spans="1:24" ht="11.25" x14ac:dyDescent="0.2">
      <c r="A47" s="340" t="s">
        <v>1438</v>
      </c>
      <c r="B47" s="588" t="s">
        <v>1578</v>
      </c>
      <c r="C47" s="312" t="s">
        <v>511</v>
      </c>
      <c r="D47" s="590">
        <v>0</v>
      </c>
      <c r="E47" s="590">
        <v>0</v>
      </c>
      <c r="F47" s="590">
        <v>0</v>
      </c>
      <c r="G47" s="590">
        <v>0</v>
      </c>
      <c r="H47" s="590">
        <v>0</v>
      </c>
      <c r="I47" s="590">
        <v>0</v>
      </c>
      <c r="J47" s="590">
        <v>0</v>
      </c>
      <c r="K47" s="590">
        <v>0</v>
      </c>
      <c r="L47" s="590">
        <v>0</v>
      </c>
      <c r="M47" s="590">
        <v>0</v>
      </c>
      <c r="N47" s="590">
        <v>0</v>
      </c>
      <c r="O47" s="590">
        <v>0</v>
      </c>
      <c r="P47" s="590">
        <v>0</v>
      </c>
      <c r="Q47" s="590">
        <v>0</v>
      </c>
      <c r="R47" s="590">
        <v>0</v>
      </c>
      <c r="S47" s="590">
        <v>0</v>
      </c>
      <c r="T47" s="590">
        <v>0</v>
      </c>
      <c r="U47" s="590">
        <v>0</v>
      </c>
      <c r="V47" s="590">
        <v>0</v>
      </c>
      <c r="W47" s="590">
        <v>0</v>
      </c>
      <c r="X47" s="341">
        <f t="shared" si="8"/>
        <v>0</v>
      </c>
    </row>
    <row r="48" spans="1:24" ht="11.25" x14ac:dyDescent="0.2">
      <c r="A48" s="340">
        <v>7</v>
      </c>
      <c r="B48" s="188" t="s">
        <v>1579</v>
      </c>
      <c r="C48" s="329" t="s">
        <v>273</v>
      </c>
      <c r="D48" s="590">
        <v>0</v>
      </c>
      <c r="E48" s="590">
        <v>0</v>
      </c>
      <c r="F48" s="590">
        <v>0</v>
      </c>
      <c r="G48" s="590">
        <v>0</v>
      </c>
      <c r="H48" s="590">
        <v>0</v>
      </c>
      <c r="I48" s="590">
        <v>0</v>
      </c>
      <c r="J48" s="590">
        <v>0</v>
      </c>
      <c r="K48" s="590">
        <v>0</v>
      </c>
      <c r="L48" s="591">
        <v>0</v>
      </c>
      <c r="M48" s="591">
        <v>0</v>
      </c>
      <c r="N48" s="591">
        <v>0</v>
      </c>
      <c r="O48" s="591">
        <v>0</v>
      </c>
      <c r="P48" s="591">
        <v>0</v>
      </c>
      <c r="Q48" s="591">
        <v>0</v>
      </c>
      <c r="R48" s="591">
        <v>0</v>
      </c>
      <c r="S48" s="591">
        <v>0</v>
      </c>
      <c r="T48" s="591">
        <v>0</v>
      </c>
      <c r="U48" s="591">
        <v>0</v>
      </c>
      <c r="V48" s="591">
        <v>0</v>
      </c>
      <c r="W48" s="591">
        <v>0</v>
      </c>
      <c r="X48" s="341">
        <f t="shared" si="8"/>
        <v>0</v>
      </c>
    </row>
    <row r="49" spans="1:24" ht="11.25" x14ac:dyDescent="0.2">
      <c r="A49" s="340">
        <v>8</v>
      </c>
      <c r="B49" s="188" t="s">
        <v>1581</v>
      </c>
      <c r="C49" s="329" t="s">
        <v>274</v>
      </c>
      <c r="D49" s="590">
        <v>0</v>
      </c>
      <c r="E49" s="590">
        <v>0</v>
      </c>
      <c r="F49" s="590">
        <v>0</v>
      </c>
      <c r="G49" s="590">
        <v>0</v>
      </c>
      <c r="H49" s="590">
        <v>0</v>
      </c>
      <c r="I49" s="590">
        <v>0</v>
      </c>
      <c r="J49" s="590">
        <v>0</v>
      </c>
      <c r="K49" s="590">
        <v>0</v>
      </c>
      <c r="L49" s="591">
        <v>0</v>
      </c>
      <c r="M49" s="591">
        <v>0</v>
      </c>
      <c r="N49" s="591">
        <v>0</v>
      </c>
      <c r="O49" s="591">
        <v>0</v>
      </c>
      <c r="P49" s="591">
        <v>0</v>
      </c>
      <c r="Q49" s="591">
        <v>0</v>
      </c>
      <c r="R49" s="591">
        <v>0</v>
      </c>
      <c r="S49" s="591">
        <v>0</v>
      </c>
      <c r="T49" s="591">
        <v>0</v>
      </c>
      <c r="U49" s="591">
        <v>0</v>
      </c>
      <c r="V49" s="591">
        <v>0</v>
      </c>
      <c r="W49" s="591">
        <v>0</v>
      </c>
      <c r="X49" s="341">
        <f t="shared" si="8"/>
        <v>0</v>
      </c>
    </row>
    <row r="50" spans="1:24" ht="11.25" x14ac:dyDescent="0.2">
      <c r="A50" s="340">
        <v>9</v>
      </c>
      <c r="B50" s="188" t="s">
        <v>1582</v>
      </c>
      <c r="C50" s="329" t="s">
        <v>275</v>
      </c>
      <c r="D50" s="590">
        <v>0</v>
      </c>
      <c r="E50" s="590">
        <v>0</v>
      </c>
      <c r="F50" s="590">
        <v>0</v>
      </c>
      <c r="G50" s="590">
        <v>0</v>
      </c>
      <c r="H50" s="590">
        <v>0</v>
      </c>
      <c r="I50" s="590">
        <v>0</v>
      </c>
      <c r="J50" s="590">
        <v>0</v>
      </c>
      <c r="K50" s="590">
        <v>0</v>
      </c>
      <c r="L50" s="591">
        <v>0</v>
      </c>
      <c r="M50" s="591">
        <v>0</v>
      </c>
      <c r="N50" s="591">
        <v>0</v>
      </c>
      <c r="O50" s="591">
        <v>0</v>
      </c>
      <c r="P50" s="591">
        <v>0</v>
      </c>
      <c r="Q50" s="591">
        <v>0</v>
      </c>
      <c r="R50" s="591">
        <v>0</v>
      </c>
      <c r="S50" s="591">
        <v>0</v>
      </c>
      <c r="T50" s="591">
        <v>0</v>
      </c>
      <c r="U50" s="591">
        <v>0</v>
      </c>
      <c r="V50" s="591">
        <v>0</v>
      </c>
      <c r="W50" s="591">
        <v>0</v>
      </c>
      <c r="X50" s="341">
        <f t="shared" si="8"/>
        <v>0</v>
      </c>
    </row>
    <row r="51" spans="1:24" ht="11.25" x14ac:dyDescent="0.2">
      <c r="A51" s="350">
        <v>10</v>
      </c>
      <c r="B51" s="188" t="s">
        <v>1584</v>
      </c>
      <c r="C51" s="327" t="s">
        <v>276</v>
      </c>
      <c r="D51" s="590">
        <v>0</v>
      </c>
      <c r="E51" s="590">
        <v>0</v>
      </c>
      <c r="F51" s="590">
        <v>0</v>
      </c>
      <c r="G51" s="590">
        <v>0</v>
      </c>
      <c r="H51" s="590">
        <v>0</v>
      </c>
      <c r="I51" s="590">
        <v>0</v>
      </c>
      <c r="J51" s="590">
        <v>0</v>
      </c>
      <c r="K51" s="590">
        <v>0</v>
      </c>
      <c r="L51" s="591">
        <v>0</v>
      </c>
      <c r="M51" s="591">
        <v>0</v>
      </c>
      <c r="N51" s="591">
        <v>0</v>
      </c>
      <c r="O51" s="591">
        <v>0</v>
      </c>
      <c r="P51" s="591">
        <v>0</v>
      </c>
      <c r="Q51" s="591">
        <v>0</v>
      </c>
      <c r="R51" s="591">
        <v>0</v>
      </c>
      <c r="S51" s="591">
        <v>0</v>
      </c>
      <c r="T51" s="591">
        <v>0</v>
      </c>
      <c r="U51" s="591">
        <v>0</v>
      </c>
      <c r="V51" s="591">
        <v>0</v>
      </c>
      <c r="W51" s="591">
        <v>0</v>
      </c>
      <c r="X51" s="341">
        <f t="shared" si="8"/>
        <v>0</v>
      </c>
    </row>
    <row r="52" spans="1:24" ht="11.25" x14ac:dyDescent="0.2">
      <c r="A52" s="340">
        <v>11</v>
      </c>
      <c r="C52" s="346" t="s">
        <v>1629</v>
      </c>
      <c r="D52" s="347">
        <f>SUM(D44:D51)</f>
        <v>0</v>
      </c>
      <c r="E52" s="347">
        <f t="shared" ref="E52:W52" si="9">SUM(E44:E51)</f>
        <v>0</v>
      </c>
      <c r="F52" s="347">
        <f t="shared" si="9"/>
        <v>0</v>
      </c>
      <c r="G52" s="347">
        <f t="shared" si="9"/>
        <v>0</v>
      </c>
      <c r="H52" s="347">
        <f t="shared" si="9"/>
        <v>0</v>
      </c>
      <c r="I52" s="347">
        <f t="shared" si="9"/>
        <v>0</v>
      </c>
      <c r="J52" s="347">
        <f t="shared" si="9"/>
        <v>0</v>
      </c>
      <c r="K52" s="347">
        <f t="shared" si="9"/>
        <v>0</v>
      </c>
      <c r="L52" s="347">
        <f t="shared" si="9"/>
        <v>0</v>
      </c>
      <c r="M52" s="347">
        <f t="shared" si="9"/>
        <v>0</v>
      </c>
      <c r="N52" s="347">
        <f t="shared" si="9"/>
        <v>0</v>
      </c>
      <c r="O52" s="347">
        <f t="shared" si="9"/>
        <v>0</v>
      </c>
      <c r="P52" s="347">
        <f t="shared" si="9"/>
        <v>0</v>
      </c>
      <c r="Q52" s="347">
        <f t="shared" si="9"/>
        <v>0</v>
      </c>
      <c r="R52" s="347">
        <f t="shared" si="9"/>
        <v>0</v>
      </c>
      <c r="S52" s="347">
        <f t="shared" si="9"/>
        <v>0</v>
      </c>
      <c r="T52" s="347">
        <f t="shared" si="9"/>
        <v>0</v>
      </c>
      <c r="U52" s="347">
        <f t="shared" si="9"/>
        <v>0</v>
      </c>
      <c r="V52" s="347">
        <f t="shared" si="9"/>
        <v>0</v>
      </c>
      <c r="W52" s="347">
        <f t="shared" si="9"/>
        <v>0</v>
      </c>
      <c r="X52" s="341">
        <f t="shared" si="8"/>
        <v>0</v>
      </c>
    </row>
    <row r="53" spans="1:24" ht="11.25" x14ac:dyDescent="0.2">
      <c r="A53" s="371" t="s">
        <v>1096</v>
      </c>
      <c r="B53" s="369"/>
      <c r="C53" s="348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</row>
    <row r="54" spans="1:24" ht="11.25" x14ac:dyDescent="0.2">
      <c r="A54" s="340">
        <v>5</v>
      </c>
      <c r="B54" s="588" t="s">
        <v>1577</v>
      </c>
      <c r="C54" s="312" t="s">
        <v>228</v>
      </c>
      <c r="D54" s="528">
        <f t="array" ref="D54">SUM(IF(CertFund&amp;CertProg&amp;CertObj&amp;CertGrant=RIGHT(LEFT($A$2,7),2)&amp;LEFT($A$53,4)&amp;$B$54&amp;D$3,CertSalary))</f>
        <v>0</v>
      </c>
      <c r="E54" s="528">
        <f t="array" ref="E54">SUM(IF(CertFund&amp;CertProg&amp;CertObj&amp;CertGrant=RIGHT(LEFT($A$2,7),2)&amp;LEFT($A$53,4)&amp;$B$54&amp;E$3,CertSalary))</f>
        <v>0</v>
      </c>
      <c r="F54" s="528">
        <f t="array" ref="F54">SUM(IF(CertFund&amp;CertProg&amp;CertObj&amp;CertGrant=RIGHT(LEFT($A$2,7),2)&amp;LEFT($A$53,4)&amp;$B$54&amp;F$3,CertSalary))</f>
        <v>0</v>
      </c>
      <c r="G54" s="528">
        <f t="array" ref="G54">SUM(IF(CertFund&amp;CertProg&amp;CertObj&amp;CertGrant=RIGHT(LEFT($A$2,7),2)&amp;LEFT($A$53,4)&amp;$B$54&amp;G$3,CertSalary))</f>
        <v>0</v>
      </c>
      <c r="H54" s="528">
        <f t="array" ref="H54">SUM(IF(CertFund&amp;CertProg&amp;CertObj&amp;CertGrant=RIGHT(LEFT($A$2,7),2)&amp;LEFT($A$53,4)&amp;$B$54&amp;H$3,CertSalary))</f>
        <v>0</v>
      </c>
      <c r="I54" s="528">
        <f t="array" ref="I54">SUM(IF(CertFund&amp;CertProg&amp;CertObj&amp;CertGrant=RIGHT(LEFT($A$2,7),2)&amp;LEFT($A$53,4)&amp;$B$54&amp;I$3,CertSalary))</f>
        <v>0</v>
      </c>
      <c r="J54" s="528">
        <f t="array" ref="J54">SUM(IF(CertFund&amp;CertProg&amp;CertObj&amp;CertGrant=RIGHT(LEFT($A$2,7),2)&amp;LEFT($A$53,4)&amp;$B$54&amp;J$3,CertSalary))</f>
        <v>0</v>
      </c>
      <c r="K54" s="528">
        <f t="array" ref="K54">SUM(IF(CertFund&amp;CertProg&amp;CertObj&amp;CertGrant=RIGHT(LEFT($A$2,7),2)&amp;LEFT($A$53,4)&amp;$B$54&amp;K$3,CertSalary))</f>
        <v>0</v>
      </c>
      <c r="L54" s="528">
        <f t="array" ref="L54">SUM(IF(CertFund&amp;CertProg&amp;CertObj&amp;CertGrant=RIGHT(LEFT($A$2,7),2)&amp;LEFT($A$53,4)&amp;$B$54&amp;L$3,CertSalary))</f>
        <v>0</v>
      </c>
      <c r="M54" s="528">
        <f t="array" ref="M54">SUM(IF(CertFund&amp;CertProg&amp;CertObj&amp;CertGrant=RIGHT(LEFT($A$2,7),2)&amp;LEFT($A$53,4)&amp;$B$54&amp;M$3,CertSalary))</f>
        <v>0</v>
      </c>
      <c r="N54" s="528">
        <f t="array" ref="N54">SUM(IF(CertFund&amp;CertProg&amp;CertObj&amp;CertGrant=RIGHT(LEFT($A$2,7),2)&amp;LEFT($A$53,4)&amp;$B$54&amp;N$3,CertSalary))</f>
        <v>0</v>
      </c>
      <c r="O54" s="528">
        <f t="array" ref="O54">SUM(IF(CertFund&amp;CertProg&amp;CertObj&amp;CertGrant=RIGHT(LEFT($A$2,7),2)&amp;LEFT($A$53,4)&amp;$B$54&amp;O$3,CertSalary))</f>
        <v>0</v>
      </c>
      <c r="P54" s="528">
        <f t="array" ref="P54">SUM(IF(CertFund&amp;CertProg&amp;CertObj&amp;CertGrant=RIGHT(LEFT($A$2,7),2)&amp;LEFT($A$53,4)&amp;$B$54&amp;P$3,CertSalary))</f>
        <v>0</v>
      </c>
      <c r="Q54" s="528">
        <f t="array" ref="Q54">SUM(IF(CertFund&amp;CertProg&amp;CertObj&amp;CertGrant=RIGHT(LEFT($A$2,7),2)&amp;LEFT($A$53,4)&amp;$B$54&amp;Q$3,CertSalary))</f>
        <v>0</v>
      </c>
      <c r="R54" s="528">
        <f t="array" ref="R54">SUM(IF(CertFund&amp;CertProg&amp;CertObj&amp;CertGrant=RIGHT(LEFT($A$2,7),2)&amp;LEFT($A$53,4)&amp;$B$54&amp;R$3,CertSalary))</f>
        <v>0</v>
      </c>
      <c r="S54" s="528">
        <f t="array" ref="S54">SUM(IF(CertFund&amp;CertProg&amp;CertObj&amp;CertGrant=RIGHT(LEFT($A$2,7),2)&amp;LEFT($A$53,4)&amp;$B$54&amp;S$3,CertSalary))</f>
        <v>0</v>
      </c>
      <c r="T54" s="528">
        <f t="array" ref="T54">SUM(IF(CertFund&amp;CertProg&amp;CertObj&amp;CertGrant=RIGHT(LEFT($A$2,7),2)&amp;LEFT($A$53,4)&amp;$B$54&amp;T$3,CertSalary))</f>
        <v>0</v>
      </c>
      <c r="U54" s="528">
        <f t="array" ref="U54">SUM(IF(CertFund&amp;CertProg&amp;CertObj&amp;CertGrant=RIGHT(LEFT($A$2,7),2)&amp;LEFT($A$53,4)&amp;$B$54&amp;U$3,CertSalary))</f>
        <v>0</v>
      </c>
      <c r="V54" s="528">
        <f t="array" ref="V54">SUM(IF(CertFund&amp;CertProg&amp;CertObj&amp;CertGrant=RIGHT(LEFT($A$2,7),2)&amp;LEFT($A$53,4)&amp;$B$54&amp;V$3,CertSalary))</f>
        <v>0</v>
      </c>
      <c r="W54" s="528">
        <f t="array" ref="W54">SUM(IF(CertFund&amp;CertProg&amp;CertObj&amp;CertGrant=RIGHT(LEFT($A$2,7),2)&amp;LEFT($A$53,4)&amp;$B$54&amp;W$3,CertSalary))</f>
        <v>0</v>
      </c>
      <c r="X54" s="347">
        <f t="shared" ref="X54:X62" si="10">SUM(D54:W54)</f>
        <v>0</v>
      </c>
    </row>
    <row r="55" spans="1:24" ht="11.25" x14ac:dyDescent="0.2">
      <c r="A55" s="340" t="s">
        <v>1437</v>
      </c>
      <c r="B55" s="588" t="s">
        <v>1577</v>
      </c>
      <c r="C55" s="312" t="s">
        <v>510</v>
      </c>
      <c r="D55" s="147">
        <v>0</v>
      </c>
      <c r="E55" s="147">
        <v>0</v>
      </c>
      <c r="F55" s="147">
        <v>0</v>
      </c>
      <c r="G55" s="147">
        <v>0</v>
      </c>
      <c r="H55" s="147">
        <v>0</v>
      </c>
      <c r="I55" s="147">
        <v>0</v>
      </c>
      <c r="J55" s="147">
        <v>0</v>
      </c>
      <c r="K55" s="147">
        <v>0</v>
      </c>
      <c r="L55" s="147">
        <v>0</v>
      </c>
      <c r="M55" s="147">
        <v>0</v>
      </c>
      <c r="N55" s="147">
        <v>0</v>
      </c>
      <c r="O55" s="147">
        <v>0</v>
      </c>
      <c r="P55" s="147">
        <v>0</v>
      </c>
      <c r="Q55" s="147">
        <v>0</v>
      </c>
      <c r="R55" s="147">
        <v>0</v>
      </c>
      <c r="S55" s="147">
        <v>0</v>
      </c>
      <c r="T55" s="147">
        <v>0</v>
      </c>
      <c r="U55" s="147">
        <v>0</v>
      </c>
      <c r="V55" s="147">
        <v>0</v>
      </c>
      <c r="W55" s="147">
        <v>0</v>
      </c>
      <c r="X55" s="341">
        <f t="shared" si="10"/>
        <v>0</v>
      </c>
    </row>
    <row r="56" spans="1:24" ht="11.25" x14ac:dyDescent="0.2">
      <c r="A56" s="340">
        <v>6</v>
      </c>
      <c r="B56" s="588" t="s">
        <v>1578</v>
      </c>
      <c r="C56" s="312" t="s">
        <v>76</v>
      </c>
      <c r="D56" s="528">
        <f t="array" ref="D56">SUM(IF(CertFund&amp;CertProg&amp;CertObj&amp;CertGrant=RIGHT(LEFT($A$2,7),2)&amp;LEFT($A$53,4)&amp;$B$54&amp;D$3,CertBen))</f>
        <v>0</v>
      </c>
      <c r="E56" s="528">
        <f t="array" ref="E56">SUM(IF(CertFund&amp;CertProg&amp;CertObj&amp;CertGrant=RIGHT(LEFT($A$2,7),2)&amp;LEFT($A$53,4)&amp;$B$54&amp;E$3,CertBen))</f>
        <v>0</v>
      </c>
      <c r="F56" s="528">
        <f t="array" ref="F56">SUM(IF(CertFund&amp;CertProg&amp;CertObj&amp;CertGrant=RIGHT(LEFT($A$2,7),2)&amp;LEFT($A$53,4)&amp;$B$54&amp;F$3,CertBen))</f>
        <v>0</v>
      </c>
      <c r="G56" s="528">
        <f t="array" ref="G56">SUM(IF(CertFund&amp;CertProg&amp;CertObj&amp;CertGrant=RIGHT(LEFT($A$2,7),2)&amp;LEFT($A$53,4)&amp;$B$54&amp;G$3,CertBen))</f>
        <v>0</v>
      </c>
      <c r="H56" s="528">
        <f t="array" ref="H56">SUM(IF(CertFund&amp;CertProg&amp;CertObj&amp;CertGrant=RIGHT(LEFT($A$2,7),2)&amp;LEFT($A$53,4)&amp;$B$54&amp;H$3,CertBen))</f>
        <v>0</v>
      </c>
      <c r="I56" s="528">
        <f t="array" ref="I56">SUM(IF(CertFund&amp;CertProg&amp;CertObj&amp;CertGrant=RIGHT(LEFT($A$2,7),2)&amp;LEFT($A$53,4)&amp;$B$54&amp;I$3,CertBen))</f>
        <v>0</v>
      </c>
      <c r="J56" s="528">
        <f t="array" ref="J56">SUM(IF(CertFund&amp;CertProg&amp;CertObj&amp;CertGrant=RIGHT(LEFT($A$2,7),2)&amp;LEFT($A$53,4)&amp;$B$54&amp;J$3,CertBen))</f>
        <v>0</v>
      </c>
      <c r="K56" s="528">
        <f t="array" ref="K56">SUM(IF(CertFund&amp;CertProg&amp;CertObj&amp;CertGrant=RIGHT(LEFT($A$2,7),2)&amp;LEFT($A$53,4)&amp;$B$54&amp;K$3,CertBen))</f>
        <v>0</v>
      </c>
      <c r="L56" s="528">
        <f t="array" ref="L56">SUM(IF(CertFund&amp;CertProg&amp;CertObj&amp;CertGrant=RIGHT(LEFT($A$2,7),2)&amp;LEFT($A$53,4)&amp;$B$54&amp;L$3,CertBen))</f>
        <v>0</v>
      </c>
      <c r="M56" s="528">
        <f t="array" ref="M56">SUM(IF(CertFund&amp;CertProg&amp;CertObj&amp;CertGrant=RIGHT(LEFT($A$2,7),2)&amp;LEFT($A$53,4)&amp;$B$54&amp;M$3,CertBen))</f>
        <v>0</v>
      </c>
      <c r="N56" s="528">
        <f t="array" ref="N56">SUM(IF(CertFund&amp;CertProg&amp;CertObj&amp;CertGrant=RIGHT(LEFT($A$2,7),2)&amp;LEFT($A$53,4)&amp;$B$54&amp;N$3,CertBen))</f>
        <v>0</v>
      </c>
      <c r="O56" s="528">
        <f t="array" ref="O56">SUM(IF(CertFund&amp;CertProg&amp;CertObj&amp;CertGrant=RIGHT(LEFT($A$2,7),2)&amp;LEFT($A$53,4)&amp;$B$54&amp;O$3,CertBen))</f>
        <v>0</v>
      </c>
      <c r="P56" s="528">
        <f t="array" ref="P56">SUM(IF(CertFund&amp;CertProg&amp;CertObj&amp;CertGrant=RIGHT(LEFT($A$2,7),2)&amp;LEFT($A$53,4)&amp;$B$54&amp;P$3,CertBen))</f>
        <v>0</v>
      </c>
      <c r="Q56" s="528">
        <f t="array" ref="Q56">SUM(IF(CertFund&amp;CertProg&amp;CertObj&amp;CertGrant=RIGHT(LEFT($A$2,7),2)&amp;LEFT($A$53,4)&amp;$B$54&amp;Q$3,CertBen))</f>
        <v>0</v>
      </c>
      <c r="R56" s="528">
        <f t="array" ref="R56">SUM(IF(CertFund&amp;CertProg&amp;CertObj&amp;CertGrant=RIGHT(LEFT($A$2,7),2)&amp;LEFT($A$53,4)&amp;$B$54&amp;R$3,CertBen))</f>
        <v>0</v>
      </c>
      <c r="S56" s="528">
        <f t="array" ref="S56">SUM(IF(CertFund&amp;CertProg&amp;CertObj&amp;CertGrant=RIGHT(LEFT($A$2,7),2)&amp;LEFT($A$53,4)&amp;$B$54&amp;S$3,CertBen))</f>
        <v>0</v>
      </c>
      <c r="T56" s="528">
        <f t="array" ref="T56">SUM(IF(CertFund&amp;CertProg&amp;CertObj&amp;CertGrant=RIGHT(LEFT($A$2,7),2)&amp;LEFT($A$53,4)&amp;$B$54&amp;T$3,CertBen))</f>
        <v>0</v>
      </c>
      <c r="U56" s="528">
        <f t="array" ref="U56">SUM(IF(CertFund&amp;CertProg&amp;CertObj&amp;CertGrant=RIGHT(LEFT($A$2,7),2)&amp;LEFT($A$53,4)&amp;$B$54&amp;U$3,CertBen))</f>
        <v>0</v>
      </c>
      <c r="V56" s="528">
        <f t="array" ref="V56">SUM(IF(CertFund&amp;CertProg&amp;CertObj&amp;CertGrant=RIGHT(LEFT($A$2,7),2)&amp;LEFT($A$53,4)&amp;$B$54&amp;V$3,CertBen))</f>
        <v>0</v>
      </c>
      <c r="W56" s="528">
        <f t="array" ref="W56">SUM(IF(CertFund&amp;CertProg&amp;CertObj&amp;CertGrant=RIGHT(LEFT($A$2,7),2)&amp;LEFT($A$53,4)&amp;$B$54&amp;W$3,CertBen))</f>
        <v>0</v>
      </c>
      <c r="X56" s="341">
        <f t="shared" si="10"/>
        <v>0</v>
      </c>
    </row>
    <row r="57" spans="1:24" ht="11.25" x14ac:dyDescent="0.2">
      <c r="A57" s="340" t="s">
        <v>1438</v>
      </c>
      <c r="B57" s="588" t="s">
        <v>1578</v>
      </c>
      <c r="C57" s="312" t="s">
        <v>511</v>
      </c>
      <c r="D57" s="590">
        <v>0</v>
      </c>
      <c r="E57" s="590">
        <v>0</v>
      </c>
      <c r="F57" s="590">
        <v>0</v>
      </c>
      <c r="G57" s="590">
        <v>0</v>
      </c>
      <c r="H57" s="590">
        <v>0</v>
      </c>
      <c r="I57" s="590">
        <v>0</v>
      </c>
      <c r="J57" s="590">
        <v>0</v>
      </c>
      <c r="K57" s="590">
        <v>0</v>
      </c>
      <c r="L57" s="590">
        <v>0</v>
      </c>
      <c r="M57" s="590">
        <v>0</v>
      </c>
      <c r="N57" s="590">
        <v>0</v>
      </c>
      <c r="O57" s="590">
        <v>0</v>
      </c>
      <c r="P57" s="590">
        <v>0</v>
      </c>
      <c r="Q57" s="590">
        <v>0</v>
      </c>
      <c r="R57" s="590">
        <v>0</v>
      </c>
      <c r="S57" s="590">
        <v>0</v>
      </c>
      <c r="T57" s="590">
        <v>0</v>
      </c>
      <c r="U57" s="590">
        <v>0</v>
      </c>
      <c r="V57" s="590">
        <v>0</v>
      </c>
      <c r="W57" s="590">
        <v>0</v>
      </c>
      <c r="X57" s="341">
        <f t="shared" si="10"/>
        <v>0</v>
      </c>
    </row>
    <row r="58" spans="1:24" ht="11.25" x14ac:dyDescent="0.2">
      <c r="A58" s="340">
        <v>7</v>
      </c>
      <c r="B58" s="188" t="s">
        <v>1579</v>
      </c>
      <c r="C58" s="329" t="s">
        <v>273</v>
      </c>
      <c r="D58" s="590">
        <v>0</v>
      </c>
      <c r="E58" s="590">
        <v>0</v>
      </c>
      <c r="F58" s="590">
        <v>0</v>
      </c>
      <c r="G58" s="590">
        <v>0</v>
      </c>
      <c r="H58" s="590">
        <v>0</v>
      </c>
      <c r="I58" s="590">
        <v>0</v>
      </c>
      <c r="J58" s="590">
        <v>0</v>
      </c>
      <c r="K58" s="590">
        <v>0</v>
      </c>
      <c r="L58" s="591">
        <v>0</v>
      </c>
      <c r="M58" s="591">
        <v>0</v>
      </c>
      <c r="N58" s="591">
        <v>0</v>
      </c>
      <c r="O58" s="591">
        <v>0</v>
      </c>
      <c r="P58" s="591">
        <v>0</v>
      </c>
      <c r="Q58" s="591">
        <v>0</v>
      </c>
      <c r="R58" s="591">
        <v>0</v>
      </c>
      <c r="S58" s="591">
        <v>0</v>
      </c>
      <c r="T58" s="591">
        <v>0</v>
      </c>
      <c r="U58" s="591">
        <v>0</v>
      </c>
      <c r="V58" s="591">
        <v>0</v>
      </c>
      <c r="W58" s="591">
        <v>0</v>
      </c>
      <c r="X58" s="341">
        <f t="shared" si="10"/>
        <v>0</v>
      </c>
    </row>
    <row r="59" spans="1:24" ht="11.25" x14ac:dyDescent="0.2">
      <c r="A59" s="340">
        <v>8</v>
      </c>
      <c r="B59" s="188" t="s">
        <v>1581</v>
      </c>
      <c r="C59" s="329" t="s">
        <v>274</v>
      </c>
      <c r="D59" s="590">
        <v>0</v>
      </c>
      <c r="E59" s="590">
        <v>0</v>
      </c>
      <c r="F59" s="590">
        <v>0</v>
      </c>
      <c r="G59" s="590">
        <v>0</v>
      </c>
      <c r="H59" s="590">
        <v>0</v>
      </c>
      <c r="I59" s="590">
        <v>0</v>
      </c>
      <c r="J59" s="590">
        <v>0</v>
      </c>
      <c r="K59" s="590">
        <v>0</v>
      </c>
      <c r="L59" s="591">
        <v>0</v>
      </c>
      <c r="M59" s="591">
        <v>0</v>
      </c>
      <c r="N59" s="591">
        <v>0</v>
      </c>
      <c r="O59" s="591">
        <v>0</v>
      </c>
      <c r="P59" s="591">
        <v>0</v>
      </c>
      <c r="Q59" s="591">
        <v>0</v>
      </c>
      <c r="R59" s="591">
        <v>0</v>
      </c>
      <c r="S59" s="591">
        <v>0</v>
      </c>
      <c r="T59" s="591">
        <v>0</v>
      </c>
      <c r="U59" s="591">
        <v>0</v>
      </c>
      <c r="V59" s="591">
        <v>0</v>
      </c>
      <c r="W59" s="591">
        <v>0</v>
      </c>
      <c r="X59" s="341">
        <f t="shared" si="10"/>
        <v>0</v>
      </c>
    </row>
    <row r="60" spans="1:24" ht="11.25" x14ac:dyDescent="0.2">
      <c r="A60" s="340">
        <v>9</v>
      </c>
      <c r="B60" s="188" t="s">
        <v>1582</v>
      </c>
      <c r="C60" s="329" t="s">
        <v>275</v>
      </c>
      <c r="D60" s="590">
        <v>0</v>
      </c>
      <c r="E60" s="590">
        <v>0</v>
      </c>
      <c r="F60" s="590">
        <v>0</v>
      </c>
      <c r="G60" s="590">
        <v>0</v>
      </c>
      <c r="H60" s="590">
        <v>0</v>
      </c>
      <c r="I60" s="590">
        <v>0</v>
      </c>
      <c r="J60" s="590">
        <v>0</v>
      </c>
      <c r="K60" s="590">
        <v>0</v>
      </c>
      <c r="L60" s="591">
        <v>0</v>
      </c>
      <c r="M60" s="591">
        <v>0</v>
      </c>
      <c r="N60" s="591">
        <v>0</v>
      </c>
      <c r="O60" s="591">
        <v>0</v>
      </c>
      <c r="P60" s="591">
        <v>0</v>
      </c>
      <c r="Q60" s="591">
        <v>0</v>
      </c>
      <c r="R60" s="591">
        <v>0</v>
      </c>
      <c r="S60" s="591">
        <v>0</v>
      </c>
      <c r="T60" s="591">
        <v>0</v>
      </c>
      <c r="U60" s="591">
        <v>0</v>
      </c>
      <c r="V60" s="591">
        <v>0</v>
      </c>
      <c r="W60" s="591">
        <v>0</v>
      </c>
      <c r="X60" s="341">
        <f t="shared" si="10"/>
        <v>0</v>
      </c>
    </row>
    <row r="61" spans="1:24" ht="11.25" x14ac:dyDescent="0.2">
      <c r="A61" s="350">
        <v>10</v>
      </c>
      <c r="B61" s="188" t="s">
        <v>1584</v>
      </c>
      <c r="C61" s="327" t="s">
        <v>276</v>
      </c>
      <c r="D61" s="590">
        <v>0</v>
      </c>
      <c r="E61" s="590">
        <v>0</v>
      </c>
      <c r="F61" s="590">
        <v>0</v>
      </c>
      <c r="G61" s="590">
        <v>0</v>
      </c>
      <c r="H61" s="590">
        <v>0</v>
      </c>
      <c r="I61" s="590">
        <v>0</v>
      </c>
      <c r="J61" s="590">
        <v>0</v>
      </c>
      <c r="K61" s="590">
        <v>0</v>
      </c>
      <c r="L61" s="591">
        <v>0</v>
      </c>
      <c r="M61" s="591">
        <v>0</v>
      </c>
      <c r="N61" s="591">
        <v>0</v>
      </c>
      <c r="O61" s="591">
        <v>0</v>
      </c>
      <c r="P61" s="591">
        <v>0</v>
      </c>
      <c r="Q61" s="591">
        <v>0</v>
      </c>
      <c r="R61" s="591">
        <v>0</v>
      </c>
      <c r="S61" s="591">
        <v>0</v>
      </c>
      <c r="T61" s="591">
        <v>0</v>
      </c>
      <c r="U61" s="591">
        <v>0</v>
      </c>
      <c r="V61" s="591">
        <v>0</v>
      </c>
      <c r="W61" s="591">
        <v>0</v>
      </c>
      <c r="X61" s="341">
        <f t="shared" si="10"/>
        <v>0</v>
      </c>
    </row>
    <row r="62" spans="1:24" ht="11.25" x14ac:dyDescent="0.2">
      <c r="A62" s="340">
        <v>11</v>
      </c>
      <c r="C62" s="346" t="s">
        <v>1630</v>
      </c>
      <c r="D62" s="347">
        <f>SUM(D54:D61)</f>
        <v>0</v>
      </c>
      <c r="E62" s="347">
        <f t="shared" ref="E62:W62" si="11">SUM(E54:E61)</f>
        <v>0</v>
      </c>
      <c r="F62" s="347">
        <f t="shared" si="11"/>
        <v>0</v>
      </c>
      <c r="G62" s="347">
        <f t="shared" si="11"/>
        <v>0</v>
      </c>
      <c r="H62" s="347">
        <f t="shared" si="11"/>
        <v>0</v>
      </c>
      <c r="I62" s="347">
        <f t="shared" si="11"/>
        <v>0</v>
      </c>
      <c r="J62" s="347">
        <f t="shared" si="11"/>
        <v>0</v>
      </c>
      <c r="K62" s="347">
        <f t="shared" si="11"/>
        <v>0</v>
      </c>
      <c r="L62" s="347">
        <f t="shared" si="11"/>
        <v>0</v>
      </c>
      <c r="M62" s="347">
        <f t="shared" si="11"/>
        <v>0</v>
      </c>
      <c r="N62" s="347">
        <f t="shared" si="11"/>
        <v>0</v>
      </c>
      <c r="O62" s="347">
        <f t="shared" si="11"/>
        <v>0</v>
      </c>
      <c r="P62" s="347">
        <f t="shared" si="11"/>
        <v>0</v>
      </c>
      <c r="Q62" s="347">
        <f t="shared" si="11"/>
        <v>0</v>
      </c>
      <c r="R62" s="347">
        <f t="shared" si="11"/>
        <v>0</v>
      </c>
      <c r="S62" s="347">
        <f t="shared" si="11"/>
        <v>0</v>
      </c>
      <c r="T62" s="347">
        <f t="shared" si="11"/>
        <v>0</v>
      </c>
      <c r="U62" s="347">
        <f t="shared" si="11"/>
        <v>0</v>
      </c>
      <c r="V62" s="347">
        <f t="shared" si="11"/>
        <v>0</v>
      </c>
      <c r="W62" s="347">
        <f t="shared" si="11"/>
        <v>0</v>
      </c>
      <c r="X62" s="341">
        <f t="shared" si="10"/>
        <v>0</v>
      </c>
    </row>
    <row r="63" spans="1:24" ht="11.25" x14ac:dyDescent="0.2">
      <c r="A63" s="370" t="s">
        <v>641</v>
      </c>
      <c r="B63" s="369"/>
      <c r="C63" s="348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</row>
    <row r="64" spans="1:24" ht="11.25" x14ac:dyDescent="0.2">
      <c r="A64" s="370" t="s">
        <v>642</v>
      </c>
      <c r="B64" s="369"/>
      <c r="C64" s="348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</row>
    <row r="65" spans="1:24" ht="11.25" x14ac:dyDescent="0.2">
      <c r="A65" s="370" t="s">
        <v>656</v>
      </c>
      <c r="B65" s="369"/>
      <c r="C65" s="348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</row>
    <row r="66" spans="1:24" ht="11.25" x14ac:dyDescent="0.2">
      <c r="A66" s="370" t="s">
        <v>658</v>
      </c>
      <c r="B66" s="369"/>
      <c r="C66" s="348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</row>
    <row r="67" spans="1:24" ht="11.25" x14ac:dyDescent="0.2">
      <c r="A67" s="370" t="s">
        <v>660</v>
      </c>
      <c r="B67" s="369"/>
      <c r="C67" s="348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</row>
    <row r="68" spans="1:24" ht="11.25" x14ac:dyDescent="0.2">
      <c r="A68" s="370" t="s">
        <v>662</v>
      </c>
      <c r="B68" s="369"/>
      <c r="C68" s="348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</row>
    <row r="69" spans="1:24" ht="11.25" x14ac:dyDescent="0.2">
      <c r="A69" s="370" t="s">
        <v>667</v>
      </c>
      <c r="B69" s="369"/>
      <c r="C69" s="348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</row>
    <row r="70" spans="1:24" ht="11.25" x14ac:dyDescent="0.2">
      <c r="A70" s="340">
        <v>12</v>
      </c>
      <c r="B70" s="588" t="s">
        <v>1577</v>
      </c>
      <c r="C70" s="312" t="s">
        <v>228</v>
      </c>
      <c r="D70" s="528">
        <f t="array" ref="D70">SUM(IF(CertFund&amp;CertProg&amp;CertObj&amp;CertGrant=RIGHT(LEFT($A$2,7),2)&amp;LEFT($A$63,4)&amp;$B$70&amp;D$3,CertSalary))+SUM(IF(CertFund&amp;CertProg&amp;CertObj&amp;CertGrant=RIGHT(LEFT($A$2,7),2)&amp;LEFT($A$64,4)&amp;$B$70&amp;D$3,CertSalary))+SUM(IF(CertFund&amp;CertProg&amp;CertObj&amp;CertGrant=RIGHT(LEFT($A$2,7),2)&amp;LEFT($A$65,4)&amp;$B$70&amp;D$3,CertSalary))+SUM(IF(CertFund&amp;CertProg&amp;CertObj&amp;CertGrant=RIGHT(LEFT($A$2,7),2)&amp;LEFT($A$66,4)&amp;$B$70&amp;D$3,CertSalary))+SUM(IF(CertFund&amp;CertProg&amp;CertObj&amp;CertGrant=RIGHT(LEFT($A$2,7),2)&amp;LEFT($A$67,4)&amp;$B$70&amp;D$3,CertSalary))+SUM(IF(CertFund&amp;CertProg&amp;CertObj&amp;CertGrant=RIGHT(LEFT($A$2,7),2)&amp;LEFT($A$68,4)&amp;$B$70&amp;D$3,CertSalary))+SUM(IF(CertFund&amp;CertProg&amp;CertObj&amp;CertGrant=RIGHT(LEFT($A$2,7),2)&amp;LEFT($A$69,4)&amp;$B$70&amp;D$3,CertSalary))</f>
        <v>0</v>
      </c>
      <c r="E70" s="528">
        <f t="array" ref="E70">SUM(IF(CertFund&amp;CertProg&amp;CertObj&amp;CertGrant=RIGHT(LEFT($A$2,7),2)&amp;LEFT($A$63,4)&amp;$B$70&amp;E$3,CertSalary))+SUM(IF(CertFund&amp;CertProg&amp;CertObj&amp;CertGrant=RIGHT(LEFT($A$2,7),2)&amp;LEFT($A$64,4)&amp;$B$70&amp;E$3,CertSalary))+SUM(IF(CertFund&amp;CertProg&amp;CertObj&amp;CertGrant=RIGHT(LEFT($A$2,7),2)&amp;LEFT($A$65,4)&amp;$B$70&amp;E$3,CertSalary))+SUM(IF(CertFund&amp;CertProg&amp;CertObj&amp;CertGrant=RIGHT(LEFT($A$2,7),2)&amp;LEFT($A$66,4)&amp;$B$70&amp;E$3,CertSalary))+SUM(IF(CertFund&amp;CertProg&amp;CertObj&amp;CertGrant=RIGHT(LEFT($A$2,7),2)&amp;LEFT($A$67,4)&amp;$B$70&amp;E$3,CertSalary))+SUM(IF(CertFund&amp;CertProg&amp;CertObj&amp;CertGrant=RIGHT(LEFT($A$2,7),2)&amp;LEFT($A$68,4)&amp;$B$70&amp;E$3,CertSalary))+SUM(IF(CertFund&amp;CertProg&amp;CertObj&amp;CertGrant=RIGHT(LEFT($A$2,7),2)&amp;LEFT($A$69,4)&amp;$B$70&amp;E$3,CertSalary))</f>
        <v>0</v>
      </c>
      <c r="F70" s="528">
        <f t="array" ref="F70">SUM(IF(CertFund&amp;CertProg&amp;CertObj&amp;CertGrant=RIGHT(LEFT($A$2,7),2)&amp;LEFT($A$63,4)&amp;$B$70&amp;F$3,CertSalary))+SUM(IF(CertFund&amp;CertProg&amp;CertObj&amp;CertGrant=RIGHT(LEFT($A$2,7),2)&amp;LEFT($A$64,4)&amp;$B$70&amp;F$3,CertSalary))+SUM(IF(CertFund&amp;CertProg&amp;CertObj&amp;CertGrant=RIGHT(LEFT($A$2,7),2)&amp;LEFT($A$65,4)&amp;$B$70&amp;F$3,CertSalary))+SUM(IF(CertFund&amp;CertProg&amp;CertObj&amp;CertGrant=RIGHT(LEFT($A$2,7),2)&amp;LEFT($A$66,4)&amp;$B$70&amp;F$3,CertSalary))+SUM(IF(CertFund&amp;CertProg&amp;CertObj&amp;CertGrant=RIGHT(LEFT($A$2,7),2)&amp;LEFT($A$67,4)&amp;$B$70&amp;F$3,CertSalary))+SUM(IF(CertFund&amp;CertProg&amp;CertObj&amp;CertGrant=RIGHT(LEFT($A$2,7),2)&amp;LEFT($A$68,4)&amp;$B$70&amp;F$3,CertSalary))+SUM(IF(CertFund&amp;CertProg&amp;CertObj&amp;CertGrant=RIGHT(LEFT($A$2,7),2)&amp;LEFT($A$69,4)&amp;$B$70&amp;F$3,CertSalary))</f>
        <v>0</v>
      </c>
      <c r="G70" s="528">
        <f t="array" ref="G70">SUM(IF(CertFund&amp;CertProg&amp;CertObj&amp;CertGrant=RIGHT(LEFT($A$2,7),2)&amp;LEFT($A$63,4)&amp;$B$70&amp;G$3,CertSalary))+SUM(IF(CertFund&amp;CertProg&amp;CertObj&amp;CertGrant=RIGHT(LEFT($A$2,7),2)&amp;LEFT($A$64,4)&amp;$B$70&amp;G$3,CertSalary))+SUM(IF(CertFund&amp;CertProg&amp;CertObj&amp;CertGrant=RIGHT(LEFT($A$2,7),2)&amp;LEFT($A$65,4)&amp;$B$70&amp;G$3,CertSalary))+SUM(IF(CertFund&amp;CertProg&amp;CertObj&amp;CertGrant=RIGHT(LEFT($A$2,7),2)&amp;LEFT($A$66,4)&amp;$B$70&amp;G$3,CertSalary))+SUM(IF(CertFund&amp;CertProg&amp;CertObj&amp;CertGrant=RIGHT(LEFT($A$2,7),2)&amp;LEFT($A$67,4)&amp;$B$70&amp;G$3,CertSalary))+SUM(IF(CertFund&amp;CertProg&amp;CertObj&amp;CertGrant=RIGHT(LEFT($A$2,7),2)&amp;LEFT($A$68,4)&amp;$B$70&amp;G$3,CertSalary))+SUM(IF(CertFund&amp;CertProg&amp;CertObj&amp;CertGrant=RIGHT(LEFT($A$2,7),2)&amp;LEFT($A$69,4)&amp;$B$70&amp;G$3,CertSalary))</f>
        <v>0</v>
      </c>
      <c r="H70" s="528">
        <f t="array" ref="H70">SUM(IF(CertFund&amp;CertProg&amp;CertObj&amp;CertGrant=RIGHT(LEFT($A$2,7),2)&amp;LEFT($A$63,4)&amp;$B$70&amp;H$3,CertSalary))+SUM(IF(CertFund&amp;CertProg&amp;CertObj&amp;CertGrant=RIGHT(LEFT($A$2,7),2)&amp;LEFT($A$64,4)&amp;$B$70&amp;H$3,CertSalary))+SUM(IF(CertFund&amp;CertProg&amp;CertObj&amp;CertGrant=RIGHT(LEFT($A$2,7),2)&amp;LEFT($A$65,4)&amp;$B$70&amp;H$3,CertSalary))+SUM(IF(CertFund&amp;CertProg&amp;CertObj&amp;CertGrant=RIGHT(LEFT($A$2,7),2)&amp;LEFT($A$66,4)&amp;$B$70&amp;H$3,CertSalary))+SUM(IF(CertFund&amp;CertProg&amp;CertObj&amp;CertGrant=RIGHT(LEFT($A$2,7),2)&amp;LEFT($A$67,4)&amp;$B$70&amp;H$3,CertSalary))+SUM(IF(CertFund&amp;CertProg&amp;CertObj&amp;CertGrant=RIGHT(LEFT($A$2,7),2)&amp;LEFT($A$68,4)&amp;$B$70&amp;H$3,CertSalary))+SUM(IF(CertFund&amp;CertProg&amp;CertObj&amp;CertGrant=RIGHT(LEFT($A$2,7),2)&amp;LEFT($A$69,4)&amp;$B$70&amp;H$3,CertSalary))</f>
        <v>0</v>
      </c>
      <c r="I70" s="528">
        <f t="array" ref="I70">SUM(IF(CertFund&amp;CertProg&amp;CertObj&amp;CertGrant=RIGHT(LEFT($A$2,7),2)&amp;LEFT($A$63,4)&amp;$B$70&amp;I$3,CertSalary))+SUM(IF(CertFund&amp;CertProg&amp;CertObj&amp;CertGrant=RIGHT(LEFT($A$2,7),2)&amp;LEFT($A$64,4)&amp;$B$70&amp;I$3,CertSalary))+SUM(IF(CertFund&amp;CertProg&amp;CertObj&amp;CertGrant=RIGHT(LEFT($A$2,7),2)&amp;LEFT($A$65,4)&amp;$B$70&amp;I$3,CertSalary))+SUM(IF(CertFund&amp;CertProg&amp;CertObj&amp;CertGrant=RIGHT(LEFT($A$2,7),2)&amp;LEFT($A$66,4)&amp;$B$70&amp;I$3,CertSalary))+SUM(IF(CertFund&amp;CertProg&amp;CertObj&amp;CertGrant=RIGHT(LEFT($A$2,7),2)&amp;LEFT($A$67,4)&amp;$B$70&amp;I$3,CertSalary))+SUM(IF(CertFund&amp;CertProg&amp;CertObj&amp;CertGrant=RIGHT(LEFT($A$2,7),2)&amp;LEFT($A$68,4)&amp;$B$70&amp;I$3,CertSalary))+SUM(IF(CertFund&amp;CertProg&amp;CertObj&amp;CertGrant=RIGHT(LEFT($A$2,7),2)&amp;LEFT($A$69,4)&amp;$B$70&amp;I$3,CertSalary))</f>
        <v>0</v>
      </c>
      <c r="J70" s="528">
        <f t="array" ref="J70">SUM(IF(CertFund&amp;CertProg&amp;CertObj&amp;CertGrant=RIGHT(LEFT($A$2,7),2)&amp;LEFT($A$63,4)&amp;$B$70&amp;J$3,CertSalary))+SUM(IF(CertFund&amp;CertProg&amp;CertObj&amp;CertGrant=RIGHT(LEFT($A$2,7),2)&amp;LEFT($A$64,4)&amp;$B$70&amp;J$3,CertSalary))+SUM(IF(CertFund&amp;CertProg&amp;CertObj&amp;CertGrant=RIGHT(LEFT($A$2,7),2)&amp;LEFT($A$65,4)&amp;$B$70&amp;J$3,CertSalary))+SUM(IF(CertFund&amp;CertProg&amp;CertObj&amp;CertGrant=RIGHT(LEFT($A$2,7),2)&amp;LEFT($A$66,4)&amp;$B$70&amp;J$3,CertSalary))+SUM(IF(CertFund&amp;CertProg&amp;CertObj&amp;CertGrant=RIGHT(LEFT($A$2,7),2)&amp;LEFT($A$67,4)&amp;$B$70&amp;J$3,CertSalary))+SUM(IF(CertFund&amp;CertProg&amp;CertObj&amp;CertGrant=RIGHT(LEFT($A$2,7),2)&amp;LEFT($A$68,4)&amp;$B$70&amp;J$3,CertSalary))+SUM(IF(CertFund&amp;CertProg&amp;CertObj&amp;CertGrant=RIGHT(LEFT($A$2,7),2)&amp;LEFT($A$69,4)&amp;$B$70&amp;J$3,CertSalary))</f>
        <v>0</v>
      </c>
      <c r="K70" s="528">
        <f t="array" ref="K70">SUM(IF(CertFund&amp;CertProg&amp;CertObj&amp;CertGrant=RIGHT(LEFT($A$2,7),2)&amp;LEFT($A$63,4)&amp;$B$70&amp;K$3,CertSalary))+SUM(IF(CertFund&amp;CertProg&amp;CertObj&amp;CertGrant=RIGHT(LEFT($A$2,7),2)&amp;LEFT($A$64,4)&amp;$B$70&amp;K$3,CertSalary))+SUM(IF(CertFund&amp;CertProg&amp;CertObj&amp;CertGrant=RIGHT(LEFT($A$2,7),2)&amp;LEFT($A$65,4)&amp;$B$70&amp;K$3,CertSalary))+SUM(IF(CertFund&amp;CertProg&amp;CertObj&amp;CertGrant=RIGHT(LEFT($A$2,7),2)&amp;LEFT($A$66,4)&amp;$B$70&amp;K$3,CertSalary))+SUM(IF(CertFund&amp;CertProg&amp;CertObj&amp;CertGrant=RIGHT(LEFT($A$2,7),2)&amp;LEFT($A$67,4)&amp;$B$70&amp;K$3,CertSalary))+SUM(IF(CertFund&amp;CertProg&amp;CertObj&amp;CertGrant=RIGHT(LEFT($A$2,7),2)&amp;LEFT($A$68,4)&amp;$B$70&amp;K$3,CertSalary))+SUM(IF(CertFund&amp;CertProg&amp;CertObj&amp;CertGrant=RIGHT(LEFT($A$2,7),2)&amp;LEFT($A$69,4)&amp;$B$70&amp;K$3,CertSalary))</f>
        <v>0</v>
      </c>
      <c r="L70" s="528">
        <f t="array" ref="L70">SUM(IF(CertFund&amp;CertProg&amp;CertObj&amp;CertGrant=RIGHT(LEFT($A$2,7),2)&amp;LEFT($A$63,4)&amp;$B$70&amp;L$3,CertSalary))+SUM(IF(CertFund&amp;CertProg&amp;CertObj&amp;CertGrant=RIGHT(LEFT($A$2,7),2)&amp;LEFT($A$64,4)&amp;$B$70&amp;L$3,CertSalary))+SUM(IF(CertFund&amp;CertProg&amp;CertObj&amp;CertGrant=RIGHT(LEFT($A$2,7),2)&amp;LEFT($A$65,4)&amp;$B$70&amp;L$3,CertSalary))+SUM(IF(CertFund&amp;CertProg&amp;CertObj&amp;CertGrant=RIGHT(LEFT($A$2,7),2)&amp;LEFT($A$66,4)&amp;$B$70&amp;L$3,CertSalary))+SUM(IF(CertFund&amp;CertProg&amp;CertObj&amp;CertGrant=RIGHT(LEFT($A$2,7),2)&amp;LEFT($A$67,4)&amp;$B$70&amp;L$3,CertSalary))+SUM(IF(CertFund&amp;CertProg&amp;CertObj&amp;CertGrant=RIGHT(LEFT($A$2,7),2)&amp;LEFT($A$68,4)&amp;$B$70&amp;L$3,CertSalary))+SUM(IF(CertFund&amp;CertProg&amp;CertObj&amp;CertGrant=RIGHT(LEFT($A$2,7),2)&amp;LEFT($A$69,4)&amp;$B$70&amp;L$3,CertSalary))</f>
        <v>0</v>
      </c>
      <c r="M70" s="528">
        <f t="array" ref="M70">SUM(IF(CertFund&amp;CertProg&amp;CertObj&amp;CertGrant=RIGHT(LEFT($A$2,7),2)&amp;LEFT($A$63,4)&amp;$B$70&amp;M$3,CertSalary))+SUM(IF(CertFund&amp;CertProg&amp;CertObj&amp;CertGrant=RIGHT(LEFT($A$2,7),2)&amp;LEFT($A$64,4)&amp;$B$70&amp;M$3,CertSalary))+SUM(IF(CertFund&amp;CertProg&amp;CertObj&amp;CertGrant=RIGHT(LEFT($A$2,7),2)&amp;LEFT($A$65,4)&amp;$B$70&amp;M$3,CertSalary))+SUM(IF(CertFund&amp;CertProg&amp;CertObj&amp;CertGrant=RIGHT(LEFT($A$2,7),2)&amp;LEFT($A$66,4)&amp;$B$70&amp;M$3,CertSalary))+SUM(IF(CertFund&amp;CertProg&amp;CertObj&amp;CertGrant=RIGHT(LEFT($A$2,7),2)&amp;LEFT($A$67,4)&amp;$B$70&amp;M$3,CertSalary))+SUM(IF(CertFund&amp;CertProg&amp;CertObj&amp;CertGrant=RIGHT(LEFT($A$2,7),2)&amp;LEFT($A$68,4)&amp;$B$70&amp;M$3,CertSalary))+SUM(IF(CertFund&amp;CertProg&amp;CertObj&amp;CertGrant=RIGHT(LEFT($A$2,7),2)&amp;LEFT($A$69,4)&amp;$B$70&amp;M$3,CertSalary))</f>
        <v>0</v>
      </c>
      <c r="N70" s="528">
        <f t="array" ref="N70">SUM(IF(CertFund&amp;CertProg&amp;CertObj&amp;CertGrant=RIGHT(LEFT($A$2,7),2)&amp;LEFT($A$63,4)&amp;$B$70&amp;N$3,CertSalary))+SUM(IF(CertFund&amp;CertProg&amp;CertObj&amp;CertGrant=RIGHT(LEFT($A$2,7),2)&amp;LEFT($A$64,4)&amp;$B$70&amp;N$3,CertSalary))+SUM(IF(CertFund&amp;CertProg&amp;CertObj&amp;CertGrant=RIGHT(LEFT($A$2,7),2)&amp;LEFT($A$65,4)&amp;$B$70&amp;N$3,CertSalary))+SUM(IF(CertFund&amp;CertProg&amp;CertObj&amp;CertGrant=RIGHT(LEFT($A$2,7),2)&amp;LEFT($A$66,4)&amp;$B$70&amp;N$3,CertSalary))+SUM(IF(CertFund&amp;CertProg&amp;CertObj&amp;CertGrant=RIGHT(LEFT($A$2,7),2)&amp;LEFT($A$67,4)&amp;$B$70&amp;N$3,CertSalary))+SUM(IF(CertFund&amp;CertProg&amp;CertObj&amp;CertGrant=RIGHT(LEFT($A$2,7),2)&amp;LEFT($A$68,4)&amp;$B$70&amp;N$3,CertSalary))+SUM(IF(CertFund&amp;CertProg&amp;CertObj&amp;CertGrant=RIGHT(LEFT($A$2,7),2)&amp;LEFT($A$69,4)&amp;$B$70&amp;N$3,CertSalary))</f>
        <v>0</v>
      </c>
      <c r="O70" s="528">
        <f t="array" ref="O70">SUM(IF(CertFund&amp;CertProg&amp;CertObj&amp;CertGrant=RIGHT(LEFT($A$2,7),2)&amp;LEFT($A$63,4)&amp;$B$70&amp;O$3,CertSalary))+SUM(IF(CertFund&amp;CertProg&amp;CertObj&amp;CertGrant=RIGHT(LEFT($A$2,7),2)&amp;LEFT($A$64,4)&amp;$B$70&amp;O$3,CertSalary))+SUM(IF(CertFund&amp;CertProg&amp;CertObj&amp;CertGrant=RIGHT(LEFT($A$2,7),2)&amp;LEFT($A$65,4)&amp;$B$70&amp;O$3,CertSalary))+SUM(IF(CertFund&amp;CertProg&amp;CertObj&amp;CertGrant=RIGHT(LEFT($A$2,7),2)&amp;LEFT($A$66,4)&amp;$B$70&amp;O$3,CertSalary))+SUM(IF(CertFund&amp;CertProg&amp;CertObj&amp;CertGrant=RIGHT(LEFT($A$2,7),2)&amp;LEFT($A$67,4)&amp;$B$70&amp;O$3,CertSalary))+SUM(IF(CertFund&amp;CertProg&amp;CertObj&amp;CertGrant=RIGHT(LEFT($A$2,7),2)&amp;LEFT($A$68,4)&amp;$B$70&amp;O$3,CertSalary))+SUM(IF(CertFund&amp;CertProg&amp;CertObj&amp;CertGrant=RIGHT(LEFT($A$2,7),2)&amp;LEFT($A$69,4)&amp;$B$70&amp;O$3,CertSalary))</f>
        <v>0</v>
      </c>
      <c r="P70" s="528">
        <f t="array" ref="P70">SUM(IF(CertFund&amp;CertProg&amp;CertObj&amp;CertGrant=RIGHT(LEFT($A$2,7),2)&amp;LEFT($A$63,4)&amp;$B$70&amp;P$3,CertSalary))+SUM(IF(CertFund&amp;CertProg&amp;CertObj&amp;CertGrant=RIGHT(LEFT($A$2,7),2)&amp;LEFT($A$64,4)&amp;$B$70&amp;P$3,CertSalary))+SUM(IF(CertFund&amp;CertProg&amp;CertObj&amp;CertGrant=RIGHT(LEFT($A$2,7),2)&amp;LEFT($A$65,4)&amp;$B$70&amp;P$3,CertSalary))+SUM(IF(CertFund&amp;CertProg&amp;CertObj&amp;CertGrant=RIGHT(LEFT($A$2,7),2)&amp;LEFT($A$66,4)&amp;$B$70&amp;P$3,CertSalary))+SUM(IF(CertFund&amp;CertProg&amp;CertObj&amp;CertGrant=RIGHT(LEFT($A$2,7),2)&amp;LEFT($A$67,4)&amp;$B$70&amp;P$3,CertSalary))+SUM(IF(CertFund&amp;CertProg&amp;CertObj&amp;CertGrant=RIGHT(LEFT($A$2,7),2)&amp;LEFT($A$68,4)&amp;$B$70&amp;P$3,CertSalary))+SUM(IF(CertFund&amp;CertProg&amp;CertObj&amp;CertGrant=RIGHT(LEFT($A$2,7),2)&amp;LEFT($A$69,4)&amp;$B$70&amp;P$3,CertSalary))</f>
        <v>0</v>
      </c>
      <c r="Q70" s="528">
        <f t="array" ref="Q70">SUM(IF(CertFund&amp;CertProg&amp;CertObj&amp;CertGrant=RIGHT(LEFT($A$2,7),2)&amp;LEFT($A$63,4)&amp;$B$70&amp;Q$3,CertSalary))+SUM(IF(CertFund&amp;CertProg&amp;CertObj&amp;CertGrant=RIGHT(LEFT($A$2,7),2)&amp;LEFT($A$64,4)&amp;$B$70&amp;Q$3,CertSalary))+SUM(IF(CertFund&amp;CertProg&amp;CertObj&amp;CertGrant=RIGHT(LEFT($A$2,7),2)&amp;LEFT($A$65,4)&amp;$B$70&amp;Q$3,CertSalary))+SUM(IF(CertFund&amp;CertProg&amp;CertObj&amp;CertGrant=RIGHT(LEFT($A$2,7),2)&amp;LEFT($A$66,4)&amp;$B$70&amp;Q$3,CertSalary))+SUM(IF(CertFund&amp;CertProg&amp;CertObj&amp;CertGrant=RIGHT(LEFT($A$2,7),2)&amp;LEFT($A$67,4)&amp;$B$70&amp;Q$3,CertSalary))+SUM(IF(CertFund&amp;CertProg&amp;CertObj&amp;CertGrant=RIGHT(LEFT($A$2,7),2)&amp;LEFT($A$68,4)&amp;$B$70&amp;Q$3,CertSalary))+SUM(IF(CertFund&amp;CertProg&amp;CertObj&amp;CertGrant=RIGHT(LEFT($A$2,7),2)&amp;LEFT($A$69,4)&amp;$B$70&amp;Q$3,CertSalary))</f>
        <v>0</v>
      </c>
      <c r="R70" s="528">
        <f t="array" ref="R70">SUM(IF(CertFund&amp;CertProg&amp;CertObj&amp;CertGrant=RIGHT(LEFT($A$2,7),2)&amp;LEFT($A$63,4)&amp;$B$70&amp;R$3,CertSalary))+SUM(IF(CertFund&amp;CertProg&amp;CertObj&amp;CertGrant=RIGHT(LEFT($A$2,7),2)&amp;LEFT($A$64,4)&amp;$B$70&amp;R$3,CertSalary))+SUM(IF(CertFund&amp;CertProg&amp;CertObj&amp;CertGrant=RIGHT(LEFT($A$2,7),2)&amp;LEFT($A$65,4)&amp;$B$70&amp;R$3,CertSalary))+SUM(IF(CertFund&amp;CertProg&amp;CertObj&amp;CertGrant=RIGHT(LEFT($A$2,7),2)&amp;LEFT($A$66,4)&amp;$B$70&amp;R$3,CertSalary))+SUM(IF(CertFund&amp;CertProg&amp;CertObj&amp;CertGrant=RIGHT(LEFT($A$2,7),2)&amp;LEFT($A$67,4)&amp;$B$70&amp;R$3,CertSalary))+SUM(IF(CertFund&amp;CertProg&amp;CertObj&amp;CertGrant=RIGHT(LEFT($A$2,7),2)&amp;LEFT($A$68,4)&amp;$B$70&amp;R$3,CertSalary))+SUM(IF(CertFund&amp;CertProg&amp;CertObj&amp;CertGrant=RIGHT(LEFT($A$2,7),2)&amp;LEFT($A$69,4)&amp;$B$70&amp;R$3,CertSalary))</f>
        <v>0</v>
      </c>
      <c r="S70" s="528">
        <f t="array" ref="S70">SUM(IF(CertFund&amp;CertProg&amp;CertObj&amp;CertGrant=RIGHT(LEFT($A$2,7),2)&amp;LEFT($A$63,4)&amp;$B$70&amp;S$3,CertSalary))+SUM(IF(CertFund&amp;CertProg&amp;CertObj&amp;CertGrant=RIGHT(LEFT($A$2,7),2)&amp;LEFT($A$64,4)&amp;$B$70&amp;S$3,CertSalary))+SUM(IF(CertFund&amp;CertProg&amp;CertObj&amp;CertGrant=RIGHT(LEFT($A$2,7),2)&amp;LEFT($A$65,4)&amp;$B$70&amp;S$3,CertSalary))+SUM(IF(CertFund&amp;CertProg&amp;CertObj&amp;CertGrant=RIGHT(LEFT($A$2,7),2)&amp;LEFT($A$66,4)&amp;$B$70&amp;S$3,CertSalary))+SUM(IF(CertFund&amp;CertProg&amp;CertObj&amp;CertGrant=RIGHT(LEFT($A$2,7),2)&amp;LEFT($A$67,4)&amp;$B$70&amp;S$3,CertSalary))+SUM(IF(CertFund&amp;CertProg&amp;CertObj&amp;CertGrant=RIGHT(LEFT($A$2,7),2)&amp;LEFT($A$68,4)&amp;$B$70&amp;S$3,CertSalary))+SUM(IF(CertFund&amp;CertProg&amp;CertObj&amp;CertGrant=RIGHT(LEFT($A$2,7),2)&amp;LEFT($A$69,4)&amp;$B$70&amp;S$3,CertSalary))</f>
        <v>0</v>
      </c>
      <c r="T70" s="528">
        <f t="array" ref="T70">SUM(IF(CertFund&amp;CertProg&amp;CertObj&amp;CertGrant=RIGHT(LEFT($A$2,7),2)&amp;LEFT($A$63,4)&amp;$B$70&amp;T$3,CertSalary))+SUM(IF(CertFund&amp;CertProg&amp;CertObj&amp;CertGrant=RIGHT(LEFT($A$2,7),2)&amp;LEFT($A$64,4)&amp;$B$70&amp;T$3,CertSalary))+SUM(IF(CertFund&amp;CertProg&amp;CertObj&amp;CertGrant=RIGHT(LEFT($A$2,7),2)&amp;LEFT($A$65,4)&amp;$B$70&amp;T$3,CertSalary))+SUM(IF(CertFund&amp;CertProg&amp;CertObj&amp;CertGrant=RIGHT(LEFT($A$2,7),2)&amp;LEFT($A$66,4)&amp;$B$70&amp;T$3,CertSalary))+SUM(IF(CertFund&amp;CertProg&amp;CertObj&amp;CertGrant=RIGHT(LEFT($A$2,7),2)&amp;LEFT($A$67,4)&amp;$B$70&amp;T$3,CertSalary))+SUM(IF(CertFund&amp;CertProg&amp;CertObj&amp;CertGrant=RIGHT(LEFT($A$2,7),2)&amp;LEFT($A$68,4)&amp;$B$70&amp;T$3,CertSalary))+SUM(IF(CertFund&amp;CertProg&amp;CertObj&amp;CertGrant=RIGHT(LEFT($A$2,7),2)&amp;LEFT($A$69,4)&amp;$B$70&amp;T$3,CertSalary))</f>
        <v>0</v>
      </c>
      <c r="U70" s="528">
        <f t="array" ref="U70">SUM(IF(CertFund&amp;CertProg&amp;CertObj&amp;CertGrant=RIGHT(LEFT($A$2,7),2)&amp;LEFT($A$63,4)&amp;$B$70&amp;U$3,CertSalary))+SUM(IF(CertFund&amp;CertProg&amp;CertObj&amp;CertGrant=RIGHT(LEFT($A$2,7),2)&amp;LEFT($A$64,4)&amp;$B$70&amp;U$3,CertSalary))+SUM(IF(CertFund&amp;CertProg&amp;CertObj&amp;CertGrant=RIGHT(LEFT($A$2,7),2)&amp;LEFT($A$65,4)&amp;$B$70&amp;U$3,CertSalary))+SUM(IF(CertFund&amp;CertProg&amp;CertObj&amp;CertGrant=RIGHT(LEFT($A$2,7),2)&amp;LEFT($A$66,4)&amp;$B$70&amp;U$3,CertSalary))+SUM(IF(CertFund&amp;CertProg&amp;CertObj&amp;CertGrant=RIGHT(LEFT($A$2,7),2)&amp;LEFT($A$67,4)&amp;$B$70&amp;U$3,CertSalary))+SUM(IF(CertFund&amp;CertProg&amp;CertObj&amp;CertGrant=RIGHT(LEFT($A$2,7),2)&amp;LEFT($A$68,4)&amp;$B$70&amp;U$3,CertSalary))+SUM(IF(CertFund&amp;CertProg&amp;CertObj&amp;CertGrant=RIGHT(LEFT($A$2,7),2)&amp;LEFT($A$69,4)&amp;$B$70&amp;U$3,CertSalary))</f>
        <v>0</v>
      </c>
      <c r="V70" s="528">
        <f t="array" ref="V70">SUM(IF(CertFund&amp;CertProg&amp;CertObj&amp;CertGrant=RIGHT(LEFT($A$2,7),2)&amp;LEFT($A$63,4)&amp;$B$70&amp;V$3,CertSalary))+SUM(IF(CertFund&amp;CertProg&amp;CertObj&amp;CertGrant=RIGHT(LEFT($A$2,7),2)&amp;LEFT($A$64,4)&amp;$B$70&amp;V$3,CertSalary))+SUM(IF(CertFund&amp;CertProg&amp;CertObj&amp;CertGrant=RIGHT(LEFT($A$2,7),2)&amp;LEFT($A$65,4)&amp;$B$70&amp;V$3,CertSalary))+SUM(IF(CertFund&amp;CertProg&amp;CertObj&amp;CertGrant=RIGHT(LEFT($A$2,7),2)&amp;LEFT($A$66,4)&amp;$B$70&amp;V$3,CertSalary))+SUM(IF(CertFund&amp;CertProg&amp;CertObj&amp;CertGrant=RIGHT(LEFT($A$2,7),2)&amp;LEFT($A$67,4)&amp;$B$70&amp;V$3,CertSalary))+SUM(IF(CertFund&amp;CertProg&amp;CertObj&amp;CertGrant=RIGHT(LEFT($A$2,7),2)&amp;LEFT($A$68,4)&amp;$B$70&amp;V$3,CertSalary))+SUM(IF(CertFund&amp;CertProg&amp;CertObj&amp;CertGrant=RIGHT(LEFT($A$2,7),2)&amp;LEFT($A$69,4)&amp;$B$70&amp;V$3,CertSalary))</f>
        <v>0</v>
      </c>
      <c r="W70" s="528">
        <f t="array" ref="W70">SUM(IF(CertFund&amp;CertProg&amp;CertObj&amp;CertGrant=RIGHT(LEFT($A$2,7),2)&amp;LEFT($A$63,4)&amp;$B$70&amp;W$3,CertSalary))+SUM(IF(CertFund&amp;CertProg&amp;CertObj&amp;CertGrant=RIGHT(LEFT($A$2,7),2)&amp;LEFT($A$64,4)&amp;$B$70&amp;W$3,CertSalary))+SUM(IF(CertFund&amp;CertProg&amp;CertObj&amp;CertGrant=RIGHT(LEFT($A$2,7),2)&amp;LEFT($A$65,4)&amp;$B$70&amp;W$3,CertSalary))+SUM(IF(CertFund&amp;CertProg&amp;CertObj&amp;CertGrant=RIGHT(LEFT($A$2,7),2)&amp;LEFT($A$66,4)&amp;$B$70&amp;W$3,CertSalary))+SUM(IF(CertFund&amp;CertProg&amp;CertObj&amp;CertGrant=RIGHT(LEFT($A$2,7),2)&amp;LEFT($A$67,4)&amp;$B$70&amp;W$3,CertSalary))+SUM(IF(CertFund&amp;CertProg&amp;CertObj&amp;CertGrant=RIGHT(LEFT($A$2,7),2)&amp;LEFT($A$68,4)&amp;$B$70&amp;W$3,CertSalary))+SUM(IF(CertFund&amp;CertProg&amp;CertObj&amp;CertGrant=RIGHT(LEFT($A$2,7),2)&amp;LEFT($A$69,4)&amp;$B$70&amp;W$3,CertSalary))</f>
        <v>0</v>
      </c>
      <c r="X70" s="347">
        <f t="shared" ref="X70:X79" si="12">SUM(D70:W70)</f>
        <v>0</v>
      </c>
    </row>
    <row r="71" spans="1:24" ht="11.25" x14ac:dyDescent="0.2">
      <c r="A71" s="340" t="s">
        <v>1338</v>
      </c>
      <c r="B71" s="588" t="s">
        <v>1577</v>
      </c>
      <c r="C71" s="312" t="s">
        <v>510</v>
      </c>
      <c r="D71" s="147">
        <v>0</v>
      </c>
      <c r="E71" s="147">
        <v>0</v>
      </c>
      <c r="F71" s="147">
        <v>0</v>
      </c>
      <c r="G71" s="147">
        <v>0</v>
      </c>
      <c r="H71" s="147">
        <v>0</v>
      </c>
      <c r="I71" s="147">
        <v>0</v>
      </c>
      <c r="J71" s="147">
        <v>0</v>
      </c>
      <c r="K71" s="147">
        <v>0</v>
      </c>
      <c r="L71" s="147">
        <v>0</v>
      </c>
      <c r="M71" s="147">
        <v>0</v>
      </c>
      <c r="N71" s="147">
        <v>0</v>
      </c>
      <c r="O71" s="147">
        <v>0</v>
      </c>
      <c r="P71" s="147">
        <v>0</v>
      </c>
      <c r="Q71" s="147">
        <v>0</v>
      </c>
      <c r="R71" s="147">
        <v>0</v>
      </c>
      <c r="S71" s="147">
        <v>0</v>
      </c>
      <c r="T71" s="147">
        <v>0</v>
      </c>
      <c r="U71" s="147">
        <v>0</v>
      </c>
      <c r="V71" s="147">
        <v>0</v>
      </c>
      <c r="W71" s="147">
        <v>0</v>
      </c>
      <c r="X71" s="341">
        <f t="shared" si="12"/>
        <v>0</v>
      </c>
    </row>
    <row r="72" spans="1:24" ht="11.25" x14ac:dyDescent="0.2">
      <c r="A72" s="350">
        <v>13</v>
      </c>
      <c r="B72" s="588" t="s">
        <v>1578</v>
      </c>
      <c r="C72" s="312" t="s">
        <v>76</v>
      </c>
      <c r="D72" s="528">
        <f t="array" ref="D72">SUM(IF(CertFund&amp;CertProg&amp;CertObj&amp;CertGrant=RIGHT(LEFT($A$2,7),2)&amp;LEFT($A$63,4)&amp;$B$70&amp;D$3,CertBen))+SUM(IF(CertFund&amp;CertProg&amp;CertObj&amp;CertGrant=RIGHT(LEFT($A$2,7),2)&amp;LEFT($A$64,4)&amp;$B$70&amp;D$3,CertBen))+SUM(IF(CertFund&amp;CertProg&amp;CertObj&amp;CertGrant=RIGHT(LEFT($A$2,7),2)&amp;LEFT($A$65,4)&amp;$B$70&amp;D$3,CertBen))+SUM(IF(CertFund&amp;CertProg&amp;CertObj&amp;CertGrant=RIGHT(LEFT($A$2,7),2)&amp;LEFT($A$66,4)&amp;$B$70&amp;D$3,CertBen))+SUM(IF(CertFund&amp;CertProg&amp;CertObj&amp;CertGrant=RIGHT(LEFT($A$2,7),2)&amp;LEFT($A$67,4)&amp;$B$70&amp;D$3,CertBen))+SUM(IF(CertFund&amp;CertProg&amp;CertObj&amp;CertGrant=RIGHT(LEFT($A$2,7),2)&amp;LEFT($A$68,4)&amp;$B$70&amp;D$3,CertBen))+SUM(IF(CertFund&amp;CertProg&amp;CertObj&amp;CertGrant=RIGHT(LEFT($A$2,7),2)&amp;LEFT($A$69,4)&amp;$B$70&amp;D$3,CertBen))</f>
        <v>0</v>
      </c>
      <c r="E72" s="528">
        <f t="array" ref="E72">SUM(IF(CertFund&amp;CertProg&amp;CertObj&amp;CertGrant=RIGHT(LEFT($A$2,7),2)&amp;LEFT($A$63,4)&amp;$B$70&amp;E$3,CertBen))+SUM(IF(CertFund&amp;CertProg&amp;CertObj&amp;CertGrant=RIGHT(LEFT($A$2,7),2)&amp;LEFT($A$64,4)&amp;$B$70&amp;E$3,CertBen))+SUM(IF(CertFund&amp;CertProg&amp;CertObj&amp;CertGrant=RIGHT(LEFT($A$2,7),2)&amp;LEFT($A$65,4)&amp;$B$70&amp;E$3,CertBen))+SUM(IF(CertFund&amp;CertProg&amp;CertObj&amp;CertGrant=RIGHT(LEFT($A$2,7),2)&amp;LEFT($A$66,4)&amp;$B$70&amp;E$3,CertBen))+SUM(IF(CertFund&amp;CertProg&amp;CertObj&amp;CertGrant=RIGHT(LEFT($A$2,7),2)&amp;LEFT($A$67,4)&amp;$B$70&amp;E$3,CertBen))+SUM(IF(CertFund&amp;CertProg&amp;CertObj&amp;CertGrant=RIGHT(LEFT($A$2,7),2)&amp;LEFT($A$68,4)&amp;$B$70&amp;E$3,CertBen))+SUM(IF(CertFund&amp;CertProg&amp;CertObj&amp;CertGrant=RIGHT(LEFT($A$2,7),2)&amp;LEFT($A$69,4)&amp;$B$70&amp;E$3,CertBen))</f>
        <v>0</v>
      </c>
      <c r="F72" s="528">
        <f t="array" ref="F72">SUM(IF(CertFund&amp;CertProg&amp;CertObj&amp;CertGrant=RIGHT(LEFT($A$2,7),2)&amp;LEFT($A$63,4)&amp;$B$70&amp;F$3,CertBen))+SUM(IF(CertFund&amp;CertProg&amp;CertObj&amp;CertGrant=RIGHT(LEFT($A$2,7),2)&amp;LEFT($A$64,4)&amp;$B$70&amp;F$3,CertBen))+SUM(IF(CertFund&amp;CertProg&amp;CertObj&amp;CertGrant=RIGHT(LEFT($A$2,7),2)&amp;LEFT($A$65,4)&amp;$B$70&amp;F$3,CertBen))+SUM(IF(CertFund&amp;CertProg&amp;CertObj&amp;CertGrant=RIGHT(LEFT($A$2,7),2)&amp;LEFT($A$66,4)&amp;$B$70&amp;F$3,CertBen))+SUM(IF(CertFund&amp;CertProg&amp;CertObj&amp;CertGrant=RIGHT(LEFT($A$2,7),2)&amp;LEFT($A$67,4)&amp;$B$70&amp;F$3,CertBen))+SUM(IF(CertFund&amp;CertProg&amp;CertObj&amp;CertGrant=RIGHT(LEFT($A$2,7),2)&amp;LEFT($A$68,4)&amp;$B$70&amp;F$3,CertBen))+SUM(IF(CertFund&amp;CertProg&amp;CertObj&amp;CertGrant=RIGHT(LEFT($A$2,7),2)&amp;LEFT($A$69,4)&amp;$B$70&amp;F$3,CertBen))</f>
        <v>0</v>
      </c>
      <c r="G72" s="528">
        <f t="array" ref="G72">SUM(IF(CertFund&amp;CertProg&amp;CertObj&amp;CertGrant=RIGHT(LEFT($A$2,7),2)&amp;LEFT($A$63,4)&amp;$B$70&amp;G$3,CertBen))+SUM(IF(CertFund&amp;CertProg&amp;CertObj&amp;CertGrant=RIGHT(LEFT($A$2,7),2)&amp;LEFT($A$64,4)&amp;$B$70&amp;G$3,CertBen))+SUM(IF(CertFund&amp;CertProg&amp;CertObj&amp;CertGrant=RIGHT(LEFT($A$2,7),2)&amp;LEFT($A$65,4)&amp;$B$70&amp;G$3,CertBen))+SUM(IF(CertFund&amp;CertProg&amp;CertObj&amp;CertGrant=RIGHT(LEFT($A$2,7),2)&amp;LEFT($A$66,4)&amp;$B$70&amp;G$3,CertBen))+SUM(IF(CertFund&amp;CertProg&amp;CertObj&amp;CertGrant=RIGHT(LEFT($A$2,7),2)&amp;LEFT($A$67,4)&amp;$B$70&amp;G$3,CertBen))+SUM(IF(CertFund&amp;CertProg&amp;CertObj&amp;CertGrant=RIGHT(LEFT($A$2,7),2)&amp;LEFT($A$68,4)&amp;$B$70&amp;G$3,CertBen))+SUM(IF(CertFund&amp;CertProg&amp;CertObj&amp;CertGrant=RIGHT(LEFT($A$2,7),2)&amp;LEFT($A$69,4)&amp;$B$70&amp;G$3,CertBen))</f>
        <v>0</v>
      </c>
      <c r="H72" s="528">
        <f t="array" ref="H72">SUM(IF(CertFund&amp;CertProg&amp;CertObj&amp;CertGrant=RIGHT(LEFT($A$2,7),2)&amp;LEFT($A$63,4)&amp;$B$70&amp;H$3,CertBen))+SUM(IF(CertFund&amp;CertProg&amp;CertObj&amp;CertGrant=RIGHT(LEFT($A$2,7),2)&amp;LEFT($A$64,4)&amp;$B$70&amp;H$3,CertBen))+SUM(IF(CertFund&amp;CertProg&amp;CertObj&amp;CertGrant=RIGHT(LEFT($A$2,7),2)&amp;LEFT($A$65,4)&amp;$B$70&amp;H$3,CertBen))+SUM(IF(CertFund&amp;CertProg&amp;CertObj&amp;CertGrant=RIGHT(LEFT($A$2,7),2)&amp;LEFT($A$66,4)&amp;$B$70&amp;H$3,CertBen))+SUM(IF(CertFund&amp;CertProg&amp;CertObj&amp;CertGrant=RIGHT(LEFT($A$2,7),2)&amp;LEFT($A$67,4)&amp;$B$70&amp;H$3,CertBen))+SUM(IF(CertFund&amp;CertProg&amp;CertObj&amp;CertGrant=RIGHT(LEFT($A$2,7),2)&amp;LEFT($A$68,4)&amp;$B$70&amp;H$3,CertBen))+SUM(IF(CertFund&amp;CertProg&amp;CertObj&amp;CertGrant=RIGHT(LEFT($A$2,7),2)&amp;LEFT($A$69,4)&amp;$B$70&amp;H$3,CertBen))</f>
        <v>0</v>
      </c>
      <c r="I72" s="528">
        <f t="array" ref="I72">SUM(IF(CertFund&amp;CertProg&amp;CertObj&amp;CertGrant=RIGHT(LEFT($A$2,7),2)&amp;LEFT($A$63,4)&amp;$B$70&amp;I$3,CertBen))+SUM(IF(CertFund&amp;CertProg&amp;CertObj&amp;CertGrant=RIGHT(LEFT($A$2,7),2)&amp;LEFT($A$64,4)&amp;$B$70&amp;I$3,CertBen))+SUM(IF(CertFund&amp;CertProg&amp;CertObj&amp;CertGrant=RIGHT(LEFT($A$2,7),2)&amp;LEFT($A$65,4)&amp;$B$70&amp;I$3,CertBen))+SUM(IF(CertFund&amp;CertProg&amp;CertObj&amp;CertGrant=RIGHT(LEFT($A$2,7),2)&amp;LEFT($A$66,4)&amp;$B$70&amp;I$3,CertBen))+SUM(IF(CertFund&amp;CertProg&amp;CertObj&amp;CertGrant=RIGHT(LEFT($A$2,7),2)&amp;LEFT($A$67,4)&amp;$B$70&amp;I$3,CertBen))+SUM(IF(CertFund&amp;CertProg&amp;CertObj&amp;CertGrant=RIGHT(LEFT($A$2,7),2)&amp;LEFT($A$68,4)&amp;$B$70&amp;I$3,CertBen))+SUM(IF(CertFund&amp;CertProg&amp;CertObj&amp;CertGrant=RIGHT(LEFT($A$2,7),2)&amp;LEFT($A$69,4)&amp;$B$70&amp;I$3,CertBen))</f>
        <v>0</v>
      </c>
      <c r="J72" s="528">
        <f t="array" ref="J72">SUM(IF(CertFund&amp;CertProg&amp;CertObj&amp;CertGrant=RIGHT(LEFT($A$2,7),2)&amp;LEFT($A$63,4)&amp;$B$70&amp;J$3,CertBen))+SUM(IF(CertFund&amp;CertProg&amp;CertObj&amp;CertGrant=RIGHT(LEFT($A$2,7),2)&amp;LEFT($A$64,4)&amp;$B$70&amp;J$3,CertBen))+SUM(IF(CertFund&amp;CertProg&amp;CertObj&amp;CertGrant=RIGHT(LEFT($A$2,7),2)&amp;LEFT($A$65,4)&amp;$B$70&amp;J$3,CertBen))+SUM(IF(CertFund&amp;CertProg&amp;CertObj&amp;CertGrant=RIGHT(LEFT($A$2,7),2)&amp;LEFT($A$66,4)&amp;$B$70&amp;J$3,CertBen))+SUM(IF(CertFund&amp;CertProg&amp;CertObj&amp;CertGrant=RIGHT(LEFT($A$2,7),2)&amp;LEFT($A$67,4)&amp;$B$70&amp;J$3,CertBen))+SUM(IF(CertFund&amp;CertProg&amp;CertObj&amp;CertGrant=RIGHT(LEFT($A$2,7),2)&amp;LEFT($A$68,4)&amp;$B$70&amp;J$3,CertBen))+SUM(IF(CertFund&amp;CertProg&amp;CertObj&amp;CertGrant=RIGHT(LEFT($A$2,7),2)&amp;LEFT($A$69,4)&amp;$B$70&amp;J$3,CertBen))</f>
        <v>0</v>
      </c>
      <c r="K72" s="528">
        <f t="array" ref="K72">SUM(IF(CertFund&amp;CertProg&amp;CertObj&amp;CertGrant=RIGHT(LEFT($A$2,7),2)&amp;LEFT($A$63,4)&amp;$B$70&amp;K$3,CertBen))+SUM(IF(CertFund&amp;CertProg&amp;CertObj&amp;CertGrant=RIGHT(LEFT($A$2,7),2)&amp;LEFT($A$64,4)&amp;$B$70&amp;K$3,CertBen))+SUM(IF(CertFund&amp;CertProg&amp;CertObj&amp;CertGrant=RIGHT(LEFT($A$2,7),2)&amp;LEFT($A$65,4)&amp;$B$70&amp;K$3,CertBen))+SUM(IF(CertFund&amp;CertProg&amp;CertObj&amp;CertGrant=RIGHT(LEFT($A$2,7),2)&amp;LEFT($A$66,4)&amp;$B$70&amp;K$3,CertBen))+SUM(IF(CertFund&amp;CertProg&amp;CertObj&amp;CertGrant=RIGHT(LEFT($A$2,7),2)&amp;LEFT($A$67,4)&amp;$B$70&amp;K$3,CertBen))+SUM(IF(CertFund&amp;CertProg&amp;CertObj&amp;CertGrant=RIGHT(LEFT($A$2,7),2)&amp;LEFT($A$68,4)&amp;$B$70&amp;K$3,CertBen))+SUM(IF(CertFund&amp;CertProg&amp;CertObj&amp;CertGrant=RIGHT(LEFT($A$2,7),2)&amp;LEFT($A$69,4)&amp;$B$70&amp;K$3,CertBen))</f>
        <v>0</v>
      </c>
      <c r="L72" s="528">
        <f t="array" ref="L72">SUM(IF(CertFund&amp;CertProg&amp;CertObj&amp;CertGrant=RIGHT(LEFT($A$2,7),2)&amp;LEFT($A$63,4)&amp;$B$70&amp;L$3,CertBen))+SUM(IF(CertFund&amp;CertProg&amp;CertObj&amp;CertGrant=RIGHT(LEFT($A$2,7),2)&amp;LEFT($A$64,4)&amp;$B$70&amp;L$3,CertBen))+SUM(IF(CertFund&amp;CertProg&amp;CertObj&amp;CertGrant=RIGHT(LEFT($A$2,7),2)&amp;LEFT($A$65,4)&amp;$B$70&amp;L$3,CertBen))+SUM(IF(CertFund&amp;CertProg&amp;CertObj&amp;CertGrant=RIGHT(LEFT($A$2,7),2)&amp;LEFT($A$66,4)&amp;$B$70&amp;L$3,CertBen))+SUM(IF(CertFund&amp;CertProg&amp;CertObj&amp;CertGrant=RIGHT(LEFT($A$2,7),2)&amp;LEFT($A$67,4)&amp;$B$70&amp;L$3,CertBen))+SUM(IF(CertFund&amp;CertProg&amp;CertObj&amp;CertGrant=RIGHT(LEFT($A$2,7),2)&amp;LEFT($A$68,4)&amp;$B$70&amp;L$3,CertBen))+SUM(IF(CertFund&amp;CertProg&amp;CertObj&amp;CertGrant=RIGHT(LEFT($A$2,7),2)&amp;LEFT($A$69,4)&amp;$B$70&amp;L$3,CertBen))</f>
        <v>0</v>
      </c>
      <c r="M72" s="528">
        <f t="array" ref="M72">SUM(IF(CertFund&amp;CertProg&amp;CertObj&amp;CertGrant=RIGHT(LEFT($A$2,7),2)&amp;LEFT($A$63,4)&amp;$B$70&amp;M$3,CertBen))+SUM(IF(CertFund&amp;CertProg&amp;CertObj&amp;CertGrant=RIGHT(LEFT($A$2,7),2)&amp;LEFT($A$64,4)&amp;$B$70&amp;M$3,CertBen))+SUM(IF(CertFund&amp;CertProg&amp;CertObj&amp;CertGrant=RIGHT(LEFT($A$2,7),2)&amp;LEFT($A$65,4)&amp;$B$70&amp;M$3,CertBen))+SUM(IF(CertFund&amp;CertProg&amp;CertObj&amp;CertGrant=RIGHT(LEFT($A$2,7),2)&amp;LEFT($A$66,4)&amp;$B$70&amp;M$3,CertBen))+SUM(IF(CertFund&amp;CertProg&amp;CertObj&amp;CertGrant=RIGHT(LEFT($A$2,7),2)&amp;LEFT($A$67,4)&amp;$B$70&amp;M$3,CertBen))+SUM(IF(CertFund&amp;CertProg&amp;CertObj&amp;CertGrant=RIGHT(LEFT($A$2,7),2)&amp;LEFT($A$68,4)&amp;$B$70&amp;M$3,CertBen))+SUM(IF(CertFund&amp;CertProg&amp;CertObj&amp;CertGrant=RIGHT(LEFT($A$2,7),2)&amp;LEFT($A$69,4)&amp;$B$70&amp;M$3,CertBen))</f>
        <v>0</v>
      </c>
      <c r="N72" s="528">
        <f t="array" ref="N72">SUM(IF(CertFund&amp;CertProg&amp;CertObj&amp;CertGrant=RIGHT(LEFT($A$2,7),2)&amp;LEFT($A$63,4)&amp;$B$70&amp;N$3,CertBen))+SUM(IF(CertFund&amp;CertProg&amp;CertObj&amp;CertGrant=RIGHT(LEFT($A$2,7),2)&amp;LEFT($A$64,4)&amp;$B$70&amp;N$3,CertBen))+SUM(IF(CertFund&amp;CertProg&amp;CertObj&amp;CertGrant=RIGHT(LEFT($A$2,7),2)&amp;LEFT($A$65,4)&amp;$B$70&amp;N$3,CertBen))+SUM(IF(CertFund&amp;CertProg&amp;CertObj&amp;CertGrant=RIGHT(LEFT($A$2,7),2)&amp;LEFT($A$66,4)&amp;$B$70&amp;N$3,CertBen))+SUM(IF(CertFund&amp;CertProg&amp;CertObj&amp;CertGrant=RIGHT(LEFT($A$2,7),2)&amp;LEFT($A$67,4)&amp;$B$70&amp;N$3,CertBen))+SUM(IF(CertFund&amp;CertProg&amp;CertObj&amp;CertGrant=RIGHT(LEFT($A$2,7),2)&amp;LEFT($A$68,4)&amp;$B$70&amp;N$3,CertBen))+SUM(IF(CertFund&amp;CertProg&amp;CertObj&amp;CertGrant=RIGHT(LEFT($A$2,7),2)&amp;LEFT($A$69,4)&amp;$B$70&amp;N$3,CertBen))</f>
        <v>0</v>
      </c>
      <c r="O72" s="528">
        <f t="array" ref="O72">SUM(IF(CertFund&amp;CertProg&amp;CertObj&amp;CertGrant=RIGHT(LEFT($A$2,7),2)&amp;LEFT($A$63,4)&amp;$B$70&amp;O$3,CertBen))+SUM(IF(CertFund&amp;CertProg&amp;CertObj&amp;CertGrant=RIGHT(LEFT($A$2,7),2)&amp;LEFT($A$64,4)&amp;$B$70&amp;O$3,CertBen))+SUM(IF(CertFund&amp;CertProg&amp;CertObj&amp;CertGrant=RIGHT(LEFT($A$2,7),2)&amp;LEFT($A$65,4)&amp;$B$70&amp;O$3,CertBen))+SUM(IF(CertFund&amp;CertProg&amp;CertObj&amp;CertGrant=RIGHT(LEFT($A$2,7),2)&amp;LEFT($A$66,4)&amp;$B$70&amp;O$3,CertBen))+SUM(IF(CertFund&amp;CertProg&amp;CertObj&amp;CertGrant=RIGHT(LEFT($A$2,7),2)&amp;LEFT($A$67,4)&amp;$B$70&amp;O$3,CertBen))+SUM(IF(CertFund&amp;CertProg&amp;CertObj&amp;CertGrant=RIGHT(LEFT($A$2,7),2)&amp;LEFT($A$68,4)&amp;$B$70&amp;O$3,CertBen))+SUM(IF(CertFund&amp;CertProg&amp;CertObj&amp;CertGrant=RIGHT(LEFT($A$2,7),2)&amp;LEFT($A$69,4)&amp;$B$70&amp;O$3,CertBen))</f>
        <v>0</v>
      </c>
      <c r="P72" s="528">
        <f t="array" ref="P72">SUM(IF(CertFund&amp;CertProg&amp;CertObj&amp;CertGrant=RIGHT(LEFT($A$2,7),2)&amp;LEFT($A$63,4)&amp;$B$70&amp;P$3,CertBen))+SUM(IF(CertFund&amp;CertProg&amp;CertObj&amp;CertGrant=RIGHT(LEFT($A$2,7),2)&amp;LEFT($A$64,4)&amp;$B$70&amp;P$3,CertBen))+SUM(IF(CertFund&amp;CertProg&amp;CertObj&amp;CertGrant=RIGHT(LEFT($A$2,7),2)&amp;LEFT($A$65,4)&amp;$B$70&amp;P$3,CertBen))+SUM(IF(CertFund&amp;CertProg&amp;CertObj&amp;CertGrant=RIGHT(LEFT($A$2,7),2)&amp;LEFT($A$66,4)&amp;$B$70&amp;P$3,CertBen))+SUM(IF(CertFund&amp;CertProg&amp;CertObj&amp;CertGrant=RIGHT(LEFT($A$2,7),2)&amp;LEFT($A$67,4)&amp;$B$70&amp;P$3,CertBen))+SUM(IF(CertFund&amp;CertProg&amp;CertObj&amp;CertGrant=RIGHT(LEFT($A$2,7),2)&amp;LEFT($A$68,4)&amp;$B$70&amp;P$3,CertBen))+SUM(IF(CertFund&amp;CertProg&amp;CertObj&amp;CertGrant=RIGHT(LEFT($A$2,7),2)&amp;LEFT($A$69,4)&amp;$B$70&amp;P$3,CertBen))</f>
        <v>0</v>
      </c>
      <c r="Q72" s="528">
        <f t="array" ref="Q72">SUM(IF(CertFund&amp;CertProg&amp;CertObj&amp;CertGrant=RIGHT(LEFT($A$2,7),2)&amp;LEFT($A$63,4)&amp;$B$70&amp;Q$3,CertBen))+SUM(IF(CertFund&amp;CertProg&amp;CertObj&amp;CertGrant=RIGHT(LEFT($A$2,7),2)&amp;LEFT($A$64,4)&amp;$B$70&amp;Q$3,CertBen))+SUM(IF(CertFund&amp;CertProg&amp;CertObj&amp;CertGrant=RIGHT(LEFT($A$2,7),2)&amp;LEFT($A$65,4)&amp;$B$70&amp;Q$3,CertBen))+SUM(IF(CertFund&amp;CertProg&amp;CertObj&amp;CertGrant=RIGHT(LEFT($A$2,7),2)&amp;LEFT($A$66,4)&amp;$B$70&amp;Q$3,CertBen))+SUM(IF(CertFund&amp;CertProg&amp;CertObj&amp;CertGrant=RIGHT(LEFT($A$2,7),2)&amp;LEFT($A$67,4)&amp;$B$70&amp;Q$3,CertBen))+SUM(IF(CertFund&amp;CertProg&amp;CertObj&amp;CertGrant=RIGHT(LEFT($A$2,7),2)&amp;LEFT($A$68,4)&amp;$B$70&amp;Q$3,CertBen))+SUM(IF(CertFund&amp;CertProg&amp;CertObj&amp;CertGrant=RIGHT(LEFT($A$2,7),2)&amp;LEFT($A$69,4)&amp;$B$70&amp;Q$3,CertBen))</f>
        <v>0</v>
      </c>
      <c r="R72" s="528">
        <f t="array" ref="R72">SUM(IF(CertFund&amp;CertProg&amp;CertObj&amp;CertGrant=RIGHT(LEFT($A$2,7),2)&amp;LEFT($A$63,4)&amp;$B$70&amp;R$3,CertBen))+SUM(IF(CertFund&amp;CertProg&amp;CertObj&amp;CertGrant=RIGHT(LEFT($A$2,7),2)&amp;LEFT($A$64,4)&amp;$B$70&amp;R$3,CertBen))+SUM(IF(CertFund&amp;CertProg&amp;CertObj&amp;CertGrant=RIGHT(LEFT($A$2,7),2)&amp;LEFT($A$65,4)&amp;$B$70&amp;R$3,CertBen))+SUM(IF(CertFund&amp;CertProg&amp;CertObj&amp;CertGrant=RIGHT(LEFT($A$2,7),2)&amp;LEFT($A$66,4)&amp;$B$70&amp;R$3,CertBen))+SUM(IF(CertFund&amp;CertProg&amp;CertObj&amp;CertGrant=RIGHT(LEFT($A$2,7),2)&amp;LEFT($A$67,4)&amp;$B$70&amp;R$3,CertBen))+SUM(IF(CertFund&amp;CertProg&amp;CertObj&amp;CertGrant=RIGHT(LEFT($A$2,7),2)&amp;LEFT($A$68,4)&amp;$B$70&amp;R$3,CertBen))+SUM(IF(CertFund&amp;CertProg&amp;CertObj&amp;CertGrant=RIGHT(LEFT($A$2,7),2)&amp;LEFT($A$69,4)&amp;$B$70&amp;R$3,CertBen))</f>
        <v>0</v>
      </c>
      <c r="S72" s="528">
        <f t="array" ref="S72">SUM(IF(CertFund&amp;CertProg&amp;CertObj&amp;CertGrant=RIGHT(LEFT($A$2,7),2)&amp;LEFT($A$63,4)&amp;$B$70&amp;S$3,CertBen))+SUM(IF(CertFund&amp;CertProg&amp;CertObj&amp;CertGrant=RIGHT(LEFT($A$2,7),2)&amp;LEFT($A$64,4)&amp;$B$70&amp;S$3,CertBen))+SUM(IF(CertFund&amp;CertProg&amp;CertObj&amp;CertGrant=RIGHT(LEFT($A$2,7),2)&amp;LEFT($A$65,4)&amp;$B$70&amp;S$3,CertBen))+SUM(IF(CertFund&amp;CertProg&amp;CertObj&amp;CertGrant=RIGHT(LEFT($A$2,7),2)&amp;LEFT($A$66,4)&amp;$B$70&amp;S$3,CertBen))+SUM(IF(CertFund&amp;CertProg&amp;CertObj&amp;CertGrant=RIGHT(LEFT($A$2,7),2)&amp;LEFT($A$67,4)&amp;$B$70&amp;S$3,CertBen))+SUM(IF(CertFund&amp;CertProg&amp;CertObj&amp;CertGrant=RIGHT(LEFT($A$2,7),2)&amp;LEFT($A$68,4)&amp;$B$70&amp;S$3,CertBen))+SUM(IF(CertFund&amp;CertProg&amp;CertObj&amp;CertGrant=RIGHT(LEFT($A$2,7),2)&amp;LEFT($A$69,4)&amp;$B$70&amp;S$3,CertBen))</f>
        <v>0</v>
      </c>
      <c r="T72" s="528">
        <f t="array" ref="T72">SUM(IF(CertFund&amp;CertProg&amp;CertObj&amp;CertGrant=RIGHT(LEFT($A$2,7),2)&amp;LEFT($A$63,4)&amp;$B$70&amp;T$3,CertBen))+SUM(IF(CertFund&amp;CertProg&amp;CertObj&amp;CertGrant=RIGHT(LEFT($A$2,7),2)&amp;LEFT($A$64,4)&amp;$B$70&amp;T$3,CertBen))+SUM(IF(CertFund&amp;CertProg&amp;CertObj&amp;CertGrant=RIGHT(LEFT($A$2,7),2)&amp;LEFT($A$65,4)&amp;$B$70&amp;T$3,CertBen))+SUM(IF(CertFund&amp;CertProg&amp;CertObj&amp;CertGrant=RIGHT(LEFT($A$2,7),2)&amp;LEFT($A$66,4)&amp;$B$70&amp;T$3,CertBen))+SUM(IF(CertFund&amp;CertProg&amp;CertObj&amp;CertGrant=RIGHT(LEFT($A$2,7),2)&amp;LEFT($A$67,4)&amp;$B$70&amp;T$3,CertBen))+SUM(IF(CertFund&amp;CertProg&amp;CertObj&amp;CertGrant=RIGHT(LEFT($A$2,7),2)&amp;LEFT($A$68,4)&amp;$B$70&amp;T$3,CertBen))+SUM(IF(CertFund&amp;CertProg&amp;CertObj&amp;CertGrant=RIGHT(LEFT($A$2,7),2)&amp;LEFT($A$69,4)&amp;$B$70&amp;T$3,CertBen))</f>
        <v>0</v>
      </c>
      <c r="U72" s="528">
        <f t="array" ref="U72">SUM(IF(CertFund&amp;CertProg&amp;CertObj&amp;CertGrant=RIGHT(LEFT($A$2,7),2)&amp;LEFT($A$63,4)&amp;$B$70&amp;U$3,CertBen))+SUM(IF(CertFund&amp;CertProg&amp;CertObj&amp;CertGrant=RIGHT(LEFT($A$2,7),2)&amp;LEFT($A$64,4)&amp;$B$70&amp;U$3,CertBen))+SUM(IF(CertFund&amp;CertProg&amp;CertObj&amp;CertGrant=RIGHT(LEFT($A$2,7),2)&amp;LEFT($A$65,4)&amp;$B$70&amp;U$3,CertBen))+SUM(IF(CertFund&amp;CertProg&amp;CertObj&amp;CertGrant=RIGHT(LEFT($A$2,7),2)&amp;LEFT($A$66,4)&amp;$B$70&amp;U$3,CertBen))+SUM(IF(CertFund&amp;CertProg&amp;CertObj&amp;CertGrant=RIGHT(LEFT($A$2,7),2)&amp;LEFT($A$67,4)&amp;$B$70&amp;U$3,CertBen))+SUM(IF(CertFund&amp;CertProg&amp;CertObj&amp;CertGrant=RIGHT(LEFT($A$2,7),2)&amp;LEFT($A$68,4)&amp;$B$70&amp;U$3,CertBen))+SUM(IF(CertFund&amp;CertProg&amp;CertObj&amp;CertGrant=RIGHT(LEFT($A$2,7),2)&amp;LEFT($A$69,4)&amp;$B$70&amp;U$3,CertBen))</f>
        <v>0</v>
      </c>
      <c r="V72" s="528">
        <f t="array" ref="V72">SUM(IF(CertFund&amp;CertProg&amp;CertObj&amp;CertGrant=RIGHT(LEFT($A$2,7),2)&amp;LEFT($A$63,4)&amp;$B$70&amp;V$3,CertBen))+SUM(IF(CertFund&amp;CertProg&amp;CertObj&amp;CertGrant=RIGHT(LEFT($A$2,7),2)&amp;LEFT($A$64,4)&amp;$B$70&amp;V$3,CertBen))+SUM(IF(CertFund&amp;CertProg&amp;CertObj&amp;CertGrant=RIGHT(LEFT($A$2,7),2)&amp;LEFT($A$65,4)&amp;$B$70&amp;V$3,CertBen))+SUM(IF(CertFund&amp;CertProg&amp;CertObj&amp;CertGrant=RIGHT(LEFT($A$2,7),2)&amp;LEFT($A$66,4)&amp;$B$70&amp;V$3,CertBen))+SUM(IF(CertFund&amp;CertProg&amp;CertObj&amp;CertGrant=RIGHT(LEFT($A$2,7),2)&amp;LEFT($A$67,4)&amp;$B$70&amp;V$3,CertBen))+SUM(IF(CertFund&amp;CertProg&amp;CertObj&amp;CertGrant=RIGHT(LEFT($A$2,7),2)&amp;LEFT($A$68,4)&amp;$B$70&amp;V$3,CertBen))+SUM(IF(CertFund&amp;CertProg&amp;CertObj&amp;CertGrant=RIGHT(LEFT($A$2,7),2)&amp;LEFT($A$69,4)&amp;$B$70&amp;V$3,CertBen))</f>
        <v>0</v>
      </c>
      <c r="W72" s="528">
        <f t="array" ref="W72">SUM(IF(CertFund&amp;CertProg&amp;CertObj&amp;CertGrant=RIGHT(LEFT($A$2,7),2)&amp;LEFT($A$63,4)&amp;$B$70&amp;W$3,CertBen))+SUM(IF(CertFund&amp;CertProg&amp;CertObj&amp;CertGrant=RIGHT(LEFT($A$2,7),2)&amp;LEFT($A$64,4)&amp;$B$70&amp;W$3,CertBen))+SUM(IF(CertFund&amp;CertProg&amp;CertObj&amp;CertGrant=RIGHT(LEFT($A$2,7),2)&amp;LEFT($A$65,4)&amp;$B$70&amp;W$3,CertBen))+SUM(IF(CertFund&amp;CertProg&amp;CertObj&amp;CertGrant=RIGHT(LEFT($A$2,7),2)&amp;LEFT($A$66,4)&amp;$B$70&amp;W$3,CertBen))+SUM(IF(CertFund&amp;CertProg&amp;CertObj&amp;CertGrant=RIGHT(LEFT($A$2,7),2)&amp;LEFT($A$67,4)&amp;$B$70&amp;W$3,CertBen))+SUM(IF(CertFund&amp;CertProg&amp;CertObj&amp;CertGrant=RIGHT(LEFT($A$2,7),2)&amp;LEFT($A$68,4)&amp;$B$70&amp;W$3,CertBen))+SUM(IF(CertFund&amp;CertProg&amp;CertObj&amp;CertGrant=RIGHT(LEFT($A$2,7),2)&amp;LEFT($A$69,4)&amp;$B$70&amp;W$3,CertBen))</f>
        <v>0</v>
      </c>
      <c r="X72" s="341">
        <f t="shared" si="12"/>
        <v>0</v>
      </c>
    </row>
    <row r="73" spans="1:24" ht="11.25" x14ac:dyDescent="0.2">
      <c r="A73" s="350" t="s">
        <v>1439</v>
      </c>
      <c r="B73" s="588" t="s">
        <v>1578</v>
      </c>
      <c r="C73" s="312" t="s">
        <v>511</v>
      </c>
      <c r="D73" s="590">
        <v>0</v>
      </c>
      <c r="E73" s="590">
        <v>0</v>
      </c>
      <c r="F73" s="590">
        <v>0</v>
      </c>
      <c r="G73" s="590">
        <v>0</v>
      </c>
      <c r="H73" s="590">
        <v>0</v>
      </c>
      <c r="I73" s="590">
        <v>0</v>
      </c>
      <c r="J73" s="590">
        <v>0</v>
      </c>
      <c r="K73" s="590">
        <v>0</v>
      </c>
      <c r="L73" s="590">
        <v>0</v>
      </c>
      <c r="M73" s="590">
        <v>0</v>
      </c>
      <c r="N73" s="590">
        <v>0</v>
      </c>
      <c r="O73" s="590">
        <v>0</v>
      </c>
      <c r="P73" s="590">
        <v>0</v>
      </c>
      <c r="Q73" s="590">
        <v>0</v>
      </c>
      <c r="R73" s="590">
        <v>0</v>
      </c>
      <c r="S73" s="590">
        <v>0</v>
      </c>
      <c r="T73" s="590">
        <v>0</v>
      </c>
      <c r="U73" s="590">
        <v>0</v>
      </c>
      <c r="V73" s="590">
        <v>0</v>
      </c>
      <c r="W73" s="590">
        <v>0</v>
      </c>
      <c r="X73" s="341">
        <f t="shared" si="12"/>
        <v>0</v>
      </c>
    </row>
    <row r="74" spans="1:24" ht="11.25" x14ac:dyDescent="0.2">
      <c r="A74" s="350">
        <v>14</v>
      </c>
      <c r="B74" s="588" t="s">
        <v>1579</v>
      </c>
      <c r="C74" s="329" t="s">
        <v>273</v>
      </c>
      <c r="D74" s="590">
        <v>0</v>
      </c>
      <c r="E74" s="590">
        <v>0</v>
      </c>
      <c r="F74" s="590">
        <v>0</v>
      </c>
      <c r="G74" s="590">
        <v>0</v>
      </c>
      <c r="H74" s="590">
        <v>0</v>
      </c>
      <c r="I74" s="590">
        <v>0</v>
      </c>
      <c r="J74" s="590">
        <v>0</v>
      </c>
      <c r="K74" s="590">
        <v>0</v>
      </c>
      <c r="L74" s="591">
        <v>0</v>
      </c>
      <c r="M74" s="591">
        <v>0</v>
      </c>
      <c r="N74" s="591">
        <v>0</v>
      </c>
      <c r="O74" s="591">
        <v>0</v>
      </c>
      <c r="P74" s="591">
        <v>0</v>
      </c>
      <c r="Q74" s="591">
        <v>0</v>
      </c>
      <c r="R74" s="591">
        <v>0</v>
      </c>
      <c r="S74" s="591">
        <v>0</v>
      </c>
      <c r="T74" s="591">
        <v>0</v>
      </c>
      <c r="U74" s="591">
        <v>0</v>
      </c>
      <c r="V74" s="591">
        <v>0</v>
      </c>
      <c r="W74" s="591">
        <v>0</v>
      </c>
      <c r="X74" s="341">
        <f t="shared" si="12"/>
        <v>0</v>
      </c>
    </row>
    <row r="75" spans="1:24" ht="11.25" x14ac:dyDescent="0.2">
      <c r="A75" s="350">
        <v>15</v>
      </c>
      <c r="B75" s="588" t="s">
        <v>1580</v>
      </c>
      <c r="C75" s="327" t="s">
        <v>277</v>
      </c>
      <c r="D75" s="590">
        <v>0</v>
      </c>
      <c r="E75" s="590">
        <v>0</v>
      </c>
      <c r="F75" s="590">
        <v>0</v>
      </c>
      <c r="G75" s="590">
        <v>0</v>
      </c>
      <c r="H75" s="590">
        <v>0</v>
      </c>
      <c r="I75" s="590">
        <v>0</v>
      </c>
      <c r="J75" s="590">
        <v>0</v>
      </c>
      <c r="K75" s="590">
        <v>0</v>
      </c>
      <c r="L75" s="591">
        <v>0</v>
      </c>
      <c r="M75" s="591">
        <v>0</v>
      </c>
      <c r="N75" s="591">
        <v>0</v>
      </c>
      <c r="O75" s="591">
        <v>0</v>
      </c>
      <c r="P75" s="591">
        <v>0</v>
      </c>
      <c r="Q75" s="591">
        <v>0</v>
      </c>
      <c r="R75" s="591">
        <v>0</v>
      </c>
      <c r="S75" s="591">
        <v>0</v>
      </c>
      <c r="T75" s="591">
        <v>0</v>
      </c>
      <c r="U75" s="591">
        <v>0</v>
      </c>
      <c r="V75" s="591">
        <v>0</v>
      </c>
      <c r="W75" s="591">
        <v>0</v>
      </c>
      <c r="X75" s="341">
        <f t="shared" si="12"/>
        <v>0</v>
      </c>
    </row>
    <row r="76" spans="1:24" ht="11.25" x14ac:dyDescent="0.2">
      <c r="A76" s="350">
        <v>16</v>
      </c>
      <c r="B76" s="188" t="s">
        <v>1581</v>
      </c>
      <c r="C76" s="329" t="s">
        <v>274</v>
      </c>
      <c r="D76" s="590">
        <v>0</v>
      </c>
      <c r="E76" s="590">
        <v>0</v>
      </c>
      <c r="F76" s="590">
        <v>0</v>
      </c>
      <c r="G76" s="590">
        <v>0</v>
      </c>
      <c r="H76" s="590">
        <v>0</v>
      </c>
      <c r="I76" s="590">
        <v>0</v>
      </c>
      <c r="J76" s="590">
        <v>0</v>
      </c>
      <c r="K76" s="590">
        <v>0</v>
      </c>
      <c r="L76" s="591">
        <v>0</v>
      </c>
      <c r="M76" s="591">
        <v>0</v>
      </c>
      <c r="N76" s="591">
        <v>0</v>
      </c>
      <c r="O76" s="591">
        <v>0</v>
      </c>
      <c r="P76" s="591">
        <v>0</v>
      </c>
      <c r="Q76" s="591">
        <v>0</v>
      </c>
      <c r="R76" s="591">
        <v>0</v>
      </c>
      <c r="S76" s="591">
        <v>0</v>
      </c>
      <c r="T76" s="591">
        <v>0</v>
      </c>
      <c r="U76" s="591">
        <v>0</v>
      </c>
      <c r="V76" s="591">
        <v>0</v>
      </c>
      <c r="W76" s="591">
        <v>0</v>
      </c>
      <c r="X76" s="341">
        <f t="shared" si="12"/>
        <v>0</v>
      </c>
    </row>
    <row r="77" spans="1:24" ht="11.25" x14ac:dyDescent="0.2">
      <c r="A77" s="350">
        <v>17</v>
      </c>
      <c r="B77" s="188" t="s">
        <v>1582</v>
      </c>
      <c r="C77" s="327" t="s">
        <v>275</v>
      </c>
      <c r="D77" s="590">
        <v>0</v>
      </c>
      <c r="E77" s="590">
        <v>0</v>
      </c>
      <c r="F77" s="590">
        <v>0</v>
      </c>
      <c r="G77" s="590">
        <v>0</v>
      </c>
      <c r="H77" s="590">
        <v>0</v>
      </c>
      <c r="I77" s="590">
        <v>0</v>
      </c>
      <c r="J77" s="590">
        <v>0</v>
      </c>
      <c r="K77" s="590">
        <v>0</v>
      </c>
      <c r="L77" s="591">
        <v>0</v>
      </c>
      <c r="M77" s="591">
        <v>0</v>
      </c>
      <c r="N77" s="591">
        <v>0</v>
      </c>
      <c r="O77" s="591">
        <v>0</v>
      </c>
      <c r="P77" s="591">
        <v>0</v>
      </c>
      <c r="Q77" s="591">
        <v>0</v>
      </c>
      <c r="R77" s="591">
        <v>0</v>
      </c>
      <c r="S77" s="591">
        <v>0</v>
      </c>
      <c r="T77" s="591">
        <v>0</v>
      </c>
      <c r="U77" s="591">
        <v>0</v>
      </c>
      <c r="V77" s="591">
        <v>0</v>
      </c>
      <c r="W77" s="591">
        <v>0</v>
      </c>
      <c r="X77" s="341">
        <f t="shared" si="12"/>
        <v>0</v>
      </c>
    </row>
    <row r="78" spans="1:24" ht="11.25" x14ac:dyDescent="0.2">
      <c r="A78" s="350">
        <v>18</v>
      </c>
      <c r="B78" s="188" t="s">
        <v>1584</v>
      </c>
      <c r="C78" s="327" t="s">
        <v>276</v>
      </c>
      <c r="D78" s="590">
        <v>0</v>
      </c>
      <c r="E78" s="590">
        <v>0</v>
      </c>
      <c r="F78" s="590">
        <v>0</v>
      </c>
      <c r="G78" s="590">
        <v>0</v>
      </c>
      <c r="H78" s="590">
        <v>0</v>
      </c>
      <c r="I78" s="590">
        <v>0</v>
      </c>
      <c r="J78" s="590">
        <v>0</v>
      </c>
      <c r="K78" s="590">
        <v>0</v>
      </c>
      <c r="L78" s="591">
        <v>0</v>
      </c>
      <c r="M78" s="591">
        <v>0</v>
      </c>
      <c r="N78" s="591">
        <v>0</v>
      </c>
      <c r="O78" s="591">
        <v>0</v>
      </c>
      <c r="P78" s="591">
        <v>0</v>
      </c>
      <c r="Q78" s="591">
        <v>0</v>
      </c>
      <c r="R78" s="591">
        <v>0</v>
      </c>
      <c r="S78" s="591">
        <v>0</v>
      </c>
      <c r="T78" s="591">
        <v>0</v>
      </c>
      <c r="U78" s="591">
        <v>0</v>
      </c>
      <c r="V78" s="591">
        <v>0</v>
      </c>
      <c r="W78" s="591">
        <v>0</v>
      </c>
      <c r="X78" s="341">
        <f t="shared" si="12"/>
        <v>0</v>
      </c>
    </row>
    <row r="79" spans="1:24" ht="11.25" x14ac:dyDescent="0.2">
      <c r="A79" s="351">
        <v>19</v>
      </c>
      <c r="C79" s="352" t="s">
        <v>295</v>
      </c>
      <c r="D79" s="347">
        <f>SUM(D70:D78)</f>
        <v>0</v>
      </c>
      <c r="E79" s="347">
        <f t="shared" ref="E79:W79" si="13">SUM(E70:E78)</f>
        <v>0</v>
      </c>
      <c r="F79" s="347">
        <f t="shared" si="13"/>
        <v>0</v>
      </c>
      <c r="G79" s="347">
        <f t="shared" si="13"/>
        <v>0</v>
      </c>
      <c r="H79" s="347">
        <f t="shared" si="13"/>
        <v>0</v>
      </c>
      <c r="I79" s="347">
        <f t="shared" si="13"/>
        <v>0</v>
      </c>
      <c r="J79" s="347">
        <f t="shared" si="13"/>
        <v>0</v>
      </c>
      <c r="K79" s="347">
        <f t="shared" si="13"/>
        <v>0</v>
      </c>
      <c r="L79" s="347">
        <f t="shared" si="13"/>
        <v>0</v>
      </c>
      <c r="M79" s="347">
        <f t="shared" si="13"/>
        <v>0</v>
      </c>
      <c r="N79" s="347">
        <f t="shared" si="13"/>
        <v>0</v>
      </c>
      <c r="O79" s="347">
        <f t="shared" si="13"/>
        <v>0</v>
      </c>
      <c r="P79" s="347">
        <f t="shared" si="13"/>
        <v>0</v>
      </c>
      <c r="Q79" s="347">
        <f t="shared" si="13"/>
        <v>0</v>
      </c>
      <c r="R79" s="347">
        <f t="shared" si="13"/>
        <v>0</v>
      </c>
      <c r="S79" s="347">
        <f t="shared" si="13"/>
        <v>0</v>
      </c>
      <c r="T79" s="347">
        <f t="shared" si="13"/>
        <v>0</v>
      </c>
      <c r="U79" s="347">
        <f t="shared" si="13"/>
        <v>0</v>
      </c>
      <c r="V79" s="347">
        <f t="shared" si="13"/>
        <v>0</v>
      </c>
      <c r="W79" s="347">
        <f t="shared" si="13"/>
        <v>0</v>
      </c>
      <c r="X79" s="341">
        <f t="shared" si="12"/>
        <v>0</v>
      </c>
    </row>
    <row r="80" spans="1:24" ht="11.25" x14ac:dyDescent="0.2">
      <c r="A80" s="371" t="s">
        <v>1435</v>
      </c>
      <c r="B80" s="369"/>
      <c r="C80" s="348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</row>
    <row r="81" spans="1:24" ht="11.25" x14ac:dyDescent="0.2">
      <c r="A81" s="340">
        <v>20</v>
      </c>
      <c r="B81" s="588" t="s">
        <v>1577</v>
      </c>
      <c r="C81" s="312" t="s">
        <v>228</v>
      </c>
      <c r="D81" s="528">
        <f t="array" ref="D81">SUM(IF(CertFund&amp;CertProg&amp;CertObj&amp;CertGrant=RIGHT(LEFT($A$2,7),2)&amp;LEFT($A$80,4)&amp;$B$81&amp;D$3,CertSalary))</f>
        <v>0</v>
      </c>
      <c r="E81" s="528">
        <f t="array" ref="E81">SUM(IF(CertFund&amp;CertProg&amp;CertObj&amp;CertGrant=RIGHT(LEFT($A$2,7),2)&amp;LEFT($A$80,4)&amp;$B$81&amp;E$3,CertSalary))</f>
        <v>0</v>
      </c>
      <c r="F81" s="528">
        <f t="array" ref="F81">SUM(IF(CertFund&amp;CertProg&amp;CertObj&amp;CertGrant=RIGHT(LEFT($A$2,7),2)&amp;LEFT($A$80,4)&amp;$B$81&amp;F$3,CertSalary))</f>
        <v>0</v>
      </c>
      <c r="G81" s="528">
        <f t="array" ref="G81">SUM(IF(CertFund&amp;CertProg&amp;CertObj&amp;CertGrant=RIGHT(LEFT($A$2,7),2)&amp;LEFT($A$80,4)&amp;$B$81&amp;G$3,CertSalary))</f>
        <v>0</v>
      </c>
      <c r="H81" s="528">
        <f t="array" ref="H81">SUM(IF(CertFund&amp;CertProg&amp;CertObj&amp;CertGrant=RIGHT(LEFT($A$2,7),2)&amp;LEFT($A$80,4)&amp;$B$81&amp;H$3,CertSalary))</f>
        <v>0</v>
      </c>
      <c r="I81" s="528">
        <f t="array" ref="I81">SUM(IF(CertFund&amp;CertProg&amp;CertObj&amp;CertGrant=RIGHT(LEFT($A$2,7),2)&amp;LEFT($A$80,4)&amp;$B$81&amp;I$3,CertSalary))</f>
        <v>0</v>
      </c>
      <c r="J81" s="528">
        <f t="array" ref="J81">SUM(IF(CertFund&amp;CertProg&amp;CertObj&amp;CertGrant=RIGHT(LEFT($A$2,7),2)&amp;LEFT($A$80,4)&amp;$B$81&amp;J$3,CertSalary))</f>
        <v>0</v>
      </c>
      <c r="K81" s="528">
        <f t="array" ref="K81">SUM(IF(CertFund&amp;CertProg&amp;CertObj&amp;CertGrant=RIGHT(LEFT($A$2,7),2)&amp;LEFT($A$80,4)&amp;$B$81&amp;K$3,CertSalary))</f>
        <v>0</v>
      </c>
      <c r="L81" s="528">
        <f t="array" ref="L81">SUM(IF(CertFund&amp;CertProg&amp;CertObj&amp;CertGrant=RIGHT(LEFT($A$2,7),2)&amp;LEFT($A$80,4)&amp;$B$81&amp;L$3,CertSalary))</f>
        <v>0</v>
      </c>
      <c r="M81" s="528">
        <f t="array" ref="M81">SUM(IF(CertFund&amp;CertProg&amp;CertObj&amp;CertGrant=RIGHT(LEFT($A$2,7),2)&amp;LEFT($A$80,4)&amp;$B$81&amp;M$3,CertSalary))</f>
        <v>0</v>
      </c>
      <c r="N81" s="528">
        <f t="array" ref="N81">SUM(IF(CertFund&amp;CertProg&amp;CertObj&amp;CertGrant=RIGHT(LEFT($A$2,7),2)&amp;LEFT($A$80,4)&amp;$B$81&amp;N$3,CertSalary))</f>
        <v>0</v>
      </c>
      <c r="O81" s="528">
        <f t="array" ref="O81">SUM(IF(CertFund&amp;CertProg&amp;CertObj&amp;CertGrant=RIGHT(LEFT($A$2,7),2)&amp;LEFT($A$80,4)&amp;$B$81&amp;O$3,CertSalary))</f>
        <v>0</v>
      </c>
      <c r="P81" s="528">
        <f t="array" ref="P81">SUM(IF(CertFund&amp;CertProg&amp;CertObj&amp;CertGrant=RIGHT(LEFT($A$2,7),2)&amp;LEFT($A$80,4)&amp;$B$81&amp;P$3,CertSalary))</f>
        <v>0</v>
      </c>
      <c r="Q81" s="528">
        <f t="array" ref="Q81">SUM(IF(CertFund&amp;CertProg&amp;CertObj&amp;CertGrant=RIGHT(LEFT($A$2,7),2)&amp;LEFT($A$80,4)&amp;$B$81&amp;Q$3,CertSalary))</f>
        <v>0</v>
      </c>
      <c r="R81" s="528">
        <f t="array" ref="R81">SUM(IF(CertFund&amp;CertProg&amp;CertObj&amp;CertGrant=RIGHT(LEFT($A$2,7),2)&amp;LEFT($A$80,4)&amp;$B$81&amp;R$3,CertSalary))</f>
        <v>0</v>
      </c>
      <c r="S81" s="528">
        <f t="array" ref="S81">SUM(IF(CertFund&amp;CertProg&amp;CertObj&amp;CertGrant=RIGHT(LEFT($A$2,7),2)&amp;LEFT($A$80,4)&amp;$B$81&amp;S$3,CertSalary))</f>
        <v>0</v>
      </c>
      <c r="T81" s="528">
        <f t="array" ref="T81">SUM(IF(CertFund&amp;CertProg&amp;CertObj&amp;CertGrant=RIGHT(LEFT($A$2,7),2)&amp;LEFT($A$80,4)&amp;$B$81&amp;T$3,CertSalary))</f>
        <v>0</v>
      </c>
      <c r="U81" s="528">
        <f t="array" ref="U81">SUM(IF(CertFund&amp;CertProg&amp;CertObj&amp;CertGrant=RIGHT(LEFT($A$2,7),2)&amp;LEFT($A$80,4)&amp;$B$81&amp;U$3,CertSalary))</f>
        <v>0</v>
      </c>
      <c r="V81" s="528">
        <f t="array" ref="V81">SUM(IF(CertFund&amp;CertProg&amp;CertObj&amp;CertGrant=RIGHT(LEFT($A$2,7),2)&amp;LEFT($A$80,4)&amp;$B$81&amp;V$3,CertSalary))</f>
        <v>0</v>
      </c>
      <c r="W81" s="528">
        <f t="array" ref="W81">SUM(IF(CertFund&amp;CertProg&amp;CertObj&amp;CertGrant=RIGHT(LEFT($A$2,7),2)&amp;LEFT($A$80,4)&amp;$B$81&amp;W$3,CertSalary))</f>
        <v>0</v>
      </c>
      <c r="X81" s="347">
        <f t="shared" ref="X81:X89" si="14">SUM(D81:W81)</f>
        <v>0</v>
      </c>
    </row>
    <row r="82" spans="1:24" ht="11.25" x14ac:dyDescent="0.2">
      <c r="A82" s="340" t="s">
        <v>1440</v>
      </c>
      <c r="B82" s="588" t="s">
        <v>1577</v>
      </c>
      <c r="C82" s="312" t="s">
        <v>510</v>
      </c>
      <c r="D82" s="147">
        <v>0</v>
      </c>
      <c r="E82" s="147">
        <v>0</v>
      </c>
      <c r="F82" s="147">
        <v>0</v>
      </c>
      <c r="G82" s="147">
        <v>0</v>
      </c>
      <c r="H82" s="147">
        <v>0</v>
      </c>
      <c r="I82" s="147">
        <v>0</v>
      </c>
      <c r="J82" s="147">
        <v>0</v>
      </c>
      <c r="K82" s="147">
        <v>0</v>
      </c>
      <c r="L82" s="147">
        <v>0</v>
      </c>
      <c r="M82" s="147">
        <v>0</v>
      </c>
      <c r="N82" s="147">
        <v>0</v>
      </c>
      <c r="O82" s="147">
        <v>0</v>
      </c>
      <c r="P82" s="147">
        <v>0</v>
      </c>
      <c r="Q82" s="147">
        <v>0</v>
      </c>
      <c r="R82" s="147">
        <v>0</v>
      </c>
      <c r="S82" s="147">
        <v>0</v>
      </c>
      <c r="T82" s="147">
        <v>0</v>
      </c>
      <c r="U82" s="147">
        <v>0</v>
      </c>
      <c r="V82" s="147">
        <v>0</v>
      </c>
      <c r="W82" s="147">
        <v>0</v>
      </c>
      <c r="X82" s="341">
        <f t="shared" si="14"/>
        <v>0</v>
      </c>
    </row>
    <row r="83" spans="1:24" ht="11.25" x14ac:dyDescent="0.2">
      <c r="A83" s="340">
        <v>21</v>
      </c>
      <c r="B83" s="588" t="s">
        <v>1578</v>
      </c>
      <c r="C83" s="312" t="s">
        <v>76</v>
      </c>
      <c r="D83" s="528">
        <f t="array" ref="D83">SUM(IF(CertFund&amp;CertProg&amp;CertObj&amp;CertGrant=RIGHT(LEFT($A$2,7),2)&amp;LEFT($A$80,4)&amp;$B$81&amp;D$3,CertBen))</f>
        <v>0</v>
      </c>
      <c r="E83" s="528">
        <f t="array" ref="E83">SUM(IF(CertFund&amp;CertProg&amp;CertObj&amp;CertGrant=RIGHT(LEFT($A$2,7),2)&amp;LEFT($A$80,4)&amp;$B$81&amp;E$3,CertBen))</f>
        <v>0</v>
      </c>
      <c r="F83" s="528">
        <f t="array" ref="F83">SUM(IF(CertFund&amp;CertProg&amp;CertObj&amp;CertGrant=RIGHT(LEFT($A$2,7),2)&amp;LEFT($A$80,4)&amp;$B$81&amp;F$3,CertBen))</f>
        <v>0</v>
      </c>
      <c r="G83" s="528">
        <f t="array" ref="G83">SUM(IF(CertFund&amp;CertProg&amp;CertObj&amp;CertGrant=RIGHT(LEFT($A$2,7),2)&amp;LEFT($A$80,4)&amp;$B$81&amp;G$3,CertBen))</f>
        <v>0</v>
      </c>
      <c r="H83" s="528">
        <f t="array" ref="H83">SUM(IF(CertFund&amp;CertProg&amp;CertObj&amp;CertGrant=RIGHT(LEFT($A$2,7),2)&amp;LEFT($A$80,4)&amp;$B$81&amp;H$3,CertBen))</f>
        <v>0</v>
      </c>
      <c r="I83" s="528">
        <f t="array" ref="I83">SUM(IF(CertFund&amp;CertProg&amp;CertObj&amp;CertGrant=RIGHT(LEFT($A$2,7),2)&amp;LEFT($A$80,4)&amp;$B$81&amp;I$3,CertBen))</f>
        <v>0</v>
      </c>
      <c r="J83" s="528">
        <f t="array" ref="J83">SUM(IF(CertFund&amp;CertProg&amp;CertObj&amp;CertGrant=RIGHT(LEFT($A$2,7),2)&amp;LEFT($A$80,4)&amp;$B$81&amp;J$3,CertBen))</f>
        <v>0</v>
      </c>
      <c r="K83" s="528">
        <f t="array" ref="K83">SUM(IF(CertFund&amp;CertProg&amp;CertObj&amp;CertGrant=RIGHT(LEFT($A$2,7),2)&amp;LEFT($A$80,4)&amp;$B$81&amp;K$3,CertBen))</f>
        <v>0</v>
      </c>
      <c r="L83" s="528">
        <f t="array" ref="L83">SUM(IF(CertFund&amp;CertProg&amp;CertObj&amp;CertGrant=RIGHT(LEFT($A$2,7),2)&amp;LEFT($A$80,4)&amp;$B$81&amp;L$3,CertBen))</f>
        <v>0</v>
      </c>
      <c r="M83" s="528">
        <f t="array" ref="M83">SUM(IF(CertFund&amp;CertProg&amp;CertObj&amp;CertGrant=RIGHT(LEFT($A$2,7),2)&amp;LEFT($A$80,4)&amp;$B$81&amp;M$3,CertBen))</f>
        <v>0</v>
      </c>
      <c r="N83" s="528">
        <f t="array" ref="N83">SUM(IF(CertFund&amp;CertProg&amp;CertObj&amp;CertGrant=RIGHT(LEFT($A$2,7),2)&amp;LEFT($A$80,4)&amp;$B$81&amp;N$3,CertBen))</f>
        <v>0</v>
      </c>
      <c r="O83" s="528">
        <f t="array" ref="O83">SUM(IF(CertFund&amp;CertProg&amp;CertObj&amp;CertGrant=RIGHT(LEFT($A$2,7),2)&amp;LEFT($A$80,4)&amp;$B$81&amp;O$3,CertBen))</f>
        <v>0</v>
      </c>
      <c r="P83" s="528">
        <f t="array" ref="P83">SUM(IF(CertFund&amp;CertProg&amp;CertObj&amp;CertGrant=RIGHT(LEFT($A$2,7),2)&amp;LEFT($A$80,4)&amp;$B$81&amp;P$3,CertBen))</f>
        <v>0</v>
      </c>
      <c r="Q83" s="528">
        <f t="array" ref="Q83">SUM(IF(CertFund&amp;CertProg&amp;CertObj&amp;CertGrant=RIGHT(LEFT($A$2,7),2)&amp;LEFT($A$80,4)&amp;$B$81&amp;Q$3,CertBen))</f>
        <v>0</v>
      </c>
      <c r="R83" s="528">
        <f t="array" ref="R83">SUM(IF(CertFund&amp;CertProg&amp;CertObj&amp;CertGrant=RIGHT(LEFT($A$2,7),2)&amp;LEFT($A$80,4)&amp;$B$81&amp;R$3,CertBen))</f>
        <v>0</v>
      </c>
      <c r="S83" s="528">
        <f t="array" ref="S83">SUM(IF(CertFund&amp;CertProg&amp;CertObj&amp;CertGrant=RIGHT(LEFT($A$2,7),2)&amp;LEFT($A$80,4)&amp;$B$81&amp;S$3,CertBen))</f>
        <v>0</v>
      </c>
      <c r="T83" s="528">
        <f t="array" ref="T83">SUM(IF(CertFund&amp;CertProg&amp;CertObj&amp;CertGrant=RIGHT(LEFT($A$2,7),2)&amp;LEFT($A$80,4)&amp;$B$81&amp;T$3,CertBen))</f>
        <v>0</v>
      </c>
      <c r="U83" s="528">
        <f t="array" ref="U83">SUM(IF(CertFund&amp;CertProg&amp;CertObj&amp;CertGrant=RIGHT(LEFT($A$2,7),2)&amp;LEFT($A$80,4)&amp;$B$81&amp;U$3,CertBen))</f>
        <v>0</v>
      </c>
      <c r="V83" s="528">
        <f t="array" ref="V83">SUM(IF(CertFund&amp;CertProg&amp;CertObj&amp;CertGrant=RIGHT(LEFT($A$2,7),2)&amp;LEFT($A$80,4)&amp;$B$81&amp;V$3,CertBen))</f>
        <v>0</v>
      </c>
      <c r="W83" s="528">
        <f t="array" ref="W83">SUM(IF(CertFund&amp;CertProg&amp;CertObj&amp;CertGrant=RIGHT(LEFT($A$2,7),2)&amp;LEFT($A$80,4)&amp;$B$81&amp;W$3,CertBen))</f>
        <v>0</v>
      </c>
      <c r="X83" s="341">
        <f t="shared" si="14"/>
        <v>0</v>
      </c>
    </row>
    <row r="84" spans="1:24" ht="11.25" x14ac:dyDescent="0.2">
      <c r="A84" s="340" t="s">
        <v>1441</v>
      </c>
      <c r="B84" s="588" t="s">
        <v>1578</v>
      </c>
      <c r="C84" s="312" t="s">
        <v>511</v>
      </c>
      <c r="D84" s="590">
        <v>0</v>
      </c>
      <c r="E84" s="590">
        <v>0</v>
      </c>
      <c r="F84" s="590">
        <v>0</v>
      </c>
      <c r="G84" s="590">
        <v>0</v>
      </c>
      <c r="H84" s="590">
        <v>0</v>
      </c>
      <c r="I84" s="590">
        <v>0</v>
      </c>
      <c r="J84" s="590">
        <v>0</v>
      </c>
      <c r="K84" s="590">
        <v>0</v>
      </c>
      <c r="L84" s="590">
        <v>0</v>
      </c>
      <c r="M84" s="590">
        <v>0</v>
      </c>
      <c r="N84" s="590">
        <v>0</v>
      </c>
      <c r="O84" s="590">
        <v>0</v>
      </c>
      <c r="P84" s="590">
        <v>0</v>
      </c>
      <c r="Q84" s="590">
        <v>0</v>
      </c>
      <c r="R84" s="590">
        <v>0</v>
      </c>
      <c r="S84" s="590">
        <v>0</v>
      </c>
      <c r="T84" s="590">
        <v>0</v>
      </c>
      <c r="U84" s="590">
        <v>0</v>
      </c>
      <c r="V84" s="590">
        <v>0</v>
      </c>
      <c r="W84" s="590">
        <v>0</v>
      </c>
      <c r="X84" s="341">
        <f t="shared" si="14"/>
        <v>0</v>
      </c>
    </row>
    <row r="85" spans="1:24" ht="11.25" x14ac:dyDescent="0.2">
      <c r="A85" s="340">
        <v>22</v>
      </c>
      <c r="B85" s="588" t="s">
        <v>1579</v>
      </c>
      <c r="C85" s="329" t="s">
        <v>273</v>
      </c>
      <c r="D85" s="590">
        <v>0</v>
      </c>
      <c r="E85" s="590">
        <v>0</v>
      </c>
      <c r="F85" s="590">
        <v>0</v>
      </c>
      <c r="G85" s="590">
        <v>0</v>
      </c>
      <c r="H85" s="590">
        <v>0</v>
      </c>
      <c r="I85" s="590">
        <v>0</v>
      </c>
      <c r="J85" s="590">
        <v>0</v>
      </c>
      <c r="K85" s="590">
        <v>0</v>
      </c>
      <c r="L85" s="591">
        <v>0</v>
      </c>
      <c r="M85" s="591">
        <v>0</v>
      </c>
      <c r="N85" s="591">
        <v>0</v>
      </c>
      <c r="O85" s="591">
        <v>0</v>
      </c>
      <c r="P85" s="591">
        <v>0</v>
      </c>
      <c r="Q85" s="591">
        <v>0</v>
      </c>
      <c r="R85" s="591">
        <v>0</v>
      </c>
      <c r="S85" s="591">
        <v>0</v>
      </c>
      <c r="T85" s="591">
        <v>0</v>
      </c>
      <c r="U85" s="591">
        <v>0</v>
      </c>
      <c r="V85" s="591">
        <v>0</v>
      </c>
      <c r="W85" s="591">
        <v>0</v>
      </c>
      <c r="X85" s="341">
        <f t="shared" si="14"/>
        <v>0</v>
      </c>
    </row>
    <row r="86" spans="1:24" ht="11.25" x14ac:dyDescent="0.2">
      <c r="A86" s="340">
        <v>23</v>
      </c>
      <c r="B86" s="188" t="s">
        <v>1581</v>
      </c>
      <c r="C86" s="329" t="s">
        <v>274</v>
      </c>
      <c r="D86" s="590">
        <v>0</v>
      </c>
      <c r="E86" s="590">
        <v>0</v>
      </c>
      <c r="F86" s="590">
        <v>0</v>
      </c>
      <c r="G86" s="590">
        <v>0</v>
      </c>
      <c r="H86" s="590">
        <v>0</v>
      </c>
      <c r="I86" s="590">
        <v>0</v>
      </c>
      <c r="J86" s="590">
        <v>0</v>
      </c>
      <c r="K86" s="590">
        <v>0</v>
      </c>
      <c r="L86" s="591">
        <v>0</v>
      </c>
      <c r="M86" s="591">
        <v>0</v>
      </c>
      <c r="N86" s="591">
        <v>0</v>
      </c>
      <c r="O86" s="591">
        <v>0</v>
      </c>
      <c r="P86" s="591">
        <v>0</v>
      </c>
      <c r="Q86" s="591">
        <v>0</v>
      </c>
      <c r="R86" s="591">
        <v>0</v>
      </c>
      <c r="S86" s="591">
        <v>0</v>
      </c>
      <c r="T86" s="591">
        <v>0</v>
      </c>
      <c r="U86" s="591">
        <v>0</v>
      </c>
      <c r="V86" s="591">
        <v>0</v>
      </c>
      <c r="W86" s="591">
        <v>0</v>
      </c>
      <c r="X86" s="341">
        <f t="shared" si="14"/>
        <v>0</v>
      </c>
    </row>
    <row r="87" spans="1:24" ht="11.25" x14ac:dyDescent="0.2">
      <c r="A87" s="340">
        <v>24</v>
      </c>
      <c r="B87" s="188" t="s">
        <v>1582</v>
      </c>
      <c r="C87" s="329" t="s">
        <v>275</v>
      </c>
      <c r="D87" s="590">
        <v>0</v>
      </c>
      <c r="E87" s="590">
        <v>0</v>
      </c>
      <c r="F87" s="590">
        <v>0</v>
      </c>
      <c r="G87" s="590">
        <v>0</v>
      </c>
      <c r="H87" s="590">
        <v>0</v>
      </c>
      <c r="I87" s="590">
        <v>0</v>
      </c>
      <c r="J87" s="590">
        <v>0</v>
      </c>
      <c r="K87" s="590">
        <v>0</v>
      </c>
      <c r="L87" s="591">
        <v>0</v>
      </c>
      <c r="M87" s="591">
        <v>0</v>
      </c>
      <c r="N87" s="591">
        <v>0</v>
      </c>
      <c r="O87" s="591">
        <v>0</v>
      </c>
      <c r="P87" s="591">
        <v>0</v>
      </c>
      <c r="Q87" s="591">
        <v>0</v>
      </c>
      <c r="R87" s="591">
        <v>0</v>
      </c>
      <c r="S87" s="591">
        <v>0</v>
      </c>
      <c r="T87" s="591">
        <v>0</v>
      </c>
      <c r="U87" s="591">
        <v>0</v>
      </c>
      <c r="V87" s="591">
        <v>0</v>
      </c>
      <c r="W87" s="591">
        <v>0</v>
      </c>
      <c r="X87" s="341">
        <f t="shared" si="14"/>
        <v>0</v>
      </c>
    </row>
    <row r="88" spans="1:24" ht="11.25" x14ac:dyDescent="0.2">
      <c r="A88" s="350">
        <v>25</v>
      </c>
      <c r="B88" s="188" t="s">
        <v>1584</v>
      </c>
      <c r="C88" s="327" t="s">
        <v>276</v>
      </c>
      <c r="D88" s="590">
        <v>0</v>
      </c>
      <c r="E88" s="590">
        <v>0</v>
      </c>
      <c r="F88" s="590">
        <v>0</v>
      </c>
      <c r="G88" s="590">
        <v>0</v>
      </c>
      <c r="H88" s="590">
        <v>0</v>
      </c>
      <c r="I88" s="590">
        <v>0</v>
      </c>
      <c r="J88" s="590">
        <v>0</v>
      </c>
      <c r="K88" s="590">
        <v>0</v>
      </c>
      <c r="L88" s="591">
        <v>0</v>
      </c>
      <c r="M88" s="591">
        <v>0</v>
      </c>
      <c r="N88" s="591">
        <v>0</v>
      </c>
      <c r="O88" s="591">
        <v>0</v>
      </c>
      <c r="P88" s="591">
        <v>0</v>
      </c>
      <c r="Q88" s="591">
        <v>0</v>
      </c>
      <c r="R88" s="591">
        <v>0</v>
      </c>
      <c r="S88" s="591">
        <v>0</v>
      </c>
      <c r="T88" s="591">
        <v>0</v>
      </c>
      <c r="U88" s="591">
        <v>0</v>
      </c>
      <c r="V88" s="591">
        <v>0</v>
      </c>
      <c r="W88" s="591">
        <v>0</v>
      </c>
      <c r="X88" s="341">
        <f t="shared" si="14"/>
        <v>0</v>
      </c>
    </row>
    <row r="89" spans="1:24" ht="11.25" x14ac:dyDescent="0.2">
      <c r="A89" s="340">
        <v>26</v>
      </c>
      <c r="C89" s="346" t="s">
        <v>296</v>
      </c>
      <c r="D89" s="347">
        <f>SUM(D81:D88)</f>
        <v>0</v>
      </c>
      <c r="E89" s="347">
        <f t="shared" ref="E89:W89" si="15">SUM(E81:E88)</f>
        <v>0</v>
      </c>
      <c r="F89" s="347">
        <f t="shared" si="15"/>
        <v>0</v>
      </c>
      <c r="G89" s="347">
        <f t="shared" si="15"/>
        <v>0</v>
      </c>
      <c r="H89" s="347">
        <f t="shared" si="15"/>
        <v>0</v>
      </c>
      <c r="I89" s="347">
        <f t="shared" si="15"/>
        <v>0</v>
      </c>
      <c r="J89" s="347">
        <f t="shared" si="15"/>
        <v>0</v>
      </c>
      <c r="K89" s="353">
        <f t="shared" si="15"/>
        <v>0</v>
      </c>
      <c r="L89" s="353">
        <f t="shared" si="15"/>
        <v>0</v>
      </c>
      <c r="M89" s="353">
        <f t="shared" si="15"/>
        <v>0</v>
      </c>
      <c r="N89" s="353">
        <f t="shared" si="15"/>
        <v>0</v>
      </c>
      <c r="O89" s="353">
        <f t="shared" si="15"/>
        <v>0</v>
      </c>
      <c r="P89" s="353">
        <f t="shared" si="15"/>
        <v>0</v>
      </c>
      <c r="Q89" s="353">
        <f t="shared" si="15"/>
        <v>0</v>
      </c>
      <c r="R89" s="353">
        <f t="shared" si="15"/>
        <v>0</v>
      </c>
      <c r="S89" s="353">
        <f t="shared" si="15"/>
        <v>0</v>
      </c>
      <c r="T89" s="353">
        <f t="shared" si="15"/>
        <v>0</v>
      </c>
      <c r="U89" s="353">
        <f t="shared" si="15"/>
        <v>0</v>
      </c>
      <c r="V89" s="353">
        <f t="shared" si="15"/>
        <v>0</v>
      </c>
      <c r="W89" s="353">
        <f t="shared" si="15"/>
        <v>0</v>
      </c>
      <c r="X89" s="341">
        <f t="shared" si="14"/>
        <v>0</v>
      </c>
    </row>
    <row r="90" spans="1:24" ht="11.25" x14ac:dyDescent="0.2">
      <c r="A90" s="371" t="s">
        <v>1444</v>
      </c>
      <c r="B90" s="369"/>
      <c r="C90" s="348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</row>
    <row r="91" spans="1:24" ht="11.25" x14ac:dyDescent="0.2">
      <c r="A91" s="371" t="s">
        <v>1436</v>
      </c>
      <c r="B91" s="369"/>
      <c r="C91" s="348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</row>
    <row r="92" spans="1:24" ht="11.25" x14ac:dyDescent="0.2">
      <c r="A92" s="371" t="s">
        <v>623</v>
      </c>
      <c r="B92" s="369"/>
      <c r="C92" s="348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</row>
    <row r="93" spans="1:24" ht="11.25" x14ac:dyDescent="0.2">
      <c r="A93" s="340">
        <v>27</v>
      </c>
      <c r="B93" s="588" t="s">
        <v>1577</v>
      </c>
      <c r="C93" s="312" t="s">
        <v>228</v>
      </c>
      <c r="D93" s="528">
        <f t="array" ref="D93">SUM(IF(CertFund&amp;CertProg&amp;CertObj&amp;CertGrant=RIGHT(LEFT($A$2,7),2)&amp;LEFT($A$90,4)&amp;$B$93&amp;D$3,CertSalary))+SUM(IF(CertFund&amp;CertProg&amp;CertObj&amp;CertGrant=RIGHT(LEFT($A$2,7),2)&amp;LEFT($A$91,4)&amp;$B$93&amp;D$3,CertSalary))+SUM(IF(CertFund&amp;CertProg&amp;CertObj&amp;CertGrant=RIGHT(LEFT($A$2,7),2)&amp;LEFT($A$92,4)&amp;$B$93&amp;D$3,CertSalary))</f>
        <v>0</v>
      </c>
      <c r="E93" s="528">
        <f t="array" ref="E93">SUM(IF(CertFund&amp;CertProg&amp;CertObj&amp;CertGrant=RIGHT(LEFT($A$2,7),2)&amp;LEFT($A$90,4)&amp;$B$93&amp;E$3,CertSalary))+SUM(IF(CertFund&amp;CertProg&amp;CertObj&amp;CertGrant=RIGHT(LEFT($A$2,7),2)&amp;LEFT($A$91,4)&amp;$B$93&amp;E$3,CertSalary))+SUM(IF(CertFund&amp;CertProg&amp;CertObj&amp;CertGrant=RIGHT(LEFT($A$2,7),2)&amp;LEFT($A$92,4)&amp;$B$93&amp;E$3,CertSalary))</f>
        <v>0</v>
      </c>
      <c r="F93" s="528">
        <f t="array" ref="F93">SUM(IF(CertFund&amp;CertProg&amp;CertObj&amp;CertGrant=RIGHT(LEFT($A$2,7),2)&amp;LEFT($A$90,4)&amp;$B$93&amp;F$3,CertSalary))+SUM(IF(CertFund&amp;CertProg&amp;CertObj&amp;CertGrant=RIGHT(LEFT($A$2,7),2)&amp;LEFT($A$91,4)&amp;$B$93&amp;F$3,CertSalary))+SUM(IF(CertFund&amp;CertProg&amp;CertObj&amp;CertGrant=RIGHT(LEFT($A$2,7),2)&amp;LEFT($A$92,4)&amp;$B$93&amp;F$3,CertSalary))</f>
        <v>0</v>
      </c>
      <c r="G93" s="528">
        <f t="array" ref="G93">SUM(IF(CertFund&amp;CertProg&amp;CertObj&amp;CertGrant=RIGHT(LEFT($A$2,7),2)&amp;LEFT($A$90,4)&amp;$B$93&amp;G$3,CertSalary))+SUM(IF(CertFund&amp;CertProg&amp;CertObj&amp;CertGrant=RIGHT(LEFT($A$2,7),2)&amp;LEFT($A$91,4)&amp;$B$93&amp;G$3,CertSalary))+SUM(IF(CertFund&amp;CertProg&amp;CertObj&amp;CertGrant=RIGHT(LEFT($A$2,7),2)&amp;LEFT($A$92,4)&amp;$B$93&amp;G$3,CertSalary))</f>
        <v>0</v>
      </c>
      <c r="H93" s="528">
        <f t="array" ref="H93">SUM(IF(CertFund&amp;CertProg&amp;CertObj&amp;CertGrant=RIGHT(LEFT($A$2,7),2)&amp;LEFT($A$90,4)&amp;$B$93&amp;H$3,CertSalary))+SUM(IF(CertFund&amp;CertProg&amp;CertObj&amp;CertGrant=RIGHT(LEFT($A$2,7),2)&amp;LEFT($A$91,4)&amp;$B$93&amp;H$3,CertSalary))+SUM(IF(CertFund&amp;CertProg&amp;CertObj&amp;CertGrant=RIGHT(LEFT($A$2,7),2)&amp;LEFT($A$92,4)&amp;$B$93&amp;H$3,CertSalary))</f>
        <v>0</v>
      </c>
      <c r="I93" s="528">
        <f t="array" ref="I93">SUM(IF(CertFund&amp;CertProg&amp;CertObj&amp;CertGrant=RIGHT(LEFT($A$2,7),2)&amp;LEFT($A$90,4)&amp;$B$93&amp;I$3,CertSalary))+SUM(IF(CertFund&amp;CertProg&amp;CertObj&amp;CertGrant=RIGHT(LEFT($A$2,7),2)&amp;LEFT($A$91,4)&amp;$B$93&amp;I$3,CertSalary))+SUM(IF(CertFund&amp;CertProg&amp;CertObj&amp;CertGrant=RIGHT(LEFT($A$2,7),2)&amp;LEFT($A$92,4)&amp;$B$93&amp;I$3,CertSalary))</f>
        <v>0</v>
      </c>
      <c r="J93" s="528">
        <f t="array" ref="J93">SUM(IF(CertFund&amp;CertProg&amp;CertObj&amp;CertGrant=RIGHT(LEFT($A$2,7),2)&amp;LEFT($A$90,4)&amp;$B$93&amp;J$3,CertSalary))+SUM(IF(CertFund&amp;CertProg&amp;CertObj&amp;CertGrant=RIGHT(LEFT($A$2,7),2)&amp;LEFT($A$91,4)&amp;$B$93&amp;J$3,CertSalary))+SUM(IF(CertFund&amp;CertProg&amp;CertObj&amp;CertGrant=RIGHT(LEFT($A$2,7),2)&amp;LEFT($A$92,4)&amp;$B$93&amp;J$3,CertSalary))</f>
        <v>0</v>
      </c>
      <c r="K93" s="528">
        <f t="array" ref="K93">SUM(IF(CertFund&amp;CertProg&amp;CertObj&amp;CertGrant=RIGHT(LEFT($A$2,7),2)&amp;LEFT($A$90,4)&amp;$B$93&amp;K$3,CertSalary))+SUM(IF(CertFund&amp;CertProg&amp;CertObj&amp;CertGrant=RIGHT(LEFT($A$2,7),2)&amp;LEFT($A$91,4)&amp;$B$93&amp;K$3,CertSalary))+SUM(IF(CertFund&amp;CertProg&amp;CertObj&amp;CertGrant=RIGHT(LEFT($A$2,7),2)&amp;LEFT($A$92,4)&amp;$B$93&amp;K$3,CertSalary))</f>
        <v>0</v>
      </c>
      <c r="L93" s="528">
        <f t="array" ref="L93">SUM(IF(CertFund&amp;CertProg&amp;CertObj&amp;CertGrant=RIGHT(LEFT($A$2,7),2)&amp;LEFT($A$90,4)&amp;$B$93&amp;L$3,CertSalary))+SUM(IF(CertFund&amp;CertProg&amp;CertObj&amp;CertGrant=RIGHT(LEFT($A$2,7),2)&amp;LEFT($A$91,4)&amp;$B$93&amp;L$3,CertSalary))+SUM(IF(CertFund&amp;CertProg&amp;CertObj&amp;CertGrant=RIGHT(LEFT($A$2,7),2)&amp;LEFT($A$92,4)&amp;$B$93&amp;L$3,CertSalary))</f>
        <v>0</v>
      </c>
      <c r="M93" s="528">
        <f t="array" ref="M93">SUM(IF(CertFund&amp;CertProg&amp;CertObj&amp;CertGrant=RIGHT(LEFT($A$2,7),2)&amp;LEFT($A$90,4)&amp;$B$93&amp;M$3,CertSalary))+SUM(IF(CertFund&amp;CertProg&amp;CertObj&amp;CertGrant=RIGHT(LEFT($A$2,7),2)&amp;LEFT($A$91,4)&amp;$B$93&amp;M$3,CertSalary))+SUM(IF(CertFund&amp;CertProg&amp;CertObj&amp;CertGrant=RIGHT(LEFT($A$2,7),2)&amp;LEFT($A$92,4)&amp;$B$93&amp;M$3,CertSalary))</f>
        <v>0</v>
      </c>
      <c r="N93" s="528">
        <f t="array" ref="N93">SUM(IF(CertFund&amp;CertProg&amp;CertObj&amp;CertGrant=RIGHT(LEFT($A$2,7),2)&amp;LEFT($A$90,4)&amp;$B$93&amp;N$3,CertSalary))+SUM(IF(CertFund&amp;CertProg&amp;CertObj&amp;CertGrant=RIGHT(LEFT($A$2,7),2)&amp;LEFT($A$91,4)&amp;$B$93&amp;N$3,CertSalary))+SUM(IF(CertFund&amp;CertProg&amp;CertObj&amp;CertGrant=RIGHT(LEFT($A$2,7),2)&amp;LEFT($A$92,4)&amp;$B$93&amp;N$3,CertSalary))</f>
        <v>0</v>
      </c>
      <c r="O93" s="528">
        <f t="array" ref="O93">SUM(IF(CertFund&amp;CertProg&amp;CertObj&amp;CertGrant=RIGHT(LEFT($A$2,7),2)&amp;LEFT($A$90,4)&amp;$B$93&amp;O$3,CertSalary))+SUM(IF(CertFund&amp;CertProg&amp;CertObj&amp;CertGrant=RIGHT(LEFT($A$2,7),2)&amp;LEFT($A$91,4)&amp;$B$93&amp;O$3,CertSalary))+SUM(IF(CertFund&amp;CertProg&amp;CertObj&amp;CertGrant=RIGHT(LEFT($A$2,7),2)&amp;LEFT($A$92,4)&amp;$B$93&amp;O$3,CertSalary))</f>
        <v>0</v>
      </c>
      <c r="P93" s="528">
        <f t="array" ref="P93">SUM(IF(CertFund&amp;CertProg&amp;CertObj&amp;CertGrant=RIGHT(LEFT($A$2,7),2)&amp;LEFT($A$90,4)&amp;$B$93&amp;P$3,CertSalary))+SUM(IF(CertFund&amp;CertProg&amp;CertObj&amp;CertGrant=RIGHT(LEFT($A$2,7),2)&amp;LEFT($A$91,4)&amp;$B$93&amp;P$3,CertSalary))+SUM(IF(CertFund&amp;CertProg&amp;CertObj&amp;CertGrant=RIGHT(LEFT($A$2,7),2)&amp;LEFT($A$92,4)&amp;$B$93&amp;P$3,CertSalary))</f>
        <v>0</v>
      </c>
      <c r="Q93" s="528">
        <f t="array" ref="Q93">SUM(IF(CertFund&amp;CertProg&amp;CertObj&amp;CertGrant=RIGHT(LEFT($A$2,7),2)&amp;LEFT($A$90,4)&amp;$B$93&amp;Q$3,CertSalary))+SUM(IF(CertFund&amp;CertProg&amp;CertObj&amp;CertGrant=RIGHT(LEFT($A$2,7),2)&amp;LEFT($A$91,4)&amp;$B$93&amp;Q$3,CertSalary))+SUM(IF(CertFund&amp;CertProg&amp;CertObj&amp;CertGrant=RIGHT(LEFT($A$2,7),2)&amp;LEFT($A$92,4)&amp;$B$93&amp;Q$3,CertSalary))</f>
        <v>0</v>
      </c>
      <c r="R93" s="528">
        <f t="array" ref="R93">SUM(IF(CertFund&amp;CertProg&amp;CertObj&amp;CertGrant=RIGHT(LEFT($A$2,7),2)&amp;LEFT($A$90,4)&amp;$B$93&amp;R$3,CertSalary))+SUM(IF(CertFund&amp;CertProg&amp;CertObj&amp;CertGrant=RIGHT(LEFT($A$2,7),2)&amp;LEFT($A$91,4)&amp;$B$93&amp;R$3,CertSalary))+SUM(IF(CertFund&amp;CertProg&amp;CertObj&amp;CertGrant=RIGHT(LEFT($A$2,7),2)&amp;LEFT($A$92,4)&amp;$B$93&amp;R$3,CertSalary))</f>
        <v>0</v>
      </c>
      <c r="S93" s="528">
        <f t="array" ref="S93">SUM(IF(CertFund&amp;CertProg&amp;CertObj&amp;CertGrant=RIGHT(LEFT($A$2,7),2)&amp;LEFT($A$90,4)&amp;$B$93&amp;S$3,CertSalary))+SUM(IF(CertFund&amp;CertProg&amp;CertObj&amp;CertGrant=RIGHT(LEFT($A$2,7),2)&amp;LEFT($A$91,4)&amp;$B$93&amp;S$3,CertSalary))+SUM(IF(CertFund&amp;CertProg&amp;CertObj&amp;CertGrant=RIGHT(LEFT($A$2,7),2)&amp;LEFT($A$92,4)&amp;$B$93&amp;S$3,CertSalary))</f>
        <v>0</v>
      </c>
      <c r="T93" s="528">
        <f t="array" ref="T93">SUM(IF(CertFund&amp;CertProg&amp;CertObj&amp;CertGrant=RIGHT(LEFT($A$2,7),2)&amp;LEFT($A$90,4)&amp;$B$93&amp;T$3,CertSalary))+SUM(IF(CertFund&amp;CertProg&amp;CertObj&amp;CertGrant=RIGHT(LEFT($A$2,7),2)&amp;LEFT($A$91,4)&amp;$B$93&amp;T$3,CertSalary))+SUM(IF(CertFund&amp;CertProg&amp;CertObj&amp;CertGrant=RIGHT(LEFT($A$2,7),2)&amp;LEFT($A$92,4)&amp;$B$93&amp;T$3,CertSalary))</f>
        <v>0</v>
      </c>
      <c r="U93" s="528">
        <f t="array" ref="U93">SUM(IF(CertFund&amp;CertProg&amp;CertObj&amp;CertGrant=RIGHT(LEFT($A$2,7),2)&amp;LEFT($A$90,4)&amp;$B$93&amp;U$3,CertSalary))+SUM(IF(CertFund&amp;CertProg&amp;CertObj&amp;CertGrant=RIGHT(LEFT($A$2,7),2)&amp;LEFT($A$91,4)&amp;$B$93&amp;U$3,CertSalary))+SUM(IF(CertFund&amp;CertProg&amp;CertObj&amp;CertGrant=RIGHT(LEFT($A$2,7),2)&amp;LEFT($A$92,4)&amp;$B$93&amp;U$3,CertSalary))</f>
        <v>0</v>
      </c>
      <c r="V93" s="528">
        <f t="array" ref="V93">SUM(IF(CertFund&amp;CertProg&amp;CertObj&amp;CertGrant=RIGHT(LEFT($A$2,7),2)&amp;LEFT($A$90,4)&amp;$B$93&amp;V$3,CertSalary))+SUM(IF(CertFund&amp;CertProg&amp;CertObj&amp;CertGrant=RIGHT(LEFT($A$2,7),2)&amp;LEFT($A$91,4)&amp;$B$93&amp;V$3,CertSalary))+SUM(IF(CertFund&amp;CertProg&amp;CertObj&amp;CertGrant=RIGHT(LEFT($A$2,7),2)&amp;LEFT($A$92,4)&amp;$B$93&amp;V$3,CertSalary))</f>
        <v>0</v>
      </c>
      <c r="W93" s="528">
        <f t="array" ref="W93">SUM(IF(CertFund&amp;CertProg&amp;CertObj&amp;CertGrant=RIGHT(LEFT($A$2,7),2)&amp;LEFT($A$90,4)&amp;$B$93&amp;W$3,CertSalary))+SUM(IF(CertFund&amp;CertProg&amp;CertObj&amp;CertGrant=RIGHT(LEFT($A$2,7),2)&amp;LEFT($A$91,4)&amp;$B$93&amp;W$3,CertSalary))+SUM(IF(CertFund&amp;CertProg&amp;CertObj&amp;CertGrant=RIGHT(LEFT($A$2,7),2)&amp;LEFT($A$92,4)&amp;$B$93&amp;W$3,CertSalary))</f>
        <v>0</v>
      </c>
      <c r="X93" s="347">
        <f t="shared" ref="X93:X102" si="16">SUM(D93:W93)</f>
        <v>0</v>
      </c>
    </row>
    <row r="94" spans="1:24" ht="11.25" x14ac:dyDescent="0.2">
      <c r="A94" s="340" t="s">
        <v>1442</v>
      </c>
      <c r="B94" s="588" t="s">
        <v>1577</v>
      </c>
      <c r="C94" s="312" t="s">
        <v>510</v>
      </c>
      <c r="D94" s="147">
        <v>0</v>
      </c>
      <c r="E94" s="147">
        <v>0</v>
      </c>
      <c r="F94" s="147">
        <v>0</v>
      </c>
      <c r="G94" s="147">
        <v>0</v>
      </c>
      <c r="H94" s="147">
        <v>0</v>
      </c>
      <c r="I94" s="147">
        <v>0</v>
      </c>
      <c r="J94" s="147">
        <v>0</v>
      </c>
      <c r="K94" s="147">
        <v>0</v>
      </c>
      <c r="L94" s="147">
        <v>0</v>
      </c>
      <c r="M94" s="147">
        <v>0</v>
      </c>
      <c r="N94" s="147">
        <v>0</v>
      </c>
      <c r="O94" s="147">
        <v>0</v>
      </c>
      <c r="P94" s="147">
        <v>0</v>
      </c>
      <c r="Q94" s="147">
        <v>0</v>
      </c>
      <c r="R94" s="147">
        <v>0</v>
      </c>
      <c r="S94" s="147">
        <v>0</v>
      </c>
      <c r="T94" s="147">
        <v>0</v>
      </c>
      <c r="U94" s="147">
        <v>0</v>
      </c>
      <c r="V94" s="147">
        <v>0</v>
      </c>
      <c r="W94" s="147">
        <v>0</v>
      </c>
      <c r="X94" s="341">
        <f t="shared" si="16"/>
        <v>0</v>
      </c>
    </row>
    <row r="95" spans="1:24" ht="11.25" x14ac:dyDescent="0.2">
      <c r="A95" s="340">
        <v>28</v>
      </c>
      <c r="B95" s="588" t="s">
        <v>1578</v>
      </c>
      <c r="C95" s="312" t="s">
        <v>76</v>
      </c>
      <c r="D95" s="528">
        <f t="array" ref="D95">SUM(IF(CertFund&amp;CertProg&amp;CertObj&amp;CertGrant=RIGHT(LEFT($A$2,7),2)&amp;LEFT($A$90,4)&amp;$B$93&amp;D$3,CertBen))+SUM(IF(CertFund&amp;CertProg&amp;CertObj&amp;CertGrant=RIGHT(LEFT($A$2,7),2)&amp;LEFT($A$91,4)&amp;$B$93&amp;D$3,CertBen))+SUM(IF(CertFund&amp;CertProg&amp;CertObj&amp;CertGrant=RIGHT(LEFT($A$2,7),2)&amp;LEFT($A$92,4)&amp;$B$93&amp;D$3,CertBen))</f>
        <v>0</v>
      </c>
      <c r="E95" s="528">
        <f t="array" ref="E95">SUM(IF(CertFund&amp;CertProg&amp;CertObj&amp;CertGrant=RIGHT(LEFT($A$2,7),2)&amp;LEFT($A$90,4)&amp;$B$93&amp;E$3,CertBen))+SUM(IF(CertFund&amp;CertProg&amp;CertObj&amp;CertGrant=RIGHT(LEFT($A$2,7),2)&amp;LEFT($A$91,4)&amp;$B$93&amp;E$3,CertBen))+SUM(IF(CertFund&amp;CertProg&amp;CertObj&amp;CertGrant=RIGHT(LEFT($A$2,7),2)&amp;LEFT($A$92,4)&amp;$B$93&amp;E$3,CertBen))</f>
        <v>0</v>
      </c>
      <c r="F95" s="528">
        <f t="array" ref="F95">SUM(IF(CertFund&amp;CertProg&amp;CertObj&amp;CertGrant=RIGHT(LEFT($A$2,7),2)&amp;LEFT($A$90,4)&amp;$B$93&amp;F$3,CertBen))+SUM(IF(CertFund&amp;CertProg&amp;CertObj&amp;CertGrant=RIGHT(LEFT($A$2,7),2)&amp;LEFT($A$91,4)&amp;$B$93&amp;F$3,CertBen))+SUM(IF(CertFund&amp;CertProg&amp;CertObj&amp;CertGrant=RIGHT(LEFT($A$2,7),2)&amp;LEFT($A$92,4)&amp;$B$93&amp;F$3,CertBen))</f>
        <v>0</v>
      </c>
      <c r="G95" s="528">
        <f t="array" ref="G95">SUM(IF(CertFund&amp;CertProg&amp;CertObj&amp;CertGrant=RIGHT(LEFT($A$2,7),2)&amp;LEFT($A$90,4)&amp;$B$93&amp;G$3,CertBen))+SUM(IF(CertFund&amp;CertProg&amp;CertObj&amp;CertGrant=RIGHT(LEFT($A$2,7),2)&amp;LEFT($A$91,4)&amp;$B$93&amp;G$3,CertBen))+SUM(IF(CertFund&amp;CertProg&amp;CertObj&amp;CertGrant=RIGHT(LEFT($A$2,7),2)&amp;LEFT($A$92,4)&amp;$B$93&amp;G$3,CertBen))</f>
        <v>0</v>
      </c>
      <c r="H95" s="528">
        <f t="array" ref="H95">SUM(IF(CertFund&amp;CertProg&amp;CertObj&amp;CertGrant=RIGHT(LEFT($A$2,7),2)&amp;LEFT($A$90,4)&amp;$B$93&amp;H$3,CertBen))+SUM(IF(CertFund&amp;CertProg&amp;CertObj&amp;CertGrant=RIGHT(LEFT($A$2,7),2)&amp;LEFT($A$91,4)&amp;$B$93&amp;H$3,CertBen))+SUM(IF(CertFund&amp;CertProg&amp;CertObj&amp;CertGrant=RIGHT(LEFT($A$2,7),2)&amp;LEFT($A$92,4)&amp;$B$93&amp;H$3,CertBen))</f>
        <v>0</v>
      </c>
      <c r="I95" s="528">
        <f t="array" ref="I95">SUM(IF(CertFund&amp;CertProg&amp;CertObj&amp;CertGrant=RIGHT(LEFT($A$2,7),2)&amp;LEFT($A$90,4)&amp;$B$93&amp;I$3,CertBen))+SUM(IF(CertFund&amp;CertProg&amp;CertObj&amp;CertGrant=RIGHT(LEFT($A$2,7),2)&amp;LEFT($A$91,4)&amp;$B$93&amp;I$3,CertBen))+SUM(IF(CertFund&amp;CertProg&amp;CertObj&amp;CertGrant=RIGHT(LEFT($A$2,7),2)&amp;LEFT($A$92,4)&amp;$B$93&amp;I$3,CertBen))</f>
        <v>0</v>
      </c>
      <c r="J95" s="528">
        <f t="array" ref="J95">SUM(IF(CertFund&amp;CertProg&amp;CertObj&amp;CertGrant=RIGHT(LEFT($A$2,7),2)&amp;LEFT($A$90,4)&amp;$B$93&amp;J$3,CertBen))+SUM(IF(CertFund&amp;CertProg&amp;CertObj&amp;CertGrant=RIGHT(LEFT($A$2,7),2)&amp;LEFT($A$91,4)&amp;$B$93&amp;J$3,CertBen))+SUM(IF(CertFund&amp;CertProg&amp;CertObj&amp;CertGrant=RIGHT(LEFT($A$2,7),2)&amp;LEFT($A$92,4)&amp;$B$93&amp;J$3,CertBen))</f>
        <v>0</v>
      </c>
      <c r="K95" s="528">
        <f t="array" ref="K95">SUM(IF(CertFund&amp;CertProg&amp;CertObj&amp;CertGrant=RIGHT(LEFT($A$2,7),2)&amp;LEFT($A$90,4)&amp;$B$93&amp;K$3,CertBen))+SUM(IF(CertFund&amp;CertProg&amp;CertObj&amp;CertGrant=RIGHT(LEFT($A$2,7),2)&amp;LEFT($A$91,4)&amp;$B$93&amp;K$3,CertBen))+SUM(IF(CertFund&amp;CertProg&amp;CertObj&amp;CertGrant=RIGHT(LEFT($A$2,7),2)&amp;LEFT($A$92,4)&amp;$B$93&amp;K$3,CertBen))</f>
        <v>0</v>
      </c>
      <c r="L95" s="528">
        <f t="array" ref="L95">SUM(IF(CertFund&amp;CertProg&amp;CertObj&amp;CertGrant=RIGHT(LEFT($A$2,7),2)&amp;LEFT($A$90,4)&amp;$B$93&amp;L$3,CertBen))+SUM(IF(CertFund&amp;CertProg&amp;CertObj&amp;CertGrant=RIGHT(LEFT($A$2,7),2)&amp;LEFT($A$91,4)&amp;$B$93&amp;L$3,CertBen))+SUM(IF(CertFund&amp;CertProg&amp;CertObj&amp;CertGrant=RIGHT(LEFT($A$2,7),2)&amp;LEFT($A$92,4)&amp;$B$93&amp;L$3,CertBen))</f>
        <v>0</v>
      </c>
      <c r="M95" s="528">
        <f t="array" ref="M95">SUM(IF(CertFund&amp;CertProg&amp;CertObj&amp;CertGrant=RIGHT(LEFT($A$2,7),2)&amp;LEFT($A$90,4)&amp;$B$93&amp;M$3,CertBen))+SUM(IF(CertFund&amp;CertProg&amp;CertObj&amp;CertGrant=RIGHT(LEFT($A$2,7),2)&amp;LEFT($A$91,4)&amp;$B$93&amp;M$3,CertBen))+SUM(IF(CertFund&amp;CertProg&amp;CertObj&amp;CertGrant=RIGHT(LEFT($A$2,7),2)&amp;LEFT($A$92,4)&amp;$B$93&amp;M$3,CertBen))</f>
        <v>0</v>
      </c>
      <c r="N95" s="528">
        <f t="array" ref="N95">SUM(IF(CertFund&amp;CertProg&amp;CertObj&amp;CertGrant=RIGHT(LEFT($A$2,7),2)&amp;LEFT($A$90,4)&amp;$B$93&amp;N$3,CertBen))+SUM(IF(CertFund&amp;CertProg&amp;CertObj&amp;CertGrant=RIGHT(LEFT($A$2,7),2)&amp;LEFT($A$91,4)&amp;$B$93&amp;N$3,CertBen))+SUM(IF(CertFund&amp;CertProg&amp;CertObj&amp;CertGrant=RIGHT(LEFT($A$2,7),2)&amp;LEFT($A$92,4)&amp;$B$93&amp;N$3,CertBen))</f>
        <v>0</v>
      </c>
      <c r="O95" s="528">
        <f t="array" ref="O95">SUM(IF(CertFund&amp;CertProg&amp;CertObj&amp;CertGrant=RIGHT(LEFT($A$2,7),2)&amp;LEFT($A$90,4)&amp;$B$93&amp;O$3,CertBen))+SUM(IF(CertFund&amp;CertProg&amp;CertObj&amp;CertGrant=RIGHT(LEFT($A$2,7),2)&amp;LEFT($A$91,4)&amp;$B$93&amp;O$3,CertBen))+SUM(IF(CertFund&amp;CertProg&amp;CertObj&amp;CertGrant=RIGHT(LEFT($A$2,7),2)&amp;LEFT($A$92,4)&amp;$B$93&amp;O$3,CertBen))</f>
        <v>0</v>
      </c>
      <c r="P95" s="528">
        <f t="array" ref="P95">SUM(IF(CertFund&amp;CertProg&amp;CertObj&amp;CertGrant=RIGHT(LEFT($A$2,7),2)&amp;LEFT($A$90,4)&amp;$B$93&amp;P$3,CertBen))+SUM(IF(CertFund&amp;CertProg&amp;CertObj&amp;CertGrant=RIGHT(LEFT($A$2,7),2)&amp;LEFT($A$91,4)&amp;$B$93&amp;P$3,CertBen))+SUM(IF(CertFund&amp;CertProg&amp;CertObj&amp;CertGrant=RIGHT(LEFT($A$2,7),2)&amp;LEFT($A$92,4)&amp;$B$93&amp;P$3,CertBen))</f>
        <v>0</v>
      </c>
      <c r="Q95" s="528">
        <f t="array" ref="Q95">SUM(IF(CertFund&amp;CertProg&amp;CertObj&amp;CertGrant=RIGHT(LEFT($A$2,7),2)&amp;LEFT($A$90,4)&amp;$B$93&amp;Q$3,CertBen))+SUM(IF(CertFund&amp;CertProg&amp;CertObj&amp;CertGrant=RIGHT(LEFT($A$2,7),2)&amp;LEFT($A$91,4)&amp;$B$93&amp;Q$3,CertBen))+SUM(IF(CertFund&amp;CertProg&amp;CertObj&amp;CertGrant=RIGHT(LEFT($A$2,7),2)&amp;LEFT($A$92,4)&amp;$B$93&amp;Q$3,CertBen))</f>
        <v>0</v>
      </c>
      <c r="R95" s="528">
        <f t="array" ref="R95">SUM(IF(CertFund&amp;CertProg&amp;CertObj&amp;CertGrant=RIGHT(LEFT($A$2,7),2)&amp;LEFT($A$90,4)&amp;$B$93&amp;R$3,CertBen))+SUM(IF(CertFund&amp;CertProg&amp;CertObj&amp;CertGrant=RIGHT(LEFT($A$2,7),2)&amp;LEFT($A$91,4)&amp;$B$93&amp;R$3,CertBen))+SUM(IF(CertFund&amp;CertProg&amp;CertObj&amp;CertGrant=RIGHT(LEFT($A$2,7),2)&amp;LEFT($A$92,4)&amp;$B$93&amp;R$3,CertBen))</f>
        <v>0</v>
      </c>
      <c r="S95" s="528">
        <f t="array" ref="S95">SUM(IF(CertFund&amp;CertProg&amp;CertObj&amp;CertGrant=RIGHT(LEFT($A$2,7),2)&amp;LEFT($A$90,4)&amp;$B$93&amp;S$3,CertBen))+SUM(IF(CertFund&amp;CertProg&amp;CertObj&amp;CertGrant=RIGHT(LEFT($A$2,7),2)&amp;LEFT($A$91,4)&amp;$B$93&amp;S$3,CertBen))+SUM(IF(CertFund&amp;CertProg&amp;CertObj&amp;CertGrant=RIGHT(LEFT($A$2,7),2)&amp;LEFT($A$92,4)&amp;$B$93&amp;S$3,CertBen))</f>
        <v>0</v>
      </c>
      <c r="T95" s="528">
        <f t="array" ref="T95">SUM(IF(CertFund&amp;CertProg&amp;CertObj&amp;CertGrant=RIGHT(LEFT($A$2,7),2)&amp;LEFT($A$90,4)&amp;$B$93&amp;T$3,CertBen))+SUM(IF(CertFund&amp;CertProg&amp;CertObj&amp;CertGrant=RIGHT(LEFT($A$2,7),2)&amp;LEFT($A$91,4)&amp;$B$93&amp;T$3,CertBen))+SUM(IF(CertFund&amp;CertProg&amp;CertObj&amp;CertGrant=RIGHT(LEFT($A$2,7),2)&amp;LEFT($A$92,4)&amp;$B$93&amp;T$3,CertBen))</f>
        <v>0</v>
      </c>
      <c r="U95" s="528">
        <f t="array" ref="U95">SUM(IF(CertFund&amp;CertProg&amp;CertObj&amp;CertGrant=RIGHT(LEFT($A$2,7),2)&amp;LEFT($A$90,4)&amp;$B$93&amp;U$3,CertBen))+SUM(IF(CertFund&amp;CertProg&amp;CertObj&amp;CertGrant=RIGHT(LEFT($A$2,7),2)&amp;LEFT($A$91,4)&amp;$B$93&amp;U$3,CertBen))+SUM(IF(CertFund&amp;CertProg&amp;CertObj&amp;CertGrant=RIGHT(LEFT($A$2,7),2)&amp;LEFT($A$92,4)&amp;$B$93&amp;U$3,CertBen))</f>
        <v>0</v>
      </c>
      <c r="V95" s="528">
        <f t="array" ref="V95">SUM(IF(CertFund&amp;CertProg&amp;CertObj&amp;CertGrant=RIGHT(LEFT($A$2,7),2)&amp;LEFT($A$90,4)&amp;$B$93&amp;V$3,CertBen))+SUM(IF(CertFund&amp;CertProg&amp;CertObj&amp;CertGrant=RIGHT(LEFT($A$2,7),2)&amp;LEFT($A$91,4)&amp;$B$93&amp;V$3,CertBen))+SUM(IF(CertFund&amp;CertProg&amp;CertObj&amp;CertGrant=RIGHT(LEFT($A$2,7),2)&amp;LEFT($A$92,4)&amp;$B$93&amp;V$3,CertBen))</f>
        <v>0</v>
      </c>
      <c r="W95" s="528">
        <f t="array" ref="W95">SUM(IF(CertFund&amp;CertProg&amp;CertObj&amp;CertGrant=RIGHT(LEFT($A$2,7),2)&amp;LEFT($A$90,4)&amp;$B$93&amp;W$3,CertBen))+SUM(IF(CertFund&amp;CertProg&amp;CertObj&amp;CertGrant=RIGHT(LEFT($A$2,7),2)&amp;LEFT($A$91,4)&amp;$B$93&amp;W$3,CertBen))+SUM(IF(CertFund&amp;CertProg&amp;CertObj&amp;CertGrant=RIGHT(LEFT($A$2,7),2)&amp;LEFT($A$92,4)&amp;$B$93&amp;W$3,CertBen))</f>
        <v>0</v>
      </c>
      <c r="X95" s="341">
        <f t="shared" si="16"/>
        <v>0</v>
      </c>
    </row>
    <row r="96" spans="1:24" ht="11.25" x14ac:dyDescent="0.2">
      <c r="A96" s="340" t="s">
        <v>1443</v>
      </c>
      <c r="B96" s="588" t="s">
        <v>1578</v>
      </c>
      <c r="C96" s="312" t="s">
        <v>511</v>
      </c>
      <c r="D96" s="590">
        <v>0</v>
      </c>
      <c r="E96" s="590">
        <v>0</v>
      </c>
      <c r="F96" s="590">
        <v>0</v>
      </c>
      <c r="G96" s="590">
        <v>0</v>
      </c>
      <c r="H96" s="590">
        <v>0</v>
      </c>
      <c r="I96" s="590">
        <v>0</v>
      </c>
      <c r="J96" s="590">
        <v>0</v>
      </c>
      <c r="K96" s="590">
        <v>0</v>
      </c>
      <c r="L96" s="590">
        <v>0</v>
      </c>
      <c r="M96" s="590">
        <v>0</v>
      </c>
      <c r="N96" s="590">
        <v>0</v>
      </c>
      <c r="O96" s="590">
        <v>0</v>
      </c>
      <c r="P96" s="590">
        <v>0</v>
      </c>
      <c r="Q96" s="590">
        <v>0</v>
      </c>
      <c r="R96" s="590">
        <v>0</v>
      </c>
      <c r="S96" s="590">
        <v>0</v>
      </c>
      <c r="T96" s="590">
        <v>0</v>
      </c>
      <c r="U96" s="590">
        <v>0</v>
      </c>
      <c r="V96" s="590">
        <v>0</v>
      </c>
      <c r="W96" s="590">
        <v>0</v>
      </c>
      <c r="X96" s="341">
        <f t="shared" si="16"/>
        <v>0</v>
      </c>
    </row>
    <row r="97" spans="1:24" ht="11.25" x14ac:dyDescent="0.2">
      <c r="A97" s="340">
        <v>29</v>
      </c>
      <c r="B97" s="188" t="s">
        <v>1579</v>
      </c>
      <c r="C97" s="329" t="s">
        <v>273</v>
      </c>
      <c r="D97" s="592">
        <v>0</v>
      </c>
      <c r="E97" s="592">
        <v>0</v>
      </c>
      <c r="F97" s="592">
        <v>0</v>
      </c>
      <c r="G97" s="592">
        <v>0</v>
      </c>
      <c r="H97" s="592">
        <v>0</v>
      </c>
      <c r="I97" s="592">
        <v>0</v>
      </c>
      <c r="J97" s="592">
        <v>0</v>
      </c>
      <c r="K97" s="592">
        <v>0</v>
      </c>
      <c r="L97" s="593">
        <v>0</v>
      </c>
      <c r="M97" s="593">
        <v>0</v>
      </c>
      <c r="N97" s="593">
        <v>0</v>
      </c>
      <c r="O97" s="593">
        <v>0</v>
      </c>
      <c r="P97" s="593">
        <v>0</v>
      </c>
      <c r="Q97" s="593">
        <v>0</v>
      </c>
      <c r="R97" s="593">
        <v>0</v>
      </c>
      <c r="S97" s="593">
        <v>0</v>
      </c>
      <c r="T97" s="593">
        <v>0</v>
      </c>
      <c r="U97" s="593">
        <v>0</v>
      </c>
      <c r="V97" s="593">
        <v>0</v>
      </c>
      <c r="W97" s="593">
        <v>0</v>
      </c>
      <c r="X97" s="341">
        <f t="shared" si="16"/>
        <v>0</v>
      </c>
    </row>
    <row r="98" spans="1:24" ht="11.25" x14ac:dyDescent="0.2">
      <c r="A98" s="340">
        <v>30</v>
      </c>
      <c r="B98" s="188" t="s">
        <v>1581</v>
      </c>
      <c r="C98" s="329" t="s">
        <v>274</v>
      </c>
      <c r="D98" s="592">
        <v>0</v>
      </c>
      <c r="E98" s="592">
        <v>0</v>
      </c>
      <c r="F98" s="592">
        <v>0</v>
      </c>
      <c r="G98" s="592">
        <v>0</v>
      </c>
      <c r="H98" s="592">
        <v>0</v>
      </c>
      <c r="I98" s="592">
        <v>0</v>
      </c>
      <c r="J98" s="592">
        <v>0</v>
      </c>
      <c r="K98" s="592">
        <v>0</v>
      </c>
      <c r="L98" s="593">
        <v>0</v>
      </c>
      <c r="M98" s="593">
        <v>0</v>
      </c>
      <c r="N98" s="593">
        <v>0</v>
      </c>
      <c r="O98" s="593">
        <v>0</v>
      </c>
      <c r="P98" s="593">
        <v>0</v>
      </c>
      <c r="Q98" s="593">
        <v>0</v>
      </c>
      <c r="R98" s="593">
        <v>0</v>
      </c>
      <c r="S98" s="593">
        <v>0</v>
      </c>
      <c r="T98" s="593">
        <v>0</v>
      </c>
      <c r="U98" s="593">
        <v>0</v>
      </c>
      <c r="V98" s="593">
        <v>0</v>
      </c>
      <c r="W98" s="593">
        <v>0</v>
      </c>
      <c r="X98" s="341">
        <f t="shared" si="16"/>
        <v>0</v>
      </c>
    </row>
    <row r="99" spans="1:24" ht="11.25" x14ac:dyDescent="0.2">
      <c r="A99" s="340">
        <v>31</v>
      </c>
      <c r="B99" s="188" t="s">
        <v>1582</v>
      </c>
      <c r="C99" s="329" t="s">
        <v>275</v>
      </c>
      <c r="D99" s="592">
        <v>0</v>
      </c>
      <c r="E99" s="592">
        <v>0</v>
      </c>
      <c r="F99" s="592">
        <v>0</v>
      </c>
      <c r="G99" s="592">
        <v>0</v>
      </c>
      <c r="H99" s="592">
        <v>0</v>
      </c>
      <c r="I99" s="592">
        <v>0</v>
      </c>
      <c r="J99" s="592">
        <v>0</v>
      </c>
      <c r="K99" s="592">
        <v>0</v>
      </c>
      <c r="L99" s="593">
        <v>0</v>
      </c>
      <c r="M99" s="593">
        <v>0</v>
      </c>
      <c r="N99" s="593">
        <v>0</v>
      </c>
      <c r="O99" s="593">
        <v>0</v>
      </c>
      <c r="P99" s="593">
        <v>0</v>
      </c>
      <c r="Q99" s="593">
        <v>0</v>
      </c>
      <c r="R99" s="593">
        <v>0</v>
      </c>
      <c r="S99" s="593">
        <v>0</v>
      </c>
      <c r="T99" s="593">
        <v>0</v>
      </c>
      <c r="U99" s="593">
        <v>0</v>
      </c>
      <c r="V99" s="593">
        <v>0</v>
      </c>
      <c r="W99" s="593">
        <v>0</v>
      </c>
      <c r="X99" s="341">
        <f t="shared" si="16"/>
        <v>0</v>
      </c>
    </row>
    <row r="100" spans="1:24" ht="11.25" x14ac:dyDescent="0.2">
      <c r="A100" s="340" t="s">
        <v>278</v>
      </c>
      <c r="B100" s="188" t="s">
        <v>634</v>
      </c>
      <c r="C100" s="329" t="s">
        <v>279</v>
      </c>
      <c r="D100" s="594">
        <v>0</v>
      </c>
      <c r="E100" s="592">
        <v>0</v>
      </c>
      <c r="F100" s="592">
        <v>0</v>
      </c>
      <c r="G100" s="592">
        <v>0</v>
      </c>
      <c r="H100" s="592">
        <v>0</v>
      </c>
      <c r="I100" s="592">
        <v>0</v>
      </c>
      <c r="J100" s="592">
        <v>0</v>
      </c>
      <c r="K100" s="592">
        <v>0</v>
      </c>
      <c r="L100" s="593">
        <v>0</v>
      </c>
      <c r="M100" s="593">
        <v>0</v>
      </c>
      <c r="N100" s="593">
        <v>0</v>
      </c>
      <c r="O100" s="593">
        <v>0</v>
      </c>
      <c r="P100" s="593">
        <v>0</v>
      </c>
      <c r="Q100" s="593">
        <v>0</v>
      </c>
      <c r="R100" s="593">
        <v>0</v>
      </c>
      <c r="S100" s="593">
        <v>0</v>
      </c>
      <c r="T100" s="593">
        <v>0</v>
      </c>
      <c r="U100" s="593">
        <v>0</v>
      </c>
      <c r="V100" s="593">
        <v>0</v>
      </c>
      <c r="W100" s="593">
        <v>0</v>
      </c>
      <c r="X100" s="341">
        <f t="shared" si="16"/>
        <v>0</v>
      </c>
    </row>
    <row r="101" spans="1:24" ht="11.25" x14ac:dyDescent="0.2">
      <c r="A101" s="340" t="s">
        <v>280</v>
      </c>
      <c r="B101" s="188" t="s">
        <v>630</v>
      </c>
      <c r="C101" s="329" t="s">
        <v>281</v>
      </c>
      <c r="D101" s="595">
        <v>0</v>
      </c>
      <c r="E101" s="596">
        <v>0</v>
      </c>
      <c r="F101" s="596">
        <v>0</v>
      </c>
      <c r="G101" s="596">
        <v>0</v>
      </c>
      <c r="H101" s="596">
        <v>0</v>
      </c>
      <c r="I101" s="596">
        <v>0</v>
      </c>
      <c r="J101" s="596">
        <v>0</v>
      </c>
      <c r="K101" s="596">
        <v>0</v>
      </c>
      <c r="L101" s="597">
        <v>0</v>
      </c>
      <c r="M101" s="597">
        <v>0</v>
      </c>
      <c r="N101" s="597">
        <v>0</v>
      </c>
      <c r="O101" s="597">
        <v>0</v>
      </c>
      <c r="P101" s="597">
        <v>0</v>
      </c>
      <c r="Q101" s="597">
        <v>0</v>
      </c>
      <c r="R101" s="597">
        <v>0</v>
      </c>
      <c r="S101" s="597">
        <v>0</v>
      </c>
      <c r="T101" s="597">
        <v>0</v>
      </c>
      <c r="U101" s="597">
        <v>0</v>
      </c>
      <c r="V101" s="597">
        <v>0</v>
      </c>
      <c r="W101" s="597">
        <v>0</v>
      </c>
      <c r="X101" s="341">
        <f t="shared" si="16"/>
        <v>0</v>
      </c>
    </row>
    <row r="102" spans="1:24" ht="11.25" x14ac:dyDescent="0.2">
      <c r="A102" s="340">
        <v>33</v>
      </c>
      <c r="C102" s="346" t="s">
        <v>297</v>
      </c>
      <c r="D102" s="347">
        <f>SUM(D93:D101)</f>
        <v>0</v>
      </c>
      <c r="E102" s="347">
        <f t="shared" ref="E102:W102" si="17">SUM(E93:E101)</f>
        <v>0</v>
      </c>
      <c r="F102" s="347">
        <f t="shared" si="17"/>
        <v>0</v>
      </c>
      <c r="G102" s="347">
        <f t="shared" si="17"/>
        <v>0</v>
      </c>
      <c r="H102" s="347">
        <f t="shared" si="17"/>
        <v>0</v>
      </c>
      <c r="I102" s="347">
        <f t="shared" si="17"/>
        <v>0</v>
      </c>
      <c r="J102" s="347">
        <f t="shared" si="17"/>
        <v>0</v>
      </c>
      <c r="K102" s="347">
        <f t="shared" si="17"/>
        <v>0</v>
      </c>
      <c r="L102" s="347">
        <f t="shared" si="17"/>
        <v>0</v>
      </c>
      <c r="M102" s="347">
        <f t="shared" si="17"/>
        <v>0</v>
      </c>
      <c r="N102" s="347">
        <f t="shared" si="17"/>
        <v>0</v>
      </c>
      <c r="O102" s="347">
        <f t="shared" si="17"/>
        <v>0</v>
      </c>
      <c r="P102" s="347">
        <f t="shared" si="17"/>
        <v>0</v>
      </c>
      <c r="Q102" s="347">
        <f t="shared" si="17"/>
        <v>0</v>
      </c>
      <c r="R102" s="347">
        <f t="shared" si="17"/>
        <v>0</v>
      </c>
      <c r="S102" s="347">
        <f t="shared" si="17"/>
        <v>0</v>
      </c>
      <c r="T102" s="347">
        <f t="shared" si="17"/>
        <v>0</v>
      </c>
      <c r="U102" s="347">
        <f t="shared" si="17"/>
        <v>0</v>
      </c>
      <c r="V102" s="347">
        <f t="shared" si="17"/>
        <v>0</v>
      </c>
      <c r="W102" s="347">
        <f t="shared" si="17"/>
        <v>0</v>
      </c>
      <c r="X102" s="341">
        <f t="shared" si="16"/>
        <v>0</v>
      </c>
    </row>
    <row r="103" spans="1:24" ht="11.25" x14ac:dyDescent="0.2">
      <c r="A103" s="340"/>
      <c r="C103" s="329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4"/>
    </row>
    <row r="104" spans="1:24" ht="11.25" x14ac:dyDescent="0.2">
      <c r="A104" s="340">
        <v>34</v>
      </c>
      <c r="C104" s="329" t="s">
        <v>282</v>
      </c>
      <c r="D104" s="598">
        <v>0</v>
      </c>
      <c r="E104" s="598">
        <v>0</v>
      </c>
      <c r="F104" s="598">
        <v>0</v>
      </c>
      <c r="G104" s="598">
        <v>0</v>
      </c>
      <c r="H104" s="598">
        <v>0</v>
      </c>
      <c r="I104" s="598">
        <v>0</v>
      </c>
      <c r="J104" s="598">
        <v>0</v>
      </c>
      <c r="K104" s="598">
        <v>0</v>
      </c>
      <c r="L104" s="598">
        <v>0</v>
      </c>
      <c r="M104" s="598">
        <v>0</v>
      </c>
      <c r="N104" s="598">
        <v>0</v>
      </c>
      <c r="O104" s="598">
        <v>0</v>
      </c>
      <c r="P104" s="598">
        <v>0</v>
      </c>
      <c r="Q104" s="598">
        <v>0</v>
      </c>
      <c r="R104" s="598">
        <v>0</v>
      </c>
      <c r="S104" s="598">
        <v>0</v>
      </c>
      <c r="T104" s="598">
        <v>0</v>
      </c>
      <c r="U104" s="598">
        <v>0</v>
      </c>
      <c r="V104" s="598">
        <v>0</v>
      </c>
      <c r="W104" s="598">
        <v>0</v>
      </c>
      <c r="X104" s="347">
        <f>SUM(D104:W104)</f>
        <v>0</v>
      </c>
    </row>
    <row r="105" spans="1:24" ht="11.25" x14ac:dyDescent="0.2">
      <c r="A105" s="340" t="s">
        <v>283</v>
      </c>
      <c r="C105" s="346" t="s">
        <v>298</v>
      </c>
      <c r="D105" s="355">
        <f>+D22+D79+D89+D102+D104+D32+D62+D42+D52</f>
        <v>0</v>
      </c>
      <c r="E105" s="355">
        <f t="shared" ref="E105:W105" si="18">+E22+E79+E89+E102+E104+E32+E62+E42+E52</f>
        <v>0</v>
      </c>
      <c r="F105" s="355">
        <f t="shared" si="18"/>
        <v>0</v>
      </c>
      <c r="G105" s="355">
        <f t="shared" si="18"/>
        <v>0</v>
      </c>
      <c r="H105" s="355">
        <f t="shared" si="18"/>
        <v>0</v>
      </c>
      <c r="I105" s="355">
        <f t="shared" si="18"/>
        <v>0</v>
      </c>
      <c r="J105" s="355">
        <f t="shared" si="18"/>
        <v>0</v>
      </c>
      <c r="K105" s="355">
        <f t="shared" si="18"/>
        <v>0</v>
      </c>
      <c r="L105" s="355">
        <f t="shared" si="18"/>
        <v>0</v>
      </c>
      <c r="M105" s="355">
        <f t="shared" si="18"/>
        <v>0</v>
      </c>
      <c r="N105" s="355">
        <f t="shared" si="18"/>
        <v>0</v>
      </c>
      <c r="O105" s="355">
        <f t="shared" si="18"/>
        <v>0</v>
      </c>
      <c r="P105" s="355">
        <f t="shared" si="18"/>
        <v>0</v>
      </c>
      <c r="Q105" s="355">
        <f t="shared" si="18"/>
        <v>0</v>
      </c>
      <c r="R105" s="355">
        <f t="shared" si="18"/>
        <v>0</v>
      </c>
      <c r="S105" s="355">
        <f t="shared" si="18"/>
        <v>0</v>
      </c>
      <c r="T105" s="355">
        <f t="shared" si="18"/>
        <v>0</v>
      </c>
      <c r="U105" s="355">
        <f t="shared" si="18"/>
        <v>0</v>
      </c>
      <c r="V105" s="355">
        <f t="shared" si="18"/>
        <v>0</v>
      </c>
      <c r="W105" s="355">
        <f t="shared" si="18"/>
        <v>0</v>
      </c>
      <c r="X105" s="341">
        <f>SUM(D105:W105)</f>
        <v>0</v>
      </c>
    </row>
    <row r="106" spans="1:24" ht="11.25" x14ac:dyDescent="0.2">
      <c r="A106" s="340" t="s">
        <v>284</v>
      </c>
      <c r="B106" s="188" t="s">
        <v>630</v>
      </c>
      <c r="C106" s="329" t="s">
        <v>285</v>
      </c>
      <c r="D106" s="592">
        <v>0</v>
      </c>
      <c r="E106" s="592">
        <v>0</v>
      </c>
      <c r="F106" s="592">
        <v>0</v>
      </c>
      <c r="G106" s="592">
        <v>0</v>
      </c>
      <c r="H106" s="592">
        <v>0</v>
      </c>
      <c r="I106" s="592">
        <v>0</v>
      </c>
      <c r="J106" s="592">
        <v>0</v>
      </c>
      <c r="K106" s="592">
        <v>0</v>
      </c>
      <c r="L106" s="592">
        <v>0</v>
      </c>
      <c r="M106" s="592">
        <v>0</v>
      </c>
      <c r="N106" s="592">
        <v>0</v>
      </c>
      <c r="O106" s="592">
        <v>0</v>
      </c>
      <c r="P106" s="592">
        <v>0</v>
      </c>
      <c r="Q106" s="592">
        <v>0</v>
      </c>
      <c r="R106" s="592">
        <v>0</v>
      </c>
      <c r="S106" s="592">
        <v>0</v>
      </c>
      <c r="T106" s="592">
        <v>0</v>
      </c>
      <c r="U106" s="592">
        <v>0</v>
      </c>
      <c r="V106" s="592">
        <v>0</v>
      </c>
      <c r="W106" s="592">
        <v>0</v>
      </c>
      <c r="X106" s="341">
        <f>SUM(D106:W106)</f>
        <v>0</v>
      </c>
    </row>
    <row r="107" spans="1:24" ht="11.25" x14ac:dyDescent="0.2">
      <c r="A107" s="340" t="s">
        <v>286</v>
      </c>
      <c r="B107" s="188" t="s">
        <v>634</v>
      </c>
      <c r="C107" s="329" t="s">
        <v>288</v>
      </c>
      <c r="D107" s="592">
        <v>0</v>
      </c>
      <c r="E107" s="592">
        <v>0</v>
      </c>
      <c r="F107" s="592">
        <v>0</v>
      </c>
      <c r="G107" s="592">
        <v>0</v>
      </c>
      <c r="H107" s="592">
        <v>0</v>
      </c>
      <c r="I107" s="592">
        <v>0</v>
      </c>
      <c r="J107" s="592">
        <v>0</v>
      </c>
      <c r="K107" s="592">
        <v>0</v>
      </c>
      <c r="L107" s="592">
        <v>0</v>
      </c>
      <c r="M107" s="592">
        <v>0</v>
      </c>
      <c r="N107" s="592">
        <v>0</v>
      </c>
      <c r="O107" s="592">
        <v>0</v>
      </c>
      <c r="P107" s="592">
        <v>0</v>
      </c>
      <c r="Q107" s="592">
        <v>0</v>
      </c>
      <c r="R107" s="592">
        <v>0</v>
      </c>
      <c r="S107" s="592">
        <v>0</v>
      </c>
      <c r="T107" s="592">
        <v>0</v>
      </c>
      <c r="U107" s="592">
        <v>0</v>
      </c>
      <c r="V107" s="592">
        <v>0</v>
      </c>
      <c r="W107" s="592">
        <v>0</v>
      </c>
      <c r="X107" s="341">
        <f>SUM(D107:W107)</f>
        <v>0</v>
      </c>
    </row>
    <row r="108" spans="1:24" ht="11.25" x14ac:dyDescent="0.2">
      <c r="A108" s="340" t="s">
        <v>289</v>
      </c>
      <c r="C108" s="346" t="s">
        <v>290</v>
      </c>
      <c r="D108" s="354">
        <f>+D105+D106+D107</f>
        <v>0</v>
      </c>
      <c r="E108" s="354">
        <f t="shared" ref="E108:W108" si="19">+E105+E106+E107</f>
        <v>0</v>
      </c>
      <c r="F108" s="354">
        <f t="shared" si="19"/>
        <v>0</v>
      </c>
      <c r="G108" s="354">
        <f t="shared" si="19"/>
        <v>0</v>
      </c>
      <c r="H108" s="354">
        <f t="shared" si="19"/>
        <v>0</v>
      </c>
      <c r="I108" s="354">
        <f t="shared" si="19"/>
        <v>0</v>
      </c>
      <c r="J108" s="354">
        <f t="shared" si="19"/>
        <v>0</v>
      </c>
      <c r="K108" s="354">
        <f t="shared" si="19"/>
        <v>0</v>
      </c>
      <c r="L108" s="354">
        <f t="shared" si="19"/>
        <v>0</v>
      </c>
      <c r="M108" s="354">
        <f t="shared" si="19"/>
        <v>0</v>
      </c>
      <c r="N108" s="354">
        <f t="shared" si="19"/>
        <v>0</v>
      </c>
      <c r="O108" s="354">
        <f t="shared" si="19"/>
        <v>0</v>
      </c>
      <c r="P108" s="354">
        <f t="shared" si="19"/>
        <v>0</v>
      </c>
      <c r="Q108" s="354">
        <f t="shared" si="19"/>
        <v>0</v>
      </c>
      <c r="R108" s="354">
        <f t="shared" si="19"/>
        <v>0</v>
      </c>
      <c r="S108" s="354">
        <f t="shared" si="19"/>
        <v>0</v>
      </c>
      <c r="T108" s="354">
        <f t="shared" si="19"/>
        <v>0</v>
      </c>
      <c r="U108" s="354">
        <f t="shared" si="19"/>
        <v>0</v>
      </c>
      <c r="V108" s="354">
        <f t="shared" si="19"/>
        <v>0</v>
      </c>
      <c r="W108" s="354">
        <f t="shared" si="19"/>
        <v>0</v>
      </c>
      <c r="X108" s="341">
        <f>SUM(D108:W108)</f>
        <v>0</v>
      </c>
    </row>
    <row r="109" spans="1:24" ht="11.25" x14ac:dyDescent="0.2">
      <c r="A109" s="340">
        <v>36</v>
      </c>
      <c r="C109" s="329" t="s">
        <v>1574</v>
      </c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41"/>
    </row>
    <row r="110" spans="1:24" ht="11.25" x14ac:dyDescent="0.2">
      <c r="A110" s="340">
        <v>37</v>
      </c>
      <c r="B110" s="188"/>
      <c r="C110" s="346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41"/>
    </row>
    <row r="111" spans="1:24" ht="11.25" x14ac:dyDescent="0.2">
      <c r="A111" s="340" t="s">
        <v>291</v>
      </c>
      <c r="B111" s="188" t="s">
        <v>632</v>
      </c>
      <c r="C111" s="346" t="s">
        <v>1631</v>
      </c>
      <c r="D111" s="599">
        <v>0</v>
      </c>
      <c r="E111" s="599">
        <v>0</v>
      </c>
      <c r="F111" s="599">
        <v>0</v>
      </c>
      <c r="G111" s="599">
        <v>0</v>
      </c>
      <c r="H111" s="599">
        <v>0</v>
      </c>
      <c r="I111" s="599">
        <v>0</v>
      </c>
      <c r="J111" s="599">
        <v>0</v>
      </c>
      <c r="K111" s="599">
        <v>0</v>
      </c>
      <c r="L111" s="599">
        <v>0</v>
      </c>
      <c r="M111" s="599">
        <v>0</v>
      </c>
      <c r="N111" s="599">
        <v>0</v>
      </c>
      <c r="O111" s="599">
        <v>0</v>
      </c>
      <c r="P111" s="599">
        <v>0</v>
      </c>
      <c r="Q111" s="599">
        <v>0</v>
      </c>
      <c r="R111" s="599">
        <v>0</v>
      </c>
      <c r="S111" s="599">
        <v>0</v>
      </c>
      <c r="T111" s="599">
        <v>0</v>
      </c>
      <c r="U111" s="599">
        <v>0</v>
      </c>
      <c r="V111" s="599">
        <v>0</v>
      </c>
      <c r="W111" s="599">
        <v>0</v>
      </c>
      <c r="X111" s="341">
        <f>SUM(D111:W111)</f>
        <v>0</v>
      </c>
    </row>
    <row r="112" spans="1:24" ht="11.25" x14ac:dyDescent="0.2">
      <c r="A112" s="340" t="s">
        <v>292</v>
      </c>
      <c r="B112" s="188" t="s">
        <v>634</v>
      </c>
      <c r="C112" s="329" t="s">
        <v>293</v>
      </c>
      <c r="D112" s="596">
        <v>0</v>
      </c>
      <c r="E112" s="596">
        <v>0</v>
      </c>
      <c r="F112" s="596">
        <v>0</v>
      </c>
      <c r="G112" s="596">
        <v>0</v>
      </c>
      <c r="H112" s="596">
        <v>0</v>
      </c>
      <c r="I112" s="596">
        <v>0</v>
      </c>
      <c r="J112" s="596">
        <v>0</v>
      </c>
      <c r="K112" s="596">
        <v>0</v>
      </c>
      <c r="L112" s="596">
        <v>0</v>
      </c>
      <c r="M112" s="596">
        <v>0</v>
      </c>
      <c r="N112" s="596">
        <v>0</v>
      </c>
      <c r="O112" s="596">
        <v>0</v>
      </c>
      <c r="P112" s="596">
        <v>0</v>
      </c>
      <c r="Q112" s="596">
        <v>0</v>
      </c>
      <c r="R112" s="596">
        <v>0</v>
      </c>
      <c r="S112" s="596">
        <v>0</v>
      </c>
      <c r="T112" s="596">
        <v>0</v>
      </c>
      <c r="U112" s="596">
        <v>0</v>
      </c>
      <c r="V112" s="596">
        <v>0</v>
      </c>
      <c r="W112" s="596">
        <v>0</v>
      </c>
      <c r="X112" s="341">
        <f>SUM(D112:W112)</f>
        <v>0</v>
      </c>
    </row>
    <row r="113" spans="1:24" ht="11.25" x14ac:dyDescent="0.2">
      <c r="A113" s="340">
        <v>39</v>
      </c>
      <c r="C113" s="346" t="s">
        <v>299</v>
      </c>
      <c r="D113" s="347">
        <f>+D108+D111+D112</f>
        <v>0</v>
      </c>
      <c r="E113" s="347">
        <f t="shared" ref="E113:W113" si="20">+E108+E111+E112</f>
        <v>0</v>
      </c>
      <c r="F113" s="347">
        <f t="shared" si="20"/>
        <v>0</v>
      </c>
      <c r="G113" s="347">
        <f t="shared" si="20"/>
        <v>0</v>
      </c>
      <c r="H113" s="347">
        <f t="shared" si="20"/>
        <v>0</v>
      </c>
      <c r="I113" s="347">
        <f t="shared" si="20"/>
        <v>0</v>
      </c>
      <c r="J113" s="347">
        <f t="shared" si="20"/>
        <v>0</v>
      </c>
      <c r="K113" s="347">
        <f t="shared" si="20"/>
        <v>0</v>
      </c>
      <c r="L113" s="347">
        <f t="shared" si="20"/>
        <v>0</v>
      </c>
      <c r="M113" s="347">
        <f t="shared" si="20"/>
        <v>0</v>
      </c>
      <c r="N113" s="347">
        <f t="shared" si="20"/>
        <v>0</v>
      </c>
      <c r="O113" s="347">
        <f t="shared" si="20"/>
        <v>0</v>
      </c>
      <c r="P113" s="347">
        <f t="shared" si="20"/>
        <v>0</v>
      </c>
      <c r="Q113" s="347">
        <f t="shared" si="20"/>
        <v>0</v>
      </c>
      <c r="R113" s="347">
        <f t="shared" si="20"/>
        <v>0</v>
      </c>
      <c r="S113" s="347">
        <f t="shared" si="20"/>
        <v>0</v>
      </c>
      <c r="T113" s="347">
        <f t="shared" si="20"/>
        <v>0</v>
      </c>
      <c r="U113" s="347">
        <f t="shared" si="20"/>
        <v>0</v>
      </c>
      <c r="V113" s="347">
        <f t="shared" si="20"/>
        <v>0</v>
      </c>
      <c r="W113" s="347">
        <f t="shared" si="20"/>
        <v>0</v>
      </c>
      <c r="X113" s="341">
        <f>SUM(D113:W113)</f>
        <v>0</v>
      </c>
    </row>
    <row r="114" spans="1:24" x14ac:dyDescent="0.15">
      <c r="A114" s="358"/>
      <c r="C114" s="359"/>
      <c r="D114" s="360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2"/>
    </row>
    <row r="115" spans="1:24" ht="11.25" x14ac:dyDescent="0.2">
      <c r="A115" s="340">
        <v>40</v>
      </c>
      <c r="C115" s="346" t="s">
        <v>300</v>
      </c>
      <c r="D115" s="347">
        <f>+D12</f>
        <v>0</v>
      </c>
      <c r="E115" s="347">
        <f t="shared" ref="E115:W115" si="21">+E12</f>
        <v>0</v>
      </c>
      <c r="F115" s="347">
        <f t="shared" si="21"/>
        <v>0</v>
      </c>
      <c r="G115" s="347">
        <f t="shared" si="21"/>
        <v>0</v>
      </c>
      <c r="H115" s="347">
        <f t="shared" si="21"/>
        <v>0</v>
      </c>
      <c r="I115" s="347">
        <f t="shared" si="21"/>
        <v>0</v>
      </c>
      <c r="J115" s="347">
        <f t="shared" si="21"/>
        <v>0</v>
      </c>
      <c r="K115" s="347">
        <f t="shared" si="21"/>
        <v>0</v>
      </c>
      <c r="L115" s="347">
        <f t="shared" si="21"/>
        <v>0</v>
      </c>
      <c r="M115" s="347">
        <f t="shared" si="21"/>
        <v>0</v>
      </c>
      <c r="N115" s="347">
        <f t="shared" si="21"/>
        <v>0</v>
      </c>
      <c r="O115" s="347">
        <f t="shared" si="21"/>
        <v>0</v>
      </c>
      <c r="P115" s="347">
        <f t="shared" si="21"/>
        <v>0</v>
      </c>
      <c r="Q115" s="347">
        <f t="shared" si="21"/>
        <v>0</v>
      </c>
      <c r="R115" s="347">
        <f t="shared" si="21"/>
        <v>0</v>
      </c>
      <c r="S115" s="347">
        <f t="shared" si="21"/>
        <v>0</v>
      </c>
      <c r="T115" s="347">
        <f t="shared" si="21"/>
        <v>0</v>
      </c>
      <c r="U115" s="347">
        <f t="shared" si="21"/>
        <v>0</v>
      </c>
      <c r="V115" s="347">
        <f t="shared" si="21"/>
        <v>0</v>
      </c>
      <c r="W115" s="347">
        <f t="shared" si="21"/>
        <v>0</v>
      </c>
      <c r="X115" s="347">
        <f>SUM(D115:W115)</f>
        <v>0</v>
      </c>
    </row>
    <row r="116" spans="1:24" x14ac:dyDescent="0.15">
      <c r="A116" s="358"/>
      <c r="C116" s="359"/>
      <c r="D116" s="360" t="s">
        <v>432</v>
      </c>
      <c r="E116" s="360" t="s">
        <v>432</v>
      </c>
      <c r="F116" s="360" t="s">
        <v>432</v>
      </c>
      <c r="G116" s="360" t="s">
        <v>432</v>
      </c>
      <c r="H116" s="360" t="s">
        <v>432</v>
      </c>
      <c r="I116" s="360" t="s">
        <v>432</v>
      </c>
      <c r="J116" s="360" t="s">
        <v>432</v>
      </c>
      <c r="K116" s="360" t="s">
        <v>432</v>
      </c>
      <c r="L116" s="360" t="s">
        <v>432</v>
      </c>
      <c r="M116" s="360" t="s">
        <v>432</v>
      </c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</row>
    <row r="117" spans="1:24" ht="11.25" x14ac:dyDescent="0.2">
      <c r="A117" s="340">
        <v>41</v>
      </c>
      <c r="C117" s="346" t="s">
        <v>301</v>
      </c>
      <c r="D117" s="363">
        <f>+D115-D113</f>
        <v>0</v>
      </c>
      <c r="E117" s="363">
        <f t="shared" ref="E117:W117" si="22">+E115-E113</f>
        <v>0</v>
      </c>
      <c r="F117" s="363">
        <f t="shared" si="22"/>
        <v>0</v>
      </c>
      <c r="G117" s="363">
        <f t="shared" si="22"/>
        <v>0</v>
      </c>
      <c r="H117" s="363">
        <f t="shared" si="22"/>
        <v>0</v>
      </c>
      <c r="I117" s="363">
        <f t="shared" si="22"/>
        <v>0</v>
      </c>
      <c r="J117" s="363">
        <f t="shared" si="22"/>
        <v>0</v>
      </c>
      <c r="K117" s="363">
        <f t="shared" si="22"/>
        <v>0</v>
      </c>
      <c r="L117" s="363">
        <f t="shared" si="22"/>
        <v>0</v>
      </c>
      <c r="M117" s="363">
        <f t="shared" si="22"/>
        <v>0</v>
      </c>
      <c r="N117" s="363">
        <f t="shared" si="22"/>
        <v>0</v>
      </c>
      <c r="O117" s="363">
        <f t="shared" si="22"/>
        <v>0</v>
      </c>
      <c r="P117" s="363">
        <f t="shared" si="22"/>
        <v>0</v>
      </c>
      <c r="Q117" s="363">
        <f t="shared" si="22"/>
        <v>0</v>
      </c>
      <c r="R117" s="363">
        <f t="shared" si="22"/>
        <v>0</v>
      </c>
      <c r="S117" s="363">
        <f t="shared" si="22"/>
        <v>0</v>
      </c>
      <c r="T117" s="363">
        <f t="shared" si="22"/>
        <v>0</v>
      </c>
      <c r="U117" s="363">
        <f t="shared" si="22"/>
        <v>0</v>
      </c>
      <c r="V117" s="363">
        <f t="shared" si="22"/>
        <v>0</v>
      </c>
      <c r="W117" s="363">
        <f t="shared" si="22"/>
        <v>0</v>
      </c>
      <c r="X117" s="347">
        <f>SUM(D117:W117)</f>
        <v>0</v>
      </c>
    </row>
    <row r="118" spans="1:24" ht="11.25" x14ac:dyDescent="0.2">
      <c r="A118" s="364"/>
      <c r="C118" s="346"/>
      <c r="D118" s="365"/>
      <c r="E118" s="365"/>
      <c r="F118" s="365"/>
      <c r="G118" s="365"/>
      <c r="H118" s="365"/>
      <c r="I118" s="365"/>
      <c r="J118" s="365"/>
      <c r="K118" s="365"/>
      <c r="L118" s="366"/>
      <c r="M118" s="366"/>
      <c r="N118" s="366"/>
      <c r="O118" s="366"/>
      <c r="P118" s="366"/>
      <c r="Q118" s="366"/>
      <c r="R118" s="366"/>
      <c r="S118" s="366"/>
      <c r="T118" s="366"/>
      <c r="U118" s="366"/>
      <c r="V118" s="366"/>
      <c r="W118" s="366"/>
      <c r="X118" s="347"/>
    </row>
    <row r="119" spans="1:24" x14ac:dyDescent="0.15">
      <c r="A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</row>
  </sheetData>
  <sheetProtection password="CB03" sheet="1" formatColumns="0" formatRows="0"/>
  <phoneticPr fontId="0" type="noConversion"/>
  <dataValidations count="1">
    <dataValidation type="whole" allowBlank="1" showInputMessage="1" showErrorMessage="1" errorTitle="Grant Code" error="Must be between 0000 and 9999" sqref="D3:W3">
      <formula1>0</formula1>
      <formula2>9999</formula2>
    </dataValidation>
  </dataValidations>
  <pageMargins left="0.75" right="0.75" top="1" bottom="1" header="0.5" footer="0.5"/>
  <pageSetup paperSize="5" scale="58" fitToWidth="2" fitToHeight="2" orientation="landscape" r:id="rId1"/>
  <headerFooter alignWithMargins="0">
    <oddFooter>&amp;LCDE, Public School Finance Unit&amp;C&amp;P&amp;RRevised, March 2009</oddFooter>
  </headerFooter>
  <rowBreaks count="1" manualBreakCount="1">
    <brk id="62" max="23" man="1"/>
  </rowBreaks>
  <colBreaks count="1" manualBreakCount="1">
    <brk id="2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8"/>
  <sheetViews>
    <sheetView workbookViewId="0">
      <selection activeCell="I65" sqref="I65"/>
    </sheetView>
  </sheetViews>
  <sheetFormatPr defaultRowHeight="10.5" x14ac:dyDescent="0.15"/>
  <cols>
    <col min="1" max="1" width="15.33203125" style="158" customWidth="1"/>
    <col min="2" max="2" width="5.83203125" style="158" customWidth="1"/>
    <col min="3" max="3" width="74.6640625" style="158" customWidth="1"/>
    <col min="4" max="4" width="5.33203125" style="158" customWidth="1"/>
    <col min="5" max="5" width="15.83203125" customWidth="1"/>
    <col min="6" max="6" width="17" style="158" customWidth="1"/>
    <col min="7" max="7" width="16.83203125" style="158" customWidth="1"/>
    <col min="8" max="8" width="16.33203125" style="158" customWidth="1"/>
    <col min="9" max="9" width="15.33203125" style="158" customWidth="1"/>
    <col min="10" max="10" width="17.6640625" style="158" customWidth="1"/>
    <col min="11" max="16384" width="9.33203125" style="158"/>
  </cols>
  <sheetData>
    <row r="1" spans="1:10" x14ac:dyDescent="0.15">
      <c r="A1" s="158" t="s">
        <v>106</v>
      </c>
      <c r="C1" s="163">
        <v>0</v>
      </c>
      <c r="D1" s="163"/>
      <c r="E1" s="158" t="s">
        <v>1586</v>
      </c>
      <c r="F1" s="164">
        <v>0</v>
      </c>
      <c r="G1" s="165"/>
      <c r="H1" s="38" t="s">
        <v>1588</v>
      </c>
    </row>
    <row r="2" spans="1:10" x14ac:dyDescent="0.15">
      <c r="A2" s="15" t="s">
        <v>1046</v>
      </c>
    </row>
    <row r="3" spans="1:10" ht="42" x14ac:dyDescent="0.15">
      <c r="E3" s="686" t="s">
        <v>1701</v>
      </c>
      <c r="F3" s="686" t="s">
        <v>1700</v>
      </c>
      <c r="G3" s="686" t="s">
        <v>1699</v>
      </c>
      <c r="H3" s="686" t="s">
        <v>1698</v>
      </c>
      <c r="I3" s="686" t="s">
        <v>1696</v>
      </c>
      <c r="J3" s="686" t="s">
        <v>1697</v>
      </c>
    </row>
    <row r="4" spans="1:10" ht="52.5" x14ac:dyDescent="0.15">
      <c r="E4" s="166"/>
      <c r="F4" s="166"/>
      <c r="G4" s="166"/>
      <c r="H4" s="166"/>
      <c r="I4" s="251" t="s">
        <v>193</v>
      </c>
      <c r="J4" s="251" t="s">
        <v>192</v>
      </c>
    </row>
    <row r="5" spans="1:10" ht="11.25" thickBot="1" x14ac:dyDescent="0.2">
      <c r="E5" s="166"/>
      <c r="F5" s="166"/>
      <c r="G5" s="166"/>
      <c r="H5" s="166"/>
      <c r="J5" s="167"/>
    </row>
    <row r="6" spans="1:10" ht="11.25" thickBot="1" x14ac:dyDescent="0.2">
      <c r="A6" s="35" t="s">
        <v>1589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171">
        <f>H6+I6</f>
        <v>0</v>
      </c>
    </row>
    <row r="7" spans="1:10" x14ac:dyDescent="0.15">
      <c r="A7" s="18"/>
      <c r="C7" s="209" t="s">
        <v>196</v>
      </c>
      <c r="F7" s="159"/>
      <c r="G7" s="8"/>
      <c r="J7" s="167"/>
    </row>
    <row r="8" spans="1:10" x14ac:dyDescent="0.15">
      <c r="A8" s="35" t="s">
        <v>203</v>
      </c>
      <c r="B8" s="159"/>
      <c r="C8" s="35" t="s">
        <v>1189</v>
      </c>
      <c r="D8" s="35"/>
      <c r="F8" s="159"/>
      <c r="G8" s="8"/>
      <c r="J8" s="167"/>
    </row>
    <row r="9" spans="1:10" x14ac:dyDescent="0.15">
      <c r="C9" s="40" t="s">
        <v>204</v>
      </c>
      <c r="D9" s="40"/>
      <c r="F9" s="177"/>
      <c r="G9" s="159"/>
      <c r="J9" s="167"/>
    </row>
    <row r="10" spans="1:10" x14ac:dyDescent="0.15">
      <c r="A10" s="379" t="e">
        <f>HLOOKUP(201,'Fund 22 Grants'!$D$2:$W$3,2,FALSE)</f>
        <v>#N/A</v>
      </c>
      <c r="B10" s="380"/>
      <c r="C10" s="381" t="e">
        <f>HLOOKUP(201,'Fund 22 Grants'!$D$2:$W$4,3,FALSE)</f>
        <v>#N/A</v>
      </c>
      <c r="D10" s="115"/>
      <c r="E10" s="41">
        <v>0</v>
      </c>
      <c r="F10" s="41">
        <v>0</v>
      </c>
      <c r="G10" s="41">
        <v>0</v>
      </c>
      <c r="H10" s="383">
        <f>IF(ISERROR(HLOOKUP(201,'Fund 22 Grants'!$D$2:$W$12,11,FALSE)),0,(HLOOKUP(201,'Fund 22 Grants'!$D$2:$W$12,11,FALSE)))</f>
        <v>0</v>
      </c>
      <c r="I10" s="41">
        <v>0</v>
      </c>
      <c r="J10" s="564">
        <f>H10+I10</f>
        <v>0</v>
      </c>
    </row>
    <row r="11" spans="1:10" x14ac:dyDescent="0.15">
      <c r="A11" s="379" t="e">
        <f>HLOOKUP(202,'Fund 22 Grants'!$D$2:$W$3,2,FALSE)</f>
        <v>#N/A</v>
      </c>
      <c r="B11" s="380"/>
      <c r="C11" s="381" t="e">
        <f>HLOOKUP(202,'Fund 22 Grants'!$D$2:$W$4,3,FALSE)</f>
        <v>#N/A</v>
      </c>
      <c r="D11" s="115"/>
      <c r="E11" s="41">
        <v>0</v>
      </c>
      <c r="F11" s="41">
        <v>0</v>
      </c>
      <c r="G11" s="41">
        <v>0</v>
      </c>
      <c r="H11" s="383">
        <f>IF(ISERROR(HLOOKUP(202,'Fund 22 Grants'!$D$2:$W$12,11,FALSE)),0,(HLOOKUP(202,'Fund 22 Grants'!$D$2:$W$12,11,FALSE)))</f>
        <v>0</v>
      </c>
      <c r="I11" s="41">
        <v>0</v>
      </c>
      <c r="J11" s="564">
        <f t="shared" ref="J11:J19" si="0">H11+I11</f>
        <v>0</v>
      </c>
    </row>
    <row r="12" spans="1:10" x14ac:dyDescent="0.15">
      <c r="A12" s="379" t="e">
        <f>HLOOKUP(203,'Fund 22 Grants'!$D$2:$W$3,2,FALSE)</f>
        <v>#N/A</v>
      </c>
      <c r="B12" s="380"/>
      <c r="C12" s="381" t="e">
        <f>HLOOKUP(203,'Fund 22 Grants'!$D$2:$W$4,3,FALSE)</f>
        <v>#N/A</v>
      </c>
      <c r="D12" s="115"/>
      <c r="E12" s="41">
        <v>0</v>
      </c>
      <c r="F12" s="41">
        <v>0</v>
      </c>
      <c r="G12" s="41">
        <v>0</v>
      </c>
      <c r="H12" s="383">
        <f>IF(ISERROR(HLOOKUP(203,'Fund 22 Grants'!$D$2:$W$12,11,FALSE)),0,(HLOOKUP(203,'Fund 22 Grants'!$D$2:$W$12,11,FALSE)))</f>
        <v>0</v>
      </c>
      <c r="I12" s="41">
        <v>0</v>
      </c>
      <c r="J12" s="564">
        <f t="shared" si="0"/>
        <v>0</v>
      </c>
    </row>
    <row r="13" spans="1:10" x14ac:dyDescent="0.15">
      <c r="A13" s="379" t="e">
        <f>HLOOKUP(204,'Fund 22 Grants'!$D$2:$W$3,2,FALSE)</f>
        <v>#N/A</v>
      </c>
      <c r="B13" s="380"/>
      <c r="C13" s="381" t="e">
        <f>HLOOKUP(204,'Fund 22 Grants'!$D$2:$W$4,3,FALSE)</f>
        <v>#N/A</v>
      </c>
      <c r="D13" s="115"/>
      <c r="E13" s="41">
        <v>0</v>
      </c>
      <c r="F13" s="41">
        <v>0</v>
      </c>
      <c r="G13" s="41">
        <v>0</v>
      </c>
      <c r="H13" s="383">
        <f>IF(ISERROR(HLOOKUP(204,'Fund 22 Grants'!$D$2:$W$12,11,FALSE)),0,(HLOOKUP(204,'Fund 22 Grants'!$D$2:$W$12,11,FALSE)))</f>
        <v>0</v>
      </c>
      <c r="I13" s="41">
        <v>0</v>
      </c>
      <c r="J13" s="564">
        <f t="shared" si="0"/>
        <v>0</v>
      </c>
    </row>
    <row r="14" spans="1:10" x14ac:dyDescent="0.15">
      <c r="A14" s="379" t="e">
        <f>HLOOKUP(205,'Fund 22 Grants'!$D$2:$W$3,2,FALSE)</f>
        <v>#N/A</v>
      </c>
      <c r="B14" s="380"/>
      <c r="C14" s="381" t="e">
        <f>HLOOKUP(205,'Fund 22 Grants'!$D$2:$W$4,3,FALSE)</f>
        <v>#N/A</v>
      </c>
      <c r="D14" s="115"/>
      <c r="E14" s="41">
        <v>0</v>
      </c>
      <c r="F14" s="41">
        <v>0</v>
      </c>
      <c r="G14" s="41">
        <v>0</v>
      </c>
      <c r="H14" s="383">
        <f>IF(ISERROR(HLOOKUP(205,'Fund 22 Grants'!$D$2:$W$12,11,FALSE)),0,(HLOOKUP(205,'Fund 22 Grants'!$D$2:$W$12,11,FALSE)))</f>
        <v>0</v>
      </c>
      <c r="I14" s="41">
        <v>0</v>
      </c>
      <c r="J14" s="564">
        <f t="shared" si="0"/>
        <v>0</v>
      </c>
    </row>
    <row r="15" spans="1:10" x14ac:dyDescent="0.15">
      <c r="A15" s="379" t="e">
        <f>HLOOKUP(206,'Fund 22 Grants'!$D$2:$W$3,2,FALSE)</f>
        <v>#N/A</v>
      </c>
      <c r="B15" s="380"/>
      <c r="C15" s="381" t="e">
        <f>HLOOKUP(206,'Fund 22 Grants'!$D$2:$W$4,3,FALSE)</f>
        <v>#N/A</v>
      </c>
      <c r="D15" s="115"/>
      <c r="E15" s="41">
        <v>0</v>
      </c>
      <c r="F15" s="41">
        <v>0</v>
      </c>
      <c r="G15" s="41">
        <v>0</v>
      </c>
      <c r="H15" s="383">
        <f>IF(ISERROR(HLOOKUP(206,'Fund 22 Grants'!$D$2:$W$12,11,FALSE)),0,(HLOOKUP(206,'Fund 22 Grants'!$D$2:$W$12,11,FALSE)))</f>
        <v>0</v>
      </c>
      <c r="I15" s="41">
        <v>0</v>
      </c>
      <c r="J15" s="564">
        <f t="shared" si="0"/>
        <v>0</v>
      </c>
    </row>
    <row r="16" spans="1:10" x14ac:dyDescent="0.15">
      <c r="A16" s="379" t="e">
        <f>HLOOKUP(207,'Fund 22 Grants'!$D$2:$W$3,2,FALSE)</f>
        <v>#N/A</v>
      </c>
      <c r="B16" s="380"/>
      <c r="C16" s="381" t="e">
        <f>HLOOKUP(207,'Fund 22 Grants'!$D$2:$W$4,3,FALSE)</f>
        <v>#N/A</v>
      </c>
      <c r="D16" s="115"/>
      <c r="E16" s="41">
        <v>0</v>
      </c>
      <c r="F16" s="41">
        <v>0</v>
      </c>
      <c r="G16" s="41">
        <v>0</v>
      </c>
      <c r="H16" s="383">
        <f>IF(ISERROR(HLOOKUP(207,'Fund 22 Grants'!$D$2:$W$12,11,FALSE)),0,(HLOOKUP(207,'Fund 22 Grants'!$D$2:$W$12,11,FALSE)))</f>
        <v>0</v>
      </c>
      <c r="I16" s="41">
        <v>0</v>
      </c>
      <c r="J16" s="564">
        <f t="shared" si="0"/>
        <v>0</v>
      </c>
    </row>
    <row r="17" spans="1:10" x14ac:dyDescent="0.15">
      <c r="A17" s="379" t="e">
        <f>HLOOKUP(208,'Fund 22 Grants'!$D$2:$W$3,2,FALSE)</f>
        <v>#N/A</v>
      </c>
      <c r="B17" s="380"/>
      <c r="C17" s="381" t="e">
        <f>HLOOKUP(208,'Fund 22 Grants'!$D$2:$W$4,3,FALSE)</f>
        <v>#N/A</v>
      </c>
      <c r="D17" s="115"/>
      <c r="E17" s="41">
        <v>0</v>
      </c>
      <c r="F17" s="41">
        <v>0</v>
      </c>
      <c r="G17" s="41">
        <v>0</v>
      </c>
      <c r="H17" s="383">
        <f>IF(ISERROR(HLOOKUP(208,'Fund 22 Grants'!$D$2:$W$12,11,FALSE)),0,(HLOOKUP(208,'Fund 22 Grants'!$D$2:$W$12,11,FALSE)))</f>
        <v>0</v>
      </c>
      <c r="I17" s="41">
        <v>0</v>
      </c>
      <c r="J17" s="564">
        <f t="shared" si="0"/>
        <v>0</v>
      </c>
    </row>
    <row r="18" spans="1:10" x14ac:dyDescent="0.15">
      <c r="A18" s="379" t="e">
        <f>HLOOKUP(209,'Fund 22 Grants'!$D$2:$W$3,2,FALSE)</f>
        <v>#N/A</v>
      </c>
      <c r="B18" s="380"/>
      <c r="C18" s="381" t="e">
        <f>HLOOKUP(209,'Fund 22 Grants'!$D$2:$W$4,3,FALSE)</f>
        <v>#N/A</v>
      </c>
      <c r="D18" s="115"/>
      <c r="E18" s="41">
        <v>0</v>
      </c>
      <c r="F18" s="41">
        <v>0</v>
      </c>
      <c r="G18" s="41">
        <v>0</v>
      </c>
      <c r="H18" s="383">
        <f>IF(ISERROR(HLOOKUP(209,'Fund 22 Grants'!$D$2:$W$12,11,FALSE)),0,(HLOOKUP(209,'Fund 22 Grants'!$D$2:$W$12,11,FALSE)))</f>
        <v>0</v>
      </c>
      <c r="I18" s="41">
        <v>0</v>
      </c>
      <c r="J18" s="564">
        <f t="shared" si="0"/>
        <v>0</v>
      </c>
    </row>
    <row r="19" spans="1:10" x14ac:dyDescent="0.15">
      <c r="A19" s="379" t="e">
        <f>HLOOKUP(210,'Fund 22 Grants'!$D$2:$W$3,2,FALSE)</f>
        <v>#N/A</v>
      </c>
      <c r="B19" s="380"/>
      <c r="C19" s="381" t="e">
        <f>HLOOKUP(210,'Fund 22 Grants'!$D$2:$W$4,3,FALSE)</f>
        <v>#N/A</v>
      </c>
      <c r="D19" s="194"/>
      <c r="E19" s="41">
        <v>0</v>
      </c>
      <c r="F19" s="41">
        <v>0</v>
      </c>
      <c r="G19" s="41">
        <v>0</v>
      </c>
      <c r="H19" s="383">
        <f>IF(ISERROR(HLOOKUP(210,'Fund 22 Grants'!$D$2:$W$12,11,FALSE)),0,(HLOOKUP(210,'Fund 22 Grants'!$D$2:$W$12,11,FALSE)))</f>
        <v>0</v>
      </c>
      <c r="I19" s="41">
        <v>0</v>
      </c>
      <c r="J19" s="564">
        <f t="shared" si="0"/>
        <v>0</v>
      </c>
    </row>
    <row r="20" spans="1:10" x14ac:dyDescent="0.15">
      <c r="A20" s="379" t="e">
        <f>HLOOKUP(211,'Fund 22 Grants'!$D$2:$W$3,2,FALSE)</f>
        <v>#N/A</v>
      </c>
      <c r="B20" s="380"/>
      <c r="C20" s="381" t="e">
        <f>HLOOKUP(211,'Fund 22 Grants'!$D$2:$W$4,3,FALSE)</f>
        <v>#N/A</v>
      </c>
      <c r="D20" s="115"/>
      <c r="E20" s="41">
        <v>0</v>
      </c>
      <c r="F20" s="41">
        <v>0</v>
      </c>
      <c r="G20" s="41">
        <v>0</v>
      </c>
      <c r="H20" s="383">
        <f>IF(ISERROR(HLOOKUP(211,'Fund 22 Grants'!$D$2:$W$12,11,FALSE)),0,(HLOOKUP(211,'Fund 22 Grants'!$D$2:$W$12,11,FALSE)))</f>
        <v>0</v>
      </c>
      <c r="I20" s="41">
        <v>0</v>
      </c>
      <c r="J20" s="564">
        <f>H20+I20</f>
        <v>0</v>
      </c>
    </row>
    <row r="21" spans="1:10" x14ac:dyDescent="0.15">
      <c r="A21" s="379" t="e">
        <f>HLOOKUP(212,'Fund 22 Grants'!$D$2:$W$3,2,FALSE)</f>
        <v>#N/A</v>
      </c>
      <c r="B21" s="380"/>
      <c r="C21" s="381" t="e">
        <f>HLOOKUP(212,'Fund 22 Grants'!$D$2:$W$4,3,FALSE)</f>
        <v>#N/A</v>
      </c>
      <c r="D21" s="194"/>
      <c r="E21" s="41">
        <v>0</v>
      </c>
      <c r="F21" s="41">
        <v>0</v>
      </c>
      <c r="G21" s="41">
        <v>0</v>
      </c>
      <c r="H21" s="383">
        <f>IF(ISERROR(HLOOKUP(212,'Fund 22 Grants'!$D$2:$W$12,11,FALSE)),0,(HLOOKUP(212,'Fund 22 Grants'!$D$2:$W$12,11,FALSE)))</f>
        <v>0</v>
      </c>
      <c r="I21" s="41">
        <v>0</v>
      </c>
      <c r="J21" s="564">
        <f>H21+I21</f>
        <v>0</v>
      </c>
    </row>
    <row r="22" spans="1:10" ht="11.25" thickBot="1" x14ac:dyDescent="0.2">
      <c r="A22" s="152"/>
      <c r="B22" s="167"/>
      <c r="E22" s="14"/>
      <c r="F22" s="14"/>
      <c r="G22" s="14"/>
      <c r="H22" s="14"/>
      <c r="J22" s="167"/>
    </row>
    <row r="23" spans="1:10" ht="12" thickTop="1" thickBot="1" x14ac:dyDescent="0.2">
      <c r="C23" s="115" t="s">
        <v>1186</v>
      </c>
      <c r="D23" s="115"/>
      <c r="E23" s="169">
        <f t="shared" ref="E23:J23" si="1">SUM(E10:E21)</f>
        <v>0</v>
      </c>
      <c r="F23" s="169">
        <f t="shared" si="1"/>
        <v>0</v>
      </c>
      <c r="G23" s="169">
        <f t="shared" si="1"/>
        <v>0</v>
      </c>
      <c r="H23" s="169">
        <f t="shared" si="1"/>
        <v>0</v>
      </c>
      <c r="I23" s="169">
        <f t="shared" si="1"/>
        <v>0</v>
      </c>
      <c r="J23" s="169">
        <f t="shared" si="1"/>
        <v>0</v>
      </c>
    </row>
    <row r="24" spans="1:10" ht="11.25" thickTop="1" x14ac:dyDescent="0.15">
      <c r="F24" s="159"/>
      <c r="G24" s="159"/>
      <c r="J24" s="167"/>
    </row>
    <row r="25" spans="1:10" x14ac:dyDescent="0.15">
      <c r="B25" s="40" t="s">
        <v>1185</v>
      </c>
      <c r="F25" s="159"/>
      <c r="G25" s="159"/>
      <c r="J25" s="167"/>
    </row>
    <row r="26" spans="1:10" x14ac:dyDescent="0.15">
      <c r="A26" s="235" t="s">
        <v>163</v>
      </c>
      <c r="B26" s="40"/>
      <c r="F26" s="159"/>
      <c r="G26" s="159"/>
      <c r="J26" s="167"/>
    </row>
    <row r="27" spans="1:10" x14ac:dyDescent="0.15">
      <c r="A27" s="35" t="s">
        <v>203</v>
      </c>
      <c r="B27" s="159"/>
      <c r="C27" s="35" t="s">
        <v>1188</v>
      </c>
      <c r="D27" s="35"/>
      <c r="F27" s="159"/>
      <c r="G27" s="159"/>
      <c r="J27" s="167"/>
    </row>
    <row r="28" spans="1:10" x14ac:dyDescent="0.15">
      <c r="A28" s="373"/>
      <c r="B28" s="167"/>
      <c r="C28" s="40" t="s">
        <v>554</v>
      </c>
      <c r="D28" s="194"/>
      <c r="F28" s="159"/>
      <c r="G28" s="159"/>
      <c r="J28" s="167"/>
    </row>
    <row r="29" spans="1:10" x14ac:dyDescent="0.15">
      <c r="A29" s="379" t="e">
        <f>HLOOKUP(301,'Fund 22 Grants'!$D$2:$W$3,2,FALSE)</f>
        <v>#N/A</v>
      </c>
      <c r="B29" s="380"/>
      <c r="C29" s="381" t="e">
        <f>HLOOKUP(301,'Fund 22 Grants'!$D$2:$W$4,3,FALSE)</f>
        <v>#N/A</v>
      </c>
      <c r="D29" s="194"/>
      <c r="E29" s="41">
        <v>0</v>
      </c>
      <c r="F29" s="41">
        <v>0</v>
      </c>
      <c r="G29" s="41">
        <v>0</v>
      </c>
      <c r="H29" s="383">
        <f>IF(ISERROR(HLOOKUP(301,'Fund 22 Grants'!$D$2:$W$12,11,FALSE)),0,(HLOOKUP(301,'Fund 22 Grants'!$D$2:$W$12,11,FALSE)))</f>
        <v>0</v>
      </c>
      <c r="I29" s="41">
        <v>0</v>
      </c>
      <c r="J29" s="564">
        <f t="shared" ref="J29:J47" si="2">H29+I29</f>
        <v>0</v>
      </c>
    </row>
    <row r="30" spans="1:10" x14ac:dyDescent="0.15">
      <c r="A30" s="379" t="e">
        <f>HLOOKUP(302,'Fund 22 Grants'!$D$2:$W$3,2,FALSE)</f>
        <v>#N/A</v>
      </c>
      <c r="B30" s="380"/>
      <c r="C30" s="381" t="e">
        <f>HLOOKUP(302,'Fund 22 Grants'!$D$2:$W$4,3,FALSE)</f>
        <v>#N/A</v>
      </c>
      <c r="D30" s="194"/>
      <c r="E30" s="41">
        <v>0</v>
      </c>
      <c r="F30" s="41">
        <v>0</v>
      </c>
      <c r="G30" s="41">
        <v>0</v>
      </c>
      <c r="H30" s="383">
        <f>IF(ISERROR(HLOOKUP(302,'Fund 22 Grants'!$D$2:$W$12,11,FALSE)),0,(HLOOKUP(302,'Fund 22 Grants'!$D$2:$W$12,11,FALSE)))</f>
        <v>0</v>
      </c>
      <c r="I30" s="41">
        <v>0</v>
      </c>
      <c r="J30" s="564">
        <f t="shared" si="2"/>
        <v>0</v>
      </c>
    </row>
    <row r="31" spans="1:10" x14ac:dyDescent="0.15">
      <c r="A31" s="379" t="e">
        <f>HLOOKUP(303,'Fund 22 Grants'!$D$2:$W$3,2,FALSE)</f>
        <v>#N/A</v>
      </c>
      <c r="B31" s="380"/>
      <c r="C31" s="381" t="e">
        <f>HLOOKUP(303,'Fund 22 Grants'!$D$2:$W$4,3,FALSE)</f>
        <v>#N/A</v>
      </c>
      <c r="D31" s="194"/>
      <c r="E31" s="41">
        <v>0</v>
      </c>
      <c r="F31" s="41">
        <v>0</v>
      </c>
      <c r="G31" s="41">
        <v>0</v>
      </c>
      <c r="H31" s="383">
        <f>IF(ISERROR(HLOOKUP(303,'Fund 22 Grants'!$D$2:$W$12,11,FALSE)),0,(HLOOKUP(303,'Fund 22 Grants'!$D$2:$W$12,11,FALSE)))</f>
        <v>0</v>
      </c>
      <c r="I31" s="41">
        <v>0</v>
      </c>
      <c r="J31" s="564">
        <f t="shared" si="2"/>
        <v>0</v>
      </c>
    </row>
    <row r="32" spans="1:10" x14ac:dyDescent="0.15">
      <c r="A32" s="379" t="e">
        <f>HLOOKUP(304,'Fund 22 Grants'!$D$2:$W$3,2,FALSE)</f>
        <v>#N/A</v>
      </c>
      <c r="B32" s="380"/>
      <c r="C32" s="381" t="e">
        <f>HLOOKUP(304,'Fund 22 Grants'!$D$2:$W$4,3,FALSE)</f>
        <v>#N/A</v>
      </c>
      <c r="D32" s="194"/>
      <c r="E32" s="41">
        <v>0</v>
      </c>
      <c r="F32" s="41">
        <v>0</v>
      </c>
      <c r="G32" s="41">
        <v>0</v>
      </c>
      <c r="H32" s="383">
        <f>IF(ISERROR(HLOOKUP(304,'Fund 22 Grants'!$D$2:$W$12,11,FALSE)),0,(HLOOKUP(304,'Fund 22 Grants'!$D$2:$W$12,11,FALSE)))</f>
        <v>0</v>
      </c>
      <c r="I32" s="41">
        <v>0</v>
      </c>
      <c r="J32" s="564">
        <f t="shared" si="2"/>
        <v>0</v>
      </c>
    </row>
    <row r="33" spans="1:10" x14ac:dyDescent="0.15">
      <c r="A33" s="379" t="e">
        <f>HLOOKUP(305,'Fund 22 Grants'!$D$2:$W$3,2,FALSE)</f>
        <v>#N/A</v>
      </c>
      <c r="B33" s="380"/>
      <c r="C33" s="381" t="e">
        <f>HLOOKUP(305,'Fund 22 Grants'!$D$2:$W$4,3,FALSE)</f>
        <v>#N/A</v>
      </c>
      <c r="D33" s="194"/>
      <c r="E33" s="41">
        <v>0</v>
      </c>
      <c r="F33" s="41">
        <v>0</v>
      </c>
      <c r="G33" s="41">
        <v>0</v>
      </c>
      <c r="H33" s="383">
        <f>IF(ISERROR(HLOOKUP(305,'Fund 22 Grants'!$D$2:$W$12,11,FALSE)),0,(HLOOKUP(305,'Fund 22 Grants'!$D$2:$W$12,11,FALSE)))</f>
        <v>0</v>
      </c>
      <c r="I33" s="41">
        <v>0</v>
      </c>
      <c r="J33" s="564">
        <f t="shared" si="2"/>
        <v>0</v>
      </c>
    </row>
    <row r="34" spans="1:10" x14ac:dyDescent="0.15">
      <c r="A34" s="379" t="e">
        <f>HLOOKUP(306,'Fund 22 Grants'!$D$2:$W$3,2,FALSE)</f>
        <v>#N/A</v>
      </c>
      <c r="B34" s="380"/>
      <c r="C34" s="381" t="e">
        <f>HLOOKUP(306,'Fund 22 Grants'!$D$2:$W$4,3,FALSE)</f>
        <v>#N/A</v>
      </c>
      <c r="D34" s="194"/>
      <c r="E34" s="41">
        <v>0</v>
      </c>
      <c r="F34" s="41">
        <v>0</v>
      </c>
      <c r="G34" s="41">
        <v>0</v>
      </c>
      <c r="H34" s="383">
        <f>IF(ISERROR(HLOOKUP(306,'Fund 22 Grants'!$D$2:$W$12,11,FALSE)),0,(HLOOKUP(306,'Fund 22 Grants'!$D$2:$W$12,11,FALSE)))</f>
        <v>0</v>
      </c>
      <c r="I34" s="41">
        <v>0</v>
      </c>
      <c r="J34" s="564">
        <f t="shared" si="2"/>
        <v>0</v>
      </c>
    </row>
    <row r="35" spans="1:10" x14ac:dyDescent="0.15">
      <c r="A35" s="379" t="e">
        <f>HLOOKUP(307,'Fund 22 Grants'!$D$2:$W$3,2,FALSE)</f>
        <v>#N/A</v>
      </c>
      <c r="B35" s="380"/>
      <c r="C35" s="381" t="e">
        <f>HLOOKUP(307,'Fund 22 Grants'!$D$2:$W$4,3,FALSE)</f>
        <v>#N/A</v>
      </c>
      <c r="D35" s="194"/>
      <c r="E35" s="41">
        <v>0</v>
      </c>
      <c r="F35" s="41">
        <v>0</v>
      </c>
      <c r="G35" s="41">
        <v>0</v>
      </c>
      <c r="H35" s="383">
        <f>IF(ISERROR(HLOOKUP(307,'Fund 22 Grants'!$D$2:$W$12,11,FALSE)),0,(HLOOKUP(307,'Fund 22 Grants'!$D$2:$W$12,11,FALSE)))</f>
        <v>0</v>
      </c>
      <c r="I35" s="41">
        <v>0</v>
      </c>
      <c r="J35" s="564">
        <f t="shared" si="2"/>
        <v>0</v>
      </c>
    </row>
    <row r="36" spans="1:10" x14ac:dyDescent="0.15">
      <c r="A36" s="379" t="e">
        <f>HLOOKUP(308,'Fund 22 Grants'!$D$2:$W$3,2,FALSE)</f>
        <v>#N/A</v>
      </c>
      <c r="B36" s="380"/>
      <c r="C36" s="381" t="e">
        <f>HLOOKUP(308,'Fund 22 Grants'!$D$2:$W$4,3,FALSE)</f>
        <v>#N/A</v>
      </c>
      <c r="D36" s="194"/>
      <c r="E36" s="41">
        <v>0</v>
      </c>
      <c r="F36" s="41">
        <v>0</v>
      </c>
      <c r="G36" s="41">
        <v>0</v>
      </c>
      <c r="H36" s="383">
        <f>IF(ISERROR(HLOOKUP(308,'Fund 22 Grants'!$D$2:$W$12,11,FALSE)),0,(HLOOKUP(308,'Fund 22 Grants'!$D$2:$W$12,11,FALSE)))</f>
        <v>0</v>
      </c>
      <c r="I36" s="41">
        <v>0</v>
      </c>
      <c r="J36" s="564">
        <f t="shared" si="2"/>
        <v>0</v>
      </c>
    </row>
    <row r="37" spans="1:10" x14ac:dyDescent="0.15">
      <c r="A37" s="379" t="e">
        <f>HLOOKUP(309,'Fund 22 Grants'!$D$2:$W$3,2,FALSE)</f>
        <v>#N/A</v>
      </c>
      <c r="B37" s="380"/>
      <c r="C37" s="381" t="e">
        <f>HLOOKUP(309,'Fund 22 Grants'!$D$2:$W$4,3,FALSE)</f>
        <v>#N/A</v>
      </c>
      <c r="D37" s="194"/>
      <c r="E37" s="41">
        <v>0</v>
      </c>
      <c r="F37" s="41">
        <v>0</v>
      </c>
      <c r="G37" s="41">
        <v>0</v>
      </c>
      <c r="H37" s="383">
        <f>IF(ISERROR(HLOOKUP(309,'Fund 22 Grants'!$D$2:$W$12,11,FALSE)),0,(HLOOKUP(309,'Fund 22 Grants'!$D$2:$W$12,11,FALSE)))</f>
        <v>0</v>
      </c>
      <c r="I37" s="41">
        <v>0</v>
      </c>
      <c r="J37" s="564">
        <f t="shared" si="2"/>
        <v>0</v>
      </c>
    </row>
    <row r="38" spans="1:10" x14ac:dyDescent="0.15">
      <c r="A38" s="379" t="e">
        <f>HLOOKUP(310,'Fund 22 Grants'!$D$2:$W$3,2,FALSE)</f>
        <v>#N/A</v>
      </c>
      <c r="B38" s="380"/>
      <c r="C38" s="381" t="e">
        <f>HLOOKUP(310,'Fund 22 Grants'!$D$2:$W$4,3,FALSE)</f>
        <v>#N/A</v>
      </c>
      <c r="D38" s="194"/>
      <c r="E38" s="41">
        <v>0</v>
      </c>
      <c r="F38" s="41">
        <v>0</v>
      </c>
      <c r="G38" s="41">
        <v>0</v>
      </c>
      <c r="H38" s="383">
        <f>IF(ISERROR(HLOOKUP(310,'Fund 22 Grants'!$D$2:$W$12,11,FALSE)),0,(HLOOKUP(310,'Fund 22 Grants'!$D$2:$W$12,11,FALSE)))</f>
        <v>0</v>
      </c>
      <c r="I38" s="41">
        <v>0</v>
      </c>
      <c r="J38" s="564">
        <f t="shared" si="2"/>
        <v>0</v>
      </c>
    </row>
    <row r="39" spans="1:10" x14ac:dyDescent="0.15">
      <c r="A39" s="379" t="e">
        <f>HLOOKUP(311,'Fund 22 Grants'!$D$2:$W$3,2,FALSE)</f>
        <v>#N/A</v>
      </c>
      <c r="B39" s="380"/>
      <c r="C39" s="381" t="e">
        <f>HLOOKUP(311,'Fund 22 Grants'!$D$2:$W$4,3,FALSE)</f>
        <v>#N/A</v>
      </c>
      <c r="D39" s="194"/>
      <c r="E39" s="41">
        <v>0</v>
      </c>
      <c r="F39" s="41">
        <v>0</v>
      </c>
      <c r="G39" s="41">
        <v>0</v>
      </c>
      <c r="H39" s="383">
        <f>IF(ISERROR(HLOOKUP(311,'Fund 22 Grants'!$D$2:$W$12,11,FALSE)),0,(HLOOKUP(311,'Fund 22 Grants'!$D$2:$W$12,11,FALSE)))</f>
        <v>0</v>
      </c>
      <c r="I39" s="41">
        <v>0</v>
      </c>
      <c r="J39" s="564">
        <f t="shared" si="2"/>
        <v>0</v>
      </c>
    </row>
    <row r="40" spans="1:10" x14ac:dyDescent="0.15">
      <c r="A40" s="379" t="e">
        <f>HLOOKUP(312,'Fund 22 Grants'!$D$2:$W$3,2,FALSE)</f>
        <v>#N/A</v>
      </c>
      <c r="B40" s="380"/>
      <c r="C40" s="381" t="e">
        <f>HLOOKUP(312,'Fund 22 Grants'!$D$2:$W$4,3,FALSE)</f>
        <v>#N/A</v>
      </c>
      <c r="D40" s="194"/>
      <c r="E40" s="41">
        <v>0</v>
      </c>
      <c r="F40" s="41">
        <v>0</v>
      </c>
      <c r="G40" s="41">
        <v>0</v>
      </c>
      <c r="H40" s="383">
        <f>IF(ISERROR(HLOOKUP(312,'Fund 22 Grants'!$D$2:$W$12,11,FALSE)),0,(HLOOKUP(312,'Fund 22 Grants'!$D$2:$W$12,11,FALSE)))</f>
        <v>0</v>
      </c>
      <c r="I40" s="41">
        <v>0</v>
      </c>
      <c r="J40" s="564">
        <f t="shared" si="2"/>
        <v>0</v>
      </c>
    </row>
    <row r="41" spans="1:10" x14ac:dyDescent="0.15">
      <c r="A41" s="379" t="e">
        <f>HLOOKUP(313,'Fund 22 Grants'!$D$2:$W$3,2,FALSE)</f>
        <v>#N/A</v>
      </c>
      <c r="B41" s="380"/>
      <c r="C41" s="381" t="e">
        <f>HLOOKUP(313,'Fund 22 Grants'!$D$2:$W$4,3,FALSE)</f>
        <v>#N/A</v>
      </c>
      <c r="D41" s="194"/>
      <c r="E41" s="41">
        <v>0</v>
      </c>
      <c r="F41" s="41">
        <v>0</v>
      </c>
      <c r="G41" s="41">
        <v>0</v>
      </c>
      <c r="H41" s="383">
        <f>IF(ISERROR(HLOOKUP(313,'Fund 22 Grants'!$D$2:$W$12,11,FALSE)),0,(HLOOKUP(313,'Fund 22 Grants'!$D$2:$W$12,11,FALSE)))</f>
        <v>0</v>
      </c>
      <c r="I41" s="41">
        <v>0</v>
      </c>
      <c r="J41" s="564">
        <f t="shared" si="2"/>
        <v>0</v>
      </c>
    </row>
    <row r="42" spans="1:10" x14ac:dyDescent="0.15">
      <c r="A42" s="379" t="e">
        <f>HLOOKUP(314,'Fund 22 Grants'!$D$2:$W$3,2,FALSE)</f>
        <v>#N/A</v>
      </c>
      <c r="B42" s="380"/>
      <c r="C42" s="381" t="e">
        <f>HLOOKUP(314,'Fund 22 Grants'!$D$2:$W$4,3,FALSE)</f>
        <v>#N/A</v>
      </c>
      <c r="D42" s="194"/>
      <c r="E42" s="41">
        <v>0</v>
      </c>
      <c r="F42" s="41">
        <v>0</v>
      </c>
      <c r="G42" s="41">
        <v>0</v>
      </c>
      <c r="H42" s="383">
        <f>IF(ISERROR(HLOOKUP(314,'Fund 22 Grants'!$D$2:$W$12,11,FALSE)),0,(HLOOKUP(314,'Fund 22 Grants'!$D$2:$W$12,11,FALSE)))</f>
        <v>0</v>
      </c>
      <c r="I42" s="41">
        <v>0</v>
      </c>
      <c r="J42" s="564">
        <f t="shared" si="2"/>
        <v>0</v>
      </c>
    </row>
    <row r="43" spans="1:10" x14ac:dyDescent="0.15">
      <c r="A43" s="379" t="e">
        <f>HLOOKUP(315,'Fund 22 Grants'!$D$2:$W$3,2,FALSE)</f>
        <v>#N/A</v>
      </c>
      <c r="B43" s="380"/>
      <c r="C43" s="381" t="e">
        <f>HLOOKUP(315,'Fund 22 Grants'!$D$2:$W$4,3,FALSE)</f>
        <v>#N/A</v>
      </c>
      <c r="D43" s="194"/>
      <c r="E43" s="41">
        <v>0</v>
      </c>
      <c r="F43" s="41">
        <v>0</v>
      </c>
      <c r="G43" s="41">
        <v>0</v>
      </c>
      <c r="H43" s="383">
        <f>IF(ISERROR(HLOOKUP(315,'Fund 22 Grants'!$D$2:$W$12,11,FALSE)),0,(HLOOKUP(315,'Fund 22 Grants'!$D$2:$W$12,11,FALSE)))</f>
        <v>0</v>
      </c>
      <c r="I43" s="41">
        <v>0</v>
      </c>
      <c r="J43" s="564">
        <f t="shared" si="2"/>
        <v>0</v>
      </c>
    </row>
    <row r="44" spans="1:10" x14ac:dyDescent="0.15">
      <c r="A44" s="379" t="e">
        <f>HLOOKUP(316,'Fund 22 Grants'!$D$2:$W$3,2,FALSE)</f>
        <v>#N/A</v>
      </c>
      <c r="B44" s="380"/>
      <c r="C44" s="381" t="e">
        <f>HLOOKUP(316,'Fund 22 Grants'!$D$2:$W$4,3,FALSE)</f>
        <v>#N/A</v>
      </c>
      <c r="D44" s="194"/>
      <c r="E44" s="41">
        <v>0</v>
      </c>
      <c r="F44" s="41">
        <v>0</v>
      </c>
      <c r="G44" s="41">
        <v>0</v>
      </c>
      <c r="H44" s="383">
        <f>IF(ISERROR(HLOOKUP(316,'Fund 22 Grants'!$D$2:$W$12,11,FALSE)),0,(HLOOKUP(316,'Fund 22 Grants'!$D$2:$W$12,11,FALSE)))</f>
        <v>0</v>
      </c>
      <c r="I44" s="41">
        <v>0</v>
      </c>
      <c r="J44" s="564">
        <f t="shared" si="2"/>
        <v>0</v>
      </c>
    </row>
    <row r="45" spans="1:10" x14ac:dyDescent="0.15">
      <c r="A45" s="379" t="e">
        <f>HLOOKUP(317,'Fund 22 Grants'!$D$2:$W$3,2,FALSE)</f>
        <v>#N/A</v>
      </c>
      <c r="B45" s="380"/>
      <c r="C45" s="381" t="e">
        <f>HLOOKUP(317,'Fund 22 Grants'!$D$2:$W$4,3,FALSE)</f>
        <v>#N/A</v>
      </c>
      <c r="D45" s="194"/>
      <c r="E45" s="41">
        <v>0</v>
      </c>
      <c r="F45" s="41">
        <v>0</v>
      </c>
      <c r="G45" s="41">
        <v>0</v>
      </c>
      <c r="H45" s="383">
        <f>IF(ISERROR(HLOOKUP(317,'Fund 22 Grants'!$D$2:$W$12,11,FALSE)),0,(HLOOKUP(317,'Fund 22 Grants'!$D$2:$W$12,11,FALSE)))</f>
        <v>0</v>
      </c>
      <c r="I45" s="41">
        <v>0</v>
      </c>
      <c r="J45" s="564">
        <f t="shared" si="2"/>
        <v>0</v>
      </c>
    </row>
    <row r="46" spans="1:10" x14ac:dyDescent="0.15">
      <c r="A46" s="379" t="e">
        <f>HLOOKUP(318,'Fund 22 Grants'!$D$2:$W$3,2,FALSE)</f>
        <v>#N/A</v>
      </c>
      <c r="B46" s="380"/>
      <c r="C46" s="381" t="e">
        <f>HLOOKUP(318,'Fund 22 Grants'!$D$2:$W$4,3,FALSE)</f>
        <v>#N/A</v>
      </c>
      <c r="D46" s="194"/>
      <c r="E46" s="41">
        <v>0</v>
      </c>
      <c r="F46" s="41">
        <v>0</v>
      </c>
      <c r="G46" s="41">
        <v>0</v>
      </c>
      <c r="H46" s="383">
        <f>IF(ISERROR(HLOOKUP(318,'Fund 22 Grants'!$D$2:$W$12,11,FALSE)),0,(HLOOKUP(318,'Fund 22 Grants'!$D$2:$W$12,11,FALSE)))</f>
        <v>0</v>
      </c>
      <c r="I46" s="41">
        <v>0</v>
      </c>
      <c r="J46" s="564">
        <f t="shared" si="2"/>
        <v>0</v>
      </c>
    </row>
    <row r="47" spans="1:10" x14ac:dyDescent="0.15">
      <c r="A47" s="379" t="e">
        <f>HLOOKUP(319,'Fund 22 Grants'!$D$2:$W$3,2,FALSE)</f>
        <v>#N/A</v>
      </c>
      <c r="B47" s="380"/>
      <c r="C47" s="381" t="e">
        <f>HLOOKUP(319,'Fund 22 Grants'!$D$2:$W$4,3,FALSE)</f>
        <v>#N/A</v>
      </c>
      <c r="D47" s="194"/>
      <c r="E47" s="41">
        <v>0</v>
      </c>
      <c r="F47" s="41">
        <v>0</v>
      </c>
      <c r="G47" s="41">
        <v>0</v>
      </c>
      <c r="H47" s="383">
        <f>IF(ISERROR(HLOOKUP(319,'Fund 22 Grants'!$D$2:$W$12,11,FALSE)),0,(HLOOKUP(319,'Fund 22 Grants'!$D$2:$W$12,11,FALSE)))</f>
        <v>0</v>
      </c>
      <c r="I47" s="41">
        <v>0</v>
      </c>
      <c r="J47" s="564">
        <f t="shared" si="2"/>
        <v>0</v>
      </c>
    </row>
    <row r="48" spans="1:10" x14ac:dyDescent="0.15">
      <c r="A48" s="379" t="e">
        <f>HLOOKUP(320,'Fund 22 Grants'!$D$2:$W$3,2,FALSE)</f>
        <v>#N/A</v>
      </c>
      <c r="B48" s="380"/>
      <c r="C48" s="381" t="e">
        <f>HLOOKUP(320,'Fund 22 Grants'!$D$2:$W$4,3,FALSE)</f>
        <v>#N/A</v>
      </c>
      <c r="D48" s="115"/>
      <c r="E48" s="41">
        <v>0</v>
      </c>
      <c r="F48" s="41">
        <v>0</v>
      </c>
      <c r="G48" s="41">
        <v>0</v>
      </c>
      <c r="H48" s="383">
        <f>IF(ISERROR(HLOOKUP(320,'Fund 22 Grants'!$D$2:$W$12,11,FALSE)),0,(HLOOKUP(320,'Fund 22 Grants'!$D$2:$W$12,11,FALSE)))</f>
        <v>0</v>
      </c>
      <c r="I48" s="41">
        <v>0</v>
      </c>
      <c r="J48" s="564">
        <f>H48+I48</f>
        <v>0</v>
      </c>
    </row>
    <row r="49" spans="1:10" ht="11.25" thickBot="1" x14ac:dyDescent="0.2">
      <c r="A49" s="384"/>
      <c r="B49" s="385"/>
      <c r="C49" s="172"/>
      <c r="D49" s="115"/>
      <c r="E49" s="14"/>
      <c r="F49" s="14"/>
      <c r="G49" s="14"/>
      <c r="H49" s="14"/>
      <c r="J49" s="167"/>
    </row>
    <row r="50" spans="1:10" ht="12" thickTop="1" thickBot="1" x14ac:dyDescent="0.2">
      <c r="C50" s="115" t="s">
        <v>1187</v>
      </c>
      <c r="E50" s="169">
        <f t="shared" ref="E50:J50" si="3">SUM(E29:E49)</f>
        <v>0</v>
      </c>
      <c r="F50" s="169">
        <f t="shared" si="3"/>
        <v>0</v>
      </c>
      <c r="G50" s="169">
        <f t="shared" si="3"/>
        <v>0</v>
      </c>
      <c r="H50" s="169">
        <f t="shared" si="3"/>
        <v>0</v>
      </c>
      <c r="I50" s="169">
        <f t="shared" si="3"/>
        <v>0</v>
      </c>
      <c r="J50" s="169">
        <f t="shared" si="3"/>
        <v>0</v>
      </c>
    </row>
    <row r="51" spans="1:10" ht="11.25" thickTop="1" x14ac:dyDescent="0.15">
      <c r="F51" s="159"/>
      <c r="G51" s="159"/>
      <c r="J51" s="167"/>
    </row>
    <row r="52" spans="1:10" x14ac:dyDescent="0.15">
      <c r="B52" s="40" t="s">
        <v>1346</v>
      </c>
      <c r="D52" s="35"/>
      <c r="F52" s="159"/>
      <c r="G52" s="159"/>
      <c r="J52" s="167"/>
    </row>
    <row r="53" spans="1:10" x14ac:dyDescent="0.15">
      <c r="A53" s="35" t="s">
        <v>203</v>
      </c>
      <c r="B53" s="159"/>
      <c r="C53" s="35" t="s">
        <v>1330</v>
      </c>
      <c r="D53" s="202"/>
      <c r="F53" s="159"/>
      <c r="G53" s="159"/>
      <c r="J53" s="167"/>
    </row>
    <row r="54" spans="1:10" x14ac:dyDescent="0.15">
      <c r="A54" s="379">
        <f>HLOOKUP(101,'Fund 22 Grants'!$D$2:$W$3,2,FALSE)</f>
        <v>0</v>
      </c>
      <c r="B54" s="380"/>
      <c r="C54" s="381">
        <f>HLOOKUP(101,'Fund 22 Grants'!$D$2:$W$4,3,FALSE)</f>
        <v>0</v>
      </c>
      <c r="D54" s="202"/>
      <c r="E54" s="41">
        <v>0</v>
      </c>
      <c r="F54" s="41">
        <v>0</v>
      </c>
      <c r="G54" s="41">
        <v>0</v>
      </c>
      <c r="H54" s="383">
        <f>IF(ISERROR(HLOOKUP(101,'Fund 22 Grants'!$D$2:$W$12,11,FALSE)),0,(HLOOKUP(101,'Fund 22 Grants'!$D$2:$W$12,11,FALSE)))</f>
        <v>0</v>
      </c>
      <c r="I54" s="41">
        <v>0</v>
      </c>
      <c r="J54" s="564">
        <f t="shared" ref="J54:J63" si="4">H54+I54</f>
        <v>0</v>
      </c>
    </row>
    <row r="55" spans="1:10" x14ac:dyDescent="0.15">
      <c r="A55" s="379">
        <f>HLOOKUP(102,'Fund 22 Grants'!$D$2:$W$3,2,FALSE)</f>
        <v>0</v>
      </c>
      <c r="B55" s="380"/>
      <c r="C55" s="381">
        <f>HLOOKUP(102,'Fund 22 Grants'!$D$2:$W$4,3,FALSE)</f>
        <v>0</v>
      </c>
      <c r="D55" s="202"/>
      <c r="E55" s="41">
        <v>0</v>
      </c>
      <c r="F55" s="41">
        <v>0</v>
      </c>
      <c r="G55" s="41">
        <v>0</v>
      </c>
      <c r="H55" s="383">
        <f>IF(ISERROR(HLOOKUP(102,'Fund 22 Grants'!$D$2:$W$12,11,FALSE)),0,(HLOOKUP(102,'Fund 22 Grants'!$D$2:$W$12,11,FALSE)))</f>
        <v>0</v>
      </c>
      <c r="I55" s="41">
        <v>0</v>
      </c>
      <c r="J55" s="564">
        <f t="shared" si="4"/>
        <v>0</v>
      </c>
    </row>
    <row r="56" spans="1:10" x14ac:dyDescent="0.15">
      <c r="A56" s="379">
        <f>HLOOKUP(103,'Fund 22 Grants'!$D$2:$W$3,2,FALSE)</f>
        <v>0</v>
      </c>
      <c r="B56" s="380"/>
      <c r="C56" s="381">
        <f>HLOOKUP(103,'Fund 22 Grants'!$D$2:$W$4,3,FALSE)</f>
        <v>0</v>
      </c>
      <c r="D56" s="202"/>
      <c r="E56" s="41">
        <v>0</v>
      </c>
      <c r="F56" s="41">
        <v>0</v>
      </c>
      <c r="G56" s="41">
        <v>0</v>
      </c>
      <c r="H56" s="383">
        <f>IF(ISERROR(HLOOKUP(103,'Fund 22 Grants'!$D$2:$W$12,11,FALSE)),0,(HLOOKUP(103,'Fund 22 Grants'!$D$2:$W$12,11,FALSE)))</f>
        <v>0</v>
      </c>
      <c r="I56" s="41">
        <v>0</v>
      </c>
      <c r="J56" s="564">
        <f t="shared" si="4"/>
        <v>0</v>
      </c>
    </row>
    <row r="57" spans="1:10" x14ac:dyDescent="0.15">
      <c r="A57" s="379">
        <f>HLOOKUP(104,'Fund 22 Grants'!$D$2:$W$3,2,FALSE)</f>
        <v>0</v>
      </c>
      <c r="B57" s="380"/>
      <c r="C57" s="381">
        <f>HLOOKUP(104,'Fund 22 Grants'!$D$2:$W$4,3,FALSE)</f>
        <v>0</v>
      </c>
      <c r="D57" s="202"/>
      <c r="E57" s="41">
        <v>0</v>
      </c>
      <c r="F57" s="41">
        <v>0</v>
      </c>
      <c r="G57" s="41">
        <v>0</v>
      </c>
      <c r="H57" s="383">
        <f>IF(ISERROR(HLOOKUP(104,'Fund 22 Grants'!$D$2:$W$12,11,FALSE)),0,(HLOOKUP(104,'Fund 22 Grants'!$D$2:$W$12,11,FALSE)))</f>
        <v>0</v>
      </c>
      <c r="I57" s="41">
        <v>0</v>
      </c>
      <c r="J57" s="564">
        <f t="shared" si="4"/>
        <v>0</v>
      </c>
    </row>
    <row r="58" spans="1:10" x14ac:dyDescent="0.15">
      <c r="A58" s="379">
        <f>HLOOKUP(105,'Fund 22 Grants'!$D$2:$W$3,2,FALSE)</f>
        <v>0</v>
      </c>
      <c r="B58" s="380"/>
      <c r="C58" s="381">
        <f>HLOOKUP(105,'Fund 22 Grants'!$D$2:$W$4,3,FALSE)</f>
        <v>0</v>
      </c>
      <c r="D58" s="202"/>
      <c r="E58" s="41">
        <v>0</v>
      </c>
      <c r="F58" s="41">
        <v>0</v>
      </c>
      <c r="G58" s="41">
        <v>0</v>
      </c>
      <c r="H58" s="383">
        <f>IF(ISERROR(HLOOKUP(105,'Fund 22 Grants'!$D$2:$W$12,11,FALSE)),0,(HLOOKUP(105,'Fund 22 Grants'!$D$2:$W$12,11,FALSE)))</f>
        <v>0</v>
      </c>
      <c r="I58" s="41">
        <v>0</v>
      </c>
      <c r="J58" s="564">
        <f t="shared" si="4"/>
        <v>0</v>
      </c>
    </row>
    <row r="59" spans="1:10" x14ac:dyDescent="0.15">
      <c r="A59" s="379">
        <f>HLOOKUP(106,'Fund 22 Grants'!$D$2:$W$3,2,FALSE)</f>
        <v>0</v>
      </c>
      <c r="B59" s="380"/>
      <c r="C59" s="381">
        <f>HLOOKUP(106,'Fund 22 Grants'!$D$2:$W$4,3,FALSE)</f>
        <v>0</v>
      </c>
      <c r="D59" s="202"/>
      <c r="E59" s="41">
        <v>0</v>
      </c>
      <c r="F59" s="41">
        <v>0</v>
      </c>
      <c r="G59" s="41">
        <v>0</v>
      </c>
      <c r="H59" s="383">
        <f>IF(ISERROR(HLOOKUP(106,'Fund 22 Grants'!$D$2:$W$12,11,FALSE)),0,(HLOOKUP(106,'Fund 22 Grants'!$D$2:$W$12,11,FALSE)))</f>
        <v>0</v>
      </c>
      <c r="I59" s="41">
        <v>0</v>
      </c>
      <c r="J59" s="564">
        <f t="shared" si="4"/>
        <v>0</v>
      </c>
    </row>
    <row r="60" spans="1:10" x14ac:dyDescent="0.15">
      <c r="A60" s="379">
        <f>HLOOKUP(107,'Fund 22 Grants'!$D$2:$W$3,2,FALSE)</f>
        <v>0</v>
      </c>
      <c r="B60" s="380"/>
      <c r="C60" s="381">
        <f>HLOOKUP(107,'Fund 22 Grants'!$D$2:$W$4,3,FALSE)</f>
        <v>0</v>
      </c>
      <c r="D60" s="202"/>
      <c r="E60" s="41">
        <v>0</v>
      </c>
      <c r="F60" s="41">
        <v>0</v>
      </c>
      <c r="G60" s="41">
        <v>0</v>
      </c>
      <c r="H60" s="383">
        <f>IF(ISERROR(HLOOKUP(107,'Fund 22 Grants'!$D$2:$W$12,11,FALSE)),0,(HLOOKUP(107,'Fund 22 Grants'!$D$2:$W$12,11,FALSE)))</f>
        <v>0</v>
      </c>
      <c r="I60" s="41">
        <v>0</v>
      </c>
      <c r="J60" s="564">
        <f t="shared" si="4"/>
        <v>0</v>
      </c>
    </row>
    <row r="61" spans="1:10" x14ac:dyDescent="0.15">
      <c r="A61" s="379">
        <f>HLOOKUP(108,'Fund 22 Grants'!$D$2:$W$3,2,FALSE)</f>
        <v>0</v>
      </c>
      <c r="B61" s="380"/>
      <c r="C61" s="381">
        <f>HLOOKUP(108,'Fund 22 Grants'!$D$2:$W$4,3,FALSE)</f>
        <v>0</v>
      </c>
      <c r="D61" s="202"/>
      <c r="E61" s="41">
        <v>0</v>
      </c>
      <c r="F61" s="41">
        <v>0</v>
      </c>
      <c r="G61" s="41">
        <v>0</v>
      </c>
      <c r="H61" s="383">
        <f>IF(ISERROR(HLOOKUP(108,'Fund 22 Grants'!$D$2:$W$12,11,FALSE)),0,(HLOOKUP(108,'Fund 22 Grants'!$D$2:$W$12,11,FALSE)))</f>
        <v>0</v>
      </c>
      <c r="I61" s="41">
        <v>0</v>
      </c>
      <c r="J61" s="564">
        <f t="shared" si="4"/>
        <v>0</v>
      </c>
    </row>
    <row r="62" spans="1:10" x14ac:dyDescent="0.15">
      <c r="A62" s="379">
        <f>HLOOKUP(109,'Fund 22 Grants'!$D$2:$W$3,2,FALSE)</f>
        <v>0</v>
      </c>
      <c r="B62" s="380"/>
      <c r="C62" s="381">
        <f>HLOOKUP(109,'Fund 22 Grants'!$D$2:$W$4,3,FALSE)</f>
        <v>0</v>
      </c>
      <c r="D62" s="202"/>
      <c r="E62" s="41">
        <v>0</v>
      </c>
      <c r="F62" s="41">
        <v>0</v>
      </c>
      <c r="G62" s="41">
        <v>0</v>
      </c>
      <c r="H62" s="383">
        <f>IF(ISERROR(HLOOKUP(109,'Fund 22 Grants'!$D$2:$W$12,11,FALSE)),0,(HLOOKUP(109,'Fund 22 Grants'!$D$2:$W$12,11,FALSE)))</f>
        <v>0</v>
      </c>
      <c r="I62" s="41">
        <v>0</v>
      </c>
      <c r="J62" s="564">
        <f t="shared" si="4"/>
        <v>0</v>
      </c>
    </row>
    <row r="63" spans="1:10" x14ac:dyDescent="0.15">
      <c r="A63" s="379">
        <f>HLOOKUP(110,'Fund 22 Grants'!$D$2:$W$3,2,FALSE)</f>
        <v>0</v>
      </c>
      <c r="B63" s="380"/>
      <c r="C63" s="381">
        <f>HLOOKUP(110,'Fund 22 Grants'!$D$2:$W$4,3,FALSE)</f>
        <v>0</v>
      </c>
      <c r="D63" s="40"/>
      <c r="E63" s="41">
        <v>0</v>
      </c>
      <c r="F63" s="41">
        <v>0</v>
      </c>
      <c r="G63" s="41">
        <v>0</v>
      </c>
      <c r="H63" s="383">
        <f>IF(ISERROR(HLOOKUP(110,'Fund 22 Grants'!$D$2:$W$12,11,FALSE)),0,(HLOOKUP(110,'Fund 22 Grants'!$D$2:$W$12,11,FALSE)))</f>
        <v>0</v>
      </c>
      <c r="I63" s="41">
        <v>0</v>
      </c>
      <c r="J63" s="564">
        <f t="shared" si="4"/>
        <v>0</v>
      </c>
    </row>
    <row r="64" spans="1:10" ht="11.25" thickBot="1" x14ac:dyDescent="0.2">
      <c r="C64" s="40"/>
      <c r="D64" s="115"/>
      <c r="F64" s="159"/>
      <c r="G64" s="159"/>
      <c r="J64" s="167"/>
    </row>
    <row r="65" spans="1:10" ht="12" thickTop="1" thickBot="1" x14ac:dyDescent="0.2">
      <c r="A65" s="115" t="s">
        <v>1527</v>
      </c>
      <c r="C65" s="115" t="s">
        <v>1350</v>
      </c>
      <c r="E65" s="151">
        <f t="shared" ref="E65:J65" si="5">SUM(E54:E64)</f>
        <v>0</v>
      </c>
      <c r="F65" s="151">
        <f t="shared" si="5"/>
        <v>0</v>
      </c>
      <c r="G65" s="151">
        <f t="shared" si="5"/>
        <v>0</v>
      </c>
      <c r="H65" s="151">
        <f t="shared" si="5"/>
        <v>0</v>
      </c>
      <c r="I65" s="151">
        <f t="shared" si="5"/>
        <v>0</v>
      </c>
      <c r="J65" s="169">
        <f t="shared" si="5"/>
        <v>0</v>
      </c>
    </row>
    <row r="66" spans="1:10" ht="12" thickTop="1" thickBot="1" x14ac:dyDescent="0.2">
      <c r="D66" s="115"/>
      <c r="F66" s="159"/>
      <c r="G66" s="159"/>
      <c r="J66" s="167"/>
    </row>
    <row r="67" spans="1:10" ht="12" thickTop="1" thickBot="1" x14ac:dyDescent="0.2">
      <c r="C67" s="115" t="s">
        <v>416</v>
      </c>
      <c r="D67" s="115"/>
      <c r="E67" s="193">
        <f t="shared" ref="E67:J67" si="6">E23+E50+E65</f>
        <v>0</v>
      </c>
      <c r="F67" s="193">
        <f t="shared" si="6"/>
        <v>0</v>
      </c>
      <c r="G67" s="193">
        <f t="shared" si="6"/>
        <v>0</v>
      </c>
      <c r="H67" s="193">
        <f t="shared" si="6"/>
        <v>0</v>
      </c>
      <c r="I67" s="193">
        <f t="shared" si="6"/>
        <v>0</v>
      </c>
      <c r="J67" s="600">
        <f t="shared" si="6"/>
        <v>0</v>
      </c>
    </row>
    <row r="68" spans="1:10" ht="11.25" thickTop="1" x14ac:dyDescent="0.15">
      <c r="C68" s="115"/>
      <c r="D68" s="115"/>
      <c r="F68" s="159"/>
      <c r="G68" s="159"/>
      <c r="J68" s="167"/>
    </row>
    <row r="69" spans="1:10" x14ac:dyDescent="0.15">
      <c r="B69" s="21" t="s">
        <v>1223</v>
      </c>
      <c r="C69" s="115"/>
      <c r="D69" s="35"/>
      <c r="F69" s="159"/>
      <c r="G69" s="159"/>
      <c r="J69" s="167"/>
    </row>
    <row r="70" spans="1:10" x14ac:dyDescent="0.15">
      <c r="A70" s="35" t="s">
        <v>203</v>
      </c>
      <c r="C70" s="35" t="s">
        <v>1351</v>
      </c>
      <c r="D70" s="203"/>
      <c r="F70" s="159"/>
      <c r="G70" s="159"/>
      <c r="J70" s="167"/>
    </row>
    <row r="71" spans="1:10" x14ac:dyDescent="0.15">
      <c r="A71" s="162" t="s">
        <v>105</v>
      </c>
      <c r="B71" s="115">
        <v>5</v>
      </c>
      <c r="C71" s="2" t="s">
        <v>860</v>
      </c>
      <c r="E71" s="41">
        <v>0</v>
      </c>
      <c r="F71" s="41">
        <v>0</v>
      </c>
      <c r="G71" s="41">
        <v>0</v>
      </c>
      <c r="H71" s="41">
        <v>0</v>
      </c>
      <c r="I71" s="534">
        <v>0</v>
      </c>
      <c r="J71" s="535">
        <f>SUM(H71+I71)</f>
        <v>0</v>
      </c>
    </row>
    <row r="72" spans="1:10" x14ac:dyDescent="0.15">
      <c r="C72" s="115"/>
      <c r="D72" s="115"/>
      <c r="F72" s="159"/>
      <c r="G72" s="159"/>
      <c r="J72" s="167"/>
    </row>
    <row r="73" spans="1:10" x14ac:dyDescent="0.15">
      <c r="B73" s="21" t="s">
        <v>792</v>
      </c>
      <c r="C73" s="115"/>
      <c r="D73" s="35"/>
      <c r="F73" s="159"/>
      <c r="G73" s="159"/>
      <c r="J73" s="167"/>
    </row>
    <row r="74" spans="1:10" x14ac:dyDescent="0.15">
      <c r="A74" s="35" t="s">
        <v>203</v>
      </c>
      <c r="C74" s="35" t="s">
        <v>1034</v>
      </c>
      <c r="D74" s="203"/>
      <c r="F74" s="159"/>
      <c r="G74" s="159"/>
      <c r="J74" s="167"/>
    </row>
    <row r="75" spans="1:10" x14ac:dyDescent="0.15">
      <c r="A75" s="374"/>
      <c r="C75" s="195"/>
      <c r="D75" s="203"/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564">
        <f t="shared" ref="J75:J84" si="7">H75+I75</f>
        <v>0</v>
      </c>
    </row>
    <row r="76" spans="1:10" x14ac:dyDescent="0.15">
      <c r="A76" s="374"/>
      <c r="C76" s="195"/>
      <c r="D76" s="203"/>
      <c r="E76" s="41">
        <v>0</v>
      </c>
      <c r="F76" s="41">
        <v>0</v>
      </c>
      <c r="G76" s="41">
        <v>0</v>
      </c>
      <c r="H76" s="41">
        <v>0</v>
      </c>
      <c r="I76" s="41">
        <v>0</v>
      </c>
      <c r="J76" s="564">
        <f t="shared" si="7"/>
        <v>0</v>
      </c>
    </row>
    <row r="77" spans="1:10" x14ac:dyDescent="0.15">
      <c r="A77" s="374"/>
      <c r="C77" s="195"/>
      <c r="D77" s="203"/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564">
        <f t="shared" si="7"/>
        <v>0</v>
      </c>
    </row>
    <row r="78" spans="1:10" x14ac:dyDescent="0.15">
      <c r="A78" s="374"/>
      <c r="C78" s="195"/>
      <c r="D78" s="203"/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564">
        <f t="shared" si="7"/>
        <v>0</v>
      </c>
    </row>
    <row r="79" spans="1:10" x14ac:dyDescent="0.15">
      <c r="A79" s="374"/>
      <c r="C79" s="195"/>
      <c r="D79" s="203"/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564">
        <f t="shared" si="7"/>
        <v>0</v>
      </c>
    </row>
    <row r="80" spans="1:10" x14ac:dyDescent="0.15">
      <c r="A80" s="374"/>
      <c r="C80" s="195"/>
      <c r="D80" s="203"/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564">
        <f t="shared" si="7"/>
        <v>0</v>
      </c>
    </row>
    <row r="81" spans="1:10" x14ac:dyDescent="0.15">
      <c r="A81" s="374"/>
      <c r="C81" s="195"/>
      <c r="D81" s="203"/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564">
        <f t="shared" si="7"/>
        <v>0</v>
      </c>
    </row>
    <row r="82" spans="1:10" x14ac:dyDescent="0.15">
      <c r="A82" s="374"/>
      <c r="C82" s="195"/>
      <c r="D82" s="203"/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564">
        <f t="shared" si="7"/>
        <v>0</v>
      </c>
    </row>
    <row r="83" spans="1:10" x14ac:dyDescent="0.15">
      <c r="A83" s="374"/>
      <c r="C83" s="195"/>
      <c r="D83" s="203"/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564">
        <f t="shared" si="7"/>
        <v>0</v>
      </c>
    </row>
    <row r="84" spans="1:10" x14ac:dyDescent="0.15">
      <c r="A84" s="374"/>
      <c r="C84" s="195"/>
      <c r="D84" s="115"/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564">
        <f t="shared" si="7"/>
        <v>0</v>
      </c>
    </row>
    <row r="85" spans="1:10" ht="11.25" thickBot="1" x14ac:dyDescent="0.2">
      <c r="C85" s="115"/>
      <c r="D85" s="115"/>
      <c r="F85" s="159"/>
      <c r="G85" s="159"/>
      <c r="J85" s="167"/>
    </row>
    <row r="86" spans="1:10" ht="12" thickTop="1" thickBot="1" x14ac:dyDescent="0.2">
      <c r="C86" s="115" t="s">
        <v>793</v>
      </c>
      <c r="D86" s="115"/>
      <c r="E86" s="193">
        <f t="shared" ref="E86:J86" si="8">SUM(E75:E85)</f>
        <v>0</v>
      </c>
      <c r="F86" s="193">
        <f t="shared" si="8"/>
        <v>0</v>
      </c>
      <c r="G86" s="193">
        <f t="shared" si="8"/>
        <v>0</v>
      </c>
      <c r="H86" s="193">
        <f t="shared" si="8"/>
        <v>0</v>
      </c>
      <c r="I86" s="193">
        <f t="shared" si="8"/>
        <v>0</v>
      </c>
      <c r="J86" s="600">
        <f t="shared" si="8"/>
        <v>0</v>
      </c>
    </row>
    <row r="87" spans="1:10" ht="21.75" customHeight="1" thickTop="1" thickBot="1" x14ac:dyDescent="0.2">
      <c r="C87" s="115"/>
      <c r="D87" s="196"/>
      <c r="F87" s="159"/>
      <c r="G87" s="159"/>
      <c r="J87" s="167"/>
    </row>
    <row r="88" spans="1:10" ht="11.25" thickBot="1" x14ac:dyDescent="0.2">
      <c r="A88" s="737" t="s">
        <v>1352</v>
      </c>
      <c r="B88" s="737"/>
      <c r="C88" s="737"/>
      <c r="D88" s="115"/>
      <c r="E88" s="171">
        <f t="shared" ref="E88:J88" si="9">E6+E67+E71+E86</f>
        <v>0</v>
      </c>
      <c r="F88" s="171">
        <f t="shared" si="9"/>
        <v>0</v>
      </c>
      <c r="G88" s="171">
        <f t="shared" si="9"/>
        <v>0</v>
      </c>
      <c r="H88" s="171">
        <f t="shared" si="9"/>
        <v>0</v>
      </c>
      <c r="I88" s="171">
        <f t="shared" si="9"/>
        <v>0</v>
      </c>
      <c r="J88" s="171">
        <f t="shared" si="9"/>
        <v>0</v>
      </c>
    </row>
    <row r="89" spans="1:10" x14ac:dyDescent="0.15">
      <c r="C89" s="115"/>
      <c r="D89" s="115"/>
      <c r="F89" s="159"/>
      <c r="G89" s="159"/>
      <c r="J89" s="167"/>
    </row>
    <row r="90" spans="1:10" x14ac:dyDescent="0.15">
      <c r="A90" s="660" t="s">
        <v>824</v>
      </c>
      <c r="B90" s="424"/>
      <c r="C90" s="495" t="s">
        <v>816</v>
      </c>
      <c r="D90" s="423"/>
      <c r="E90" s="423"/>
      <c r="F90" s="423"/>
      <c r="G90" s="423"/>
      <c r="H90" s="423"/>
      <c r="I90" s="179"/>
      <c r="J90" s="167"/>
    </row>
    <row r="91" spans="1:10" x14ac:dyDescent="0.15">
      <c r="A91" s="436" t="s">
        <v>105</v>
      </c>
      <c r="B91" s="501" t="s">
        <v>1437</v>
      </c>
      <c r="C91" s="2" t="s">
        <v>40</v>
      </c>
      <c r="E91" s="41">
        <v>0</v>
      </c>
      <c r="F91" s="41">
        <v>0</v>
      </c>
      <c r="G91" s="41">
        <v>0</v>
      </c>
      <c r="H91" s="41">
        <v>0</v>
      </c>
      <c r="I91" s="534">
        <v>0</v>
      </c>
      <c r="J91" s="535">
        <f>SUM(H91+I91)</f>
        <v>0</v>
      </c>
    </row>
    <row r="92" spans="1:10" x14ac:dyDescent="0.15">
      <c r="A92" s="490"/>
      <c r="B92" s="424"/>
      <c r="C92" s="423"/>
      <c r="D92" s="423"/>
      <c r="E92" s="423"/>
      <c r="F92" s="423"/>
      <c r="G92" s="423"/>
      <c r="H92" s="423"/>
      <c r="I92" s="423"/>
      <c r="J92" s="167"/>
    </row>
    <row r="93" spans="1:10" x14ac:dyDescent="0.15">
      <c r="C93" s="115"/>
      <c r="F93" s="159"/>
      <c r="G93" s="159"/>
      <c r="J93" s="167"/>
    </row>
    <row r="94" spans="1:10" x14ac:dyDescent="0.15">
      <c r="A94" s="18"/>
      <c r="C94" s="209" t="s">
        <v>199</v>
      </c>
      <c r="D94" s="35"/>
      <c r="F94" s="159"/>
      <c r="G94" s="8"/>
      <c r="J94" s="167"/>
    </row>
    <row r="95" spans="1:10" x14ac:dyDescent="0.15">
      <c r="A95" s="35" t="s">
        <v>203</v>
      </c>
      <c r="B95" s="159"/>
      <c r="C95" s="35" t="s">
        <v>1189</v>
      </c>
      <c r="D95" s="40"/>
      <c r="F95" s="159"/>
      <c r="G95" s="8"/>
      <c r="J95" s="167"/>
    </row>
    <row r="96" spans="1:10" x14ac:dyDescent="0.15">
      <c r="C96" s="40" t="s">
        <v>204</v>
      </c>
      <c r="D96" s="115"/>
      <c r="F96" s="177"/>
      <c r="G96" s="159"/>
      <c r="J96" s="167"/>
    </row>
    <row r="97" spans="1:10" x14ac:dyDescent="0.15">
      <c r="A97" s="379" t="e">
        <f>HLOOKUP(201,'Fund 22 Grants'!$D$2:$W$3,2,FALSE)</f>
        <v>#N/A</v>
      </c>
      <c r="B97" s="380"/>
      <c r="C97" s="381" t="e">
        <f>HLOOKUP(201,'Fund 22 Grants'!$D$2:$W$4,3,FALSE)</f>
        <v>#N/A</v>
      </c>
      <c r="D97" s="115"/>
      <c r="E97" s="41">
        <v>0</v>
      </c>
      <c r="F97" s="41">
        <v>0</v>
      </c>
      <c r="G97" s="41">
        <v>0</v>
      </c>
      <c r="H97" s="383">
        <f>IF(ISERROR(HLOOKUP(201,'Fund 22 Grants'!$D$2:$W$113,112,FALSE)),0,(HLOOKUP(201,'Fund 22 Grants'!$D$2:$W$113,112,FALSE)))</f>
        <v>0</v>
      </c>
      <c r="I97" s="41">
        <v>0</v>
      </c>
      <c r="J97" s="564">
        <f t="shared" ref="J97:J108" si="10">H97+I97</f>
        <v>0</v>
      </c>
    </row>
    <row r="98" spans="1:10" x14ac:dyDescent="0.15">
      <c r="A98" s="379" t="e">
        <f>HLOOKUP(202,'Fund 22 Grants'!$D$2:$W$3,2,FALSE)</f>
        <v>#N/A</v>
      </c>
      <c r="B98" s="380"/>
      <c r="C98" s="381" t="e">
        <f>HLOOKUP(202,'Fund 22 Grants'!$D$2:$W$4,3,FALSE)</f>
        <v>#N/A</v>
      </c>
      <c r="D98" s="115"/>
      <c r="E98" s="41">
        <v>0</v>
      </c>
      <c r="F98" s="41">
        <v>0</v>
      </c>
      <c r="G98" s="41">
        <v>0</v>
      </c>
      <c r="H98" s="383">
        <f>IF(ISERROR(HLOOKUP(202,'Fund 22 Grants'!$D$2:$W$113,112,FALSE)),0,(HLOOKUP(202,'Fund 22 Grants'!$D$2:$W$113,112,FALSE)))</f>
        <v>0</v>
      </c>
      <c r="I98" s="41">
        <v>0</v>
      </c>
      <c r="J98" s="564">
        <f t="shared" si="10"/>
        <v>0</v>
      </c>
    </row>
    <row r="99" spans="1:10" x14ac:dyDescent="0.15">
      <c r="A99" s="379" t="e">
        <f>HLOOKUP(203,'Fund 22 Grants'!$D$2:$W$3,2,FALSE)</f>
        <v>#N/A</v>
      </c>
      <c r="B99" s="380"/>
      <c r="C99" s="381" t="e">
        <f>HLOOKUP(203,'Fund 22 Grants'!$D$2:$W$4,3,FALSE)</f>
        <v>#N/A</v>
      </c>
      <c r="D99" s="115"/>
      <c r="E99" s="41">
        <v>0</v>
      </c>
      <c r="F99" s="41">
        <v>0</v>
      </c>
      <c r="G99" s="41">
        <v>0</v>
      </c>
      <c r="H99" s="383">
        <f>IF(ISERROR(HLOOKUP(203,'Fund 22 Grants'!$D$2:$W$113,112,FALSE)),0,(HLOOKUP(203,'Fund 22 Grants'!$D$2:$W$113,112,FALSE)))</f>
        <v>0</v>
      </c>
      <c r="I99" s="41">
        <v>0</v>
      </c>
      <c r="J99" s="564">
        <f t="shared" si="10"/>
        <v>0</v>
      </c>
    </row>
    <row r="100" spans="1:10" x14ac:dyDescent="0.15">
      <c r="A100" s="379" t="e">
        <f>HLOOKUP(204,'Fund 22 Grants'!$D$2:$W$3,2,FALSE)</f>
        <v>#N/A</v>
      </c>
      <c r="B100" s="380"/>
      <c r="C100" s="381" t="e">
        <f>HLOOKUP(204,'Fund 22 Grants'!$D$2:$W$4,3,FALSE)</f>
        <v>#N/A</v>
      </c>
      <c r="D100" s="115"/>
      <c r="E100" s="41">
        <v>0</v>
      </c>
      <c r="F100" s="41">
        <v>0</v>
      </c>
      <c r="G100" s="41">
        <v>0</v>
      </c>
      <c r="H100" s="383">
        <f>IF(ISERROR(HLOOKUP(204,'Fund 22 Grants'!$D$2:$W$113,112,FALSE)),0,(HLOOKUP(204,'Fund 22 Grants'!$D$2:$W$113,112,FALSE)))</f>
        <v>0</v>
      </c>
      <c r="I100" s="41">
        <v>0</v>
      </c>
      <c r="J100" s="564">
        <f t="shared" si="10"/>
        <v>0</v>
      </c>
    </row>
    <row r="101" spans="1:10" x14ac:dyDescent="0.15">
      <c r="A101" s="379" t="e">
        <f>HLOOKUP(205,'Fund 22 Grants'!$D$2:$W$3,2,FALSE)</f>
        <v>#N/A</v>
      </c>
      <c r="B101" s="380"/>
      <c r="C101" s="381" t="e">
        <f>HLOOKUP(205,'Fund 22 Grants'!$D$2:$W$4,3,FALSE)</f>
        <v>#N/A</v>
      </c>
      <c r="D101" s="115"/>
      <c r="E101" s="41">
        <v>0</v>
      </c>
      <c r="F101" s="41">
        <v>0</v>
      </c>
      <c r="G101" s="41">
        <v>0</v>
      </c>
      <c r="H101" s="383">
        <f>IF(ISERROR(HLOOKUP(205,'Fund 22 Grants'!$D$2:$W$113,112,FALSE)),0,(HLOOKUP(205,'Fund 22 Grants'!$D$2:$W$113,112,FALSE)))</f>
        <v>0</v>
      </c>
      <c r="I101" s="41">
        <v>0</v>
      </c>
      <c r="J101" s="564">
        <f t="shared" si="10"/>
        <v>0</v>
      </c>
    </row>
    <row r="102" spans="1:10" x14ac:dyDescent="0.15">
      <c r="A102" s="379" t="e">
        <f>HLOOKUP(206,'Fund 22 Grants'!$D$2:$W$3,2,FALSE)</f>
        <v>#N/A</v>
      </c>
      <c r="B102" s="380"/>
      <c r="C102" s="381" t="e">
        <f>HLOOKUP(206,'Fund 22 Grants'!$D$2:$W$4,3,FALSE)</f>
        <v>#N/A</v>
      </c>
      <c r="D102" s="115"/>
      <c r="E102" s="41">
        <v>0</v>
      </c>
      <c r="F102" s="41">
        <v>0</v>
      </c>
      <c r="G102" s="41">
        <v>0</v>
      </c>
      <c r="H102" s="383">
        <f>IF(ISERROR(HLOOKUP(206,'Fund 22 Grants'!$D$2:$W$113,112,FALSE)),0,(HLOOKUP(206,'Fund 22 Grants'!$D$2:$W$113,112,FALSE)))</f>
        <v>0</v>
      </c>
      <c r="I102" s="41">
        <v>0</v>
      </c>
      <c r="J102" s="564">
        <f t="shared" si="10"/>
        <v>0</v>
      </c>
    </row>
    <row r="103" spans="1:10" x14ac:dyDescent="0.15">
      <c r="A103" s="379" t="e">
        <f>HLOOKUP(207,'Fund 22 Grants'!$D$2:$W$3,2,FALSE)</f>
        <v>#N/A</v>
      </c>
      <c r="B103" s="380"/>
      <c r="C103" s="381" t="e">
        <f>HLOOKUP(207,'Fund 22 Grants'!$D$2:$W$4,3,FALSE)</f>
        <v>#N/A</v>
      </c>
      <c r="D103" s="115"/>
      <c r="E103" s="41">
        <v>0</v>
      </c>
      <c r="F103" s="41">
        <v>0</v>
      </c>
      <c r="G103" s="41">
        <v>0</v>
      </c>
      <c r="H103" s="383">
        <f>IF(ISERROR(HLOOKUP(207,'Fund 22 Grants'!$D$2:$W$113,112,FALSE)),0,(HLOOKUP(207,'Fund 22 Grants'!$D$2:$W$113,112,FALSE)))</f>
        <v>0</v>
      </c>
      <c r="I103" s="41">
        <v>0</v>
      </c>
      <c r="J103" s="564">
        <f t="shared" si="10"/>
        <v>0</v>
      </c>
    </row>
    <row r="104" spans="1:10" x14ac:dyDescent="0.15">
      <c r="A104" s="379" t="e">
        <f>HLOOKUP(208,'Fund 22 Grants'!$D$2:$W$3,2,FALSE)</f>
        <v>#N/A</v>
      </c>
      <c r="B104" s="380"/>
      <c r="C104" s="381" t="e">
        <f>HLOOKUP(208,'Fund 22 Grants'!$D$2:$W$4,3,FALSE)</f>
        <v>#N/A</v>
      </c>
      <c r="D104" s="115"/>
      <c r="E104" s="41">
        <v>0</v>
      </c>
      <c r="F104" s="41">
        <v>0</v>
      </c>
      <c r="G104" s="41">
        <v>0</v>
      </c>
      <c r="H104" s="383">
        <f>IF(ISERROR(HLOOKUP(208,'Fund 22 Grants'!$D$2:$W$113,112,FALSE)),0,(HLOOKUP(208,'Fund 22 Grants'!$D$2:$W$113,112,FALSE)))</f>
        <v>0</v>
      </c>
      <c r="I104" s="41">
        <v>0</v>
      </c>
      <c r="J104" s="564">
        <f t="shared" si="10"/>
        <v>0</v>
      </c>
    </row>
    <row r="105" spans="1:10" x14ac:dyDescent="0.15">
      <c r="A105" s="379" t="e">
        <f>HLOOKUP(209,'Fund 22 Grants'!$D$2:$W$3,2,FALSE)</f>
        <v>#N/A</v>
      </c>
      <c r="B105" s="380"/>
      <c r="C105" s="381" t="e">
        <f>HLOOKUP(209,'Fund 22 Grants'!$D$2:$W$4,3,FALSE)</f>
        <v>#N/A</v>
      </c>
      <c r="D105" s="194"/>
      <c r="E105" s="41">
        <v>0</v>
      </c>
      <c r="F105" s="41">
        <v>0</v>
      </c>
      <c r="G105" s="41">
        <v>0</v>
      </c>
      <c r="H105" s="383">
        <f>IF(ISERROR(HLOOKUP(209,'Fund 22 Grants'!$D$2:$W$113,112,FALSE)),0,(HLOOKUP(209,'Fund 22 Grants'!$D$2:$W$113,112,FALSE)))</f>
        <v>0</v>
      </c>
      <c r="I105" s="41">
        <v>0</v>
      </c>
      <c r="J105" s="564">
        <f t="shared" si="10"/>
        <v>0</v>
      </c>
    </row>
    <row r="106" spans="1:10" x14ac:dyDescent="0.15">
      <c r="A106" s="379" t="e">
        <f>HLOOKUP(210,'Fund 22 Grants'!$D$2:$W$3,2,FALSE)</f>
        <v>#N/A</v>
      </c>
      <c r="B106" s="380"/>
      <c r="C106" s="381" t="e">
        <f>HLOOKUP(210,'Fund 22 Grants'!$D$2:$W$4,3,FALSE)</f>
        <v>#N/A</v>
      </c>
      <c r="D106" s="115"/>
      <c r="E106" s="41">
        <v>0</v>
      </c>
      <c r="F106" s="41">
        <v>0</v>
      </c>
      <c r="G106" s="41">
        <v>0</v>
      </c>
      <c r="H106" s="383">
        <f>IF(ISERROR(HLOOKUP(210,'Fund 22 Grants'!$D$2:$W$113,112,FALSE)),0,(HLOOKUP(210,'Fund 22 Grants'!$D$2:$W$113,112,FALSE)))</f>
        <v>0</v>
      </c>
      <c r="I106" s="41">
        <v>0</v>
      </c>
      <c r="J106" s="564">
        <f t="shared" si="10"/>
        <v>0</v>
      </c>
    </row>
    <row r="107" spans="1:10" x14ac:dyDescent="0.15">
      <c r="A107" s="379" t="e">
        <f>HLOOKUP(211,'Fund 22 Grants'!$D$2:$W$3,2,FALSE)</f>
        <v>#N/A</v>
      </c>
      <c r="B107" s="380"/>
      <c r="C107" s="381" t="e">
        <f>HLOOKUP(211,'Fund 22 Grants'!$D$2:$W$4,3,FALSE)</f>
        <v>#N/A</v>
      </c>
      <c r="D107" s="194"/>
      <c r="E107" s="41">
        <v>0</v>
      </c>
      <c r="F107" s="41">
        <v>0</v>
      </c>
      <c r="G107" s="41">
        <v>0</v>
      </c>
      <c r="H107" s="383">
        <f>IF(ISERROR(HLOOKUP(211,'Fund 22 Grants'!$D$2:$W$113,112,FALSE)),0,(HLOOKUP(211,'Fund 22 Grants'!$D$2:$W$113,112,FALSE)))</f>
        <v>0</v>
      </c>
      <c r="I107" s="41">
        <v>0</v>
      </c>
      <c r="J107" s="564">
        <f t="shared" si="10"/>
        <v>0</v>
      </c>
    </row>
    <row r="108" spans="1:10" x14ac:dyDescent="0.15">
      <c r="A108" s="379" t="e">
        <f>HLOOKUP(212,'Fund 22 Grants'!$D$2:$W$3,2,FALSE)</f>
        <v>#N/A</v>
      </c>
      <c r="B108" s="380"/>
      <c r="C108" s="381" t="e">
        <f>HLOOKUP(212,'Fund 22 Grants'!$D$2:$W$4,3,FALSE)</f>
        <v>#N/A</v>
      </c>
      <c r="E108" s="41">
        <v>0</v>
      </c>
      <c r="F108" s="41">
        <v>0</v>
      </c>
      <c r="G108" s="41">
        <v>0</v>
      </c>
      <c r="H108" s="383">
        <f>IF(ISERROR(HLOOKUP(212,'Fund 22 Grants'!$D$2:$W$113,112,FALSE)),0,(HLOOKUP(212,'Fund 22 Grants'!$D$2:$W$113,112,FALSE)))</f>
        <v>0</v>
      </c>
      <c r="I108" s="41">
        <v>0</v>
      </c>
      <c r="J108" s="564">
        <f t="shared" si="10"/>
        <v>0</v>
      </c>
    </row>
    <row r="109" spans="1:10" ht="11.25" thickBot="1" x14ac:dyDescent="0.2">
      <c r="A109" s="152"/>
      <c r="B109" s="167"/>
      <c r="D109" s="115"/>
      <c r="E109" s="14"/>
      <c r="F109" s="14"/>
      <c r="G109" s="14"/>
      <c r="H109" s="14"/>
      <c r="J109" s="167"/>
    </row>
    <row r="110" spans="1:10" ht="12" thickTop="1" thickBot="1" x14ac:dyDescent="0.2">
      <c r="C110" s="115" t="s">
        <v>1498</v>
      </c>
      <c r="E110" s="169">
        <f t="shared" ref="E110:J110" si="11">SUM(E97:E108)</f>
        <v>0</v>
      </c>
      <c r="F110" s="169">
        <f t="shared" si="11"/>
        <v>0</v>
      </c>
      <c r="G110" s="169">
        <f t="shared" si="11"/>
        <v>0</v>
      </c>
      <c r="H110" s="169">
        <f t="shared" si="11"/>
        <v>0</v>
      </c>
      <c r="I110" s="169">
        <f t="shared" si="11"/>
        <v>0</v>
      </c>
      <c r="J110" s="169">
        <f t="shared" si="11"/>
        <v>0</v>
      </c>
    </row>
    <row r="111" spans="1:10" ht="11.25" thickTop="1" x14ac:dyDescent="0.15">
      <c r="F111" s="159"/>
      <c r="G111" s="159"/>
      <c r="J111" s="167"/>
    </row>
    <row r="112" spans="1:10" x14ac:dyDescent="0.15">
      <c r="B112" s="40" t="s">
        <v>1185</v>
      </c>
      <c r="D112" s="35"/>
      <c r="F112" s="159"/>
      <c r="G112" s="159"/>
      <c r="J112" s="167"/>
    </row>
    <row r="113" spans="1:10" x14ac:dyDescent="0.15">
      <c r="A113" s="35" t="s">
        <v>203</v>
      </c>
      <c r="B113" s="159"/>
      <c r="C113" s="35" t="s">
        <v>1188</v>
      </c>
      <c r="D113" s="35"/>
      <c r="F113" s="159"/>
      <c r="G113" s="159"/>
      <c r="J113" s="167"/>
    </row>
    <row r="114" spans="1:10" x14ac:dyDescent="0.15">
      <c r="A114" s="35"/>
      <c r="B114" s="159"/>
      <c r="C114" s="40" t="s">
        <v>554</v>
      </c>
      <c r="D114" s="178"/>
      <c r="F114" s="159"/>
      <c r="G114" s="159"/>
      <c r="J114" s="167"/>
    </row>
    <row r="115" spans="1:10" x14ac:dyDescent="0.15">
      <c r="A115" s="379" t="e">
        <f>HLOOKUP(301,'Fund 22 Grants'!$D$2:$W$3,2,FALSE)</f>
        <v>#N/A</v>
      </c>
      <c r="B115" s="380"/>
      <c r="C115" s="381" t="e">
        <f>HLOOKUP(301,'Fund 22 Grants'!$D$2:$W$4,3,FALSE)</f>
        <v>#N/A</v>
      </c>
      <c r="D115" s="178"/>
      <c r="E115" s="41">
        <v>0</v>
      </c>
      <c r="F115" s="41">
        <v>0</v>
      </c>
      <c r="G115" s="41">
        <v>0</v>
      </c>
      <c r="H115" s="383">
        <f>IF(ISERROR(HLOOKUP(301,'Fund 22 Grants'!$D$2:$W$113,112,FALSE)),0,(HLOOKUP(301,'Fund 22 Grants'!$D$2:$W$113,112,FALSE)))</f>
        <v>0</v>
      </c>
      <c r="I115" s="41">
        <v>0</v>
      </c>
      <c r="J115" s="564">
        <f t="shared" ref="J115:J134" si="12">H115+I115</f>
        <v>0</v>
      </c>
    </row>
    <row r="116" spans="1:10" x14ac:dyDescent="0.15">
      <c r="A116" s="379" t="e">
        <f>HLOOKUP(302,'Fund 22 Grants'!$D$2:$W$3,2,FALSE)</f>
        <v>#N/A</v>
      </c>
      <c r="B116" s="380"/>
      <c r="C116" s="381" t="e">
        <f>HLOOKUP(302,'Fund 22 Grants'!$D$2:$W$4,3,FALSE)</f>
        <v>#N/A</v>
      </c>
      <c r="D116" s="178"/>
      <c r="E116" s="41">
        <v>0</v>
      </c>
      <c r="F116" s="41">
        <v>0</v>
      </c>
      <c r="G116" s="41">
        <v>0</v>
      </c>
      <c r="H116" s="383">
        <f>IF(ISERROR(HLOOKUP(302,'Fund 22 Grants'!$D$2:$W$113,112,FALSE)),0,(HLOOKUP(302,'Fund 22 Grants'!$D$2:$W$113,112,FALSE)))</f>
        <v>0</v>
      </c>
      <c r="I116" s="41">
        <v>0</v>
      </c>
      <c r="J116" s="564">
        <f t="shared" si="12"/>
        <v>0</v>
      </c>
    </row>
    <row r="117" spans="1:10" x14ac:dyDescent="0.15">
      <c r="A117" s="379" t="e">
        <f>HLOOKUP(303,'Fund 22 Grants'!$D$2:$W$3,2,FALSE)</f>
        <v>#N/A</v>
      </c>
      <c r="B117" s="380"/>
      <c r="C117" s="381" t="e">
        <f>HLOOKUP(303,'Fund 22 Grants'!$D$2:$W$4,3,FALSE)</f>
        <v>#N/A</v>
      </c>
      <c r="D117" s="178"/>
      <c r="E117" s="41">
        <v>0</v>
      </c>
      <c r="F117" s="41">
        <v>0</v>
      </c>
      <c r="G117" s="41">
        <v>0</v>
      </c>
      <c r="H117" s="383">
        <f>IF(ISERROR(HLOOKUP(303,'Fund 22 Grants'!$D$2:$W$113,112,FALSE)),0,(HLOOKUP(303,'Fund 22 Grants'!$D$2:$W$113,112,FALSE)))</f>
        <v>0</v>
      </c>
      <c r="I117" s="41">
        <v>0</v>
      </c>
      <c r="J117" s="564">
        <f t="shared" si="12"/>
        <v>0</v>
      </c>
    </row>
    <row r="118" spans="1:10" x14ac:dyDescent="0.15">
      <c r="A118" s="379" t="e">
        <f>HLOOKUP(304,'Fund 22 Grants'!$D$2:$W$3,2,FALSE)</f>
        <v>#N/A</v>
      </c>
      <c r="B118" s="380"/>
      <c r="C118" s="381" t="e">
        <f>HLOOKUP(304,'Fund 22 Grants'!$D$2:$W$4,3,FALSE)</f>
        <v>#N/A</v>
      </c>
      <c r="D118" s="178"/>
      <c r="E118" s="41">
        <v>0</v>
      </c>
      <c r="F118" s="41">
        <v>0</v>
      </c>
      <c r="G118" s="41">
        <v>0</v>
      </c>
      <c r="H118" s="383">
        <f>IF(ISERROR(HLOOKUP(304,'Fund 22 Grants'!$D$2:$W$113,112,FALSE)),0,(HLOOKUP(304,'Fund 22 Grants'!$D$2:$W$113,112,FALSE)))</f>
        <v>0</v>
      </c>
      <c r="I118" s="41">
        <v>0</v>
      </c>
      <c r="J118" s="564">
        <f t="shared" si="12"/>
        <v>0</v>
      </c>
    </row>
    <row r="119" spans="1:10" x14ac:dyDescent="0.15">
      <c r="A119" s="379" t="e">
        <f>HLOOKUP(305,'Fund 22 Grants'!$D$2:$W$3,2,FALSE)</f>
        <v>#N/A</v>
      </c>
      <c r="B119" s="380"/>
      <c r="C119" s="381" t="e">
        <f>HLOOKUP(305,'Fund 22 Grants'!$D$2:$W$4,3,FALSE)</f>
        <v>#N/A</v>
      </c>
      <c r="D119" s="178"/>
      <c r="E119" s="41">
        <v>0</v>
      </c>
      <c r="F119" s="41">
        <v>0</v>
      </c>
      <c r="G119" s="41">
        <v>0</v>
      </c>
      <c r="H119" s="383">
        <f>IF(ISERROR(HLOOKUP(305,'Fund 22 Grants'!$D$2:$W$113,112,FALSE)),0,(HLOOKUP(305,'Fund 22 Grants'!$D$2:$W$113,112,FALSE)))</f>
        <v>0</v>
      </c>
      <c r="I119" s="41">
        <v>0</v>
      </c>
      <c r="J119" s="564">
        <f t="shared" si="12"/>
        <v>0</v>
      </c>
    </row>
    <row r="120" spans="1:10" x14ac:dyDescent="0.15">
      <c r="A120" s="379" t="e">
        <f>HLOOKUP(306,'Fund 22 Grants'!$D$2:$W$3,2,FALSE)</f>
        <v>#N/A</v>
      </c>
      <c r="B120" s="380"/>
      <c r="C120" s="381" t="e">
        <f>HLOOKUP(306,'Fund 22 Grants'!$D$2:$W$4,3,FALSE)</f>
        <v>#N/A</v>
      </c>
      <c r="D120" s="178"/>
      <c r="E120" s="41">
        <v>0</v>
      </c>
      <c r="F120" s="41">
        <v>0</v>
      </c>
      <c r="G120" s="41">
        <v>0</v>
      </c>
      <c r="H120" s="383">
        <f>IF(ISERROR(HLOOKUP(306,'Fund 22 Grants'!$D$2:$W$113,112,FALSE)),0,(HLOOKUP(306,'Fund 22 Grants'!$D$2:$W$113,112,FALSE)))</f>
        <v>0</v>
      </c>
      <c r="I120" s="41">
        <v>0</v>
      </c>
      <c r="J120" s="564">
        <f t="shared" si="12"/>
        <v>0</v>
      </c>
    </row>
    <row r="121" spans="1:10" x14ac:dyDescent="0.15">
      <c r="A121" s="379" t="e">
        <f>HLOOKUP(307,'Fund 22 Grants'!$D$2:$W$3,2,FALSE)</f>
        <v>#N/A</v>
      </c>
      <c r="B121" s="380"/>
      <c r="C121" s="381" t="e">
        <f>HLOOKUP(307,'Fund 22 Grants'!$D$2:$W$4,3,FALSE)</f>
        <v>#N/A</v>
      </c>
      <c r="D121" s="178"/>
      <c r="E121" s="41">
        <v>0</v>
      </c>
      <c r="F121" s="41">
        <v>0</v>
      </c>
      <c r="G121" s="41">
        <v>0</v>
      </c>
      <c r="H121" s="383">
        <f>IF(ISERROR(HLOOKUP(307,'Fund 22 Grants'!$D$2:$W$113,112,FALSE)),0,(HLOOKUP(307,'Fund 22 Grants'!$D$2:$W$113,112,FALSE)))</f>
        <v>0</v>
      </c>
      <c r="I121" s="41">
        <v>0</v>
      </c>
      <c r="J121" s="564">
        <f t="shared" si="12"/>
        <v>0</v>
      </c>
    </row>
    <row r="122" spans="1:10" x14ac:dyDescent="0.15">
      <c r="A122" s="379" t="e">
        <f>HLOOKUP(308,'Fund 22 Grants'!$D$2:$W$3,2,FALSE)</f>
        <v>#N/A</v>
      </c>
      <c r="B122" s="380"/>
      <c r="C122" s="381" t="e">
        <f>HLOOKUP(308,'Fund 22 Grants'!$D$2:$W$4,3,FALSE)</f>
        <v>#N/A</v>
      </c>
      <c r="D122" s="178"/>
      <c r="E122" s="41">
        <v>0</v>
      </c>
      <c r="F122" s="41">
        <v>0</v>
      </c>
      <c r="G122" s="41">
        <v>0</v>
      </c>
      <c r="H122" s="383">
        <f>IF(ISERROR(HLOOKUP(308,'Fund 22 Grants'!$D$2:$W$113,112,FALSE)),0,(HLOOKUP(308,'Fund 22 Grants'!$D$2:$W$113,112,FALSE)))</f>
        <v>0</v>
      </c>
      <c r="I122" s="41">
        <v>0</v>
      </c>
      <c r="J122" s="564">
        <f t="shared" si="12"/>
        <v>0</v>
      </c>
    </row>
    <row r="123" spans="1:10" x14ac:dyDescent="0.15">
      <c r="A123" s="379" t="e">
        <f>HLOOKUP(309,'Fund 22 Grants'!$D$2:$W$3,2,FALSE)</f>
        <v>#N/A</v>
      </c>
      <c r="B123" s="380"/>
      <c r="C123" s="381" t="e">
        <f>HLOOKUP(309,'Fund 22 Grants'!$D$2:$W$4,3,FALSE)</f>
        <v>#N/A</v>
      </c>
      <c r="D123" s="178"/>
      <c r="E123" s="41">
        <v>0</v>
      </c>
      <c r="F123" s="41">
        <v>0</v>
      </c>
      <c r="G123" s="41">
        <v>0</v>
      </c>
      <c r="H123" s="383">
        <f>IF(ISERROR(HLOOKUP(309,'Fund 22 Grants'!$D$2:$W$113,112,FALSE)),0,(HLOOKUP(309,'Fund 22 Grants'!$D$2:$W$113,112,FALSE)))</f>
        <v>0</v>
      </c>
      <c r="I123" s="41">
        <v>0</v>
      </c>
      <c r="J123" s="564">
        <f t="shared" si="12"/>
        <v>0</v>
      </c>
    </row>
    <row r="124" spans="1:10" x14ac:dyDescent="0.15">
      <c r="A124" s="379" t="e">
        <f>HLOOKUP(310,'Fund 22 Grants'!$D$2:$W$3,2,FALSE)</f>
        <v>#N/A</v>
      </c>
      <c r="B124" s="380"/>
      <c r="C124" s="381" t="e">
        <f>HLOOKUP(310,'Fund 22 Grants'!$D$2:$W$4,3,FALSE)</f>
        <v>#N/A</v>
      </c>
      <c r="D124" s="178"/>
      <c r="E124" s="41">
        <v>0</v>
      </c>
      <c r="F124" s="41">
        <v>0</v>
      </c>
      <c r="G124" s="41">
        <v>0</v>
      </c>
      <c r="H124" s="383">
        <f>IF(ISERROR(HLOOKUP(310,'Fund 22 Grants'!$D$2:$W$113,112,FALSE)),0,(HLOOKUP(310,'Fund 22 Grants'!$D$2:$W$113,112,FALSE)))</f>
        <v>0</v>
      </c>
      <c r="I124" s="41">
        <v>0</v>
      </c>
      <c r="J124" s="564">
        <f t="shared" si="12"/>
        <v>0</v>
      </c>
    </row>
    <row r="125" spans="1:10" x14ac:dyDescent="0.15">
      <c r="A125" s="379" t="e">
        <f>HLOOKUP(311,'Fund 22 Grants'!$D$2:$W$3,2,FALSE)</f>
        <v>#N/A</v>
      </c>
      <c r="B125" s="380"/>
      <c r="C125" s="381" t="e">
        <f>HLOOKUP(311,'Fund 22 Grants'!$D$2:$W$4,3,FALSE)</f>
        <v>#N/A</v>
      </c>
      <c r="D125" s="178"/>
      <c r="E125" s="41">
        <v>0</v>
      </c>
      <c r="F125" s="41">
        <v>0</v>
      </c>
      <c r="G125" s="41">
        <v>0</v>
      </c>
      <c r="H125" s="383">
        <f>IF(ISERROR(HLOOKUP(311,'Fund 22 Grants'!$D$2:$W$113,112,FALSE)),0,(HLOOKUP(311,'Fund 22 Grants'!$D$2:$W$113,112,FALSE)))</f>
        <v>0</v>
      </c>
      <c r="I125" s="41">
        <v>0</v>
      </c>
      <c r="J125" s="564">
        <f t="shared" si="12"/>
        <v>0</v>
      </c>
    </row>
    <row r="126" spans="1:10" x14ac:dyDescent="0.15">
      <c r="A126" s="379" t="e">
        <f>HLOOKUP(312,'Fund 22 Grants'!$D$2:$W$3,2,FALSE)</f>
        <v>#N/A</v>
      </c>
      <c r="B126" s="380"/>
      <c r="C126" s="381" t="e">
        <f>HLOOKUP(312,'Fund 22 Grants'!$D$2:$W$4,3,FALSE)</f>
        <v>#N/A</v>
      </c>
      <c r="D126" s="178"/>
      <c r="E126" s="41">
        <v>0</v>
      </c>
      <c r="F126" s="41">
        <v>0</v>
      </c>
      <c r="G126" s="41">
        <v>0</v>
      </c>
      <c r="H126" s="383">
        <f>IF(ISERROR(HLOOKUP(312,'Fund 22 Grants'!$D$2:$W$113,112,FALSE)),0,(HLOOKUP(312,'Fund 22 Grants'!$D$2:$W$113,112,FALSE)))</f>
        <v>0</v>
      </c>
      <c r="I126" s="41">
        <v>0</v>
      </c>
      <c r="J126" s="564">
        <f t="shared" si="12"/>
        <v>0</v>
      </c>
    </row>
    <row r="127" spans="1:10" x14ac:dyDescent="0.15">
      <c r="A127" s="379" t="e">
        <f>HLOOKUP(313,'Fund 22 Grants'!$D$2:$W$3,2,FALSE)</f>
        <v>#N/A</v>
      </c>
      <c r="B127" s="380"/>
      <c r="C127" s="381" t="e">
        <f>HLOOKUP(313,'Fund 22 Grants'!$D$2:$W$4,3,FALSE)</f>
        <v>#N/A</v>
      </c>
      <c r="D127" s="178"/>
      <c r="E127" s="41">
        <v>0</v>
      </c>
      <c r="F127" s="41">
        <v>0</v>
      </c>
      <c r="G127" s="41">
        <v>0</v>
      </c>
      <c r="H127" s="383">
        <f>IF(ISERROR(HLOOKUP(313,'Fund 22 Grants'!$D$2:$W$113,112,FALSE)),0,(HLOOKUP(313,'Fund 22 Grants'!$D$2:$W$113,112,FALSE)))</f>
        <v>0</v>
      </c>
      <c r="I127" s="41">
        <v>0</v>
      </c>
      <c r="J127" s="564">
        <f t="shared" si="12"/>
        <v>0</v>
      </c>
    </row>
    <row r="128" spans="1:10" x14ac:dyDescent="0.15">
      <c r="A128" s="379" t="e">
        <f>HLOOKUP(314,'Fund 22 Grants'!$D$2:$W$3,2,FALSE)</f>
        <v>#N/A</v>
      </c>
      <c r="B128" s="380"/>
      <c r="C128" s="381" t="e">
        <f>HLOOKUP(314,'Fund 22 Grants'!$D$2:$W$4,3,FALSE)</f>
        <v>#N/A</v>
      </c>
      <c r="D128" s="178"/>
      <c r="E128" s="41">
        <v>0</v>
      </c>
      <c r="F128" s="41">
        <v>0</v>
      </c>
      <c r="G128" s="41">
        <v>0</v>
      </c>
      <c r="H128" s="383">
        <f>IF(ISERROR(HLOOKUP(314,'Fund 22 Grants'!$D$2:$W$113,112,FALSE)),0,(HLOOKUP(314,'Fund 22 Grants'!$D$2:$W$113,112,FALSE)))</f>
        <v>0</v>
      </c>
      <c r="I128" s="41">
        <v>0</v>
      </c>
      <c r="J128" s="564">
        <f t="shared" si="12"/>
        <v>0</v>
      </c>
    </row>
    <row r="129" spans="1:10" x14ac:dyDescent="0.15">
      <c r="A129" s="379" t="e">
        <f>HLOOKUP(315,'Fund 22 Grants'!$D$2:$W$3,2,FALSE)</f>
        <v>#N/A</v>
      </c>
      <c r="B129" s="380"/>
      <c r="C129" s="381" t="e">
        <f>HLOOKUP(315,'Fund 22 Grants'!$D$2:$W$4,3,FALSE)</f>
        <v>#N/A</v>
      </c>
      <c r="D129" s="178"/>
      <c r="E129" s="41">
        <v>0</v>
      </c>
      <c r="F129" s="41">
        <v>0</v>
      </c>
      <c r="G129" s="41">
        <v>0</v>
      </c>
      <c r="H129" s="383">
        <f>IF(ISERROR(HLOOKUP(315,'Fund 22 Grants'!$D$2:$W$113,112,FALSE)),0,(HLOOKUP(315,'Fund 22 Grants'!$D$2:$W$113,112,FALSE)))</f>
        <v>0</v>
      </c>
      <c r="I129" s="41">
        <v>0</v>
      </c>
      <c r="J129" s="564">
        <f t="shared" si="12"/>
        <v>0</v>
      </c>
    </row>
    <row r="130" spans="1:10" x14ac:dyDescent="0.15">
      <c r="A130" s="379" t="e">
        <f>HLOOKUP(316,'Fund 22 Grants'!$D$2:$W$3,2,FALSE)</f>
        <v>#N/A</v>
      </c>
      <c r="B130" s="380"/>
      <c r="C130" s="381" t="e">
        <f>HLOOKUP(316,'Fund 22 Grants'!$D$2:$W$4,3,FALSE)</f>
        <v>#N/A</v>
      </c>
      <c r="D130" s="178"/>
      <c r="E130" s="41">
        <v>0</v>
      </c>
      <c r="F130" s="41">
        <v>0</v>
      </c>
      <c r="G130" s="41">
        <v>0</v>
      </c>
      <c r="H130" s="383">
        <f>IF(ISERROR(HLOOKUP(316,'Fund 22 Grants'!$D$2:$W$113,112,FALSE)),0,(HLOOKUP(316,'Fund 22 Grants'!$D$2:$W$113,112,FALSE)))</f>
        <v>0</v>
      </c>
      <c r="I130" s="41">
        <v>0</v>
      </c>
      <c r="J130" s="564">
        <f t="shared" si="12"/>
        <v>0</v>
      </c>
    </row>
    <row r="131" spans="1:10" x14ac:dyDescent="0.15">
      <c r="A131" s="379" t="e">
        <f>HLOOKUP(317,'Fund 22 Grants'!$D$2:$W$3,2,FALSE)</f>
        <v>#N/A</v>
      </c>
      <c r="B131" s="380"/>
      <c r="C131" s="381" t="e">
        <f>HLOOKUP(317,'Fund 22 Grants'!$D$2:$W$4,3,FALSE)</f>
        <v>#N/A</v>
      </c>
      <c r="D131" s="178"/>
      <c r="E131" s="41">
        <v>0</v>
      </c>
      <c r="F131" s="41">
        <v>0</v>
      </c>
      <c r="G131" s="41">
        <v>0</v>
      </c>
      <c r="H131" s="383">
        <f>IF(ISERROR(HLOOKUP(317,'Fund 22 Grants'!$D$2:$W$113,112,FALSE)),0,(HLOOKUP(317,'Fund 22 Grants'!$D$2:$W$113,112,FALSE)))</f>
        <v>0</v>
      </c>
      <c r="I131" s="41">
        <v>0</v>
      </c>
      <c r="J131" s="564">
        <f t="shared" si="12"/>
        <v>0</v>
      </c>
    </row>
    <row r="132" spans="1:10" x14ac:dyDescent="0.15">
      <c r="A132" s="379" t="e">
        <f>HLOOKUP(318,'Fund 22 Grants'!$D$2:$W$3,2,FALSE)</f>
        <v>#N/A</v>
      </c>
      <c r="B132" s="380"/>
      <c r="C132" s="381" t="e">
        <f>HLOOKUP(318,'Fund 22 Grants'!$D$2:$W$4,3,FALSE)</f>
        <v>#N/A</v>
      </c>
      <c r="D132" s="178"/>
      <c r="E132" s="41">
        <v>0</v>
      </c>
      <c r="F132" s="41">
        <v>0</v>
      </c>
      <c r="G132" s="41">
        <v>0</v>
      </c>
      <c r="H132" s="383">
        <f>IF(ISERROR(HLOOKUP(318,'Fund 22 Grants'!$D$2:$W$113,112,FALSE)),0,(HLOOKUP(318,'Fund 22 Grants'!$D$2:$W$113,112,FALSE)))</f>
        <v>0</v>
      </c>
      <c r="I132" s="41">
        <v>0</v>
      </c>
      <c r="J132" s="564">
        <f t="shared" si="12"/>
        <v>0</v>
      </c>
    </row>
    <row r="133" spans="1:10" x14ac:dyDescent="0.15">
      <c r="A133" s="379" t="e">
        <f>HLOOKUP(319,'Fund 22 Grants'!$D$2:$W$3,2,FALSE)</f>
        <v>#N/A</v>
      </c>
      <c r="B133" s="380"/>
      <c r="C133" s="381" t="e">
        <f>HLOOKUP(319,'Fund 22 Grants'!$D$2:$W$4,3,FALSE)</f>
        <v>#N/A</v>
      </c>
      <c r="D133" s="194"/>
      <c r="E133" s="41">
        <v>0</v>
      </c>
      <c r="F133" s="41">
        <v>0</v>
      </c>
      <c r="G133" s="41">
        <v>0</v>
      </c>
      <c r="H133" s="383">
        <f>IF(ISERROR(HLOOKUP(319,'Fund 22 Grants'!$D$2:$W$113,112,FALSE)),0,(HLOOKUP(319,'Fund 22 Grants'!$D$2:$W$113,112,FALSE)))</f>
        <v>0</v>
      </c>
      <c r="I133" s="41">
        <v>0</v>
      </c>
      <c r="J133" s="564">
        <f t="shared" si="12"/>
        <v>0</v>
      </c>
    </row>
    <row r="134" spans="1:10" x14ac:dyDescent="0.15">
      <c r="A134" s="379" t="e">
        <f>HLOOKUP(320,'Fund 22 Grants'!$D$2:$W$3,2,FALSE)</f>
        <v>#N/A</v>
      </c>
      <c r="B134" s="380"/>
      <c r="C134" s="381" t="e">
        <f>HLOOKUP(320,'Fund 22 Grants'!$D$2:$W$4,3,FALSE)</f>
        <v>#N/A</v>
      </c>
      <c r="D134" s="115"/>
      <c r="E134" s="41">
        <v>0</v>
      </c>
      <c r="F134" s="41">
        <v>0</v>
      </c>
      <c r="G134" s="41">
        <v>0</v>
      </c>
      <c r="H134" s="383">
        <f>IF(ISERROR(HLOOKUP(320,'Fund 22 Grants'!$D$2:$W$113,112,FALSE)),0,(HLOOKUP(320,'Fund 22 Grants'!$D$2:$W$113,112,FALSE)))</f>
        <v>0</v>
      </c>
      <c r="I134" s="41">
        <v>0</v>
      </c>
      <c r="J134" s="564">
        <f t="shared" si="12"/>
        <v>0</v>
      </c>
    </row>
    <row r="135" spans="1:10" ht="11.25" thickBot="1" x14ac:dyDescent="0.2">
      <c r="A135" s="194"/>
      <c r="B135" s="167"/>
      <c r="C135" s="115"/>
      <c r="D135" s="115"/>
      <c r="E135" s="14"/>
      <c r="F135" s="14"/>
      <c r="G135" s="14"/>
      <c r="H135" s="14"/>
      <c r="J135" s="167"/>
    </row>
    <row r="136" spans="1:10" ht="12" thickTop="1" thickBot="1" x14ac:dyDescent="0.2">
      <c r="C136" s="115" t="s">
        <v>1497</v>
      </c>
      <c r="E136" s="169">
        <f t="shared" ref="E136:J136" si="13">SUM(E115:E135)</f>
        <v>0</v>
      </c>
      <c r="F136" s="169">
        <f t="shared" si="13"/>
        <v>0</v>
      </c>
      <c r="G136" s="169">
        <f t="shared" si="13"/>
        <v>0</v>
      </c>
      <c r="H136" s="169">
        <f t="shared" si="13"/>
        <v>0</v>
      </c>
      <c r="I136" s="169">
        <f t="shared" si="13"/>
        <v>0</v>
      </c>
      <c r="J136" s="169">
        <f t="shared" si="13"/>
        <v>0</v>
      </c>
    </row>
    <row r="137" spans="1:10" ht="11.25" thickTop="1" x14ac:dyDescent="0.15">
      <c r="F137" s="159"/>
      <c r="G137" s="159"/>
      <c r="J137" s="167"/>
    </row>
    <row r="138" spans="1:10" x14ac:dyDescent="0.15">
      <c r="B138" s="40" t="s">
        <v>1346</v>
      </c>
      <c r="D138" s="35"/>
      <c r="F138" s="159"/>
      <c r="G138" s="159"/>
      <c r="J138" s="167"/>
    </row>
    <row r="139" spans="1:10" x14ac:dyDescent="0.15">
      <c r="A139" s="35" t="s">
        <v>203</v>
      </c>
      <c r="B139" s="159"/>
      <c r="C139" s="35" t="s">
        <v>1330</v>
      </c>
      <c r="D139" s="202"/>
      <c r="F139" s="159"/>
      <c r="G139" s="159"/>
      <c r="J139" s="167"/>
    </row>
    <row r="140" spans="1:10" x14ac:dyDescent="0.15">
      <c r="A140" s="379">
        <f>HLOOKUP(101,'Fund 22 Grants'!$D$2:$W$3,2,FALSE)</f>
        <v>0</v>
      </c>
      <c r="B140" s="380"/>
      <c r="C140" s="381">
        <f>HLOOKUP(101,'Fund 22 Grants'!$D$2:$W$4,3,FALSE)</f>
        <v>0</v>
      </c>
      <c r="D140" s="202"/>
      <c r="E140" s="41">
        <v>0</v>
      </c>
      <c r="F140" s="41">
        <v>0</v>
      </c>
      <c r="G140" s="41">
        <v>0</v>
      </c>
      <c r="H140" s="383">
        <f>IF(ISERROR(HLOOKUP(101,'Fund 22 Grants'!$D$2:$W$113,112,FALSE)),0,(HLOOKUP(101,'Fund 22 Grants'!$D$2:$W$113,112,FALSE)))</f>
        <v>0</v>
      </c>
      <c r="I140" s="41">
        <v>0</v>
      </c>
      <c r="J140" s="564">
        <f t="shared" ref="J140:J149" si="14">H140+I140</f>
        <v>0</v>
      </c>
    </row>
    <row r="141" spans="1:10" x14ac:dyDescent="0.15">
      <c r="A141" s="379">
        <f>HLOOKUP(102,'Fund 22 Grants'!$D$2:$W$3,2,FALSE)</f>
        <v>0</v>
      </c>
      <c r="B141" s="380"/>
      <c r="C141" s="381">
        <f>HLOOKUP(102,'Fund 22 Grants'!$D$2:$W$4,3,FALSE)</f>
        <v>0</v>
      </c>
      <c r="D141" s="202"/>
      <c r="E141" s="41">
        <v>0</v>
      </c>
      <c r="F141" s="41">
        <v>0</v>
      </c>
      <c r="G141" s="41">
        <v>0</v>
      </c>
      <c r="H141" s="383">
        <f>IF(ISERROR(HLOOKUP(102,'Fund 22 Grants'!$D$2:$W$113,112,FALSE)),0,(HLOOKUP(102,'Fund 22 Grants'!$D$2:$W$113,112,FALSE)))</f>
        <v>0</v>
      </c>
      <c r="I141" s="41">
        <v>0</v>
      </c>
      <c r="J141" s="564">
        <f t="shared" si="14"/>
        <v>0</v>
      </c>
    </row>
    <row r="142" spans="1:10" x14ac:dyDescent="0.15">
      <c r="A142" s="379">
        <f>HLOOKUP(103,'Fund 22 Grants'!$D$2:$W$3,2,FALSE)</f>
        <v>0</v>
      </c>
      <c r="B142" s="380"/>
      <c r="C142" s="381">
        <f>HLOOKUP(103,'Fund 22 Grants'!$D$2:$W$4,3,FALSE)</f>
        <v>0</v>
      </c>
      <c r="D142" s="202"/>
      <c r="E142" s="41">
        <v>0</v>
      </c>
      <c r="F142" s="41">
        <v>0</v>
      </c>
      <c r="G142" s="41">
        <v>0</v>
      </c>
      <c r="H142" s="383">
        <f>IF(ISERROR(HLOOKUP(103,'Fund 22 Grants'!$D$2:$W$113,112,FALSE)),0,(HLOOKUP(103,'Fund 22 Grants'!$D$2:$W$113,112,FALSE)))</f>
        <v>0</v>
      </c>
      <c r="I142" s="41">
        <v>0</v>
      </c>
      <c r="J142" s="564">
        <f t="shared" si="14"/>
        <v>0</v>
      </c>
    </row>
    <row r="143" spans="1:10" x14ac:dyDescent="0.15">
      <c r="A143" s="379">
        <f>HLOOKUP(104,'Fund 22 Grants'!$D$2:$W$3,2,FALSE)</f>
        <v>0</v>
      </c>
      <c r="B143" s="380"/>
      <c r="C143" s="381">
        <f>HLOOKUP(104,'Fund 22 Grants'!$D$2:$W$4,3,FALSE)</f>
        <v>0</v>
      </c>
      <c r="D143" s="202"/>
      <c r="E143" s="41">
        <v>0</v>
      </c>
      <c r="F143" s="41">
        <v>0</v>
      </c>
      <c r="G143" s="41">
        <v>0</v>
      </c>
      <c r="H143" s="383">
        <f>IF(ISERROR(HLOOKUP(104,'Fund 22 Grants'!$D$2:$W$113,112,FALSE)),0,(HLOOKUP(104,'Fund 22 Grants'!$D$2:$W$113,112,FALSE)))</f>
        <v>0</v>
      </c>
      <c r="I143" s="41">
        <v>0</v>
      </c>
      <c r="J143" s="564">
        <f t="shared" si="14"/>
        <v>0</v>
      </c>
    </row>
    <row r="144" spans="1:10" x14ac:dyDescent="0.15">
      <c r="A144" s="379">
        <f>HLOOKUP(105,'Fund 22 Grants'!$D$2:$W$3,2,FALSE)</f>
        <v>0</v>
      </c>
      <c r="B144" s="380"/>
      <c r="C144" s="381">
        <f>HLOOKUP(105,'Fund 22 Grants'!$D$2:$W$4,3,FALSE)</f>
        <v>0</v>
      </c>
      <c r="D144" s="202"/>
      <c r="E144" s="41">
        <v>0</v>
      </c>
      <c r="F144" s="41">
        <v>0</v>
      </c>
      <c r="G144" s="41">
        <v>0</v>
      </c>
      <c r="H144" s="383">
        <f>IF(ISERROR(HLOOKUP(105,'Fund 22 Grants'!$D$2:$W$113,112,FALSE)),0,(HLOOKUP(105,'Fund 22 Grants'!$D$2:$W$113,112,FALSE)))</f>
        <v>0</v>
      </c>
      <c r="I144" s="41">
        <v>0</v>
      </c>
      <c r="J144" s="564">
        <f t="shared" si="14"/>
        <v>0</v>
      </c>
    </row>
    <row r="145" spans="1:10" x14ac:dyDescent="0.15">
      <c r="A145" s="379">
        <f>HLOOKUP(106,'Fund 22 Grants'!$D$2:$W$3,2,FALSE)</f>
        <v>0</v>
      </c>
      <c r="B145" s="380"/>
      <c r="C145" s="381">
        <f>HLOOKUP(106,'Fund 22 Grants'!$D$2:$W$4,3,FALSE)</f>
        <v>0</v>
      </c>
      <c r="D145" s="202"/>
      <c r="E145" s="41">
        <v>0</v>
      </c>
      <c r="F145" s="41">
        <v>0</v>
      </c>
      <c r="G145" s="41">
        <v>0</v>
      </c>
      <c r="H145" s="383">
        <f>IF(ISERROR(HLOOKUP(106,'Fund 22 Grants'!$D$2:$W$113,112,FALSE)),0,(HLOOKUP(106,'Fund 22 Grants'!$D$2:$W$113,112,FALSE)))</f>
        <v>0</v>
      </c>
      <c r="I145" s="41">
        <v>0</v>
      </c>
      <c r="J145" s="564">
        <f t="shared" si="14"/>
        <v>0</v>
      </c>
    </row>
    <row r="146" spans="1:10" x14ac:dyDescent="0.15">
      <c r="A146" s="379">
        <f>HLOOKUP(107,'Fund 22 Grants'!$D$2:$W$3,2,FALSE)</f>
        <v>0</v>
      </c>
      <c r="B146" s="380"/>
      <c r="C146" s="381">
        <f>HLOOKUP(107,'Fund 22 Grants'!$D$2:$W$4,3,FALSE)</f>
        <v>0</v>
      </c>
      <c r="D146" s="202"/>
      <c r="E146" s="41">
        <v>0</v>
      </c>
      <c r="F146" s="41">
        <v>0</v>
      </c>
      <c r="G146" s="41">
        <v>0</v>
      </c>
      <c r="H146" s="383">
        <f>IF(ISERROR(HLOOKUP(107,'Fund 22 Grants'!$D$2:$W$113,112,FALSE)),0,(HLOOKUP(107,'Fund 22 Grants'!$D$2:$W$113,112,FALSE)))</f>
        <v>0</v>
      </c>
      <c r="I146" s="41">
        <v>0</v>
      </c>
      <c r="J146" s="564">
        <f t="shared" si="14"/>
        <v>0</v>
      </c>
    </row>
    <row r="147" spans="1:10" x14ac:dyDescent="0.15">
      <c r="A147" s="379">
        <f>HLOOKUP(108,'Fund 22 Grants'!$D$2:$W$3,2,FALSE)</f>
        <v>0</v>
      </c>
      <c r="B147" s="380"/>
      <c r="C147" s="381">
        <f>HLOOKUP(108,'Fund 22 Grants'!$D$2:$W$4,3,FALSE)</f>
        <v>0</v>
      </c>
      <c r="D147" s="202"/>
      <c r="E147" s="41">
        <v>0</v>
      </c>
      <c r="F147" s="41">
        <v>0</v>
      </c>
      <c r="G147" s="41">
        <v>0</v>
      </c>
      <c r="H147" s="383">
        <f>IF(ISERROR(HLOOKUP(108,'Fund 22 Grants'!$D$2:$W$113,112,FALSE)),0,(HLOOKUP(108,'Fund 22 Grants'!$D$2:$W$113,112,FALSE)))</f>
        <v>0</v>
      </c>
      <c r="I147" s="41">
        <v>0</v>
      </c>
      <c r="J147" s="564">
        <f t="shared" si="14"/>
        <v>0</v>
      </c>
    </row>
    <row r="148" spans="1:10" x14ac:dyDescent="0.15">
      <c r="A148" s="379">
        <f>HLOOKUP(109,'Fund 22 Grants'!$D$2:$W$3,2,FALSE)</f>
        <v>0</v>
      </c>
      <c r="B148" s="380"/>
      <c r="C148" s="381">
        <f>HLOOKUP(109,'Fund 22 Grants'!$D$2:$W$4,3,FALSE)</f>
        <v>0</v>
      </c>
      <c r="D148" s="202"/>
      <c r="E148" s="41">
        <v>0</v>
      </c>
      <c r="F148" s="41">
        <v>0</v>
      </c>
      <c r="G148" s="41">
        <v>0</v>
      </c>
      <c r="H148" s="383">
        <f>IF(ISERROR(HLOOKUP(109,'Fund 22 Grants'!$D$2:$W$113,112,FALSE)),0,(HLOOKUP(109,'Fund 22 Grants'!$D$2:$W$113,112,FALSE)))</f>
        <v>0</v>
      </c>
      <c r="I148" s="41">
        <v>0</v>
      </c>
      <c r="J148" s="564">
        <f t="shared" si="14"/>
        <v>0</v>
      </c>
    </row>
    <row r="149" spans="1:10" x14ac:dyDescent="0.15">
      <c r="A149" s="379">
        <f>HLOOKUP(110,'Fund 22 Grants'!$D$2:$W$3,2,FALSE)</f>
        <v>0</v>
      </c>
      <c r="B149" s="380"/>
      <c r="C149" s="381">
        <f>HLOOKUP(110,'Fund 22 Grants'!$D$2:$W$4,3,FALSE)</f>
        <v>0</v>
      </c>
      <c r="D149" s="40"/>
      <c r="E149" s="41">
        <v>0</v>
      </c>
      <c r="F149" s="41">
        <v>0</v>
      </c>
      <c r="G149" s="41">
        <v>0</v>
      </c>
      <c r="H149" s="383">
        <f>IF(ISERROR(HLOOKUP(110,'Fund 22 Grants'!$D$2:$W$113,112,FALSE)),0,(HLOOKUP(110,'Fund 22 Grants'!$D$2:$W$113,112,FALSE)))</f>
        <v>0</v>
      </c>
      <c r="I149" s="41">
        <v>0</v>
      </c>
      <c r="J149" s="564">
        <f t="shared" si="14"/>
        <v>0</v>
      </c>
    </row>
    <row r="150" spans="1:10" ht="11.25" thickBot="1" x14ac:dyDescent="0.2">
      <c r="C150" s="40"/>
      <c r="D150" s="115"/>
      <c r="F150" s="159"/>
      <c r="G150" s="159"/>
      <c r="J150" s="167"/>
    </row>
    <row r="151" spans="1:10" ht="12" thickTop="1" thickBot="1" x14ac:dyDescent="0.2">
      <c r="A151" s="115" t="s">
        <v>1527</v>
      </c>
      <c r="C151" s="115" t="s">
        <v>1224</v>
      </c>
      <c r="E151" s="151">
        <f t="shared" ref="E151:J151" si="15">SUM(E140:E150)</f>
        <v>0</v>
      </c>
      <c r="F151" s="151">
        <f t="shared" si="15"/>
        <v>0</v>
      </c>
      <c r="G151" s="151">
        <f t="shared" si="15"/>
        <v>0</v>
      </c>
      <c r="H151" s="151">
        <f t="shared" si="15"/>
        <v>0</v>
      </c>
      <c r="I151" s="151">
        <f t="shared" si="15"/>
        <v>0</v>
      </c>
      <c r="J151" s="169">
        <f t="shared" si="15"/>
        <v>0</v>
      </c>
    </row>
    <row r="152" spans="1:10" ht="12" thickTop="1" thickBot="1" x14ac:dyDescent="0.2">
      <c r="D152" s="115"/>
      <c r="F152" s="159"/>
      <c r="G152" s="159"/>
      <c r="J152" s="167"/>
    </row>
    <row r="153" spans="1:10" ht="12" thickTop="1" thickBot="1" x14ac:dyDescent="0.2">
      <c r="C153" s="115" t="s">
        <v>841</v>
      </c>
      <c r="D153" s="115"/>
      <c r="E153" s="193">
        <f t="shared" ref="E153:J153" si="16">E110+E136+E151</f>
        <v>0</v>
      </c>
      <c r="F153" s="193">
        <f t="shared" si="16"/>
        <v>0</v>
      </c>
      <c r="G153" s="193">
        <f t="shared" si="16"/>
        <v>0</v>
      </c>
      <c r="H153" s="193">
        <f t="shared" si="16"/>
        <v>0</v>
      </c>
      <c r="I153" s="193">
        <f t="shared" si="16"/>
        <v>0</v>
      </c>
      <c r="J153" s="600">
        <f t="shared" si="16"/>
        <v>0</v>
      </c>
    </row>
    <row r="154" spans="1:10" ht="11.25" thickTop="1" x14ac:dyDescent="0.15">
      <c r="C154" s="115"/>
      <c r="D154" s="115"/>
      <c r="F154" s="159"/>
      <c r="G154" s="159"/>
      <c r="J154" s="167"/>
    </row>
    <row r="155" spans="1:10" x14ac:dyDescent="0.15">
      <c r="B155" s="21" t="s">
        <v>1502</v>
      </c>
      <c r="C155" s="115"/>
      <c r="D155" s="35"/>
      <c r="F155" s="159"/>
      <c r="G155" s="159"/>
      <c r="J155" s="167"/>
    </row>
    <row r="156" spans="1:10" x14ac:dyDescent="0.15">
      <c r="A156" s="35" t="s">
        <v>203</v>
      </c>
      <c r="C156" s="35" t="s">
        <v>1034</v>
      </c>
      <c r="D156" s="203"/>
      <c r="F156" s="159"/>
      <c r="G156" s="159"/>
      <c r="J156" s="167"/>
    </row>
    <row r="157" spans="1:10" x14ac:dyDescent="0.15">
      <c r="A157" s="374"/>
      <c r="C157" s="195"/>
      <c r="D157" s="203"/>
      <c r="E157" s="41">
        <v>0</v>
      </c>
      <c r="F157" s="41">
        <v>0</v>
      </c>
      <c r="G157" s="41">
        <v>0</v>
      </c>
      <c r="H157" s="41">
        <v>0</v>
      </c>
      <c r="I157" s="41">
        <v>0</v>
      </c>
      <c r="J157" s="564">
        <f t="shared" ref="J157:J165" si="17">H157+I157</f>
        <v>0</v>
      </c>
    </row>
    <row r="158" spans="1:10" x14ac:dyDescent="0.15">
      <c r="A158" s="374"/>
      <c r="C158" s="195"/>
      <c r="D158" s="203"/>
      <c r="E158" s="41">
        <v>0</v>
      </c>
      <c r="F158" s="41">
        <v>0</v>
      </c>
      <c r="G158" s="41">
        <v>0</v>
      </c>
      <c r="H158" s="41">
        <v>0</v>
      </c>
      <c r="I158" s="41">
        <v>0</v>
      </c>
      <c r="J158" s="564">
        <f t="shared" si="17"/>
        <v>0</v>
      </c>
    </row>
    <row r="159" spans="1:10" x14ac:dyDescent="0.15">
      <c r="A159" s="374"/>
      <c r="C159" s="195"/>
      <c r="D159" s="203"/>
      <c r="E159" s="41">
        <v>0</v>
      </c>
      <c r="F159" s="41">
        <v>0</v>
      </c>
      <c r="G159" s="41">
        <v>0</v>
      </c>
      <c r="H159" s="41">
        <v>0</v>
      </c>
      <c r="I159" s="41">
        <v>0</v>
      </c>
      <c r="J159" s="564">
        <f t="shared" si="17"/>
        <v>0</v>
      </c>
    </row>
    <row r="160" spans="1:10" x14ac:dyDescent="0.15">
      <c r="A160" s="374"/>
      <c r="C160" s="195"/>
      <c r="D160" s="203"/>
      <c r="E160" s="41">
        <v>0</v>
      </c>
      <c r="F160" s="41">
        <v>0</v>
      </c>
      <c r="G160" s="41">
        <v>0</v>
      </c>
      <c r="H160" s="41">
        <v>0</v>
      </c>
      <c r="I160" s="41">
        <v>0</v>
      </c>
      <c r="J160" s="564">
        <f t="shared" si="17"/>
        <v>0</v>
      </c>
    </row>
    <row r="161" spans="1:10" ht="10.5" customHeight="1" x14ac:dyDescent="0.15">
      <c r="A161" s="374"/>
      <c r="C161" s="195"/>
      <c r="D161" s="203"/>
      <c r="E161" s="41">
        <v>0</v>
      </c>
      <c r="F161" s="41">
        <v>0</v>
      </c>
      <c r="G161" s="41">
        <v>0</v>
      </c>
      <c r="H161" s="41">
        <v>0</v>
      </c>
      <c r="I161" s="41">
        <v>0</v>
      </c>
      <c r="J161" s="564">
        <f t="shared" si="17"/>
        <v>0</v>
      </c>
    </row>
    <row r="162" spans="1:10" x14ac:dyDescent="0.15">
      <c r="A162" s="374"/>
      <c r="C162" s="195"/>
      <c r="D162" s="203"/>
      <c r="E162" s="41">
        <v>0</v>
      </c>
      <c r="F162" s="41">
        <v>0</v>
      </c>
      <c r="G162" s="41">
        <v>0</v>
      </c>
      <c r="H162" s="41">
        <v>0</v>
      </c>
      <c r="I162" s="41">
        <v>0</v>
      </c>
      <c r="J162" s="564">
        <f t="shared" si="17"/>
        <v>0</v>
      </c>
    </row>
    <row r="163" spans="1:10" x14ac:dyDescent="0.15">
      <c r="A163" s="374"/>
      <c r="C163" s="195"/>
      <c r="D163" s="203"/>
      <c r="E163" s="41">
        <v>0</v>
      </c>
      <c r="F163" s="41">
        <v>0</v>
      </c>
      <c r="G163" s="41">
        <v>0</v>
      </c>
      <c r="H163" s="41">
        <v>0</v>
      </c>
      <c r="I163" s="41">
        <v>0</v>
      </c>
      <c r="J163" s="564">
        <f t="shared" si="17"/>
        <v>0</v>
      </c>
    </row>
    <row r="164" spans="1:10" x14ac:dyDescent="0.15">
      <c r="A164" s="374"/>
      <c r="C164" s="195"/>
      <c r="D164" s="203"/>
      <c r="E164" s="41">
        <v>0</v>
      </c>
      <c r="F164" s="41">
        <v>0</v>
      </c>
      <c r="G164" s="41">
        <v>0</v>
      </c>
      <c r="H164" s="41">
        <v>0</v>
      </c>
      <c r="I164" s="41">
        <v>0</v>
      </c>
      <c r="J164" s="564">
        <f t="shared" si="17"/>
        <v>0</v>
      </c>
    </row>
    <row r="165" spans="1:10" x14ac:dyDescent="0.15">
      <c r="A165" s="374"/>
      <c r="C165" s="195"/>
      <c r="D165" s="203"/>
      <c r="E165" s="41">
        <v>0</v>
      </c>
      <c r="F165" s="41">
        <v>0</v>
      </c>
      <c r="G165" s="41">
        <v>0</v>
      </c>
      <c r="H165" s="41">
        <v>0</v>
      </c>
      <c r="I165" s="41">
        <v>0</v>
      </c>
      <c r="J165" s="564">
        <f t="shared" si="17"/>
        <v>0</v>
      </c>
    </row>
    <row r="166" spans="1:10" x14ac:dyDescent="0.15">
      <c r="A166" s="668"/>
      <c r="B166" s="669"/>
      <c r="C166" s="665" t="s">
        <v>862</v>
      </c>
      <c r="D166" s="667"/>
      <c r="E166" s="529">
        <f t="shared" ref="E166:J166" si="18">+E91</f>
        <v>0</v>
      </c>
      <c r="F166" s="529">
        <f t="shared" si="18"/>
        <v>0</v>
      </c>
      <c r="G166" s="529">
        <f t="shared" si="18"/>
        <v>0</v>
      </c>
      <c r="H166" s="529">
        <f t="shared" si="18"/>
        <v>0</v>
      </c>
      <c r="I166" s="529">
        <f t="shared" si="18"/>
        <v>0</v>
      </c>
      <c r="J166" s="529">
        <f t="shared" si="18"/>
        <v>0</v>
      </c>
    </row>
    <row r="167" spans="1:10" ht="11.25" thickBot="1" x14ac:dyDescent="0.2">
      <c r="C167" s="115"/>
      <c r="D167" s="115"/>
      <c r="F167" s="159"/>
      <c r="G167" s="159"/>
      <c r="J167" s="167"/>
    </row>
    <row r="168" spans="1:10" ht="12" thickTop="1" thickBot="1" x14ac:dyDescent="0.2">
      <c r="C168" s="115" t="s">
        <v>1275</v>
      </c>
      <c r="D168" s="115"/>
      <c r="E168" s="193">
        <f t="shared" ref="E168:J168" si="19">SUM(E157:E167)</f>
        <v>0</v>
      </c>
      <c r="F168" s="193">
        <f t="shared" si="19"/>
        <v>0</v>
      </c>
      <c r="G168" s="193">
        <f t="shared" si="19"/>
        <v>0</v>
      </c>
      <c r="H168" s="193">
        <f t="shared" si="19"/>
        <v>0</v>
      </c>
      <c r="I168" s="193">
        <f t="shared" si="19"/>
        <v>0</v>
      </c>
      <c r="J168" s="600">
        <f t="shared" si="19"/>
        <v>0</v>
      </c>
    </row>
    <row r="169" spans="1:10" ht="12" thickTop="1" thickBot="1" x14ac:dyDescent="0.2">
      <c r="C169" s="115"/>
      <c r="D169" s="196"/>
      <c r="F169" s="159"/>
      <c r="G169" s="159"/>
      <c r="J169" s="167"/>
    </row>
    <row r="170" spans="1:10" ht="12" thickTop="1" thickBot="1" x14ac:dyDescent="0.2">
      <c r="A170" s="737" t="s">
        <v>1499</v>
      </c>
      <c r="B170" s="737"/>
      <c r="C170" s="737"/>
      <c r="E170" s="169">
        <f t="shared" ref="E170:J170" si="20">E153+E168</f>
        <v>0</v>
      </c>
      <c r="F170" s="169">
        <f t="shared" si="20"/>
        <v>0</v>
      </c>
      <c r="G170" s="169">
        <f t="shared" si="20"/>
        <v>0</v>
      </c>
      <c r="H170" s="169">
        <f t="shared" si="20"/>
        <v>0</v>
      </c>
      <c r="I170" s="169">
        <f t="shared" si="20"/>
        <v>0</v>
      </c>
      <c r="J170" s="169">
        <f t="shared" si="20"/>
        <v>0</v>
      </c>
    </row>
    <row r="171" spans="1:10" ht="11.25" thickTop="1" x14ac:dyDescent="0.15">
      <c r="F171" s="159"/>
      <c r="G171" s="159"/>
      <c r="J171" s="167"/>
    </row>
    <row r="172" spans="1:10" s="176" customFormat="1" ht="23.25" customHeight="1" x14ac:dyDescent="0.15">
      <c r="A172" s="158"/>
      <c r="B172" s="158"/>
      <c r="C172" s="158"/>
      <c r="D172" s="158"/>
      <c r="E172"/>
      <c r="F172" s="159"/>
      <c r="G172" s="159"/>
      <c r="H172" s="158"/>
      <c r="I172" s="158"/>
      <c r="J172" s="167"/>
    </row>
    <row r="173" spans="1:10" x14ac:dyDescent="0.15">
      <c r="A173" s="155" t="s">
        <v>110</v>
      </c>
      <c r="C173" s="210" t="s">
        <v>737</v>
      </c>
      <c r="D173" s="115"/>
      <c r="E173" s="159"/>
      <c r="F173" s="159"/>
      <c r="G173" s="159"/>
      <c r="H173" s="159"/>
      <c r="J173" s="167"/>
    </row>
    <row r="174" spans="1:10" x14ac:dyDescent="0.15">
      <c r="A174" s="154" t="s">
        <v>1522</v>
      </c>
      <c r="C174" s="115" t="s">
        <v>1516</v>
      </c>
      <c r="D174" s="115"/>
      <c r="E174" s="41">
        <v>0</v>
      </c>
      <c r="F174" s="41">
        <v>0</v>
      </c>
      <c r="G174" s="41">
        <v>0</v>
      </c>
      <c r="H174" s="41">
        <v>0</v>
      </c>
      <c r="I174" s="41">
        <v>0</v>
      </c>
      <c r="J174" s="564">
        <f>H174+I174</f>
        <v>0</v>
      </c>
    </row>
    <row r="175" spans="1:10" x14ac:dyDescent="0.15">
      <c r="A175" s="154" t="s">
        <v>1523</v>
      </c>
      <c r="C175" s="115" t="s">
        <v>1517</v>
      </c>
      <c r="D175" s="115"/>
      <c r="E175" s="41">
        <v>0</v>
      </c>
      <c r="F175" s="41">
        <v>0</v>
      </c>
      <c r="G175" s="41">
        <v>0</v>
      </c>
      <c r="H175" s="41">
        <v>0</v>
      </c>
      <c r="I175" s="41">
        <v>0</v>
      </c>
      <c r="J175" s="564">
        <f>H175+I175</f>
        <v>0</v>
      </c>
    </row>
    <row r="176" spans="1:10" x14ac:dyDescent="0.15">
      <c r="A176" s="154" t="s">
        <v>1524</v>
      </c>
      <c r="C176" s="115" t="s">
        <v>1518</v>
      </c>
      <c r="D176" s="115"/>
      <c r="E176" s="41">
        <v>0</v>
      </c>
      <c r="F176" s="41">
        <v>0</v>
      </c>
      <c r="G176" s="41">
        <v>0</v>
      </c>
      <c r="H176" s="41">
        <v>0</v>
      </c>
      <c r="I176" s="41">
        <v>0</v>
      </c>
      <c r="J176" s="564">
        <f>H176+I176</f>
        <v>0</v>
      </c>
    </row>
    <row r="177" spans="1:10" x14ac:dyDescent="0.15">
      <c r="A177" s="154" t="s">
        <v>1525</v>
      </c>
      <c r="C177" s="115" t="s">
        <v>1519</v>
      </c>
      <c r="D177" s="115"/>
      <c r="E177" s="41">
        <v>0</v>
      </c>
      <c r="F177" s="41">
        <v>0</v>
      </c>
      <c r="G177" s="41">
        <v>0</v>
      </c>
      <c r="H177" s="41">
        <v>0</v>
      </c>
      <c r="I177" s="41">
        <v>0</v>
      </c>
      <c r="J177" s="564">
        <f>H177+I177</f>
        <v>0</v>
      </c>
    </row>
    <row r="178" spans="1:10" ht="11.25" thickBot="1" x14ac:dyDescent="0.2">
      <c r="A178" s="154" t="s">
        <v>1526</v>
      </c>
      <c r="C178" s="115" t="s">
        <v>1520</v>
      </c>
      <c r="D178" s="115"/>
      <c r="E178" s="150">
        <v>0</v>
      </c>
      <c r="F178" s="150">
        <v>0</v>
      </c>
      <c r="G178" s="150">
        <v>0</v>
      </c>
      <c r="H178" s="150">
        <v>0</v>
      </c>
      <c r="I178" s="41">
        <v>0</v>
      </c>
      <c r="J178" s="564">
        <f>H178+I178</f>
        <v>0</v>
      </c>
    </row>
    <row r="179" spans="1:10" ht="12" thickTop="1" thickBot="1" x14ac:dyDescent="0.2">
      <c r="A179" s="149"/>
      <c r="C179" s="115" t="s">
        <v>724</v>
      </c>
      <c r="D179" s="115"/>
      <c r="E179" s="151">
        <f t="shared" ref="E179:J179" si="21">SUM(E174:E178)</f>
        <v>0</v>
      </c>
      <c r="F179" s="151">
        <f t="shared" si="21"/>
        <v>0</v>
      </c>
      <c r="G179" s="151">
        <f t="shared" si="21"/>
        <v>0</v>
      </c>
      <c r="H179" s="151">
        <f t="shared" si="21"/>
        <v>0</v>
      </c>
      <c r="I179" s="151">
        <f t="shared" si="21"/>
        <v>0</v>
      </c>
      <c r="J179" s="169">
        <f t="shared" si="21"/>
        <v>0</v>
      </c>
    </row>
    <row r="180" spans="1:10" ht="12" thickTop="1" thickBot="1" x14ac:dyDescent="0.2">
      <c r="A180" s="149"/>
      <c r="C180" s="115"/>
      <c r="D180" s="176"/>
      <c r="E180" s="159"/>
      <c r="F180" s="159"/>
      <c r="G180" s="159"/>
      <c r="H180" s="159"/>
      <c r="J180" s="167"/>
    </row>
    <row r="181" spans="1:10" ht="11.25" thickBot="1" x14ac:dyDescent="0.2">
      <c r="A181" s="736" t="s">
        <v>794</v>
      </c>
      <c r="B181" s="736"/>
      <c r="C181" s="736"/>
      <c r="D181" s="115"/>
      <c r="E181" s="171">
        <f t="shared" ref="E181:J181" si="22">E170+E179</f>
        <v>0</v>
      </c>
      <c r="F181" s="171">
        <f t="shared" si="22"/>
        <v>0</v>
      </c>
      <c r="G181" s="171">
        <f t="shared" si="22"/>
        <v>0</v>
      </c>
      <c r="H181" s="171">
        <f t="shared" si="22"/>
        <v>0</v>
      </c>
      <c r="I181" s="171">
        <f t="shared" si="22"/>
        <v>0</v>
      </c>
      <c r="J181" s="171">
        <f t="shared" si="22"/>
        <v>0</v>
      </c>
    </row>
    <row r="182" spans="1:10" x14ac:dyDescent="0.15">
      <c r="A182" s="149"/>
      <c r="C182" s="115" t="s">
        <v>725</v>
      </c>
      <c r="D182" s="115"/>
      <c r="E182" s="159"/>
      <c r="F182" s="159"/>
      <c r="G182" s="159"/>
      <c r="H182" s="159"/>
      <c r="J182" s="167"/>
    </row>
    <row r="183" spans="1:10" ht="11.25" thickBot="1" x14ac:dyDescent="0.2">
      <c r="A183" s="149"/>
      <c r="C183" s="115"/>
      <c r="D183" s="172"/>
      <c r="E183" s="159"/>
      <c r="F183" s="159"/>
      <c r="G183" s="159"/>
      <c r="H183" s="159"/>
      <c r="J183" s="167"/>
    </row>
    <row r="184" spans="1:10" ht="12" thickTop="1" thickBot="1" x14ac:dyDescent="0.2">
      <c r="C184" s="172" t="s">
        <v>726</v>
      </c>
      <c r="E184" s="173">
        <f t="shared" ref="E184:J184" si="23">E88</f>
        <v>0</v>
      </c>
      <c r="F184" s="173">
        <f t="shared" si="23"/>
        <v>0</v>
      </c>
      <c r="G184" s="173">
        <f t="shared" si="23"/>
        <v>0</v>
      </c>
      <c r="H184" s="173">
        <f t="shared" si="23"/>
        <v>0</v>
      </c>
      <c r="I184" s="173">
        <f t="shared" si="23"/>
        <v>0</v>
      </c>
      <c r="J184" s="173">
        <f t="shared" si="23"/>
        <v>0</v>
      </c>
    </row>
    <row r="185" spans="1:10" ht="11.25" thickTop="1" x14ac:dyDescent="0.15">
      <c r="D185" s="172"/>
      <c r="E185" s="158"/>
      <c r="J185" s="167"/>
    </row>
    <row r="186" spans="1:10" x14ac:dyDescent="0.15">
      <c r="C186" s="172" t="s">
        <v>727</v>
      </c>
      <c r="E186" s="158">
        <f t="shared" ref="E186:J186" si="24">E181-E184</f>
        <v>0</v>
      </c>
      <c r="F186" s="158">
        <f t="shared" si="24"/>
        <v>0</v>
      </c>
      <c r="G186" s="158">
        <f t="shared" si="24"/>
        <v>0</v>
      </c>
      <c r="H186" s="158">
        <f t="shared" si="24"/>
        <v>0</v>
      </c>
      <c r="I186" s="158">
        <f t="shared" si="24"/>
        <v>0</v>
      </c>
      <c r="J186" s="167">
        <f t="shared" si="24"/>
        <v>0</v>
      </c>
    </row>
    <row r="187" spans="1:10" x14ac:dyDescent="0.15">
      <c r="J187" s="167"/>
    </row>
    <row r="188" spans="1:10" x14ac:dyDescent="0.15">
      <c r="J188" s="167"/>
    </row>
    <row r="189" spans="1:10" x14ac:dyDescent="0.15">
      <c r="A189" s="115" t="s">
        <v>417</v>
      </c>
    </row>
    <row r="192" spans="1:10" x14ac:dyDescent="0.15">
      <c r="A192" s="18" t="s">
        <v>164</v>
      </c>
      <c r="D192" s="115"/>
    </row>
    <row r="193" spans="2:3" x14ac:dyDescent="0.15">
      <c r="B193" s="183" t="s">
        <v>389</v>
      </c>
      <c r="C193" s="115" t="s">
        <v>679</v>
      </c>
    </row>
    <row r="194" spans="2:3" x14ac:dyDescent="0.15">
      <c r="B194" s="184" t="s">
        <v>682</v>
      </c>
      <c r="C194" s="115" t="s">
        <v>680</v>
      </c>
    </row>
    <row r="195" spans="2:3" x14ac:dyDescent="0.15">
      <c r="B195" s="184" t="s">
        <v>683</v>
      </c>
      <c r="C195" s="115" t="s">
        <v>681</v>
      </c>
    </row>
    <row r="196" spans="2:3" x14ac:dyDescent="0.15">
      <c r="B196" s="183" t="s">
        <v>590</v>
      </c>
      <c r="C196" s="115" t="s">
        <v>591</v>
      </c>
    </row>
    <row r="197" spans="2:3" x14ac:dyDescent="0.15">
      <c r="B197" s="183" t="s">
        <v>592</v>
      </c>
      <c r="C197" s="115" t="s">
        <v>593</v>
      </c>
    </row>
    <row r="198" spans="2:3" x14ac:dyDescent="0.15">
      <c r="B198" s="183" t="s">
        <v>594</v>
      </c>
      <c r="C198" s="115" t="s">
        <v>595</v>
      </c>
    </row>
  </sheetData>
  <sheetProtection password="CB03" sheet="1" formatCells="0" formatColumns="0" formatRows="0"/>
  <mergeCells count="3">
    <mergeCell ref="A181:C181"/>
    <mergeCell ref="A88:C88"/>
    <mergeCell ref="A170:C170"/>
  </mergeCells>
  <phoneticPr fontId="15" type="noConversion"/>
  <pageMargins left="0.5" right="0.5" top="0.75" bottom="0.75" header="0.5" footer="0.5"/>
  <pageSetup scale="60" firstPageNumber="31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4"/>
  <sheetViews>
    <sheetView workbookViewId="0">
      <selection activeCell="E67" sqref="E67"/>
    </sheetView>
  </sheetViews>
  <sheetFormatPr defaultRowHeight="10.5" x14ac:dyDescent="0.15"/>
  <cols>
    <col min="1" max="1" width="12.33203125" style="158" customWidth="1"/>
    <col min="2" max="2" width="3.6640625" style="158" customWidth="1"/>
    <col min="3" max="3" width="70.83203125" style="158" customWidth="1"/>
    <col min="4" max="4" width="15.83203125" customWidth="1"/>
    <col min="5" max="6" width="17.6640625" style="158" customWidth="1"/>
    <col min="7" max="7" width="15.83203125" style="158" customWidth="1"/>
    <col min="8" max="9" width="16.66406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5" t="s">
        <v>418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D7" s="159"/>
      <c r="F7" s="159"/>
      <c r="G7" s="159"/>
      <c r="I7" s="167"/>
    </row>
    <row r="8" spans="1:9" x14ac:dyDescent="0.15">
      <c r="A8" s="115" t="s">
        <v>1602</v>
      </c>
      <c r="B8" s="160" t="s">
        <v>1159</v>
      </c>
      <c r="C8" s="115" t="s">
        <v>443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G8+H8</f>
        <v>0</v>
      </c>
    </row>
    <row r="9" spans="1:9" x14ac:dyDescent="0.15">
      <c r="A9" s="152" t="s">
        <v>113</v>
      </c>
      <c r="B9" s="160" t="s">
        <v>1160</v>
      </c>
      <c r="C9" s="115" t="s">
        <v>721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15" si="0">G9+H9</f>
        <v>0</v>
      </c>
    </row>
    <row r="10" spans="1:9" x14ac:dyDescent="0.15">
      <c r="A10" s="152" t="s">
        <v>532</v>
      </c>
      <c r="B10" s="160" t="s">
        <v>1161</v>
      </c>
      <c r="C10" s="115" t="s">
        <v>533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1527</v>
      </c>
      <c r="B11" s="160" t="s">
        <v>1228</v>
      </c>
      <c r="C11" s="115" t="s">
        <v>218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439</v>
      </c>
      <c r="B12" s="160" t="s">
        <v>1229</v>
      </c>
      <c r="C12" s="115" t="s">
        <v>1257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15" t="s">
        <v>440</v>
      </c>
      <c r="B13" s="160" t="s">
        <v>1230</v>
      </c>
      <c r="C13" s="115" t="s">
        <v>1258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15" t="s">
        <v>105</v>
      </c>
      <c r="B14" s="160" t="s">
        <v>1231</v>
      </c>
      <c r="C14" s="2" t="s">
        <v>854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15"/>
      <c r="B15" s="160" t="s">
        <v>1232</v>
      </c>
      <c r="C15" s="138" t="s">
        <v>1051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ht="11.25" thickBot="1" x14ac:dyDescent="0.2">
      <c r="A16" s="115"/>
      <c r="B16" s="167"/>
      <c r="C16" s="2"/>
      <c r="D16" s="14"/>
      <c r="F16" s="159"/>
      <c r="G16" s="159"/>
      <c r="I16" s="167"/>
    </row>
    <row r="17" spans="1:9" ht="12" thickTop="1" thickBot="1" x14ac:dyDescent="0.2">
      <c r="B17" s="160" t="s">
        <v>1240</v>
      </c>
      <c r="C17" s="35" t="s">
        <v>1052</v>
      </c>
      <c r="D17" s="169">
        <f t="shared" ref="D17:I17" si="1">SUM(D8:D15)</f>
        <v>0</v>
      </c>
      <c r="E17" s="169">
        <f t="shared" si="1"/>
        <v>0</v>
      </c>
      <c r="F17" s="169">
        <f t="shared" si="1"/>
        <v>0</v>
      </c>
      <c r="G17" s="169">
        <f t="shared" si="1"/>
        <v>0</v>
      </c>
      <c r="H17" s="169">
        <f t="shared" si="1"/>
        <v>0</v>
      </c>
      <c r="I17" s="169">
        <f t="shared" si="1"/>
        <v>0</v>
      </c>
    </row>
    <row r="18" spans="1:9" ht="12" thickTop="1" thickBot="1" x14ac:dyDescent="0.2">
      <c r="B18" s="167"/>
      <c r="C18" s="115"/>
      <c r="D18" s="192"/>
      <c r="E18" s="192"/>
      <c r="F18" s="192"/>
      <c r="G18" s="192"/>
      <c r="I18" s="167"/>
    </row>
    <row r="19" spans="1:9" ht="11.25" thickBot="1" x14ac:dyDescent="0.2">
      <c r="A19" s="35" t="s">
        <v>1168</v>
      </c>
      <c r="D19" s="171">
        <f t="shared" ref="D19:I19" si="2">D6+D17</f>
        <v>0</v>
      </c>
      <c r="E19" s="171">
        <f t="shared" si="2"/>
        <v>0</v>
      </c>
      <c r="F19" s="171">
        <f t="shared" si="2"/>
        <v>0</v>
      </c>
      <c r="G19" s="171">
        <f t="shared" si="2"/>
        <v>0</v>
      </c>
      <c r="H19" s="171">
        <f t="shared" si="2"/>
        <v>0</v>
      </c>
      <c r="I19" s="171">
        <f t="shared" si="2"/>
        <v>0</v>
      </c>
    </row>
    <row r="20" spans="1:9" x14ac:dyDescent="0.15">
      <c r="A20" s="35"/>
      <c r="D20" s="170"/>
      <c r="E20" s="170"/>
      <c r="F20" s="170"/>
      <c r="G20" s="170"/>
      <c r="I20" s="167"/>
    </row>
    <row r="21" spans="1:9" x14ac:dyDescent="0.15">
      <c r="A21" s="660" t="s">
        <v>824</v>
      </c>
      <c r="B21" s="424"/>
      <c r="C21" s="495" t="s">
        <v>816</v>
      </c>
      <c r="D21" s="423"/>
      <c r="E21" s="423"/>
      <c r="F21" s="423"/>
      <c r="G21" s="423"/>
      <c r="H21" s="423"/>
      <c r="I21" s="179"/>
    </row>
    <row r="22" spans="1:9" x14ac:dyDescent="0.15">
      <c r="A22" s="436" t="s">
        <v>105</v>
      </c>
      <c r="B22" s="501" t="s">
        <v>855</v>
      </c>
      <c r="C22" s="2" t="s">
        <v>827</v>
      </c>
      <c r="D22" s="41">
        <v>0</v>
      </c>
      <c r="E22" s="41">
        <v>0</v>
      </c>
      <c r="F22" s="41">
        <v>0</v>
      </c>
      <c r="G22" s="41">
        <v>0</v>
      </c>
      <c r="H22" s="534">
        <v>0</v>
      </c>
      <c r="I22" s="535">
        <f>SUM(G22+H22)</f>
        <v>0</v>
      </c>
    </row>
    <row r="23" spans="1:9" x14ac:dyDescent="0.15">
      <c r="A23" s="436"/>
      <c r="B23" s="501"/>
      <c r="C23" s="2"/>
      <c r="D23" s="14"/>
      <c r="E23" s="14"/>
      <c r="F23" s="14"/>
      <c r="G23" s="14"/>
      <c r="H23" s="308"/>
      <c r="I23" s="305"/>
    </row>
    <row r="24" spans="1:9" x14ac:dyDescent="0.15">
      <c r="A24" s="490"/>
      <c r="B24" s="424"/>
      <c r="C24" s="423"/>
      <c r="D24" s="423"/>
      <c r="E24" s="423"/>
      <c r="F24" s="423"/>
      <c r="G24" s="423"/>
      <c r="H24" s="423"/>
      <c r="I24" s="423"/>
    </row>
    <row r="25" spans="1:9" s="309" customFormat="1" x14ac:dyDescent="0.15">
      <c r="A25" s="158"/>
      <c r="B25" s="158"/>
      <c r="C25" s="210" t="s">
        <v>199</v>
      </c>
      <c r="D25" s="159"/>
      <c r="E25" s="158"/>
      <c r="F25" s="170"/>
      <c r="G25" s="170"/>
      <c r="H25" s="158"/>
      <c r="I25" s="167"/>
    </row>
    <row r="26" spans="1:9" s="309" customFormat="1" x14ac:dyDescent="0.15">
      <c r="A26" s="204" t="s">
        <v>387</v>
      </c>
      <c r="B26" s="158"/>
      <c r="C26" s="158"/>
      <c r="D26" s="159"/>
      <c r="E26" s="159"/>
      <c r="F26" s="159"/>
      <c r="G26" s="158"/>
      <c r="H26" s="158"/>
      <c r="I26" s="167"/>
    </row>
    <row r="27" spans="1:9" s="309" customFormat="1" x14ac:dyDescent="0.15">
      <c r="A27" s="112" t="s">
        <v>233</v>
      </c>
      <c r="B27" s="158"/>
      <c r="C27" s="158"/>
      <c r="D27" s="159"/>
      <c r="E27" s="159"/>
      <c r="F27" s="159"/>
      <c r="G27" s="158"/>
      <c r="H27" s="158"/>
      <c r="I27" s="167"/>
    </row>
    <row r="28" spans="1:9" s="309" customFormat="1" x14ac:dyDescent="0.15">
      <c r="A28" s="36" t="s">
        <v>198</v>
      </c>
      <c r="B28" s="158"/>
      <c r="C28" s="158"/>
      <c r="D28" s="159"/>
      <c r="E28" s="159"/>
      <c r="F28" s="159"/>
      <c r="G28" s="158"/>
      <c r="H28" s="158"/>
      <c r="I28" s="167"/>
    </row>
    <row r="29" spans="1:9" x14ac:dyDescent="0.15">
      <c r="A29" s="311" t="s">
        <v>1577</v>
      </c>
      <c r="B29" s="583" t="s">
        <v>1240</v>
      </c>
      <c r="C29" s="312" t="s">
        <v>228</v>
      </c>
      <c r="D29" s="316">
        <v>0</v>
      </c>
      <c r="E29" s="316">
        <v>0</v>
      </c>
      <c r="F29" s="316">
        <v>0</v>
      </c>
      <c r="G29" s="529">
        <f t="array" ref="G29">SUM(IF(CertFund&amp;CertProg&amp;CertObj=RIGHT(LEFT($A$2,7),2)&amp;LEFT(A26,4)&amp;A29,CertSalary))+SUM(IF(CertFund&amp;CertProg&amp;CertObj=RIGHT(LEFT($A$2,7),2)&amp;LEFT(A27,4)&amp;A29,CertSalary))</f>
        <v>0</v>
      </c>
      <c r="H29" s="584">
        <v>0</v>
      </c>
      <c r="I29" s="575">
        <f>SUM(G29+H29)</f>
        <v>0</v>
      </c>
    </row>
    <row r="30" spans="1:9" x14ac:dyDescent="0.15">
      <c r="A30" s="311" t="s">
        <v>423</v>
      </c>
      <c r="B30" s="583" t="s">
        <v>1240</v>
      </c>
      <c r="C30" s="312" t="s">
        <v>510</v>
      </c>
      <c r="D30" s="316">
        <v>0</v>
      </c>
      <c r="E30" s="316">
        <v>0</v>
      </c>
      <c r="F30" s="316">
        <v>0</v>
      </c>
      <c r="G30" s="316">
        <v>0</v>
      </c>
      <c r="H30" s="584">
        <v>0</v>
      </c>
      <c r="I30" s="575">
        <f>SUM(G30+H30)</f>
        <v>0</v>
      </c>
    </row>
    <row r="31" spans="1:9" x14ac:dyDescent="0.15">
      <c r="A31" s="311" t="s">
        <v>1578</v>
      </c>
      <c r="B31" s="583" t="s">
        <v>1244</v>
      </c>
      <c r="C31" s="312" t="s">
        <v>234</v>
      </c>
      <c r="D31" s="316">
        <v>0</v>
      </c>
      <c r="E31" s="316">
        <v>0</v>
      </c>
      <c r="F31" s="316">
        <v>0</v>
      </c>
      <c r="G31" s="529">
        <f t="array" ref="G31">SUM(IF(CertFund&amp;CertProg&amp;CertObj=RIGHT(LEFT($A$2,7),2)&amp;LEFT(A26,4)&amp;A29,CertBen))+SUM(IF(CertFund&amp;CertProg&amp;CertObj=RIGHT(LEFT($A$2,7),2)&amp;LEFT(A27,4)&amp;A29,CertBen))</f>
        <v>0</v>
      </c>
      <c r="H31" s="584">
        <v>0</v>
      </c>
      <c r="I31" s="575">
        <f>SUM(G31+H31)</f>
        <v>0</v>
      </c>
    </row>
    <row r="32" spans="1:9" x14ac:dyDescent="0.15">
      <c r="A32" s="311" t="s">
        <v>424</v>
      </c>
      <c r="B32" s="583" t="s">
        <v>1244</v>
      </c>
      <c r="C32" s="312" t="s">
        <v>511</v>
      </c>
      <c r="D32" s="316">
        <v>0</v>
      </c>
      <c r="E32" s="316">
        <v>0</v>
      </c>
      <c r="F32" s="316">
        <v>0</v>
      </c>
      <c r="G32" s="316">
        <v>0</v>
      </c>
      <c r="H32" s="584">
        <v>0</v>
      </c>
      <c r="I32" s="575">
        <f>SUM(G32+H32)</f>
        <v>0</v>
      </c>
    </row>
    <row r="33" spans="1:9" x14ac:dyDescent="0.15">
      <c r="A33" s="115" t="s">
        <v>425</v>
      </c>
      <c r="B33" s="174" t="s">
        <v>1241</v>
      </c>
      <c r="C33" s="115" t="s">
        <v>1246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ref="I33:I39" si="3">G33+H33</f>
        <v>0</v>
      </c>
    </row>
    <row r="34" spans="1:9" x14ac:dyDescent="0.15">
      <c r="A34" s="115" t="s">
        <v>426</v>
      </c>
      <c r="B34" s="174" t="s">
        <v>1242</v>
      </c>
      <c r="C34" s="115" t="s">
        <v>119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x14ac:dyDescent="0.15">
      <c r="A35" s="115" t="s">
        <v>427</v>
      </c>
      <c r="B35" s="174" t="s">
        <v>1247</v>
      </c>
      <c r="C35" s="115" t="s">
        <v>124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x14ac:dyDescent="0.15">
      <c r="A36" s="115" t="s">
        <v>428</v>
      </c>
      <c r="B36" s="174" t="s">
        <v>1248</v>
      </c>
      <c r="C36" s="115" t="s">
        <v>156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si="3"/>
        <v>0</v>
      </c>
    </row>
    <row r="37" spans="1:9" x14ac:dyDescent="0.15">
      <c r="A37" s="108" t="s">
        <v>81</v>
      </c>
      <c r="B37" s="174" t="s">
        <v>1249</v>
      </c>
      <c r="C37" s="1" t="s">
        <v>82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x14ac:dyDescent="0.15">
      <c r="A38" s="652" t="s">
        <v>631</v>
      </c>
      <c r="B38" s="655" t="s">
        <v>1250</v>
      </c>
      <c r="C38" s="653" t="s">
        <v>173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3"/>
        <v>0</v>
      </c>
    </row>
    <row r="39" spans="1:9" x14ac:dyDescent="0.15">
      <c r="A39" s="115" t="s">
        <v>429</v>
      </c>
      <c r="B39" s="174" t="s">
        <v>1251</v>
      </c>
      <c r="C39" s="115" t="s">
        <v>1572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3"/>
        <v>0</v>
      </c>
    </row>
    <row r="40" spans="1:9" ht="11.25" thickBot="1" x14ac:dyDescent="0.2">
      <c r="A40" s="115"/>
      <c r="C40" s="115"/>
      <c r="D40" s="14"/>
      <c r="E40" s="159"/>
      <c r="F40" s="159"/>
      <c r="I40" s="167"/>
    </row>
    <row r="41" spans="1:9" ht="12" thickTop="1" thickBot="1" x14ac:dyDescent="0.2">
      <c r="B41" s="174" t="s">
        <v>1252</v>
      </c>
      <c r="C41" s="115" t="s">
        <v>1162</v>
      </c>
      <c r="D41" s="169">
        <f t="shared" ref="D41:I41" si="4">SUM(D29:D39)</f>
        <v>0</v>
      </c>
      <c r="E41" s="169">
        <f t="shared" si="4"/>
        <v>0</v>
      </c>
      <c r="F41" s="169">
        <f t="shared" si="4"/>
        <v>0</v>
      </c>
      <c r="G41" s="169">
        <f t="shared" si="4"/>
        <v>0</v>
      </c>
      <c r="H41" s="169">
        <f t="shared" si="4"/>
        <v>0</v>
      </c>
      <c r="I41" s="169">
        <f t="shared" si="4"/>
        <v>0</v>
      </c>
    </row>
    <row r="42" spans="1:9" ht="11.25" thickTop="1" x14ac:dyDescent="0.15">
      <c r="A42" s="36"/>
      <c r="C42" s="40"/>
      <c r="D42" s="159"/>
      <c r="E42" s="159"/>
      <c r="F42" s="159"/>
      <c r="I42" s="167"/>
    </row>
    <row r="43" spans="1:9" x14ac:dyDescent="0.15">
      <c r="A43" s="36"/>
      <c r="C43" s="172" t="s">
        <v>217</v>
      </c>
      <c r="D43" s="159"/>
      <c r="E43" s="159"/>
      <c r="F43" s="159"/>
      <c r="I43" s="167"/>
    </row>
    <row r="44" spans="1:9" x14ac:dyDescent="0.15">
      <c r="A44" s="115" t="s">
        <v>423</v>
      </c>
      <c r="B44" s="174" t="s">
        <v>1253</v>
      </c>
      <c r="C44" s="115" t="s">
        <v>230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 t="shared" ref="I44:I53" si="5">G44+H44</f>
        <v>0</v>
      </c>
    </row>
    <row r="45" spans="1:9" x14ac:dyDescent="0.15">
      <c r="A45" s="115" t="s">
        <v>424</v>
      </c>
      <c r="B45" s="174" t="s">
        <v>1254</v>
      </c>
      <c r="C45" s="115" t="s">
        <v>231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5"/>
        <v>0</v>
      </c>
    </row>
    <row r="46" spans="1:9" x14ac:dyDescent="0.15">
      <c r="A46" s="115" t="s">
        <v>425</v>
      </c>
      <c r="B46" s="174" t="s">
        <v>1255</v>
      </c>
      <c r="C46" s="115" t="s">
        <v>1246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564">
        <f t="shared" si="5"/>
        <v>0</v>
      </c>
    </row>
    <row r="47" spans="1:9" x14ac:dyDescent="0.15">
      <c r="A47" s="115" t="s">
        <v>426</v>
      </c>
      <c r="B47" s="174" t="s">
        <v>1260</v>
      </c>
      <c r="C47" s="115" t="s">
        <v>119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564">
        <f t="shared" si="5"/>
        <v>0</v>
      </c>
    </row>
    <row r="48" spans="1:9" x14ac:dyDescent="0.15">
      <c r="A48" s="115" t="s">
        <v>427</v>
      </c>
      <c r="B48" s="174" t="s">
        <v>1261</v>
      </c>
      <c r="C48" s="115" t="s">
        <v>124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564">
        <f t="shared" si="5"/>
        <v>0</v>
      </c>
    </row>
    <row r="49" spans="1:9" x14ac:dyDescent="0.15">
      <c r="A49" s="115" t="s">
        <v>428</v>
      </c>
      <c r="B49" s="174" t="s">
        <v>1262</v>
      </c>
      <c r="C49" s="115" t="s">
        <v>156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564">
        <f t="shared" si="5"/>
        <v>0</v>
      </c>
    </row>
    <row r="50" spans="1:9" x14ac:dyDescent="0.15">
      <c r="A50" s="108" t="s">
        <v>81</v>
      </c>
      <c r="B50" s="174" t="s">
        <v>1263</v>
      </c>
      <c r="C50" s="1" t="s">
        <v>82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564">
        <f t="shared" si="5"/>
        <v>0</v>
      </c>
    </row>
    <row r="51" spans="1:9" customFormat="1" x14ac:dyDescent="0.15">
      <c r="A51" s="652" t="s">
        <v>631</v>
      </c>
      <c r="B51" s="655" t="s">
        <v>1265</v>
      </c>
      <c r="C51" s="653" t="s">
        <v>173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564">
        <f t="shared" si="5"/>
        <v>0</v>
      </c>
    </row>
    <row r="52" spans="1:9" x14ac:dyDescent="0.15">
      <c r="A52" s="521"/>
      <c r="B52" s="521"/>
      <c r="C52" s="663" t="s">
        <v>29</v>
      </c>
      <c r="D52" s="664">
        <f t="shared" ref="D52:I52" si="6">+D22</f>
        <v>0</v>
      </c>
      <c r="E52" s="664">
        <f t="shared" si="6"/>
        <v>0</v>
      </c>
      <c r="F52" s="664">
        <f t="shared" si="6"/>
        <v>0</v>
      </c>
      <c r="G52" s="664">
        <f t="shared" si="6"/>
        <v>0</v>
      </c>
      <c r="H52" s="664">
        <f t="shared" si="6"/>
        <v>0</v>
      </c>
      <c r="I52" s="664">
        <f t="shared" si="6"/>
        <v>0</v>
      </c>
    </row>
    <row r="53" spans="1:9" customFormat="1" x14ac:dyDescent="0.15">
      <c r="A53" s="115" t="s">
        <v>429</v>
      </c>
      <c r="B53" s="174" t="s">
        <v>1266</v>
      </c>
      <c r="C53" s="115" t="s">
        <v>1572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 t="shared" si="5"/>
        <v>0</v>
      </c>
    </row>
    <row r="54" spans="1:9" customFormat="1" ht="11.25" thickBot="1" x14ac:dyDescent="0.2">
      <c r="A54" s="115"/>
      <c r="B54" s="158"/>
      <c r="C54" s="115"/>
      <c r="D54" s="14"/>
      <c r="E54" s="159"/>
      <c r="F54" s="159"/>
      <c r="G54" s="158"/>
      <c r="H54" s="158"/>
      <c r="I54" s="167"/>
    </row>
    <row r="55" spans="1:9" customFormat="1" ht="12" thickTop="1" thickBot="1" x14ac:dyDescent="0.2">
      <c r="A55" s="158"/>
      <c r="B55" s="174" t="s">
        <v>1267</v>
      </c>
      <c r="C55" s="172" t="s">
        <v>1163</v>
      </c>
      <c r="D55" s="169">
        <f t="shared" ref="D55:I55" si="7">SUM(D44:D53)</f>
        <v>0</v>
      </c>
      <c r="E55" s="169">
        <f t="shared" si="7"/>
        <v>0</v>
      </c>
      <c r="F55" s="169">
        <f t="shared" si="7"/>
        <v>0</v>
      </c>
      <c r="G55" s="169">
        <f t="shared" si="7"/>
        <v>0</v>
      </c>
      <c r="H55" s="169">
        <f t="shared" si="7"/>
        <v>0</v>
      </c>
      <c r="I55" s="169">
        <f t="shared" si="7"/>
        <v>0</v>
      </c>
    </row>
    <row r="56" spans="1:9" customFormat="1" ht="12" thickTop="1" thickBot="1" x14ac:dyDescent="0.2">
      <c r="D56" s="5"/>
      <c r="E56" s="5"/>
      <c r="F56" s="5"/>
      <c r="I56" s="6"/>
    </row>
    <row r="57" spans="1:9" customFormat="1" ht="12" thickTop="1" thickBot="1" x14ac:dyDescent="0.2">
      <c r="A57" s="158"/>
      <c r="B57" s="174" t="s">
        <v>1268</v>
      </c>
      <c r="C57" s="35" t="s">
        <v>1164</v>
      </c>
      <c r="D57" s="173">
        <f t="shared" ref="D57:I57" si="8">D41+D55</f>
        <v>0</v>
      </c>
      <c r="E57" s="173">
        <f t="shared" si="8"/>
        <v>0</v>
      </c>
      <c r="F57" s="173">
        <f t="shared" si="8"/>
        <v>0</v>
      </c>
      <c r="G57" s="173">
        <f t="shared" si="8"/>
        <v>0</v>
      </c>
      <c r="H57" s="173">
        <f t="shared" si="8"/>
        <v>0</v>
      </c>
      <c r="I57" s="173">
        <f t="shared" si="8"/>
        <v>0</v>
      </c>
    </row>
    <row r="58" spans="1:9" customFormat="1" ht="11.25" thickTop="1" x14ac:dyDescent="0.15">
      <c r="D58" s="5"/>
      <c r="E58" s="5"/>
      <c r="F58" s="5"/>
      <c r="I58" s="6"/>
    </row>
    <row r="59" spans="1:9" customFormat="1" x14ac:dyDescent="0.15">
      <c r="A59" s="155" t="s">
        <v>110</v>
      </c>
      <c r="B59" s="158"/>
      <c r="C59" s="210" t="s">
        <v>737</v>
      </c>
      <c r="D59" s="159"/>
      <c r="E59" s="159"/>
      <c r="F59" s="159"/>
      <c r="G59" s="159"/>
      <c r="I59" s="6"/>
    </row>
    <row r="60" spans="1:9" customFormat="1" x14ac:dyDescent="0.15">
      <c r="A60" s="154" t="s">
        <v>1522</v>
      </c>
      <c r="B60" s="160" t="s">
        <v>1269</v>
      </c>
      <c r="C60" s="115" t="s">
        <v>1516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564">
        <f>G60+H60</f>
        <v>0</v>
      </c>
    </row>
    <row r="61" spans="1:9" customFormat="1" x14ac:dyDescent="0.15">
      <c r="A61" s="154" t="s">
        <v>1523</v>
      </c>
      <c r="B61" s="160" t="s">
        <v>1270</v>
      </c>
      <c r="C61" s="115" t="s">
        <v>1517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564">
        <f>G61+H61</f>
        <v>0</v>
      </c>
    </row>
    <row r="62" spans="1:9" customFormat="1" ht="11.25" customHeight="1" x14ac:dyDescent="0.15">
      <c r="A62" s="154" t="s">
        <v>1524</v>
      </c>
      <c r="B62" s="160" t="s">
        <v>1271</v>
      </c>
      <c r="C62" s="115" t="s">
        <v>1518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564">
        <f>G62+H62</f>
        <v>0</v>
      </c>
    </row>
    <row r="63" spans="1:9" customFormat="1" x14ac:dyDescent="0.15">
      <c r="A63" s="725" t="s">
        <v>1675</v>
      </c>
      <c r="B63" s="726" t="s">
        <v>1272</v>
      </c>
      <c r="C63" s="692" t="s">
        <v>1676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564">
        <f>G63+H63</f>
        <v>0</v>
      </c>
    </row>
    <row r="64" spans="1:9" customFormat="1" ht="11.25" thickBot="1" x14ac:dyDescent="0.2">
      <c r="A64" s="154" t="s">
        <v>1526</v>
      </c>
      <c r="B64" s="160" t="s">
        <v>1273</v>
      </c>
      <c r="C64" s="115" t="s">
        <v>1520</v>
      </c>
      <c r="D64" s="150">
        <v>0</v>
      </c>
      <c r="E64" s="150">
        <v>0</v>
      </c>
      <c r="F64" s="150">
        <v>0</v>
      </c>
      <c r="G64" s="150">
        <v>0</v>
      </c>
      <c r="H64" s="41">
        <v>0</v>
      </c>
      <c r="I64" s="564">
        <f>G64+H64</f>
        <v>0</v>
      </c>
    </row>
    <row r="65" spans="1:9" customFormat="1" ht="12" thickTop="1" thickBot="1" x14ac:dyDescent="0.2">
      <c r="A65" s="149"/>
      <c r="B65" s="160" t="s">
        <v>1274</v>
      </c>
      <c r="C65" s="115" t="s">
        <v>1165</v>
      </c>
      <c r="D65" s="151">
        <f t="shared" ref="D65:I65" si="9">SUM(D60:D64)</f>
        <v>0</v>
      </c>
      <c r="E65" s="151">
        <f t="shared" si="9"/>
        <v>0</v>
      </c>
      <c r="F65" s="151">
        <f t="shared" si="9"/>
        <v>0</v>
      </c>
      <c r="G65" s="151">
        <f t="shared" si="9"/>
        <v>0</v>
      </c>
      <c r="H65" s="151">
        <f t="shared" si="9"/>
        <v>0</v>
      </c>
      <c r="I65" s="169">
        <f t="shared" si="9"/>
        <v>0</v>
      </c>
    </row>
    <row r="66" spans="1:9" customFormat="1" ht="12" thickTop="1" thickBot="1" x14ac:dyDescent="0.2">
      <c r="A66" s="149"/>
      <c r="B66" s="158"/>
      <c r="C66" s="115"/>
      <c r="D66" s="159"/>
      <c r="E66" s="159"/>
      <c r="F66" s="159"/>
      <c r="G66" s="159"/>
      <c r="I66" s="6"/>
    </row>
    <row r="67" spans="1:9" customFormat="1" ht="11.25" thickBot="1" x14ac:dyDescent="0.2">
      <c r="A67" s="736" t="s">
        <v>1166</v>
      </c>
      <c r="B67" s="736"/>
      <c r="C67" s="737"/>
      <c r="D67" s="212">
        <f t="shared" ref="D67:I67" si="10">D57+D65</f>
        <v>0</v>
      </c>
      <c r="E67" s="212">
        <f t="shared" si="10"/>
        <v>0</v>
      </c>
      <c r="F67" s="212">
        <f t="shared" si="10"/>
        <v>0</v>
      </c>
      <c r="G67" s="212">
        <f t="shared" si="10"/>
        <v>0</v>
      </c>
      <c r="H67" s="212">
        <f t="shared" si="10"/>
        <v>0</v>
      </c>
      <c r="I67" s="212">
        <f t="shared" si="10"/>
        <v>0</v>
      </c>
    </row>
    <row r="68" spans="1:9" x14ac:dyDescent="0.15">
      <c r="A68" s="149"/>
      <c r="C68" s="115" t="s">
        <v>725</v>
      </c>
      <c r="D68" s="159"/>
      <c r="E68" s="159"/>
      <c r="F68" s="159"/>
      <c r="G68" s="159"/>
      <c r="H68"/>
      <c r="I68" s="6"/>
    </row>
    <row r="69" spans="1:9" ht="11.25" thickBot="1" x14ac:dyDescent="0.2">
      <c r="A69" s="149"/>
      <c r="C69" s="115"/>
      <c r="D69" s="159"/>
      <c r="E69" s="159"/>
      <c r="F69" s="159"/>
      <c r="G69" s="159"/>
      <c r="H69"/>
      <c r="I69" s="6"/>
    </row>
    <row r="70" spans="1:9" ht="12" thickTop="1" thickBot="1" x14ac:dyDescent="0.2">
      <c r="C70" s="172" t="s">
        <v>726</v>
      </c>
      <c r="D70" s="173">
        <f t="shared" ref="D70:I70" si="11">D19</f>
        <v>0</v>
      </c>
      <c r="E70" s="173">
        <f t="shared" si="11"/>
        <v>0</v>
      </c>
      <c r="F70" s="173">
        <f t="shared" si="11"/>
        <v>0</v>
      </c>
      <c r="G70" s="173">
        <f t="shared" si="11"/>
        <v>0</v>
      </c>
      <c r="H70" s="173">
        <f t="shared" si="11"/>
        <v>0</v>
      </c>
      <c r="I70" s="173">
        <f t="shared" si="11"/>
        <v>0</v>
      </c>
    </row>
    <row r="71" spans="1:9" ht="11.25" thickTop="1" x14ac:dyDescent="0.15">
      <c r="D71" s="158"/>
      <c r="H71"/>
      <c r="I71" s="6"/>
    </row>
    <row r="72" spans="1:9" x14ac:dyDescent="0.15">
      <c r="C72" s="172" t="s">
        <v>727</v>
      </c>
      <c r="D72" s="158">
        <f t="shared" ref="D72:I72" si="12">D67-D70</f>
        <v>0</v>
      </c>
      <c r="E72" s="158">
        <f t="shared" si="12"/>
        <v>0</v>
      </c>
      <c r="F72" s="158">
        <f t="shared" si="12"/>
        <v>0</v>
      </c>
      <c r="G72" s="158">
        <f t="shared" si="12"/>
        <v>0</v>
      </c>
      <c r="H72" s="158">
        <f t="shared" si="12"/>
        <v>0</v>
      </c>
      <c r="I72" s="167">
        <f t="shared" si="12"/>
        <v>0</v>
      </c>
    </row>
    <row r="73" spans="1:9" x14ac:dyDescent="0.15">
      <c r="I73" s="167"/>
    </row>
    <row r="74" spans="1:9" x14ac:dyDescent="0.15">
      <c r="I74" s="167"/>
    </row>
  </sheetData>
  <sheetProtection password="CB03" sheet="1" formatCells="0" formatColumns="0" formatRows="0"/>
  <mergeCells count="1">
    <mergeCell ref="A67:C67"/>
  </mergeCells>
  <phoneticPr fontId="15" type="noConversion"/>
  <pageMargins left="0.5" right="0.5" top="0.75" bottom="0.75" header="0.5" footer="0.5"/>
  <pageSetup scale="64" firstPageNumber="34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55"/>
  <sheetViews>
    <sheetView workbookViewId="0">
      <selection activeCell="E50" sqref="E50"/>
    </sheetView>
  </sheetViews>
  <sheetFormatPr defaultRowHeight="10.5" x14ac:dyDescent="0.15"/>
  <cols>
    <col min="1" max="1" width="10" style="158" customWidth="1"/>
    <col min="2" max="2" width="4" style="158" customWidth="1"/>
    <col min="3" max="3" width="70.83203125" style="158" customWidth="1"/>
    <col min="4" max="4" width="15.83203125" style="158" customWidth="1"/>
    <col min="5" max="5" width="17" style="158" customWidth="1"/>
    <col min="6" max="6" width="17.33203125" style="158" customWidth="1"/>
    <col min="7" max="7" width="15.83203125" style="158" customWidth="1"/>
    <col min="8" max="8" width="16.33203125" style="158" customWidth="1"/>
    <col min="9" max="9" width="16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F1" s="119"/>
      <c r="G1" s="38" t="s">
        <v>1588</v>
      </c>
    </row>
    <row r="2" spans="1:9" x14ac:dyDescent="0.15">
      <c r="A2" s="15" t="s">
        <v>346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D7" s="159"/>
      <c r="E7" s="159"/>
      <c r="F7" s="159"/>
      <c r="I7" s="167"/>
    </row>
    <row r="8" spans="1:9" x14ac:dyDescent="0.15">
      <c r="A8" s="115" t="s">
        <v>1595</v>
      </c>
      <c r="B8" s="174" t="s">
        <v>1159</v>
      </c>
      <c r="C8" s="115" t="s">
        <v>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 t="shared" ref="I8:I18" si="0">G8+H8</f>
        <v>0</v>
      </c>
    </row>
    <row r="9" spans="1:9" x14ac:dyDescent="0.15">
      <c r="A9" s="115" t="s">
        <v>1596</v>
      </c>
      <c r="B9" s="174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si="0"/>
        <v>0</v>
      </c>
    </row>
    <row r="10" spans="1:9" x14ac:dyDescent="0.15">
      <c r="A10" s="115" t="s">
        <v>1598</v>
      </c>
      <c r="B10" s="174" t="s">
        <v>1161</v>
      </c>
      <c r="C10" s="115" t="s">
        <v>1235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1601</v>
      </c>
      <c r="B11" s="174" t="s">
        <v>1228</v>
      </c>
      <c r="C11" s="115" t="s">
        <v>442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1234</v>
      </c>
      <c r="B12" s="174" t="s">
        <v>1229</v>
      </c>
      <c r="C12" s="115" t="s">
        <v>1236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52" t="s">
        <v>524</v>
      </c>
      <c r="B13" s="174" t="s">
        <v>1230</v>
      </c>
      <c r="C13" s="115" t="s">
        <v>1237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 t="s">
        <v>526</v>
      </c>
      <c r="B14" s="174" t="s">
        <v>1231</v>
      </c>
      <c r="C14" s="115" t="s">
        <v>527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15" t="s">
        <v>1602</v>
      </c>
      <c r="B15" s="174" t="s">
        <v>1232</v>
      </c>
      <c r="C15" s="115" t="s">
        <v>443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15" t="s">
        <v>102</v>
      </c>
      <c r="B16" s="174" t="s">
        <v>1240</v>
      </c>
      <c r="C16" s="115" t="s">
        <v>1238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15" t="s">
        <v>105</v>
      </c>
      <c r="B17" s="174" t="s">
        <v>1244</v>
      </c>
      <c r="C17" s="2" t="s">
        <v>1136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B18" s="174" t="s">
        <v>1245</v>
      </c>
      <c r="C18" s="115" t="s">
        <v>1239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ht="11.25" thickBot="1" x14ac:dyDescent="0.2">
      <c r="B19" s="174"/>
      <c r="C19" s="115"/>
      <c r="D19" s="14"/>
      <c r="E19" s="14"/>
      <c r="F19" s="14"/>
      <c r="G19" s="14"/>
      <c r="I19" s="167"/>
    </row>
    <row r="20" spans="1:9" ht="12" thickTop="1" thickBot="1" x14ac:dyDescent="0.2">
      <c r="B20" s="174" t="s">
        <v>1241</v>
      </c>
      <c r="C20" s="35" t="s">
        <v>1243</v>
      </c>
      <c r="D20" s="169">
        <f t="shared" ref="D20:I20" si="1">SUM(D8:D18)</f>
        <v>0</v>
      </c>
      <c r="E20" s="169">
        <f t="shared" si="1"/>
        <v>0</v>
      </c>
      <c r="F20" s="169">
        <f t="shared" si="1"/>
        <v>0</v>
      </c>
      <c r="G20" s="169">
        <f t="shared" si="1"/>
        <v>0</v>
      </c>
      <c r="H20" s="169">
        <f t="shared" si="1"/>
        <v>0</v>
      </c>
      <c r="I20" s="169">
        <f t="shared" si="1"/>
        <v>0</v>
      </c>
    </row>
    <row r="21" spans="1:9" ht="12" thickTop="1" thickBot="1" x14ac:dyDescent="0.2">
      <c r="C21" s="115"/>
      <c r="D21" s="159"/>
      <c r="E21" s="170"/>
      <c r="F21" s="159"/>
      <c r="I21" s="167"/>
    </row>
    <row r="22" spans="1:9" ht="11.25" thickBot="1" x14ac:dyDescent="0.2">
      <c r="A22" s="35" t="s">
        <v>1512</v>
      </c>
      <c r="D22" s="171">
        <f t="shared" ref="D22:I22" si="2">D6+D20</f>
        <v>0</v>
      </c>
      <c r="E22" s="171">
        <f t="shared" si="2"/>
        <v>0</v>
      </c>
      <c r="F22" s="171">
        <f t="shared" si="2"/>
        <v>0</v>
      </c>
      <c r="G22" s="171">
        <f t="shared" si="2"/>
        <v>0</v>
      </c>
      <c r="H22" s="171">
        <f t="shared" si="2"/>
        <v>0</v>
      </c>
      <c r="I22" s="171">
        <f t="shared" si="2"/>
        <v>0</v>
      </c>
    </row>
    <row r="23" spans="1:9" x14ac:dyDescent="0.15">
      <c r="D23" s="159"/>
      <c r="E23" s="159"/>
      <c r="F23" s="159"/>
      <c r="I23" s="167"/>
    </row>
    <row r="24" spans="1:9" x14ac:dyDescent="0.15">
      <c r="A24" s="36" t="s">
        <v>198</v>
      </c>
      <c r="C24" s="210" t="s">
        <v>199</v>
      </c>
      <c r="D24" s="159"/>
      <c r="E24" s="159"/>
      <c r="F24" s="159"/>
      <c r="I24" s="167"/>
    </row>
    <row r="25" spans="1:9" x14ac:dyDescent="0.15">
      <c r="A25" s="152" t="s">
        <v>1577</v>
      </c>
      <c r="B25" s="160" t="s">
        <v>1242</v>
      </c>
      <c r="C25" s="312" t="s">
        <v>228</v>
      </c>
      <c r="D25" s="41">
        <v>0</v>
      </c>
      <c r="E25" s="41">
        <v>0</v>
      </c>
      <c r="F25" s="41">
        <v>0</v>
      </c>
      <c r="G25" s="529">
        <f t="array" ref="G25">SUM(IF(CertFund&amp;CertObj=RIGHT(LEFT($A$2,7),2)&amp;A25,CertSalary))</f>
        <v>0</v>
      </c>
      <c r="H25" s="41">
        <v>0</v>
      </c>
      <c r="I25" s="564">
        <f>G25+H25</f>
        <v>0</v>
      </c>
    </row>
    <row r="26" spans="1:9" x14ac:dyDescent="0.15">
      <c r="A26" s="115" t="s">
        <v>423</v>
      </c>
      <c r="B26" s="160" t="s">
        <v>1242</v>
      </c>
      <c r="C26" s="312" t="s">
        <v>510</v>
      </c>
      <c r="D26" s="41">
        <v>0</v>
      </c>
      <c r="E26" s="41">
        <v>0</v>
      </c>
      <c r="F26" s="41">
        <v>0</v>
      </c>
      <c r="G26" s="316">
        <v>0</v>
      </c>
      <c r="H26" s="41">
        <v>0</v>
      </c>
      <c r="I26" s="564">
        <f t="shared" ref="I26:I36" si="3">G26+H26</f>
        <v>0</v>
      </c>
    </row>
    <row r="27" spans="1:9" x14ac:dyDescent="0.15">
      <c r="A27" s="152" t="s">
        <v>1578</v>
      </c>
      <c r="B27" s="174" t="s">
        <v>1247</v>
      </c>
      <c r="C27" s="312" t="s">
        <v>234</v>
      </c>
      <c r="D27" s="41">
        <v>0</v>
      </c>
      <c r="E27" s="41">
        <v>0</v>
      </c>
      <c r="F27" s="41">
        <v>0</v>
      </c>
      <c r="G27" s="529">
        <f t="array" ref="G27">SUM(IF(CertFund&amp;CertObj=RIGHT(LEFT($A$2,7),2)&amp;A25,CertBen))</f>
        <v>0</v>
      </c>
      <c r="H27" s="41">
        <v>0</v>
      </c>
      <c r="I27" s="564">
        <f>G27+H27</f>
        <v>0</v>
      </c>
    </row>
    <row r="28" spans="1:9" x14ac:dyDescent="0.15">
      <c r="A28" s="115" t="s">
        <v>424</v>
      </c>
      <c r="B28" s="174" t="s">
        <v>1247</v>
      </c>
      <c r="C28" s="312" t="s">
        <v>511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x14ac:dyDescent="0.15">
      <c r="A29" s="115" t="s">
        <v>425</v>
      </c>
      <c r="B29" s="174" t="s">
        <v>1248</v>
      </c>
      <c r="C29" s="115" t="s">
        <v>1246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15" t="s">
        <v>426</v>
      </c>
      <c r="B30" s="174" t="s">
        <v>1249</v>
      </c>
      <c r="C30" s="115" t="s">
        <v>119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15" t="s">
        <v>427</v>
      </c>
      <c r="B31" s="174" t="s">
        <v>1250</v>
      </c>
      <c r="C31" s="115" t="s">
        <v>124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15" t="s">
        <v>428</v>
      </c>
      <c r="B32" s="174" t="s">
        <v>1251</v>
      </c>
      <c r="C32" s="115" t="s">
        <v>156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108" t="s">
        <v>81</v>
      </c>
      <c r="B33" s="174" t="s">
        <v>1252</v>
      </c>
      <c r="C33" s="1" t="s">
        <v>82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108" t="s">
        <v>202</v>
      </c>
      <c r="B34" s="174" t="s">
        <v>1253</v>
      </c>
      <c r="C34" s="1" t="s">
        <v>171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x14ac:dyDescent="0.15">
      <c r="A35" s="652" t="s">
        <v>631</v>
      </c>
      <c r="B35" s="655" t="s">
        <v>1254</v>
      </c>
      <c r="C35" s="653" t="s">
        <v>173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x14ac:dyDescent="0.15">
      <c r="A36" s="115" t="s">
        <v>1259</v>
      </c>
      <c r="B36" s="174" t="s">
        <v>1255</v>
      </c>
      <c r="C36" s="115" t="s">
        <v>1572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si="3"/>
        <v>0</v>
      </c>
    </row>
    <row r="37" spans="1:9" ht="11.25" thickBot="1" x14ac:dyDescent="0.2">
      <c r="A37" s="115"/>
      <c r="C37" s="115"/>
      <c r="D37" s="14"/>
      <c r="E37" s="159"/>
      <c r="F37" s="159"/>
      <c r="I37" s="167"/>
    </row>
    <row r="38" spans="1:9" ht="12" thickTop="1" thickBot="1" x14ac:dyDescent="0.2">
      <c r="B38" s="174" t="s">
        <v>1260</v>
      </c>
      <c r="C38" s="35" t="s">
        <v>1036</v>
      </c>
      <c r="D38" s="173">
        <f t="shared" ref="D38:I38" si="4">SUM(D25:D36)</f>
        <v>0</v>
      </c>
      <c r="E38" s="173">
        <f t="shared" si="4"/>
        <v>0</v>
      </c>
      <c r="F38" s="173">
        <f t="shared" si="4"/>
        <v>0</v>
      </c>
      <c r="G38" s="173">
        <f t="shared" si="4"/>
        <v>0</v>
      </c>
      <c r="H38" s="173">
        <f t="shared" si="4"/>
        <v>0</v>
      </c>
      <c r="I38" s="173">
        <f t="shared" si="4"/>
        <v>0</v>
      </c>
    </row>
    <row r="39" spans="1:9" ht="11.25" thickTop="1" x14ac:dyDescent="0.15">
      <c r="D39" s="159"/>
      <c r="E39" s="159"/>
      <c r="F39" s="159"/>
      <c r="I39" s="167"/>
    </row>
    <row r="40" spans="1:9" x14ac:dyDescent="0.15">
      <c r="A40" s="155" t="s">
        <v>110</v>
      </c>
      <c r="C40" s="210" t="s">
        <v>737</v>
      </c>
      <c r="D40" s="159"/>
      <c r="E40" s="159"/>
      <c r="F40" s="159"/>
      <c r="G40" s="159"/>
      <c r="I40" s="167"/>
    </row>
    <row r="41" spans="1:9" x14ac:dyDescent="0.15">
      <c r="A41" s="154" t="s">
        <v>1522</v>
      </c>
      <c r="B41" s="160" t="s">
        <v>1261</v>
      </c>
      <c r="C41" s="115" t="s">
        <v>1516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G41+H41</f>
        <v>0</v>
      </c>
    </row>
    <row r="42" spans="1:9" x14ac:dyDescent="0.15">
      <c r="A42" s="154" t="s">
        <v>1523</v>
      </c>
      <c r="B42" s="160" t="s">
        <v>1262</v>
      </c>
      <c r="C42" s="115" t="s">
        <v>1517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G42+H42</f>
        <v>0</v>
      </c>
    </row>
    <row r="43" spans="1:9" x14ac:dyDescent="0.15">
      <c r="A43" s="154" t="s">
        <v>1524</v>
      </c>
      <c r="B43" s="160" t="s">
        <v>1263</v>
      </c>
      <c r="C43" s="115" t="s">
        <v>1518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>G43+H43</f>
        <v>0</v>
      </c>
    </row>
    <row r="44" spans="1:9" ht="11.25" customHeight="1" x14ac:dyDescent="0.15">
      <c r="A44" s="725" t="s">
        <v>1675</v>
      </c>
      <c r="B44" s="726" t="s">
        <v>1265</v>
      </c>
      <c r="C44" s="692" t="s">
        <v>1676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>G44+H44</f>
        <v>0</v>
      </c>
    </row>
    <row r="45" spans="1:9" ht="11.25" thickBot="1" x14ac:dyDescent="0.2">
      <c r="A45" s="154" t="s">
        <v>1526</v>
      </c>
      <c r="B45" s="160" t="s">
        <v>1266</v>
      </c>
      <c r="C45" s="115" t="s">
        <v>1520</v>
      </c>
      <c r="D45" s="150">
        <v>0</v>
      </c>
      <c r="E45" s="150">
        <v>0</v>
      </c>
      <c r="F45" s="150">
        <v>0</v>
      </c>
      <c r="G45" s="150">
        <v>0</v>
      </c>
      <c r="H45" s="41">
        <v>0</v>
      </c>
      <c r="I45" s="564">
        <f>G45+H45</f>
        <v>0</v>
      </c>
    </row>
    <row r="46" spans="1:9" ht="12" thickTop="1" thickBot="1" x14ac:dyDescent="0.2">
      <c r="A46" s="149"/>
      <c r="B46" s="160" t="s">
        <v>1267</v>
      </c>
      <c r="C46" s="115" t="s">
        <v>1128</v>
      </c>
      <c r="D46" s="151">
        <f t="shared" ref="D46:I46" si="5">SUM(D41:D45)</f>
        <v>0</v>
      </c>
      <c r="E46" s="151">
        <f t="shared" si="5"/>
        <v>0</v>
      </c>
      <c r="F46" s="151">
        <f t="shared" si="5"/>
        <v>0</v>
      </c>
      <c r="G46" s="151">
        <f t="shared" si="5"/>
        <v>0</v>
      </c>
      <c r="H46" s="151">
        <f t="shared" si="5"/>
        <v>0</v>
      </c>
      <c r="I46" s="169">
        <f t="shared" si="5"/>
        <v>0</v>
      </c>
    </row>
    <row r="47" spans="1:9" ht="12" thickTop="1" thickBot="1" x14ac:dyDescent="0.2">
      <c r="A47" s="149"/>
      <c r="B47" s="160"/>
      <c r="C47" s="115"/>
      <c r="D47" s="159"/>
      <c r="E47" s="159"/>
      <c r="F47" s="159"/>
      <c r="G47" s="159"/>
      <c r="I47" s="167"/>
    </row>
    <row r="48" spans="1:9" ht="11.25" thickBot="1" x14ac:dyDescent="0.2">
      <c r="A48" s="736" t="s">
        <v>1038</v>
      </c>
      <c r="B48" s="736"/>
      <c r="C48" s="737"/>
      <c r="D48" s="212">
        <f t="shared" ref="D48:I48" si="6">D38+D46</f>
        <v>0</v>
      </c>
      <c r="E48" s="212">
        <f t="shared" si="6"/>
        <v>0</v>
      </c>
      <c r="F48" s="212">
        <f t="shared" si="6"/>
        <v>0</v>
      </c>
      <c r="G48" s="212">
        <f t="shared" si="6"/>
        <v>0</v>
      </c>
      <c r="H48" s="212">
        <f t="shared" si="6"/>
        <v>0</v>
      </c>
      <c r="I48" s="212">
        <f t="shared" si="6"/>
        <v>0</v>
      </c>
    </row>
    <row r="49" spans="1:9" x14ac:dyDescent="0.15">
      <c r="A49" s="149"/>
      <c r="C49" s="115" t="s">
        <v>725</v>
      </c>
      <c r="D49" s="159"/>
      <c r="E49" s="159"/>
      <c r="F49" s="159"/>
      <c r="G49" s="159"/>
      <c r="I49" s="167"/>
    </row>
    <row r="50" spans="1:9" ht="11.25" thickBot="1" x14ac:dyDescent="0.2">
      <c r="A50" s="149"/>
      <c r="C50" s="115"/>
      <c r="D50" s="159"/>
      <c r="E50" s="159"/>
      <c r="F50" s="159"/>
      <c r="G50" s="159"/>
      <c r="I50" s="167"/>
    </row>
    <row r="51" spans="1:9" ht="12" thickTop="1" thickBot="1" x14ac:dyDescent="0.2">
      <c r="C51" s="172" t="s">
        <v>726</v>
      </c>
      <c r="D51" s="173">
        <f t="shared" ref="D51:I51" si="7">D22</f>
        <v>0</v>
      </c>
      <c r="E51" s="173">
        <f t="shared" si="7"/>
        <v>0</v>
      </c>
      <c r="F51" s="173">
        <f t="shared" si="7"/>
        <v>0</v>
      </c>
      <c r="G51" s="173">
        <f t="shared" si="7"/>
        <v>0</v>
      </c>
      <c r="H51" s="173">
        <f t="shared" si="7"/>
        <v>0</v>
      </c>
      <c r="I51" s="173">
        <f t="shared" si="7"/>
        <v>0</v>
      </c>
    </row>
    <row r="52" spans="1:9" ht="11.25" thickTop="1" x14ac:dyDescent="0.15">
      <c r="I52" s="167"/>
    </row>
    <row r="53" spans="1:9" x14ac:dyDescent="0.15">
      <c r="C53" s="172" t="s">
        <v>727</v>
      </c>
      <c r="D53" s="158">
        <f t="shared" ref="D53:I53" si="8">D48-D51</f>
        <v>0</v>
      </c>
      <c r="E53" s="158">
        <f t="shared" si="8"/>
        <v>0</v>
      </c>
      <c r="F53" s="158">
        <f t="shared" si="8"/>
        <v>0</v>
      </c>
      <c r="G53" s="158">
        <f t="shared" si="8"/>
        <v>0</v>
      </c>
      <c r="H53" s="158">
        <f t="shared" si="8"/>
        <v>0</v>
      </c>
      <c r="I53" s="167">
        <f t="shared" si="8"/>
        <v>0</v>
      </c>
    </row>
    <row r="54" spans="1:9" x14ac:dyDescent="0.15">
      <c r="B54" s="3"/>
      <c r="D54" s="3"/>
      <c r="E54" s="8"/>
      <c r="F54" s="8"/>
      <c r="G54" s="159"/>
      <c r="I54" s="167"/>
    </row>
    <row r="55" spans="1:9" x14ac:dyDescent="0.15">
      <c r="A55" s="208" t="s">
        <v>372</v>
      </c>
      <c r="B55" s="3"/>
      <c r="D55" s="3"/>
      <c r="E55" s="8"/>
      <c r="F55" s="8"/>
      <c r="G55" s="159"/>
      <c r="I55" s="167"/>
    </row>
  </sheetData>
  <sheetProtection password="CB03" sheet="1" formatCells="0" formatColumns="0" formatRows="0"/>
  <mergeCells count="1">
    <mergeCell ref="A48:C48"/>
  </mergeCells>
  <phoneticPr fontId="15" type="noConversion"/>
  <pageMargins left="0.5" right="0.5" top="0.75" bottom="0.75" header="0.5" footer="0.5"/>
  <pageSetup scale="66" firstPageNumber="35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opLeftCell="A13" workbookViewId="0">
      <selection activeCell="E45" sqref="E45"/>
    </sheetView>
  </sheetViews>
  <sheetFormatPr defaultRowHeight="10.5" x14ac:dyDescent="0.15"/>
  <cols>
    <col min="1" max="1" width="10" style="158" customWidth="1"/>
    <col min="2" max="2" width="4" style="158" customWidth="1"/>
    <col min="3" max="3" width="70.83203125" style="158" customWidth="1"/>
    <col min="4" max="4" width="15.83203125" style="158" customWidth="1"/>
    <col min="5" max="5" width="17" style="158" customWidth="1"/>
    <col min="6" max="6" width="17.33203125" style="158" customWidth="1"/>
    <col min="7" max="7" width="15.83203125" style="158" customWidth="1"/>
    <col min="8" max="8" width="16.33203125" style="158" customWidth="1"/>
    <col min="9" max="9" width="16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F1" s="119"/>
      <c r="G1" s="38" t="s">
        <v>1588</v>
      </c>
    </row>
    <row r="2" spans="1:9" x14ac:dyDescent="0.15">
      <c r="A2" s="15" t="s">
        <v>422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D7" s="159"/>
      <c r="E7" s="159"/>
      <c r="F7" s="159"/>
      <c r="I7" s="167"/>
    </row>
    <row r="8" spans="1:9" x14ac:dyDescent="0.15">
      <c r="A8" s="115" t="s">
        <v>1595</v>
      </c>
      <c r="B8" s="174" t="s">
        <v>1159</v>
      </c>
      <c r="C8" s="115" t="s">
        <v>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G8+H8</f>
        <v>0</v>
      </c>
    </row>
    <row r="9" spans="1:9" x14ac:dyDescent="0.15">
      <c r="A9" s="115" t="s">
        <v>1596</v>
      </c>
      <c r="B9" s="174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18" si="0">G9+H9</f>
        <v>0</v>
      </c>
    </row>
    <row r="10" spans="1:9" x14ac:dyDescent="0.15">
      <c r="A10" s="115" t="s">
        <v>1598</v>
      </c>
      <c r="B10" s="174" t="s">
        <v>1161</v>
      </c>
      <c r="C10" s="115" t="s">
        <v>1235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1601</v>
      </c>
      <c r="B11" s="174" t="s">
        <v>1228</v>
      </c>
      <c r="C11" s="115" t="s">
        <v>442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1234</v>
      </c>
      <c r="B12" s="174" t="s">
        <v>1229</v>
      </c>
      <c r="C12" s="115" t="s">
        <v>1236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52" t="s">
        <v>524</v>
      </c>
      <c r="B13" s="174" t="s">
        <v>1230</v>
      </c>
      <c r="C13" s="115" t="s">
        <v>1237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 t="s">
        <v>526</v>
      </c>
      <c r="B14" s="174" t="s">
        <v>1231</v>
      </c>
      <c r="C14" s="115" t="s">
        <v>527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15" t="s">
        <v>1602</v>
      </c>
      <c r="B15" s="174" t="s">
        <v>1232</v>
      </c>
      <c r="C15" s="115" t="s">
        <v>443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15" t="s">
        <v>102</v>
      </c>
      <c r="B16" s="174" t="s">
        <v>1240</v>
      </c>
      <c r="C16" s="115" t="s">
        <v>1238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15" t="s">
        <v>105</v>
      </c>
      <c r="B17" s="174" t="s">
        <v>1244</v>
      </c>
      <c r="C17" s="2" t="s">
        <v>1136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B18" s="174" t="s">
        <v>1245</v>
      </c>
      <c r="C18" s="115" t="s">
        <v>1239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ht="11.25" thickBot="1" x14ac:dyDescent="0.2">
      <c r="B19" s="174"/>
      <c r="C19" s="115"/>
      <c r="D19" s="14"/>
      <c r="E19" s="14"/>
      <c r="F19" s="14"/>
      <c r="G19" s="14"/>
      <c r="I19" s="167"/>
    </row>
    <row r="20" spans="1:9" ht="12" thickTop="1" thickBot="1" x14ac:dyDescent="0.2">
      <c r="B20" s="174" t="s">
        <v>1241</v>
      </c>
      <c r="C20" s="35" t="s">
        <v>1243</v>
      </c>
      <c r="D20" s="169">
        <f t="shared" ref="D20:I20" si="1">SUM(D8:D18)</f>
        <v>0</v>
      </c>
      <c r="E20" s="169">
        <f t="shared" si="1"/>
        <v>0</v>
      </c>
      <c r="F20" s="169">
        <f t="shared" si="1"/>
        <v>0</v>
      </c>
      <c r="G20" s="169">
        <f t="shared" si="1"/>
        <v>0</v>
      </c>
      <c r="H20" s="169">
        <f t="shared" si="1"/>
        <v>0</v>
      </c>
      <c r="I20" s="169">
        <f t="shared" si="1"/>
        <v>0</v>
      </c>
    </row>
    <row r="21" spans="1:9" ht="12" thickTop="1" thickBot="1" x14ac:dyDescent="0.2">
      <c r="C21" s="115"/>
      <c r="D21" s="159"/>
      <c r="E21" s="170"/>
      <c r="F21" s="159"/>
      <c r="I21" s="167"/>
    </row>
    <row r="22" spans="1:9" ht="11.25" thickBot="1" x14ac:dyDescent="0.2">
      <c r="A22" s="35" t="s">
        <v>1512</v>
      </c>
      <c r="D22" s="171">
        <f t="shared" ref="D22:I22" si="2">D6+D20</f>
        <v>0</v>
      </c>
      <c r="E22" s="171">
        <f t="shared" si="2"/>
        <v>0</v>
      </c>
      <c r="F22" s="171">
        <f t="shared" si="2"/>
        <v>0</v>
      </c>
      <c r="G22" s="171">
        <f t="shared" si="2"/>
        <v>0</v>
      </c>
      <c r="H22" s="171">
        <f t="shared" si="2"/>
        <v>0</v>
      </c>
      <c r="I22" s="171">
        <f t="shared" si="2"/>
        <v>0</v>
      </c>
    </row>
    <row r="23" spans="1:9" x14ac:dyDescent="0.15">
      <c r="D23" s="159"/>
      <c r="E23" s="159"/>
      <c r="F23" s="159"/>
      <c r="I23" s="167"/>
    </row>
    <row r="24" spans="1:9" x14ac:dyDescent="0.15">
      <c r="D24" s="159"/>
      <c r="E24" s="159"/>
      <c r="F24" s="159"/>
      <c r="I24" s="167"/>
    </row>
    <row r="25" spans="1:9" x14ac:dyDescent="0.15">
      <c r="A25" s="36" t="s">
        <v>198</v>
      </c>
      <c r="C25" s="210" t="s">
        <v>199</v>
      </c>
      <c r="D25" s="159"/>
      <c r="E25" s="159"/>
      <c r="F25" s="159"/>
      <c r="I25" s="167"/>
    </row>
    <row r="26" spans="1:9" x14ac:dyDescent="0.15">
      <c r="A26" s="115" t="s">
        <v>423</v>
      </c>
      <c r="B26" s="160" t="s">
        <v>1242</v>
      </c>
      <c r="C26" s="115" t="s">
        <v>230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ref="I26:I35" si="3">G26+H26</f>
        <v>0</v>
      </c>
    </row>
    <row r="27" spans="1:9" x14ac:dyDescent="0.15">
      <c r="A27" s="115" t="s">
        <v>424</v>
      </c>
      <c r="B27" s="174" t="s">
        <v>1247</v>
      </c>
      <c r="C27" s="115" t="s">
        <v>231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3"/>
        <v>0</v>
      </c>
    </row>
    <row r="28" spans="1:9" x14ac:dyDescent="0.15">
      <c r="A28" s="115" t="s">
        <v>425</v>
      </c>
      <c r="B28" s="174" t="s">
        <v>1248</v>
      </c>
      <c r="C28" s="115" t="s">
        <v>1246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x14ac:dyDescent="0.15">
      <c r="A29" s="115" t="s">
        <v>426</v>
      </c>
      <c r="B29" s="174" t="s">
        <v>1249</v>
      </c>
      <c r="C29" s="115" t="s">
        <v>119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15" t="s">
        <v>427</v>
      </c>
      <c r="B30" s="174" t="s">
        <v>1250</v>
      </c>
      <c r="C30" s="115" t="s">
        <v>124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15" t="s">
        <v>428</v>
      </c>
      <c r="B31" s="174" t="s">
        <v>1251</v>
      </c>
      <c r="C31" s="115" t="s">
        <v>156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08" t="s">
        <v>81</v>
      </c>
      <c r="B32" s="174" t="s">
        <v>1252</v>
      </c>
      <c r="C32" s="1" t="s">
        <v>82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108" t="s">
        <v>202</v>
      </c>
      <c r="B33" s="174" t="s">
        <v>1253</v>
      </c>
      <c r="C33" s="1" t="s">
        <v>171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652" t="s">
        <v>631</v>
      </c>
      <c r="B34" s="655" t="s">
        <v>1254</v>
      </c>
      <c r="C34" s="653" t="s">
        <v>173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x14ac:dyDescent="0.15">
      <c r="A35" s="115" t="s">
        <v>1259</v>
      </c>
      <c r="B35" s="174" t="s">
        <v>1255</v>
      </c>
      <c r="C35" s="115" t="s">
        <v>1572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ht="11.25" thickBot="1" x14ac:dyDescent="0.2">
      <c r="A36" s="115"/>
      <c r="C36" s="115"/>
      <c r="D36" s="14"/>
      <c r="E36" s="159"/>
      <c r="F36" s="159"/>
      <c r="I36" s="167"/>
    </row>
    <row r="37" spans="1:9" ht="12" thickTop="1" thickBot="1" x14ac:dyDescent="0.2">
      <c r="B37" s="174" t="s">
        <v>1260</v>
      </c>
      <c r="C37" s="35" t="s">
        <v>1036</v>
      </c>
      <c r="D37" s="173">
        <f t="shared" ref="D37:I37" si="4">SUM(D26:D35)</f>
        <v>0</v>
      </c>
      <c r="E37" s="173">
        <f t="shared" si="4"/>
        <v>0</v>
      </c>
      <c r="F37" s="173">
        <f t="shared" si="4"/>
        <v>0</v>
      </c>
      <c r="G37" s="173">
        <f t="shared" si="4"/>
        <v>0</v>
      </c>
      <c r="H37" s="173">
        <f t="shared" si="4"/>
        <v>0</v>
      </c>
      <c r="I37" s="173">
        <f t="shared" si="4"/>
        <v>0</v>
      </c>
    </row>
    <row r="38" spans="1:9" ht="11.25" thickTop="1" x14ac:dyDescent="0.15">
      <c r="D38" s="159"/>
      <c r="E38" s="159"/>
      <c r="F38" s="159"/>
      <c r="I38" s="167"/>
    </row>
    <row r="39" spans="1:9" x14ac:dyDescent="0.15">
      <c r="A39" s="155" t="s">
        <v>110</v>
      </c>
      <c r="C39" s="210" t="s">
        <v>737</v>
      </c>
      <c r="D39" s="159"/>
      <c r="E39" s="159"/>
      <c r="F39" s="159"/>
      <c r="G39" s="159"/>
      <c r="I39" s="167"/>
    </row>
    <row r="40" spans="1:9" x14ac:dyDescent="0.15">
      <c r="A40" s="154" t="s">
        <v>1522</v>
      </c>
      <c r="B40" s="160" t="s">
        <v>1261</v>
      </c>
      <c r="C40" s="115" t="s">
        <v>1516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>G40+H40</f>
        <v>0</v>
      </c>
    </row>
    <row r="41" spans="1:9" x14ac:dyDescent="0.15">
      <c r="A41" s="154" t="s">
        <v>1523</v>
      </c>
      <c r="B41" s="160" t="s">
        <v>1262</v>
      </c>
      <c r="C41" s="115" t="s">
        <v>1517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G41+H41</f>
        <v>0</v>
      </c>
    </row>
    <row r="42" spans="1:9" x14ac:dyDescent="0.15">
      <c r="A42" s="154" t="s">
        <v>1524</v>
      </c>
      <c r="B42" s="160" t="s">
        <v>1263</v>
      </c>
      <c r="C42" s="115" t="s">
        <v>1518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G42+H42</f>
        <v>0</v>
      </c>
    </row>
    <row r="43" spans="1:9" x14ac:dyDescent="0.15">
      <c r="A43" s="725" t="s">
        <v>1675</v>
      </c>
      <c r="B43" s="726" t="s">
        <v>1265</v>
      </c>
      <c r="C43" s="692" t="s">
        <v>1676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>G43+H43</f>
        <v>0</v>
      </c>
    </row>
    <row r="44" spans="1:9" ht="11.25" thickBot="1" x14ac:dyDescent="0.2">
      <c r="A44" s="154" t="s">
        <v>1526</v>
      </c>
      <c r="B44" s="160" t="s">
        <v>1266</v>
      </c>
      <c r="C44" s="115" t="s">
        <v>1520</v>
      </c>
      <c r="D44" s="150">
        <v>0</v>
      </c>
      <c r="E44" s="150">
        <v>0</v>
      </c>
      <c r="F44" s="150">
        <v>0</v>
      </c>
      <c r="G44" s="150">
        <v>0</v>
      </c>
      <c r="H44" s="41">
        <v>0</v>
      </c>
      <c r="I44" s="564">
        <f>G44+H44</f>
        <v>0</v>
      </c>
    </row>
    <row r="45" spans="1:9" ht="12" thickTop="1" thickBot="1" x14ac:dyDescent="0.2">
      <c r="A45" s="149"/>
      <c r="B45" s="160" t="s">
        <v>1267</v>
      </c>
      <c r="C45" s="115" t="s">
        <v>1128</v>
      </c>
      <c r="D45" s="151">
        <f t="shared" ref="D45:I45" si="5">SUM(D40:D44)</f>
        <v>0</v>
      </c>
      <c r="E45" s="151">
        <f t="shared" si="5"/>
        <v>0</v>
      </c>
      <c r="F45" s="151">
        <f t="shared" si="5"/>
        <v>0</v>
      </c>
      <c r="G45" s="151">
        <f t="shared" si="5"/>
        <v>0</v>
      </c>
      <c r="H45" s="151">
        <f t="shared" si="5"/>
        <v>0</v>
      </c>
      <c r="I45" s="169">
        <f t="shared" si="5"/>
        <v>0</v>
      </c>
    </row>
    <row r="46" spans="1:9" ht="12" thickTop="1" thickBot="1" x14ac:dyDescent="0.2">
      <c r="A46" s="149"/>
      <c r="B46" s="160"/>
      <c r="C46" s="115"/>
      <c r="D46" s="159"/>
      <c r="E46" s="159"/>
      <c r="F46" s="159"/>
      <c r="G46" s="159"/>
      <c r="I46" s="167"/>
    </row>
    <row r="47" spans="1:9" ht="23.25" customHeight="1" thickBot="1" x14ac:dyDescent="0.2">
      <c r="A47" s="736" t="s">
        <v>1038</v>
      </c>
      <c r="B47" s="736"/>
      <c r="C47" s="737"/>
      <c r="D47" s="212">
        <f t="shared" ref="D47:I47" si="6">D37+D45</f>
        <v>0</v>
      </c>
      <c r="E47" s="212">
        <f t="shared" si="6"/>
        <v>0</v>
      </c>
      <c r="F47" s="212">
        <f t="shared" si="6"/>
        <v>0</v>
      </c>
      <c r="G47" s="212">
        <f t="shared" si="6"/>
        <v>0</v>
      </c>
      <c r="H47" s="212">
        <f t="shared" si="6"/>
        <v>0</v>
      </c>
      <c r="I47" s="212">
        <f t="shared" si="6"/>
        <v>0</v>
      </c>
    </row>
    <row r="48" spans="1:9" x14ac:dyDescent="0.15">
      <c r="A48" s="149"/>
      <c r="C48" s="115" t="s">
        <v>725</v>
      </c>
      <c r="D48" s="159"/>
      <c r="E48" s="159"/>
      <c r="F48" s="159"/>
      <c r="G48" s="159"/>
      <c r="I48" s="167"/>
    </row>
    <row r="49" spans="1:9" ht="11.25" thickBot="1" x14ac:dyDescent="0.2">
      <c r="A49" s="149"/>
      <c r="C49" s="115"/>
      <c r="D49" s="159"/>
      <c r="E49" s="159"/>
      <c r="F49" s="159"/>
      <c r="G49" s="159"/>
      <c r="I49" s="167"/>
    </row>
    <row r="50" spans="1:9" ht="12" thickTop="1" thickBot="1" x14ac:dyDescent="0.2">
      <c r="C50" s="172" t="s">
        <v>726</v>
      </c>
      <c r="D50" s="173">
        <f t="shared" ref="D50:I50" si="7">D22</f>
        <v>0</v>
      </c>
      <c r="E50" s="173">
        <f t="shared" si="7"/>
        <v>0</v>
      </c>
      <c r="F50" s="173">
        <f t="shared" si="7"/>
        <v>0</v>
      </c>
      <c r="G50" s="173">
        <f t="shared" si="7"/>
        <v>0</v>
      </c>
      <c r="H50" s="173">
        <f t="shared" si="7"/>
        <v>0</v>
      </c>
      <c r="I50" s="173">
        <f t="shared" si="7"/>
        <v>0</v>
      </c>
    </row>
    <row r="51" spans="1:9" ht="11.25" thickTop="1" x14ac:dyDescent="0.15">
      <c r="I51" s="167"/>
    </row>
    <row r="52" spans="1:9" x14ac:dyDescent="0.15">
      <c r="C52" s="172" t="s">
        <v>727</v>
      </c>
      <c r="D52" s="158">
        <f t="shared" ref="D52:I52" si="8">D47-D50</f>
        <v>0</v>
      </c>
      <c r="E52" s="158">
        <f t="shared" si="8"/>
        <v>0</v>
      </c>
      <c r="F52" s="158">
        <f t="shared" si="8"/>
        <v>0</v>
      </c>
      <c r="G52" s="158">
        <f t="shared" si="8"/>
        <v>0</v>
      </c>
      <c r="H52" s="158">
        <f t="shared" si="8"/>
        <v>0</v>
      </c>
      <c r="I52" s="167">
        <f t="shared" si="8"/>
        <v>0</v>
      </c>
    </row>
    <row r="53" spans="1:9" x14ac:dyDescent="0.15">
      <c r="B53" s="3"/>
      <c r="D53" s="3"/>
      <c r="E53" s="8"/>
      <c r="F53" s="8"/>
      <c r="G53" s="159"/>
      <c r="I53" s="167"/>
    </row>
    <row r="54" spans="1:9" x14ac:dyDescent="0.15">
      <c r="A54" s="208" t="s">
        <v>1137</v>
      </c>
      <c r="B54" s="3"/>
      <c r="D54" s="3"/>
      <c r="E54" s="8"/>
      <c r="F54" s="8"/>
      <c r="G54" s="159"/>
      <c r="I54" s="167"/>
    </row>
  </sheetData>
  <sheetProtection formatCells="0" formatColumns="0" formatRows="0"/>
  <mergeCells count="1">
    <mergeCell ref="A47:C47"/>
  </mergeCells>
  <phoneticPr fontId="15" type="noConversion"/>
  <pageMargins left="0.5" right="0.5" top="0.75" bottom="0.75" header="0.5" footer="0.5"/>
  <pageSetup scale="66" firstPageNumber="35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6" workbookViewId="0">
      <selection activeCell="E69" sqref="E69"/>
    </sheetView>
  </sheetViews>
  <sheetFormatPr defaultRowHeight="10.5" x14ac:dyDescent="0.15"/>
  <cols>
    <col min="1" max="1" width="18.6640625" style="158" customWidth="1"/>
    <col min="2" max="2" width="4.1640625" style="158" customWidth="1"/>
    <col min="3" max="3" width="70.83203125" style="158" customWidth="1"/>
    <col min="4" max="4" width="15.83203125" style="158" customWidth="1"/>
    <col min="5" max="5" width="16.83203125" style="158" customWidth="1"/>
    <col min="6" max="6" width="17.1640625" style="158" customWidth="1"/>
    <col min="7" max="7" width="15.83203125" style="158" customWidth="1"/>
    <col min="8" max="8" width="16.83203125" style="158" customWidth="1"/>
    <col min="9" max="9" width="15.332031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5" t="s">
        <v>430</v>
      </c>
    </row>
    <row r="3" spans="1:9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x14ac:dyDescent="0.15">
      <c r="D5" s="166"/>
      <c r="E5" s="166"/>
      <c r="F5" s="166"/>
      <c r="G5" s="166"/>
    </row>
    <row r="6" spans="1:9" ht="11.25" thickBot="1" x14ac:dyDescent="0.2">
      <c r="D6" s="166"/>
      <c r="E6" s="166"/>
      <c r="F6" s="166"/>
      <c r="G6" s="166"/>
      <c r="I6" s="167"/>
    </row>
    <row r="7" spans="1:9" ht="11.25" thickBot="1" x14ac:dyDescent="0.2">
      <c r="A7" s="35" t="s">
        <v>195</v>
      </c>
      <c r="B7" s="35" t="s">
        <v>1589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171">
        <f>G7+H7</f>
        <v>0</v>
      </c>
    </row>
    <row r="8" spans="1:9" x14ac:dyDescent="0.15">
      <c r="A8" s="36" t="s">
        <v>1592</v>
      </c>
      <c r="C8" s="210" t="s">
        <v>196</v>
      </c>
      <c r="E8" s="159"/>
      <c r="F8" s="159"/>
      <c r="G8" s="159"/>
      <c r="I8" s="167"/>
    </row>
    <row r="9" spans="1:9" x14ac:dyDescent="0.15">
      <c r="A9" s="115" t="s">
        <v>438</v>
      </c>
      <c r="B9" s="160" t="s">
        <v>1159</v>
      </c>
      <c r="C9" s="115" t="s">
        <v>1256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14" si="0">G9+H9</f>
        <v>0</v>
      </c>
    </row>
    <row r="10" spans="1:9" x14ac:dyDescent="0.15">
      <c r="A10" s="115" t="s">
        <v>1602</v>
      </c>
      <c r="B10" s="160" t="s">
        <v>1160</v>
      </c>
      <c r="C10" s="115" t="s">
        <v>443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439</v>
      </c>
      <c r="B11" s="160" t="s">
        <v>1161</v>
      </c>
      <c r="C11" s="115" t="s">
        <v>1257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440</v>
      </c>
      <c r="B12" s="160" t="s">
        <v>1228</v>
      </c>
      <c r="C12" s="115" t="s">
        <v>1258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15" t="s">
        <v>105</v>
      </c>
      <c r="B13" s="160" t="s">
        <v>1229</v>
      </c>
      <c r="C13" s="2" t="s">
        <v>854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/>
      <c r="B14" s="174" t="s">
        <v>1230</v>
      </c>
      <c r="C14" s="138" t="s">
        <v>212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ht="11.25" thickBot="1" x14ac:dyDescent="0.2">
      <c r="A15" s="115"/>
      <c r="B15" s="167"/>
      <c r="C15" s="2"/>
      <c r="E15" s="14"/>
      <c r="F15" s="159"/>
      <c r="G15" s="159"/>
      <c r="I15" s="167"/>
    </row>
    <row r="16" spans="1:9" ht="12" thickTop="1" thickBot="1" x14ac:dyDescent="0.2">
      <c r="B16" s="174" t="s">
        <v>1231</v>
      </c>
      <c r="C16" s="35" t="s">
        <v>213</v>
      </c>
      <c r="D16" s="169">
        <f t="shared" ref="D16:I16" si="1">SUM(D9:D14)</f>
        <v>0</v>
      </c>
      <c r="E16" s="169">
        <f t="shared" si="1"/>
        <v>0</v>
      </c>
      <c r="F16" s="169">
        <f t="shared" si="1"/>
        <v>0</v>
      </c>
      <c r="G16" s="169">
        <f t="shared" si="1"/>
        <v>0</v>
      </c>
      <c r="H16" s="169">
        <f t="shared" si="1"/>
        <v>0</v>
      </c>
      <c r="I16" s="169">
        <f t="shared" si="1"/>
        <v>0</v>
      </c>
    </row>
    <row r="17" spans="1:9" ht="12" thickTop="1" thickBot="1" x14ac:dyDescent="0.2">
      <c r="C17" s="115"/>
      <c r="I17" s="167"/>
    </row>
    <row r="18" spans="1:9" ht="11.25" thickBot="1" x14ac:dyDescent="0.2">
      <c r="A18" s="35" t="s">
        <v>214</v>
      </c>
      <c r="D18" s="171">
        <f t="shared" ref="D18:I18" si="2">D7+D16</f>
        <v>0</v>
      </c>
      <c r="E18" s="171">
        <f t="shared" si="2"/>
        <v>0</v>
      </c>
      <c r="F18" s="171">
        <f t="shared" si="2"/>
        <v>0</v>
      </c>
      <c r="G18" s="171">
        <f t="shared" si="2"/>
        <v>0</v>
      </c>
      <c r="H18" s="171">
        <f t="shared" si="2"/>
        <v>0</v>
      </c>
      <c r="I18" s="171">
        <f t="shared" si="2"/>
        <v>0</v>
      </c>
    </row>
    <row r="19" spans="1:9" x14ac:dyDescent="0.15">
      <c r="E19" s="159"/>
      <c r="F19" s="159"/>
      <c r="G19" s="159"/>
      <c r="I19" s="167"/>
    </row>
    <row r="20" spans="1:9" x14ac:dyDescent="0.15">
      <c r="A20" s="660" t="s">
        <v>824</v>
      </c>
      <c r="B20" s="424"/>
      <c r="C20" s="495" t="s">
        <v>816</v>
      </c>
      <c r="D20" s="423"/>
      <c r="E20" s="423"/>
      <c r="F20" s="423"/>
      <c r="G20" s="423"/>
      <c r="H20" s="423"/>
      <c r="I20" s="179"/>
    </row>
    <row r="21" spans="1:9" x14ac:dyDescent="0.15">
      <c r="A21" s="436" t="s">
        <v>105</v>
      </c>
      <c r="B21" s="501" t="s">
        <v>1437</v>
      </c>
      <c r="C21" s="2" t="s">
        <v>827</v>
      </c>
      <c r="D21" s="41">
        <v>0</v>
      </c>
      <c r="E21" s="41">
        <v>0</v>
      </c>
      <c r="F21" s="41">
        <v>0</v>
      </c>
      <c r="G21" s="41">
        <v>0</v>
      </c>
      <c r="H21" s="534">
        <v>0</v>
      </c>
      <c r="I21" s="535">
        <f>SUM(G21+H21)</f>
        <v>0</v>
      </c>
    </row>
    <row r="22" spans="1:9" x14ac:dyDescent="0.15">
      <c r="A22" s="436"/>
      <c r="B22" s="501"/>
      <c r="C22" s="2"/>
      <c r="D22" s="14"/>
      <c r="E22" s="14"/>
      <c r="F22" s="14"/>
      <c r="G22" s="14"/>
      <c r="H22" s="308"/>
      <c r="I22" s="305"/>
    </row>
    <row r="23" spans="1:9" x14ac:dyDescent="0.15">
      <c r="A23" s="490"/>
      <c r="B23" s="424"/>
      <c r="C23" s="423"/>
      <c r="D23" s="423"/>
      <c r="E23" s="423"/>
      <c r="F23" s="423"/>
      <c r="G23" s="423"/>
      <c r="H23" s="423"/>
      <c r="I23" s="423"/>
    </row>
    <row r="24" spans="1:9" x14ac:dyDescent="0.15">
      <c r="A24" s="36" t="s">
        <v>198</v>
      </c>
      <c r="C24" s="210" t="s">
        <v>199</v>
      </c>
      <c r="D24" s="159"/>
      <c r="E24" s="159"/>
      <c r="F24" s="159"/>
      <c r="I24" s="167"/>
    </row>
    <row r="25" spans="1:9" x14ac:dyDescent="0.15">
      <c r="A25" s="36"/>
      <c r="C25" s="158" t="s">
        <v>1190</v>
      </c>
      <c r="D25" s="159"/>
      <c r="E25" s="159"/>
      <c r="F25" s="159"/>
      <c r="I25" s="167"/>
    </row>
    <row r="26" spans="1:9" x14ac:dyDescent="0.15">
      <c r="A26" s="115" t="s">
        <v>423</v>
      </c>
      <c r="B26" s="160" t="s">
        <v>1232</v>
      </c>
      <c r="C26" s="115" t="s">
        <v>230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ref="I26:I34" si="3">G26+H26</f>
        <v>0</v>
      </c>
    </row>
    <row r="27" spans="1:9" x14ac:dyDescent="0.15">
      <c r="A27" s="115" t="s">
        <v>424</v>
      </c>
      <c r="B27" s="174" t="s">
        <v>1240</v>
      </c>
      <c r="C27" s="115" t="s">
        <v>231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3"/>
        <v>0</v>
      </c>
    </row>
    <row r="28" spans="1:9" x14ac:dyDescent="0.15">
      <c r="A28" s="115" t="s">
        <v>425</v>
      </c>
      <c r="B28" s="174" t="s">
        <v>1244</v>
      </c>
      <c r="C28" s="115" t="s">
        <v>1246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x14ac:dyDescent="0.15">
      <c r="A29" s="115" t="s">
        <v>426</v>
      </c>
      <c r="B29" s="174" t="s">
        <v>1245</v>
      </c>
      <c r="C29" s="115" t="s">
        <v>119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15" t="s">
        <v>427</v>
      </c>
      <c r="B30" s="174" t="s">
        <v>1241</v>
      </c>
      <c r="C30" s="115" t="s">
        <v>124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15" t="s">
        <v>428</v>
      </c>
      <c r="B31" s="174" t="s">
        <v>1242</v>
      </c>
      <c r="C31" s="115" t="s">
        <v>156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08" t="s">
        <v>81</v>
      </c>
      <c r="B32" s="174" t="s">
        <v>1247</v>
      </c>
      <c r="C32" s="1" t="s">
        <v>82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652" t="s">
        <v>631</v>
      </c>
      <c r="B33" s="655" t="s">
        <v>1248</v>
      </c>
      <c r="C33" s="653" t="s">
        <v>173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115" t="s">
        <v>429</v>
      </c>
      <c r="B34" s="174" t="s">
        <v>1249</v>
      </c>
      <c r="C34" s="115" t="s">
        <v>1572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ht="11.25" thickBot="1" x14ac:dyDescent="0.2">
      <c r="A35" s="115"/>
      <c r="C35" s="115"/>
      <c r="D35" s="14"/>
      <c r="E35" s="159"/>
      <c r="F35" s="159"/>
      <c r="I35" s="167"/>
    </row>
    <row r="36" spans="1:9" ht="12" thickTop="1" thickBot="1" x14ac:dyDescent="0.2">
      <c r="B36" s="174" t="s">
        <v>1250</v>
      </c>
      <c r="C36" s="115" t="s">
        <v>1129</v>
      </c>
      <c r="D36" s="169">
        <f t="shared" ref="D36:I36" si="4">SUM(D26:D34)</f>
        <v>0</v>
      </c>
      <c r="E36" s="169">
        <f t="shared" si="4"/>
        <v>0</v>
      </c>
      <c r="F36" s="169">
        <f t="shared" si="4"/>
        <v>0</v>
      </c>
      <c r="G36" s="169">
        <f t="shared" si="4"/>
        <v>0</v>
      </c>
      <c r="H36" s="169">
        <f t="shared" si="4"/>
        <v>0</v>
      </c>
      <c r="I36" s="169">
        <f t="shared" si="4"/>
        <v>0</v>
      </c>
    </row>
    <row r="37" spans="1:9" ht="11.25" thickTop="1" x14ac:dyDescent="0.15">
      <c r="A37" s="36"/>
      <c r="C37" s="40"/>
      <c r="D37" s="159"/>
      <c r="E37" s="159"/>
      <c r="F37" s="159"/>
      <c r="I37" s="167"/>
    </row>
    <row r="38" spans="1:9" x14ac:dyDescent="0.15">
      <c r="A38" s="36"/>
      <c r="C38" s="172" t="s">
        <v>411</v>
      </c>
      <c r="D38" s="159"/>
      <c r="E38" s="159"/>
      <c r="F38" s="159"/>
      <c r="I38" s="167"/>
    </row>
    <row r="39" spans="1:9" x14ac:dyDescent="0.15">
      <c r="A39" s="115" t="s">
        <v>423</v>
      </c>
      <c r="B39" s="160" t="s">
        <v>1251</v>
      </c>
      <c r="C39" s="115" t="s">
        <v>230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ref="I39:I47" si="5">G39+H39</f>
        <v>0</v>
      </c>
    </row>
    <row r="40" spans="1:9" x14ac:dyDescent="0.15">
      <c r="A40" s="115" t="s">
        <v>424</v>
      </c>
      <c r="B40" s="174" t="s">
        <v>1252</v>
      </c>
      <c r="C40" s="115" t="s">
        <v>231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5"/>
        <v>0</v>
      </c>
    </row>
    <row r="41" spans="1:9" x14ac:dyDescent="0.15">
      <c r="A41" s="115" t="s">
        <v>425</v>
      </c>
      <c r="B41" s="174" t="s">
        <v>1253</v>
      </c>
      <c r="C41" s="115" t="s">
        <v>1246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5"/>
        <v>0</v>
      </c>
    </row>
    <row r="42" spans="1:9" x14ac:dyDescent="0.15">
      <c r="A42" s="115" t="s">
        <v>426</v>
      </c>
      <c r="B42" s="174" t="s">
        <v>1254</v>
      </c>
      <c r="C42" s="115" t="s">
        <v>119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5"/>
        <v>0</v>
      </c>
    </row>
    <row r="43" spans="1:9" x14ac:dyDescent="0.15">
      <c r="A43" s="115" t="s">
        <v>427</v>
      </c>
      <c r="B43" s="174" t="s">
        <v>1255</v>
      </c>
      <c r="C43" s="115" t="s">
        <v>124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5"/>
        <v>0</v>
      </c>
    </row>
    <row r="44" spans="1:9" x14ac:dyDescent="0.15">
      <c r="A44" s="115" t="s">
        <v>428</v>
      </c>
      <c r="B44" s="174" t="s">
        <v>1260</v>
      </c>
      <c r="C44" s="115" t="s">
        <v>156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 t="shared" si="5"/>
        <v>0</v>
      </c>
    </row>
    <row r="45" spans="1:9" x14ac:dyDescent="0.15">
      <c r="A45" s="108" t="s">
        <v>81</v>
      </c>
      <c r="B45" s="174" t="s">
        <v>1261</v>
      </c>
      <c r="C45" s="1" t="s">
        <v>82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5"/>
        <v>0</v>
      </c>
    </row>
    <row r="46" spans="1:9" x14ac:dyDescent="0.15">
      <c r="A46" s="652" t="s">
        <v>631</v>
      </c>
      <c r="B46" s="655" t="s">
        <v>1262</v>
      </c>
      <c r="C46" s="653" t="s">
        <v>173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564">
        <f t="shared" si="5"/>
        <v>0</v>
      </c>
    </row>
    <row r="47" spans="1:9" x14ac:dyDescent="0.15">
      <c r="A47" s="115" t="s">
        <v>429</v>
      </c>
      <c r="B47" s="174" t="s">
        <v>1263</v>
      </c>
      <c r="C47" s="115" t="s">
        <v>1572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564">
        <f t="shared" si="5"/>
        <v>0</v>
      </c>
    </row>
    <row r="48" spans="1:9" ht="11.25" thickBot="1" x14ac:dyDescent="0.2">
      <c r="A48" s="115"/>
      <c r="C48" s="115"/>
      <c r="D48" s="14"/>
      <c r="E48" s="159"/>
      <c r="F48" s="159"/>
      <c r="I48" s="167"/>
    </row>
    <row r="49" spans="1:9" ht="12" thickTop="1" thickBot="1" x14ac:dyDescent="0.2">
      <c r="B49" s="174" t="s">
        <v>1265</v>
      </c>
      <c r="C49" s="172" t="s">
        <v>1130</v>
      </c>
      <c r="D49" s="169">
        <f t="shared" ref="D49:I49" si="6">SUM(D39:D47)</f>
        <v>0</v>
      </c>
      <c r="E49" s="169">
        <f t="shared" si="6"/>
        <v>0</v>
      </c>
      <c r="F49" s="169">
        <f t="shared" si="6"/>
        <v>0</v>
      </c>
      <c r="G49" s="169">
        <f t="shared" si="6"/>
        <v>0</v>
      </c>
      <c r="H49" s="169">
        <f t="shared" si="6"/>
        <v>0</v>
      </c>
      <c r="I49" s="169">
        <f t="shared" si="6"/>
        <v>0</v>
      </c>
    </row>
    <row r="50" spans="1:9" ht="11.25" thickTop="1" x14ac:dyDescent="0.15">
      <c r="D50" s="159"/>
      <c r="E50" s="159"/>
      <c r="F50" s="159"/>
      <c r="I50" s="167"/>
    </row>
    <row r="51" spans="1:9" x14ac:dyDescent="0.15">
      <c r="B51" s="174"/>
      <c r="C51" s="115" t="s">
        <v>391</v>
      </c>
      <c r="D51" s="14"/>
      <c r="E51" s="14"/>
      <c r="F51" s="14"/>
      <c r="G51" s="14"/>
      <c r="I51" s="167"/>
    </row>
    <row r="52" spans="1:9" x14ac:dyDescent="0.15">
      <c r="A52" s="160" t="s">
        <v>434</v>
      </c>
      <c r="B52" s="160" t="s">
        <v>1266</v>
      </c>
      <c r="C52" s="115" t="s">
        <v>413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>G52+H52</f>
        <v>0</v>
      </c>
    </row>
    <row r="53" spans="1:9" x14ac:dyDescent="0.15">
      <c r="A53" s="160" t="s">
        <v>433</v>
      </c>
      <c r="B53" s="160" t="s">
        <v>1267</v>
      </c>
      <c r="C53" s="115" t="s">
        <v>414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>G53+H53</f>
        <v>0</v>
      </c>
    </row>
    <row r="54" spans="1:9" x14ac:dyDescent="0.15">
      <c r="A54" s="495" t="s">
        <v>34</v>
      </c>
      <c r="B54" s="511"/>
      <c r="C54" s="138"/>
      <c r="D54" s="161"/>
      <c r="E54" s="161"/>
      <c r="F54" s="161"/>
      <c r="G54" s="161"/>
      <c r="H54" s="291"/>
      <c r="I54" s="671"/>
    </row>
    <row r="55" spans="1:9" x14ac:dyDescent="0.15">
      <c r="A55" s="423"/>
      <c r="B55" s="511"/>
      <c r="C55" s="658" t="s">
        <v>30</v>
      </c>
      <c r="D55" s="529">
        <f t="shared" ref="D55:I55" si="7">+D21</f>
        <v>0</v>
      </c>
      <c r="E55" s="529">
        <f t="shared" si="7"/>
        <v>0</v>
      </c>
      <c r="F55" s="529">
        <f t="shared" si="7"/>
        <v>0</v>
      </c>
      <c r="G55" s="529">
        <f t="shared" si="7"/>
        <v>0</v>
      </c>
      <c r="H55" s="529">
        <f t="shared" si="7"/>
        <v>0</v>
      </c>
      <c r="I55" s="529">
        <f t="shared" si="7"/>
        <v>0</v>
      </c>
    </row>
    <row r="56" spans="1:9" ht="11.25" thickBot="1" x14ac:dyDescent="0.2">
      <c r="C56" s="115"/>
      <c r="D56" s="14"/>
      <c r="E56" s="14"/>
      <c r="F56" s="14"/>
      <c r="G56" s="14"/>
      <c r="I56" s="167"/>
    </row>
    <row r="57" spans="1:9" ht="12" thickTop="1" thickBot="1" x14ac:dyDescent="0.2">
      <c r="B57" s="160" t="s">
        <v>1268</v>
      </c>
      <c r="C57" s="115" t="s">
        <v>1264</v>
      </c>
      <c r="D57" s="157">
        <f t="shared" ref="D57:I57" si="8">SUM(D52:D56)</f>
        <v>0</v>
      </c>
      <c r="E57" s="157">
        <f t="shared" si="8"/>
        <v>0</v>
      </c>
      <c r="F57" s="157">
        <f t="shared" si="8"/>
        <v>0</v>
      </c>
      <c r="G57" s="157">
        <f t="shared" si="8"/>
        <v>0</v>
      </c>
      <c r="H57" s="157">
        <f t="shared" si="8"/>
        <v>0</v>
      </c>
      <c r="I57" s="173">
        <f t="shared" si="8"/>
        <v>0</v>
      </c>
    </row>
    <row r="58" spans="1:9" ht="12" thickTop="1" thickBot="1" x14ac:dyDescent="0.2">
      <c r="D58" s="159"/>
      <c r="E58" s="159"/>
      <c r="F58" s="159"/>
      <c r="I58" s="167"/>
    </row>
    <row r="59" spans="1:9" ht="12" thickTop="1" thickBot="1" x14ac:dyDescent="0.2">
      <c r="B59" s="160" t="s">
        <v>1269</v>
      </c>
      <c r="C59" s="35" t="s">
        <v>1131</v>
      </c>
      <c r="D59" s="173">
        <f t="shared" ref="D59:I59" si="9">D36+D49+D57</f>
        <v>0</v>
      </c>
      <c r="E59" s="173">
        <f t="shared" si="9"/>
        <v>0</v>
      </c>
      <c r="F59" s="173">
        <f t="shared" si="9"/>
        <v>0</v>
      </c>
      <c r="G59" s="173">
        <f t="shared" si="9"/>
        <v>0</v>
      </c>
      <c r="H59" s="173">
        <f t="shared" si="9"/>
        <v>0</v>
      </c>
      <c r="I59" s="173">
        <f t="shared" si="9"/>
        <v>0</v>
      </c>
    </row>
    <row r="60" spans="1:9" ht="11.25" thickTop="1" x14ac:dyDescent="0.15">
      <c r="D60" s="159"/>
      <c r="E60" s="159"/>
      <c r="F60" s="159"/>
      <c r="I60" s="167"/>
    </row>
    <row r="61" spans="1:9" x14ac:dyDescent="0.15">
      <c r="A61" s="155" t="s">
        <v>110</v>
      </c>
      <c r="C61" s="210" t="s">
        <v>737</v>
      </c>
      <c r="D61" s="159"/>
      <c r="E61" s="159"/>
      <c r="F61" s="159"/>
      <c r="G61" s="159"/>
      <c r="I61" s="167"/>
    </row>
    <row r="62" spans="1:9" x14ac:dyDescent="0.15">
      <c r="A62" s="154" t="s">
        <v>1522</v>
      </c>
      <c r="B62" s="160" t="s">
        <v>1270</v>
      </c>
      <c r="C62" s="115" t="s">
        <v>1516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564">
        <f>G62+H62</f>
        <v>0</v>
      </c>
    </row>
    <row r="63" spans="1:9" x14ac:dyDescent="0.15">
      <c r="A63" s="154" t="s">
        <v>1523</v>
      </c>
      <c r="B63" s="160" t="s">
        <v>1271</v>
      </c>
      <c r="C63" s="115" t="s">
        <v>1517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564">
        <f>G63+H63</f>
        <v>0</v>
      </c>
    </row>
    <row r="64" spans="1:9" x14ac:dyDescent="0.15">
      <c r="A64" s="154" t="s">
        <v>1524</v>
      </c>
      <c r="B64" s="160" t="s">
        <v>1272</v>
      </c>
      <c r="C64" s="115" t="s">
        <v>1518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564">
        <f>G64+H64</f>
        <v>0</v>
      </c>
    </row>
    <row r="65" spans="1:9" ht="10.5" customHeight="1" x14ac:dyDescent="0.15">
      <c r="A65" s="725" t="s">
        <v>1675</v>
      </c>
      <c r="B65" s="726" t="s">
        <v>1273</v>
      </c>
      <c r="C65" s="692" t="s">
        <v>1676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564">
        <f>G65+H65</f>
        <v>0</v>
      </c>
    </row>
    <row r="66" spans="1:9" ht="11.25" thickBot="1" x14ac:dyDescent="0.2">
      <c r="A66" s="154" t="s">
        <v>1526</v>
      </c>
      <c r="B66" s="160" t="s">
        <v>1274</v>
      </c>
      <c r="C66" s="115" t="s">
        <v>1520</v>
      </c>
      <c r="D66" s="150">
        <v>0</v>
      </c>
      <c r="E66" s="150">
        <v>0</v>
      </c>
      <c r="F66" s="150">
        <v>0</v>
      </c>
      <c r="G66" s="150">
        <v>0</v>
      </c>
      <c r="H66" s="41">
        <v>0</v>
      </c>
      <c r="I66" s="564">
        <f>G66+H66</f>
        <v>0</v>
      </c>
    </row>
    <row r="67" spans="1:9" ht="12" thickTop="1" thickBot="1" x14ac:dyDescent="0.2">
      <c r="A67" s="149"/>
      <c r="B67" s="160" t="s">
        <v>252</v>
      </c>
      <c r="C67" s="1" t="s">
        <v>1683</v>
      </c>
      <c r="D67" s="151">
        <f t="shared" ref="D67:I67" si="10">SUM(D62:D66)</f>
        <v>0</v>
      </c>
      <c r="E67" s="151">
        <f t="shared" si="10"/>
        <v>0</v>
      </c>
      <c r="F67" s="151">
        <f t="shared" si="10"/>
        <v>0</v>
      </c>
      <c r="G67" s="151">
        <f t="shared" si="10"/>
        <v>0</v>
      </c>
      <c r="H67" s="151">
        <f t="shared" si="10"/>
        <v>0</v>
      </c>
      <c r="I67" s="169">
        <f t="shared" si="10"/>
        <v>0</v>
      </c>
    </row>
    <row r="68" spans="1:9" ht="12" thickTop="1" thickBot="1" x14ac:dyDescent="0.2">
      <c r="A68" s="149"/>
      <c r="B68" s="160"/>
      <c r="C68" s="115"/>
      <c r="D68" s="159"/>
      <c r="E68" s="159"/>
      <c r="F68" s="159"/>
      <c r="G68" s="159"/>
      <c r="I68" s="167"/>
    </row>
    <row r="69" spans="1:9" ht="11.25" thickBot="1" x14ac:dyDescent="0.2">
      <c r="A69" s="739" t="s">
        <v>1132</v>
      </c>
      <c r="B69" s="739"/>
      <c r="C69" s="740"/>
      <c r="D69" s="212">
        <f t="shared" ref="D69:I69" si="11">D59+D67</f>
        <v>0</v>
      </c>
      <c r="E69" s="212">
        <f t="shared" si="11"/>
        <v>0</v>
      </c>
      <c r="F69" s="212">
        <f t="shared" si="11"/>
        <v>0</v>
      </c>
      <c r="G69" s="212">
        <f t="shared" si="11"/>
        <v>0</v>
      </c>
      <c r="H69" s="212">
        <f t="shared" si="11"/>
        <v>0</v>
      </c>
      <c r="I69" s="212">
        <f t="shared" si="11"/>
        <v>0</v>
      </c>
    </row>
    <row r="70" spans="1:9" x14ac:dyDescent="0.15">
      <c r="C70" s="115" t="s">
        <v>725</v>
      </c>
      <c r="D70" s="159"/>
      <c r="E70" s="159"/>
      <c r="F70" s="159"/>
      <c r="G70" s="159"/>
      <c r="I70" s="167"/>
    </row>
    <row r="71" spans="1:9" ht="11.25" thickBot="1" x14ac:dyDescent="0.2">
      <c r="A71" s="149"/>
      <c r="C71" s="115"/>
      <c r="D71" s="159"/>
      <c r="E71" s="159"/>
      <c r="F71" s="159"/>
      <c r="G71" s="159"/>
      <c r="I71" s="167"/>
    </row>
    <row r="72" spans="1:9" ht="12" thickTop="1" thickBot="1" x14ac:dyDescent="0.2">
      <c r="C72" s="172" t="s">
        <v>726</v>
      </c>
      <c r="D72" s="173">
        <f t="shared" ref="D72:I72" si="12">D18</f>
        <v>0</v>
      </c>
      <c r="E72" s="173">
        <f t="shared" si="12"/>
        <v>0</v>
      </c>
      <c r="F72" s="173">
        <f t="shared" si="12"/>
        <v>0</v>
      </c>
      <c r="G72" s="173">
        <f t="shared" si="12"/>
        <v>0</v>
      </c>
      <c r="H72" s="173">
        <f t="shared" si="12"/>
        <v>0</v>
      </c>
      <c r="I72" s="173">
        <f t="shared" si="12"/>
        <v>0</v>
      </c>
    </row>
    <row r="73" spans="1:9" ht="24.75" customHeight="1" thickTop="1" x14ac:dyDescent="0.15">
      <c r="I73" s="167"/>
    </row>
    <row r="74" spans="1:9" x14ac:dyDescent="0.15">
      <c r="C74" s="172" t="s">
        <v>727</v>
      </c>
      <c r="D74" s="158">
        <f t="shared" ref="D74:I74" si="13">D69-D72</f>
        <v>0</v>
      </c>
      <c r="E74" s="158">
        <f t="shared" si="13"/>
        <v>0</v>
      </c>
      <c r="F74" s="158">
        <f t="shared" si="13"/>
        <v>0</v>
      </c>
      <c r="G74" s="158">
        <f t="shared" si="13"/>
        <v>0</v>
      </c>
      <c r="H74" s="158">
        <f t="shared" si="13"/>
        <v>0</v>
      </c>
      <c r="I74" s="167">
        <f t="shared" si="13"/>
        <v>0</v>
      </c>
    </row>
    <row r="75" spans="1:9" x14ac:dyDescent="0.15">
      <c r="I75" s="167"/>
    </row>
    <row r="76" spans="1:9" x14ac:dyDescent="0.15">
      <c r="I76" s="167"/>
    </row>
    <row r="77" spans="1:9" x14ac:dyDescent="0.15">
      <c r="A77" s="738"/>
      <c r="B77" s="738"/>
      <c r="C77" s="738"/>
      <c r="D77" s="738"/>
      <c r="E77" s="738"/>
      <c r="F77" s="738"/>
      <c r="G77" s="738"/>
    </row>
    <row r="78" spans="1:9" x14ac:dyDescent="0.15">
      <c r="C78" s="175"/>
      <c r="D78" s="176"/>
      <c r="E78" s="176"/>
      <c r="F78" s="176"/>
      <c r="G78" s="176"/>
    </row>
    <row r="79" spans="1:9" x14ac:dyDescent="0.15">
      <c r="C79" s="175"/>
      <c r="D79" s="176"/>
      <c r="E79" s="176"/>
      <c r="F79" s="176"/>
      <c r="G79" s="176"/>
    </row>
    <row r="80" spans="1:9" x14ac:dyDescent="0.15">
      <c r="C80" s="175"/>
      <c r="D80" s="176"/>
      <c r="E80" s="176"/>
      <c r="F80" s="176"/>
      <c r="G80" s="176"/>
    </row>
    <row r="81" spans="3:7" x14ac:dyDescent="0.15">
      <c r="C81" s="175"/>
      <c r="D81" s="176"/>
      <c r="E81" s="176"/>
      <c r="F81" s="176"/>
      <c r="G81" s="176"/>
    </row>
  </sheetData>
  <sheetProtection formatCells="0" formatColumns="0" formatRows="0"/>
  <mergeCells count="2">
    <mergeCell ref="A77:G77"/>
    <mergeCell ref="A69:C69"/>
  </mergeCells>
  <phoneticPr fontId="15" type="noConversion"/>
  <pageMargins left="0.5" right="0.5" top="0.75" bottom="0.75" header="0.5" footer="0.5"/>
  <pageSetup scale="63" firstPageNumber="36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opLeftCell="A10" workbookViewId="0">
      <selection activeCell="H34" sqref="H34"/>
    </sheetView>
  </sheetViews>
  <sheetFormatPr defaultRowHeight="10.5" x14ac:dyDescent="0.15"/>
  <cols>
    <col min="1" max="1" width="9" style="158" customWidth="1"/>
    <col min="2" max="2" width="3.83203125" style="158" customWidth="1"/>
    <col min="3" max="3" width="70.83203125" style="158" customWidth="1"/>
    <col min="4" max="4" width="15.83203125" style="158" customWidth="1"/>
    <col min="5" max="5" width="18" style="158" customWidth="1"/>
    <col min="6" max="6" width="17.33203125" style="158" customWidth="1"/>
    <col min="7" max="7" width="15.83203125" style="158" customWidth="1"/>
    <col min="8" max="8" width="15" style="158" customWidth="1"/>
    <col min="9" max="9" width="16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5" t="s">
        <v>431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E7" s="8"/>
      <c r="F7" s="159"/>
      <c r="G7" s="159"/>
      <c r="I7" s="167"/>
    </row>
    <row r="8" spans="1:9" x14ac:dyDescent="0.15">
      <c r="A8" s="115" t="s">
        <v>1595</v>
      </c>
      <c r="B8" s="174" t="s">
        <v>1159</v>
      </c>
      <c r="C8" s="115" t="s">
        <v>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115" t="s">
        <v>1596</v>
      </c>
      <c r="B9" s="174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20" si="0">SUM(G9+H9)</f>
        <v>0</v>
      </c>
    </row>
    <row r="10" spans="1:9" x14ac:dyDescent="0.15">
      <c r="A10" s="152" t="s">
        <v>1597</v>
      </c>
      <c r="B10" s="174" t="s">
        <v>1161</v>
      </c>
      <c r="C10" s="115" t="s">
        <v>258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1598</v>
      </c>
      <c r="B11" s="174" t="s">
        <v>1228</v>
      </c>
      <c r="C11" s="115" t="s">
        <v>1235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52" t="s">
        <v>255</v>
      </c>
      <c r="B12" s="174" t="s">
        <v>1229</v>
      </c>
      <c r="C12" s="115" t="s">
        <v>559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15" t="s">
        <v>1602</v>
      </c>
      <c r="B13" s="174" t="s">
        <v>1230</v>
      </c>
      <c r="C13" s="115" t="s">
        <v>1321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 t="s">
        <v>577</v>
      </c>
      <c r="B14" s="174" t="s">
        <v>1231</v>
      </c>
      <c r="C14" s="115" t="s">
        <v>578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52" t="s">
        <v>95</v>
      </c>
      <c r="B15" s="174" t="s">
        <v>1232</v>
      </c>
      <c r="C15" s="115" t="s">
        <v>1326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52" t="s">
        <v>1322</v>
      </c>
      <c r="B16" s="174" t="s">
        <v>1240</v>
      </c>
      <c r="C16" s="115" t="s">
        <v>1327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52" t="s">
        <v>1324</v>
      </c>
      <c r="B17" s="174" t="s">
        <v>1244</v>
      </c>
      <c r="C17" s="115" t="s">
        <v>1180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A18" s="152" t="s">
        <v>1325</v>
      </c>
      <c r="B18" s="174" t="s">
        <v>1245</v>
      </c>
      <c r="C18" s="115" t="s">
        <v>1181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x14ac:dyDescent="0.15">
      <c r="A19" s="115" t="s">
        <v>105</v>
      </c>
      <c r="B19" s="174" t="s">
        <v>1241</v>
      </c>
      <c r="C19" s="2" t="s">
        <v>860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9" x14ac:dyDescent="0.15">
      <c r="B20" s="174" t="s">
        <v>1242</v>
      </c>
      <c r="C20" s="115" t="s">
        <v>212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9" ht="11.25" thickBot="1" x14ac:dyDescent="0.2">
      <c r="A21" s="115"/>
      <c r="B21" s="167"/>
      <c r="C21" s="2"/>
      <c r="D21" s="14"/>
      <c r="E21" s="14"/>
      <c r="F21" s="14"/>
      <c r="G21" s="14"/>
      <c r="I21" s="167"/>
    </row>
    <row r="22" spans="1:9" ht="12" thickTop="1" thickBot="1" x14ac:dyDescent="0.2">
      <c r="B22" s="174" t="s">
        <v>1247</v>
      </c>
      <c r="C22" s="35" t="s">
        <v>1182</v>
      </c>
      <c r="D22" s="169">
        <f t="shared" ref="D22:I22" si="1">SUM(D8:D20)</f>
        <v>0</v>
      </c>
      <c r="E22" s="169">
        <f t="shared" si="1"/>
        <v>0</v>
      </c>
      <c r="F22" s="169">
        <f t="shared" si="1"/>
        <v>0</v>
      </c>
      <c r="G22" s="169">
        <f t="shared" si="1"/>
        <v>0</v>
      </c>
      <c r="H22" s="169">
        <f t="shared" si="1"/>
        <v>0</v>
      </c>
      <c r="I22" s="169">
        <f t="shared" si="1"/>
        <v>0</v>
      </c>
    </row>
    <row r="23" spans="1:9" ht="12" thickTop="1" thickBot="1" x14ac:dyDescent="0.2">
      <c r="C23" s="115"/>
      <c r="D23" s="170"/>
      <c r="E23" s="170"/>
      <c r="F23" s="170"/>
      <c r="G23" s="170"/>
      <c r="I23" s="167"/>
    </row>
    <row r="24" spans="1:9" ht="11.25" thickBot="1" x14ac:dyDescent="0.2">
      <c r="A24" s="35" t="s">
        <v>1183</v>
      </c>
      <c r="D24" s="171">
        <f t="shared" ref="D24:I24" si="2">D6+D22</f>
        <v>0</v>
      </c>
      <c r="E24" s="171">
        <f t="shared" si="2"/>
        <v>0</v>
      </c>
      <c r="F24" s="171">
        <f t="shared" si="2"/>
        <v>0</v>
      </c>
      <c r="G24" s="171">
        <f t="shared" si="2"/>
        <v>0</v>
      </c>
      <c r="H24" s="171">
        <f t="shared" si="2"/>
        <v>0</v>
      </c>
      <c r="I24" s="171">
        <f t="shared" si="2"/>
        <v>0</v>
      </c>
    </row>
    <row r="25" spans="1:9" x14ac:dyDescent="0.15">
      <c r="E25" s="159"/>
      <c r="F25" s="159"/>
      <c r="G25" s="159"/>
      <c r="I25" s="167"/>
    </row>
    <row r="26" spans="1:9" x14ac:dyDescent="0.15">
      <c r="A26" s="660" t="s">
        <v>824</v>
      </c>
      <c r="B26" s="424"/>
      <c r="C26" s="495" t="s">
        <v>816</v>
      </c>
      <c r="D26" s="423"/>
      <c r="E26" s="423"/>
      <c r="F26" s="423"/>
      <c r="G26" s="423"/>
      <c r="H26" s="423"/>
      <c r="I26" s="179"/>
    </row>
    <row r="27" spans="1:9" x14ac:dyDescent="0.15">
      <c r="A27" s="436" t="s">
        <v>105</v>
      </c>
      <c r="B27" s="501" t="s">
        <v>1338</v>
      </c>
      <c r="C27" s="2" t="s">
        <v>827</v>
      </c>
      <c r="D27" s="41">
        <v>0</v>
      </c>
      <c r="E27" s="41">
        <v>0</v>
      </c>
      <c r="F27" s="41">
        <v>0</v>
      </c>
      <c r="G27" s="41">
        <v>0</v>
      </c>
      <c r="H27" s="534">
        <v>0</v>
      </c>
      <c r="I27" s="535">
        <f>SUM(G27+H27)</f>
        <v>0</v>
      </c>
    </row>
    <row r="28" spans="1:9" x14ac:dyDescent="0.15">
      <c r="A28" s="436"/>
      <c r="B28" s="501"/>
      <c r="C28" s="2"/>
      <c r="D28" s="14"/>
      <c r="E28" s="14"/>
      <c r="F28" s="14"/>
      <c r="G28" s="14"/>
      <c r="H28" s="308"/>
      <c r="I28" s="305"/>
    </row>
    <row r="29" spans="1:9" x14ac:dyDescent="0.15">
      <c r="A29" s="490"/>
      <c r="B29" s="424"/>
      <c r="C29" s="423"/>
      <c r="D29" s="423"/>
      <c r="E29" s="423"/>
      <c r="F29" s="423"/>
      <c r="G29" s="423"/>
      <c r="H29" s="423"/>
      <c r="I29" s="423"/>
    </row>
    <row r="30" spans="1:9" x14ac:dyDescent="0.15">
      <c r="A30" s="36" t="s">
        <v>198</v>
      </c>
      <c r="C30" s="210" t="s">
        <v>199</v>
      </c>
      <c r="E30" s="159"/>
      <c r="F30" s="159"/>
      <c r="G30" s="159"/>
      <c r="I30" s="167"/>
    </row>
    <row r="31" spans="1:9" x14ac:dyDescent="0.15">
      <c r="A31" s="36"/>
      <c r="B31" s="40"/>
      <c r="C31" s="115" t="s">
        <v>415</v>
      </c>
      <c r="E31" s="159"/>
      <c r="F31" s="159"/>
      <c r="G31" s="159"/>
      <c r="I31" s="167"/>
    </row>
    <row r="32" spans="1:9" x14ac:dyDescent="0.15">
      <c r="A32" s="115" t="s">
        <v>434</v>
      </c>
      <c r="B32" s="160" t="s">
        <v>1248</v>
      </c>
      <c r="C32" s="115" t="s">
        <v>413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>SUM(G32+H32)</f>
        <v>0</v>
      </c>
    </row>
    <row r="33" spans="1:9" x14ac:dyDescent="0.15">
      <c r="A33" s="115" t="s">
        <v>433</v>
      </c>
      <c r="B33" s="174" t="s">
        <v>1249</v>
      </c>
      <c r="C33" s="115" t="s">
        <v>1184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>SUM(G33+H33)</f>
        <v>0</v>
      </c>
    </row>
    <row r="34" spans="1:9" x14ac:dyDescent="0.15">
      <c r="A34" s="152"/>
      <c r="B34" s="152"/>
      <c r="C34" s="665" t="s">
        <v>31</v>
      </c>
      <c r="D34" s="529">
        <f t="shared" ref="D34:I34" si="3">+D27</f>
        <v>0</v>
      </c>
      <c r="E34" s="529">
        <f t="shared" si="3"/>
        <v>0</v>
      </c>
      <c r="F34" s="529">
        <f t="shared" si="3"/>
        <v>0</v>
      </c>
      <c r="G34" s="529">
        <f t="shared" si="3"/>
        <v>0</v>
      </c>
      <c r="H34" s="529">
        <f t="shared" si="3"/>
        <v>0</v>
      </c>
      <c r="I34" s="529">
        <f t="shared" si="3"/>
        <v>0</v>
      </c>
    </row>
    <row r="35" spans="1:9" x14ac:dyDescent="0.15">
      <c r="B35" s="174" t="s">
        <v>1250</v>
      </c>
      <c r="C35" s="115" t="s">
        <v>1572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>SUM(G35+H35)</f>
        <v>0</v>
      </c>
    </row>
    <row r="36" spans="1:9" ht="11.25" thickBot="1" x14ac:dyDescent="0.2">
      <c r="C36" s="115"/>
      <c r="D36" s="14"/>
      <c r="E36" s="14"/>
      <c r="F36" s="14"/>
      <c r="G36" s="14"/>
      <c r="I36" s="167"/>
    </row>
    <row r="37" spans="1:9" ht="12" thickTop="1" thickBot="1" x14ac:dyDescent="0.2">
      <c r="B37" s="174" t="s">
        <v>1251</v>
      </c>
      <c r="C37" s="35" t="s">
        <v>1505</v>
      </c>
      <c r="D37" s="173">
        <f t="shared" ref="D37:I37" si="4">SUM(D32:D35)</f>
        <v>0</v>
      </c>
      <c r="E37" s="173">
        <f t="shared" si="4"/>
        <v>0</v>
      </c>
      <c r="F37" s="173">
        <f t="shared" si="4"/>
        <v>0</v>
      </c>
      <c r="G37" s="173">
        <f t="shared" si="4"/>
        <v>0</v>
      </c>
      <c r="H37" s="173">
        <f t="shared" si="4"/>
        <v>0</v>
      </c>
      <c r="I37" s="173">
        <f t="shared" si="4"/>
        <v>0</v>
      </c>
    </row>
    <row r="38" spans="1:9" ht="11.25" thickTop="1" x14ac:dyDescent="0.15">
      <c r="E38" s="159"/>
      <c r="F38" s="159"/>
      <c r="G38" s="159"/>
      <c r="I38" s="167"/>
    </row>
    <row r="39" spans="1:9" x14ac:dyDescent="0.15">
      <c r="A39" s="155" t="s">
        <v>110</v>
      </c>
      <c r="C39" s="210" t="s">
        <v>737</v>
      </c>
      <c r="D39" s="159"/>
      <c r="E39" s="159"/>
      <c r="F39" s="159"/>
      <c r="G39" s="159"/>
      <c r="I39" s="167"/>
    </row>
    <row r="40" spans="1:9" x14ac:dyDescent="0.15">
      <c r="A40" s="154" t="s">
        <v>1522</v>
      </c>
      <c r="B40" s="160" t="s">
        <v>1252</v>
      </c>
      <c r="C40" s="115" t="s">
        <v>1516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>SUM(G40+H40)</f>
        <v>0</v>
      </c>
    </row>
    <row r="41" spans="1:9" ht="11.25" customHeight="1" x14ac:dyDescent="0.15">
      <c r="A41" s="154" t="s">
        <v>1524</v>
      </c>
      <c r="B41" s="188" t="s">
        <v>1253</v>
      </c>
      <c r="C41" s="115" t="s">
        <v>1518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SUM(G41+H41)</f>
        <v>0</v>
      </c>
    </row>
    <row r="42" spans="1:9" x14ac:dyDescent="0.15">
      <c r="A42" s="725" t="s">
        <v>1675</v>
      </c>
      <c r="B42" s="726" t="s">
        <v>1254</v>
      </c>
      <c r="C42" s="692" t="s">
        <v>1676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SUM(G42+H42)</f>
        <v>0</v>
      </c>
    </row>
    <row r="43" spans="1:9" ht="11.25" thickBot="1" x14ac:dyDescent="0.2">
      <c r="A43" s="154" t="s">
        <v>1526</v>
      </c>
      <c r="B43" s="188" t="s">
        <v>1255</v>
      </c>
      <c r="C43" s="115" t="s">
        <v>1520</v>
      </c>
      <c r="D43" s="150">
        <v>0</v>
      </c>
      <c r="E43" s="150">
        <v>0</v>
      </c>
      <c r="F43" s="150">
        <v>0</v>
      </c>
      <c r="G43" s="150">
        <v>0</v>
      </c>
      <c r="H43" s="41">
        <v>0</v>
      </c>
      <c r="I43" s="564">
        <f>SUM(G43+H43)</f>
        <v>0</v>
      </c>
    </row>
    <row r="44" spans="1:9" ht="12" thickTop="1" thickBot="1" x14ac:dyDescent="0.2">
      <c r="A44" s="149"/>
      <c r="B44" s="188" t="s">
        <v>1260</v>
      </c>
      <c r="C44" s="1" t="s">
        <v>1688</v>
      </c>
      <c r="D44" s="151">
        <f t="shared" ref="D44:I44" si="5">SUM(D40:D43)</f>
        <v>0</v>
      </c>
      <c r="E44" s="151">
        <f t="shared" si="5"/>
        <v>0</v>
      </c>
      <c r="F44" s="151">
        <f t="shared" si="5"/>
        <v>0</v>
      </c>
      <c r="G44" s="151">
        <f t="shared" si="5"/>
        <v>0</v>
      </c>
      <c r="H44" s="151">
        <f t="shared" si="5"/>
        <v>0</v>
      </c>
      <c r="I44" s="169">
        <f t="shared" si="5"/>
        <v>0</v>
      </c>
    </row>
    <row r="45" spans="1:9" ht="12" thickTop="1" thickBot="1" x14ac:dyDescent="0.2">
      <c r="A45" s="149"/>
      <c r="C45" s="115"/>
      <c r="D45" s="159"/>
      <c r="E45" s="159"/>
      <c r="F45" s="159"/>
      <c r="G45" s="159"/>
      <c r="I45" s="167"/>
    </row>
    <row r="46" spans="1:9" ht="11.25" thickBot="1" x14ac:dyDescent="0.2">
      <c r="A46" s="739" t="s">
        <v>1689</v>
      </c>
      <c r="B46" s="739"/>
      <c r="C46" s="741"/>
      <c r="D46" s="212">
        <f t="shared" ref="D46:I46" si="6">D37+D44</f>
        <v>0</v>
      </c>
      <c r="E46" s="212">
        <f t="shared" si="6"/>
        <v>0</v>
      </c>
      <c r="F46" s="212">
        <f t="shared" si="6"/>
        <v>0</v>
      </c>
      <c r="G46" s="212">
        <f t="shared" si="6"/>
        <v>0</v>
      </c>
      <c r="H46" s="212">
        <f t="shared" si="6"/>
        <v>0</v>
      </c>
      <c r="I46" s="212">
        <f t="shared" si="6"/>
        <v>0</v>
      </c>
    </row>
    <row r="47" spans="1:9" x14ac:dyDescent="0.15">
      <c r="A47" s="149"/>
      <c r="C47" s="115" t="s">
        <v>725</v>
      </c>
      <c r="D47" s="159"/>
      <c r="E47" s="159"/>
      <c r="F47" s="159"/>
      <c r="G47" s="159"/>
      <c r="I47" s="167"/>
    </row>
    <row r="48" spans="1:9" ht="11.25" thickBot="1" x14ac:dyDescent="0.2">
      <c r="A48" s="149"/>
      <c r="C48" s="115"/>
      <c r="D48" s="159"/>
      <c r="E48" s="159"/>
      <c r="F48" s="159"/>
      <c r="G48" s="159"/>
      <c r="I48" s="167"/>
    </row>
    <row r="49" spans="1:9" ht="12" thickTop="1" thickBot="1" x14ac:dyDescent="0.2">
      <c r="C49" s="172" t="s">
        <v>726</v>
      </c>
      <c r="D49" s="173">
        <f t="shared" ref="D49:I49" si="7">D24</f>
        <v>0</v>
      </c>
      <c r="E49" s="173">
        <f t="shared" si="7"/>
        <v>0</v>
      </c>
      <c r="F49" s="173">
        <f t="shared" si="7"/>
        <v>0</v>
      </c>
      <c r="G49" s="173">
        <f t="shared" si="7"/>
        <v>0</v>
      </c>
      <c r="H49" s="173">
        <f t="shared" si="7"/>
        <v>0</v>
      </c>
      <c r="I49" s="173">
        <f t="shared" si="7"/>
        <v>0</v>
      </c>
    </row>
    <row r="50" spans="1:9" ht="22.5" customHeight="1" thickTop="1" x14ac:dyDescent="0.15">
      <c r="I50" s="167"/>
    </row>
    <row r="51" spans="1:9" x14ac:dyDescent="0.15">
      <c r="C51" s="172" t="s">
        <v>727</v>
      </c>
      <c r="D51" s="158">
        <f t="shared" ref="D51:I51" si="8">D46-D49</f>
        <v>0</v>
      </c>
      <c r="E51" s="158">
        <f t="shared" si="8"/>
        <v>0</v>
      </c>
      <c r="F51" s="158">
        <f t="shared" si="8"/>
        <v>0</v>
      </c>
      <c r="G51" s="158">
        <f t="shared" si="8"/>
        <v>0</v>
      </c>
      <c r="H51" s="158">
        <f t="shared" si="8"/>
        <v>0</v>
      </c>
      <c r="I51" s="167">
        <f t="shared" si="8"/>
        <v>0</v>
      </c>
    </row>
    <row r="52" spans="1:9" x14ac:dyDescent="0.15">
      <c r="I52" s="167"/>
    </row>
    <row r="55" spans="1:9" x14ac:dyDescent="0.15">
      <c r="A55" s="742" t="s">
        <v>333</v>
      </c>
      <c r="B55" s="742"/>
      <c r="C55" s="742"/>
      <c r="D55" s="742"/>
      <c r="E55" s="742"/>
      <c r="F55" s="742"/>
      <c r="G55" s="742"/>
    </row>
    <row r="57" spans="1:9" x14ac:dyDescent="0.15">
      <c r="A57" s="115" t="s">
        <v>435</v>
      </c>
    </row>
    <row r="58" spans="1:9" x14ac:dyDescent="0.15">
      <c r="C58" s="115"/>
    </row>
  </sheetData>
  <sheetProtection formatCells="0" formatColumns="0" formatRows="0"/>
  <mergeCells count="2">
    <mergeCell ref="A46:C46"/>
    <mergeCell ref="A55:G55"/>
  </mergeCells>
  <phoneticPr fontId="15" type="noConversion"/>
  <pageMargins left="0.5" right="0.5" top="0.75" bottom="0.75" header="0.5" footer="0.5"/>
  <pageSetup scale="66" firstPageNumber="37" fitToHeight="0" orientation="portrait" horizontalDpi="300" verticalDpi="300" r:id="rId1"/>
  <headerFooter alignWithMargins="0">
    <oddFooter>&amp;LCDE, Public Scool Finance Unit&amp;C&amp;P&amp;RRevised March, 2009</oddFooter>
  </headerFooter>
  <ignoredErrors>
    <ignoredError sqref="A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opLeftCell="A13" workbookViewId="0">
      <selection activeCell="E44" sqref="E44"/>
    </sheetView>
  </sheetViews>
  <sheetFormatPr defaultRowHeight="10.5" x14ac:dyDescent="0.15"/>
  <cols>
    <col min="1" max="1" width="9" style="158" customWidth="1"/>
    <col min="2" max="2" width="3.83203125" style="158" customWidth="1"/>
    <col min="3" max="3" width="70.83203125" style="158" customWidth="1"/>
    <col min="4" max="4" width="15.83203125" style="158" customWidth="1"/>
    <col min="5" max="5" width="18" style="158" customWidth="1"/>
    <col min="6" max="6" width="17.33203125" style="158" customWidth="1"/>
    <col min="7" max="7" width="15.83203125" style="158" customWidth="1"/>
    <col min="8" max="8" width="15" style="158" customWidth="1"/>
    <col min="9" max="9" width="16" style="158" customWidth="1"/>
    <col min="10" max="16384" width="9.33203125" style="158"/>
  </cols>
  <sheetData>
    <row r="1" spans="1:9" x14ac:dyDescent="0.15">
      <c r="A1" s="158" t="s">
        <v>106</v>
      </c>
      <c r="C1" s="163">
        <f>+'[1]Page 1 - FY2012-13'!B5</f>
        <v>0</v>
      </c>
      <c r="D1" s="158" t="s">
        <v>1586</v>
      </c>
      <c r="E1" s="164">
        <f>+'[1]Page 1 - FY2012-13'!F7</f>
        <v>0</v>
      </c>
      <c r="G1" s="38" t="s">
        <v>1588</v>
      </c>
    </row>
    <row r="2" spans="1:9" x14ac:dyDescent="0.15">
      <c r="A2" s="15" t="s">
        <v>1690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G6+H6</f>
        <v>0</v>
      </c>
    </row>
    <row r="7" spans="1:9" x14ac:dyDescent="0.15">
      <c r="A7" s="36" t="s">
        <v>1592</v>
      </c>
      <c r="C7" s="210" t="s">
        <v>196</v>
      </c>
      <c r="E7" s="8"/>
      <c r="F7" s="159"/>
      <c r="G7" s="159"/>
      <c r="I7" s="167"/>
    </row>
    <row r="8" spans="1:9" x14ac:dyDescent="0.15">
      <c r="A8" s="653" t="s">
        <v>1595</v>
      </c>
      <c r="B8" s="655" t="s">
        <v>1159</v>
      </c>
      <c r="C8" s="653" t="s">
        <v>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653" t="s">
        <v>1596</v>
      </c>
      <c r="B9" s="655" t="s">
        <v>1160</v>
      </c>
      <c r="C9" s="653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20" si="0">SUM(G9+H9)</f>
        <v>0</v>
      </c>
    </row>
    <row r="10" spans="1:9" x14ac:dyDescent="0.15">
      <c r="A10" s="652" t="s">
        <v>1597</v>
      </c>
      <c r="B10" s="655" t="s">
        <v>1161</v>
      </c>
      <c r="C10" s="653" t="s">
        <v>258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653" t="s">
        <v>1598</v>
      </c>
      <c r="B11" s="655" t="s">
        <v>1228</v>
      </c>
      <c r="C11" s="653" t="s">
        <v>1235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652" t="s">
        <v>255</v>
      </c>
      <c r="B12" s="655" t="s">
        <v>1229</v>
      </c>
      <c r="C12" s="653" t="s">
        <v>559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15" t="s">
        <v>1602</v>
      </c>
      <c r="B13" s="174" t="s">
        <v>1230</v>
      </c>
      <c r="C13" s="115" t="s">
        <v>1321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 t="s">
        <v>577</v>
      </c>
      <c r="B14" s="174" t="s">
        <v>1231</v>
      </c>
      <c r="C14" s="115" t="s">
        <v>578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52" t="s">
        <v>95</v>
      </c>
      <c r="B15" s="174" t="s">
        <v>1232</v>
      </c>
      <c r="C15" s="115" t="s">
        <v>1326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52" t="s">
        <v>1322</v>
      </c>
      <c r="B16" s="174" t="s">
        <v>1240</v>
      </c>
      <c r="C16" s="115" t="s">
        <v>1327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52" t="s">
        <v>1324</v>
      </c>
      <c r="B17" s="174" t="s">
        <v>1244</v>
      </c>
      <c r="C17" s="115" t="s">
        <v>1180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A18" s="152" t="s">
        <v>1325</v>
      </c>
      <c r="B18" s="174" t="s">
        <v>1245</v>
      </c>
      <c r="C18" s="115" t="s">
        <v>1181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x14ac:dyDescent="0.15">
      <c r="A19" s="115" t="s">
        <v>105</v>
      </c>
      <c r="B19" s="174" t="s">
        <v>1241</v>
      </c>
      <c r="C19" s="2" t="s">
        <v>860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9" x14ac:dyDescent="0.15">
      <c r="B20" s="174" t="s">
        <v>1242</v>
      </c>
      <c r="C20" s="115" t="s">
        <v>212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9" ht="11.25" thickBot="1" x14ac:dyDescent="0.2">
      <c r="A21" s="115"/>
      <c r="B21" s="167"/>
      <c r="C21" s="2"/>
      <c r="D21" s="14"/>
      <c r="E21" s="14"/>
      <c r="F21" s="14"/>
      <c r="G21" s="14"/>
      <c r="I21" s="167"/>
    </row>
    <row r="22" spans="1:9" ht="12" thickTop="1" thickBot="1" x14ac:dyDescent="0.2">
      <c r="B22" s="174" t="s">
        <v>1247</v>
      </c>
      <c r="C22" s="35" t="s">
        <v>1182</v>
      </c>
      <c r="D22" s="169">
        <f t="shared" ref="D22:I22" si="1">SUM(D8:D20)</f>
        <v>0</v>
      </c>
      <c r="E22" s="169">
        <f t="shared" si="1"/>
        <v>0</v>
      </c>
      <c r="F22" s="169">
        <f t="shared" si="1"/>
        <v>0</v>
      </c>
      <c r="G22" s="169">
        <f t="shared" si="1"/>
        <v>0</v>
      </c>
      <c r="H22" s="169">
        <f t="shared" si="1"/>
        <v>0</v>
      </c>
      <c r="I22" s="169">
        <f t="shared" si="1"/>
        <v>0</v>
      </c>
    </row>
    <row r="23" spans="1:9" ht="12" thickTop="1" thickBot="1" x14ac:dyDescent="0.2">
      <c r="C23" s="115"/>
      <c r="D23" s="170"/>
      <c r="E23" s="170"/>
      <c r="F23" s="170"/>
      <c r="G23" s="170"/>
      <c r="I23" s="167"/>
    </row>
    <row r="24" spans="1:9" ht="11.25" thickBot="1" x14ac:dyDescent="0.2">
      <c r="A24" s="35" t="s">
        <v>1183</v>
      </c>
      <c r="D24" s="171">
        <f t="shared" ref="D24:I24" si="2">D6+D22</f>
        <v>0</v>
      </c>
      <c r="E24" s="171">
        <f t="shared" si="2"/>
        <v>0</v>
      </c>
      <c r="F24" s="171">
        <f t="shared" si="2"/>
        <v>0</v>
      </c>
      <c r="G24" s="171">
        <f t="shared" si="2"/>
        <v>0</v>
      </c>
      <c r="H24" s="171">
        <f t="shared" si="2"/>
        <v>0</v>
      </c>
      <c r="I24" s="171">
        <f t="shared" si="2"/>
        <v>0</v>
      </c>
    </row>
    <row r="25" spans="1:9" x14ac:dyDescent="0.15">
      <c r="E25" s="159"/>
      <c r="F25" s="159"/>
      <c r="G25" s="159"/>
      <c r="I25" s="167"/>
    </row>
    <row r="26" spans="1:9" x14ac:dyDescent="0.15">
      <c r="A26" s="660" t="s">
        <v>824</v>
      </c>
      <c r="B26" s="424"/>
      <c r="C26" s="495" t="s">
        <v>816</v>
      </c>
      <c r="D26" s="423"/>
      <c r="E26" s="423"/>
      <c r="F26" s="423"/>
      <c r="G26" s="423"/>
      <c r="H26" s="423"/>
      <c r="I26" s="179"/>
    </row>
    <row r="27" spans="1:9" x14ac:dyDescent="0.15">
      <c r="A27" s="436" t="s">
        <v>105</v>
      </c>
      <c r="B27" s="501" t="s">
        <v>1338</v>
      </c>
      <c r="C27" s="2" t="s">
        <v>827</v>
      </c>
      <c r="D27" s="41">
        <v>0</v>
      </c>
      <c r="E27" s="41">
        <v>0</v>
      </c>
      <c r="F27" s="41">
        <v>0</v>
      </c>
      <c r="G27" s="41">
        <v>0</v>
      </c>
      <c r="H27" s="534">
        <v>0</v>
      </c>
      <c r="I27" s="535">
        <f>SUM(G27+H27)</f>
        <v>0</v>
      </c>
    </row>
    <row r="28" spans="1:9" x14ac:dyDescent="0.15">
      <c r="A28" s="436"/>
      <c r="B28" s="501"/>
      <c r="C28" s="2"/>
      <c r="D28" s="14"/>
      <c r="E28" s="14"/>
      <c r="F28" s="14"/>
      <c r="G28" s="14"/>
      <c r="H28" s="308"/>
      <c r="I28" s="305"/>
    </row>
    <row r="29" spans="1:9" x14ac:dyDescent="0.15">
      <c r="A29" s="490"/>
      <c r="B29" s="424"/>
      <c r="C29" s="423"/>
      <c r="D29" s="423"/>
      <c r="E29" s="423"/>
      <c r="F29" s="423"/>
      <c r="G29" s="423"/>
      <c r="H29" s="423"/>
      <c r="I29" s="423"/>
    </row>
    <row r="30" spans="1:9" x14ac:dyDescent="0.15">
      <c r="A30" s="36" t="s">
        <v>198</v>
      </c>
      <c r="C30" s="210" t="s">
        <v>199</v>
      </c>
      <c r="E30" s="159"/>
      <c r="F30" s="159"/>
      <c r="G30" s="159"/>
      <c r="I30" s="167"/>
    </row>
    <row r="31" spans="1:9" x14ac:dyDescent="0.15">
      <c r="A31" s="36"/>
      <c r="B31" s="40"/>
      <c r="C31" s="115" t="s">
        <v>415</v>
      </c>
      <c r="E31" s="159"/>
      <c r="F31" s="159"/>
      <c r="G31" s="159"/>
      <c r="I31" s="167"/>
    </row>
    <row r="32" spans="1:9" x14ac:dyDescent="0.15">
      <c r="A32" s="115" t="s">
        <v>434</v>
      </c>
      <c r="B32" s="160" t="s">
        <v>1248</v>
      </c>
      <c r="C32" s="115" t="s">
        <v>413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>SUM(G32+H32)</f>
        <v>0</v>
      </c>
    </row>
    <row r="33" spans="1:9" x14ac:dyDescent="0.15">
      <c r="A33" s="115" t="s">
        <v>433</v>
      </c>
      <c r="B33" s="174" t="s">
        <v>1249</v>
      </c>
      <c r="C33" s="115" t="s">
        <v>1184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>SUM(G33+H33)</f>
        <v>0</v>
      </c>
    </row>
    <row r="34" spans="1:9" x14ac:dyDescent="0.15">
      <c r="A34" s="152"/>
      <c r="B34" s="152"/>
      <c r="C34" s="665" t="s">
        <v>31</v>
      </c>
      <c r="D34" s="529">
        <f t="shared" ref="D34:I34" si="3">+D27</f>
        <v>0</v>
      </c>
      <c r="E34" s="529">
        <f t="shared" si="3"/>
        <v>0</v>
      </c>
      <c r="F34" s="529">
        <f t="shared" si="3"/>
        <v>0</v>
      </c>
      <c r="G34" s="529">
        <f t="shared" si="3"/>
        <v>0</v>
      </c>
      <c r="H34" s="529">
        <f t="shared" si="3"/>
        <v>0</v>
      </c>
      <c r="I34" s="529">
        <f t="shared" si="3"/>
        <v>0</v>
      </c>
    </row>
    <row r="35" spans="1:9" x14ac:dyDescent="0.15">
      <c r="B35" s="174" t="s">
        <v>1250</v>
      </c>
      <c r="C35" s="115" t="s">
        <v>1572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>SUM(G35+H35)</f>
        <v>0</v>
      </c>
    </row>
    <row r="36" spans="1:9" ht="11.25" thickBot="1" x14ac:dyDescent="0.2">
      <c r="C36" s="115"/>
      <c r="D36" s="14"/>
      <c r="E36" s="14"/>
      <c r="F36" s="14"/>
      <c r="G36" s="14"/>
      <c r="I36" s="167"/>
    </row>
    <row r="37" spans="1:9" ht="12" thickTop="1" thickBot="1" x14ac:dyDescent="0.2">
      <c r="B37" s="174" t="s">
        <v>1251</v>
      </c>
      <c r="C37" s="35" t="s">
        <v>1505</v>
      </c>
      <c r="D37" s="173">
        <f t="shared" ref="D37:I37" si="4">SUM(D32:D35)</f>
        <v>0</v>
      </c>
      <c r="E37" s="173">
        <f t="shared" si="4"/>
        <v>0</v>
      </c>
      <c r="F37" s="173">
        <f t="shared" si="4"/>
        <v>0</v>
      </c>
      <c r="G37" s="173">
        <f t="shared" si="4"/>
        <v>0</v>
      </c>
      <c r="H37" s="173">
        <f t="shared" si="4"/>
        <v>0</v>
      </c>
      <c r="I37" s="173">
        <f t="shared" si="4"/>
        <v>0</v>
      </c>
    </row>
    <row r="38" spans="1:9" ht="11.25" thickTop="1" x14ac:dyDescent="0.15">
      <c r="E38" s="159"/>
      <c r="F38" s="159"/>
      <c r="G38" s="159"/>
      <c r="I38" s="167"/>
    </row>
    <row r="39" spans="1:9" x14ac:dyDescent="0.15">
      <c r="A39" s="155" t="s">
        <v>110</v>
      </c>
      <c r="C39" s="210" t="s">
        <v>737</v>
      </c>
      <c r="D39" s="159"/>
      <c r="E39" s="159"/>
      <c r="F39" s="159"/>
      <c r="G39" s="159"/>
      <c r="I39" s="167"/>
    </row>
    <row r="40" spans="1:9" x14ac:dyDescent="0.15">
      <c r="A40" s="558" t="s">
        <v>1522</v>
      </c>
      <c r="B40" s="726" t="s">
        <v>1252</v>
      </c>
      <c r="C40" s="138" t="s">
        <v>1516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>SUM(G40+H40)</f>
        <v>0</v>
      </c>
    </row>
    <row r="41" spans="1:9" ht="11.25" customHeight="1" x14ac:dyDescent="0.15">
      <c r="A41" s="725" t="s">
        <v>1680</v>
      </c>
      <c r="B41" s="726" t="s">
        <v>1253</v>
      </c>
      <c r="C41" s="138" t="s">
        <v>1518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SUM(G41+H41)</f>
        <v>0</v>
      </c>
    </row>
    <row r="42" spans="1:9" x14ac:dyDescent="0.15">
      <c r="A42" s="725" t="s">
        <v>1675</v>
      </c>
      <c r="B42" s="726" t="s">
        <v>1254</v>
      </c>
      <c r="C42" s="692" t="s">
        <v>1676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SUM(G42+H42)</f>
        <v>0</v>
      </c>
    </row>
    <row r="43" spans="1:9" ht="11.25" thickBot="1" x14ac:dyDescent="0.2">
      <c r="A43" s="558" t="s">
        <v>1526</v>
      </c>
      <c r="B43" s="726" t="s">
        <v>1255</v>
      </c>
      <c r="C43" s="138" t="s">
        <v>1520</v>
      </c>
      <c r="D43" s="150">
        <v>0</v>
      </c>
      <c r="E43" s="150">
        <v>0</v>
      </c>
      <c r="F43" s="150">
        <v>0</v>
      </c>
      <c r="G43" s="150">
        <v>0</v>
      </c>
      <c r="H43" s="41">
        <v>0</v>
      </c>
      <c r="I43" s="564">
        <f>SUM(G43+H43)</f>
        <v>0</v>
      </c>
    </row>
    <row r="44" spans="1:9" ht="12" thickTop="1" thickBot="1" x14ac:dyDescent="0.2">
      <c r="A44" s="149"/>
      <c r="B44" s="188" t="s">
        <v>1260</v>
      </c>
      <c r="C44" s="1" t="s">
        <v>1688</v>
      </c>
      <c r="D44" s="151">
        <f t="shared" ref="D44:I44" si="5">SUM(D40:D43)</f>
        <v>0</v>
      </c>
      <c r="E44" s="151">
        <f t="shared" si="5"/>
        <v>0</v>
      </c>
      <c r="F44" s="151">
        <f t="shared" si="5"/>
        <v>0</v>
      </c>
      <c r="G44" s="151">
        <f t="shared" si="5"/>
        <v>0</v>
      </c>
      <c r="H44" s="151">
        <f t="shared" si="5"/>
        <v>0</v>
      </c>
      <c r="I44" s="169">
        <f t="shared" si="5"/>
        <v>0</v>
      </c>
    </row>
    <row r="45" spans="1:9" ht="12" thickTop="1" thickBot="1" x14ac:dyDescent="0.2">
      <c r="A45" s="149"/>
      <c r="C45" s="115"/>
      <c r="D45" s="159"/>
      <c r="E45" s="159"/>
      <c r="F45" s="159"/>
      <c r="G45" s="159"/>
      <c r="I45" s="167"/>
    </row>
    <row r="46" spans="1:9" ht="11.25" thickBot="1" x14ac:dyDescent="0.2">
      <c r="A46" s="739" t="s">
        <v>1133</v>
      </c>
      <c r="B46" s="739"/>
      <c r="C46" s="741"/>
      <c r="D46" s="212">
        <f t="shared" ref="D46:I46" si="6">D37+D44</f>
        <v>0</v>
      </c>
      <c r="E46" s="212">
        <f t="shared" si="6"/>
        <v>0</v>
      </c>
      <c r="F46" s="212">
        <f t="shared" si="6"/>
        <v>0</v>
      </c>
      <c r="G46" s="212">
        <f t="shared" si="6"/>
        <v>0</v>
      </c>
      <c r="H46" s="212">
        <f t="shared" si="6"/>
        <v>0</v>
      </c>
      <c r="I46" s="212">
        <f t="shared" si="6"/>
        <v>0</v>
      </c>
    </row>
    <row r="47" spans="1:9" x14ac:dyDescent="0.15">
      <c r="A47" s="149"/>
      <c r="C47" s="115" t="s">
        <v>725</v>
      </c>
      <c r="D47" s="159"/>
      <c r="E47" s="159"/>
      <c r="F47" s="159"/>
      <c r="G47" s="159"/>
      <c r="I47" s="167"/>
    </row>
    <row r="48" spans="1:9" ht="11.25" thickBot="1" x14ac:dyDescent="0.2">
      <c r="A48" s="149"/>
      <c r="C48" s="115"/>
      <c r="D48" s="159"/>
      <c r="E48" s="159"/>
      <c r="F48" s="159"/>
      <c r="G48" s="159"/>
      <c r="I48" s="167"/>
    </row>
    <row r="49" spans="1:9" ht="12" thickTop="1" thickBot="1" x14ac:dyDescent="0.2">
      <c r="C49" s="172" t="s">
        <v>726</v>
      </c>
      <c r="D49" s="173">
        <f t="shared" ref="D49:I49" si="7">D24</f>
        <v>0</v>
      </c>
      <c r="E49" s="173">
        <f t="shared" si="7"/>
        <v>0</v>
      </c>
      <c r="F49" s="173">
        <f t="shared" si="7"/>
        <v>0</v>
      </c>
      <c r="G49" s="173">
        <f t="shared" si="7"/>
        <v>0</v>
      </c>
      <c r="H49" s="173">
        <f t="shared" si="7"/>
        <v>0</v>
      </c>
      <c r="I49" s="173">
        <f t="shared" si="7"/>
        <v>0</v>
      </c>
    </row>
    <row r="50" spans="1:9" ht="22.5" customHeight="1" thickTop="1" x14ac:dyDescent="0.15">
      <c r="I50" s="167"/>
    </row>
    <row r="51" spans="1:9" x14ac:dyDescent="0.15">
      <c r="C51" s="172" t="s">
        <v>727</v>
      </c>
      <c r="D51" s="158">
        <f t="shared" ref="D51:I51" si="8">D46-D49</f>
        <v>0</v>
      </c>
      <c r="E51" s="158">
        <f t="shared" si="8"/>
        <v>0</v>
      </c>
      <c r="F51" s="158">
        <f t="shared" si="8"/>
        <v>0</v>
      </c>
      <c r="G51" s="158">
        <f t="shared" si="8"/>
        <v>0</v>
      </c>
      <c r="H51" s="158">
        <f t="shared" si="8"/>
        <v>0</v>
      </c>
      <c r="I51" s="167">
        <f t="shared" si="8"/>
        <v>0</v>
      </c>
    </row>
    <row r="52" spans="1:9" x14ac:dyDescent="0.15">
      <c r="I52" s="167"/>
    </row>
    <row r="55" spans="1:9" x14ac:dyDescent="0.15">
      <c r="A55" s="742" t="s">
        <v>1691</v>
      </c>
      <c r="B55" s="742"/>
      <c r="C55" s="742"/>
      <c r="D55" s="742"/>
      <c r="E55" s="742"/>
      <c r="F55" s="742"/>
      <c r="G55" s="742"/>
    </row>
    <row r="57" spans="1:9" x14ac:dyDescent="0.15">
      <c r="A57" s="115"/>
    </row>
    <row r="58" spans="1:9" x14ac:dyDescent="0.15">
      <c r="C58" s="115"/>
    </row>
  </sheetData>
  <mergeCells count="2">
    <mergeCell ref="A46:C46"/>
    <mergeCell ref="A55:G5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topLeftCell="A10" workbookViewId="0">
      <selection activeCell="E53" sqref="E53"/>
    </sheetView>
  </sheetViews>
  <sheetFormatPr defaultRowHeight="10.5" x14ac:dyDescent="0.15"/>
  <cols>
    <col min="1" max="1" width="18.6640625" style="158" customWidth="1"/>
    <col min="2" max="2" width="3.83203125" style="158" customWidth="1"/>
    <col min="3" max="3" width="70.83203125" style="158" customWidth="1"/>
    <col min="4" max="4" width="15.83203125" style="158" customWidth="1"/>
    <col min="5" max="5" width="17.33203125" style="158" customWidth="1"/>
    <col min="6" max="6" width="18.33203125" style="158" customWidth="1"/>
    <col min="7" max="7" width="15.83203125" style="158" customWidth="1"/>
    <col min="8" max="8" width="18.6640625" style="158" customWidth="1"/>
    <col min="9" max="9" width="17.332031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13" t="s">
        <v>436</v>
      </c>
    </row>
    <row r="3" spans="1:9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437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6" t="s">
        <v>1592</v>
      </c>
      <c r="C7" s="210" t="s">
        <v>196</v>
      </c>
      <c r="E7" s="159"/>
      <c r="F7" s="159"/>
      <c r="G7" s="159"/>
      <c r="I7" s="167"/>
    </row>
    <row r="8" spans="1:9" x14ac:dyDescent="0.15">
      <c r="A8" s="115" t="s">
        <v>438</v>
      </c>
      <c r="B8" s="174" t="s">
        <v>1159</v>
      </c>
      <c r="C8" s="115" t="s">
        <v>1256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115" t="s">
        <v>1602</v>
      </c>
      <c r="B9" s="174" t="s">
        <v>1160</v>
      </c>
      <c r="C9" s="115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16" si="0">SUM(G9+H9)</f>
        <v>0</v>
      </c>
    </row>
    <row r="10" spans="1:9" x14ac:dyDescent="0.15">
      <c r="A10" s="115" t="s">
        <v>439</v>
      </c>
      <c r="B10" s="174" t="s">
        <v>1070</v>
      </c>
      <c r="C10" s="115" t="s">
        <v>1257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440</v>
      </c>
      <c r="B11" s="174" t="s">
        <v>1161</v>
      </c>
      <c r="C11" s="115" t="s">
        <v>1258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52" t="s">
        <v>1322</v>
      </c>
      <c r="B12" s="174" t="s">
        <v>1229</v>
      </c>
      <c r="C12" s="115" t="s">
        <v>1327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52" t="s">
        <v>1324</v>
      </c>
      <c r="B13" s="174" t="s">
        <v>1230</v>
      </c>
      <c r="C13" s="115" t="s">
        <v>1180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52" t="s">
        <v>1325</v>
      </c>
      <c r="B14" s="174" t="s">
        <v>1231</v>
      </c>
      <c r="C14" s="115" t="s">
        <v>1181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15" t="s">
        <v>105</v>
      </c>
      <c r="B15" s="174" t="s">
        <v>1232</v>
      </c>
      <c r="C15" s="2" t="s">
        <v>854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15"/>
      <c r="B16" s="174" t="s">
        <v>1240</v>
      </c>
      <c r="C16" s="138" t="s">
        <v>212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ht="11.25" thickBot="1" x14ac:dyDescent="0.2">
      <c r="A17" s="115"/>
      <c r="B17" s="174"/>
      <c r="C17" s="138"/>
      <c r="I17" s="167"/>
    </row>
    <row r="18" spans="1:9" ht="12" thickTop="1" thickBot="1" x14ac:dyDescent="0.2">
      <c r="B18" s="174" t="s">
        <v>1244</v>
      </c>
      <c r="C18" s="35" t="s">
        <v>1507</v>
      </c>
      <c r="D18" s="169">
        <f t="shared" ref="D18:I18" si="1">SUM(D8:D16)</f>
        <v>0</v>
      </c>
      <c r="E18" s="169">
        <f t="shared" si="1"/>
        <v>0</v>
      </c>
      <c r="F18" s="169">
        <f t="shared" si="1"/>
        <v>0</v>
      </c>
      <c r="G18" s="169">
        <f t="shared" si="1"/>
        <v>0</v>
      </c>
      <c r="H18" s="169">
        <f t="shared" si="1"/>
        <v>0</v>
      </c>
      <c r="I18" s="169">
        <f t="shared" si="1"/>
        <v>0</v>
      </c>
    </row>
    <row r="19" spans="1:9" ht="12" thickTop="1" thickBot="1" x14ac:dyDescent="0.2">
      <c r="C19" s="115"/>
      <c r="D19" s="170"/>
      <c r="E19" s="170"/>
      <c r="F19" s="170"/>
      <c r="G19" s="170"/>
      <c r="I19" s="167"/>
    </row>
    <row r="20" spans="1:9" ht="11.25" thickBot="1" x14ac:dyDescent="0.2">
      <c r="A20" s="35" t="s">
        <v>1506</v>
      </c>
      <c r="D20" s="171">
        <f t="shared" ref="D20:I20" si="2">D6+D18</f>
        <v>0</v>
      </c>
      <c r="E20" s="171">
        <f t="shared" si="2"/>
        <v>0</v>
      </c>
      <c r="F20" s="171">
        <f t="shared" si="2"/>
        <v>0</v>
      </c>
      <c r="G20" s="171">
        <f t="shared" si="2"/>
        <v>0</v>
      </c>
      <c r="H20" s="171">
        <f t="shared" si="2"/>
        <v>0</v>
      </c>
      <c r="I20" s="171">
        <f t="shared" si="2"/>
        <v>0</v>
      </c>
    </row>
    <row r="21" spans="1:9" x14ac:dyDescent="0.15">
      <c r="E21" s="159"/>
      <c r="F21" s="159"/>
      <c r="G21" s="159"/>
      <c r="I21" s="167"/>
    </row>
    <row r="22" spans="1:9" x14ac:dyDescent="0.15">
      <c r="A22" s="660" t="s">
        <v>824</v>
      </c>
      <c r="B22" s="424"/>
      <c r="C22" s="495" t="s">
        <v>816</v>
      </c>
      <c r="D22" s="423"/>
      <c r="E22" s="423"/>
      <c r="F22" s="423"/>
      <c r="G22" s="423"/>
      <c r="H22" s="423"/>
      <c r="I22" s="179"/>
    </row>
    <row r="23" spans="1:9" x14ac:dyDescent="0.15">
      <c r="A23" s="436" t="s">
        <v>105</v>
      </c>
      <c r="B23" s="501" t="s">
        <v>32</v>
      </c>
      <c r="C23" s="2" t="s">
        <v>827</v>
      </c>
      <c r="D23" s="41">
        <v>0</v>
      </c>
      <c r="E23" s="41">
        <v>0</v>
      </c>
      <c r="F23" s="41">
        <v>0</v>
      </c>
      <c r="G23" s="41">
        <v>0</v>
      </c>
      <c r="H23" s="534">
        <v>0</v>
      </c>
      <c r="I23" s="535">
        <f>SUM(G23+H23)</f>
        <v>0</v>
      </c>
    </row>
    <row r="24" spans="1:9" x14ac:dyDescent="0.15">
      <c r="A24" s="436"/>
      <c r="B24" s="501"/>
      <c r="C24" s="2"/>
      <c r="D24" s="14"/>
      <c r="E24" s="14"/>
      <c r="F24" s="14"/>
      <c r="G24" s="14"/>
      <c r="H24" s="308"/>
      <c r="I24" s="305"/>
    </row>
    <row r="25" spans="1:9" x14ac:dyDescent="0.15">
      <c r="E25" s="159"/>
      <c r="F25" s="159"/>
      <c r="G25" s="159"/>
      <c r="I25" s="167"/>
    </row>
    <row r="26" spans="1:9" x14ac:dyDescent="0.15">
      <c r="A26" s="36" t="s">
        <v>198</v>
      </c>
      <c r="C26" s="210" t="s">
        <v>199</v>
      </c>
      <c r="E26" s="159"/>
      <c r="F26" s="159"/>
      <c r="G26" s="159"/>
      <c r="I26" s="167"/>
    </row>
    <row r="27" spans="1:9" x14ac:dyDescent="0.15">
      <c r="A27" s="115" t="s">
        <v>441</v>
      </c>
      <c r="B27" s="160" t="s">
        <v>1245</v>
      </c>
      <c r="C27" s="115" t="s">
        <v>232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ref="I27:I41" si="3">SUM(G27+H27)</f>
        <v>0</v>
      </c>
    </row>
    <row r="28" spans="1:9" x14ac:dyDescent="0.15">
      <c r="A28" s="115" t="s">
        <v>247</v>
      </c>
      <c r="B28" s="174" t="s">
        <v>1241</v>
      </c>
      <c r="C28" s="115" t="s">
        <v>1508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x14ac:dyDescent="0.15">
      <c r="A29" s="115" t="s">
        <v>428</v>
      </c>
      <c r="B29" s="174" t="s">
        <v>1242</v>
      </c>
      <c r="C29" s="115" t="s">
        <v>156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52" t="s">
        <v>1583</v>
      </c>
      <c r="B30" s="174" t="s">
        <v>1247</v>
      </c>
      <c r="C30" s="115" t="s">
        <v>160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15" t="s">
        <v>248</v>
      </c>
      <c r="B31" s="174" t="s">
        <v>1248</v>
      </c>
      <c r="C31" s="115" t="s">
        <v>161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52" t="s">
        <v>201</v>
      </c>
      <c r="B32" s="174" t="s">
        <v>1249</v>
      </c>
      <c r="C32" s="115" t="s">
        <v>162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152" t="s">
        <v>158</v>
      </c>
      <c r="B33" s="174" t="s">
        <v>1250</v>
      </c>
      <c r="C33" s="115" t="s">
        <v>464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152" t="s">
        <v>159</v>
      </c>
      <c r="B34" s="174" t="s">
        <v>1251</v>
      </c>
      <c r="C34" s="115" t="s">
        <v>465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x14ac:dyDescent="0.15">
      <c r="A35" s="152" t="s">
        <v>466</v>
      </c>
      <c r="B35" s="174" t="s">
        <v>1252</v>
      </c>
      <c r="C35" s="115" t="s">
        <v>468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x14ac:dyDescent="0.15">
      <c r="A36" s="115" t="s">
        <v>250</v>
      </c>
      <c r="B36" s="174" t="s">
        <v>1253</v>
      </c>
      <c r="C36" s="115" t="s">
        <v>165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si="3"/>
        <v>0</v>
      </c>
    </row>
    <row r="37" spans="1:9" x14ac:dyDescent="0.15">
      <c r="A37" s="652" t="s">
        <v>631</v>
      </c>
      <c r="B37" s="654" t="s">
        <v>1254</v>
      </c>
      <c r="C37" s="653" t="s">
        <v>173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x14ac:dyDescent="0.15">
      <c r="A38" s="115" t="s">
        <v>548</v>
      </c>
      <c r="B38" s="160" t="s">
        <v>1255</v>
      </c>
      <c r="C38" s="115" t="s">
        <v>1509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3"/>
        <v>0</v>
      </c>
    </row>
    <row r="39" spans="1:9" x14ac:dyDescent="0.15">
      <c r="A39" s="115" t="s">
        <v>1259</v>
      </c>
      <c r="B39" s="160" t="s">
        <v>1260</v>
      </c>
      <c r="C39" s="115" t="s">
        <v>1510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3"/>
        <v>0</v>
      </c>
    </row>
    <row r="40" spans="1:9" x14ac:dyDescent="0.15">
      <c r="A40" s="152"/>
      <c r="B40" s="152"/>
      <c r="C40" s="665" t="s">
        <v>33</v>
      </c>
      <c r="D40" s="529">
        <f t="shared" ref="D40:I40" si="4">+D23</f>
        <v>0</v>
      </c>
      <c r="E40" s="529">
        <f t="shared" si="4"/>
        <v>0</v>
      </c>
      <c r="F40" s="529">
        <f t="shared" si="4"/>
        <v>0</v>
      </c>
      <c r="G40" s="529">
        <f t="shared" si="4"/>
        <v>0</v>
      </c>
      <c r="H40" s="529">
        <f t="shared" si="4"/>
        <v>0</v>
      </c>
      <c r="I40" s="529">
        <f t="shared" si="4"/>
        <v>0</v>
      </c>
    </row>
    <row r="41" spans="1:9" x14ac:dyDescent="0.15">
      <c r="B41" s="160" t="s">
        <v>1261</v>
      </c>
      <c r="C41" s="115" t="s">
        <v>1511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3"/>
        <v>0</v>
      </c>
    </row>
    <row r="42" spans="1:9" ht="11.25" thickBot="1" x14ac:dyDescent="0.2">
      <c r="C42" s="115"/>
      <c r="D42" s="14"/>
      <c r="F42" s="159"/>
      <c r="G42" s="159"/>
      <c r="I42" s="167"/>
    </row>
    <row r="43" spans="1:9" ht="12" thickTop="1" thickBot="1" x14ac:dyDescent="0.2">
      <c r="B43" s="160" t="s">
        <v>1262</v>
      </c>
      <c r="C43" s="35" t="s">
        <v>549</v>
      </c>
      <c r="D43" s="173">
        <f t="shared" ref="D43:I43" si="5">SUM(D27:D41)</f>
        <v>0</v>
      </c>
      <c r="E43" s="173">
        <f t="shared" si="5"/>
        <v>0</v>
      </c>
      <c r="F43" s="173">
        <f t="shared" si="5"/>
        <v>0</v>
      </c>
      <c r="G43" s="173">
        <f t="shared" si="5"/>
        <v>0</v>
      </c>
      <c r="H43" s="173">
        <f t="shared" si="5"/>
        <v>0</v>
      </c>
      <c r="I43" s="173">
        <f t="shared" si="5"/>
        <v>0</v>
      </c>
    </row>
    <row r="44" spans="1:9" ht="11.25" thickTop="1" x14ac:dyDescent="0.15">
      <c r="E44" s="159"/>
      <c r="F44" s="159"/>
      <c r="G44" s="159"/>
      <c r="I44" s="167"/>
    </row>
    <row r="45" spans="1:9" x14ac:dyDescent="0.15">
      <c r="A45" s="155" t="s">
        <v>110</v>
      </c>
      <c r="C45" s="210" t="s">
        <v>737</v>
      </c>
      <c r="D45" s="159"/>
      <c r="E45" s="159"/>
      <c r="F45" s="159"/>
      <c r="G45" s="159"/>
      <c r="I45" s="167"/>
    </row>
    <row r="46" spans="1:9" x14ac:dyDescent="0.15">
      <c r="A46" s="154" t="s">
        <v>1522</v>
      </c>
      <c r="B46" s="160" t="s">
        <v>1263</v>
      </c>
      <c r="C46" s="115" t="s">
        <v>1516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564">
        <f>SUM(G46+H46)</f>
        <v>0</v>
      </c>
    </row>
    <row r="47" spans="1:9" x14ac:dyDescent="0.15">
      <c r="A47" s="154" t="s">
        <v>1523</v>
      </c>
      <c r="B47" s="160" t="s">
        <v>472</v>
      </c>
      <c r="C47" s="115" t="s">
        <v>1517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564">
        <f>SUM(G47+H47)</f>
        <v>0</v>
      </c>
    </row>
    <row r="48" spans="1:9" x14ac:dyDescent="0.15">
      <c r="A48" s="154" t="s">
        <v>1524</v>
      </c>
      <c r="B48" s="160" t="s">
        <v>478</v>
      </c>
      <c r="C48" s="115" t="s">
        <v>1518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564">
        <f>SUM(G48+H48)</f>
        <v>0</v>
      </c>
    </row>
    <row r="49" spans="1:9" ht="10.5" customHeight="1" x14ac:dyDescent="0.15">
      <c r="A49" s="725" t="s">
        <v>1675</v>
      </c>
      <c r="B49" s="726" t="s">
        <v>1267</v>
      </c>
      <c r="C49" s="692" t="s">
        <v>1676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564">
        <f>SUM(G49+H49)</f>
        <v>0</v>
      </c>
    </row>
    <row r="50" spans="1:9" ht="11.25" thickBot="1" x14ac:dyDescent="0.2">
      <c r="A50" s="154" t="s">
        <v>1526</v>
      </c>
      <c r="B50" s="188" t="s">
        <v>1268</v>
      </c>
      <c r="C50" s="115" t="s">
        <v>1520</v>
      </c>
      <c r="D50" s="150">
        <v>0</v>
      </c>
      <c r="E50" s="150">
        <v>0</v>
      </c>
      <c r="F50" s="150">
        <v>0</v>
      </c>
      <c r="G50" s="150">
        <v>0</v>
      </c>
      <c r="H50" s="41">
        <v>0</v>
      </c>
      <c r="I50" s="564">
        <f>SUM(G50+H50)</f>
        <v>0</v>
      </c>
    </row>
    <row r="51" spans="1:9" ht="12" thickTop="1" thickBot="1" x14ac:dyDescent="0.2">
      <c r="A51" s="149"/>
      <c r="B51" s="188" t="s">
        <v>1269</v>
      </c>
      <c r="C51" s="115" t="s">
        <v>550</v>
      </c>
      <c r="D51" s="151">
        <f t="shared" ref="D51:I51" si="6">SUM(D46:D50)</f>
        <v>0</v>
      </c>
      <c r="E51" s="151">
        <f t="shared" si="6"/>
        <v>0</v>
      </c>
      <c r="F51" s="151">
        <f t="shared" si="6"/>
        <v>0</v>
      </c>
      <c r="G51" s="151">
        <f t="shared" si="6"/>
        <v>0</v>
      </c>
      <c r="H51" s="151">
        <f t="shared" si="6"/>
        <v>0</v>
      </c>
      <c r="I51" s="169">
        <f t="shared" si="6"/>
        <v>0</v>
      </c>
    </row>
    <row r="52" spans="1:9" ht="12" thickTop="1" thickBot="1" x14ac:dyDescent="0.2">
      <c r="A52" s="149"/>
      <c r="C52" s="115"/>
      <c r="D52" s="159"/>
      <c r="E52" s="159"/>
      <c r="F52" s="159"/>
      <c r="G52" s="159"/>
      <c r="I52" s="167"/>
    </row>
    <row r="53" spans="1:9" ht="11.25" thickBot="1" x14ac:dyDescent="0.2">
      <c r="A53" s="736" t="s">
        <v>551</v>
      </c>
      <c r="B53" s="736"/>
      <c r="C53" s="743"/>
      <c r="D53" s="212">
        <f t="shared" ref="D53:I53" si="7">D43+D51</f>
        <v>0</v>
      </c>
      <c r="E53" s="212">
        <f t="shared" si="7"/>
        <v>0</v>
      </c>
      <c r="F53" s="212">
        <f t="shared" si="7"/>
        <v>0</v>
      </c>
      <c r="G53" s="212">
        <f t="shared" si="7"/>
        <v>0</v>
      </c>
      <c r="H53" s="212">
        <f t="shared" si="7"/>
        <v>0</v>
      </c>
      <c r="I53" s="212">
        <f t="shared" si="7"/>
        <v>0</v>
      </c>
    </row>
    <row r="54" spans="1:9" x14ac:dyDescent="0.15">
      <c r="A54" s="149"/>
      <c r="C54" s="115" t="s">
        <v>725</v>
      </c>
      <c r="D54" s="159"/>
      <c r="E54" s="159"/>
      <c r="F54" s="159"/>
      <c r="G54" s="159"/>
      <c r="I54" s="167"/>
    </row>
    <row r="55" spans="1:9" ht="11.25" thickBot="1" x14ac:dyDescent="0.2">
      <c r="A55" s="149"/>
      <c r="C55" s="115"/>
      <c r="D55" s="159"/>
      <c r="E55" s="159"/>
      <c r="F55" s="159"/>
      <c r="G55" s="159"/>
      <c r="I55" s="167"/>
    </row>
    <row r="56" spans="1:9" ht="12" thickTop="1" thickBot="1" x14ac:dyDescent="0.2">
      <c r="C56" s="172" t="s">
        <v>726</v>
      </c>
      <c r="D56" s="173">
        <f t="shared" ref="D56:I56" si="8">D20</f>
        <v>0</v>
      </c>
      <c r="E56" s="173">
        <f t="shared" si="8"/>
        <v>0</v>
      </c>
      <c r="F56" s="173">
        <f t="shared" si="8"/>
        <v>0</v>
      </c>
      <c r="G56" s="173">
        <f t="shared" si="8"/>
        <v>0</v>
      </c>
      <c r="H56" s="173">
        <f t="shared" si="8"/>
        <v>0</v>
      </c>
      <c r="I56" s="173">
        <f t="shared" si="8"/>
        <v>0</v>
      </c>
    </row>
    <row r="57" spans="1:9" ht="11.25" thickTop="1" x14ac:dyDescent="0.15">
      <c r="I57" s="167"/>
    </row>
    <row r="58" spans="1:9" x14ac:dyDescent="0.15">
      <c r="C58" s="172" t="s">
        <v>727</v>
      </c>
      <c r="D58" s="158">
        <f t="shared" ref="D58:I58" si="9">D53-D56</f>
        <v>0</v>
      </c>
      <c r="E58" s="158">
        <f t="shared" si="9"/>
        <v>0</v>
      </c>
      <c r="F58" s="158">
        <f t="shared" si="9"/>
        <v>0</v>
      </c>
      <c r="G58" s="158">
        <f t="shared" si="9"/>
        <v>0</v>
      </c>
      <c r="H58" s="158">
        <f t="shared" si="9"/>
        <v>0</v>
      </c>
      <c r="I58" s="167">
        <f t="shared" si="9"/>
        <v>0</v>
      </c>
    </row>
    <row r="59" spans="1:9" x14ac:dyDescent="0.15">
      <c r="I59" s="167"/>
    </row>
    <row r="60" spans="1:9" x14ac:dyDescent="0.15">
      <c r="I60" s="167"/>
    </row>
    <row r="63" spans="1:9" x14ac:dyDescent="0.15">
      <c r="A63" s="115" t="s">
        <v>435</v>
      </c>
    </row>
  </sheetData>
  <sheetProtection formatCells="0" formatColumns="0" formatRows="0"/>
  <mergeCells count="1">
    <mergeCell ref="A53:C53"/>
  </mergeCells>
  <phoneticPr fontId="15" type="noConversion"/>
  <pageMargins left="0.5" right="0.5" top="0.75" bottom="0.75" header="0.5" footer="0.5"/>
  <pageSetup scale="61" firstPageNumber="38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opLeftCell="A13" workbookViewId="0">
      <selection activeCell="E38" sqref="E38"/>
    </sheetView>
  </sheetViews>
  <sheetFormatPr defaultRowHeight="10.5" x14ac:dyDescent="0.15"/>
  <cols>
    <col min="1" max="1" width="11" style="158" customWidth="1"/>
    <col min="2" max="2" width="4.33203125" style="158" customWidth="1"/>
    <col min="3" max="3" width="70.83203125" style="158" customWidth="1"/>
    <col min="4" max="4" width="15.83203125" customWidth="1"/>
    <col min="5" max="5" width="17.33203125" style="158" customWidth="1"/>
    <col min="6" max="6" width="17.6640625" style="158" customWidth="1"/>
    <col min="7" max="7" width="15.83203125" style="158" customWidth="1"/>
    <col min="8" max="8" width="16" style="158" customWidth="1"/>
    <col min="9" max="9" width="17.332031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58" t="s">
        <v>1586</v>
      </c>
      <c r="E1" s="164">
        <f>+'Page 1 - FY2013-14'!F7</f>
        <v>0</v>
      </c>
      <c r="G1" s="38" t="s">
        <v>1588</v>
      </c>
    </row>
    <row r="2" spans="1:9" x14ac:dyDescent="0.15">
      <c r="A2" s="113" t="s">
        <v>542</v>
      </c>
      <c r="C2" s="19"/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6" t="s">
        <v>1592</v>
      </c>
      <c r="C7" s="210" t="s">
        <v>196</v>
      </c>
      <c r="E7"/>
      <c r="F7"/>
      <c r="G7"/>
      <c r="I7" s="167"/>
    </row>
    <row r="8" spans="1:9" x14ac:dyDescent="0.15">
      <c r="A8" s="115" t="s">
        <v>1595</v>
      </c>
      <c r="B8" s="174" t="s">
        <v>1159</v>
      </c>
      <c r="C8" s="115" t="s">
        <v>256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 t="shared" ref="I8:I13" si="0">SUM(G8+H8)</f>
        <v>0</v>
      </c>
    </row>
    <row r="9" spans="1:9" x14ac:dyDescent="0.15">
      <c r="A9" s="115" t="s">
        <v>1596</v>
      </c>
      <c r="B9" s="174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si="0"/>
        <v>0</v>
      </c>
    </row>
    <row r="10" spans="1:9" x14ac:dyDescent="0.15">
      <c r="A10" s="115" t="s">
        <v>1598</v>
      </c>
      <c r="B10" s="174" t="s">
        <v>1161</v>
      </c>
      <c r="C10" s="115" t="s">
        <v>1235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1602</v>
      </c>
      <c r="B11" s="174" t="s">
        <v>1228</v>
      </c>
      <c r="C11" s="115" t="s">
        <v>443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105</v>
      </c>
      <c r="B12" s="174" t="s">
        <v>1229</v>
      </c>
      <c r="C12" s="2" t="s">
        <v>1136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B13" s="174" t="s">
        <v>1230</v>
      </c>
      <c r="C13" s="115" t="s">
        <v>212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ht="11.25" thickBot="1" x14ac:dyDescent="0.2">
      <c r="B14" s="174"/>
      <c r="C14" s="115"/>
      <c r="D14" s="14"/>
      <c r="E14" s="14"/>
      <c r="F14" s="14"/>
      <c r="G14" s="14"/>
      <c r="I14" s="167"/>
    </row>
    <row r="15" spans="1:9" ht="12" thickTop="1" thickBot="1" x14ac:dyDescent="0.2">
      <c r="B15" s="174" t="s">
        <v>1231</v>
      </c>
      <c r="C15" s="35" t="s">
        <v>213</v>
      </c>
      <c r="D15" s="169">
        <f t="shared" ref="D15:I15" si="1">SUM(D8:D13)</f>
        <v>0</v>
      </c>
      <c r="E15" s="169">
        <f t="shared" si="1"/>
        <v>0</v>
      </c>
      <c r="F15" s="169">
        <f t="shared" si="1"/>
        <v>0</v>
      </c>
      <c r="G15" s="169">
        <f t="shared" si="1"/>
        <v>0</v>
      </c>
      <c r="H15" s="169">
        <f t="shared" si="1"/>
        <v>0</v>
      </c>
      <c r="I15" s="169">
        <f t="shared" si="1"/>
        <v>0</v>
      </c>
    </row>
    <row r="16" spans="1:9" ht="12" thickTop="1" thickBot="1" x14ac:dyDescent="0.2">
      <c r="C16" s="115"/>
      <c r="D16" s="170"/>
      <c r="E16" s="170"/>
      <c r="F16" s="170"/>
      <c r="G16" s="170"/>
      <c r="I16" s="167"/>
    </row>
    <row r="17" spans="1:9" ht="11.25" thickBot="1" x14ac:dyDescent="0.2">
      <c r="A17" s="35" t="s">
        <v>214</v>
      </c>
      <c r="D17" s="171">
        <f t="shared" ref="D17:I17" si="2">D6+D15</f>
        <v>0</v>
      </c>
      <c r="E17" s="171">
        <f t="shared" si="2"/>
        <v>0</v>
      </c>
      <c r="F17" s="171">
        <f t="shared" si="2"/>
        <v>0</v>
      </c>
      <c r="G17" s="171">
        <f t="shared" si="2"/>
        <v>0</v>
      </c>
      <c r="H17" s="171">
        <f t="shared" si="2"/>
        <v>0</v>
      </c>
      <c r="I17" s="171">
        <f t="shared" si="2"/>
        <v>0</v>
      </c>
    </row>
    <row r="18" spans="1:9" x14ac:dyDescent="0.15">
      <c r="A18" s="35"/>
      <c r="D18" s="170"/>
      <c r="E18" s="170"/>
      <c r="F18" s="170"/>
      <c r="G18" s="170"/>
      <c r="I18" s="167"/>
    </row>
    <row r="19" spans="1:9" x14ac:dyDescent="0.15">
      <c r="E19" s="159"/>
      <c r="F19" s="159"/>
      <c r="G19" s="159"/>
      <c r="I19" s="167"/>
    </row>
    <row r="20" spans="1:9" x14ac:dyDescent="0.15">
      <c r="A20" s="36" t="s">
        <v>198</v>
      </c>
      <c r="C20" s="210" t="s">
        <v>199</v>
      </c>
      <c r="E20" s="159"/>
      <c r="F20" s="159"/>
      <c r="G20" s="159"/>
      <c r="I20" s="167"/>
    </row>
    <row r="21" spans="1:9" x14ac:dyDescent="0.15">
      <c r="A21" s="115" t="s">
        <v>441</v>
      </c>
      <c r="B21" s="174" t="s">
        <v>1232</v>
      </c>
      <c r="C21" s="115" t="s">
        <v>232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564">
        <f t="shared" ref="I21:I28" si="3">SUM(G21+H21)</f>
        <v>0</v>
      </c>
    </row>
    <row r="22" spans="1:9" x14ac:dyDescent="0.15">
      <c r="A22" s="115" t="s">
        <v>247</v>
      </c>
      <c r="B22" s="174" t="s">
        <v>1240</v>
      </c>
      <c r="C22" s="115" t="s">
        <v>1508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564">
        <f t="shared" si="3"/>
        <v>0</v>
      </c>
    </row>
    <row r="23" spans="1:9" x14ac:dyDescent="0.15">
      <c r="A23" s="115" t="s">
        <v>428</v>
      </c>
      <c r="B23" s="174" t="s">
        <v>1244</v>
      </c>
      <c r="C23" s="115" t="s">
        <v>156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si="3"/>
        <v>0</v>
      </c>
    </row>
    <row r="24" spans="1:9" x14ac:dyDescent="0.15">
      <c r="A24" s="115" t="s">
        <v>248</v>
      </c>
      <c r="B24" s="174" t="s">
        <v>1245</v>
      </c>
      <c r="C24" s="115" t="s">
        <v>161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si="3"/>
        <v>0</v>
      </c>
    </row>
    <row r="25" spans="1:9" x14ac:dyDescent="0.15">
      <c r="A25" s="115" t="s">
        <v>249</v>
      </c>
      <c r="B25" s="174" t="s">
        <v>1241</v>
      </c>
      <c r="C25" s="115" t="s">
        <v>162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3"/>
        <v>0</v>
      </c>
    </row>
    <row r="26" spans="1:9" x14ac:dyDescent="0.15">
      <c r="A26" s="115" t="s">
        <v>250</v>
      </c>
      <c r="B26" s="174" t="s">
        <v>1242</v>
      </c>
      <c r="C26" s="115" t="s">
        <v>165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3"/>
        <v>0</v>
      </c>
    </row>
    <row r="27" spans="1:9" x14ac:dyDescent="0.15">
      <c r="A27" s="115" t="s">
        <v>251</v>
      </c>
      <c r="B27" s="174" t="s">
        <v>1247</v>
      </c>
      <c r="C27" s="115" t="s">
        <v>1509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3"/>
        <v>0</v>
      </c>
    </row>
    <row r="28" spans="1:9" x14ac:dyDescent="0.15">
      <c r="A28" s="115" t="s">
        <v>1259</v>
      </c>
      <c r="B28" s="174" t="s">
        <v>1248</v>
      </c>
      <c r="C28" s="115" t="s">
        <v>1510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ht="11.25" thickBot="1" x14ac:dyDescent="0.2">
      <c r="A29" s="115"/>
      <c r="B29" s="167"/>
      <c r="C29" s="115"/>
      <c r="D29" s="14"/>
      <c r="F29" s="159"/>
      <c r="G29" s="159"/>
      <c r="I29" s="167"/>
    </row>
    <row r="30" spans="1:9" ht="12" thickTop="1" thickBot="1" x14ac:dyDescent="0.2">
      <c r="B30" s="174" t="s">
        <v>1249</v>
      </c>
      <c r="C30" s="35" t="s">
        <v>1515</v>
      </c>
      <c r="D30" s="169">
        <f t="shared" ref="D30:I30" si="4">SUM(D21:D28)</f>
        <v>0</v>
      </c>
      <c r="E30" s="169">
        <f t="shared" si="4"/>
        <v>0</v>
      </c>
      <c r="F30" s="169">
        <f t="shared" si="4"/>
        <v>0</v>
      </c>
      <c r="G30" s="169">
        <f t="shared" si="4"/>
        <v>0</v>
      </c>
      <c r="H30" s="169">
        <f t="shared" si="4"/>
        <v>0</v>
      </c>
      <c r="I30" s="169">
        <f t="shared" si="4"/>
        <v>0</v>
      </c>
    </row>
    <row r="31" spans="1:9" ht="11.25" thickTop="1" x14ac:dyDescent="0.15">
      <c r="E31" s="159"/>
      <c r="F31" s="159"/>
      <c r="G31" s="159"/>
      <c r="I31" s="167"/>
    </row>
    <row r="32" spans="1:9" x14ac:dyDescent="0.15">
      <c r="A32" s="155" t="s">
        <v>110</v>
      </c>
      <c r="C32" s="210" t="s">
        <v>737</v>
      </c>
      <c r="D32" s="159"/>
      <c r="E32" s="159"/>
      <c r="F32" s="159"/>
      <c r="G32" s="159"/>
      <c r="I32" s="167"/>
    </row>
    <row r="33" spans="1:9" x14ac:dyDescent="0.15">
      <c r="A33" s="154" t="s">
        <v>1522</v>
      </c>
      <c r="B33" s="160" t="s">
        <v>1250</v>
      </c>
      <c r="C33" s="115" t="s">
        <v>1516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>SUM(G33+H33)</f>
        <v>0</v>
      </c>
    </row>
    <row r="34" spans="1:9" x14ac:dyDescent="0.15">
      <c r="A34" s="154" t="s">
        <v>1523</v>
      </c>
      <c r="B34" s="160" t="s">
        <v>1251</v>
      </c>
      <c r="C34" s="115" t="s">
        <v>1517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>SUM(G34+H34)</f>
        <v>0</v>
      </c>
    </row>
    <row r="35" spans="1:9" x14ac:dyDescent="0.15">
      <c r="A35" s="154" t="s">
        <v>1524</v>
      </c>
      <c r="B35" s="160" t="s">
        <v>1252</v>
      </c>
      <c r="C35" s="115" t="s">
        <v>1518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>SUM(G35+H35)</f>
        <v>0</v>
      </c>
    </row>
    <row r="36" spans="1:9" ht="9.75" customHeight="1" x14ac:dyDescent="0.15">
      <c r="A36" s="725" t="s">
        <v>1675</v>
      </c>
      <c r="B36" s="726" t="s">
        <v>1253</v>
      </c>
      <c r="C36" s="692" t="s">
        <v>1676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>SUM(G36+H36)</f>
        <v>0</v>
      </c>
    </row>
    <row r="37" spans="1:9" ht="11.25" thickBot="1" x14ac:dyDescent="0.2">
      <c r="A37" s="154" t="s">
        <v>1526</v>
      </c>
      <c r="B37" s="160" t="s">
        <v>1254</v>
      </c>
      <c r="C37" s="115" t="s">
        <v>1520</v>
      </c>
      <c r="D37" s="150">
        <v>0</v>
      </c>
      <c r="E37" s="150">
        <v>0</v>
      </c>
      <c r="F37" s="150">
        <v>0</v>
      </c>
      <c r="G37" s="150">
        <v>0</v>
      </c>
      <c r="H37" s="41">
        <v>0</v>
      </c>
      <c r="I37" s="564">
        <f>SUM(G37+H37)</f>
        <v>0</v>
      </c>
    </row>
    <row r="38" spans="1:9" ht="12" thickTop="1" thickBot="1" x14ac:dyDescent="0.2">
      <c r="A38" s="149"/>
      <c r="B38" s="160" t="s">
        <v>1255</v>
      </c>
      <c r="C38" s="1" t="s">
        <v>1692</v>
      </c>
      <c r="D38" s="151">
        <f t="shared" ref="D38:I38" si="5">SUM(D33:D37)</f>
        <v>0</v>
      </c>
      <c r="E38" s="151">
        <f t="shared" si="5"/>
        <v>0</v>
      </c>
      <c r="F38" s="151">
        <f t="shared" si="5"/>
        <v>0</v>
      </c>
      <c r="G38" s="151">
        <f t="shared" si="5"/>
        <v>0</v>
      </c>
      <c r="H38" s="151">
        <f t="shared" si="5"/>
        <v>0</v>
      </c>
      <c r="I38" s="169">
        <f t="shared" si="5"/>
        <v>0</v>
      </c>
    </row>
    <row r="39" spans="1:9" ht="12" thickTop="1" thickBot="1" x14ac:dyDescent="0.2">
      <c r="A39" s="149"/>
      <c r="C39" s="115"/>
      <c r="D39" s="159"/>
      <c r="E39" s="159"/>
      <c r="F39" s="159"/>
      <c r="G39" s="159"/>
      <c r="I39" s="167"/>
    </row>
    <row r="40" spans="1:9" ht="11.25" thickBot="1" x14ac:dyDescent="0.2">
      <c r="A40" s="736" t="s">
        <v>1134</v>
      </c>
      <c r="B40" s="736"/>
      <c r="C40" s="743"/>
      <c r="D40" s="212">
        <f t="shared" ref="D40:I40" si="6">D30+D38</f>
        <v>0</v>
      </c>
      <c r="E40" s="212">
        <f t="shared" si="6"/>
        <v>0</v>
      </c>
      <c r="F40" s="212">
        <f t="shared" si="6"/>
        <v>0</v>
      </c>
      <c r="G40" s="212">
        <f t="shared" si="6"/>
        <v>0</v>
      </c>
      <c r="H40" s="212">
        <f t="shared" si="6"/>
        <v>0</v>
      </c>
      <c r="I40" s="212">
        <f t="shared" si="6"/>
        <v>0</v>
      </c>
    </row>
    <row r="41" spans="1:9" x14ac:dyDescent="0.15">
      <c r="A41" s="149"/>
      <c r="C41" s="115" t="s">
        <v>725</v>
      </c>
      <c r="D41" s="159"/>
      <c r="E41" s="159"/>
      <c r="F41" s="159"/>
      <c r="G41" s="159"/>
      <c r="I41" s="167"/>
    </row>
    <row r="42" spans="1:9" ht="11.25" thickBot="1" x14ac:dyDescent="0.2">
      <c r="A42" s="149"/>
      <c r="C42" s="115"/>
      <c r="D42" s="159"/>
      <c r="E42" s="159"/>
      <c r="F42" s="159"/>
      <c r="G42" s="159"/>
      <c r="I42" s="167"/>
    </row>
    <row r="43" spans="1:9" ht="12" thickTop="1" thickBot="1" x14ac:dyDescent="0.2">
      <c r="C43" s="172" t="s">
        <v>726</v>
      </c>
      <c r="D43" s="173">
        <f t="shared" ref="D43:I43" si="7">D17</f>
        <v>0</v>
      </c>
      <c r="E43" s="173">
        <f t="shared" si="7"/>
        <v>0</v>
      </c>
      <c r="F43" s="173">
        <f t="shared" si="7"/>
        <v>0</v>
      </c>
      <c r="G43" s="173">
        <f t="shared" si="7"/>
        <v>0</v>
      </c>
      <c r="H43" s="173">
        <f t="shared" si="7"/>
        <v>0</v>
      </c>
      <c r="I43" s="173">
        <f t="shared" si="7"/>
        <v>0</v>
      </c>
    </row>
    <row r="44" spans="1:9" ht="11.25" thickTop="1" x14ac:dyDescent="0.15">
      <c r="D44" s="158"/>
      <c r="I44" s="167"/>
    </row>
    <row r="45" spans="1:9" x14ac:dyDescent="0.15">
      <c r="C45" s="172" t="s">
        <v>727</v>
      </c>
      <c r="D45" s="158">
        <f t="shared" ref="D45:I45" si="8">D40-D43</f>
        <v>0</v>
      </c>
      <c r="E45" s="158">
        <f t="shared" si="8"/>
        <v>0</v>
      </c>
      <c r="F45" s="158">
        <f t="shared" si="8"/>
        <v>0</v>
      </c>
      <c r="G45" s="158">
        <f t="shared" si="8"/>
        <v>0</v>
      </c>
      <c r="H45" s="158">
        <f t="shared" si="8"/>
        <v>0</v>
      </c>
      <c r="I45" s="167">
        <f t="shared" si="8"/>
        <v>0</v>
      </c>
    </row>
    <row r="46" spans="1:9" x14ac:dyDescent="0.15">
      <c r="I46" s="167"/>
    </row>
    <row r="48" spans="1:9" x14ac:dyDescent="0.15">
      <c r="A48" s="208" t="s">
        <v>1138</v>
      </c>
    </row>
  </sheetData>
  <sheetProtection formatCells="0" formatColumns="0" formatRows="0"/>
  <mergeCells count="1">
    <mergeCell ref="A40:C40"/>
  </mergeCells>
  <phoneticPr fontId="15" type="noConversion"/>
  <pageMargins left="0.5" right="0.5" top="0.75" bottom="0.75" header="0.5" footer="0.5"/>
  <pageSetup scale="65" firstPageNumber="39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2"/>
  <sheetViews>
    <sheetView topLeftCell="A52" zoomScaleNormal="100" workbookViewId="0">
      <selection activeCell="E90" sqref="E90"/>
    </sheetView>
  </sheetViews>
  <sheetFormatPr defaultRowHeight="10.5" x14ac:dyDescent="0.15"/>
  <cols>
    <col min="1" max="1" width="10" style="158" customWidth="1"/>
    <col min="2" max="2" width="3.5" style="158" customWidth="1"/>
    <col min="3" max="3" width="70.83203125" style="158" customWidth="1"/>
    <col min="4" max="4" width="15.83203125" style="158" customWidth="1"/>
    <col min="5" max="5" width="17.83203125" style="158" customWidth="1"/>
    <col min="6" max="6" width="19" style="158" customWidth="1"/>
    <col min="7" max="7" width="15.83203125" style="158" customWidth="1"/>
    <col min="8" max="8" width="16.83203125" style="158" customWidth="1"/>
    <col min="9" max="9" width="14.1640625" style="158" customWidth="1"/>
    <col min="10" max="16384" width="9.33203125" style="158"/>
  </cols>
  <sheetData>
    <row r="1" spans="1:9" x14ac:dyDescent="0.15">
      <c r="A1" s="158" t="s">
        <v>106</v>
      </c>
      <c r="C1" s="163">
        <f>+'Page 1 - FY2013-14'!B5</f>
        <v>0</v>
      </c>
      <c r="D1" s="163" t="s">
        <v>1586</v>
      </c>
      <c r="E1" s="164">
        <f>+'Page 1 - FY2013-14'!F7</f>
        <v>0</v>
      </c>
      <c r="G1" s="38" t="s">
        <v>1588</v>
      </c>
    </row>
    <row r="2" spans="1:9" x14ac:dyDescent="0.15">
      <c r="A2" s="134" t="s">
        <v>543</v>
      </c>
    </row>
    <row r="3" spans="1:9" ht="42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1589</v>
      </c>
      <c r="D6" s="39"/>
      <c r="E6" s="39"/>
      <c r="F6" s="39"/>
      <c r="G6" s="39"/>
      <c r="H6" s="39"/>
      <c r="I6" s="171">
        <f>SUM(G6+H6)</f>
        <v>0</v>
      </c>
    </row>
    <row r="7" spans="1:9" x14ac:dyDescent="0.15">
      <c r="A7" s="36" t="s">
        <v>1592</v>
      </c>
      <c r="C7" s="210" t="s">
        <v>196</v>
      </c>
      <c r="E7" s="159"/>
      <c r="F7" s="159"/>
      <c r="G7" s="159"/>
      <c r="I7" s="167"/>
    </row>
    <row r="8" spans="1:9" x14ac:dyDescent="0.15">
      <c r="A8" s="115" t="s">
        <v>1595</v>
      </c>
      <c r="B8" s="160" t="s">
        <v>1159</v>
      </c>
      <c r="C8" s="115" t="s">
        <v>206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115" t="s">
        <v>1596</v>
      </c>
      <c r="B9" s="160" t="s">
        <v>1160</v>
      </c>
      <c r="C9" s="115" t="s">
        <v>257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23" si="0">SUM(G9+H9)</f>
        <v>0</v>
      </c>
    </row>
    <row r="10" spans="1:9" x14ac:dyDescent="0.15">
      <c r="A10" s="152" t="s">
        <v>205</v>
      </c>
      <c r="B10" s="160" t="s">
        <v>1161</v>
      </c>
      <c r="C10" s="115" t="s">
        <v>207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15" t="s">
        <v>1602</v>
      </c>
      <c r="B11" s="160" t="s">
        <v>1228</v>
      </c>
      <c r="C11" s="115" t="s">
        <v>443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15" t="s">
        <v>1157</v>
      </c>
      <c r="B12" s="160" t="s">
        <v>1229</v>
      </c>
      <c r="C12" s="115" t="s">
        <v>208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52" t="s">
        <v>95</v>
      </c>
      <c r="B13" s="160" t="s">
        <v>1230</v>
      </c>
      <c r="C13" s="115" t="s">
        <v>1149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15" t="s">
        <v>97</v>
      </c>
      <c r="B14" s="160" t="s">
        <v>1231</v>
      </c>
      <c r="C14" s="115" t="s">
        <v>452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52" t="s">
        <v>759</v>
      </c>
      <c r="B15" s="160" t="s">
        <v>1232</v>
      </c>
      <c r="C15" s="115" t="s">
        <v>453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52" t="s">
        <v>760</v>
      </c>
      <c r="B16" s="160" t="s">
        <v>1240</v>
      </c>
      <c r="C16" s="115" t="s">
        <v>209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52" t="s">
        <v>210</v>
      </c>
      <c r="B17" s="160" t="s">
        <v>1244</v>
      </c>
      <c r="C17" s="115" t="s">
        <v>211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x14ac:dyDescent="0.15">
      <c r="A18" s="152" t="s">
        <v>440</v>
      </c>
      <c r="B18" s="160" t="s">
        <v>1245</v>
      </c>
      <c r="C18" s="115" t="s">
        <v>1151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9" x14ac:dyDescent="0.15">
      <c r="A19" s="162" t="s">
        <v>105</v>
      </c>
      <c r="B19" s="174" t="s">
        <v>1241</v>
      </c>
      <c r="C19" s="2" t="s">
        <v>860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9" x14ac:dyDescent="0.15">
      <c r="A20" s="168" t="s">
        <v>537</v>
      </c>
      <c r="B20" s="174" t="s">
        <v>1260</v>
      </c>
      <c r="C20" s="138" t="s">
        <v>538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9" x14ac:dyDescent="0.15">
      <c r="A21" s="168" t="s">
        <v>536</v>
      </c>
      <c r="B21" s="174" t="s">
        <v>1247</v>
      </c>
      <c r="C21" s="138" t="s">
        <v>115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564">
        <f t="shared" si="0"/>
        <v>0</v>
      </c>
    </row>
    <row r="22" spans="1:9" x14ac:dyDescent="0.15">
      <c r="A22" s="115" t="s">
        <v>197</v>
      </c>
      <c r="B22" s="174" t="s">
        <v>1248</v>
      </c>
      <c r="C22" s="653" t="s">
        <v>1156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564">
        <f t="shared" si="0"/>
        <v>0</v>
      </c>
    </row>
    <row r="23" spans="1:9" x14ac:dyDescent="0.15">
      <c r="B23" s="174" t="s">
        <v>1249</v>
      </c>
      <c r="C23" s="115" t="s">
        <v>212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si="0"/>
        <v>0</v>
      </c>
    </row>
    <row r="24" spans="1:9" ht="11.25" thickBot="1" x14ac:dyDescent="0.2">
      <c r="C24" s="115"/>
      <c r="D24" s="14"/>
      <c r="E24" s="14"/>
      <c r="F24" s="14"/>
      <c r="G24" s="14"/>
      <c r="I24" s="167"/>
    </row>
    <row r="25" spans="1:9" ht="12" thickTop="1" thickBot="1" x14ac:dyDescent="0.2">
      <c r="B25" s="174" t="s">
        <v>1250</v>
      </c>
      <c r="C25" s="35" t="s">
        <v>1135</v>
      </c>
      <c r="D25" s="169">
        <f t="shared" ref="D25:I25" si="1">SUM(D8:D23)</f>
        <v>0</v>
      </c>
      <c r="E25" s="169">
        <f t="shared" si="1"/>
        <v>0</v>
      </c>
      <c r="F25" s="169">
        <f t="shared" si="1"/>
        <v>0</v>
      </c>
      <c r="G25" s="169">
        <f t="shared" si="1"/>
        <v>0</v>
      </c>
      <c r="H25" s="169">
        <f t="shared" si="1"/>
        <v>0</v>
      </c>
      <c r="I25" s="169">
        <f t="shared" si="1"/>
        <v>0</v>
      </c>
    </row>
    <row r="26" spans="1:9" ht="12" thickTop="1" thickBot="1" x14ac:dyDescent="0.2">
      <c r="C26" s="152"/>
      <c r="D26" s="170"/>
      <c r="E26" s="170"/>
      <c r="F26" s="170"/>
      <c r="G26" s="170"/>
      <c r="I26" s="167"/>
    </row>
    <row r="27" spans="1:9" ht="10.5" customHeight="1" thickBot="1" x14ac:dyDescent="0.2">
      <c r="A27" s="35" t="s">
        <v>1616</v>
      </c>
      <c r="D27" s="171">
        <f t="shared" ref="D27:I27" si="2">D6+D25</f>
        <v>0</v>
      </c>
      <c r="E27" s="171">
        <f t="shared" si="2"/>
        <v>0</v>
      </c>
      <c r="F27" s="171">
        <f t="shared" si="2"/>
        <v>0</v>
      </c>
      <c r="G27" s="171">
        <f t="shared" si="2"/>
        <v>0</v>
      </c>
      <c r="H27" s="171">
        <f t="shared" si="2"/>
        <v>0</v>
      </c>
      <c r="I27" s="171">
        <f t="shared" si="2"/>
        <v>0</v>
      </c>
    </row>
    <row r="28" spans="1:9" ht="10.5" customHeight="1" x14ac:dyDescent="0.15">
      <c r="A28" s="35"/>
      <c r="D28" s="170"/>
      <c r="E28" s="170"/>
      <c r="F28" s="170"/>
      <c r="G28" s="170"/>
      <c r="I28" s="167"/>
    </row>
    <row r="29" spans="1:9" x14ac:dyDescent="0.15">
      <c r="A29" s="660" t="s">
        <v>824</v>
      </c>
      <c r="B29" s="424"/>
      <c r="C29" s="495" t="s">
        <v>816</v>
      </c>
      <c r="D29" s="423"/>
      <c r="E29" s="423"/>
      <c r="F29" s="423"/>
      <c r="G29" s="423"/>
      <c r="H29" s="423"/>
      <c r="I29" s="179"/>
    </row>
    <row r="30" spans="1:9" x14ac:dyDescent="0.15">
      <c r="A30" s="436" t="s">
        <v>105</v>
      </c>
      <c r="B30" s="501" t="s">
        <v>1338</v>
      </c>
      <c r="C30" s="2" t="s">
        <v>827</v>
      </c>
      <c r="D30" s="41">
        <v>0</v>
      </c>
      <c r="E30" s="41">
        <v>0</v>
      </c>
      <c r="F30" s="41">
        <v>0</v>
      </c>
      <c r="G30" s="41">
        <v>0</v>
      </c>
      <c r="H30" s="534">
        <v>0</v>
      </c>
      <c r="I30" s="535">
        <f>SUM(G30+H30)</f>
        <v>0</v>
      </c>
    </row>
    <row r="31" spans="1:9" x14ac:dyDescent="0.15">
      <c r="A31" s="436"/>
      <c r="B31" s="501"/>
      <c r="C31" s="2"/>
      <c r="D31" s="14"/>
      <c r="E31" s="14"/>
      <c r="F31" s="14"/>
      <c r="G31" s="14"/>
      <c r="H31" s="308"/>
      <c r="I31" s="305"/>
    </row>
    <row r="32" spans="1:9" x14ac:dyDescent="0.15">
      <c r="E32" s="159"/>
      <c r="F32" s="159"/>
      <c r="G32" s="159"/>
      <c r="I32" s="167"/>
    </row>
    <row r="33" spans="1:9" x14ac:dyDescent="0.15">
      <c r="A33" s="36" t="s">
        <v>198</v>
      </c>
      <c r="C33" s="210" t="s">
        <v>199</v>
      </c>
      <c r="E33" s="159"/>
      <c r="F33" s="159"/>
      <c r="G33" s="159"/>
      <c r="I33" s="167"/>
    </row>
    <row r="34" spans="1:9" x14ac:dyDescent="0.15">
      <c r="A34" s="36"/>
      <c r="B34" s="40"/>
      <c r="C34" s="158" t="s">
        <v>1190</v>
      </c>
      <c r="E34" s="159"/>
      <c r="F34" s="159"/>
      <c r="G34" s="159"/>
      <c r="I34" s="167"/>
    </row>
    <row r="35" spans="1:9" x14ac:dyDescent="0.15">
      <c r="A35" s="152" t="s">
        <v>1577</v>
      </c>
      <c r="B35" s="160" t="s">
        <v>1251</v>
      </c>
      <c r="C35" s="115" t="s">
        <v>230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ref="I35:I49" si="3">SUM(G35+H35)</f>
        <v>0</v>
      </c>
    </row>
    <row r="36" spans="1:9" x14ac:dyDescent="0.15">
      <c r="A36" s="152" t="s">
        <v>1578</v>
      </c>
      <c r="B36" s="174" t="s">
        <v>1252</v>
      </c>
      <c r="C36" s="115" t="s">
        <v>231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si="3"/>
        <v>0</v>
      </c>
    </row>
    <row r="37" spans="1:9" x14ac:dyDescent="0.15">
      <c r="A37" s="152" t="s">
        <v>1579</v>
      </c>
      <c r="B37" s="174" t="s">
        <v>1253</v>
      </c>
      <c r="C37" s="115" t="s">
        <v>1246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x14ac:dyDescent="0.15">
      <c r="A38" s="160" t="s">
        <v>1580</v>
      </c>
      <c r="B38" s="174" t="s">
        <v>1254</v>
      </c>
      <c r="C38" s="172" t="s">
        <v>412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3"/>
        <v>0</v>
      </c>
    </row>
    <row r="39" spans="1:9" x14ac:dyDescent="0.15">
      <c r="A39" s="152" t="s">
        <v>1581</v>
      </c>
      <c r="B39" s="174" t="s">
        <v>1255</v>
      </c>
      <c r="C39" s="115" t="s">
        <v>124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3"/>
        <v>0</v>
      </c>
    </row>
    <row r="40" spans="1:9" x14ac:dyDescent="0.15">
      <c r="A40" s="152" t="s">
        <v>1582</v>
      </c>
      <c r="B40" s="174" t="s">
        <v>1260</v>
      </c>
      <c r="C40" s="115" t="s">
        <v>156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3"/>
        <v>0</v>
      </c>
    </row>
    <row r="41" spans="1:9" x14ac:dyDescent="0.15">
      <c r="A41" s="152" t="s">
        <v>1583</v>
      </c>
      <c r="B41" s="152" t="s">
        <v>1261</v>
      </c>
      <c r="C41" s="158" t="s">
        <v>160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3"/>
        <v>0</v>
      </c>
    </row>
    <row r="42" spans="1:9" x14ac:dyDescent="0.15">
      <c r="A42" s="115" t="s">
        <v>200</v>
      </c>
      <c r="B42" s="160" t="s">
        <v>1262</v>
      </c>
      <c r="C42" s="115" t="s">
        <v>161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3"/>
        <v>0</v>
      </c>
    </row>
    <row r="43" spans="1:9" x14ac:dyDescent="0.15">
      <c r="A43" s="152" t="s">
        <v>201</v>
      </c>
      <c r="B43" s="160" t="s">
        <v>1263</v>
      </c>
      <c r="C43" s="115" t="s">
        <v>162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3"/>
        <v>0</v>
      </c>
    </row>
    <row r="44" spans="1:9" x14ac:dyDescent="0.15">
      <c r="A44" s="152" t="s">
        <v>158</v>
      </c>
      <c r="B44" s="160" t="s">
        <v>1265</v>
      </c>
      <c r="C44" s="115" t="s">
        <v>464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 t="shared" si="3"/>
        <v>0</v>
      </c>
    </row>
    <row r="45" spans="1:9" x14ac:dyDescent="0.15">
      <c r="A45" s="152" t="s">
        <v>159</v>
      </c>
      <c r="B45" s="160" t="s">
        <v>1266</v>
      </c>
      <c r="C45" s="172" t="s">
        <v>465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3"/>
        <v>0</v>
      </c>
    </row>
    <row r="46" spans="1:9" x14ac:dyDescent="0.15">
      <c r="A46" s="152" t="s">
        <v>466</v>
      </c>
      <c r="B46" s="160" t="s">
        <v>1267</v>
      </c>
      <c r="C46" s="172" t="s">
        <v>468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564">
        <f t="shared" si="3"/>
        <v>0</v>
      </c>
    </row>
    <row r="47" spans="1:9" x14ac:dyDescent="0.15">
      <c r="A47" s="152" t="s">
        <v>250</v>
      </c>
      <c r="B47" s="160" t="s">
        <v>1268</v>
      </c>
      <c r="C47" s="115" t="s">
        <v>409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564">
        <f t="shared" si="3"/>
        <v>0</v>
      </c>
    </row>
    <row r="48" spans="1:9" x14ac:dyDescent="0.15">
      <c r="A48" s="652" t="s">
        <v>631</v>
      </c>
      <c r="B48" s="655" t="s">
        <v>1269</v>
      </c>
      <c r="C48" s="653" t="s">
        <v>173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564">
        <f t="shared" si="3"/>
        <v>0</v>
      </c>
    </row>
    <row r="49" spans="1:9" x14ac:dyDescent="0.15">
      <c r="B49" s="174" t="s">
        <v>1270</v>
      </c>
      <c r="C49" s="115" t="s">
        <v>1572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564">
        <f t="shared" si="3"/>
        <v>0</v>
      </c>
    </row>
    <row r="50" spans="1:9" ht="11.25" thickBot="1" x14ac:dyDescent="0.2">
      <c r="C50" s="115"/>
      <c r="D50" s="14"/>
      <c r="E50" s="14"/>
      <c r="F50" s="14"/>
      <c r="G50" s="14"/>
      <c r="I50" s="167"/>
    </row>
    <row r="51" spans="1:9" ht="12" thickTop="1" thickBot="1" x14ac:dyDescent="0.2">
      <c r="B51" s="174" t="s">
        <v>1271</v>
      </c>
      <c r="C51" s="115" t="s">
        <v>552</v>
      </c>
      <c r="D51" s="156">
        <f t="shared" ref="D51:I51" si="4">SUM(D35:D50)</f>
        <v>0</v>
      </c>
      <c r="E51" s="156">
        <f t="shared" si="4"/>
        <v>0</v>
      </c>
      <c r="F51" s="156">
        <f t="shared" si="4"/>
        <v>0</v>
      </c>
      <c r="G51" s="156">
        <f t="shared" si="4"/>
        <v>0</v>
      </c>
      <c r="H51" s="156">
        <f t="shared" si="4"/>
        <v>0</v>
      </c>
      <c r="I51" s="173">
        <f t="shared" si="4"/>
        <v>0</v>
      </c>
    </row>
    <row r="52" spans="1:9" ht="11.25" thickTop="1" x14ac:dyDescent="0.15">
      <c r="C52" s="115"/>
      <c r="D52" s="14"/>
      <c r="E52" s="14"/>
      <c r="F52" s="14"/>
      <c r="G52" s="14"/>
      <c r="I52" s="167"/>
    </row>
    <row r="53" spans="1:9" x14ac:dyDescent="0.15">
      <c r="C53" s="172" t="s">
        <v>411</v>
      </c>
      <c r="D53" s="14"/>
      <c r="E53" s="14"/>
      <c r="F53" s="14"/>
      <c r="G53" s="14"/>
      <c r="I53" s="167"/>
    </row>
    <row r="54" spans="1:9" x14ac:dyDescent="0.15">
      <c r="A54" s="152" t="s">
        <v>1577</v>
      </c>
      <c r="B54" s="174" t="s">
        <v>1272</v>
      </c>
      <c r="C54" s="115" t="s">
        <v>230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 t="shared" ref="I54:I68" si="5">SUM(G54+H54)</f>
        <v>0</v>
      </c>
    </row>
    <row r="55" spans="1:9" x14ac:dyDescent="0.15">
      <c r="A55" s="152" t="s">
        <v>1578</v>
      </c>
      <c r="B55" s="174" t="s">
        <v>1273</v>
      </c>
      <c r="C55" s="115" t="s">
        <v>231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564">
        <f t="shared" si="5"/>
        <v>0</v>
      </c>
    </row>
    <row r="56" spans="1:9" x14ac:dyDescent="0.15">
      <c r="A56" s="152" t="s">
        <v>1579</v>
      </c>
      <c r="B56" s="174" t="s">
        <v>1274</v>
      </c>
      <c r="C56" s="115" t="s">
        <v>1246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564">
        <f t="shared" si="5"/>
        <v>0</v>
      </c>
    </row>
    <row r="57" spans="1:9" x14ac:dyDescent="0.15">
      <c r="A57" s="160" t="s">
        <v>1580</v>
      </c>
      <c r="B57" s="174" t="s">
        <v>252</v>
      </c>
      <c r="C57" s="172" t="s">
        <v>412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564">
        <f t="shared" si="5"/>
        <v>0</v>
      </c>
    </row>
    <row r="58" spans="1:9" x14ac:dyDescent="0.15">
      <c r="A58" s="152" t="s">
        <v>1581</v>
      </c>
      <c r="B58" s="174" t="s">
        <v>253</v>
      </c>
      <c r="C58" s="115" t="s">
        <v>124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564">
        <f t="shared" si="5"/>
        <v>0</v>
      </c>
    </row>
    <row r="59" spans="1:9" x14ac:dyDescent="0.15">
      <c r="A59" s="152" t="s">
        <v>1582</v>
      </c>
      <c r="B59" s="174" t="s">
        <v>1276</v>
      </c>
      <c r="C59" s="115" t="s">
        <v>156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564">
        <f t="shared" si="5"/>
        <v>0</v>
      </c>
    </row>
    <row r="60" spans="1:9" x14ac:dyDescent="0.15">
      <c r="A60" s="152" t="s">
        <v>1583</v>
      </c>
      <c r="B60" s="152" t="s">
        <v>1277</v>
      </c>
      <c r="C60" s="158" t="s">
        <v>160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564">
        <f t="shared" si="5"/>
        <v>0</v>
      </c>
    </row>
    <row r="61" spans="1:9" x14ac:dyDescent="0.15">
      <c r="A61" s="115" t="s">
        <v>200</v>
      </c>
      <c r="B61" s="174" t="s">
        <v>1278</v>
      </c>
      <c r="C61" s="115" t="s">
        <v>161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564">
        <f t="shared" si="5"/>
        <v>0</v>
      </c>
    </row>
    <row r="62" spans="1:9" x14ac:dyDescent="0.15">
      <c r="A62" s="152" t="s">
        <v>201</v>
      </c>
      <c r="B62" s="174" t="s">
        <v>1279</v>
      </c>
      <c r="C62" s="115" t="s">
        <v>162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564">
        <f t="shared" si="5"/>
        <v>0</v>
      </c>
    </row>
    <row r="63" spans="1:9" x14ac:dyDescent="0.15">
      <c r="A63" s="152" t="s">
        <v>158</v>
      </c>
      <c r="B63" s="174" t="s">
        <v>1280</v>
      </c>
      <c r="C63" s="115" t="s">
        <v>464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564">
        <f t="shared" si="5"/>
        <v>0</v>
      </c>
    </row>
    <row r="64" spans="1:9" x14ac:dyDescent="0.15">
      <c r="A64" s="152" t="s">
        <v>159</v>
      </c>
      <c r="B64" s="174" t="s">
        <v>1281</v>
      </c>
      <c r="C64" s="172" t="s">
        <v>465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564">
        <f t="shared" si="5"/>
        <v>0</v>
      </c>
    </row>
    <row r="65" spans="1:9" x14ac:dyDescent="0.15">
      <c r="A65" s="152" t="s">
        <v>466</v>
      </c>
      <c r="B65" s="174" t="s">
        <v>1282</v>
      </c>
      <c r="C65" s="172" t="s">
        <v>468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564">
        <f t="shared" si="5"/>
        <v>0</v>
      </c>
    </row>
    <row r="66" spans="1:9" x14ac:dyDescent="0.15">
      <c r="A66" s="152" t="s">
        <v>250</v>
      </c>
      <c r="B66" s="160" t="s">
        <v>1287</v>
      </c>
      <c r="C66" s="115" t="s">
        <v>409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564">
        <f t="shared" si="5"/>
        <v>0</v>
      </c>
    </row>
    <row r="67" spans="1:9" x14ac:dyDescent="0.15">
      <c r="A67" s="652" t="s">
        <v>631</v>
      </c>
      <c r="B67" s="654" t="s">
        <v>1288</v>
      </c>
      <c r="C67" s="653" t="s">
        <v>173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564">
        <f t="shared" si="5"/>
        <v>0</v>
      </c>
    </row>
    <row r="68" spans="1:9" x14ac:dyDescent="0.15">
      <c r="B68" s="160" t="s">
        <v>1289</v>
      </c>
      <c r="C68" s="115" t="s">
        <v>1572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564">
        <f t="shared" si="5"/>
        <v>0</v>
      </c>
    </row>
    <row r="69" spans="1:9" ht="11.25" thickBot="1" x14ac:dyDescent="0.2">
      <c r="B69" s="174"/>
      <c r="C69" s="115"/>
      <c r="D69" s="14"/>
      <c r="E69" s="14"/>
      <c r="F69" s="14"/>
      <c r="G69" s="14"/>
      <c r="I69" s="167"/>
    </row>
    <row r="70" spans="1:9" ht="12" thickTop="1" thickBot="1" x14ac:dyDescent="0.2">
      <c r="B70" s="174" t="s">
        <v>1290</v>
      </c>
      <c r="C70" s="172" t="s">
        <v>553</v>
      </c>
      <c r="D70" s="156">
        <f t="shared" ref="D70:I70" si="6">SUM(D54:D69)</f>
        <v>0</v>
      </c>
      <c r="E70" s="156">
        <f t="shared" si="6"/>
        <v>0</v>
      </c>
      <c r="F70" s="156">
        <f t="shared" si="6"/>
        <v>0</v>
      </c>
      <c r="G70" s="156">
        <f t="shared" si="6"/>
        <v>0</v>
      </c>
      <c r="H70" s="156">
        <f t="shared" si="6"/>
        <v>0</v>
      </c>
      <c r="I70" s="156">
        <f t="shared" si="6"/>
        <v>0</v>
      </c>
    </row>
    <row r="71" spans="1:9" ht="11.25" thickTop="1" x14ac:dyDescent="0.15">
      <c r="C71" s="115"/>
      <c r="D71" s="14"/>
      <c r="E71" s="14"/>
      <c r="F71" s="14"/>
      <c r="G71" s="14"/>
      <c r="I71" s="167"/>
    </row>
    <row r="72" spans="1:9" x14ac:dyDescent="0.15">
      <c r="B72" s="174"/>
      <c r="C72" s="115" t="s">
        <v>391</v>
      </c>
      <c r="D72" s="14"/>
      <c r="E72" s="14"/>
      <c r="F72" s="14"/>
      <c r="G72" s="14"/>
      <c r="I72" s="167"/>
    </row>
    <row r="73" spans="1:9" x14ac:dyDescent="0.15">
      <c r="A73" s="160" t="s">
        <v>434</v>
      </c>
      <c r="B73" s="160" t="s">
        <v>1291</v>
      </c>
      <c r="C73" s="115" t="s">
        <v>413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564">
        <f>SUM(G73+H73)</f>
        <v>0</v>
      </c>
    </row>
    <row r="74" spans="1:9" x14ac:dyDescent="0.15">
      <c r="A74" s="160" t="s">
        <v>433</v>
      </c>
      <c r="B74" s="160" t="s">
        <v>1292</v>
      </c>
      <c r="C74" s="115" t="s">
        <v>414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564">
        <f>SUM(G74+H74)</f>
        <v>0</v>
      </c>
    </row>
    <row r="75" spans="1:9" x14ac:dyDescent="0.15">
      <c r="A75" s="495" t="s">
        <v>853</v>
      </c>
      <c r="B75" s="511"/>
      <c r="C75" s="138"/>
      <c r="D75" s="161"/>
      <c r="E75" s="161"/>
      <c r="F75" s="161"/>
      <c r="G75" s="161"/>
      <c r="H75" s="291"/>
      <c r="I75" s="671"/>
    </row>
    <row r="76" spans="1:9" x14ac:dyDescent="0.15">
      <c r="A76" s="423"/>
      <c r="B76" s="511"/>
      <c r="C76" s="658" t="s">
        <v>852</v>
      </c>
      <c r="D76" s="529">
        <f t="shared" ref="D76:I76" si="7">+D30</f>
        <v>0</v>
      </c>
      <c r="E76" s="529">
        <f t="shared" si="7"/>
        <v>0</v>
      </c>
      <c r="F76" s="529">
        <f t="shared" si="7"/>
        <v>0</v>
      </c>
      <c r="G76" s="529">
        <f t="shared" si="7"/>
        <v>0</v>
      </c>
      <c r="H76" s="529">
        <f t="shared" si="7"/>
        <v>0</v>
      </c>
      <c r="I76" s="529">
        <f t="shared" si="7"/>
        <v>0</v>
      </c>
    </row>
    <row r="77" spans="1:9" ht="11.25" thickBot="1" x14ac:dyDescent="0.2">
      <c r="C77" s="115"/>
      <c r="D77" s="14"/>
      <c r="E77" s="14"/>
      <c r="F77" s="14"/>
      <c r="G77" s="14"/>
      <c r="I77" s="167"/>
    </row>
    <row r="78" spans="1:9" ht="12" thickTop="1" thickBot="1" x14ac:dyDescent="0.2">
      <c r="B78" s="160" t="s">
        <v>1293</v>
      </c>
      <c r="C78" s="115" t="s">
        <v>555</v>
      </c>
      <c r="D78" s="157">
        <f t="shared" ref="D78:I78" si="8">SUM(D73:D77)</f>
        <v>0</v>
      </c>
      <c r="E78" s="157">
        <f t="shared" si="8"/>
        <v>0</v>
      </c>
      <c r="F78" s="157">
        <f t="shared" si="8"/>
        <v>0</v>
      </c>
      <c r="G78" s="157">
        <f t="shared" si="8"/>
        <v>0</v>
      </c>
      <c r="H78" s="157">
        <f t="shared" si="8"/>
        <v>0</v>
      </c>
      <c r="I78" s="173">
        <f t="shared" si="8"/>
        <v>0</v>
      </c>
    </row>
    <row r="79" spans="1:9" ht="12" thickTop="1" thickBot="1" x14ac:dyDescent="0.2">
      <c r="C79" s="115"/>
      <c r="D79" s="14"/>
      <c r="E79" s="14"/>
      <c r="F79" s="14"/>
      <c r="G79" s="14"/>
      <c r="I79" s="167"/>
    </row>
    <row r="80" spans="1:9" ht="12" thickTop="1" thickBot="1" x14ac:dyDescent="0.2">
      <c r="B80" s="160" t="s">
        <v>1294</v>
      </c>
      <c r="C80" s="35" t="s">
        <v>556</v>
      </c>
      <c r="D80" s="169">
        <f t="shared" ref="D80:I80" si="9">D51+D70+D78</f>
        <v>0</v>
      </c>
      <c r="E80" s="169">
        <f t="shared" si="9"/>
        <v>0</v>
      </c>
      <c r="F80" s="169">
        <f t="shared" si="9"/>
        <v>0</v>
      </c>
      <c r="G80" s="169">
        <f t="shared" si="9"/>
        <v>0</v>
      </c>
      <c r="H80" s="169">
        <f t="shared" si="9"/>
        <v>0</v>
      </c>
      <c r="I80" s="169">
        <f t="shared" si="9"/>
        <v>0</v>
      </c>
    </row>
    <row r="81" spans="1:9" ht="11.25" thickTop="1" x14ac:dyDescent="0.15">
      <c r="E81" s="159"/>
      <c r="F81" s="159"/>
      <c r="G81" s="159"/>
      <c r="I81" s="167"/>
    </row>
    <row r="82" spans="1:9" x14ac:dyDescent="0.15">
      <c r="A82" s="155" t="s">
        <v>110</v>
      </c>
      <c r="C82" s="210" t="s">
        <v>737</v>
      </c>
      <c r="D82" s="159"/>
      <c r="E82" s="159"/>
      <c r="F82" s="159"/>
      <c r="G82" s="159"/>
      <c r="I82" s="167"/>
    </row>
    <row r="83" spans="1:9" x14ac:dyDescent="0.15">
      <c r="A83" s="154" t="s">
        <v>1522</v>
      </c>
      <c r="B83" s="160" t="s">
        <v>1295</v>
      </c>
      <c r="C83" s="115" t="s">
        <v>1516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564">
        <f>SUM(G83+H83)</f>
        <v>0</v>
      </c>
    </row>
    <row r="84" spans="1:9" x14ac:dyDescent="0.15">
      <c r="A84" s="154" t="s">
        <v>1523</v>
      </c>
      <c r="B84" s="160" t="s">
        <v>1296</v>
      </c>
      <c r="C84" s="115" t="s">
        <v>1517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564">
        <f>SUM(G84+H84)</f>
        <v>0</v>
      </c>
    </row>
    <row r="85" spans="1:9" x14ac:dyDescent="0.15">
      <c r="A85" s="154" t="s">
        <v>1524</v>
      </c>
      <c r="B85" s="160" t="s">
        <v>1297</v>
      </c>
      <c r="C85" s="115" t="s">
        <v>1518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564">
        <f>SUM(G85+H85)</f>
        <v>0</v>
      </c>
    </row>
    <row r="86" spans="1:9" x14ac:dyDescent="0.15">
      <c r="A86" s="725" t="s">
        <v>1675</v>
      </c>
      <c r="B86" s="160" t="s">
        <v>1298</v>
      </c>
      <c r="C86" s="692" t="s">
        <v>1676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564">
        <f>SUM(G86+H86)</f>
        <v>0</v>
      </c>
    </row>
    <row r="87" spans="1:9" ht="11.25" customHeight="1" thickBot="1" x14ac:dyDescent="0.2">
      <c r="A87" s="154" t="s">
        <v>1526</v>
      </c>
      <c r="B87" s="160" t="s">
        <v>1299</v>
      </c>
      <c r="C87" s="115" t="s">
        <v>1520</v>
      </c>
      <c r="D87" s="150">
        <v>0</v>
      </c>
      <c r="E87" s="150">
        <v>0</v>
      </c>
      <c r="F87" s="150">
        <v>0</v>
      </c>
      <c r="G87" s="150">
        <v>0</v>
      </c>
      <c r="H87" s="41">
        <v>0</v>
      </c>
      <c r="I87" s="564">
        <f>SUM(G87+H87)</f>
        <v>0</v>
      </c>
    </row>
    <row r="88" spans="1:9" ht="12" thickTop="1" thickBot="1" x14ac:dyDescent="0.2">
      <c r="A88" s="149"/>
      <c r="B88" s="160" t="s">
        <v>1300</v>
      </c>
      <c r="C88" s="115" t="s">
        <v>724</v>
      </c>
      <c r="D88" s="151">
        <f t="shared" ref="D88:I88" si="10">SUM(D83:D87)</f>
        <v>0</v>
      </c>
      <c r="E88" s="151">
        <f t="shared" si="10"/>
        <v>0</v>
      </c>
      <c r="F88" s="151">
        <f t="shared" si="10"/>
        <v>0</v>
      </c>
      <c r="G88" s="151">
        <f t="shared" si="10"/>
        <v>0</v>
      </c>
      <c r="H88" s="151">
        <f t="shared" si="10"/>
        <v>0</v>
      </c>
      <c r="I88" s="151">
        <f t="shared" si="10"/>
        <v>0</v>
      </c>
    </row>
    <row r="89" spans="1:9" ht="12" thickTop="1" thickBot="1" x14ac:dyDescent="0.2">
      <c r="A89" s="149"/>
      <c r="C89" s="115"/>
      <c r="D89" s="159"/>
      <c r="E89" s="159"/>
      <c r="F89" s="159"/>
      <c r="G89" s="159"/>
      <c r="I89" s="167"/>
    </row>
    <row r="90" spans="1:9" ht="11.25" thickBot="1" x14ac:dyDescent="0.2">
      <c r="A90" s="739" t="s">
        <v>557</v>
      </c>
      <c r="B90" s="739"/>
      <c r="C90" s="740"/>
      <c r="D90" s="212">
        <f t="shared" ref="D90:I90" si="11">D80+D88</f>
        <v>0</v>
      </c>
      <c r="E90" s="212">
        <f t="shared" si="11"/>
        <v>0</v>
      </c>
      <c r="F90" s="212">
        <f t="shared" si="11"/>
        <v>0</v>
      </c>
      <c r="G90" s="212">
        <f t="shared" si="11"/>
        <v>0</v>
      </c>
      <c r="H90" s="212">
        <f t="shared" si="11"/>
        <v>0</v>
      </c>
      <c r="I90" s="212">
        <f t="shared" si="11"/>
        <v>0</v>
      </c>
    </row>
    <row r="91" spans="1:9" x14ac:dyDescent="0.15">
      <c r="A91" s="149"/>
      <c r="C91" s="115" t="s">
        <v>725</v>
      </c>
      <c r="D91" s="159"/>
      <c r="E91" s="159"/>
      <c r="F91" s="159"/>
      <c r="G91" s="159"/>
      <c r="I91" s="167"/>
    </row>
    <row r="92" spans="1:9" ht="11.25" thickBot="1" x14ac:dyDescent="0.2">
      <c r="A92" s="149"/>
      <c r="C92" s="115"/>
      <c r="D92" s="159"/>
      <c r="E92" s="159"/>
      <c r="F92" s="159"/>
      <c r="G92" s="159"/>
      <c r="I92" s="167"/>
    </row>
    <row r="93" spans="1:9" ht="12" thickTop="1" thickBot="1" x14ac:dyDescent="0.2">
      <c r="C93" s="172" t="s">
        <v>726</v>
      </c>
      <c r="D93" s="173">
        <f t="shared" ref="D93:I93" si="12">D27</f>
        <v>0</v>
      </c>
      <c r="E93" s="173">
        <f t="shared" si="12"/>
        <v>0</v>
      </c>
      <c r="F93" s="173">
        <f t="shared" si="12"/>
        <v>0</v>
      </c>
      <c r="G93" s="173">
        <f t="shared" si="12"/>
        <v>0</v>
      </c>
      <c r="H93" s="173">
        <f t="shared" si="12"/>
        <v>0</v>
      </c>
      <c r="I93" s="173">
        <f t="shared" si="12"/>
        <v>0</v>
      </c>
    </row>
    <row r="94" spans="1:9" ht="11.25" thickTop="1" x14ac:dyDescent="0.15">
      <c r="I94" s="167"/>
    </row>
    <row r="95" spans="1:9" x14ac:dyDescent="0.15">
      <c r="C95" s="172" t="s">
        <v>727</v>
      </c>
      <c r="D95" s="158">
        <f t="shared" ref="D95:I95" si="13">D90-D93</f>
        <v>0</v>
      </c>
      <c r="E95" s="158">
        <f t="shared" si="13"/>
        <v>0</v>
      </c>
      <c r="F95" s="158">
        <f t="shared" si="13"/>
        <v>0</v>
      </c>
      <c r="G95" s="158">
        <f t="shared" si="13"/>
        <v>0</v>
      </c>
      <c r="H95" s="158">
        <f t="shared" si="13"/>
        <v>0</v>
      </c>
      <c r="I95" s="167">
        <f t="shared" si="13"/>
        <v>0</v>
      </c>
    </row>
    <row r="96" spans="1:9" x14ac:dyDescent="0.15">
      <c r="B96" s="3"/>
      <c r="D96" s="3"/>
      <c r="E96" s="8"/>
      <c r="F96" s="8"/>
      <c r="G96" s="159"/>
      <c r="I96" s="167"/>
    </row>
    <row r="97" spans="1:7" x14ac:dyDescent="0.15">
      <c r="B97" s="3"/>
      <c r="D97" s="3"/>
      <c r="E97" s="8"/>
      <c r="F97" s="8"/>
      <c r="G97" s="159"/>
    </row>
    <row r="98" spans="1:7" x14ac:dyDescent="0.15">
      <c r="D98" s="3"/>
      <c r="E98" s="8"/>
      <c r="F98" s="8"/>
      <c r="G98" s="159"/>
    </row>
    <row r="100" spans="1:7" x14ac:dyDescent="0.15">
      <c r="A100" s="3" t="s">
        <v>1328</v>
      </c>
    </row>
    <row r="102" spans="1:7" x14ac:dyDescent="0.15">
      <c r="A102" s="653" t="s">
        <v>881</v>
      </c>
      <c r="B102" s="719"/>
      <c r="C102" s="719"/>
      <c r="D102" s="719"/>
      <c r="E102" s="719"/>
      <c r="F102" s="719"/>
    </row>
  </sheetData>
  <sheetProtection formatCells="0" formatColumns="0" formatRows="0"/>
  <mergeCells count="1">
    <mergeCell ref="A90:C90"/>
  </mergeCells>
  <phoneticPr fontId="15" type="noConversion"/>
  <pageMargins left="0.5" right="0.5" top="0.75" bottom="0.75" header="0.5" footer="0.5"/>
  <pageSetup scale="66" firstPageNumber="40" fitToHeight="0" orientation="portrait" horizontalDpi="300" verticalDpi="300" r:id="rId1"/>
  <headerFooter alignWithMargins="0">
    <oddFooter>&amp;LCDE, Public Scool Finance Unit&amp;C&amp;P&amp;RRevised March, 2009</oddFooter>
  </headerFooter>
  <rowBreaks count="1" manualBreakCount="1">
    <brk id="78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opLeftCell="A10" workbookViewId="0">
      <selection activeCell="G34" sqref="G34"/>
    </sheetView>
  </sheetViews>
  <sheetFormatPr defaultColWidth="12" defaultRowHeight="10.5" x14ac:dyDescent="0.15"/>
  <cols>
    <col min="1" max="1" width="21.6640625" style="135" customWidth="1"/>
    <col min="2" max="2" width="3.83203125" customWidth="1"/>
    <col min="3" max="3" width="70.83203125" customWidth="1"/>
    <col min="4" max="4" width="15.83203125" customWidth="1"/>
    <col min="5" max="5" width="17.83203125" customWidth="1"/>
    <col min="6" max="6" width="18" customWidth="1"/>
    <col min="7" max="7" width="15.83203125" customWidth="1"/>
    <col min="8" max="8" width="17" customWidth="1"/>
    <col min="9" max="9" width="16.83203125" customWidth="1"/>
  </cols>
  <sheetData>
    <row r="1" spans="1:9" x14ac:dyDescent="0.15">
      <c r="A1" s="135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38" t="s">
        <v>1588</v>
      </c>
    </row>
    <row r="2" spans="1:9" x14ac:dyDescent="0.15">
      <c r="A2" s="134" t="s">
        <v>625</v>
      </c>
    </row>
    <row r="3" spans="1:9" s="158" customFormat="1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s="158" customFormat="1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s="158" customFormat="1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136" t="s">
        <v>195</v>
      </c>
      <c r="B6" s="35" t="s">
        <v>626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E7" s="5"/>
      <c r="F7" s="5"/>
      <c r="G7" s="5"/>
      <c r="I7" s="6"/>
    </row>
    <row r="8" spans="1:9" x14ac:dyDescent="0.15">
      <c r="A8" s="139" t="s">
        <v>1592</v>
      </c>
      <c r="C8" s="210" t="s">
        <v>1213</v>
      </c>
      <c r="E8" s="5"/>
      <c r="F8" s="5"/>
      <c r="G8" s="5"/>
      <c r="I8" s="6"/>
    </row>
    <row r="9" spans="1:9" x14ac:dyDescent="0.15">
      <c r="A9" s="137" t="s">
        <v>1602</v>
      </c>
      <c r="B9" s="297" t="s">
        <v>1159</v>
      </c>
      <c r="C9" s="1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SUM(G9+H9)</f>
        <v>0</v>
      </c>
    </row>
    <row r="10" spans="1:9" x14ac:dyDescent="0.15">
      <c r="A10" s="186" t="s">
        <v>529</v>
      </c>
      <c r="B10" s="297" t="s">
        <v>1160</v>
      </c>
      <c r="C10" s="1" t="s">
        <v>530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ref="I10:I20" si="0">SUM(G10+H10)</f>
        <v>0</v>
      </c>
    </row>
    <row r="11" spans="1:9" x14ac:dyDescent="0.15">
      <c r="A11" s="186" t="s">
        <v>673</v>
      </c>
      <c r="B11" s="297" t="s">
        <v>1161</v>
      </c>
      <c r="C11" s="1" t="s">
        <v>674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87" t="s">
        <v>577</v>
      </c>
      <c r="B12" s="297" t="s">
        <v>1228</v>
      </c>
      <c r="C12" s="1" t="s">
        <v>578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86" t="s">
        <v>799</v>
      </c>
      <c r="B13" s="297" t="s">
        <v>1229</v>
      </c>
      <c r="C13" s="1" t="s">
        <v>800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86" t="s">
        <v>799</v>
      </c>
      <c r="B14" s="297" t="s">
        <v>1230</v>
      </c>
      <c r="C14" s="1" t="s">
        <v>801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86" t="s">
        <v>799</v>
      </c>
      <c r="B15" s="297" t="s">
        <v>1231</v>
      </c>
      <c r="C15" s="1" t="s">
        <v>802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>SUM(G15+H15)</f>
        <v>0</v>
      </c>
    </row>
    <row r="16" spans="1:9" x14ac:dyDescent="0.15">
      <c r="A16" s="137" t="s">
        <v>389</v>
      </c>
      <c r="B16" s="297" t="s">
        <v>1232</v>
      </c>
      <c r="C16" s="1" t="s">
        <v>652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10" x14ac:dyDescent="0.15">
      <c r="A17" s="137" t="s">
        <v>389</v>
      </c>
      <c r="B17" s="297" t="s">
        <v>1240</v>
      </c>
      <c r="C17" s="1" t="s">
        <v>713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10" x14ac:dyDescent="0.15">
      <c r="A18" s="137" t="s">
        <v>682</v>
      </c>
      <c r="B18" s="297" t="s">
        <v>803</v>
      </c>
      <c r="C18" s="653" t="s">
        <v>1651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564">
        <f t="shared" si="0"/>
        <v>0</v>
      </c>
    </row>
    <row r="19" spans="1:10" x14ac:dyDescent="0.15">
      <c r="A19" s="137" t="s">
        <v>105</v>
      </c>
      <c r="B19" s="297" t="s">
        <v>804</v>
      </c>
      <c r="C19" s="2" t="s">
        <v>854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564">
        <f t="shared" si="0"/>
        <v>0</v>
      </c>
    </row>
    <row r="20" spans="1:10" x14ac:dyDescent="0.15">
      <c r="A20" s="137"/>
      <c r="B20" s="297" t="s">
        <v>1241</v>
      </c>
      <c r="C20" s="138" t="s">
        <v>1051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564">
        <f t="shared" si="0"/>
        <v>0</v>
      </c>
    </row>
    <row r="21" spans="1:10" ht="11.25" thickBot="1" x14ac:dyDescent="0.2">
      <c r="A21" s="137"/>
      <c r="B21" s="214"/>
      <c r="C21" s="1"/>
      <c r="D21" s="14"/>
      <c r="E21" s="14"/>
      <c r="F21" s="14"/>
      <c r="G21" s="14"/>
      <c r="I21" s="6"/>
    </row>
    <row r="22" spans="1:10" ht="12" thickTop="1" thickBot="1" x14ac:dyDescent="0.2">
      <c r="B22" s="297" t="s">
        <v>1242</v>
      </c>
      <c r="C22" s="35" t="s">
        <v>1214</v>
      </c>
      <c r="D22" s="42">
        <f t="shared" ref="D22:I22" si="1">SUM(D9:D21)</f>
        <v>0</v>
      </c>
      <c r="E22" s="42">
        <f t="shared" si="1"/>
        <v>0</v>
      </c>
      <c r="F22" s="42">
        <f t="shared" si="1"/>
        <v>0</v>
      </c>
      <c r="G22" s="42">
        <f t="shared" si="1"/>
        <v>0</v>
      </c>
      <c r="H22" s="42">
        <f t="shared" si="1"/>
        <v>0</v>
      </c>
      <c r="I22" s="42">
        <f t="shared" si="1"/>
        <v>0</v>
      </c>
    </row>
    <row r="23" spans="1:10" ht="12" thickTop="1" thickBot="1" x14ac:dyDescent="0.2">
      <c r="C23" s="1"/>
      <c r="D23" s="13"/>
      <c r="E23" s="13"/>
      <c r="F23" s="13"/>
      <c r="G23" s="13"/>
      <c r="I23" s="6"/>
    </row>
    <row r="24" spans="1:10" ht="11.25" thickBot="1" x14ac:dyDescent="0.2">
      <c r="A24" s="35" t="s">
        <v>1215</v>
      </c>
      <c r="D24" s="44">
        <f t="shared" ref="D24:I24" si="2">D6+D22</f>
        <v>0</v>
      </c>
      <c r="E24" s="44">
        <f t="shared" si="2"/>
        <v>0</v>
      </c>
      <c r="F24" s="44">
        <f t="shared" si="2"/>
        <v>0</v>
      </c>
      <c r="G24" s="44">
        <f t="shared" si="2"/>
        <v>0</v>
      </c>
      <c r="H24" s="44">
        <f t="shared" si="2"/>
        <v>0</v>
      </c>
      <c r="I24" s="44">
        <f t="shared" si="2"/>
        <v>0</v>
      </c>
    </row>
    <row r="25" spans="1:10" x14ac:dyDescent="0.15">
      <c r="E25" s="5"/>
      <c r="F25" s="5"/>
      <c r="G25" s="5"/>
      <c r="I25" s="6"/>
    </row>
    <row r="26" spans="1:10" x14ac:dyDescent="0.15">
      <c r="A26" s="660" t="s">
        <v>824</v>
      </c>
      <c r="B26" s="424"/>
      <c r="C26" s="495" t="s">
        <v>816</v>
      </c>
      <c r="D26" s="423"/>
      <c r="E26" s="423"/>
      <c r="F26" s="423"/>
      <c r="G26" s="423"/>
      <c r="H26" s="423"/>
      <c r="I26" s="179"/>
    </row>
    <row r="27" spans="1:10" x14ac:dyDescent="0.15">
      <c r="A27" s="436" t="s">
        <v>105</v>
      </c>
      <c r="B27" s="501" t="s">
        <v>882</v>
      </c>
      <c r="C27" s="2" t="s">
        <v>827</v>
      </c>
      <c r="D27" s="41">
        <v>0</v>
      </c>
      <c r="E27" s="41">
        <v>0</v>
      </c>
      <c r="F27" s="41">
        <v>0</v>
      </c>
      <c r="G27" s="41">
        <v>0</v>
      </c>
      <c r="H27" s="534">
        <v>0</v>
      </c>
      <c r="I27" s="535">
        <f>SUM(G27+H27)</f>
        <v>0</v>
      </c>
    </row>
    <row r="28" spans="1:10" s="309" customFormat="1" x14ac:dyDescent="0.15">
      <c r="A28" s="436"/>
      <c r="B28" s="501"/>
      <c r="C28" s="2"/>
      <c r="D28" s="14"/>
      <c r="E28" s="14"/>
      <c r="F28" s="14"/>
      <c r="G28" s="14"/>
      <c r="H28" s="308"/>
      <c r="I28" s="305"/>
    </row>
    <row r="29" spans="1:10" s="309" customFormat="1" x14ac:dyDescent="0.15">
      <c r="A29" s="158"/>
      <c r="B29" s="158"/>
      <c r="C29" s="158"/>
      <c r="D29" s="158"/>
      <c r="E29" s="159"/>
      <c r="F29" s="159"/>
      <c r="G29" s="159"/>
      <c r="H29" s="158"/>
      <c r="I29" s="167"/>
    </row>
    <row r="30" spans="1:10" s="309" customFormat="1" x14ac:dyDescent="0.15">
      <c r="A30" s="375" t="s">
        <v>664</v>
      </c>
      <c r="B30"/>
      <c r="C30"/>
      <c r="D30"/>
      <c r="E30" s="5"/>
      <c r="F30" s="5"/>
      <c r="G30" s="5"/>
      <c r="H30"/>
      <c r="I30" s="6"/>
    </row>
    <row r="31" spans="1:10" s="158" customFormat="1" x14ac:dyDescent="0.15">
      <c r="A31" s="139" t="s">
        <v>198</v>
      </c>
      <c r="B31"/>
      <c r="C31" s="210" t="s">
        <v>627</v>
      </c>
      <c r="D31"/>
      <c r="E31" s="5"/>
      <c r="F31" s="5"/>
      <c r="G31" s="5"/>
      <c r="H31"/>
      <c r="I31" s="6"/>
      <c r="J31" s="309"/>
    </row>
    <row r="32" spans="1:10" x14ac:dyDescent="0.15">
      <c r="A32" s="311" t="s">
        <v>1577</v>
      </c>
      <c r="B32" s="583" t="s">
        <v>1240</v>
      </c>
      <c r="C32" s="312" t="s">
        <v>228</v>
      </c>
      <c r="D32" s="316">
        <v>0</v>
      </c>
      <c r="E32" s="316">
        <v>0</v>
      </c>
      <c r="F32" s="316">
        <v>0</v>
      </c>
      <c r="G32" s="529">
        <f t="array" ref="G32">SUM(IF(CertFund&amp;CertProg&amp;CertObj=RIGHT(LEFT($A$2,7),2)&amp;LEFT(A30,4)&amp;A32,CertSalary))</f>
        <v>0</v>
      </c>
      <c r="H32" s="584">
        <v>0</v>
      </c>
      <c r="I32" s="575">
        <f>SUM(G32+H32)</f>
        <v>0</v>
      </c>
    </row>
    <row r="33" spans="1:9" x14ac:dyDescent="0.15">
      <c r="A33" s="311" t="s">
        <v>423</v>
      </c>
      <c r="B33" s="583" t="s">
        <v>1240</v>
      </c>
      <c r="C33" s="312" t="s">
        <v>510</v>
      </c>
      <c r="D33" s="316">
        <v>0</v>
      </c>
      <c r="E33" s="316">
        <v>0</v>
      </c>
      <c r="F33" s="316">
        <v>0</v>
      </c>
      <c r="G33" s="316">
        <v>0</v>
      </c>
      <c r="H33" s="584">
        <v>0</v>
      </c>
      <c r="I33" s="575">
        <f>SUM(G33+H33)</f>
        <v>0</v>
      </c>
    </row>
    <row r="34" spans="1:9" x14ac:dyDescent="0.15">
      <c r="A34" s="311" t="s">
        <v>1578</v>
      </c>
      <c r="B34" s="583" t="s">
        <v>1244</v>
      </c>
      <c r="C34" s="312" t="s">
        <v>229</v>
      </c>
      <c r="D34" s="316">
        <v>0</v>
      </c>
      <c r="E34" s="316">
        <v>0</v>
      </c>
      <c r="F34" s="316">
        <v>0</v>
      </c>
      <c r="G34" s="529">
        <f t="array" ref="G34">SUM(IF(CertFund&amp;CertProg&amp;CertObj=RIGHT(LEFT($A$2,7),2)&amp;LEFT(A30,4)&amp;A32,CertBen))</f>
        <v>0</v>
      </c>
      <c r="H34" s="584">
        <v>0</v>
      </c>
      <c r="I34" s="575">
        <f>SUM(G34+H34)</f>
        <v>0</v>
      </c>
    </row>
    <row r="35" spans="1:9" x14ac:dyDescent="0.15">
      <c r="A35" s="152" t="s">
        <v>424</v>
      </c>
      <c r="B35" s="160" t="s">
        <v>1244</v>
      </c>
      <c r="C35" s="115" t="s">
        <v>511</v>
      </c>
      <c r="D35" s="147">
        <v>0</v>
      </c>
      <c r="E35" s="147">
        <v>0</v>
      </c>
      <c r="F35" s="147">
        <v>0</v>
      </c>
      <c r="G35" s="147">
        <v>0</v>
      </c>
      <c r="H35" s="585">
        <v>0</v>
      </c>
      <c r="I35" s="564">
        <f>SUM(G35+H35)</f>
        <v>0</v>
      </c>
    </row>
    <row r="36" spans="1:9" x14ac:dyDescent="0.15">
      <c r="A36" s="137" t="s">
        <v>427</v>
      </c>
      <c r="B36" s="296" t="s">
        <v>1251</v>
      </c>
      <c r="C36" s="1" t="s">
        <v>124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ref="I36:I45" si="3">SUM(G36+H36)</f>
        <v>0</v>
      </c>
    </row>
    <row r="37" spans="1:9" x14ac:dyDescent="0.15">
      <c r="A37" s="137" t="s">
        <v>715</v>
      </c>
      <c r="B37" s="296" t="s">
        <v>1252</v>
      </c>
      <c r="C37" s="1" t="s">
        <v>1362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x14ac:dyDescent="0.15">
      <c r="A38" s="137" t="s">
        <v>539</v>
      </c>
      <c r="B38" s="296" t="s">
        <v>1253</v>
      </c>
      <c r="C38" s="1" t="s">
        <v>714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3"/>
        <v>0</v>
      </c>
    </row>
    <row r="39" spans="1:9" x14ac:dyDescent="0.15">
      <c r="A39" s="137" t="s">
        <v>628</v>
      </c>
      <c r="B39" s="296" t="s">
        <v>1254</v>
      </c>
      <c r="C39" s="1" t="s">
        <v>716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3"/>
        <v>0</v>
      </c>
    </row>
    <row r="40" spans="1:9" x14ac:dyDescent="0.15">
      <c r="A40" s="137" t="s">
        <v>629</v>
      </c>
      <c r="B40" s="296" t="s">
        <v>1255</v>
      </c>
      <c r="C40" s="1" t="s">
        <v>717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3"/>
        <v>0</v>
      </c>
    </row>
    <row r="41" spans="1:9" x14ac:dyDescent="0.15">
      <c r="A41" s="108" t="s">
        <v>81</v>
      </c>
      <c r="B41" s="296" t="s">
        <v>1260</v>
      </c>
      <c r="C41" s="1" t="s">
        <v>82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3"/>
        <v>0</v>
      </c>
    </row>
    <row r="42" spans="1:9" x14ac:dyDescent="0.15">
      <c r="A42" s="137" t="s">
        <v>631</v>
      </c>
      <c r="B42" s="296" t="s">
        <v>1261</v>
      </c>
      <c r="C42" s="1" t="s">
        <v>173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3"/>
        <v>0</v>
      </c>
    </row>
    <row r="43" spans="1:9" x14ac:dyDescent="0.15">
      <c r="A43" s="137" t="s">
        <v>632</v>
      </c>
      <c r="B43" s="296" t="s">
        <v>1262</v>
      </c>
      <c r="C43" s="1" t="s">
        <v>183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3"/>
        <v>0</v>
      </c>
    </row>
    <row r="44" spans="1:9" x14ac:dyDescent="0.15">
      <c r="A44" s="152"/>
      <c r="B44" s="152"/>
      <c r="C44" s="665" t="s">
        <v>883</v>
      </c>
      <c r="D44" s="529">
        <f t="shared" ref="D44:I44" si="4">+D27</f>
        <v>0</v>
      </c>
      <c r="E44" s="529">
        <f t="shared" si="4"/>
        <v>0</v>
      </c>
      <c r="F44" s="529">
        <f t="shared" si="4"/>
        <v>0</v>
      </c>
      <c r="G44" s="529">
        <f t="shared" si="4"/>
        <v>0</v>
      </c>
      <c r="H44" s="529">
        <f t="shared" si="4"/>
        <v>0</v>
      </c>
      <c r="I44" s="529">
        <f t="shared" si="4"/>
        <v>0</v>
      </c>
    </row>
    <row r="45" spans="1:9" x14ac:dyDescent="0.15">
      <c r="A45" s="137" t="s">
        <v>718</v>
      </c>
      <c r="B45" s="135" t="s">
        <v>1263</v>
      </c>
      <c r="C45" s="1" t="s">
        <v>1510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3"/>
        <v>0</v>
      </c>
    </row>
    <row r="46" spans="1:9" ht="11.25" thickBot="1" x14ac:dyDescent="0.2">
      <c r="A46" s="137"/>
      <c r="B46" s="213"/>
      <c r="C46" s="1"/>
      <c r="D46" s="14"/>
      <c r="E46" s="14"/>
      <c r="F46" s="14"/>
      <c r="G46" s="14"/>
      <c r="I46" s="6"/>
    </row>
    <row r="47" spans="1:9" ht="12" thickTop="1" thickBot="1" x14ac:dyDescent="0.2">
      <c r="B47" s="297" t="s">
        <v>1265</v>
      </c>
      <c r="C47" s="35" t="s">
        <v>1169</v>
      </c>
      <c r="D47" s="42">
        <f t="shared" ref="D47:I47" si="5">SUM(D32:D45)</f>
        <v>0</v>
      </c>
      <c r="E47" s="42">
        <f t="shared" si="5"/>
        <v>0</v>
      </c>
      <c r="F47" s="42">
        <f t="shared" si="5"/>
        <v>0</v>
      </c>
      <c r="G47" s="42">
        <f t="shared" si="5"/>
        <v>0</v>
      </c>
      <c r="H47" s="42">
        <f t="shared" si="5"/>
        <v>0</v>
      </c>
      <c r="I47" s="42">
        <f t="shared" si="5"/>
        <v>0</v>
      </c>
    </row>
    <row r="48" spans="1:9" ht="11.25" thickTop="1" x14ac:dyDescent="0.15">
      <c r="B48" s="17"/>
      <c r="E48" s="8"/>
      <c r="F48" s="5"/>
      <c r="G48" s="5"/>
      <c r="I48" s="6"/>
    </row>
    <row r="49" spans="1:9" x14ac:dyDescent="0.15">
      <c r="A49" s="155" t="s">
        <v>110</v>
      </c>
      <c r="C49" s="210" t="s">
        <v>737</v>
      </c>
      <c r="D49" s="159"/>
      <c r="E49" s="159"/>
      <c r="F49" s="159"/>
      <c r="G49" s="159"/>
      <c r="I49" s="6"/>
    </row>
    <row r="50" spans="1:9" x14ac:dyDescent="0.15">
      <c r="A50" s="154" t="s">
        <v>1522</v>
      </c>
      <c r="B50" s="297" t="s">
        <v>1266</v>
      </c>
      <c r="C50" s="115" t="s">
        <v>1516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564">
        <f>SUM(G50+H50)</f>
        <v>0</v>
      </c>
    </row>
    <row r="51" spans="1:9" x14ac:dyDescent="0.15">
      <c r="A51" s="154" t="s">
        <v>1523</v>
      </c>
      <c r="B51" s="297" t="s">
        <v>1267</v>
      </c>
      <c r="C51" s="115" t="s">
        <v>1517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564">
        <f>SUM(G51+H51)</f>
        <v>0</v>
      </c>
    </row>
    <row r="52" spans="1:9" x14ac:dyDescent="0.15">
      <c r="A52" s="154" t="s">
        <v>1524</v>
      </c>
      <c r="B52" s="297" t="s">
        <v>1268</v>
      </c>
      <c r="C52" s="115" t="s">
        <v>1518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>SUM(G52+H52)</f>
        <v>0</v>
      </c>
    </row>
    <row r="53" spans="1:9" x14ac:dyDescent="0.15">
      <c r="A53" s="725" t="s">
        <v>1675</v>
      </c>
      <c r="B53" s="297" t="s">
        <v>1269</v>
      </c>
      <c r="C53" s="692" t="s">
        <v>1676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>SUM(G53+H53)</f>
        <v>0</v>
      </c>
    </row>
    <row r="54" spans="1:9" ht="11.25" thickBot="1" x14ac:dyDescent="0.2">
      <c r="A54" s="154" t="s">
        <v>1526</v>
      </c>
      <c r="B54" s="297" t="s">
        <v>1270</v>
      </c>
      <c r="C54" s="115" t="s">
        <v>1520</v>
      </c>
      <c r="D54" s="41">
        <v>0</v>
      </c>
      <c r="E54" s="150">
        <v>0</v>
      </c>
      <c r="F54" s="150">
        <v>0</v>
      </c>
      <c r="G54" s="150">
        <v>0</v>
      </c>
      <c r="H54" s="41">
        <v>0</v>
      </c>
      <c r="I54" s="564">
        <f>SUM(G54+H54)</f>
        <v>0</v>
      </c>
    </row>
    <row r="55" spans="1:9" ht="12" thickTop="1" thickBot="1" x14ac:dyDescent="0.2">
      <c r="A55" s="149"/>
      <c r="B55" s="297" t="s">
        <v>1271</v>
      </c>
      <c r="C55" s="1" t="s">
        <v>1693</v>
      </c>
      <c r="D55" s="151">
        <f t="shared" ref="D55:I55" si="6">SUM(D50:D54)</f>
        <v>0</v>
      </c>
      <c r="E55" s="151">
        <f t="shared" si="6"/>
        <v>0</v>
      </c>
      <c r="F55" s="151">
        <f t="shared" si="6"/>
        <v>0</v>
      </c>
      <c r="G55" s="151">
        <f t="shared" si="6"/>
        <v>0</v>
      </c>
      <c r="H55" s="151">
        <f t="shared" si="6"/>
        <v>0</v>
      </c>
      <c r="I55" s="169">
        <f t="shared" si="6"/>
        <v>0</v>
      </c>
    </row>
    <row r="56" spans="1:9" ht="12" thickTop="1" thickBot="1" x14ac:dyDescent="0.2">
      <c r="A56" s="149"/>
      <c r="B56" s="182"/>
      <c r="C56" s="115"/>
      <c r="D56" s="159"/>
      <c r="E56" s="159"/>
      <c r="F56" s="159"/>
      <c r="G56" s="159"/>
      <c r="I56" s="6"/>
    </row>
    <row r="57" spans="1:9" ht="11.25" thickBot="1" x14ac:dyDescent="0.2">
      <c r="A57" s="35" t="s">
        <v>1684</v>
      </c>
      <c r="B57" s="17"/>
      <c r="C57" s="158"/>
      <c r="D57" s="212">
        <f t="shared" ref="D57:I57" si="7">D47+D55</f>
        <v>0</v>
      </c>
      <c r="E57" s="212">
        <f t="shared" si="7"/>
        <v>0</v>
      </c>
      <c r="F57" s="212">
        <f t="shared" si="7"/>
        <v>0</v>
      </c>
      <c r="G57" s="212">
        <f t="shared" si="7"/>
        <v>0</v>
      </c>
      <c r="H57" s="212">
        <f t="shared" si="7"/>
        <v>0</v>
      </c>
      <c r="I57" s="212">
        <f t="shared" si="7"/>
        <v>0</v>
      </c>
    </row>
    <row r="58" spans="1:9" x14ac:dyDescent="0.15">
      <c r="A58" s="149"/>
      <c r="B58" s="182"/>
      <c r="C58" s="115" t="s">
        <v>725</v>
      </c>
      <c r="D58" s="159"/>
      <c r="E58" s="159"/>
      <c r="F58" s="159"/>
      <c r="G58" s="159"/>
      <c r="I58" s="6"/>
    </row>
    <row r="59" spans="1:9" ht="11.25" thickBot="1" x14ac:dyDescent="0.2">
      <c r="A59" s="149"/>
      <c r="B59" s="182"/>
      <c r="C59" s="115"/>
      <c r="D59" s="159"/>
      <c r="E59" s="159"/>
      <c r="F59" s="159"/>
      <c r="G59" s="159"/>
      <c r="I59" s="6"/>
    </row>
    <row r="60" spans="1:9" ht="12" thickTop="1" thickBot="1" x14ac:dyDescent="0.2">
      <c r="A60" s="158"/>
      <c r="B60" s="158"/>
      <c r="C60" s="172" t="s">
        <v>726</v>
      </c>
      <c r="D60" s="173">
        <f t="shared" ref="D60:I60" si="8">D24</f>
        <v>0</v>
      </c>
      <c r="E60" s="173">
        <f t="shared" si="8"/>
        <v>0</v>
      </c>
      <c r="F60" s="173">
        <f t="shared" si="8"/>
        <v>0</v>
      </c>
      <c r="G60" s="173">
        <f t="shared" si="8"/>
        <v>0</v>
      </c>
      <c r="H60" s="173">
        <f t="shared" si="8"/>
        <v>0</v>
      </c>
      <c r="I60" s="173">
        <f t="shared" si="8"/>
        <v>0</v>
      </c>
    </row>
    <row r="61" spans="1:9" ht="11.25" thickTop="1" x14ac:dyDescent="0.15">
      <c r="A61" s="158"/>
      <c r="B61" s="158"/>
      <c r="C61" s="158"/>
      <c r="D61" s="158"/>
      <c r="E61" s="158"/>
      <c r="F61" s="158"/>
      <c r="G61" s="158"/>
      <c r="I61" s="6"/>
    </row>
    <row r="62" spans="1:9" x14ac:dyDescent="0.15">
      <c r="A62" s="158"/>
      <c r="B62" s="158"/>
      <c r="C62" s="172" t="s">
        <v>727</v>
      </c>
      <c r="D62" s="158">
        <f t="shared" ref="D62:I62" si="9">D57-D60</f>
        <v>0</v>
      </c>
      <c r="E62" s="158">
        <f t="shared" si="9"/>
        <v>0</v>
      </c>
      <c r="F62" s="158">
        <f t="shared" si="9"/>
        <v>0</v>
      </c>
      <c r="G62" s="158">
        <f t="shared" si="9"/>
        <v>0</v>
      </c>
      <c r="H62" s="158">
        <f t="shared" si="9"/>
        <v>0</v>
      </c>
      <c r="I62" s="167">
        <f t="shared" si="9"/>
        <v>0</v>
      </c>
    </row>
    <row r="63" spans="1:9" x14ac:dyDescent="0.15">
      <c r="A63" s="158"/>
      <c r="B63" s="158"/>
      <c r="C63" s="172"/>
      <c r="D63" s="158"/>
      <c r="E63" s="158"/>
      <c r="F63" s="158"/>
      <c r="G63" s="158"/>
      <c r="I63" s="6"/>
    </row>
    <row r="64" spans="1:9" x14ac:dyDescent="0.15">
      <c r="C64" s="210" t="s">
        <v>111</v>
      </c>
      <c r="E64" s="5"/>
      <c r="F64" s="5"/>
      <c r="G64" s="5"/>
      <c r="I64" s="6"/>
    </row>
    <row r="65" spans="1:9" x14ac:dyDescent="0.15">
      <c r="A65" s="140" t="s">
        <v>634</v>
      </c>
      <c r="C65" s="1" t="s">
        <v>1142</v>
      </c>
      <c r="E65" s="5"/>
      <c r="F65" s="5"/>
      <c r="G65" s="5"/>
      <c r="I65" s="6"/>
    </row>
    <row r="66" spans="1:9" x14ac:dyDescent="0.15">
      <c r="B66" s="7"/>
      <c r="C66" s="2" t="s">
        <v>1606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564">
        <f>G66+H66</f>
        <v>0</v>
      </c>
    </row>
    <row r="67" spans="1:9" x14ac:dyDescent="0.15">
      <c r="B67" s="7"/>
      <c r="C67" s="2"/>
      <c r="D67" s="14"/>
      <c r="E67" s="14"/>
      <c r="F67" s="14"/>
      <c r="G67" s="14"/>
      <c r="I67" s="6"/>
    </row>
    <row r="68" spans="1:9" x14ac:dyDescent="0.15">
      <c r="I68" s="6"/>
    </row>
  </sheetData>
  <sheetProtection password="CB03" sheet="1" formatCells="0" formatColumns="0" formatRows="0"/>
  <phoneticPr fontId="15" type="noConversion"/>
  <pageMargins left="0.5" right="0.5" top="0.75" bottom="0.75" header="0.5" footer="0.5"/>
  <pageSetup scale="61" firstPageNumber="42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opLeftCell="A16" workbookViewId="0">
      <selection activeCell="E48" sqref="E48"/>
    </sheetView>
  </sheetViews>
  <sheetFormatPr defaultColWidth="12" defaultRowHeight="10.5" x14ac:dyDescent="0.15"/>
  <cols>
    <col min="1" max="1" width="10.33203125" customWidth="1"/>
    <col min="2" max="2" width="3.6640625" bestFit="1" customWidth="1"/>
    <col min="3" max="3" width="70.83203125" customWidth="1"/>
    <col min="4" max="4" width="15.83203125" customWidth="1"/>
    <col min="5" max="5" width="17.83203125" customWidth="1"/>
    <col min="6" max="6" width="18.83203125" customWidth="1"/>
    <col min="7" max="7" width="15.83203125" customWidth="1"/>
    <col min="8" max="8" width="16.83203125" customWidth="1"/>
    <col min="9" max="9" width="15.1640625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49" t="s">
        <v>636</v>
      </c>
    </row>
    <row r="2" spans="1:9" x14ac:dyDescent="0.15">
      <c r="A2" s="15" t="s">
        <v>635</v>
      </c>
    </row>
    <row r="3" spans="1:9" s="158" customFormat="1" ht="31.5" x14ac:dyDescent="0.15"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s="158" customFormat="1" ht="52.5" x14ac:dyDescent="0.15">
      <c r="D4" s="166"/>
      <c r="E4" s="166"/>
      <c r="F4" s="166"/>
      <c r="G4" s="166"/>
      <c r="H4" s="251" t="s">
        <v>193</v>
      </c>
      <c r="I4" s="251" t="s">
        <v>192</v>
      </c>
    </row>
    <row r="5" spans="1:9" s="158" customFormat="1" ht="11.25" thickBot="1" x14ac:dyDescent="0.2">
      <c r="D5" s="166"/>
      <c r="E5" s="166"/>
      <c r="F5" s="166"/>
      <c r="G5" s="166"/>
      <c r="I5" s="167"/>
    </row>
    <row r="6" spans="1:9" ht="11.25" thickBot="1" x14ac:dyDescent="0.2">
      <c r="A6" s="35" t="s">
        <v>195</v>
      </c>
      <c r="B6" s="35" t="s">
        <v>626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E7" s="5"/>
      <c r="F7" s="5"/>
      <c r="G7" s="5"/>
      <c r="I7" s="6"/>
    </row>
    <row r="8" spans="1:9" x14ac:dyDescent="0.15">
      <c r="A8" s="36" t="s">
        <v>1592</v>
      </c>
      <c r="C8" s="210" t="s">
        <v>196</v>
      </c>
      <c r="E8" s="5"/>
      <c r="F8" s="5"/>
      <c r="G8" s="5"/>
      <c r="I8" s="6"/>
    </row>
    <row r="9" spans="1:9" x14ac:dyDescent="0.15">
      <c r="A9" s="152" t="s">
        <v>74</v>
      </c>
      <c r="B9" s="188" t="s">
        <v>1159</v>
      </c>
      <c r="C9" s="115" t="s">
        <v>719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SUM(G9+H9)</f>
        <v>0</v>
      </c>
    </row>
    <row r="10" spans="1:9" x14ac:dyDescent="0.15">
      <c r="A10" s="1" t="s">
        <v>1602</v>
      </c>
      <c r="B10" s="211" t="s">
        <v>1160</v>
      </c>
      <c r="C10" s="1" t="s">
        <v>443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ref="I10:I15" si="0">SUM(G10+H10)</f>
        <v>0</v>
      </c>
    </row>
    <row r="11" spans="1:9" x14ac:dyDescent="0.15">
      <c r="A11" s="108" t="s">
        <v>529</v>
      </c>
      <c r="B11" s="211" t="s">
        <v>1161</v>
      </c>
      <c r="C11" s="1" t="s">
        <v>720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88" t="s">
        <v>113</v>
      </c>
      <c r="B12" s="211" t="s">
        <v>1228</v>
      </c>
      <c r="C12" s="1" t="s">
        <v>721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88" t="s">
        <v>722</v>
      </c>
      <c r="B13" s="211" t="s">
        <v>1229</v>
      </c>
      <c r="C13" s="1" t="s">
        <v>73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" t="s">
        <v>105</v>
      </c>
      <c r="B14" s="211" t="s">
        <v>1230</v>
      </c>
      <c r="C14" s="2" t="s">
        <v>854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B15" s="211" t="s">
        <v>1231</v>
      </c>
      <c r="C15" s="1" t="s">
        <v>212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ht="11.25" thickBot="1" x14ac:dyDescent="0.2">
      <c r="B16" s="211"/>
      <c r="C16" s="1"/>
      <c r="D16" s="14"/>
      <c r="E16" s="14"/>
      <c r="F16" s="14"/>
      <c r="G16" s="14"/>
      <c r="I16" s="6"/>
    </row>
    <row r="17" spans="1:9" ht="12" thickTop="1" thickBot="1" x14ac:dyDescent="0.2">
      <c r="B17" s="211" t="s">
        <v>1232</v>
      </c>
      <c r="C17" s="35" t="s">
        <v>1158</v>
      </c>
      <c r="D17" s="42">
        <f t="shared" ref="D17:I17" si="1">SUM(D9:D15)</f>
        <v>0</v>
      </c>
      <c r="E17" s="42">
        <f t="shared" si="1"/>
        <v>0</v>
      </c>
      <c r="F17" s="42">
        <f t="shared" si="1"/>
        <v>0</v>
      </c>
      <c r="G17" s="42">
        <f t="shared" si="1"/>
        <v>0</v>
      </c>
      <c r="H17" s="42">
        <f t="shared" si="1"/>
        <v>0</v>
      </c>
      <c r="I17" s="42">
        <f t="shared" si="1"/>
        <v>0</v>
      </c>
    </row>
    <row r="18" spans="1:9" ht="12" thickTop="1" thickBot="1" x14ac:dyDescent="0.2">
      <c r="C18" s="1"/>
      <c r="D18" s="13"/>
      <c r="E18" s="13"/>
      <c r="F18" s="13"/>
      <c r="G18" s="13"/>
      <c r="I18" s="6"/>
    </row>
    <row r="19" spans="1:9" ht="11.25" thickBot="1" x14ac:dyDescent="0.2">
      <c r="A19" s="35" t="s">
        <v>1172</v>
      </c>
      <c r="D19" s="44">
        <f t="shared" ref="D19:I19" si="2">D6+D17</f>
        <v>0</v>
      </c>
      <c r="E19" s="44">
        <f t="shared" si="2"/>
        <v>0</v>
      </c>
      <c r="F19" s="44">
        <f t="shared" si="2"/>
        <v>0</v>
      </c>
      <c r="G19" s="44">
        <f t="shared" si="2"/>
        <v>0</v>
      </c>
      <c r="H19" s="44">
        <f t="shared" si="2"/>
        <v>0</v>
      </c>
      <c r="I19" s="44">
        <f t="shared" si="2"/>
        <v>0</v>
      </c>
    </row>
    <row r="20" spans="1:9" x14ac:dyDescent="0.15">
      <c r="E20" s="5"/>
      <c r="F20" s="5"/>
      <c r="G20" s="5"/>
      <c r="I20" s="6"/>
    </row>
    <row r="21" spans="1:9" x14ac:dyDescent="0.15">
      <c r="A21" s="660" t="s">
        <v>824</v>
      </c>
      <c r="B21" s="424"/>
      <c r="C21" s="495" t="s">
        <v>816</v>
      </c>
      <c r="D21" s="423"/>
      <c r="E21" s="423"/>
      <c r="F21" s="423"/>
      <c r="G21" s="423"/>
      <c r="H21" s="423"/>
      <c r="I21" s="179"/>
    </row>
    <row r="22" spans="1:9" x14ac:dyDescent="0.15">
      <c r="A22" s="436" t="s">
        <v>105</v>
      </c>
      <c r="B22" s="501" t="s">
        <v>1438</v>
      </c>
      <c r="C22" s="2" t="s">
        <v>827</v>
      </c>
      <c r="D22" s="41">
        <v>0</v>
      </c>
      <c r="E22" s="41">
        <v>0</v>
      </c>
      <c r="F22" s="41">
        <v>0</v>
      </c>
      <c r="G22" s="41">
        <v>0</v>
      </c>
      <c r="H22" s="534">
        <v>0</v>
      </c>
      <c r="I22" s="535">
        <f>SUM(G22+H22)</f>
        <v>0</v>
      </c>
    </row>
    <row r="23" spans="1:9" x14ac:dyDescent="0.15">
      <c r="A23" s="436"/>
      <c r="B23" s="501"/>
      <c r="C23" s="2"/>
      <c r="D23" s="14"/>
      <c r="E23" s="14"/>
      <c r="F23" s="14"/>
      <c r="G23" s="14"/>
      <c r="H23" s="308"/>
      <c r="I23" s="305"/>
    </row>
    <row r="24" spans="1:9" x14ac:dyDescent="0.15">
      <c r="E24" s="5"/>
      <c r="F24" s="5"/>
      <c r="G24" s="5"/>
      <c r="I24" s="6"/>
    </row>
    <row r="25" spans="1:9" x14ac:dyDescent="0.15">
      <c r="A25" s="36" t="s">
        <v>198</v>
      </c>
      <c r="C25" s="210" t="s">
        <v>627</v>
      </c>
      <c r="E25" s="5"/>
      <c r="F25" s="5"/>
      <c r="G25" s="5"/>
      <c r="I25" s="6"/>
    </row>
    <row r="26" spans="1:9" x14ac:dyDescent="0.15">
      <c r="A26" s="1" t="s">
        <v>423</v>
      </c>
      <c r="B26" s="211" t="s">
        <v>1240</v>
      </c>
      <c r="C26" s="115" t="s">
        <v>230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ref="I26:I35" si="3">SUM(G26+H26)</f>
        <v>0</v>
      </c>
    </row>
    <row r="27" spans="1:9" x14ac:dyDescent="0.15">
      <c r="A27" s="1" t="s">
        <v>424</v>
      </c>
      <c r="B27" s="211" t="s">
        <v>1244</v>
      </c>
      <c r="C27" s="115" t="s">
        <v>231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3"/>
        <v>0</v>
      </c>
    </row>
    <row r="28" spans="1:9" x14ac:dyDescent="0.15">
      <c r="A28" s="1" t="s">
        <v>425</v>
      </c>
      <c r="B28" s="211" t="s">
        <v>1245</v>
      </c>
      <c r="C28" s="1" t="s">
        <v>1246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3"/>
        <v>0</v>
      </c>
    </row>
    <row r="29" spans="1:9" x14ac:dyDescent="0.15">
      <c r="A29" s="1" t="s">
        <v>426</v>
      </c>
      <c r="B29" s="211" t="s">
        <v>1241</v>
      </c>
      <c r="C29" s="1" t="s">
        <v>119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" t="s">
        <v>427</v>
      </c>
      <c r="B30" s="211" t="s">
        <v>1242</v>
      </c>
      <c r="C30" s="1" t="s">
        <v>124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" t="s">
        <v>428</v>
      </c>
      <c r="B31" s="211" t="s">
        <v>1247</v>
      </c>
      <c r="C31" s="1" t="s">
        <v>156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08" t="s">
        <v>81</v>
      </c>
      <c r="B32" s="211" t="s">
        <v>1248</v>
      </c>
      <c r="C32" s="1" t="s">
        <v>82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1" t="s">
        <v>631</v>
      </c>
      <c r="B33" s="211" t="s">
        <v>1249</v>
      </c>
      <c r="C33" s="1" t="s">
        <v>173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152"/>
      <c r="B34" s="152"/>
      <c r="C34" s="665" t="s">
        <v>884</v>
      </c>
      <c r="D34" s="529">
        <f t="shared" ref="D34:I34" si="4">+D22</f>
        <v>0</v>
      </c>
      <c r="E34" s="529">
        <f t="shared" si="4"/>
        <v>0</v>
      </c>
      <c r="F34" s="529">
        <f t="shared" si="4"/>
        <v>0</v>
      </c>
      <c r="G34" s="529">
        <f t="shared" si="4"/>
        <v>0</v>
      </c>
      <c r="H34" s="529">
        <f t="shared" si="4"/>
        <v>0</v>
      </c>
      <c r="I34" s="529">
        <f t="shared" si="4"/>
        <v>0</v>
      </c>
    </row>
    <row r="35" spans="1:9" x14ac:dyDescent="0.15">
      <c r="A35" s="1" t="s">
        <v>1259</v>
      </c>
      <c r="B35" s="211" t="s">
        <v>1250</v>
      </c>
      <c r="C35" s="1" t="s">
        <v>1510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ht="11.25" thickBot="1" x14ac:dyDescent="0.2">
      <c r="A36" s="1"/>
      <c r="B36" s="6"/>
      <c r="C36" s="1"/>
      <c r="D36" s="14"/>
      <c r="F36" s="5"/>
      <c r="G36" s="5"/>
      <c r="I36" s="6"/>
    </row>
    <row r="37" spans="1:9" ht="12" thickTop="1" thickBot="1" x14ac:dyDescent="0.2">
      <c r="B37" s="211" t="s">
        <v>1251</v>
      </c>
      <c r="C37" s="35" t="s">
        <v>1173</v>
      </c>
      <c r="D37" s="42">
        <f t="shared" ref="D37:I37" si="5">SUM(D26:D35)</f>
        <v>0</v>
      </c>
      <c r="E37" s="42">
        <f t="shared" si="5"/>
        <v>0</v>
      </c>
      <c r="F37" s="42">
        <f t="shared" si="5"/>
        <v>0</v>
      </c>
      <c r="G37" s="42">
        <f t="shared" si="5"/>
        <v>0</v>
      </c>
      <c r="H37" s="42">
        <f t="shared" si="5"/>
        <v>0</v>
      </c>
      <c r="I37" s="42">
        <f t="shared" si="5"/>
        <v>0</v>
      </c>
    </row>
    <row r="38" spans="1:9" ht="11.25" thickTop="1" x14ac:dyDescent="0.15">
      <c r="E38" s="5"/>
      <c r="F38" s="5"/>
      <c r="G38" s="5"/>
      <c r="I38" s="6"/>
    </row>
    <row r="39" spans="1:9" x14ac:dyDescent="0.15">
      <c r="A39" s="155" t="s">
        <v>110</v>
      </c>
      <c r="C39" s="210" t="s">
        <v>737</v>
      </c>
      <c r="D39" s="159"/>
      <c r="E39" s="159"/>
      <c r="F39" s="159"/>
      <c r="G39" s="159"/>
      <c r="I39" s="6"/>
    </row>
    <row r="40" spans="1:9" x14ac:dyDescent="0.15">
      <c r="A40" s="558" t="s">
        <v>1522</v>
      </c>
      <c r="B40" s="726" t="s">
        <v>1252</v>
      </c>
      <c r="C40" s="138" t="s">
        <v>1516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>SUM(G40+H40)</f>
        <v>0</v>
      </c>
    </row>
    <row r="41" spans="1:9" x14ac:dyDescent="0.15">
      <c r="A41" s="725" t="s">
        <v>1681</v>
      </c>
      <c r="B41" s="160" t="s">
        <v>1253</v>
      </c>
      <c r="C41" s="138" t="s">
        <v>1517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SUM(G41+H41)</f>
        <v>0</v>
      </c>
    </row>
    <row r="42" spans="1:9" x14ac:dyDescent="0.15">
      <c r="A42" s="725" t="s">
        <v>1680</v>
      </c>
      <c r="B42" s="160" t="s">
        <v>1254</v>
      </c>
      <c r="C42" s="138" t="s">
        <v>1518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SUM(G42+H42)</f>
        <v>0</v>
      </c>
    </row>
    <row r="43" spans="1:9" ht="11.25" customHeight="1" x14ac:dyDescent="0.15">
      <c r="A43" s="725" t="s">
        <v>1675</v>
      </c>
      <c r="B43" s="160" t="s">
        <v>1255</v>
      </c>
      <c r="C43" s="692" t="s">
        <v>1676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>SUM(G43+H43)</f>
        <v>0</v>
      </c>
    </row>
    <row r="44" spans="1:9" ht="11.25" thickBot="1" x14ac:dyDescent="0.2">
      <c r="A44" s="558" t="s">
        <v>1526</v>
      </c>
      <c r="B44" s="160" t="s">
        <v>1260</v>
      </c>
      <c r="C44" s="138" t="s">
        <v>1520</v>
      </c>
      <c r="D44" s="150">
        <v>0</v>
      </c>
      <c r="E44" s="150">
        <v>0</v>
      </c>
      <c r="F44" s="150">
        <v>0</v>
      </c>
      <c r="G44" s="150">
        <v>0</v>
      </c>
      <c r="H44" s="41">
        <v>0</v>
      </c>
      <c r="I44" s="564">
        <f>SUM(G44+H44)</f>
        <v>0</v>
      </c>
    </row>
    <row r="45" spans="1:9" ht="12" thickTop="1" thickBot="1" x14ac:dyDescent="0.2">
      <c r="A45" s="149"/>
      <c r="B45" s="160" t="s">
        <v>1261</v>
      </c>
      <c r="C45" s="115" t="s">
        <v>724</v>
      </c>
      <c r="D45" s="151">
        <f t="shared" ref="D45:I45" si="6">SUM(D40:D44)</f>
        <v>0</v>
      </c>
      <c r="E45" s="151">
        <f t="shared" si="6"/>
        <v>0</v>
      </c>
      <c r="F45" s="151">
        <f t="shared" si="6"/>
        <v>0</v>
      </c>
      <c r="G45" s="151">
        <f t="shared" si="6"/>
        <v>0</v>
      </c>
      <c r="H45" s="151">
        <f t="shared" si="6"/>
        <v>0</v>
      </c>
      <c r="I45" s="169">
        <f t="shared" si="6"/>
        <v>0</v>
      </c>
    </row>
    <row r="46" spans="1:9" ht="12" thickTop="1" thickBot="1" x14ac:dyDescent="0.2">
      <c r="A46" s="149"/>
      <c r="B46" s="158"/>
      <c r="C46" s="115"/>
      <c r="D46" s="159"/>
      <c r="E46" s="159"/>
      <c r="F46" s="159"/>
      <c r="G46" s="159"/>
      <c r="I46" s="6"/>
    </row>
    <row r="47" spans="1:9" ht="11.25" thickBot="1" x14ac:dyDescent="0.2">
      <c r="A47" s="736" t="s">
        <v>1174</v>
      </c>
      <c r="B47" s="736"/>
      <c r="C47" s="743"/>
      <c r="D47" s="212">
        <f t="shared" ref="D47:I47" si="7">D37+D45</f>
        <v>0</v>
      </c>
      <c r="E47" s="212">
        <f t="shared" si="7"/>
        <v>0</v>
      </c>
      <c r="F47" s="212">
        <f t="shared" si="7"/>
        <v>0</v>
      </c>
      <c r="G47" s="212">
        <f t="shared" si="7"/>
        <v>0</v>
      </c>
      <c r="H47" s="212">
        <f t="shared" si="7"/>
        <v>0</v>
      </c>
      <c r="I47" s="212">
        <f t="shared" si="7"/>
        <v>0</v>
      </c>
    </row>
    <row r="48" spans="1:9" x14ac:dyDescent="0.15">
      <c r="A48" s="149"/>
      <c r="B48" s="158"/>
      <c r="C48" s="115" t="s">
        <v>725</v>
      </c>
      <c r="D48" s="159"/>
      <c r="E48" s="159"/>
      <c r="F48" s="159"/>
      <c r="G48" s="159"/>
      <c r="I48" s="6"/>
    </row>
    <row r="49" spans="1:9" ht="11.25" thickBot="1" x14ac:dyDescent="0.2">
      <c r="A49" s="149"/>
      <c r="B49" s="158"/>
      <c r="C49" s="115"/>
      <c r="D49" s="159"/>
      <c r="E49" s="159"/>
      <c r="F49" s="159"/>
      <c r="G49" s="159"/>
      <c r="I49" s="6"/>
    </row>
    <row r="50" spans="1:9" ht="12" thickTop="1" thickBot="1" x14ac:dyDescent="0.2">
      <c r="A50" s="158"/>
      <c r="B50" s="158"/>
      <c r="C50" s="172" t="s">
        <v>726</v>
      </c>
      <c r="D50" s="173">
        <f t="shared" ref="D50:I50" si="8">D19</f>
        <v>0</v>
      </c>
      <c r="E50" s="173">
        <f t="shared" si="8"/>
        <v>0</v>
      </c>
      <c r="F50" s="173">
        <f t="shared" si="8"/>
        <v>0</v>
      </c>
      <c r="G50" s="173">
        <f t="shared" si="8"/>
        <v>0</v>
      </c>
      <c r="H50" s="173">
        <f t="shared" si="8"/>
        <v>0</v>
      </c>
      <c r="I50" s="173">
        <f t="shared" si="8"/>
        <v>0</v>
      </c>
    </row>
    <row r="51" spans="1:9" ht="11.25" thickTop="1" x14ac:dyDescent="0.15">
      <c r="A51" s="158"/>
      <c r="B51" s="158"/>
      <c r="C51" s="158"/>
      <c r="D51" s="158"/>
      <c r="E51" s="158"/>
      <c r="F51" s="158"/>
      <c r="G51" s="158"/>
      <c r="I51" s="6"/>
    </row>
    <row r="52" spans="1:9" x14ac:dyDescent="0.15">
      <c r="A52" s="158"/>
      <c r="B52" s="158"/>
      <c r="C52" s="172" t="s">
        <v>727</v>
      </c>
      <c r="D52" s="158">
        <f t="shared" ref="D52:I52" si="9">D47-D50</f>
        <v>0</v>
      </c>
      <c r="E52" s="158">
        <f t="shared" si="9"/>
        <v>0</v>
      </c>
      <c r="F52" s="158">
        <f t="shared" si="9"/>
        <v>0</v>
      </c>
      <c r="G52" s="158">
        <f t="shared" si="9"/>
        <v>0</v>
      </c>
      <c r="H52" s="158">
        <f t="shared" si="9"/>
        <v>0</v>
      </c>
      <c r="I52" s="167">
        <f t="shared" si="9"/>
        <v>0</v>
      </c>
    </row>
    <row r="53" spans="1:9" x14ac:dyDescent="0.15">
      <c r="I53" s="6"/>
    </row>
    <row r="54" spans="1:9" x14ac:dyDescent="0.15">
      <c r="A54" s="135"/>
      <c r="C54" s="210" t="s">
        <v>111</v>
      </c>
      <c r="E54" s="5"/>
      <c r="F54" s="5"/>
      <c r="G54" s="5"/>
      <c r="I54" s="6"/>
    </row>
    <row r="55" spans="1:9" x14ac:dyDescent="0.15">
      <c r="A55" s="140" t="s">
        <v>634</v>
      </c>
      <c r="C55" s="1" t="s">
        <v>1142</v>
      </c>
      <c r="E55" s="5"/>
      <c r="F55" s="5"/>
      <c r="G55" s="5"/>
      <c r="I55" s="6"/>
    </row>
    <row r="56" spans="1:9" x14ac:dyDescent="0.15">
      <c r="A56" s="135"/>
      <c r="B56" s="7"/>
      <c r="C56" s="2" t="s">
        <v>1606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564">
        <f>G56+H56</f>
        <v>0</v>
      </c>
    </row>
    <row r="57" spans="1:9" x14ac:dyDescent="0.15">
      <c r="I57" s="6"/>
    </row>
    <row r="58" spans="1:9" x14ac:dyDescent="0.15">
      <c r="I58" s="6"/>
    </row>
  </sheetData>
  <sheetProtection formatCells="0" formatColumns="0" formatRows="0"/>
  <mergeCells count="1">
    <mergeCell ref="A47:C47"/>
  </mergeCells>
  <phoneticPr fontId="15" type="noConversion"/>
  <pageMargins left="0.5" right="0.5" top="0.75" bottom="0.75" header="0.5" footer="0.5"/>
  <pageSetup scale="65" firstPageNumber="43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opLeftCell="C1" workbookViewId="0">
      <selection activeCell="J8" sqref="J8"/>
    </sheetView>
  </sheetViews>
  <sheetFormatPr defaultColWidth="12" defaultRowHeight="10.5" x14ac:dyDescent="0.15"/>
  <cols>
    <col min="1" max="1" width="10.33203125" customWidth="1"/>
    <col min="2" max="2" width="4.33203125" customWidth="1"/>
    <col min="3" max="3" width="70.83203125" customWidth="1"/>
    <col min="4" max="4" width="15.83203125" customWidth="1"/>
    <col min="5" max="5" width="17.6640625" customWidth="1"/>
    <col min="6" max="6" width="19.33203125" customWidth="1"/>
    <col min="7" max="7" width="15.83203125" customWidth="1"/>
    <col min="8" max="8" width="13.33203125" customWidth="1"/>
    <col min="9" max="9" width="15.1640625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38" t="s">
        <v>1588</v>
      </c>
    </row>
    <row r="2" spans="1:9" x14ac:dyDescent="0.15">
      <c r="A2" s="15" t="s">
        <v>637</v>
      </c>
      <c r="B2" s="15"/>
    </row>
    <row r="3" spans="1:9" x14ac:dyDescent="0.15">
      <c r="A3" s="185" t="s">
        <v>540</v>
      </c>
      <c r="B3" s="185"/>
      <c r="C3" s="185"/>
      <c r="D3" s="185"/>
      <c r="E3" s="185"/>
      <c r="F3" s="185"/>
      <c r="G3" s="185"/>
    </row>
    <row r="4" spans="1:9" s="158" customFormat="1" ht="42" x14ac:dyDescent="0.15">
      <c r="D4" s="686" t="s">
        <v>1701</v>
      </c>
      <c r="E4" s="686" t="s">
        <v>1700</v>
      </c>
      <c r="F4" s="686" t="s">
        <v>1699</v>
      </c>
      <c r="G4" s="686" t="s">
        <v>1698</v>
      </c>
      <c r="H4" s="686" t="s">
        <v>1696</v>
      </c>
      <c r="I4" s="686" t="s">
        <v>1697</v>
      </c>
    </row>
    <row r="5" spans="1:9" s="158" customFormat="1" ht="73.5" x14ac:dyDescent="0.15">
      <c r="D5" s="166"/>
      <c r="E5" s="166"/>
      <c r="F5" s="166"/>
      <c r="G5" s="166"/>
      <c r="H5" s="251" t="s">
        <v>193</v>
      </c>
      <c r="I5" s="251" t="s">
        <v>192</v>
      </c>
    </row>
    <row r="6" spans="1:9" s="158" customFormat="1" ht="11.25" thickBot="1" x14ac:dyDescent="0.2">
      <c r="D6" s="166"/>
      <c r="E6" s="166"/>
      <c r="F6" s="166"/>
      <c r="G6" s="166"/>
      <c r="I6" s="167"/>
    </row>
    <row r="7" spans="1:9" ht="11.25" thickBot="1" x14ac:dyDescent="0.2">
      <c r="A7" s="35" t="s">
        <v>195</v>
      </c>
      <c r="B7" s="35" t="s">
        <v>1589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171">
        <f>G7+H7</f>
        <v>0</v>
      </c>
    </row>
    <row r="8" spans="1:9" x14ac:dyDescent="0.15">
      <c r="A8" s="36" t="s">
        <v>1592</v>
      </c>
      <c r="C8" s="210" t="s">
        <v>196</v>
      </c>
      <c r="E8" s="5"/>
      <c r="F8" s="5"/>
      <c r="G8" s="5"/>
      <c r="I8" s="6"/>
    </row>
    <row r="9" spans="1:9" x14ac:dyDescent="0.15">
      <c r="A9" s="1" t="s">
        <v>1602</v>
      </c>
      <c r="B9" s="211" t="s">
        <v>1159</v>
      </c>
      <c r="C9" s="1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G9+H9</f>
        <v>0</v>
      </c>
    </row>
    <row r="10" spans="1:9" x14ac:dyDescent="0.15">
      <c r="A10" s="188" t="s">
        <v>75</v>
      </c>
      <c r="B10" s="188" t="s">
        <v>1160</v>
      </c>
      <c r="C10" t="s">
        <v>77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>G10+H10</f>
        <v>0</v>
      </c>
    </row>
    <row r="11" spans="1:9" x14ac:dyDescent="0.15">
      <c r="A11" s="108" t="s">
        <v>78</v>
      </c>
      <c r="B11" s="211" t="s">
        <v>1161</v>
      </c>
      <c r="C11" s="1" t="s">
        <v>79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>G11+H11</f>
        <v>0</v>
      </c>
    </row>
    <row r="12" spans="1:9" x14ac:dyDescent="0.15">
      <c r="A12" s="1" t="s">
        <v>105</v>
      </c>
      <c r="B12" s="211" t="s">
        <v>1228</v>
      </c>
      <c r="C12" s="2" t="s">
        <v>860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>G12+H12</f>
        <v>0</v>
      </c>
    </row>
    <row r="13" spans="1:9" x14ac:dyDescent="0.15">
      <c r="A13" s="188"/>
      <c r="B13" s="211" t="s">
        <v>1230</v>
      </c>
      <c r="C13" s="1" t="s">
        <v>212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>G13+H13</f>
        <v>0</v>
      </c>
    </row>
    <row r="14" spans="1:9" ht="11.25" thickBot="1" x14ac:dyDescent="0.2">
      <c r="D14" s="14"/>
      <c r="E14" s="14"/>
      <c r="F14" s="14"/>
      <c r="G14" s="14"/>
      <c r="I14" s="6"/>
    </row>
    <row r="15" spans="1:9" ht="12" thickTop="1" thickBot="1" x14ac:dyDescent="0.2">
      <c r="B15" s="188" t="s">
        <v>1231</v>
      </c>
      <c r="C15" s="35" t="s">
        <v>213</v>
      </c>
      <c r="D15" s="42">
        <f t="shared" ref="D15:I15" si="0">SUM(D9:D13)</f>
        <v>0</v>
      </c>
      <c r="E15" s="42">
        <f t="shared" si="0"/>
        <v>0</v>
      </c>
      <c r="F15" s="42">
        <f t="shared" si="0"/>
        <v>0</v>
      </c>
      <c r="G15" s="42">
        <f t="shared" si="0"/>
        <v>0</v>
      </c>
      <c r="H15" s="42">
        <f t="shared" si="0"/>
        <v>0</v>
      </c>
      <c r="I15" s="42">
        <f t="shared" si="0"/>
        <v>0</v>
      </c>
    </row>
    <row r="16" spans="1:9" ht="12" thickTop="1" thickBot="1" x14ac:dyDescent="0.2">
      <c r="C16" s="1"/>
      <c r="D16" s="13"/>
      <c r="E16" s="13"/>
      <c r="F16" s="13"/>
      <c r="G16" s="13"/>
      <c r="I16" s="6"/>
    </row>
    <row r="17" spans="1:9" ht="11.25" thickBot="1" x14ac:dyDescent="0.2">
      <c r="A17" s="35" t="s">
        <v>1178</v>
      </c>
      <c r="D17" s="44">
        <f t="shared" ref="D17:I17" si="1">D7+D15</f>
        <v>0</v>
      </c>
      <c r="E17" s="44">
        <f t="shared" si="1"/>
        <v>0</v>
      </c>
      <c r="F17" s="44">
        <f t="shared" si="1"/>
        <v>0</v>
      </c>
      <c r="G17" s="44">
        <f t="shared" si="1"/>
        <v>0</v>
      </c>
      <c r="H17" s="44">
        <f t="shared" si="1"/>
        <v>0</v>
      </c>
      <c r="I17" s="44">
        <f t="shared" si="1"/>
        <v>0</v>
      </c>
    </row>
    <row r="18" spans="1:9" x14ac:dyDescent="0.15">
      <c r="A18" s="35"/>
      <c r="D18" s="13"/>
      <c r="E18" s="13"/>
      <c r="F18" s="13"/>
      <c r="G18" s="13"/>
      <c r="I18" s="6"/>
    </row>
    <row r="19" spans="1:9" x14ac:dyDescent="0.15">
      <c r="A19" s="660" t="s">
        <v>824</v>
      </c>
      <c r="B19" s="424"/>
      <c r="C19" s="495" t="s">
        <v>816</v>
      </c>
      <c r="D19" s="423"/>
      <c r="E19" s="423"/>
      <c r="F19" s="423"/>
      <c r="G19" s="423"/>
      <c r="H19" s="423"/>
      <c r="I19" s="179"/>
    </row>
    <row r="20" spans="1:9" x14ac:dyDescent="0.15">
      <c r="A20" s="436" t="s">
        <v>105</v>
      </c>
      <c r="B20" s="501" t="s">
        <v>27</v>
      </c>
      <c r="C20" s="2" t="s">
        <v>827</v>
      </c>
      <c r="D20" s="41">
        <v>0</v>
      </c>
      <c r="E20" s="41">
        <v>0</v>
      </c>
      <c r="F20" s="41">
        <v>0</v>
      </c>
      <c r="G20" s="41">
        <v>0</v>
      </c>
      <c r="H20" s="534">
        <v>0</v>
      </c>
      <c r="I20" s="535">
        <f>SUM(G20+H20)</f>
        <v>0</v>
      </c>
    </row>
    <row r="21" spans="1:9" x14ac:dyDescent="0.15">
      <c r="A21" s="436"/>
      <c r="B21" s="501"/>
      <c r="C21" s="2"/>
      <c r="D21" s="14"/>
      <c r="E21" s="14"/>
      <c r="F21" s="14"/>
      <c r="G21" s="14"/>
      <c r="H21" s="308"/>
      <c r="I21" s="305"/>
    </row>
    <row r="22" spans="1:9" x14ac:dyDescent="0.15">
      <c r="A22" s="3"/>
      <c r="B22" s="3"/>
      <c r="D22" s="190"/>
      <c r="E22" s="189"/>
      <c r="F22" s="191"/>
      <c r="G22" s="123"/>
      <c r="I22" s="6"/>
    </row>
    <row r="23" spans="1:9" x14ac:dyDescent="0.15">
      <c r="A23" s="36" t="s">
        <v>198</v>
      </c>
      <c r="C23" s="210" t="s">
        <v>627</v>
      </c>
      <c r="D23" s="189"/>
      <c r="E23" s="189"/>
      <c r="F23" s="189"/>
      <c r="G23" s="189"/>
      <c r="I23" s="6"/>
    </row>
    <row r="24" spans="1:9" x14ac:dyDescent="0.15">
      <c r="A24" s="1" t="s">
        <v>423</v>
      </c>
      <c r="B24" s="211" t="s">
        <v>1232</v>
      </c>
      <c r="C24" s="115" t="s">
        <v>230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ref="I24:I33" si="2">G24+H24</f>
        <v>0</v>
      </c>
    </row>
    <row r="25" spans="1:9" x14ac:dyDescent="0.15">
      <c r="A25" s="1" t="s">
        <v>424</v>
      </c>
      <c r="B25" s="211" t="s">
        <v>1240</v>
      </c>
      <c r="C25" s="115" t="s">
        <v>231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2"/>
        <v>0</v>
      </c>
    </row>
    <row r="26" spans="1:9" x14ac:dyDescent="0.15">
      <c r="A26" s="1" t="s">
        <v>425</v>
      </c>
      <c r="B26" s="211" t="s">
        <v>1244</v>
      </c>
      <c r="C26" s="1" t="s">
        <v>1246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2"/>
        <v>0</v>
      </c>
    </row>
    <row r="27" spans="1:9" x14ac:dyDescent="0.15">
      <c r="A27" s="1" t="s">
        <v>426</v>
      </c>
      <c r="B27" s="211" t="s">
        <v>1245</v>
      </c>
      <c r="C27" s="1" t="s">
        <v>119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2"/>
        <v>0</v>
      </c>
    </row>
    <row r="28" spans="1:9" x14ac:dyDescent="0.15">
      <c r="A28" s="1" t="s">
        <v>427</v>
      </c>
      <c r="B28" s="211" t="s">
        <v>1241</v>
      </c>
      <c r="C28" s="1" t="s">
        <v>124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2"/>
        <v>0</v>
      </c>
    </row>
    <row r="29" spans="1:9" x14ac:dyDescent="0.15">
      <c r="A29" s="1" t="s">
        <v>428</v>
      </c>
      <c r="B29" s="211" t="s">
        <v>1242</v>
      </c>
      <c r="C29" s="1" t="s">
        <v>156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2"/>
        <v>0</v>
      </c>
    </row>
    <row r="30" spans="1:9" x14ac:dyDescent="0.15">
      <c r="A30" s="108" t="s">
        <v>81</v>
      </c>
      <c r="B30" s="211" t="s">
        <v>1247</v>
      </c>
      <c r="C30" s="1" t="s">
        <v>82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2"/>
        <v>0</v>
      </c>
    </row>
    <row r="31" spans="1:9" x14ac:dyDescent="0.15">
      <c r="A31" s="1" t="s">
        <v>631</v>
      </c>
      <c r="B31" s="211" t="s">
        <v>1248</v>
      </c>
      <c r="C31" s="1" t="s">
        <v>173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2"/>
        <v>0</v>
      </c>
    </row>
    <row r="32" spans="1:9" x14ac:dyDescent="0.15">
      <c r="A32" s="152"/>
      <c r="B32" s="152"/>
      <c r="C32" s="665" t="s">
        <v>28</v>
      </c>
      <c r="D32" s="529">
        <f t="shared" ref="D32:I32" si="3">+D20</f>
        <v>0</v>
      </c>
      <c r="E32" s="529">
        <f t="shared" si="3"/>
        <v>0</v>
      </c>
      <c r="F32" s="529">
        <f t="shared" si="3"/>
        <v>0</v>
      </c>
      <c r="G32" s="529">
        <f t="shared" si="3"/>
        <v>0</v>
      </c>
      <c r="H32" s="529">
        <f t="shared" si="3"/>
        <v>0</v>
      </c>
      <c r="I32" s="529">
        <f t="shared" si="3"/>
        <v>0</v>
      </c>
    </row>
    <row r="33" spans="1:11" x14ac:dyDescent="0.15">
      <c r="A33" s="1" t="s">
        <v>1259</v>
      </c>
      <c r="B33" s="211" t="s">
        <v>1249</v>
      </c>
      <c r="C33" s="1" t="s">
        <v>1510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2"/>
        <v>0</v>
      </c>
    </row>
    <row r="34" spans="1:11" ht="11.25" thickBot="1" x14ac:dyDescent="0.2">
      <c r="D34" s="5"/>
      <c r="E34" s="5"/>
      <c r="F34" s="5"/>
      <c r="G34" s="5"/>
      <c r="I34" s="6"/>
    </row>
    <row r="35" spans="1:11" ht="12" thickTop="1" thickBot="1" x14ac:dyDescent="0.2">
      <c r="A35" s="1"/>
      <c r="B35" s="211" t="s">
        <v>1250</v>
      </c>
      <c r="C35" s="35" t="s">
        <v>1175</v>
      </c>
      <c r="D35" s="729">
        <f t="shared" ref="D35:I35" si="4">SUM(D24:D33)</f>
        <v>0</v>
      </c>
      <c r="E35" s="729">
        <f t="shared" si="4"/>
        <v>0</v>
      </c>
      <c r="F35" s="729">
        <f t="shared" si="4"/>
        <v>0</v>
      </c>
      <c r="G35" s="729">
        <f t="shared" si="4"/>
        <v>0</v>
      </c>
      <c r="H35" s="729">
        <f t="shared" si="4"/>
        <v>0</v>
      </c>
      <c r="I35" s="729">
        <f t="shared" si="4"/>
        <v>0</v>
      </c>
      <c r="J35" s="728"/>
      <c r="K35" s="289"/>
    </row>
    <row r="36" spans="1:11" ht="11.25" thickTop="1" x14ac:dyDescent="0.15">
      <c r="I36" s="6"/>
    </row>
    <row r="37" spans="1:11" x14ac:dyDescent="0.15">
      <c r="A37" s="155" t="s">
        <v>110</v>
      </c>
      <c r="C37" s="210" t="s">
        <v>737</v>
      </c>
      <c r="D37" s="159"/>
      <c r="E37" s="159"/>
      <c r="F37" s="159"/>
      <c r="G37" s="159"/>
      <c r="I37" s="6"/>
    </row>
    <row r="38" spans="1:11" x14ac:dyDescent="0.15">
      <c r="A38" s="558" t="s">
        <v>1522</v>
      </c>
      <c r="B38" s="726" t="s">
        <v>1251</v>
      </c>
      <c r="C38" s="138" t="s">
        <v>1516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>G38+H38</f>
        <v>0</v>
      </c>
    </row>
    <row r="39" spans="1:11" x14ac:dyDescent="0.15">
      <c r="A39" s="725" t="s">
        <v>1681</v>
      </c>
      <c r="B39" s="726" t="s">
        <v>1252</v>
      </c>
      <c r="C39" s="138" t="s">
        <v>1517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>G39+H39</f>
        <v>0</v>
      </c>
    </row>
    <row r="40" spans="1:11" x14ac:dyDescent="0.15">
      <c r="A40" s="725" t="s">
        <v>1680</v>
      </c>
      <c r="B40" s="726" t="s">
        <v>1253</v>
      </c>
      <c r="C40" s="138" t="s">
        <v>1518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>G40+H40</f>
        <v>0</v>
      </c>
    </row>
    <row r="41" spans="1:11" ht="11.25" customHeight="1" x14ac:dyDescent="0.15">
      <c r="A41" s="725" t="s">
        <v>1675</v>
      </c>
      <c r="B41" s="726" t="s">
        <v>1254</v>
      </c>
      <c r="C41" s="692" t="s">
        <v>1676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>G41+H41</f>
        <v>0</v>
      </c>
    </row>
    <row r="42" spans="1:11" ht="11.25" thickBot="1" x14ac:dyDescent="0.2">
      <c r="A42" s="558" t="s">
        <v>1526</v>
      </c>
      <c r="B42" s="726" t="s">
        <v>1255</v>
      </c>
      <c r="C42" s="138" t="s">
        <v>1520</v>
      </c>
      <c r="D42" s="150">
        <v>0</v>
      </c>
      <c r="E42" s="150">
        <v>0</v>
      </c>
      <c r="F42" s="150">
        <v>0</v>
      </c>
      <c r="G42" s="150">
        <v>0</v>
      </c>
      <c r="H42" s="41">
        <v>0</v>
      </c>
      <c r="I42" s="564">
        <f>G42+H42</f>
        <v>0</v>
      </c>
    </row>
    <row r="43" spans="1:11" ht="12" thickTop="1" thickBot="1" x14ac:dyDescent="0.2">
      <c r="A43" s="149"/>
      <c r="B43" s="160" t="s">
        <v>1260</v>
      </c>
      <c r="C43" s="115" t="s">
        <v>724</v>
      </c>
      <c r="D43" s="151">
        <f t="shared" ref="D43:I43" si="5">SUM(D38:D42)</f>
        <v>0</v>
      </c>
      <c r="E43" s="151">
        <f t="shared" si="5"/>
        <v>0</v>
      </c>
      <c r="F43" s="151">
        <f t="shared" si="5"/>
        <v>0</v>
      </c>
      <c r="G43" s="151">
        <f t="shared" si="5"/>
        <v>0</v>
      </c>
      <c r="H43" s="151">
        <f t="shared" si="5"/>
        <v>0</v>
      </c>
      <c r="I43" s="169">
        <f t="shared" si="5"/>
        <v>0</v>
      </c>
    </row>
    <row r="44" spans="1:11" ht="12" thickTop="1" thickBot="1" x14ac:dyDescent="0.2">
      <c r="A44" s="149"/>
      <c r="B44" s="158"/>
      <c r="C44" s="115"/>
      <c r="D44" s="159"/>
      <c r="E44" s="159"/>
      <c r="F44" s="159"/>
      <c r="G44" s="159"/>
      <c r="I44" s="6"/>
    </row>
    <row r="45" spans="1:11" ht="11.25" thickBot="1" x14ac:dyDescent="0.2">
      <c r="A45" s="736" t="s">
        <v>1176</v>
      </c>
      <c r="B45" s="736"/>
      <c r="C45" s="737"/>
      <c r="D45" s="212">
        <f t="shared" ref="D45:I45" si="6">D35+D43</f>
        <v>0</v>
      </c>
      <c r="E45" s="212">
        <f t="shared" si="6"/>
        <v>0</v>
      </c>
      <c r="F45" s="212">
        <f t="shared" si="6"/>
        <v>0</v>
      </c>
      <c r="G45" s="212">
        <f t="shared" si="6"/>
        <v>0</v>
      </c>
      <c r="H45" s="212">
        <f t="shared" si="6"/>
        <v>0</v>
      </c>
      <c r="I45" s="212">
        <f t="shared" si="6"/>
        <v>0</v>
      </c>
    </row>
    <row r="46" spans="1:11" x14ac:dyDescent="0.15">
      <c r="A46" s="149"/>
      <c r="B46" s="158"/>
      <c r="C46" s="115" t="s">
        <v>725</v>
      </c>
      <c r="D46" s="159"/>
      <c r="E46" s="159"/>
      <c r="F46" s="159"/>
      <c r="G46" s="159"/>
      <c r="I46" s="6"/>
    </row>
    <row r="47" spans="1:11" ht="11.25" thickBot="1" x14ac:dyDescent="0.2">
      <c r="A47" s="149"/>
      <c r="B47" s="158"/>
      <c r="C47" s="115"/>
      <c r="D47" s="159"/>
      <c r="E47" s="159"/>
      <c r="F47" s="159"/>
      <c r="G47" s="159"/>
      <c r="I47" s="6"/>
    </row>
    <row r="48" spans="1:11" ht="12" thickTop="1" thickBot="1" x14ac:dyDescent="0.2">
      <c r="A48" s="158"/>
      <c r="B48" s="158"/>
      <c r="C48" s="172" t="s">
        <v>726</v>
      </c>
      <c r="D48" s="173">
        <f t="shared" ref="D48:I48" si="7">D17</f>
        <v>0</v>
      </c>
      <c r="E48" s="173">
        <f t="shared" si="7"/>
        <v>0</v>
      </c>
      <c r="F48" s="173">
        <f t="shared" si="7"/>
        <v>0</v>
      </c>
      <c r="G48" s="173">
        <f t="shared" si="7"/>
        <v>0</v>
      </c>
      <c r="H48" s="173">
        <f t="shared" si="7"/>
        <v>0</v>
      </c>
      <c r="I48" s="173">
        <f t="shared" si="7"/>
        <v>0</v>
      </c>
    </row>
    <row r="49" spans="1:9" ht="11.25" thickTop="1" x14ac:dyDescent="0.15">
      <c r="A49" s="158"/>
      <c r="B49" s="158"/>
      <c r="C49" s="158"/>
      <c r="D49" s="158"/>
      <c r="E49" s="158"/>
      <c r="F49" s="158"/>
      <c r="G49" s="158"/>
      <c r="I49" s="6"/>
    </row>
    <row r="50" spans="1:9" x14ac:dyDescent="0.15">
      <c r="A50" s="158"/>
      <c r="B50" s="158"/>
      <c r="C50" s="172" t="s">
        <v>727</v>
      </c>
      <c r="D50" s="158">
        <f t="shared" ref="D50:I50" si="8">D45-D48</f>
        <v>0</v>
      </c>
      <c r="E50" s="158">
        <f t="shared" si="8"/>
        <v>0</v>
      </c>
      <c r="F50" s="158">
        <f t="shared" si="8"/>
        <v>0</v>
      </c>
      <c r="G50" s="158">
        <f t="shared" si="8"/>
        <v>0</v>
      </c>
      <c r="H50" s="158">
        <f t="shared" si="8"/>
        <v>0</v>
      </c>
      <c r="I50" s="167">
        <f t="shared" si="8"/>
        <v>0</v>
      </c>
    </row>
    <row r="51" spans="1:9" x14ac:dyDescent="0.15">
      <c r="I51" s="6"/>
    </row>
    <row r="53" spans="1:9" x14ac:dyDescent="0.15">
      <c r="C53" s="1"/>
    </row>
    <row r="54" spans="1:9" x14ac:dyDescent="0.15">
      <c r="A54" s="3" t="s">
        <v>1329</v>
      </c>
    </row>
    <row r="56" spans="1:9" x14ac:dyDescent="0.15">
      <c r="A56" s="653" t="s">
        <v>50</v>
      </c>
      <c r="B56" s="719"/>
      <c r="C56" s="719"/>
      <c r="D56" s="719"/>
      <c r="E56" s="719"/>
      <c r="F56" s="719"/>
    </row>
  </sheetData>
  <sheetProtection formatCells="0" formatColumns="0" formatRows="0"/>
  <mergeCells count="1">
    <mergeCell ref="A45:C45"/>
  </mergeCells>
  <phoneticPr fontId="15" type="noConversion"/>
  <pageMargins left="0.5" right="0.5" top="0.75" bottom="0.75" header="0.5" footer="0.5"/>
  <pageSetup scale="66" firstPageNumber="44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workbookViewId="0">
      <selection activeCell="E47" sqref="E47"/>
    </sheetView>
  </sheetViews>
  <sheetFormatPr defaultColWidth="12" defaultRowHeight="10.5" x14ac:dyDescent="0.15"/>
  <cols>
    <col min="1" max="1" width="10.33203125" customWidth="1"/>
    <col min="2" max="2" width="4.33203125" customWidth="1"/>
    <col min="3" max="3" width="70.83203125" customWidth="1"/>
    <col min="4" max="4" width="15.83203125" customWidth="1"/>
    <col min="5" max="5" width="18.83203125" customWidth="1"/>
    <col min="6" max="6" width="18" customWidth="1"/>
    <col min="7" max="7" width="17.1640625" customWidth="1"/>
    <col min="8" max="8" width="18.1640625" customWidth="1"/>
    <col min="9" max="9" width="19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38" t="s">
        <v>1588</v>
      </c>
    </row>
    <row r="2" spans="1:9" x14ac:dyDescent="0.15">
      <c r="A2" s="15" t="s">
        <v>541</v>
      </c>
      <c r="B2" s="15"/>
    </row>
    <row r="3" spans="1:9" ht="31.5" x14ac:dyDescent="0.15">
      <c r="A3" s="158"/>
      <c r="B3" s="158"/>
      <c r="C3" s="158"/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A4" s="158"/>
      <c r="B4" s="158"/>
      <c r="C4" s="158"/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A5" s="158"/>
      <c r="B5" s="158"/>
      <c r="C5" s="158"/>
      <c r="D5" s="166"/>
      <c r="E5" s="166"/>
      <c r="F5" s="166"/>
      <c r="G5" s="166"/>
      <c r="I5" s="6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6" t="s">
        <v>1592</v>
      </c>
      <c r="C7" s="210" t="s">
        <v>196</v>
      </c>
      <c r="E7" s="5"/>
      <c r="F7" s="5"/>
      <c r="G7" s="5"/>
      <c r="I7" s="6"/>
    </row>
    <row r="8" spans="1:9" x14ac:dyDescent="0.15">
      <c r="A8" s="108" t="s">
        <v>83</v>
      </c>
      <c r="B8" s="211" t="s">
        <v>1159</v>
      </c>
      <c r="C8" t="s">
        <v>84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108" t="s">
        <v>1602</v>
      </c>
      <c r="B9" s="211" t="s">
        <v>1160</v>
      </c>
      <c r="C9" s="1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 t="shared" ref="I9:I17" si="0">SUM(G9+H9)</f>
        <v>0</v>
      </c>
    </row>
    <row r="10" spans="1:9" x14ac:dyDescent="0.15">
      <c r="A10" s="188" t="s">
        <v>75</v>
      </c>
      <c r="B10" s="188" t="s">
        <v>1161</v>
      </c>
      <c r="C10" t="s">
        <v>77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 t="shared" si="0"/>
        <v>0</v>
      </c>
    </row>
    <row r="11" spans="1:9" x14ac:dyDescent="0.15">
      <c r="A11" s="108" t="s">
        <v>85</v>
      </c>
      <c r="B11" s="211" t="s">
        <v>1228</v>
      </c>
      <c r="C11" s="1" t="s">
        <v>86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 t="shared" si="0"/>
        <v>0</v>
      </c>
    </row>
    <row r="12" spans="1:9" x14ac:dyDescent="0.15">
      <c r="A12" s="108" t="s">
        <v>87</v>
      </c>
      <c r="B12" s="211" t="s">
        <v>1229</v>
      </c>
      <c r="C12" s="1" t="s">
        <v>91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 t="shared" si="0"/>
        <v>0</v>
      </c>
    </row>
    <row r="13" spans="1:9" x14ac:dyDescent="0.15">
      <c r="A13" s="108" t="s">
        <v>88</v>
      </c>
      <c r="B13" s="211" t="s">
        <v>1230</v>
      </c>
      <c r="C13" s="1" t="s">
        <v>92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564">
        <f t="shared" si="0"/>
        <v>0</v>
      </c>
    </row>
    <row r="14" spans="1:9" x14ac:dyDescent="0.15">
      <c r="A14" s="108" t="s">
        <v>89</v>
      </c>
      <c r="B14" s="211" t="s">
        <v>1231</v>
      </c>
      <c r="C14" s="1" t="s">
        <v>93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564">
        <f t="shared" si="0"/>
        <v>0</v>
      </c>
    </row>
    <row r="15" spans="1:9" x14ac:dyDescent="0.15">
      <c r="A15" s="108" t="s">
        <v>90</v>
      </c>
      <c r="B15" s="211" t="s">
        <v>1232</v>
      </c>
      <c r="C15" s="1" t="s">
        <v>215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564">
        <f t="shared" si="0"/>
        <v>0</v>
      </c>
    </row>
    <row r="16" spans="1:9" x14ac:dyDescent="0.15">
      <c r="A16" s="1" t="s">
        <v>105</v>
      </c>
      <c r="B16" s="211" t="s">
        <v>1240</v>
      </c>
      <c r="C16" s="2" t="s">
        <v>854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564">
        <f t="shared" si="0"/>
        <v>0</v>
      </c>
    </row>
    <row r="17" spans="1:9" x14ac:dyDescent="0.15">
      <c r="A17" s="188"/>
      <c r="B17" s="211" t="s">
        <v>1244</v>
      </c>
      <c r="C17" s="1" t="s">
        <v>212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564">
        <f t="shared" si="0"/>
        <v>0</v>
      </c>
    </row>
    <row r="18" spans="1:9" ht="11.25" thickBot="1" x14ac:dyDescent="0.2">
      <c r="D18" s="14"/>
      <c r="E18" s="14"/>
      <c r="F18" s="14"/>
      <c r="G18" s="14"/>
      <c r="I18" s="6"/>
    </row>
    <row r="19" spans="1:9" ht="12" thickTop="1" thickBot="1" x14ac:dyDescent="0.2">
      <c r="B19" s="211" t="s">
        <v>1245</v>
      </c>
      <c r="C19" s="35" t="s">
        <v>1170</v>
      </c>
      <c r="D19" s="42">
        <f t="shared" ref="D19:I19" si="1">SUM(D8:D18)</f>
        <v>0</v>
      </c>
      <c r="E19" s="42">
        <f t="shared" si="1"/>
        <v>0</v>
      </c>
      <c r="F19" s="42">
        <f t="shared" si="1"/>
        <v>0</v>
      </c>
      <c r="G19" s="42">
        <f t="shared" si="1"/>
        <v>0</v>
      </c>
      <c r="H19" s="42">
        <f t="shared" si="1"/>
        <v>0</v>
      </c>
      <c r="I19" s="42">
        <f t="shared" si="1"/>
        <v>0</v>
      </c>
    </row>
    <row r="20" spans="1:9" ht="12" thickTop="1" thickBot="1" x14ac:dyDescent="0.2">
      <c r="C20" s="1"/>
      <c r="D20" s="13"/>
      <c r="E20" s="13"/>
      <c r="F20" s="13"/>
      <c r="G20" s="13"/>
      <c r="I20" s="6"/>
    </row>
    <row r="21" spans="1:9" ht="11.25" thickBot="1" x14ac:dyDescent="0.2">
      <c r="A21" s="35" t="s">
        <v>1177</v>
      </c>
      <c r="D21" s="44">
        <f t="shared" ref="D21:I21" si="2">D6+D19</f>
        <v>0</v>
      </c>
      <c r="E21" s="44">
        <f t="shared" si="2"/>
        <v>0</v>
      </c>
      <c r="F21" s="44">
        <f t="shared" si="2"/>
        <v>0</v>
      </c>
      <c r="G21" s="44">
        <f t="shared" si="2"/>
        <v>0</v>
      </c>
      <c r="H21" s="44">
        <f t="shared" si="2"/>
        <v>0</v>
      </c>
      <c r="I21" s="44">
        <f t="shared" si="2"/>
        <v>0</v>
      </c>
    </row>
    <row r="22" spans="1:9" x14ac:dyDescent="0.15">
      <c r="C22" s="40"/>
      <c r="I22" s="6"/>
    </row>
    <row r="23" spans="1:9" x14ac:dyDescent="0.15">
      <c r="A23" s="660" t="s">
        <v>824</v>
      </c>
      <c r="B23" s="424"/>
      <c r="C23" s="495" t="s">
        <v>816</v>
      </c>
      <c r="D23" s="423"/>
      <c r="E23" s="423"/>
      <c r="F23" s="423"/>
      <c r="G23" s="423"/>
      <c r="H23" s="423"/>
      <c r="I23" s="179"/>
    </row>
    <row r="24" spans="1:9" x14ac:dyDescent="0.15">
      <c r="A24" s="436" t="s">
        <v>105</v>
      </c>
      <c r="B24" s="501" t="s">
        <v>51</v>
      </c>
      <c r="C24" s="2" t="s">
        <v>827</v>
      </c>
      <c r="D24" s="41">
        <v>0</v>
      </c>
      <c r="E24" s="41">
        <v>0</v>
      </c>
      <c r="F24" s="41">
        <v>0</v>
      </c>
      <c r="G24" s="41">
        <v>0</v>
      </c>
      <c r="H24" s="534">
        <v>0</v>
      </c>
      <c r="I24" s="535">
        <f>SUM(G24+H24)</f>
        <v>0</v>
      </c>
    </row>
    <row r="25" spans="1:9" x14ac:dyDescent="0.15">
      <c r="A25" s="436"/>
      <c r="B25" s="501"/>
      <c r="C25" s="2"/>
      <c r="D25" s="14"/>
      <c r="E25" s="14"/>
      <c r="F25" s="14"/>
      <c r="G25" s="14"/>
      <c r="H25" s="308"/>
      <c r="I25" s="305"/>
    </row>
    <row r="26" spans="1:9" x14ac:dyDescent="0.15">
      <c r="C26" s="40"/>
      <c r="I26" s="6"/>
    </row>
    <row r="27" spans="1:9" x14ac:dyDescent="0.15">
      <c r="A27" s="36" t="s">
        <v>198</v>
      </c>
      <c r="C27" s="210" t="s">
        <v>627</v>
      </c>
      <c r="D27" s="189"/>
      <c r="E27" s="189"/>
      <c r="F27" s="189"/>
      <c r="G27" s="189"/>
      <c r="I27" s="6"/>
    </row>
    <row r="28" spans="1:9" x14ac:dyDescent="0.15">
      <c r="A28" s="1" t="s">
        <v>423</v>
      </c>
      <c r="B28" s="211" t="s">
        <v>1241</v>
      </c>
      <c r="C28" s="115" t="s">
        <v>230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ref="I28:I37" si="3">SUM(G28+H28)</f>
        <v>0</v>
      </c>
    </row>
    <row r="29" spans="1:9" x14ac:dyDescent="0.15">
      <c r="A29" s="1" t="s">
        <v>424</v>
      </c>
      <c r="B29" s="211" t="s">
        <v>1242</v>
      </c>
      <c r="C29" s="115" t="s">
        <v>231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3"/>
        <v>0</v>
      </c>
    </row>
    <row r="30" spans="1:9" x14ac:dyDescent="0.15">
      <c r="A30" s="1" t="s">
        <v>425</v>
      </c>
      <c r="B30" s="211" t="s">
        <v>1247</v>
      </c>
      <c r="C30" s="1" t="s">
        <v>1246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3"/>
        <v>0</v>
      </c>
    </row>
    <row r="31" spans="1:9" x14ac:dyDescent="0.15">
      <c r="A31" s="1" t="s">
        <v>426</v>
      </c>
      <c r="B31" s="211" t="s">
        <v>1248</v>
      </c>
      <c r="C31" s="1" t="s">
        <v>119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3"/>
        <v>0</v>
      </c>
    </row>
    <row r="32" spans="1:9" x14ac:dyDescent="0.15">
      <c r="A32" s="1" t="s">
        <v>427</v>
      </c>
      <c r="B32" s="211" t="s">
        <v>1249</v>
      </c>
      <c r="C32" s="1" t="s">
        <v>124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3"/>
        <v>0</v>
      </c>
    </row>
    <row r="33" spans="1:9" x14ac:dyDescent="0.15">
      <c r="A33" s="1" t="s">
        <v>428</v>
      </c>
      <c r="B33" s="211" t="s">
        <v>1250</v>
      </c>
      <c r="C33" s="1" t="s">
        <v>156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564">
        <f t="shared" si="3"/>
        <v>0</v>
      </c>
    </row>
    <row r="34" spans="1:9" x14ac:dyDescent="0.15">
      <c r="A34" s="108" t="s">
        <v>81</v>
      </c>
      <c r="B34" s="211" t="s">
        <v>1251</v>
      </c>
      <c r="C34" s="1" t="s">
        <v>82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564">
        <f t="shared" si="3"/>
        <v>0</v>
      </c>
    </row>
    <row r="35" spans="1:9" x14ac:dyDescent="0.15">
      <c r="A35" s="1" t="s">
        <v>631</v>
      </c>
      <c r="B35" s="211" t="s">
        <v>1252</v>
      </c>
      <c r="C35" s="1" t="s">
        <v>173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64">
        <f t="shared" si="3"/>
        <v>0</v>
      </c>
    </row>
    <row r="36" spans="1:9" x14ac:dyDescent="0.15">
      <c r="A36" s="152"/>
      <c r="B36" s="152"/>
      <c r="C36" s="665" t="s">
        <v>52</v>
      </c>
      <c r="D36" s="529">
        <f t="shared" ref="D36:I36" si="4">+D24</f>
        <v>0</v>
      </c>
      <c r="E36" s="529">
        <f t="shared" si="4"/>
        <v>0</v>
      </c>
      <c r="F36" s="529">
        <f t="shared" si="4"/>
        <v>0</v>
      </c>
      <c r="G36" s="529">
        <f t="shared" si="4"/>
        <v>0</v>
      </c>
      <c r="H36" s="529">
        <f t="shared" si="4"/>
        <v>0</v>
      </c>
      <c r="I36" s="529">
        <f t="shared" si="4"/>
        <v>0</v>
      </c>
    </row>
    <row r="37" spans="1:9" x14ac:dyDescent="0.15">
      <c r="A37" s="1" t="s">
        <v>1259</v>
      </c>
      <c r="B37" s="211" t="s">
        <v>1253</v>
      </c>
      <c r="C37" s="1" t="s">
        <v>1510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3"/>
        <v>0</v>
      </c>
    </row>
    <row r="38" spans="1:9" ht="11.25" thickBot="1" x14ac:dyDescent="0.2">
      <c r="D38" s="5"/>
      <c r="E38" s="5"/>
      <c r="F38" s="5"/>
      <c r="G38" s="5"/>
      <c r="I38" s="6"/>
    </row>
    <row r="39" spans="1:9" ht="12" thickTop="1" thickBot="1" x14ac:dyDescent="0.2">
      <c r="A39" s="1"/>
      <c r="B39" s="211" t="s">
        <v>1254</v>
      </c>
      <c r="C39" s="35" t="s">
        <v>80</v>
      </c>
      <c r="D39" s="42">
        <f t="shared" ref="D39:I39" si="5">SUM(D28:D37)</f>
        <v>0</v>
      </c>
      <c r="E39" s="42">
        <f t="shared" si="5"/>
        <v>0</v>
      </c>
      <c r="F39" s="42">
        <f t="shared" si="5"/>
        <v>0</v>
      </c>
      <c r="G39" s="42">
        <f t="shared" si="5"/>
        <v>0</v>
      </c>
      <c r="H39" s="42">
        <f t="shared" si="5"/>
        <v>0</v>
      </c>
      <c r="I39" s="42">
        <f t="shared" si="5"/>
        <v>0</v>
      </c>
    </row>
    <row r="40" spans="1:9" ht="11.25" thickTop="1" x14ac:dyDescent="0.15">
      <c r="I40" s="6"/>
    </row>
    <row r="41" spans="1:9" x14ac:dyDescent="0.15">
      <c r="A41" s="155" t="s">
        <v>110</v>
      </c>
      <c r="C41" s="210" t="s">
        <v>737</v>
      </c>
      <c r="D41" s="159"/>
      <c r="E41" s="159"/>
      <c r="F41" s="159"/>
      <c r="G41" s="159"/>
      <c r="I41" s="6"/>
    </row>
    <row r="42" spans="1:9" x14ac:dyDescent="0.15">
      <c r="A42" s="558" t="s">
        <v>1522</v>
      </c>
      <c r="B42" s="511" t="s">
        <v>1255</v>
      </c>
      <c r="C42" s="138" t="s">
        <v>1516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>SUM(G42+H42)</f>
        <v>0</v>
      </c>
    </row>
    <row r="43" spans="1:9" x14ac:dyDescent="0.15">
      <c r="A43" s="725" t="s">
        <v>1681</v>
      </c>
      <c r="B43" s="511" t="s">
        <v>1260</v>
      </c>
      <c r="C43" s="138" t="s">
        <v>1517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>SUM(G43+H43)</f>
        <v>0</v>
      </c>
    </row>
    <row r="44" spans="1:9" x14ac:dyDescent="0.15">
      <c r="A44" s="725" t="s">
        <v>1680</v>
      </c>
      <c r="B44" s="511" t="s">
        <v>1261</v>
      </c>
      <c r="C44" s="138" t="s">
        <v>1518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>SUM(G44+H44)</f>
        <v>0</v>
      </c>
    </row>
    <row r="45" spans="1:9" ht="11.25" customHeight="1" x14ac:dyDescent="0.15">
      <c r="A45" s="725" t="s">
        <v>1675</v>
      </c>
      <c r="B45" s="511" t="s">
        <v>1262</v>
      </c>
      <c r="C45" s="692" t="s">
        <v>1676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>SUM(G45+H45)</f>
        <v>0</v>
      </c>
    </row>
    <row r="46" spans="1:9" ht="11.25" thickBot="1" x14ac:dyDescent="0.2">
      <c r="A46" s="558" t="s">
        <v>1526</v>
      </c>
      <c r="B46" s="511" t="s">
        <v>1263</v>
      </c>
      <c r="C46" s="138" t="s">
        <v>1520</v>
      </c>
      <c r="D46" s="150">
        <v>0</v>
      </c>
      <c r="E46" s="150">
        <v>0</v>
      </c>
      <c r="F46" s="150">
        <v>0</v>
      </c>
      <c r="G46" s="150">
        <v>0</v>
      </c>
      <c r="H46" s="41">
        <v>0</v>
      </c>
      <c r="I46" s="564">
        <f>SUM(G46+H46)</f>
        <v>0</v>
      </c>
    </row>
    <row r="47" spans="1:9" ht="12" thickTop="1" thickBot="1" x14ac:dyDescent="0.2">
      <c r="A47" s="149"/>
      <c r="B47" s="160" t="s">
        <v>1265</v>
      </c>
      <c r="C47" s="115" t="s">
        <v>724</v>
      </c>
      <c r="D47" s="151">
        <f t="shared" ref="D47:I47" si="6">SUM(D42:D46)</f>
        <v>0</v>
      </c>
      <c r="E47" s="151">
        <f t="shared" si="6"/>
        <v>0</v>
      </c>
      <c r="F47" s="151">
        <f t="shared" si="6"/>
        <v>0</v>
      </c>
      <c r="G47" s="151">
        <f t="shared" si="6"/>
        <v>0</v>
      </c>
      <c r="H47" s="151">
        <f t="shared" si="6"/>
        <v>0</v>
      </c>
      <c r="I47" s="169">
        <f t="shared" si="6"/>
        <v>0</v>
      </c>
    </row>
    <row r="48" spans="1:9" ht="12" thickTop="1" thickBot="1" x14ac:dyDescent="0.2">
      <c r="A48" s="149"/>
      <c r="B48" s="158"/>
      <c r="C48" s="115"/>
      <c r="D48" s="159"/>
      <c r="E48" s="159"/>
      <c r="F48" s="159"/>
      <c r="G48" s="159"/>
      <c r="I48" s="6"/>
    </row>
    <row r="49" spans="1:9" ht="11.25" thickBot="1" x14ac:dyDescent="0.2">
      <c r="A49" s="736" t="s">
        <v>1179</v>
      </c>
      <c r="B49" s="736"/>
      <c r="C49" s="737"/>
      <c r="D49" s="212">
        <f t="shared" ref="D49:I49" si="7">D39+D47</f>
        <v>0</v>
      </c>
      <c r="E49" s="212">
        <f t="shared" si="7"/>
        <v>0</v>
      </c>
      <c r="F49" s="212">
        <f t="shared" si="7"/>
        <v>0</v>
      </c>
      <c r="G49" s="212">
        <f t="shared" si="7"/>
        <v>0</v>
      </c>
      <c r="H49" s="212">
        <f t="shared" si="7"/>
        <v>0</v>
      </c>
      <c r="I49" s="212">
        <f t="shared" si="7"/>
        <v>0</v>
      </c>
    </row>
    <row r="50" spans="1:9" x14ac:dyDescent="0.15">
      <c r="A50" s="149"/>
      <c r="B50" s="158"/>
      <c r="C50" s="115" t="s">
        <v>725</v>
      </c>
      <c r="D50" s="159"/>
      <c r="E50" s="159"/>
      <c r="F50" s="159"/>
      <c r="G50" s="159"/>
      <c r="I50" s="6"/>
    </row>
    <row r="51" spans="1:9" ht="11.25" thickBot="1" x14ac:dyDescent="0.2">
      <c r="A51" s="149"/>
      <c r="B51" s="158"/>
      <c r="C51" s="115"/>
      <c r="D51" s="159"/>
      <c r="E51" s="159"/>
      <c r="F51" s="159"/>
      <c r="G51" s="159"/>
      <c r="I51" s="6"/>
    </row>
    <row r="52" spans="1:9" ht="12" thickTop="1" thickBot="1" x14ac:dyDescent="0.2">
      <c r="A52" s="158"/>
      <c r="B52" s="158"/>
      <c r="C52" s="172" t="s">
        <v>726</v>
      </c>
      <c r="D52" s="173">
        <f t="shared" ref="D52:I52" si="8">D21</f>
        <v>0</v>
      </c>
      <c r="E52" s="173">
        <f t="shared" si="8"/>
        <v>0</v>
      </c>
      <c r="F52" s="173">
        <f t="shared" si="8"/>
        <v>0</v>
      </c>
      <c r="G52" s="173">
        <f t="shared" si="8"/>
        <v>0</v>
      </c>
      <c r="H52" s="173">
        <f t="shared" si="8"/>
        <v>0</v>
      </c>
      <c r="I52" s="173">
        <f t="shared" si="8"/>
        <v>0</v>
      </c>
    </row>
    <row r="53" spans="1:9" ht="11.25" thickTop="1" x14ac:dyDescent="0.15">
      <c r="A53" s="158"/>
      <c r="B53" s="158"/>
      <c r="C53" s="158"/>
      <c r="D53" s="158"/>
      <c r="E53" s="158"/>
      <c r="F53" s="158"/>
      <c r="G53" s="158"/>
      <c r="I53" s="6"/>
    </row>
    <row r="54" spans="1:9" x14ac:dyDescent="0.15">
      <c r="A54" s="158"/>
      <c r="B54" s="158"/>
      <c r="C54" s="172" t="s">
        <v>727</v>
      </c>
      <c r="D54" s="158">
        <f t="shared" ref="D54:I54" si="9">D49-D52</f>
        <v>0</v>
      </c>
      <c r="E54" s="158">
        <f t="shared" si="9"/>
        <v>0</v>
      </c>
      <c r="F54" s="158">
        <f t="shared" si="9"/>
        <v>0</v>
      </c>
      <c r="G54" s="158">
        <f t="shared" si="9"/>
        <v>0</v>
      </c>
      <c r="H54" s="158">
        <f t="shared" si="9"/>
        <v>0</v>
      </c>
      <c r="I54" s="167">
        <f t="shared" si="9"/>
        <v>0</v>
      </c>
    </row>
    <row r="55" spans="1:9" x14ac:dyDescent="0.15">
      <c r="I55" s="6"/>
    </row>
  </sheetData>
  <sheetProtection formatCells="0" formatColumns="0" formatRows="0"/>
  <mergeCells count="1">
    <mergeCell ref="A49:C49"/>
  </mergeCells>
  <phoneticPr fontId="15" type="noConversion"/>
  <pageMargins left="0.5" right="0.5" top="0.75" bottom="0.75" header="0.5" footer="0.5"/>
  <pageSetup scale="63" firstPageNumber="45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opLeftCell="A13" workbookViewId="0">
      <selection activeCell="E47" sqref="E47"/>
    </sheetView>
  </sheetViews>
  <sheetFormatPr defaultColWidth="12" defaultRowHeight="10.5" x14ac:dyDescent="0.15"/>
  <cols>
    <col min="1" max="1" width="10.83203125" customWidth="1"/>
    <col min="2" max="2" width="5" customWidth="1"/>
    <col min="3" max="3" width="70.83203125" customWidth="1"/>
    <col min="4" max="4" width="15.83203125" customWidth="1"/>
    <col min="5" max="5" width="17.6640625" customWidth="1"/>
    <col min="6" max="6" width="18.83203125" customWidth="1"/>
    <col min="7" max="7" width="15.83203125" customWidth="1"/>
    <col min="8" max="8" width="16.83203125" customWidth="1"/>
    <col min="9" max="9" width="15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F1" s="12"/>
      <c r="G1" s="38" t="s">
        <v>1588</v>
      </c>
    </row>
    <row r="2" spans="1:9" x14ac:dyDescent="0.15">
      <c r="A2" s="15" t="s">
        <v>741</v>
      </c>
    </row>
    <row r="3" spans="1:9" ht="31.5" x14ac:dyDescent="0.15">
      <c r="A3" s="158"/>
      <c r="B3" s="158"/>
      <c r="C3" s="158"/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A4" s="158"/>
      <c r="B4" s="158"/>
      <c r="C4" s="158"/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A5" s="158"/>
      <c r="B5" s="158"/>
      <c r="C5" s="158"/>
      <c r="D5" s="166"/>
      <c r="E5" s="166"/>
      <c r="F5" s="166"/>
      <c r="G5" s="166"/>
      <c r="I5" s="6"/>
    </row>
    <row r="6" spans="1:9" ht="11.25" thickBot="1" x14ac:dyDescent="0.2">
      <c r="A6" s="35" t="s">
        <v>195</v>
      </c>
      <c r="C6" s="35" t="s">
        <v>742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6" t="s">
        <v>1592</v>
      </c>
      <c r="C7" s="210" t="s">
        <v>196</v>
      </c>
      <c r="D7" s="5"/>
      <c r="E7" s="5"/>
      <c r="F7" s="5"/>
      <c r="I7" s="6"/>
    </row>
    <row r="8" spans="1:9" x14ac:dyDescent="0.15">
      <c r="A8" s="1" t="s">
        <v>1602</v>
      </c>
      <c r="B8" s="211" t="s">
        <v>1159</v>
      </c>
      <c r="C8" s="1" t="s">
        <v>443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564">
        <f>SUM(G8+H8)</f>
        <v>0</v>
      </c>
    </row>
    <row r="9" spans="1:9" x14ac:dyDescent="0.15">
      <c r="A9" s="108" t="s">
        <v>113</v>
      </c>
      <c r="B9" s="211" t="s">
        <v>1160</v>
      </c>
      <c r="C9" s="1" t="s">
        <v>721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SUM(G9+H9)</f>
        <v>0</v>
      </c>
    </row>
    <row r="10" spans="1:9" x14ac:dyDescent="0.15">
      <c r="A10" s="108" t="s">
        <v>532</v>
      </c>
      <c r="B10" s="211" t="s">
        <v>1161</v>
      </c>
      <c r="C10" s="1" t="s">
        <v>533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>SUM(G10+H10)</f>
        <v>0</v>
      </c>
    </row>
    <row r="11" spans="1:9" x14ac:dyDescent="0.15">
      <c r="A11" s="1" t="s">
        <v>105</v>
      </c>
      <c r="B11" s="211" t="s">
        <v>1228</v>
      </c>
      <c r="C11" s="2" t="s">
        <v>854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>SUM(G11+H11)</f>
        <v>0</v>
      </c>
    </row>
    <row r="12" spans="1:9" x14ac:dyDescent="0.15">
      <c r="A12" s="1"/>
      <c r="B12" s="211" t="s">
        <v>1229</v>
      </c>
      <c r="C12" s="1" t="s">
        <v>216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564">
        <f>SUM(G12+H12)</f>
        <v>0</v>
      </c>
    </row>
    <row r="13" spans="1:9" ht="11.25" thickBot="1" x14ac:dyDescent="0.2">
      <c r="B13" s="211"/>
      <c r="C13" s="1"/>
      <c r="D13" s="14"/>
      <c r="E13" s="5"/>
      <c r="F13" s="5"/>
      <c r="I13" s="6"/>
    </row>
    <row r="14" spans="1:9" ht="12" thickTop="1" thickBot="1" x14ac:dyDescent="0.2">
      <c r="B14" s="211" t="s">
        <v>1230</v>
      </c>
      <c r="C14" s="35" t="s">
        <v>1191</v>
      </c>
      <c r="D14" s="42">
        <f t="shared" ref="D14:I14" si="0">SUM(D8:D13)</f>
        <v>0</v>
      </c>
      <c r="E14" s="42">
        <f t="shared" si="0"/>
        <v>0</v>
      </c>
      <c r="F14" s="42">
        <f t="shared" si="0"/>
        <v>0</v>
      </c>
      <c r="G14" s="42">
        <f t="shared" si="0"/>
        <v>0</v>
      </c>
      <c r="H14" s="42">
        <f t="shared" si="0"/>
        <v>0</v>
      </c>
      <c r="I14" s="42">
        <f t="shared" si="0"/>
        <v>0</v>
      </c>
    </row>
    <row r="15" spans="1:9" ht="12" thickTop="1" thickBot="1" x14ac:dyDescent="0.2">
      <c r="C15" s="1"/>
      <c r="D15" s="5"/>
      <c r="E15" s="13"/>
      <c r="F15" s="5"/>
      <c r="I15" s="6"/>
    </row>
    <row r="16" spans="1:9" ht="11.25" thickBot="1" x14ac:dyDescent="0.2">
      <c r="B16" s="35" t="s">
        <v>1192</v>
      </c>
      <c r="D16" s="44">
        <f t="shared" ref="D16:I16" si="1">D6+D14</f>
        <v>0</v>
      </c>
      <c r="E16" s="44">
        <f t="shared" si="1"/>
        <v>0</v>
      </c>
      <c r="F16" s="44">
        <f t="shared" si="1"/>
        <v>0</v>
      </c>
      <c r="G16" s="44">
        <f t="shared" si="1"/>
        <v>0</v>
      </c>
      <c r="H16" s="44">
        <f t="shared" si="1"/>
        <v>0</v>
      </c>
      <c r="I16" s="44">
        <f t="shared" si="1"/>
        <v>0</v>
      </c>
    </row>
    <row r="17" spans="1:9" x14ac:dyDescent="0.15">
      <c r="D17" s="5"/>
      <c r="E17" s="5"/>
      <c r="F17" s="5"/>
      <c r="I17" s="6"/>
    </row>
    <row r="18" spans="1:9" x14ac:dyDescent="0.15">
      <c r="A18" s="660" t="s">
        <v>824</v>
      </c>
      <c r="B18" s="424"/>
      <c r="C18" s="495" t="s">
        <v>816</v>
      </c>
      <c r="D18" s="423"/>
      <c r="E18" s="423"/>
      <c r="F18" s="423"/>
      <c r="G18" s="423"/>
      <c r="H18" s="423"/>
      <c r="I18" s="179"/>
    </row>
    <row r="19" spans="1:9" s="158" customFormat="1" x14ac:dyDescent="0.15">
      <c r="A19" s="436" t="s">
        <v>105</v>
      </c>
      <c r="B19" s="501" t="s">
        <v>27</v>
      </c>
      <c r="C19" s="2" t="s">
        <v>827</v>
      </c>
      <c r="D19" s="41">
        <v>0</v>
      </c>
      <c r="E19" s="41">
        <v>0</v>
      </c>
      <c r="F19" s="41">
        <v>0</v>
      </c>
      <c r="G19" s="41">
        <v>0</v>
      </c>
      <c r="H19" s="534">
        <v>0</v>
      </c>
      <c r="I19" s="535">
        <f>SUM(G19+H19)</f>
        <v>0</v>
      </c>
    </row>
    <row r="20" spans="1:9" s="158" customFormat="1" x14ac:dyDescent="0.15">
      <c r="A20" s="436"/>
      <c r="B20" s="501"/>
      <c r="C20" s="2"/>
      <c r="D20" s="14"/>
      <c r="E20" s="14"/>
      <c r="F20" s="14"/>
      <c r="G20" s="14"/>
      <c r="H20" s="308"/>
      <c r="I20" s="305"/>
    </row>
    <row r="21" spans="1:9" s="158" customFormat="1" x14ac:dyDescent="0.15">
      <c r="A21"/>
      <c r="B21"/>
      <c r="C21"/>
      <c r="D21" s="5"/>
      <c r="E21" s="5"/>
      <c r="F21" s="5"/>
      <c r="G21"/>
      <c r="H21"/>
      <c r="I21" s="6"/>
    </row>
    <row r="22" spans="1:9" s="158" customFormat="1" x14ac:dyDescent="0.15">
      <c r="A22" s="36" t="s">
        <v>198</v>
      </c>
      <c r="C22" s="210" t="s">
        <v>199</v>
      </c>
      <c r="D22" s="159"/>
      <c r="E22" s="159"/>
      <c r="F22" s="159"/>
      <c r="I22" s="167"/>
    </row>
    <row r="23" spans="1:9" s="158" customFormat="1" x14ac:dyDescent="0.15">
      <c r="A23" s="36"/>
      <c r="C23" s="158" t="s">
        <v>1190</v>
      </c>
      <c r="D23" s="159"/>
      <c r="E23" s="159"/>
      <c r="F23" s="159"/>
      <c r="I23" s="167"/>
    </row>
    <row r="24" spans="1:9" s="158" customFormat="1" x14ac:dyDescent="0.15">
      <c r="A24" s="115" t="s">
        <v>423</v>
      </c>
      <c r="B24" s="160" t="s">
        <v>1231</v>
      </c>
      <c r="C24" s="115" t="s">
        <v>230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ref="I24:I32" si="2">SUM(G24+H24)</f>
        <v>0</v>
      </c>
    </row>
    <row r="25" spans="1:9" s="158" customFormat="1" x14ac:dyDescent="0.15">
      <c r="A25" s="115" t="s">
        <v>424</v>
      </c>
      <c r="B25" s="174" t="s">
        <v>1232</v>
      </c>
      <c r="C25" s="115" t="s">
        <v>231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2"/>
        <v>0</v>
      </c>
    </row>
    <row r="26" spans="1:9" s="158" customFormat="1" x14ac:dyDescent="0.15">
      <c r="A26" s="115" t="s">
        <v>425</v>
      </c>
      <c r="B26" s="174" t="s">
        <v>1240</v>
      </c>
      <c r="C26" s="115" t="s">
        <v>1246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2"/>
        <v>0</v>
      </c>
    </row>
    <row r="27" spans="1:9" s="158" customFormat="1" x14ac:dyDescent="0.15">
      <c r="A27" s="115" t="s">
        <v>426</v>
      </c>
      <c r="B27" s="174" t="s">
        <v>1244</v>
      </c>
      <c r="C27" s="115" t="s">
        <v>119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2"/>
        <v>0</v>
      </c>
    </row>
    <row r="28" spans="1:9" s="158" customFormat="1" x14ac:dyDescent="0.15">
      <c r="A28" s="115" t="s">
        <v>427</v>
      </c>
      <c r="B28" s="174" t="s">
        <v>1245</v>
      </c>
      <c r="C28" s="115" t="s">
        <v>124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2"/>
        <v>0</v>
      </c>
    </row>
    <row r="29" spans="1:9" s="158" customFormat="1" x14ac:dyDescent="0.15">
      <c r="A29" s="115" t="s">
        <v>428</v>
      </c>
      <c r="B29" s="174" t="s">
        <v>1241</v>
      </c>
      <c r="C29" s="115" t="s">
        <v>156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2"/>
        <v>0</v>
      </c>
    </row>
    <row r="30" spans="1:9" s="158" customFormat="1" x14ac:dyDescent="0.15">
      <c r="A30" s="108" t="s">
        <v>81</v>
      </c>
      <c r="B30" s="174" t="s">
        <v>1242</v>
      </c>
      <c r="C30" s="1" t="s">
        <v>82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2"/>
        <v>0</v>
      </c>
    </row>
    <row r="31" spans="1:9" s="158" customFormat="1" x14ac:dyDescent="0.15">
      <c r="A31" s="108" t="s">
        <v>631</v>
      </c>
      <c r="B31" s="174" t="s">
        <v>1247</v>
      </c>
      <c r="C31" s="1" t="s">
        <v>173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2"/>
        <v>0</v>
      </c>
    </row>
    <row r="32" spans="1:9" s="158" customFormat="1" x14ac:dyDescent="0.15">
      <c r="A32" s="115" t="s">
        <v>429</v>
      </c>
      <c r="B32" s="174" t="s">
        <v>1248</v>
      </c>
      <c r="C32" s="115" t="s">
        <v>1572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564">
        <f t="shared" si="2"/>
        <v>0</v>
      </c>
    </row>
    <row r="33" spans="1:9" s="158" customFormat="1" ht="11.25" thickBot="1" x14ac:dyDescent="0.2">
      <c r="A33" s="115"/>
      <c r="C33" s="115"/>
      <c r="D33" s="14"/>
      <c r="E33" s="159"/>
      <c r="F33" s="159"/>
      <c r="I33" s="167"/>
    </row>
    <row r="34" spans="1:9" s="158" customFormat="1" ht="12" thickTop="1" thickBot="1" x14ac:dyDescent="0.2">
      <c r="B34" s="174" t="s">
        <v>1249</v>
      </c>
      <c r="C34" s="115" t="s">
        <v>1193</v>
      </c>
      <c r="D34" s="169">
        <f t="shared" ref="D34:I34" si="3">SUM(D24:D32)</f>
        <v>0</v>
      </c>
      <c r="E34" s="169">
        <f t="shared" si="3"/>
        <v>0</v>
      </c>
      <c r="F34" s="169">
        <f t="shared" si="3"/>
        <v>0</v>
      </c>
      <c r="G34" s="169">
        <f t="shared" si="3"/>
        <v>0</v>
      </c>
      <c r="H34" s="169">
        <f t="shared" si="3"/>
        <v>0</v>
      </c>
      <c r="I34" s="169">
        <f t="shared" si="3"/>
        <v>0</v>
      </c>
    </row>
    <row r="35" spans="1:9" s="158" customFormat="1" ht="11.25" thickTop="1" x14ac:dyDescent="0.15">
      <c r="A35" s="36"/>
      <c r="C35" s="40"/>
      <c r="D35" s="159"/>
      <c r="E35" s="159"/>
      <c r="F35" s="159"/>
      <c r="I35" s="167"/>
    </row>
    <row r="36" spans="1:9" s="158" customFormat="1" x14ac:dyDescent="0.15">
      <c r="A36" s="36"/>
      <c r="C36" s="172" t="s">
        <v>217</v>
      </c>
      <c r="D36" s="159"/>
      <c r="E36" s="159"/>
      <c r="F36" s="159"/>
      <c r="I36" s="167"/>
    </row>
    <row r="37" spans="1:9" s="158" customFormat="1" x14ac:dyDescent="0.15">
      <c r="A37" s="115" t="s">
        <v>423</v>
      </c>
      <c r="B37" s="160" t="s">
        <v>1250</v>
      </c>
      <c r="C37" s="115" t="s">
        <v>230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ref="I37:I46" si="4">SUM(G37+H37)</f>
        <v>0</v>
      </c>
    </row>
    <row r="38" spans="1:9" s="158" customFormat="1" x14ac:dyDescent="0.15">
      <c r="A38" s="115" t="s">
        <v>424</v>
      </c>
      <c r="B38" s="174" t="s">
        <v>1251</v>
      </c>
      <c r="C38" s="115" t="s">
        <v>231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4"/>
        <v>0</v>
      </c>
    </row>
    <row r="39" spans="1:9" s="158" customFormat="1" x14ac:dyDescent="0.15">
      <c r="A39" s="115" t="s">
        <v>425</v>
      </c>
      <c r="B39" s="174" t="s">
        <v>1252</v>
      </c>
      <c r="C39" s="115" t="s">
        <v>1246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4"/>
        <v>0</v>
      </c>
    </row>
    <row r="40" spans="1:9" s="158" customFormat="1" x14ac:dyDescent="0.15">
      <c r="A40" s="115" t="s">
        <v>426</v>
      </c>
      <c r="B40" s="174" t="s">
        <v>1253</v>
      </c>
      <c r="C40" s="115" t="s">
        <v>119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4"/>
        <v>0</v>
      </c>
    </row>
    <row r="41" spans="1:9" s="158" customFormat="1" x14ac:dyDescent="0.15">
      <c r="A41" s="115" t="s">
        <v>427</v>
      </c>
      <c r="B41" s="174" t="s">
        <v>1254</v>
      </c>
      <c r="C41" s="115" t="s">
        <v>124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4"/>
        <v>0</v>
      </c>
    </row>
    <row r="42" spans="1:9" s="158" customFormat="1" x14ac:dyDescent="0.15">
      <c r="A42" s="115" t="s">
        <v>428</v>
      </c>
      <c r="B42" s="174" t="s">
        <v>1255</v>
      </c>
      <c r="C42" s="115" t="s">
        <v>156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4"/>
        <v>0</v>
      </c>
    </row>
    <row r="43" spans="1:9" s="158" customFormat="1" x14ac:dyDescent="0.15">
      <c r="A43" s="108" t="s">
        <v>81</v>
      </c>
      <c r="B43" s="174" t="s">
        <v>1260</v>
      </c>
      <c r="C43" s="1" t="s">
        <v>82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4"/>
        <v>0</v>
      </c>
    </row>
    <row r="44" spans="1:9" s="158" customFormat="1" x14ac:dyDescent="0.15">
      <c r="A44" s="108" t="s">
        <v>631</v>
      </c>
      <c r="B44" s="174" t="s">
        <v>1261</v>
      </c>
      <c r="C44" s="1" t="s">
        <v>173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564">
        <f t="shared" si="4"/>
        <v>0</v>
      </c>
    </row>
    <row r="45" spans="1:9" x14ac:dyDescent="0.15">
      <c r="A45" s="152"/>
      <c r="B45" s="152"/>
      <c r="C45" s="665" t="s">
        <v>28</v>
      </c>
      <c r="D45" s="529">
        <f t="shared" ref="D45:I45" si="5">+D19</f>
        <v>0</v>
      </c>
      <c r="E45" s="529">
        <f t="shared" si="5"/>
        <v>0</v>
      </c>
      <c r="F45" s="529">
        <f t="shared" si="5"/>
        <v>0</v>
      </c>
      <c r="G45" s="529">
        <f t="shared" si="5"/>
        <v>0</v>
      </c>
      <c r="H45" s="529">
        <f t="shared" si="5"/>
        <v>0</v>
      </c>
      <c r="I45" s="529">
        <f t="shared" si="5"/>
        <v>0</v>
      </c>
    </row>
    <row r="46" spans="1:9" s="158" customFormat="1" x14ac:dyDescent="0.15">
      <c r="A46" s="115" t="s">
        <v>429</v>
      </c>
      <c r="B46" s="174" t="s">
        <v>1262</v>
      </c>
      <c r="C46" s="115" t="s">
        <v>1572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564">
        <f t="shared" si="4"/>
        <v>0</v>
      </c>
    </row>
    <row r="47" spans="1:9" ht="11.25" thickBot="1" x14ac:dyDescent="0.2">
      <c r="A47" s="115"/>
      <c r="B47" s="158"/>
      <c r="C47" s="115"/>
      <c r="D47" s="14"/>
      <c r="E47" s="159"/>
      <c r="F47" s="159"/>
      <c r="G47" s="158"/>
      <c r="H47" s="158"/>
      <c r="I47" s="167"/>
    </row>
    <row r="48" spans="1:9" ht="12" thickTop="1" thickBot="1" x14ac:dyDescent="0.2">
      <c r="A48" s="158"/>
      <c r="B48" s="174" t="s">
        <v>1263</v>
      </c>
      <c r="C48" s="172" t="s">
        <v>1194</v>
      </c>
      <c r="D48" s="169">
        <f t="shared" ref="D48:I48" si="6">SUM(D37:D46)</f>
        <v>0</v>
      </c>
      <c r="E48" s="169">
        <f t="shared" si="6"/>
        <v>0</v>
      </c>
      <c r="F48" s="169">
        <f t="shared" si="6"/>
        <v>0</v>
      </c>
      <c r="G48" s="169">
        <f t="shared" si="6"/>
        <v>0</v>
      </c>
      <c r="H48" s="169">
        <f t="shared" si="6"/>
        <v>0</v>
      </c>
      <c r="I48" s="169">
        <f t="shared" si="6"/>
        <v>0</v>
      </c>
    </row>
    <row r="49" spans="1:9" ht="12" thickTop="1" thickBot="1" x14ac:dyDescent="0.2">
      <c r="D49" s="5"/>
      <c r="E49" s="5"/>
      <c r="F49" s="5"/>
      <c r="I49" s="6"/>
    </row>
    <row r="50" spans="1:9" ht="12" thickTop="1" thickBot="1" x14ac:dyDescent="0.2">
      <c r="A50" s="158"/>
      <c r="B50" s="174" t="s">
        <v>1265</v>
      </c>
      <c r="C50" s="35" t="s">
        <v>1195</v>
      </c>
      <c r="D50" s="169">
        <f t="shared" ref="D50:I50" si="7">D34+D48</f>
        <v>0</v>
      </c>
      <c r="E50" s="169">
        <f t="shared" si="7"/>
        <v>0</v>
      </c>
      <c r="F50" s="169">
        <f t="shared" si="7"/>
        <v>0</v>
      </c>
      <c r="G50" s="169">
        <f t="shared" si="7"/>
        <v>0</v>
      </c>
      <c r="H50" s="169">
        <f t="shared" si="7"/>
        <v>0</v>
      </c>
      <c r="I50" s="169">
        <f t="shared" si="7"/>
        <v>0</v>
      </c>
    </row>
    <row r="51" spans="1:9" ht="11.25" thickTop="1" x14ac:dyDescent="0.15">
      <c r="D51" s="5"/>
      <c r="E51" s="5"/>
      <c r="F51" s="5"/>
      <c r="I51" s="6"/>
    </row>
    <row r="52" spans="1:9" x14ac:dyDescent="0.15">
      <c r="A52" s="155" t="s">
        <v>110</v>
      </c>
      <c r="C52" s="210" t="s">
        <v>737</v>
      </c>
      <c r="D52" s="159"/>
      <c r="E52" s="159"/>
      <c r="F52" s="159"/>
      <c r="G52" s="159"/>
      <c r="I52" s="6"/>
    </row>
    <row r="53" spans="1:9" x14ac:dyDescent="0.15">
      <c r="A53" s="558" t="s">
        <v>1522</v>
      </c>
      <c r="B53" s="726" t="s">
        <v>1266</v>
      </c>
      <c r="C53" s="138" t="s">
        <v>1516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>SUM(G53+H53)</f>
        <v>0</v>
      </c>
    </row>
    <row r="54" spans="1:9" x14ac:dyDescent="0.15">
      <c r="A54" s="725" t="s">
        <v>1680</v>
      </c>
      <c r="B54" s="726" t="s">
        <v>1267</v>
      </c>
      <c r="C54" s="138" t="s">
        <v>1518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>SUM(G54+H54)</f>
        <v>0</v>
      </c>
    </row>
    <row r="55" spans="1:9" ht="12" customHeight="1" x14ac:dyDescent="0.15">
      <c r="A55" s="725" t="s">
        <v>1675</v>
      </c>
      <c r="B55" s="726" t="s">
        <v>1268</v>
      </c>
      <c r="C55" s="692" t="s">
        <v>1676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564">
        <f>SUM(G55+H55)</f>
        <v>0</v>
      </c>
    </row>
    <row r="56" spans="1:9" ht="11.25" thickBot="1" x14ac:dyDescent="0.2">
      <c r="A56" s="558" t="s">
        <v>1526</v>
      </c>
      <c r="B56" s="726" t="s">
        <v>1269</v>
      </c>
      <c r="C56" s="138" t="s">
        <v>1520</v>
      </c>
      <c r="D56" s="150">
        <v>0</v>
      </c>
      <c r="E56" s="150">
        <v>0</v>
      </c>
      <c r="F56" s="150">
        <v>0</v>
      </c>
      <c r="G56" s="150">
        <v>0</v>
      </c>
      <c r="H56" s="41">
        <v>0</v>
      </c>
      <c r="I56" s="564">
        <f>SUM(G56+H56)</f>
        <v>0</v>
      </c>
    </row>
    <row r="57" spans="1:9" ht="12" thickTop="1" thickBot="1" x14ac:dyDescent="0.2">
      <c r="A57" s="149"/>
      <c r="B57" s="188" t="s">
        <v>1270</v>
      </c>
      <c r="C57" s="115" t="s">
        <v>724</v>
      </c>
      <c r="D57" s="151">
        <f t="shared" ref="D57:I57" si="8">SUM(D53:D56)</f>
        <v>0</v>
      </c>
      <c r="E57" s="151">
        <f t="shared" si="8"/>
        <v>0</v>
      </c>
      <c r="F57" s="151">
        <f t="shared" si="8"/>
        <v>0</v>
      </c>
      <c r="G57" s="151">
        <f t="shared" si="8"/>
        <v>0</v>
      </c>
      <c r="H57" s="151">
        <f t="shared" si="8"/>
        <v>0</v>
      </c>
      <c r="I57" s="169">
        <f t="shared" si="8"/>
        <v>0</v>
      </c>
    </row>
    <row r="58" spans="1:9" ht="12" thickTop="1" thickBot="1" x14ac:dyDescent="0.2">
      <c r="A58" s="149"/>
      <c r="B58" s="158"/>
      <c r="C58" s="115"/>
      <c r="D58" s="159"/>
      <c r="E58" s="159"/>
      <c r="F58" s="159"/>
      <c r="G58" s="159"/>
      <c r="I58" s="6"/>
    </row>
    <row r="59" spans="1:9" ht="11.25" thickBot="1" x14ac:dyDescent="0.2">
      <c r="A59" s="736" t="s">
        <v>1694</v>
      </c>
      <c r="B59" s="736"/>
      <c r="C59" s="743"/>
      <c r="D59" s="212">
        <f t="shared" ref="D59:I59" si="9">D50+D57</f>
        <v>0</v>
      </c>
      <c r="E59" s="212">
        <f t="shared" si="9"/>
        <v>0</v>
      </c>
      <c r="F59" s="212">
        <f t="shared" si="9"/>
        <v>0</v>
      </c>
      <c r="G59" s="212">
        <f t="shared" si="9"/>
        <v>0</v>
      </c>
      <c r="H59" s="212">
        <f t="shared" si="9"/>
        <v>0</v>
      </c>
      <c r="I59" s="212">
        <f t="shared" si="9"/>
        <v>0</v>
      </c>
    </row>
    <row r="60" spans="1:9" x14ac:dyDescent="0.15">
      <c r="A60" s="149"/>
      <c r="B60" s="158"/>
      <c r="C60" s="115" t="s">
        <v>725</v>
      </c>
      <c r="D60" s="159"/>
      <c r="E60" s="159"/>
      <c r="F60" s="159"/>
      <c r="G60" s="159"/>
      <c r="I60" s="6"/>
    </row>
    <row r="61" spans="1:9" ht="11.25" thickBot="1" x14ac:dyDescent="0.2">
      <c r="A61" s="149"/>
      <c r="B61" s="158"/>
      <c r="C61" s="115"/>
      <c r="D61" s="159"/>
      <c r="E61" s="159"/>
      <c r="F61" s="159"/>
      <c r="G61" s="159"/>
      <c r="I61" s="6"/>
    </row>
    <row r="62" spans="1:9" ht="11.25" thickBot="1" x14ac:dyDescent="0.2">
      <c r="A62" s="158"/>
      <c r="B62" s="158"/>
      <c r="C62" s="172" t="s">
        <v>726</v>
      </c>
      <c r="D62" s="212">
        <f t="shared" ref="D62:I62" si="10">D16</f>
        <v>0</v>
      </c>
      <c r="E62" s="212">
        <f t="shared" si="10"/>
        <v>0</v>
      </c>
      <c r="F62" s="212">
        <f t="shared" si="10"/>
        <v>0</v>
      </c>
      <c r="G62" s="212">
        <f t="shared" si="10"/>
        <v>0</v>
      </c>
      <c r="H62" s="212">
        <f t="shared" si="10"/>
        <v>0</v>
      </c>
      <c r="I62" s="212">
        <f t="shared" si="10"/>
        <v>0</v>
      </c>
    </row>
    <row r="63" spans="1:9" x14ac:dyDescent="0.15">
      <c r="A63" s="158"/>
      <c r="B63" s="158"/>
      <c r="C63" s="158"/>
      <c r="D63" s="158"/>
      <c r="E63" s="158"/>
      <c r="F63" s="158"/>
      <c r="G63" s="158"/>
      <c r="I63" s="6"/>
    </row>
    <row r="64" spans="1:9" x14ac:dyDescent="0.15">
      <c r="A64" s="158"/>
      <c r="B64" s="158"/>
      <c r="C64" s="172" t="s">
        <v>727</v>
      </c>
      <c r="D64" s="158">
        <f t="shared" ref="D64:I64" si="11">D59-D62</f>
        <v>0</v>
      </c>
      <c r="E64" s="158">
        <f t="shared" si="11"/>
        <v>0</v>
      </c>
      <c r="F64" s="158">
        <f t="shared" si="11"/>
        <v>0</v>
      </c>
      <c r="G64" s="158">
        <f t="shared" si="11"/>
        <v>0</v>
      </c>
      <c r="H64" s="158">
        <f t="shared" si="11"/>
        <v>0</v>
      </c>
      <c r="I64" s="167">
        <f t="shared" si="11"/>
        <v>0</v>
      </c>
    </row>
    <row r="65" spans="9:9" x14ac:dyDescent="0.15">
      <c r="I65" s="6"/>
    </row>
  </sheetData>
  <sheetProtection formatCells="0" formatColumns="0" formatRows="0"/>
  <mergeCells count="1">
    <mergeCell ref="A59:C59"/>
  </mergeCells>
  <phoneticPr fontId="15" type="noConversion"/>
  <pageMargins left="0.5" right="0.5" top="0.75" bottom="0.75" header="0.5" footer="0.5"/>
  <pageSetup scale="65" firstPageNumber="46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Views>
    <sheetView topLeftCell="A13" workbookViewId="0">
      <selection activeCell="E58" sqref="E58"/>
    </sheetView>
  </sheetViews>
  <sheetFormatPr defaultColWidth="12" defaultRowHeight="10.5" x14ac:dyDescent="0.15"/>
  <cols>
    <col min="1" max="1" width="10.33203125" customWidth="1"/>
    <col min="2" max="2" width="3.83203125" customWidth="1"/>
    <col min="3" max="3" width="70.83203125" customWidth="1"/>
    <col min="4" max="4" width="15.83203125" customWidth="1"/>
    <col min="5" max="5" width="17.33203125" customWidth="1"/>
    <col min="6" max="6" width="18.33203125" customWidth="1"/>
    <col min="7" max="7" width="15.83203125" customWidth="1"/>
    <col min="8" max="9" width="16.33203125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38" t="s">
        <v>1588</v>
      </c>
    </row>
    <row r="2" spans="1:9" x14ac:dyDescent="0.15">
      <c r="A2" s="15" t="s">
        <v>919</v>
      </c>
      <c r="E2" s="38"/>
      <c r="F2" s="38"/>
    </row>
    <row r="3" spans="1:9" ht="42" x14ac:dyDescent="0.15">
      <c r="A3" s="15"/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A4" s="15"/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A5" s="19"/>
      <c r="E5" s="19"/>
      <c r="I5" s="6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5"/>
      <c r="B7" s="35"/>
      <c r="D7" s="14"/>
      <c r="E7" s="14"/>
      <c r="F7" s="14"/>
      <c r="G7" s="14"/>
      <c r="I7" s="6"/>
    </row>
    <row r="8" spans="1:9" x14ac:dyDescent="0.15">
      <c r="A8" s="36" t="s">
        <v>1592</v>
      </c>
      <c r="C8" s="210" t="s">
        <v>196</v>
      </c>
      <c r="E8" s="5"/>
      <c r="F8" s="5"/>
      <c r="G8" s="5"/>
      <c r="I8" s="6"/>
    </row>
    <row r="9" spans="1:9" x14ac:dyDescent="0.15">
      <c r="A9" s="1" t="s">
        <v>1602</v>
      </c>
      <c r="B9" s="211" t="s">
        <v>1159</v>
      </c>
      <c r="C9" s="1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SUM(G9+H9)</f>
        <v>0</v>
      </c>
    </row>
    <row r="10" spans="1:9" x14ac:dyDescent="0.15">
      <c r="A10" s="1" t="s">
        <v>105</v>
      </c>
      <c r="B10" s="211" t="s">
        <v>1160</v>
      </c>
      <c r="C10" s="2" t="s">
        <v>854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>SUM(G10+H10)</f>
        <v>0</v>
      </c>
    </row>
    <row r="11" spans="1:9" x14ac:dyDescent="0.15">
      <c r="B11" s="211" t="s">
        <v>1161</v>
      </c>
      <c r="C11" s="1" t="s">
        <v>1171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>SUM(G11+H11)</f>
        <v>0</v>
      </c>
    </row>
    <row r="12" spans="1:9" ht="11.25" thickBot="1" x14ac:dyDescent="0.2">
      <c r="I12" s="6"/>
    </row>
    <row r="13" spans="1:9" ht="12" thickTop="1" thickBot="1" x14ac:dyDescent="0.2">
      <c r="B13" s="211" t="s">
        <v>1228</v>
      </c>
      <c r="C13" s="35" t="s">
        <v>219</v>
      </c>
      <c r="D13" s="42">
        <f t="shared" ref="D13:I13" si="0">SUM(D9:D12)</f>
        <v>0</v>
      </c>
      <c r="E13" s="42">
        <f t="shared" si="0"/>
        <v>0</v>
      </c>
      <c r="F13" s="42">
        <f t="shared" si="0"/>
        <v>0</v>
      </c>
      <c r="G13" s="42">
        <f t="shared" si="0"/>
        <v>0</v>
      </c>
      <c r="H13" s="42">
        <f t="shared" si="0"/>
        <v>0</v>
      </c>
      <c r="I13" s="42">
        <f t="shared" si="0"/>
        <v>0</v>
      </c>
    </row>
    <row r="14" spans="1:9" ht="12" thickTop="1" thickBot="1" x14ac:dyDescent="0.2">
      <c r="C14" s="1"/>
      <c r="I14" s="6"/>
    </row>
    <row r="15" spans="1:9" ht="11.25" thickBot="1" x14ac:dyDescent="0.2">
      <c r="A15" s="35" t="s">
        <v>1196</v>
      </c>
      <c r="D15" s="44">
        <f t="shared" ref="D15:I15" si="1">D6+D13</f>
        <v>0</v>
      </c>
      <c r="E15" s="44">
        <f t="shared" si="1"/>
        <v>0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4">
        <f t="shared" si="1"/>
        <v>0</v>
      </c>
    </row>
    <row r="16" spans="1:9" x14ac:dyDescent="0.15">
      <c r="E16" s="5"/>
      <c r="F16" s="5"/>
      <c r="G16" s="5"/>
      <c r="I16" s="6"/>
    </row>
    <row r="17" spans="1:9" x14ac:dyDescent="0.15">
      <c r="A17" s="660" t="s">
        <v>824</v>
      </c>
      <c r="B17" s="424"/>
      <c r="C17" s="495" t="s">
        <v>816</v>
      </c>
      <c r="D17" s="423"/>
      <c r="E17" s="423"/>
      <c r="F17" s="423"/>
      <c r="G17" s="423"/>
      <c r="H17" s="423"/>
      <c r="I17" s="179"/>
    </row>
    <row r="18" spans="1:9" s="158" customFormat="1" x14ac:dyDescent="0.15">
      <c r="A18" s="436" t="s">
        <v>105</v>
      </c>
      <c r="B18" s="501" t="s">
        <v>269</v>
      </c>
      <c r="C18" s="2" t="s">
        <v>827</v>
      </c>
      <c r="D18" s="41">
        <v>0</v>
      </c>
      <c r="E18" s="41">
        <v>0</v>
      </c>
      <c r="F18" s="41">
        <v>0</v>
      </c>
      <c r="G18" s="41">
        <v>0</v>
      </c>
      <c r="H18" s="534">
        <v>0</v>
      </c>
      <c r="I18" s="535">
        <f>SUM(G18+H18)</f>
        <v>0</v>
      </c>
    </row>
    <row r="19" spans="1:9" s="158" customFormat="1" x14ac:dyDescent="0.15">
      <c r="A19" s="436"/>
      <c r="B19" s="501"/>
      <c r="C19" s="2"/>
      <c r="D19" s="14"/>
      <c r="E19" s="14"/>
      <c r="F19" s="14"/>
      <c r="G19" s="14"/>
      <c r="H19" s="308"/>
      <c r="I19" s="305"/>
    </row>
    <row r="20" spans="1:9" s="158" customFormat="1" x14ac:dyDescent="0.15">
      <c r="A20"/>
      <c r="B20"/>
      <c r="C20"/>
      <c r="D20"/>
      <c r="E20" s="5"/>
      <c r="F20" s="5"/>
      <c r="G20" s="5"/>
      <c r="H20"/>
      <c r="I20" s="6"/>
    </row>
    <row r="21" spans="1:9" s="158" customFormat="1" x14ac:dyDescent="0.15">
      <c r="A21" s="36" t="s">
        <v>198</v>
      </c>
      <c r="C21" s="210" t="s">
        <v>199</v>
      </c>
      <c r="D21" s="159"/>
      <c r="E21" s="159"/>
      <c r="F21" s="159"/>
      <c r="I21" s="167"/>
    </row>
    <row r="22" spans="1:9" s="158" customFormat="1" x14ac:dyDescent="0.15">
      <c r="A22" s="36"/>
      <c r="C22" s="158" t="s">
        <v>1190</v>
      </c>
      <c r="D22" s="159"/>
      <c r="E22" s="159"/>
      <c r="F22" s="159"/>
      <c r="I22" s="167"/>
    </row>
    <row r="23" spans="1:9" s="158" customFormat="1" x14ac:dyDescent="0.15">
      <c r="A23" s="115" t="s">
        <v>423</v>
      </c>
      <c r="B23" s="160" t="s">
        <v>1229</v>
      </c>
      <c r="C23" s="115" t="s">
        <v>230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ref="I23:I31" si="2">SUM(G23+H23)</f>
        <v>0</v>
      </c>
    </row>
    <row r="24" spans="1:9" s="158" customFormat="1" x14ac:dyDescent="0.15">
      <c r="A24" s="115" t="s">
        <v>424</v>
      </c>
      <c r="B24" s="174" t="s">
        <v>1230</v>
      </c>
      <c r="C24" s="115" t="s">
        <v>231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si="2"/>
        <v>0</v>
      </c>
    </row>
    <row r="25" spans="1:9" s="158" customFormat="1" x14ac:dyDescent="0.15">
      <c r="A25" s="115" t="s">
        <v>425</v>
      </c>
      <c r="B25" s="174" t="s">
        <v>1231</v>
      </c>
      <c r="C25" s="115" t="s">
        <v>1246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2"/>
        <v>0</v>
      </c>
    </row>
    <row r="26" spans="1:9" s="158" customFormat="1" x14ac:dyDescent="0.15">
      <c r="A26" s="115" t="s">
        <v>426</v>
      </c>
      <c r="B26" s="174" t="s">
        <v>1232</v>
      </c>
      <c r="C26" s="115" t="s">
        <v>119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2"/>
        <v>0</v>
      </c>
    </row>
    <row r="27" spans="1:9" s="158" customFormat="1" x14ac:dyDescent="0.15">
      <c r="A27" s="115" t="s">
        <v>427</v>
      </c>
      <c r="B27" s="174" t="s">
        <v>1240</v>
      </c>
      <c r="C27" s="115" t="s">
        <v>124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2"/>
        <v>0</v>
      </c>
    </row>
    <row r="28" spans="1:9" s="158" customFormat="1" x14ac:dyDescent="0.15">
      <c r="A28" s="115" t="s">
        <v>428</v>
      </c>
      <c r="B28" s="174" t="s">
        <v>1244</v>
      </c>
      <c r="C28" s="115" t="s">
        <v>156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2"/>
        <v>0</v>
      </c>
    </row>
    <row r="29" spans="1:9" s="158" customFormat="1" x14ac:dyDescent="0.15">
      <c r="A29" s="108" t="s">
        <v>81</v>
      </c>
      <c r="B29" s="174" t="s">
        <v>1245</v>
      </c>
      <c r="C29" s="1" t="s">
        <v>82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2"/>
        <v>0</v>
      </c>
    </row>
    <row r="30" spans="1:9" s="158" customFormat="1" x14ac:dyDescent="0.15">
      <c r="A30" s="108" t="s">
        <v>631</v>
      </c>
      <c r="B30" s="174" t="s">
        <v>1241</v>
      </c>
      <c r="C30" s="1" t="s">
        <v>173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2"/>
        <v>0</v>
      </c>
    </row>
    <row r="31" spans="1:9" s="158" customFormat="1" x14ac:dyDescent="0.15">
      <c r="A31" s="115" t="s">
        <v>429</v>
      </c>
      <c r="B31" s="174" t="s">
        <v>1242</v>
      </c>
      <c r="C31" s="115" t="s">
        <v>1572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2"/>
        <v>0</v>
      </c>
    </row>
    <row r="32" spans="1:9" s="158" customFormat="1" ht="11.25" thickBot="1" x14ac:dyDescent="0.2">
      <c r="A32" s="115"/>
      <c r="C32" s="115"/>
      <c r="D32" s="14"/>
      <c r="E32" s="159"/>
      <c r="F32" s="159"/>
      <c r="I32" s="167"/>
    </row>
    <row r="33" spans="1:9" s="158" customFormat="1" ht="12" thickTop="1" thickBot="1" x14ac:dyDescent="0.2">
      <c r="B33" s="174" t="s">
        <v>1247</v>
      </c>
      <c r="C33" s="115" t="s">
        <v>1197</v>
      </c>
      <c r="D33" s="169">
        <f t="shared" ref="D33:I33" si="3">SUM(D23:D31)</f>
        <v>0</v>
      </c>
      <c r="E33" s="169">
        <f t="shared" si="3"/>
        <v>0</v>
      </c>
      <c r="F33" s="169">
        <f t="shared" si="3"/>
        <v>0</v>
      </c>
      <c r="G33" s="169">
        <f t="shared" si="3"/>
        <v>0</v>
      </c>
      <c r="H33" s="169">
        <f t="shared" si="3"/>
        <v>0</v>
      </c>
      <c r="I33" s="169">
        <f t="shared" si="3"/>
        <v>0</v>
      </c>
    </row>
    <row r="34" spans="1:9" s="158" customFormat="1" ht="11.25" thickTop="1" x14ac:dyDescent="0.15">
      <c r="A34" s="36"/>
      <c r="C34" s="40"/>
      <c r="D34" s="159"/>
      <c r="E34" s="159"/>
      <c r="F34" s="159"/>
      <c r="I34" s="167"/>
    </row>
    <row r="35" spans="1:9" s="158" customFormat="1" x14ac:dyDescent="0.15">
      <c r="A35" s="36"/>
      <c r="C35" s="172" t="s">
        <v>217</v>
      </c>
      <c r="D35" s="159"/>
      <c r="E35" s="159"/>
      <c r="F35" s="159"/>
      <c r="I35" s="167"/>
    </row>
    <row r="36" spans="1:9" s="158" customFormat="1" x14ac:dyDescent="0.15">
      <c r="A36" s="115" t="s">
        <v>423</v>
      </c>
      <c r="B36" s="160" t="s">
        <v>1248</v>
      </c>
      <c r="C36" s="115" t="s">
        <v>230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ref="I36:I45" si="4">SUM(G36+H36)</f>
        <v>0</v>
      </c>
    </row>
    <row r="37" spans="1:9" s="158" customFormat="1" x14ac:dyDescent="0.15">
      <c r="A37" s="115" t="s">
        <v>424</v>
      </c>
      <c r="B37" s="174" t="s">
        <v>1249</v>
      </c>
      <c r="C37" s="115" t="s">
        <v>231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4"/>
        <v>0</v>
      </c>
    </row>
    <row r="38" spans="1:9" s="158" customFormat="1" x14ac:dyDescent="0.15">
      <c r="A38" s="115" t="s">
        <v>425</v>
      </c>
      <c r="B38" s="174" t="s">
        <v>1250</v>
      </c>
      <c r="C38" s="115" t="s">
        <v>1246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4"/>
        <v>0</v>
      </c>
    </row>
    <row r="39" spans="1:9" s="158" customFormat="1" x14ac:dyDescent="0.15">
      <c r="A39" s="115" t="s">
        <v>426</v>
      </c>
      <c r="B39" s="174" t="s">
        <v>1251</v>
      </c>
      <c r="C39" s="115" t="s">
        <v>119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4"/>
        <v>0</v>
      </c>
    </row>
    <row r="40" spans="1:9" s="158" customFormat="1" x14ac:dyDescent="0.15">
      <c r="A40" s="115" t="s">
        <v>427</v>
      </c>
      <c r="B40" s="174" t="s">
        <v>1252</v>
      </c>
      <c r="C40" s="115" t="s">
        <v>124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4"/>
        <v>0</v>
      </c>
    </row>
    <row r="41" spans="1:9" s="158" customFormat="1" x14ac:dyDescent="0.15">
      <c r="A41" s="115" t="s">
        <v>428</v>
      </c>
      <c r="B41" s="174" t="s">
        <v>1253</v>
      </c>
      <c r="C41" s="115" t="s">
        <v>156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4"/>
        <v>0</v>
      </c>
    </row>
    <row r="42" spans="1:9" s="158" customFormat="1" x14ac:dyDescent="0.15">
      <c r="A42" s="108" t="s">
        <v>81</v>
      </c>
      <c r="B42" s="174" t="s">
        <v>1254</v>
      </c>
      <c r="C42" s="1" t="s">
        <v>82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4"/>
        <v>0</v>
      </c>
    </row>
    <row r="43" spans="1:9" s="158" customFormat="1" x14ac:dyDescent="0.15">
      <c r="A43" s="108" t="s">
        <v>631</v>
      </c>
      <c r="B43" s="174" t="s">
        <v>1255</v>
      </c>
      <c r="C43" s="1" t="s">
        <v>173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4"/>
        <v>0</v>
      </c>
    </row>
    <row r="44" spans="1:9" x14ac:dyDescent="0.15">
      <c r="A44" s="152"/>
      <c r="B44" s="152"/>
      <c r="C44" s="665" t="s">
        <v>895</v>
      </c>
      <c r="D44" s="529">
        <f t="shared" ref="D44:I44" si="5">+D18</f>
        <v>0</v>
      </c>
      <c r="E44" s="529">
        <f t="shared" si="5"/>
        <v>0</v>
      </c>
      <c r="F44" s="529">
        <f t="shared" si="5"/>
        <v>0</v>
      </c>
      <c r="G44" s="529">
        <f t="shared" si="5"/>
        <v>0</v>
      </c>
      <c r="H44" s="529">
        <f t="shared" si="5"/>
        <v>0</v>
      </c>
      <c r="I44" s="529">
        <f t="shared" si="5"/>
        <v>0</v>
      </c>
    </row>
    <row r="45" spans="1:9" s="158" customFormat="1" x14ac:dyDescent="0.15">
      <c r="A45" s="115" t="s">
        <v>429</v>
      </c>
      <c r="B45" s="174" t="s">
        <v>1260</v>
      </c>
      <c r="C45" s="115" t="s">
        <v>1572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4"/>
        <v>0</v>
      </c>
    </row>
    <row r="46" spans="1:9" ht="11.25" thickBot="1" x14ac:dyDescent="0.2">
      <c r="A46" s="115"/>
      <c r="B46" s="158"/>
      <c r="C46" s="115"/>
      <c r="D46" s="14"/>
      <c r="E46" s="159"/>
      <c r="F46" s="159"/>
      <c r="G46" s="158"/>
      <c r="H46" s="158"/>
      <c r="I46" s="167"/>
    </row>
    <row r="47" spans="1:9" ht="12" thickTop="1" thickBot="1" x14ac:dyDescent="0.2">
      <c r="A47" s="158"/>
      <c r="B47" s="174" t="s">
        <v>1261</v>
      </c>
      <c r="C47" s="172" t="s">
        <v>1198</v>
      </c>
      <c r="D47" s="169">
        <f t="shared" ref="D47:I47" si="6">SUM(D36:D45)</f>
        <v>0</v>
      </c>
      <c r="E47" s="169">
        <f t="shared" si="6"/>
        <v>0</v>
      </c>
      <c r="F47" s="169">
        <f t="shared" si="6"/>
        <v>0</v>
      </c>
      <c r="G47" s="169">
        <f t="shared" si="6"/>
        <v>0</v>
      </c>
      <c r="H47" s="169">
        <f t="shared" si="6"/>
        <v>0</v>
      </c>
      <c r="I47" s="169">
        <f t="shared" si="6"/>
        <v>0</v>
      </c>
    </row>
    <row r="48" spans="1:9" ht="12" thickTop="1" thickBot="1" x14ac:dyDescent="0.2">
      <c r="D48" s="5"/>
      <c r="E48" s="5"/>
      <c r="F48" s="5"/>
      <c r="I48" s="6"/>
    </row>
    <row r="49" spans="1:9" ht="12" thickTop="1" thickBot="1" x14ac:dyDescent="0.2">
      <c r="A49" s="158"/>
      <c r="B49" s="174" t="s">
        <v>1262</v>
      </c>
      <c r="C49" s="35" t="s">
        <v>1199</v>
      </c>
      <c r="D49" s="169">
        <f t="shared" ref="D49:I49" si="7">D33+D47</f>
        <v>0</v>
      </c>
      <c r="E49" s="169">
        <f t="shared" si="7"/>
        <v>0</v>
      </c>
      <c r="F49" s="169">
        <f t="shared" si="7"/>
        <v>0</v>
      </c>
      <c r="G49" s="169">
        <f t="shared" si="7"/>
        <v>0</v>
      </c>
      <c r="H49" s="169">
        <f t="shared" si="7"/>
        <v>0</v>
      </c>
      <c r="I49" s="169">
        <f t="shared" si="7"/>
        <v>0</v>
      </c>
    </row>
    <row r="50" spans="1:9" ht="11.25" thickTop="1" x14ac:dyDescent="0.15">
      <c r="E50" s="5"/>
      <c r="F50" s="5"/>
      <c r="G50" s="5"/>
      <c r="I50" s="6"/>
    </row>
    <row r="51" spans="1:9" x14ac:dyDescent="0.15">
      <c r="A51" s="155" t="s">
        <v>110</v>
      </c>
      <c r="C51" s="210" t="s">
        <v>737</v>
      </c>
      <c r="D51" s="159"/>
      <c r="E51" s="159"/>
      <c r="F51" s="159"/>
      <c r="G51" s="159"/>
      <c r="I51" s="6"/>
    </row>
    <row r="52" spans="1:9" x14ac:dyDescent="0.15">
      <c r="A52" s="558" t="s">
        <v>1522</v>
      </c>
      <c r="B52" s="726" t="s">
        <v>1263</v>
      </c>
      <c r="C52" s="138" t="s">
        <v>1516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>SUM(G52+H52)</f>
        <v>0</v>
      </c>
    </row>
    <row r="53" spans="1:9" x14ac:dyDescent="0.15">
      <c r="A53" s="725" t="s">
        <v>1680</v>
      </c>
      <c r="B53" s="726" t="s">
        <v>1265</v>
      </c>
      <c r="C53" s="138" t="s">
        <v>1518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>SUM(G53+H53)</f>
        <v>0</v>
      </c>
    </row>
    <row r="54" spans="1:9" ht="11.25" customHeight="1" x14ac:dyDescent="0.15">
      <c r="A54" s="725" t="s">
        <v>1675</v>
      </c>
      <c r="B54" s="726" t="s">
        <v>1266</v>
      </c>
      <c r="C54" s="692" t="s">
        <v>1676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>SUM(G54+H54)</f>
        <v>0</v>
      </c>
    </row>
    <row r="55" spans="1:9" ht="11.25" thickBot="1" x14ac:dyDescent="0.2">
      <c r="A55" s="558" t="s">
        <v>1526</v>
      </c>
      <c r="B55" s="726" t="s">
        <v>1267</v>
      </c>
      <c r="C55" s="138" t="s">
        <v>1520</v>
      </c>
      <c r="D55" s="150">
        <v>0</v>
      </c>
      <c r="E55" s="150">
        <v>0</v>
      </c>
      <c r="F55" s="150">
        <v>0</v>
      </c>
      <c r="G55" s="150">
        <v>0</v>
      </c>
      <c r="H55" s="41">
        <v>0</v>
      </c>
      <c r="I55" s="564">
        <f>SUM(G55+H55)</f>
        <v>0</v>
      </c>
    </row>
    <row r="56" spans="1:9" ht="12" thickTop="1" thickBot="1" x14ac:dyDescent="0.2">
      <c r="A56" s="149"/>
      <c r="B56" s="188" t="s">
        <v>1268</v>
      </c>
      <c r="C56" s="115" t="s">
        <v>724</v>
      </c>
      <c r="D56" s="151">
        <f t="shared" ref="D56:I56" si="8">SUM(D52:D55)</f>
        <v>0</v>
      </c>
      <c r="E56" s="151">
        <f t="shared" si="8"/>
        <v>0</v>
      </c>
      <c r="F56" s="151">
        <f t="shared" si="8"/>
        <v>0</v>
      </c>
      <c r="G56" s="151">
        <f t="shared" si="8"/>
        <v>0</v>
      </c>
      <c r="H56" s="151">
        <f t="shared" si="8"/>
        <v>0</v>
      </c>
      <c r="I56" s="169">
        <f t="shared" si="8"/>
        <v>0</v>
      </c>
    </row>
    <row r="57" spans="1:9" ht="12" thickTop="1" thickBot="1" x14ac:dyDescent="0.2">
      <c r="A57" s="149"/>
      <c r="B57" s="158"/>
      <c r="C57" s="115"/>
      <c r="D57" s="159"/>
      <c r="E57" s="159"/>
      <c r="F57" s="159"/>
      <c r="G57" s="159"/>
      <c r="I57" s="6"/>
    </row>
    <row r="58" spans="1:9" ht="11.25" thickBot="1" x14ac:dyDescent="0.2">
      <c r="A58" s="736" t="s">
        <v>1695</v>
      </c>
      <c r="B58" s="736"/>
      <c r="C58" s="737"/>
      <c r="D58" s="212">
        <f t="shared" ref="D58:I58" si="9">D49+D56</f>
        <v>0</v>
      </c>
      <c r="E58" s="212">
        <f t="shared" si="9"/>
        <v>0</v>
      </c>
      <c r="F58" s="212">
        <f t="shared" si="9"/>
        <v>0</v>
      </c>
      <c r="G58" s="212">
        <f t="shared" si="9"/>
        <v>0</v>
      </c>
      <c r="H58" s="212">
        <f t="shared" si="9"/>
        <v>0</v>
      </c>
      <c r="I58" s="212">
        <f t="shared" si="9"/>
        <v>0</v>
      </c>
    </row>
    <row r="59" spans="1:9" x14ac:dyDescent="0.15">
      <c r="A59" s="149"/>
      <c r="B59" s="158"/>
      <c r="C59" s="115" t="s">
        <v>725</v>
      </c>
      <c r="D59" s="159"/>
      <c r="E59" s="159"/>
      <c r="F59" s="159"/>
      <c r="G59" s="159"/>
      <c r="I59" s="6"/>
    </row>
    <row r="60" spans="1:9" ht="11.25" thickBot="1" x14ac:dyDescent="0.2">
      <c r="A60" s="149"/>
      <c r="B60" s="158"/>
      <c r="C60" s="115"/>
      <c r="D60" s="159"/>
      <c r="E60" s="159"/>
      <c r="F60" s="159"/>
      <c r="G60" s="159"/>
      <c r="I60" s="6"/>
    </row>
    <row r="61" spans="1:9" ht="12" thickTop="1" thickBot="1" x14ac:dyDescent="0.2">
      <c r="A61" s="158"/>
      <c r="B61" s="158"/>
      <c r="C61" s="172" t="s">
        <v>726</v>
      </c>
      <c r="D61" s="173">
        <f t="shared" ref="D61:I61" si="10">D15</f>
        <v>0</v>
      </c>
      <c r="E61" s="173">
        <f t="shared" si="10"/>
        <v>0</v>
      </c>
      <c r="F61" s="173">
        <f t="shared" si="10"/>
        <v>0</v>
      </c>
      <c r="G61" s="173">
        <f t="shared" si="10"/>
        <v>0</v>
      </c>
      <c r="H61" s="173">
        <f t="shared" si="10"/>
        <v>0</v>
      </c>
      <c r="I61" s="173">
        <f t="shared" si="10"/>
        <v>0</v>
      </c>
    </row>
    <row r="62" spans="1:9" ht="11.25" thickTop="1" x14ac:dyDescent="0.15">
      <c r="A62" s="158"/>
      <c r="B62" s="158"/>
      <c r="C62" s="158"/>
      <c r="D62" s="158"/>
      <c r="E62" s="158"/>
      <c r="F62" s="158"/>
      <c r="G62" s="158"/>
      <c r="I62" s="6"/>
    </row>
    <row r="63" spans="1:9" x14ac:dyDescent="0.15">
      <c r="A63" s="158"/>
      <c r="B63" s="158"/>
      <c r="C63" s="172" t="s">
        <v>727</v>
      </c>
      <c r="D63" s="158">
        <f t="shared" ref="D63:I63" si="11">D58-D61</f>
        <v>0</v>
      </c>
      <c r="E63" s="158">
        <f t="shared" si="11"/>
        <v>0</v>
      </c>
      <c r="F63" s="158">
        <f t="shared" si="11"/>
        <v>0</v>
      </c>
      <c r="G63" s="158">
        <f t="shared" si="11"/>
        <v>0</v>
      </c>
      <c r="H63" s="158">
        <f t="shared" si="11"/>
        <v>0</v>
      </c>
      <c r="I63" s="167">
        <f t="shared" si="11"/>
        <v>0</v>
      </c>
    </row>
    <row r="64" spans="1:9" x14ac:dyDescent="0.15">
      <c r="I64" s="6"/>
    </row>
  </sheetData>
  <sheetProtection formatCells="0" formatColumns="0" formatRows="0"/>
  <mergeCells count="1">
    <mergeCell ref="A58:C58"/>
  </mergeCells>
  <phoneticPr fontId="15" type="noConversion"/>
  <pageMargins left="0.5" right="0.5" top="0.75" bottom="0.75" header="0.5" footer="0.5"/>
  <pageSetup scale="65" firstPageNumber="47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Views>
    <sheetView topLeftCell="A13" workbookViewId="0">
      <selection activeCell="E46" sqref="E46"/>
    </sheetView>
  </sheetViews>
  <sheetFormatPr defaultColWidth="12" defaultRowHeight="10.5" x14ac:dyDescent="0.15"/>
  <cols>
    <col min="1" max="1" width="10.33203125" customWidth="1"/>
    <col min="2" max="2" width="3.83203125" customWidth="1"/>
    <col min="3" max="3" width="70.83203125" customWidth="1"/>
    <col min="4" max="4" width="15.83203125" customWidth="1"/>
    <col min="5" max="5" width="19" customWidth="1"/>
    <col min="6" max="6" width="20" customWidth="1"/>
    <col min="7" max="7" width="15.83203125" customWidth="1"/>
    <col min="8" max="8" width="17.83203125" customWidth="1"/>
    <col min="9" max="9" width="16.1640625" customWidth="1"/>
  </cols>
  <sheetData>
    <row r="1" spans="1:9" x14ac:dyDescent="0.15">
      <c r="A1" t="s">
        <v>106</v>
      </c>
      <c r="C1" s="10">
        <f>+'Page 1 - FY2013-14'!B5</f>
        <v>0</v>
      </c>
      <c r="D1" t="s">
        <v>1586</v>
      </c>
      <c r="E1" s="106">
        <f>+'Page 1 - FY2013-14'!F7</f>
        <v>0</v>
      </c>
      <c r="G1" s="38" t="s">
        <v>1588</v>
      </c>
    </row>
    <row r="2" spans="1:9" x14ac:dyDescent="0.15">
      <c r="A2" s="15" t="s">
        <v>956</v>
      </c>
      <c r="E2" s="38"/>
      <c r="F2" s="38"/>
    </row>
    <row r="3" spans="1:9" ht="31.5" x14ac:dyDescent="0.15">
      <c r="A3" s="15"/>
      <c r="D3" s="686" t="s">
        <v>1701</v>
      </c>
      <c r="E3" s="686" t="s">
        <v>1700</v>
      </c>
      <c r="F3" s="686" t="s">
        <v>1699</v>
      </c>
      <c r="G3" s="686" t="s">
        <v>1698</v>
      </c>
      <c r="H3" s="686" t="s">
        <v>1696</v>
      </c>
      <c r="I3" s="686" t="s">
        <v>1697</v>
      </c>
    </row>
    <row r="4" spans="1:9" ht="52.5" x14ac:dyDescent="0.15">
      <c r="A4" s="19"/>
      <c r="D4" s="166"/>
      <c r="E4" s="166"/>
      <c r="F4" s="166"/>
      <c r="G4" s="166"/>
      <c r="H4" s="251" t="s">
        <v>193</v>
      </c>
      <c r="I4" s="251" t="s">
        <v>192</v>
      </c>
    </row>
    <row r="5" spans="1:9" ht="11.25" thickBot="1" x14ac:dyDescent="0.2">
      <c r="A5" s="19"/>
      <c r="E5" s="19"/>
      <c r="I5" s="6"/>
    </row>
    <row r="6" spans="1:9" ht="11.25" thickBot="1" x14ac:dyDescent="0.2">
      <c r="A6" s="35" t="s">
        <v>195</v>
      </c>
      <c r="B6" s="35" t="s">
        <v>1589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171">
        <f>SUM(G6+H6)</f>
        <v>0</v>
      </c>
    </row>
    <row r="7" spans="1:9" x14ac:dyDescent="0.15">
      <c r="A7" s="35"/>
      <c r="B7" s="35"/>
      <c r="D7" s="14"/>
      <c r="E7" s="14"/>
      <c r="F7" s="14"/>
      <c r="G7" s="14"/>
      <c r="I7" s="6"/>
    </row>
    <row r="8" spans="1:9" x14ac:dyDescent="0.15">
      <c r="A8" s="36" t="s">
        <v>1592</v>
      </c>
      <c r="C8" s="210" t="s">
        <v>196</v>
      </c>
      <c r="E8" s="5"/>
      <c r="F8" s="5"/>
      <c r="G8" s="5"/>
      <c r="I8" s="6"/>
    </row>
    <row r="9" spans="1:9" x14ac:dyDescent="0.15">
      <c r="A9" s="1" t="s">
        <v>1602</v>
      </c>
      <c r="B9" s="211" t="s">
        <v>1159</v>
      </c>
      <c r="C9" s="1" t="s">
        <v>443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564">
        <f>SUM(G9+H9)</f>
        <v>0</v>
      </c>
    </row>
    <row r="10" spans="1:9" x14ac:dyDescent="0.15">
      <c r="A10" s="1" t="s">
        <v>105</v>
      </c>
      <c r="B10" s="211" t="s">
        <v>1160</v>
      </c>
      <c r="C10" s="2" t="s">
        <v>854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564">
        <f>SUM(G10+H10)</f>
        <v>0</v>
      </c>
    </row>
    <row r="11" spans="1:9" x14ac:dyDescent="0.15">
      <c r="B11" s="211" t="s">
        <v>1161</v>
      </c>
      <c r="C11" s="1" t="s">
        <v>957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564">
        <f>SUM(G11+H11)</f>
        <v>0</v>
      </c>
    </row>
    <row r="12" spans="1:9" ht="11.25" thickBot="1" x14ac:dyDescent="0.2">
      <c r="I12" s="6"/>
    </row>
    <row r="13" spans="1:9" ht="12" thickTop="1" thickBot="1" x14ac:dyDescent="0.2">
      <c r="B13" s="211" t="s">
        <v>1228</v>
      </c>
      <c r="C13" s="35" t="s">
        <v>219</v>
      </c>
      <c r="D13" s="42">
        <f t="shared" ref="D13:I13" si="0">SUM(D9:D12)</f>
        <v>0</v>
      </c>
      <c r="E13" s="42">
        <f t="shared" si="0"/>
        <v>0</v>
      </c>
      <c r="F13" s="42">
        <f t="shared" si="0"/>
        <v>0</v>
      </c>
      <c r="G13" s="42">
        <f t="shared" si="0"/>
        <v>0</v>
      </c>
      <c r="H13" s="42">
        <f t="shared" si="0"/>
        <v>0</v>
      </c>
      <c r="I13" s="42">
        <f t="shared" si="0"/>
        <v>0</v>
      </c>
    </row>
    <row r="14" spans="1:9" ht="12" thickTop="1" thickBot="1" x14ac:dyDescent="0.2">
      <c r="C14" s="1"/>
      <c r="I14" s="6"/>
    </row>
    <row r="15" spans="1:9" ht="11.25" thickBot="1" x14ac:dyDescent="0.2">
      <c r="A15" s="35" t="s">
        <v>1196</v>
      </c>
      <c r="D15" s="44">
        <f t="shared" ref="D15:I15" si="1">D6+D13</f>
        <v>0</v>
      </c>
      <c r="E15" s="44">
        <f t="shared" si="1"/>
        <v>0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4">
        <f t="shared" si="1"/>
        <v>0</v>
      </c>
    </row>
    <row r="16" spans="1:9" x14ac:dyDescent="0.15">
      <c r="E16" s="5"/>
      <c r="F16" s="5"/>
      <c r="G16" s="5"/>
      <c r="I16" s="6"/>
    </row>
    <row r="17" spans="1:9" x14ac:dyDescent="0.15">
      <c r="A17" s="660" t="s">
        <v>824</v>
      </c>
      <c r="B17" s="424"/>
      <c r="C17" s="495" t="s">
        <v>816</v>
      </c>
      <c r="D17" s="423"/>
      <c r="E17" s="423"/>
      <c r="F17" s="423"/>
      <c r="G17" s="423"/>
      <c r="H17" s="423"/>
      <c r="I17" s="179"/>
    </row>
    <row r="18" spans="1:9" s="158" customFormat="1" x14ac:dyDescent="0.15">
      <c r="A18" s="436" t="s">
        <v>105</v>
      </c>
      <c r="B18" s="501" t="s">
        <v>269</v>
      </c>
      <c r="C18" s="2" t="s">
        <v>827</v>
      </c>
      <c r="D18" s="41">
        <v>0</v>
      </c>
      <c r="E18" s="41">
        <v>0</v>
      </c>
      <c r="F18" s="41">
        <v>0</v>
      </c>
      <c r="G18" s="41">
        <v>0</v>
      </c>
      <c r="H18" s="534">
        <v>0</v>
      </c>
      <c r="I18" s="535">
        <f>SUM(G18+H18)</f>
        <v>0</v>
      </c>
    </row>
    <row r="19" spans="1:9" s="158" customFormat="1" x14ac:dyDescent="0.15">
      <c r="A19" s="436"/>
      <c r="B19" s="501"/>
      <c r="C19" s="2"/>
      <c r="D19" s="14"/>
      <c r="E19" s="14"/>
      <c r="F19" s="14"/>
      <c r="G19" s="14"/>
      <c r="H19" s="308"/>
      <c r="I19" s="305"/>
    </row>
    <row r="20" spans="1:9" s="158" customFormat="1" x14ac:dyDescent="0.15">
      <c r="A20"/>
      <c r="B20"/>
      <c r="C20"/>
      <c r="D20"/>
      <c r="E20" s="5"/>
      <c r="F20" s="5"/>
      <c r="G20" s="5"/>
      <c r="H20"/>
      <c r="I20" s="6"/>
    </row>
    <row r="21" spans="1:9" s="158" customFormat="1" x14ac:dyDescent="0.15">
      <c r="A21" s="36" t="s">
        <v>198</v>
      </c>
      <c r="C21" s="210" t="s">
        <v>199</v>
      </c>
      <c r="D21" s="159"/>
      <c r="E21" s="159"/>
      <c r="F21" s="159"/>
      <c r="I21" s="167"/>
    </row>
    <row r="22" spans="1:9" s="158" customFormat="1" x14ac:dyDescent="0.15">
      <c r="A22" s="36"/>
      <c r="C22" s="158" t="s">
        <v>1190</v>
      </c>
      <c r="D22" s="159"/>
      <c r="E22" s="159"/>
      <c r="F22" s="159"/>
      <c r="I22" s="167"/>
    </row>
    <row r="23" spans="1:9" s="158" customFormat="1" x14ac:dyDescent="0.15">
      <c r="A23" s="115" t="s">
        <v>423</v>
      </c>
      <c r="B23" s="160" t="s">
        <v>1229</v>
      </c>
      <c r="C23" s="115" t="s">
        <v>230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564">
        <f t="shared" ref="I23:I31" si="2">SUM(G23+H23)</f>
        <v>0</v>
      </c>
    </row>
    <row r="24" spans="1:9" s="158" customFormat="1" x14ac:dyDescent="0.15">
      <c r="A24" s="115" t="s">
        <v>424</v>
      </c>
      <c r="B24" s="174" t="s">
        <v>1230</v>
      </c>
      <c r="C24" s="115" t="s">
        <v>231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564">
        <f t="shared" si="2"/>
        <v>0</v>
      </c>
    </row>
    <row r="25" spans="1:9" s="158" customFormat="1" x14ac:dyDescent="0.15">
      <c r="A25" s="115" t="s">
        <v>425</v>
      </c>
      <c r="B25" s="174" t="s">
        <v>1231</v>
      </c>
      <c r="C25" s="115" t="s">
        <v>1246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564">
        <f t="shared" si="2"/>
        <v>0</v>
      </c>
    </row>
    <row r="26" spans="1:9" s="158" customFormat="1" x14ac:dyDescent="0.15">
      <c r="A26" s="115" t="s">
        <v>426</v>
      </c>
      <c r="B26" s="174" t="s">
        <v>1232</v>
      </c>
      <c r="C26" s="115" t="s">
        <v>119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564">
        <f t="shared" si="2"/>
        <v>0</v>
      </c>
    </row>
    <row r="27" spans="1:9" s="158" customFormat="1" x14ac:dyDescent="0.15">
      <c r="A27" s="115" t="s">
        <v>427</v>
      </c>
      <c r="B27" s="174" t="s">
        <v>1240</v>
      </c>
      <c r="C27" s="115" t="s">
        <v>124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564">
        <f t="shared" si="2"/>
        <v>0</v>
      </c>
    </row>
    <row r="28" spans="1:9" s="158" customFormat="1" x14ac:dyDescent="0.15">
      <c r="A28" s="115" t="s">
        <v>428</v>
      </c>
      <c r="B28" s="174" t="s">
        <v>1244</v>
      </c>
      <c r="C28" s="115" t="s">
        <v>156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564">
        <f t="shared" si="2"/>
        <v>0</v>
      </c>
    </row>
    <row r="29" spans="1:9" s="158" customFormat="1" x14ac:dyDescent="0.15">
      <c r="A29" s="108" t="s">
        <v>81</v>
      </c>
      <c r="B29" s="174" t="s">
        <v>1245</v>
      </c>
      <c r="C29" s="1" t="s">
        <v>82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564">
        <f t="shared" si="2"/>
        <v>0</v>
      </c>
    </row>
    <row r="30" spans="1:9" s="158" customFormat="1" x14ac:dyDescent="0.15">
      <c r="A30" s="108" t="s">
        <v>631</v>
      </c>
      <c r="B30" s="174" t="s">
        <v>1241</v>
      </c>
      <c r="C30" s="1" t="s">
        <v>173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564">
        <f t="shared" si="2"/>
        <v>0</v>
      </c>
    </row>
    <row r="31" spans="1:9" s="158" customFormat="1" x14ac:dyDescent="0.15">
      <c r="A31" s="115" t="s">
        <v>429</v>
      </c>
      <c r="B31" s="174" t="s">
        <v>1242</v>
      </c>
      <c r="C31" s="115" t="s">
        <v>1572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564">
        <f t="shared" si="2"/>
        <v>0</v>
      </c>
    </row>
    <row r="32" spans="1:9" s="158" customFormat="1" ht="11.25" thickBot="1" x14ac:dyDescent="0.2">
      <c r="A32" s="115"/>
      <c r="C32" s="115"/>
      <c r="D32" s="14"/>
      <c r="E32" s="159"/>
      <c r="F32" s="159"/>
      <c r="I32" s="167"/>
    </row>
    <row r="33" spans="1:9" s="158" customFormat="1" ht="12" thickTop="1" thickBot="1" x14ac:dyDescent="0.2">
      <c r="B33" s="174" t="s">
        <v>1247</v>
      </c>
      <c r="C33" s="115" t="s">
        <v>1197</v>
      </c>
      <c r="D33" s="169">
        <f t="shared" ref="D33:I33" si="3">SUM(D23:D31)</f>
        <v>0</v>
      </c>
      <c r="E33" s="169">
        <f t="shared" si="3"/>
        <v>0</v>
      </c>
      <c r="F33" s="169">
        <f t="shared" si="3"/>
        <v>0</v>
      </c>
      <c r="G33" s="169">
        <f t="shared" si="3"/>
        <v>0</v>
      </c>
      <c r="H33" s="169">
        <f t="shared" si="3"/>
        <v>0</v>
      </c>
      <c r="I33" s="169">
        <f t="shared" si="3"/>
        <v>0</v>
      </c>
    </row>
    <row r="34" spans="1:9" s="158" customFormat="1" ht="11.25" thickTop="1" x14ac:dyDescent="0.15">
      <c r="A34" s="36"/>
      <c r="C34" s="40"/>
      <c r="D34" s="159"/>
      <c r="E34" s="159"/>
      <c r="F34" s="159"/>
      <c r="I34" s="167"/>
    </row>
    <row r="35" spans="1:9" s="158" customFormat="1" x14ac:dyDescent="0.15">
      <c r="A35" s="36"/>
      <c r="C35" s="172" t="s">
        <v>217</v>
      </c>
      <c r="D35" s="159"/>
      <c r="E35" s="159"/>
      <c r="F35" s="159"/>
      <c r="I35" s="167"/>
    </row>
    <row r="36" spans="1:9" s="158" customFormat="1" x14ac:dyDescent="0.15">
      <c r="A36" s="115" t="s">
        <v>423</v>
      </c>
      <c r="B36" s="160" t="s">
        <v>1248</v>
      </c>
      <c r="C36" s="115" t="s">
        <v>230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564">
        <f t="shared" ref="I36:I45" si="4">SUM(G36+H36)</f>
        <v>0</v>
      </c>
    </row>
    <row r="37" spans="1:9" s="158" customFormat="1" x14ac:dyDescent="0.15">
      <c r="A37" s="115" t="s">
        <v>424</v>
      </c>
      <c r="B37" s="174" t="s">
        <v>1249</v>
      </c>
      <c r="C37" s="115" t="s">
        <v>231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564">
        <f t="shared" si="4"/>
        <v>0</v>
      </c>
    </row>
    <row r="38" spans="1:9" s="158" customFormat="1" x14ac:dyDescent="0.15">
      <c r="A38" s="115" t="s">
        <v>425</v>
      </c>
      <c r="B38" s="174" t="s">
        <v>1250</v>
      </c>
      <c r="C38" s="115" t="s">
        <v>1246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564">
        <f t="shared" si="4"/>
        <v>0</v>
      </c>
    </row>
    <row r="39" spans="1:9" s="158" customFormat="1" x14ac:dyDescent="0.15">
      <c r="A39" s="115" t="s">
        <v>426</v>
      </c>
      <c r="B39" s="174" t="s">
        <v>1251</v>
      </c>
      <c r="C39" s="115" t="s">
        <v>119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564">
        <f t="shared" si="4"/>
        <v>0</v>
      </c>
    </row>
    <row r="40" spans="1:9" s="158" customFormat="1" x14ac:dyDescent="0.15">
      <c r="A40" s="115" t="s">
        <v>427</v>
      </c>
      <c r="B40" s="174" t="s">
        <v>1252</v>
      </c>
      <c r="C40" s="115" t="s">
        <v>124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564">
        <f t="shared" si="4"/>
        <v>0</v>
      </c>
    </row>
    <row r="41" spans="1:9" s="158" customFormat="1" x14ac:dyDescent="0.15">
      <c r="A41" s="115" t="s">
        <v>428</v>
      </c>
      <c r="B41" s="174" t="s">
        <v>1253</v>
      </c>
      <c r="C41" s="115" t="s">
        <v>156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564">
        <f t="shared" si="4"/>
        <v>0</v>
      </c>
    </row>
    <row r="42" spans="1:9" s="158" customFormat="1" x14ac:dyDescent="0.15">
      <c r="A42" s="108" t="s">
        <v>81</v>
      </c>
      <c r="B42" s="174" t="s">
        <v>1254</v>
      </c>
      <c r="C42" s="1" t="s">
        <v>82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564">
        <f t="shared" si="4"/>
        <v>0</v>
      </c>
    </row>
    <row r="43" spans="1:9" s="158" customFormat="1" x14ac:dyDescent="0.15">
      <c r="A43" s="108" t="s">
        <v>631</v>
      </c>
      <c r="B43" s="174" t="s">
        <v>1255</v>
      </c>
      <c r="C43" s="1" t="s">
        <v>173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564">
        <f t="shared" si="4"/>
        <v>0</v>
      </c>
    </row>
    <row r="44" spans="1:9" x14ac:dyDescent="0.15">
      <c r="A44" s="152"/>
      <c r="B44" s="152"/>
      <c r="C44" s="665" t="s">
        <v>895</v>
      </c>
      <c r="D44" s="529">
        <f t="shared" ref="D44:I44" si="5">+D18</f>
        <v>0</v>
      </c>
      <c r="E44" s="529">
        <f t="shared" si="5"/>
        <v>0</v>
      </c>
      <c r="F44" s="529">
        <f t="shared" si="5"/>
        <v>0</v>
      </c>
      <c r="G44" s="529">
        <f t="shared" si="5"/>
        <v>0</v>
      </c>
      <c r="H44" s="529">
        <f t="shared" si="5"/>
        <v>0</v>
      </c>
      <c r="I44" s="529">
        <f t="shared" si="5"/>
        <v>0</v>
      </c>
    </row>
    <row r="45" spans="1:9" s="158" customFormat="1" x14ac:dyDescent="0.15">
      <c r="A45" s="115" t="s">
        <v>429</v>
      </c>
      <c r="B45" s="174" t="s">
        <v>1260</v>
      </c>
      <c r="C45" s="115" t="s">
        <v>1572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564">
        <f t="shared" si="4"/>
        <v>0</v>
      </c>
    </row>
    <row r="46" spans="1:9" ht="11.25" thickBot="1" x14ac:dyDescent="0.2">
      <c r="A46" s="115"/>
      <c r="B46" s="158"/>
      <c r="C46" s="115"/>
      <c r="D46" s="14"/>
      <c r="E46" s="159"/>
      <c r="F46" s="159"/>
      <c r="G46" s="158"/>
      <c r="H46" s="158"/>
      <c r="I46" s="167"/>
    </row>
    <row r="47" spans="1:9" ht="12" thickTop="1" thickBot="1" x14ac:dyDescent="0.2">
      <c r="A47" s="158"/>
      <c r="B47" s="174" t="s">
        <v>1261</v>
      </c>
      <c r="C47" s="172" t="s">
        <v>1198</v>
      </c>
      <c r="D47" s="169">
        <f t="shared" ref="D47:I47" si="6">SUM(D36:D45)</f>
        <v>0</v>
      </c>
      <c r="E47" s="169">
        <f t="shared" si="6"/>
        <v>0</v>
      </c>
      <c r="F47" s="169">
        <f t="shared" si="6"/>
        <v>0</v>
      </c>
      <c r="G47" s="169">
        <f t="shared" si="6"/>
        <v>0</v>
      </c>
      <c r="H47" s="169">
        <f t="shared" si="6"/>
        <v>0</v>
      </c>
      <c r="I47" s="169">
        <f t="shared" si="6"/>
        <v>0</v>
      </c>
    </row>
    <row r="48" spans="1:9" ht="12" thickTop="1" thickBot="1" x14ac:dyDescent="0.2">
      <c r="D48" s="5"/>
      <c r="E48" s="5"/>
      <c r="F48" s="5"/>
      <c r="I48" s="6"/>
    </row>
    <row r="49" spans="1:9" ht="12" thickTop="1" thickBot="1" x14ac:dyDescent="0.2">
      <c r="A49" s="158"/>
      <c r="B49" s="174" t="s">
        <v>1262</v>
      </c>
      <c r="C49" s="35" t="s">
        <v>1199</v>
      </c>
      <c r="D49" s="169">
        <f t="shared" ref="D49:I49" si="7">D33+D47</f>
        <v>0</v>
      </c>
      <c r="E49" s="169">
        <f t="shared" si="7"/>
        <v>0</v>
      </c>
      <c r="F49" s="169">
        <f t="shared" si="7"/>
        <v>0</v>
      </c>
      <c r="G49" s="169">
        <f t="shared" si="7"/>
        <v>0</v>
      </c>
      <c r="H49" s="169">
        <f t="shared" si="7"/>
        <v>0</v>
      </c>
      <c r="I49" s="169">
        <f t="shared" si="7"/>
        <v>0</v>
      </c>
    </row>
    <row r="50" spans="1:9" ht="11.25" thickTop="1" x14ac:dyDescent="0.15">
      <c r="E50" s="5"/>
      <c r="F50" s="5"/>
      <c r="G50" s="5"/>
      <c r="I50" s="6"/>
    </row>
    <row r="51" spans="1:9" x14ac:dyDescent="0.15">
      <c r="A51" s="155" t="s">
        <v>110</v>
      </c>
      <c r="C51" s="210" t="s">
        <v>737</v>
      </c>
      <c r="D51" s="159"/>
      <c r="E51" s="159"/>
      <c r="F51" s="159"/>
      <c r="G51" s="159"/>
      <c r="I51" s="6"/>
    </row>
    <row r="52" spans="1:9" x14ac:dyDescent="0.15">
      <c r="A52" s="154" t="s">
        <v>1522</v>
      </c>
      <c r="B52" s="160" t="s">
        <v>1263</v>
      </c>
      <c r="C52" s="115" t="s">
        <v>1516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564">
        <f>SUM(G52+H52)</f>
        <v>0</v>
      </c>
    </row>
    <row r="53" spans="1:9" x14ac:dyDescent="0.15">
      <c r="A53" s="154" t="s">
        <v>1524</v>
      </c>
      <c r="B53" s="188" t="s">
        <v>1265</v>
      </c>
      <c r="C53" s="115" t="s">
        <v>1518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564">
        <f>SUM(G53+H53)</f>
        <v>0</v>
      </c>
    </row>
    <row r="54" spans="1:9" ht="10.5" customHeight="1" x14ac:dyDescent="0.15">
      <c r="A54" s="725" t="s">
        <v>1675</v>
      </c>
      <c r="B54" s="726" t="s">
        <v>1266</v>
      </c>
      <c r="C54" s="692" t="s">
        <v>1676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564">
        <f>SUM(G54+H54)</f>
        <v>0</v>
      </c>
    </row>
    <row r="55" spans="1:9" ht="11.25" thickBot="1" x14ac:dyDescent="0.2">
      <c r="A55" s="558" t="s">
        <v>1526</v>
      </c>
      <c r="B55" s="726" t="s">
        <v>1267</v>
      </c>
      <c r="C55" s="138" t="s">
        <v>1520</v>
      </c>
      <c r="D55" s="150">
        <v>0</v>
      </c>
      <c r="E55" s="150">
        <v>0</v>
      </c>
      <c r="F55" s="150">
        <v>0</v>
      </c>
      <c r="G55" s="150">
        <v>0</v>
      </c>
      <c r="H55" s="41">
        <v>0</v>
      </c>
      <c r="I55" s="564">
        <f>SUM(G55+H55)</f>
        <v>0</v>
      </c>
    </row>
    <row r="56" spans="1:9" ht="12" thickTop="1" thickBot="1" x14ac:dyDescent="0.2">
      <c r="A56" s="149"/>
      <c r="B56" s="188" t="s">
        <v>1268</v>
      </c>
      <c r="C56" s="115" t="s">
        <v>724</v>
      </c>
      <c r="D56" s="151">
        <f t="shared" ref="D56:I56" si="8">SUM(D52:D55)</f>
        <v>0</v>
      </c>
      <c r="E56" s="151">
        <f t="shared" si="8"/>
        <v>0</v>
      </c>
      <c r="F56" s="151">
        <f t="shared" si="8"/>
        <v>0</v>
      </c>
      <c r="G56" s="151">
        <f t="shared" si="8"/>
        <v>0</v>
      </c>
      <c r="H56" s="151">
        <f t="shared" si="8"/>
        <v>0</v>
      </c>
      <c r="I56" s="169">
        <f t="shared" si="8"/>
        <v>0</v>
      </c>
    </row>
    <row r="57" spans="1:9" ht="12" thickTop="1" thickBot="1" x14ac:dyDescent="0.2">
      <c r="A57" s="149"/>
      <c r="B57" s="158"/>
      <c r="C57" s="115"/>
      <c r="D57" s="159"/>
      <c r="E57" s="159"/>
      <c r="F57" s="159"/>
      <c r="G57" s="159"/>
      <c r="I57" s="6"/>
    </row>
    <row r="58" spans="1:9" ht="11.25" thickBot="1" x14ac:dyDescent="0.2">
      <c r="A58" s="736" t="s">
        <v>1685</v>
      </c>
      <c r="B58" s="736"/>
      <c r="C58" s="737"/>
      <c r="D58" s="212">
        <f t="shared" ref="D58:I58" si="9">D49+D56</f>
        <v>0</v>
      </c>
      <c r="E58" s="212">
        <f t="shared" si="9"/>
        <v>0</v>
      </c>
      <c r="F58" s="212">
        <f t="shared" si="9"/>
        <v>0</v>
      </c>
      <c r="G58" s="212">
        <f t="shared" si="9"/>
        <v>0</v>
      </c>
      <c r="H58" s="212">
        <f t="shared" si="9"/>
        <v>0</v>
      </c>
      <c r="I58" s="212">
        <f t="shared" si="9"/>
        <v>0</v>
      </c>
    </row>
    <row r="59" spans="1:9" x14ac:dyDescent="0.15">
      <c r="A59" s="149"/>
      <c r="B59" s="158"/>
      <c r="C59" s="115" t="s">
        <v>725</v>
      </c>
      <c r="D59" s="159"/>
      <c r="E59" s="159"/>
      <c r="F59" s="159"/>
      <c r="G59" s="159"/>
      <c r="I59" s="6"/>
    </row>
    <row r="60" spans="1:9" ht="11.25" thickBot="1" x14ac:dyDescent="0.2">
      <c r="A60" s="149"/>
      <c r="B60" s="158"/>
      <c r="C60" s="115"/>
      <c r="D60" s="159"/>
      <c r="E60" s="159"/>
      <c r="F60" s="159"/>
      <c r="G60" s="159"/>
      <c r="I60" s="6"/>
    </row>
    <row r="61" spans="1:9" ht="12" thickTop="1" thickBot="1" x14ac:dyDescent="0.2">
      <c r="A61" s="158"/>
      <c r="B61" s="158"/>
      <c r="C61" s="172" t="s">
        <v>726</v>
      </c>
      <c r="D61" s="173">
        <f t="shared" ref="D61:I61" si="10">D15</f>
        <v>0</v>
      </c>
      <c r="E61" s="173">
        <f t="shared" si="10"/>
        <v>0</v>
      </c>
      <c r="F61" s="173">
        <f t="shared" si="10"/>
        <v>0</v>
      </c>
      <c r="G61" s="173">
        <f t="shared" si="10"/>
        <v>0</v>
      </c>
      <c r="H61" s="173">
        <f t="shared" si="10"/>
        <v>0</v>
      </c>
      <c r="I61" s="173">
        <f t="shared" si="10"/>
        <v>0</v>
      </c>
    </row>
    <row r="62" spans="1:9" ht="11.25" thickTop="1" x14ac:dyDescent="0.15">
      <c r="A62" s="158"/>
      <c r="B62" s="158"/>
      <c r="C62" s="158"/>
      <c r="D62" s="158"/>
      <c r="E62" s="158"/>
      <c r="F62" s="158"/>
      <c r="G62" s="158"/>
      <c r="I62" s="6"/>
    </row>
    <row r="63" spans="1:9" x14ac:dyDescent="0.15">
      <c r="A63" s="158"/>
      <c r="B63" s="158"/>
      <c r="C63" s="172" t="s">
        <v>727</v>
      </c>
      <c r="D63" s="158">
        <f t="shared" ref="D63:I63" si="11">D58-D61</f>
        <v>0</v>
      </c>
      <c r="E63" s="158">
        <f t="shared" si="11"/>
        <v>0</v>
      </c>
      <c r="F63" s="158">
        <f t="shared" si="11"/>
        <v>0</v>
      </c>
      <c r="G63" s="158">
        <f t="shared" si="11"/>
        <v>0</v>
      </c>
      <c r="H63" s="158">
        <f t="shared" si="11"/>
        <v>0</v>
      </c>
      <c r="I63" s="167">
        <f t="shared" si="11"/>
        <v>0</v>
      </c>
    </row>
    <row r="64" spans="1:9" x14ac:dyDescent="0.15">
      <c r="I64" s="6"/>
    </row>
  </sheetData>
  <sheetProtection formatCells="0" formatColumns="0" formatRows="0"/>
  <mergeCells count="1">
    <mergeCell ref="A58:C58"/>
  </mergeCells>
  <phoneticPr fontId="15" type="noConversion"/>
  <pageMargins left="0.5" right="0.5" top="0.75" bottom="0.75" header="0.5" footer="0.5"/>
  <pageSetup scale="64" firstPageNumber="47" fitToHeight="0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topLeftCell="A13" workbookViewId="0">
      <selection activeCell="A7" sqref="A7"/>
    </sheetView>
  </sheetViews>
  <sheetFormatPr defaultColWidth="12" defaultRowHeight="10.5" x14ac:dyDescent="0.15"/>
  <sheetData>
    <row r="1" spans="1:1" x14ac:dyDescent="0.15">
      <c r="A1" s="18" t="s">
        <v>1486</v>
      </c>
    </row>
    <row r="2" spans="1:1" x14ac:dyDescent="0.15">
      <c r="A2" s="18" t="s">
        <v>655</v>
      </c>
    </row>
  </sheetData>
  <phoneticPr fontId="0" type="noConversion"/>
  <pageMargins left="0.75" right="0.75" top="1" bottom="1" header="0.5" footer="0.5"/>
  <pageSetup firstPageNumber="48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workbookViewId="0">
      <selection activeCell="G32" sqref="G32"/>
    </sheetView>
  </sheetViews>
  <sheetFormatPr defaultColWidth="12" defaultRowHeight="10.5" x14ac:dyDescent="0.15"/>
  <cols>
    <col min="1" max="1" width="14" customWidth="1"/>
    <col min="2" max="2" width="74" customWidth="1"/>
    <col min="3" max="3" width="11.33203125" customWidth="1"/>
    <col min="4" max="4" width="15.83203125" customWidth="1"/>
    <col min="5" max="5" width="12" customWidth="1"/>
    <col min="6" max="6" width="15.83203125" customWidth="1"/>
    <col min="7" max="7" width="17" customWidth="1"/>
    <col min="8" max="9" width="15.83203125" customWidth="1"/>
  </cols>
  <sheetData>
    <row r="1" spans="1:9" x14ac:dyDescent="0.15">
      <c r="A1" t="s">
        <v>106</v>
      </c>
      <c r="B1">
        <f>+'Page 1 - FY2013-14'!B5</f>
        <v>0</v>
      </c>
      <c r="C1" t="s">
        <v>1586</v>
      </c>
      <c r="D1" s="107">
        <f>+'Page 1 - FY2013-14'!F7</f>
        <v>0</v>
      </c>
      <c r="E1" s="5"/>
      <c r="F1" s="5"/>
      <c r="G1" s="5"/>
      <c r="H1" s="5"/>
      <c r="I1" s="9"/>
    </row>
    <row r="2" spans="1:9" x14ac:dyDescent="0.15">
      <c r="A2" s="15" t="s">
        <v>743</v>
      </c>
      <c r="D2" s="5"/>
      <c r="E2" s="5"/>
      <c r="F2" s="5"/>
      <c r="G2" s="5"/>
      <c r="H2" s="5"/>
      <c r="I2" s="5"/>
    </row>
    <row r="3" spans="1:9" x14ac:dyDescent="0.15">
      <c r="B3" s="40" t="s">
        <v>639</v>
      </c>
      <c r="D3" s="5"/>
      <c r="E3" s="5"/>
      <c r="F3" s="5"/>
      <c r="G3" s="5"/>
      <c r="H3" s="5"/>
      <c r="I3" s="5"/>
    </row>
    <row r="4" spans="1:9" x14ac:dyDescent="0.15">
      <c r="B4" s="1" t="s">
        <v>744</v>
      </c>
      <c r="C4" s="6">
        <v>1</v>
      </c>
      <c r="D4" s="41">
        <v>0</v>
      </c>
      <c r="E4" s="5"/>
      <c r="F4" s="5"/>
      <c r="G4" s="5"/>
      <c r="H4" s="5"/>
      <c r="I4" s="5"/>
    </row>
    <row r="5" spans="1:9" x14ac:dyDescent="0.15">
      <c r="B5" s="1" t="s">
        <v>745</v>
      </c>
      <c r="C5" s="6">
        <v>2</v>
      </c>
      <c r="D5" s="41">
        <v>0</v>
      </c>
      <c r="E5" s="5"/>
      <c r="F5" s="5"/>
    </row>
    <row r="6" spans="1:9" x14ac:dyDescent="0.15">
      <c r="B6" s="1" t="s">
        <v>746</v>
      </c>
      <c r="C6" s="6">
        <v>3</v>
      </c>
      <c r="D6" s="41">
        <v>0</v>
      </c>
      <c r="E6" s="5"/>
      <c r="F6" s="8"/>
    </row>
    <row r="7" spans="1:9" ht="11.25" thickBot="1" x14ac:dyDescent="0.2">
      <c r="B7" s="2" t="s">
        <v>977</v>
      </c>
      <c r="C7" s="6">
        <v>4</v>
      </c>
      <c r="D7" s="41">
        <v>0</v>
      </c>
      <c r="E7" s="5"/>
      <c r="F7" s="8"/>
    </row>
    <row r="8" spans="1:9" ht="12" thickTop="1" thickBot="1" x14ac:dyDescent="0.2">
      <c r="B8" s="1" t="s">
        <v>747</v>
      </c>
      <c r="D8" s="5"/>
      <c r="E8" s="5">
        <v>5</v>
      </c>
      <c r="F8" s="42">
        <f>SUM(D4:D7)</f>
        <v>0</v>
      </c>
    </row>
    <row r="9" spans="1:9" ht="11.25" thickTop="1" x14ac:dyDescent="0.15">
      <c r="A9" s="20"/>
      <c r="B9" s="20"/>
      <c r="C9" s="20"/>
      <c r="D9" s="20"/>
      <c r="E9" s="20"/>
      <c r="F9" s="20"/>
      <c r="G9" s="20"/>
      <c r="H9" s="20"/>
      <c r="I9" s="20"/>
    </row>
    <row r="11" spans="1:9" ht="11.25" thickBot="1" x14ac:dyDescent="0.2">
      <c r="A11" s="15" t="s">
        <v>748</v>
      </c>
      <c r="G11" s="38" t="s">
        <v>1588</v>
      </c>
    </row>
    <row r="12" spans="1:9" ht="11.25" thickBot="1" x14ac:dyDescent="0.2">
      <c r="B12" s="35" t="s">
        <v>1589</v>
      </c>
      <c r="G12" s="5"/>
      <c r="H12" s="9" t="s">
        <v>1591</v>
      </c>
      <c r="I12" s="39">
        <v>0</v>
      </c>
    </row>
    <row r="13" spans="1:9" x14ac:dyDescent="0.15">
      <c r="B13" s="40" t="s">
        <v>196</v>
      </c>
      <c r="G13" s="5"/>
      <c r="H13" s="5"/>
      <c r="I13" s="5"/>
    </row>
    <row r="14" spans="1:9" x14ac:dyDescent="0.15">
      <c r="B14" s="40"/>
      <c r="G14" s="5"/>
      <c r="H14" s="5"/>
      <c r="I14" s="5"/>
    </row>
    <row r="15" spans="1:9" x14ac:dyDescent="0.15">
      <c r="B15" s="1" t="s">
        <v>749</v>
      </c>
      <c r="F15" s="6">
        <v>1</v>
      </c>
      <c r="G15" s="41">
        <v>0</v>
      </c>
      <c r="H15" s="5"/>
      <c r="I15" s="5"/>
    </row>
    <row r="16" spans="1:9" x14ac:dyDescent="0.15">
      <c r="B16" s="1" t="s">
        <v>750</v>
      </c>
      <c r="F16" s="6">
        <v>2</v>
      </c>
      <c r="G16" s="41">
        <v>0</v>
      </c>
      <c r="H16" s="5"/>
      <c r="I16" s="5"/>
    </row>
    <row r="17" spans="1:9" x14ac:dyDescent="0.15">
      <c r="B17" s="1" t="s">
        <v>752</v>
      </c>
      <c r="F17" s="6">
        <v>3</v>
      </c>
      <c r="G17" s="41">
        <v>0</v>
      </c>
      <c r="H17" s="5"/>
      <c r="I17" s="5"/>
    </row>
    <row r="18" spans="1:9" x14ac:dyDescent="0.15">
      <c r="B18" s="1" t="s">
        <v>753</v>
      </c>
      <c r="F18" s="6">
        <v>4</v>
      </c>
      <c r="G18" s="41">
        <v>0</v>
      </c>
    </row>
    <row r="19" spans="1:9" x14ac:dyDescent="0.15">
      <c r="B19" s="1" t="s">
        <v>147</v>
      </c>
      <c r="F19" s="226">
        <v>5</v>
      </c>
      <c r="G19" s="307">
        <v>0</v>
      </c>
    </row>
    <row r="20" spans="1:9" ht="11.25" thickBot="1" x14ac:dyDescent="0.2">
      <c r="B20" s="2" t="s">
        <v>896</v>
      </c>
      <c r="F20" s="6">
        <v>6</v>
      </c>
      <c r="G20" s="307">
        <v>0</v>
      </c>
      <c r="H20" s="5"/>
      <c r="I20" s="5"/>
    </row>
    <row r="21" spans="1:9" ht="12" thickTop="1" thickBot="1" x14ac:dyDescent="0.2">
      <c r="B21" s="1" t="s">
        <v>148</v>
      </c>
      <c r="G21" s="727">
        <v>7</v>
      </c>
      <c r="H21" s="42">
        <f>SUM(G15:G20)</f>
        <v>0</v>
      </c>
      <c r="I21" s="5"/>
    </row>
    <row r="22" spans="1:9" ht="12" thickTop="1" thickBot="1" x14ac:dyDescent="0.2">
      <c r="B22" s="1" t="s">
        <v>149</v>
      </c>
      <c r="G22" s="727"/>
      <c r="H22" s="5">
        <v>8</v>
      </c>
      <c r="I22" s="44">
        <f>I12+H21</f>
        <v>0</v>
      </c>
    </row>
    <row r="23" spans="1:9" x14ac:dyDescent="0.15">
      <c r="B23" s="1"/>
      <c r="G23" s="727"/>
      <c r="H23" s="5"/>
      <c r="I23" s="13"/>
    </row>
    <row r="24" spans="1:9" x14ac:dyDescent="0.15">
      <c r="A24" s="660" t="s">
        <v>824</v>
      </c>
      <c r="B24" s="495" t="s">
        <v>816</v>
      </c>
      <c r="F24" s="5"/>
      <c r="G24" s="289"/>
      <c r="H24" s="5"/>
      <c r="I24" s="13"/>
    </row>
    <row r="25" spans="1:9" x14ac:dyDescent="0.15">
      <c r="A25" s="436" t="s">
        <v>105</v>
      </c>
      <c r="B25" s="2" t="s">
        <v>827</v>
      </c>
      <c r="F25" s="7" t="s">
        <v>1438</v>
      </c>
      <c r="G25" s="307">
        <v>0</v>
      </c>
      <c r="H25" s="5"/>
      <c r="I25" s="13"/>
    </row>
    <row r="26" spans="1:9" x14ac:dyDescent="0.15">
      <c r="B26" s="1"/>
      <c r="G26" s="5"/>
      <c r="H26" s="5"/>
      <c r="I26" s="13"/>
    </row>
    <row r="27" spans="1:9" x14ac:dyDescent="0.15">
      <c r="B27" s="40" t="s">
        <v>754</v>
      </c>
      <c r="G27" s="5"/>
      <c r="H27" s="5"/>
    </row>
    <row r="28" spans="1:9" x14ac:dyDescent="0.15">
      <c r="B28" s="1" t="s">
        <v>150</v>
      </c>
      <c r="F28" s="6">
        <v>9</v>
      </c>
      <c r="G28" s="41">
        <v>0</v>
      </c>
      <c r="H28" s="5"/>
      <c r="I28" s="5"/>
    </row>
    <row r="29" spans="1:9" ht="11.25" thickBot="1" x14ac:dyDescent="0.2">
      <c r="B29" s="2"/>
      <c r="F29" s="6"/>
      <c r="G29" s="14"/>
      <c r="H29" s="5"/>
      <c r="I29" s="5"/>
    </row>
    <row r="30" spans="1:9" ht="12" thickTop="1" thickBot="1" x14ac:dyDescent="0.2">
      <c r="B30" s="1" t="s">
        <v>755</v>
      </c>
      <c r="G30" s="5">
        <v>10</v>
      </c>
      <c r="H30" s="42">
        <f>SUM(G25:G28)</f>
        <v>0</v>
      </c>
      <c r="I30" s="5"/>
    </row>
    <row r="31" spans="1:9" ht="11.25" thickTop="1" x14ac:dyDescent="0.15">
      <c r="B31" s="40" t="s">
        <v>392</v>
      </c>
      <c r="G31" s="5"/>
      <c r="H31" s="5"/>
      <c r="I31" s="5"/>
    </row>
    <row r="32" spans="1:9" ht="11.25" thickBot="1" x14ac:dyDescent="0.2">
      <c r="A32" s="106">
        <v>9100</v>
      </c>
      <c r="B32" s="1" t="s">
        <v>785</v>
      </c>
      <c r="F32" s="6">
        <v>11</v>
      </c>
      <c r="G32" s="41">
        <v>0</v>
      </c>
      <c r="H32" s="5"/>
      <c r="I32" s="5"/>
    </row>
    <row r="33" spans="1:9" ht="12" thickTop="1" thickBot="1" x14ac:dyDescent="0.2">
      <c r="A33" s="106"/>
      <c r="B33" s="1" t="s">
        <v>786</v>
      </c>
      <c r="G33" s="5">
        <v>12</v>
      </c>
      <c r="H33" s="42">
        <f>H30+G32</f>
        <v>0</v>
      </c>
      <c r="I33" s="5"/>
    </row>
    <row r="34" spans="1:9" ht="11.25" thickTop="1" x14ac:dyDescent="0.15">
      <c r="B34" s="1" t="s">
        <v>787</v>
      </c>
      <c r="I34" s="5"/>
    </row>
    <row r="35" spans="1:9" ht="11.25" thickBot="1" x14ac:dyDescent="0.2">
      <c r="A35" s="106">
        <v>9200</v>
      </c>
      <c r="B35" s="1" t="s">
        <v>788</v>
      </c>
      <c r="F35" s="6">
        <v>13</v>
      </c>
      <c r="G35" s="41">
        <v>0</v>
      </c>
      <c r="H35" s="5"/>
      <c r="I35" s="5"/>
    </row>
    <row r="36" spans="1:9" ht="11.25" thickBot="1" x14ac:dyDescent="0.2">
      <c r="B36" s="1" t="s">
        <v>789</v>
      </c>
      <c r="G36" s="5">
        <v>14</v>
      </c>
      <c r="H36" s="44">
        <f>H33+G35</f>
        <v>0</v>
      </c>
      <c r="I36" s="5"/>
    </row>
    <row r="37" spans="1:9" ht="12" thickTop="1" thickBot="1" x14ac:dyDescent="0.2">
      <c r="B37" s="1" t="s">
        <v>151</v>
      </c>
      <c r="G37" s="108" t="s">
        <v>152</v>
      </c>
      <c r="H37" s="124">
        <f>+I22</f>
        <v>0</v>
      </c>
      <c r="I37" s="5"/>
    </row>
    <row r="38" spans="1:9" ht="12" thickTop="1" thickBot="1" x14ac:dyDescent="0.2">
      <c r="G38" s="110" t="s">
        <v>393</v>
      </c>
      <c r="H38" s="111">
        <f>+H37-H36</f>
        <v>0</v>
      </c>
      <c r="I38" s="5"/>
    </row>
    <row r="39" spans="1:9" ht="11.25" thickTop="1" x14ac:dyDescent="0.15">
      <c r="B39" s="35"/>
    </row>
    <row r="40" spans="1:9" x14ac:dyDescent="0.15">
      <c r="A40" s="20"/>
      <c r="B40" s="20"/>
      <c r="C40" s="20"/>
      <c r="D40" s="20"/>
      <c r="E40" s="20"/>
      <c r="F40" s="20"/>
      <c r="G40" s="20"/>
      <c r="H40" s="20"/>
      <c r="I40" s="20"/>
    </row>
    <row r="42" spans="1:9" x14ac:dyDescent="0.15">
      <c r="A42" s="15" t="s">
        <v>790</v>
      </c>
    </row>
    <row r="43" spans="1:9" x14ac:dyDescent="0.15">
      <c r="B43" s="1" t="s">
        <v>639</v>
      </c>
    </row>
    <row r="44" spans="1:9" x14ac:dyDescent="0.15">
      <c r="B44" s="1" t="s">
        <v>791</v>
      </c>
      <c r="C44" s="6">
        <v>1</v>
      </c>
      <c r="D44" s="564">
        <f>GenFundExp2!I544+CharterFundExp2!I544</f>
        <v>0</v>
      </c>
      <c r="F44" s="1" t="s">
        <v>351</v>
      </c>
      <c r="I44" s="564">
        <f>BuildFund!I47</f>
        <v>0</v>
      </c>
    </row>
    <row r="45" spans="1:9" x14ac:dyDescent="0.15">
      <c r="B45" s="1" t="s">
        <v>336</v>
      </c>
      <c r="C45" s="7" t="s">
        <v>335</v>
      </c>
      <c r="D45" s="564">
        <f>InsResv!I43</f>
        <v>0</v>
      </c>
      <c r="F45" s="1" t="s">
        <v>363</v>
      </c>
      <c r="I45" s="564">
        <f>SpecBuild!I34</f>
        <v>0</v>
      </c>
    </row>
    <row r="46" spans="1:9" x14ac:dyDescent="0.15">
      <c r="B46" s="1" t="s">
        <v>337</v>
      </c>
      <c r="C46" s="7" t="s">
        <v>338</v>
      </c>
      <c r="D46" s="564">
        <f>'CPP Fund'!I121</f>
        <v>0</v>
      </c>
      <c r="F46" s="1" t="s">
        <v>353</v>
      </c>
      <c r="I46" s="564">
        <f>CapResCapPrj!I84</f>
        <v>0</v>
      </c>
    </row>
    <row r="47" spans="1:9" x14ac:dyDescent="0.15">
      <c r="B47" s="1" t="s">
        <v>340</v>
      </c>
      <c r="C47" s="6">
        <v>3</v>
      </c>
      <c r="D47" s="564">
        <f>CapRes!I75</f>
        <v>0</v>
      </c>
      <c r="F47" s="1" t="s">
        <v>354</v>
      </c>
      <c r="I47" s="564">
        <f>FoodServ!I51</f>
        <v>0</v>
      </c>
    </row>
    <row r="48" spans="1:9" x14ac:dyDescent="0.15">
      <c r="B48" s="1" t="s">
        <v>341</v>
      </c>
      <c r="C48" s="6">
        <v>4</v>
      </c>
      <c r="D48" s="564">
        <f>GovGrants!J175</f>
        <v>0</v>
      </c>
      <c r="F48" s="1" t="s">
        <v>355</v>
      </c>
      <c r="I48" s="564">
        <f>OtherEnterprise!I41</f>
        <v>0</v>
      </c>
    </row>
    <row r="49" spans="2:9" x14ac:dyDescent="0.15">
      <c r="B49" s="1" t="s">
        <v>342</v>
      </c>
      <c r="C49" s="6">
        <v>5</v>
      </c>
      <c r="D49" s="564">
        <f>PupActiv!I61</f>
        <v>0</v>
      </c>
      <c r="F49" s="1" t="s">
        <v>356</v>
      </c>
      <c r="I49" s="564">
        <f>RiskRelated!I39</f>
        <v>0</v>
      </c>
    </row>
    <row r="50" spans="2:9" x14ac:dyDescent="0.15">
      <c r="B50" s="1" t="s">
        <v>362</v>
      </c>
      <c r="C50" s="6">
        <v>6</v>
      </c>
      <c r="D50" s="564">
        <f>FullDayKOverride!I42</f>
        <v>0</v>
      </c>
      <c r="F50" s="1" t="s">
        <v>357</v>
      </c>
      <c r="I50" s="567">
        <f>OtherInternal!I43</f>
        <v>0</v>
      </c>
    </row>
    <row r="51" spans="2:9" x14ac:dyDescent="0.15">
      <c r="B51" s="1" t="s">
        <v>343</v>
      </c>
      <c r="C51" s="6">
        <v>7</v>
      </c>
      <c r="D51" s="564">
        <f>Transp!I41</f>
        <v>0</v>
      </c>
      <c r="F51" s="1" t="s">
        <v>364</v>
      </c>
      <c r="I51" s="642" t="s">
        <v>751</v>
      </c>
    </row>
    <row r="52" spans="2:9" x14ac:dyDescent="0.15">
      <c r="B52" s="1" t="s">
        <v>349</v>
      </c>
      <c r="C52" s="6">
        <v>8</v>
      </c>
      <c r="D52" s="564">
        <f>OthSpecRev!I63</f>
        <v>0</v>
      </c>
      <c r="F52" s="1" t="s">
        <v>365</v>
      </c>
      <c r="I52" s="642" t="s">
        <v>751</v>
      </c>
    </row>
    <row r="53" spans="2:9" ht="11.25" thickBot="1" x14ac:dyDescent="0.2">
      <c r="B53" s="1" t="s">
        <v>1673</v>
      </c>
      <c r="C53" s="6">
        <v>9</v>
      </c>
      <c r="D53" s="41" t="s">
        <v>751</v>
      </c>
      <c r="F53" s="1" t="s">
        <v>367</v>
      </c>
      <c r="I53" s="642" t="s">
        <v>368</v>
      </c>
    </row>
    <row r="54" spans="2:9" ht="12" thickTop="1" thickBot="1" x14ac:dyDescent="0.2">
      <c r="B54" s="1" t="s">
        <v>1674</v>
      </c>
      <c r="C54" s="6">
        <v>9</v>
      </c>
      <c r="D54" s="41" t="s">
        <v>368</v>
      </c>
      <c r="F54" s="1" t="s">
        <v>366</v>
      </c>
      <c r="I54" s="42">
        <f>SUM(D44:D53)+SUM(I44:I53)</f>
        <v>0</v>
      </c>
    </row>
    <row r="55" spans="2:9" ht="11.25" thickTop="1" x14ac:dyDescent="0.15">
      <c r="B55" s="1" t="s">
        <v>937</v>
      </c>
    </row>
  </sheetData>
  <sheetProtection formatCells="0" formatColumns="0" formatRows="0"/>
  <phoneticPr fontId="15" type="noConversion"/>
  <pageMargins left="0.75" right="0.75" top="1" bottom="1" header="0.5" footer="0.5"/>
  <pageSetup scale="78" firstPageNumber="50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Views>
    <sheetView topLeftCell="A13" workbookViewId="0">
      <selection activeCell="A7" sqref="A7"/>
    </sheetView>
  </sheetViews>
  <sheetFormatPr defaultColWidth="12" defaultRowHeight="10.5" x14ac:dyDescent="0.15"/>
  <sheetData>
    <row r="1" spans="1:1" x14ac:dyDescent="0.15">
      <c r="A1" s="18" t="s">
        <v>1487</v>
      </c>
    </row>
    <row r="2" spans="1:1" x14ac:dyDescent="0.15">
      <c r="A2" s="18" t="s">
        <v>654</v>
      </c>
    </row>
    <row r="3" spans="1:1" s="18" customFormat="1" x14ac:dyDescent="0.15">
      <c r="A3" s="18" t="s">
        <v>767</v>
      </c>
    </row>
    <row r="4" spans="1:1" s="18" customFormat="1" x14ac:dyDescent="0.15">
      <c r="A4" s="18" t="s">
        <v>768</v>
      </c>
    </row>
    <row r="5" spans="1:1" x14ac:dyDescent="0.15">
      <c r="A5" s="18" t="s">
        <v>653</v>
      </c>
    </row>
  </sheetData>
  <phoneticPr fontId="0" type="noConversion"/>
  <pageMargins left="0.75" right="0.75" top="1" bottom="1" header="0.5" footer="0.5"/>
  <pageSetup firstPageNumber="49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opLeftCell="D1" workbookViewId="0">
      <selection activeCell="G20" sqref="G20"/>
    </sheetView>
  </sheetViews>
  <sheetFormatPr defaultColWidth="12" defaultRowHeight="10.5" x14ac:dyDescent="0.15"/>
  <cols>
    <col min="1" max="1" width="13.1640625" customWidth="1"/>
    <col min="2" max="2" width="74.83203125" customWidth="1"/>
    <col min="3" max="3" width="4.83203125" customWidth="1"/>
    <col min="4" max="4" width="11.6640625" customWidth="1"/>
    <col min="5" max="5" width="41.6640625" customWidth="1"/>
    <col min="6" max="6" width="12" customWidth="1"/>
    <col min="7" max="7" width="22.83203125" customWidth="1"/>
    <col min="8" max="8" width="12" customWidth="1"/>
    <col min="9" max="9" width="22.83203125" customWidth="1"/>
  </cols>
  <sheetData>
    <row r="1" spans="1:9" x14ac:dyDescent="0.15">
      <c r="A1" t="s">
        <v>106</v>
      </c>
      <c r="B1">
        <f>+'Page 1 - FY2013-14'!B5</f>
        <v>0</v>
      </c>
      <c r="D1" t="s">
        <v>1586</v>
      </c>
      <c r="E1" s="107">
        <f>+'Page 1 - FY2013-14'!F7</f>
        <v>0</v>
      </c>
      <c r="G1" s="12"/>
    </row>
    <row r="2" spans="1:9" x14ac:dyDescent="0.15">
      <c r="A2" s="15" t="s">
        <v>1576</v>
      </c>
      <c r="F2" s="38" t="s">
        <v>1588</v>
      </c>
    </row>
    <row r="4" spans="1:9" x14ac:dyDescent="0.15">
      <c r="A4" s="7" t="s">
        <v>419</v>
      </c>
      <c r="B4" s="1" t="s">
        <v>938</v>
      </c>
      <c r="C4" s="1"/>
      <c r="D4" s="1" t="s">
        <v>939</v>
      </c>
    </row>
    <row r="5" spans="1:9" x14ac:dyDescent="0.15">
      <c r="B5" s="1" t="s">
        <v>815</v>
      </c>
      <c r="C5" s="1"/>
      <c r="D5" s="2" t="s">
        <v>1474</v>
      </c>
    </row>
    <row r="6" spans="1:9" x14ac:dyDescent="0.15">
      <c r="B6" s="1" t="s">
        <v>864</v>
      </c>
      <c r="C6" s="1"/>
      <c r="D6" s="1" t="s">
        <v>865</v>
      </c>
    </row>
    <row r="7" spans="1:9" x14ac:dyDescent="0.15">
      <c r="B7" s="1" t="s">
        <v>943</v>
      </c>
      <c r="C7" s="1"/>
      <c r="D7" s="692" t="s">
        <v>1653</v>
      </c>
      <c r="E7" s="398"/>
      <c r="F7" s="398"/>
    </row>
    <row r="8" spans="1:9" x14ac:dyDescent="0.15">
      <c r="B8" s="1" t="s">
        <v>944</v>
      </c>
      <c r="C8" s="1"/>
      <c r="D8" s="1" t="s">
        <v>1709</v>
      </c>
      <c r="I8" s="18"/>
    </row>
    <row r="9" spans="1:9" x14ac:dyDescent="0.15">
      <c r="B9" s="1" t="s">
        <v>945</v>
      </c>
      <c r="C9" s="1"/>
      <c r="D9" s="1" t="s">
        <v>1652</v>
      </c>
      <c r="I9" s="49" t="s">
        <v>946</v>
      </c>
    </row>
    <row r="10" spans="1:9" x14ac:dyDescent="0.15">
      <c r="G10" s="35" t="s">
        <v>947</v>
      </c>
      <c r="I10" s="49" t="s">
        <v>948</v>
      </c>
    </row>
    <row r="11" spans="1:9" x14ac:dyDescent="0.15">
      <c r="D11" s="1" t="s">
        <v>639</v>
      </c>
      <c r="G11" s="35" t="s">
        <v>949</v>
      </c>
      <c r="I11" s="49" t="s">
        <v>392</v>
      </c>
    </row>
    <row r="12" spans="1:9" x14ac:dyDescent="0.15">
      <c r="A12" s="7" t="s">
        <v>420</v>
      </c>
      <c r="B12" s="1" t="s">
        <v>950</v>
      </c>
      <c r="C12" s="1"/>
      <c r="G12" s="6"/>
      <c r="I12" s="6"/>
    </row>
    <row r="13" spans="1:9" x14ac:dyDescent="0.15">
      <c r="B13" s="1" t="s">
        <v>1612</v>
      </c>
      <c r="C13" s="1"/>
      <c r="D13" s="108" t="s">
        <v>703</v>
      </c>
      <c r="F13" s="6">
        <v>1</v>
      </c>
      <c r="G13" s="133">
        <f>GenFundExp2!I552</f>
        <v>0</v>
      </c>
      <c r="H13" s="5"/>
      <c r="I13" s="133">
        <f>G13</f>
        <v>0</v>
      </c>
    </row>
    <row r="14" spans="1:9" x14ac:dyDescent="0.15">
      <c r="B14" s="1"/>
      <c r="C14" s="1"/>
      <c r="D14" s="108"/>
      <c r="E14" s="1" t="s">
        <v>1641</v>
      </c>
      <c r="F14" s="7" t="s">
        <v>782</v>
      </c>
      <c r="G14" s="133">
        <f>CharterFundExp2!I550</f>
        <v>0</v>
      </c>
      <c r="H14" s="5"/>
      <c r="I14" s="133">
        <f>G14</f>
        <v>0</v>
      </c>
    </row>
    <row r="15" spans="1:9" x14ac:dyDescent="0.15">
      <c r="B15" s="1"/>
      <c r="C15" s="1"/>
      <c r="E15" s="1" t="s">
        <v>1642</v>
      </c>
      <c r="F15" s="7" t="s">
        <v>1127</v>
      </c>
      <c r="G15" s="133">
        <f>InsResv!I49</f>
        <v>0</v>
      </c>
      <c r="H15" s="5"/>
      <c r="I15" s="133">
        <f>G15</f>
        <v>0</v>
      </c>
    </row>
    <row r="16" spans="1:9" x14ac:dyDescent="0.15">
      <c r="D16" s="1"/>
      <c r="E16" t="s">
        <v>1643</v>
      </c>
      <c r="F16" s="12" t="s">
        <v>1644</v>
      </c>
      <c r="G16" s="133">
        <f>'CPP Fund'!I127</f>
        <v>0</v>
      </c>
      <c r="H16" s="5"/>
      <c r="I16" s="133">
        <f>G16</f>
        <v>0</v>
      </c>
    </row>
    <row r="17" spans="2:9" x14ac:dyDescent="0.15">
      <c r="D17" s="1" t="s">
        <v>1611</v>
      </c>
      <c r="G17" s="128"/>
      <c r="H17" s="5"/>
      <c r="I17" s="128"/>
    </row>
    <row r="18" spans="2:9" hidden="1" x14ac:dyDescent="0.15">
      <c r="C18" s="1"/>
      <c r="E18" s="1" t="s">
        <v>339</v>
      </c>
      <c r="F18" s="7">
        <v>2</v>
      </c>
      <c r="G18" s="133">
        <f>ARRAGrants!J181</f>
        <v>0</v>
      </c>
      <c r="H18" s="5"/>
      <c r="I18" s="133">
        <f>G18</f>
        <v>0</v>
      </c>
    </row>
    <row r="19" spans="2:9" x14ac:dyDescent="0.15">
      <c r="B19" s="1" t="s">
        <v>951</v>
      </c>
      <c r="C19" s="1"/>
      <c r="E19" s="1" t="s">
        <v>340</v>
      </c>
      <c r="F19" s="6">
        <v>3</v>
      </c>
      <c r="G19" s="133">
        <f>CapRes!I81</f>
        <v>0</v>
      </c>
      <c r="H19" s="5"/>
      <c r="I19" s="133">
        <f t="shared" ref="I19:I25" si="0">G19</f>
        <v>0</v>
      </c>
    </row>
    <row r="20" spans="2:9" x14ac:dyDescent="0.15">
      <c r="B20" s="1" t="s">
        <v>952</v>
      </c>
      <c r="C20" s="1"/>
      <c r="E20" s="1" t="s">
        <v>341</v>
      </c>
      <c r="F20" s="6">
        <v>4</v>
      </c>
      <c r="G20" s="133">
        <f>GovGrants!J181</f>
        <v>0</v>
      </c>
      <c r="H20" s="5"/>
      <c r="I20" s="133">
        <f t="shared" si="0"/>
        <v>0</v>
      </c>
    </row>
    <row r="21" spans="2:9" s="289" customFormat="1" x14ac:dyDescent="0.15">
      <c r="B21" s="1" t="s">
        <v>570</v>
      </c>
      <c r="C21" s="392"/>
      <c r="E21" s="1" t="s">
        <v>342</v>
      </c>
      <c r="F21" s="6">
        <v>5</v>
      </c>
      <c r="G21" s="133">
        <f>PupActiv!I67</f>
        <v>0</v>
      </c>
      <c r="H21" s="5"/>
      <c r="I21" s="133">
        <f t="shared" si="0"/>
        <v>0</v>
      </c>
    </row>
    <row r="22" spans="2:9" x14ac:dyDescent="0.15">
      <c r="E22" s="1" t="s">
        <v>348</v>
      </c>
      <c r="F22" s="6">
        <v>6</v>
      </c>
      <c r="G22" s="133">
        <f>FullDayKOverride!I48</f>
        <v>0</v>
      </c>
      <c r="H22" s="5"/>
      <c r="I22" s="133">
        <f>G22</f>
        <v>0</v>
      </c>
    </row>
    <row r="23" spans="2:9" x14ac:dyDescent="0.15">
      <c r="E23" s="1" t="s">
        <v>343</v>
      </c>
      <c r="F23" s="6">
        <v>7</v>
      </c>
      <c r="G23" s="133">
        <f>Transp!I47</f>
        <v>0</v>
      </c>
      <c r="H23" s="5"/>
      <c r="I23" s="133">
        <f t="shared" si="0"/>
        <v>0</v>
      </c>
    </row>
    <row r="24" spans="2:9" x14ac:dyDescent="0.15">
      <c r="E24" s="1" t="s">
        <v>349</v>
      </c>
      <c r="F24" s="6">
        <v>8</v>
      </c>
      <c r="G24" s="133">
        <f>OthSpecRev!I69</f>
        <v>0</v>
      </c>
      <c r="H24" s="5"/>
      <c r="I24" s="133">
        <f t="shared" si="0"/>
        <v>0</v>
      </c>
    </row>
    <row r="25" spans="2:9" x14ac:dyDescent="0.15">
      <c r="D25" s="1" t="s">
        <v>350</v>
      </c>
      <c r="F25" s="6">
        <v>9</v>
      </c>
      <c r="G25" s="133">
        <f>BondRedm!I46</f>
        <v>0</v>
      </c>
      <c r="H25" s="5"/>
      <c r="I25" s="133">
        <f t="shared" si="0"/>
        <v>0</v>
      </c>
    </row>
    <row r="26" spans="2:9" x14ac:dyDescent="0.15">
      <c r="D26" s="1" t="s">
        <v>850</v>
      </c>
      <c r="G26" s="601"/>
      <c r="I26" s="601"/>
    </row>
    <row r="27" spans="2:9" x14ac:dyDescent="0.15">
      <c r="B27" s="22"/>
      <c r="C27" s="123"/>
      <c r="E27" s="1" t="s">
        <v>351</v>
      </c>
      <c r="F27" s="6">
        <v>10</v>
      </c>
      <c r="G27" s="133">
        <f>BuildFund!I53</f>
        <v>0</v>
      </c>
      <c r="H27" s="5"/>
      <c r="I27" s="133">
        <f>G27</f>
        <v>0</v>
      </c>
    </row>
    <row r="28" spans="2:9" x14ac:dyDescent="0.15">
      <c r="B28" s="1" t="s">
        <v>953</v>
      </c>
      <c r="C28" s="1"/>
      <c r="E28" s="1" t="s">
        <v>352</v>
      </c>
      <c r="F28" s="6">
        <v>11</v>
      </c>
      <c r="G28" s="133">
        <f>SpecBuild!I40</f>
        <v>0</v>
      </c>
      <c r="H28" s="5"/>
      <c r="I28" s="133">
        <f>G28</f>
        <v>0</v>
      </c>
    </row>
    <row r="29" spans="2:9" x14ac:dyDescent="0.15">
      <c r="E29" s="1" t="s">
        <v>353</v>
      </c>
      <c r="F29" s="6">
        <v>12</v>
      </c>
      <c r="G29" s="133">
        <f>CapResCapPrj!I90</f>
        <v>0</v>
      </c>
      <c r="H29" s="5"/>
      <c r="I29" s="133">
        <f>G29</f>
        <v>0</v>
      </c>
    </row>
    <row r="30" spans="2:9" x14ac:dyDescent="0.15">
      <c r="D30" s="1" t="s">
        <v>60</v>
      </c>
      <c r="G30" s="128"/>
      <c r="H30" s="5"/>
      <c r="I30" s="128"/>
    </row>
    <row r="31" spans="2:9" x14ac:dyDescent="0.15">
      <c r="E31" s="115" t="s">
        <v>354</v>
      </c>
      <c r="F31" s="167">
        <v>13</v>
      </c>
      <c r="G31" s="564">
        <f>FoodServ!I57</f>
        <v>0</v>
      </c>
      <c r="H31" s="200"/>
      <c r="I31" s="133">
        <f>G31</f>
        <v>0</v>
      </c>
    </row>
    <row r="32" spans="2:9" x14ac:dyDescent="0.15">
      <c r="B32" s="22"/>
      <c r="C32" s="123"/>
      <c r="E32" s="115" t="s">
        <v>355</v>
      </c>
      <c r="F32" s="167">
        <v>14</v>
      </c>
      <c r="G32" s="564">
        <f>OtherEnterprise!I47</f>
        <v>0</v>
      </c>
      <c r="H32" s="200"/>
      <c r="I32" s="133">
        <f>G32</f>
        <v>0</v>
      </c>
    </row>
    <row r="33" spans="2:9" x14ac:dyDescent="0.15">
      <c r="B33" s="1" t="s">
        <v>954</v>
      </c>
      <c r="C33" s="1"/>
      <c r="D33" s="1" t="s">
        <v>1609</v>
      </c>
      <c r="G33" s="601"/>
      <c r="I33" s="601"/>
    </row>
    <row r="34" spans="2:9" x14ac:dyDescent="0.15">
      <c r="E34" s="1" t="s">
        <v>356</v>
      </c>
      <c r="F34" s="6">
        <v>15</v>
      </c>
      <c r="G34" s="133">
        <f>RiskRelated!I45</f>
        <v>0</v>
      </c>
      <c r="H34" s="5"/>
      <c r="I34" s="133">
        <f>G34</f>
        <v>0</v>
      </c>
    </row>
    <row r="35" spans="2:9" x14ac:dyDescent="0.15">
      <c r="E35" s="1" t="s">
        <v>357</v>
      </c>
      <c r="F35" s="6">
        <v>16</v>
      </c>
      <c r="G35" s="133">
        <f>OtherInternal!I49</f>
        <v>0</v>
      </c>
      <c r="H35" s="5"/>
      <c r="I35" s="133">
        <f>G35</f>
        <v>0</v>
      </c>
    </row>
    <row r="36" spans="2:9" x14ac:dyDescent="0.15">
      <c r="D36" s="1" t="s">
        <v>955</v>
      </c>
      <c r="G36" s="601"/>
      <c r="I36" s="601"/>
    </row>
    <row r="37" spans="2:9" x14ac:dyDescent="0.15">
      <c r="E37" s="1" t="s">
        <v>358</v>
      </c>
      <c r="F37" s="6">
        <v>17</v>
      </c>
      <c r="G37" s="133">
        <f>PupilActAgency!I59</f>
        <v>0</v>
      </c>
      <c r="H37" s="5"/>
      <c r="I37" s="133">
        <f>G37</f>
        <v>0</v>
      </c>
    </row>
    <row r="38" spans="2:9" x14ac:dyDescent="0.15">
      <c r="E38" s="1" t="s">
        <v>359</v>
      </c>
      <c r="F38" s="6">
        <v>18</v>
      </c>
      <c r="G38" s="133">
        <f>'Trust&amp;Agency'!I58</f>
        <v>0</v>
      </c>
      <c r="H38" s="5"/>
      <c r="I38" s="133">
        <f>G38</f>
        <v>0</v>
      </c>
    </row>
    <row r="39" spans="2:9" x14ac:dyDescent="0.15">
      <c r="E39" s="1" t="s">
        <v>360</v>
      </c>
      <c r="F39" s="226">
        <v>19</v>
      </c>
      <c r="G39" s="133">
        <f>'Foundation Fund'!I58</f>
        <v>0</v>
      </c>
      <c r="H39" s="5"/>
      <c r="I39" s="133">
        <f>G39</f>
        <v>0</v>
      </c>
    </row>
    <row r="40" spans="2:9" x14ac:dyDescent="0.15">
      <c r="D40" s="1" t="s">
        <v>361</v>
      </c>
      <c r="F40" s="6">
        <v>20</v>
      </c>
      <c r="G40" s="133">
        <f>+Arbitrage!H33</f>
        <v>0</v>
      </c>
      <c r="I40" s="133">
        <f>G40</f>
        <v>0</v>
      </c>
    </row>
    <row r="41" spans="2:9" ht="11.25" thickBot="1" x14ac:dyDescent="0.2">
      <c r="G41" s="6"/>
      <c r="I41" s="6"/>
    </row>
    <row r="42" spans="2:9" ht="11.25" thickBot="1" x14ac:dyDescent="0.2">
      <c r="D42" s="1" t="s">
        <v>960</v>
      </c>
      <c r="F42" s="6">
        <v>21</v>
      </c>
      <c r="G42" s="44">
        <f>SUM(G13:G40)</f>
        <v>0</v>
      </c>
      <c r="H42" s="5"/>
      <c r="I42" s="44">
        <f>SUM(I13:I40)</f>
        <v>0</v>
      </c>
    </row>
    <row r="43" spans="2:9" x14ac:dyDescent="0.15">
      <c r="G43" s="6"/>
      <c r="I43" s="6"/>
    </row>
  </sheetData>
  <phoneticPr fontId="15" type="noConversion"/>
  <pageMargins left="0.75" right="0.75" top="1" bottom="1" header="0.5" footer="0.5"/>
  <pageSetup scale="71" firstPageNumber="51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4"/>
    <pageSetUpPr fitToPage="1"/>
  </sheetPr>
  <dimension ref="A1:H179"/>
  <sheetViews>
    <sheetView workbookViewId="0">
      <selection activeCell="C34" sqref="C34"/>
    </sheetView>
  </sheetViews>
  <sheetFormatPr defaultColWidth="12" defaultRowHeight="10.5" x14ac:dyDescent="0.15"/>
  <cols>
    <col min="1" max="1" width="79.33203125" customWidth="1"/>
    <col min="2" max="2" width="19" hidden="1" customWidth="1"/>
    <col min="3" max="3" width="22.83203125" customWidth="1"/>
    <col min="4" max="4" width="58.33203125" customWidth="1"/>
    <col min="5" max="5" width="22.83203125" customWidth="1"/>
    <col min="6" max="6" width="12" customWidth="1"/>
    <col min="7" max="7" width="22.6640625" customWidth="1"/>
  </cols>
  <sheetData>
    <row r="1" spans="1:4" x14ac:dyDescent="0.15">
      <c r="A1" s="35" t="s">
        <v>961</v>
      </c>
    </row>
    <row r="3" spans="1:4" ht="12.75" x14ac:dyDescent="0.2">
      <c r="A3" s="116" t="s">
        <v>1032</v>
      </c>
    </row>
    <row r="4" spans="1:4" ht="12.75" x14ac:dyDescent="0.2">
      <c r="A4" s="117" t="s">
        <v>922</v>
      </c>
    </row>
    <row r="5" spans="1:4" x14ac:dyDescent="0.15">
      <c r="A5" s="15"/>
    </row>
    <row r="6" spans="1:4" x14ac:dyDescent="0.15">
      <c r="A6" s="1" t="s">
        <v>421</v>
      </c>
      <c r="C6" s="643" t="str">
        <f>IF(GenFundExp2!I562=0,"ALL IS OK","ERROR YOU MUST FIX")</f>
        <v>ALL IS OK</v>
      </c>
      <c r="D6" t="s">
        <v>1057</v>
      </c>
    </row>
    <row r="7" spans="1:4" x14ac:dyDescent="0.15">
      <c r="A7" s="1" t="s">
        <v>1634</v>
      </c>
      <c r="C7" s="643" t="str">
        <f>IF(CharterFundExp2!I560=0,"ALL IS OK","ERROR YOU MUST FIX")</f>
        <v>ALL IS OK</v>
      </c>
    </row>
    <row r="8" spans="1:4" x14ac:dyDescent="0.15">
      <c r="A8" s="1" t="s">
        <v>1125</v>
      </c>
      <c r="C8" s="142" t="str">
        <f>IF(InsResv!I54=0,"ALL IS OK","ERROR YOU MUST FIX")</f>
        <v>ALL IS OK</v>
      </c>
    </row>
    <row r="9" spans="1:4" x14ac:dyDescent="0.15">
      <c r="A9" s="1" t="s">
        <v>1488</v>
      </c>
      <c r="C9" s="142" t="str">
        <f>IF('CPP Fund'!I132=0,"ALL IS OK", "ERROR YOU MUST FIX")</f>
        <v>ALL IS OK</v>
      </c>
    </row>
    <row r="10" spans="1:4" hidden="1" x14ac:dyDescent="0.15">
      <c r="A10" s="1" t="s">
        <v>1637</v>
      </c>
      <c r="C10" s="142" t="str">
        <f>IF(ARRAGrants!J186=0,"ALL IS OK","ERROR YOU MUST FIX")</f>
        <v>ALL IS OK</v>
      </c>
    </row>
    <row r="11" spans="1:4" x14ac:dyDescent="0.15">
      <c r="A11" s="1" t="s">
        <v>962</v>
      </c>
      <c r="C11" s="142" t="str">
        <f>IF(CapRes!I86=0,"ALL IS OK","ERROR YOU MUST FIX")</f>
        <v>ALL IS OK</v>
      </c>
    </row>
    <row r="12" spans="1:4" x14ac:dyDescent="0.15">
      <c r="A12" s="1" t="s">
        <v>994</v>
      </c>
      <c r="C12" s="142" t="str">
        <f>IF(GovGrants!J186=0,"ALL IS OK","ERROR YOU MUST FIX")</f>
        <v>ALL IS OK</v>
      </c>
    </row>
    <row r="13" spans="1:4" s="289" customFormat="1" x14ac:dyDescent="0.15">
      <c r="A13" s="1" t="s">
        <v>963</v>
      </c>
      <c r="B13"/>
      <c r="C13" s="142" t="str">
        <f>IF(PupActiv!I72=0,"ALL IS OK","ERROR YOU MUST FIX")</f>
        <v>ALL IS OK</v>
      </c>
    </row>
    <row r="14" spans="1:4" x14ac:dyDescent="0.15">
      <c r="A14" s="1" t="s">
        <v>370</v>
      </c>
      <c r="C14" s="142" t="str">
        <f>IF(FullDayKOverride!I53=0,"ALL IS OK","ERROR YOU MUST FIX")</f>
        <v>ALL IS OK</v>
      </c>
    </row>
    <row r="15" spans="1:4" x14ac:dyDescent="0.15">
      <c r="A15" s="1" t="s">
        <v>964</v>
      </c>
      <c r="C15" s="142" t="str">
        <f>IF(Transp!I52=0,"ALL IS OK","ERROR YOU MUST FIX")</f>
        <v>ALL IS OK</v>
      </c>
    </row>
    <row r="16" spans="1:4" x14ac:dyDescent="0.15">
      <c r="A16" s="1" t="s">
        <v>965</v>
      </c>
      <c r="C16" s="142" t="str">
        <f>IF(OthSpecRev!I74=0,"ALL IS OK","ERROR YOU MUST FIX")</f>
        <v>ALL IS OK</v>
      </c>
    </row>
    <row r="17" spans="1:3" x14ac:dyDescent="0.15">
      <c r="A17" s="1" t="s">
        <v>966</v>
      </c>
      <c r="C17" s="142" t="str">
        <f>IF(BondRedm!I51=0,"ALL IS OK","ERROR YOU MUST FIX")</f>
        <v>ALL IS OK</v>
      </c>
    </row>
    <row r="18" spans="1:3" x14ac:dyDescent="0.15">
      <c r="A18" s="1" t="s">
        <v>1670</v>
      </c>
      <c r="C18" s="142" t="str">
        <f>IF([1]NonVoterDebt!I52=0,"ALL IS OK","ERROR YOU MUST FIX")</f>
        <v>ALL IS OK</v>
      </c>
    </row>
    <row r="19" spans="1:3" x14ac:dyDescent="0.15">
      <c r="A19" s="1" t="s">
        <v>967</v>
      </c>
      <c r="C19" s="142" t="str">
        <f>IF(BuildFund!I58=0,"ALL IS OK","ERROR YOU MUST FIX")</f>
        <v>ALL IS OK</v>
      </c>
    </row>
    <row r="20" spans="1:3" x14ac:dyDescent="0.15">
      <c r="A20" s="1" t="s">
        <v>968</v>
      </c>
      <c r="C20" s="142" t="str">
        <f>IF(SpecBuild!I45=0,"ALL IS OK","ERROR YOU MUST FIX")</f>
        <v>ALL IS OK</v>
      </c>
    </row>
    <row r="21" spans="1:3" x14ac:dyDescent="0.15">
      <c r="A21" s="1" t="s">
        <v>975</v>
      </c>
      <c r="C21" s="142" t="str">
        <f>IF(CapResCapPrj!I95=0,"ALL IS OK","ERROR YOU MUST FIX")</f>
        <v>ALL IS OK</v>
      </c>
    </row>
    <row r="22" spans="1:3" x14ac:dyDescent="0.15">
      <c r="A22" s="1" t="s">
        <v>976</v>
      </c>
      <c r="C22" s="142" t="str">
        <f>IF(FoodServ!I62=0,"ALL IS OK","ERROR YOU MUST FIX")</f>
        <v>ALL IS OK</v>
      </c>
    </row>
    <row r="23" spans="1:3" x14ac:dyDescent="0.15">
      <c r="A23" s="1" t="s">
        <v>915</v>
      </c>
      <c r="C23" s="142" t="str">
        <f>IF(OtherEnterprise!I52=0,"ALL IS OK","ERROR YOU MUST FIX")</f>
        <v>ALL IS OK</v>
      </c>
    </row>
    <row r="24" spans="1:3" x14ac:dyDescent="0.15">
      <c r="A24" s="1" t="s">
        <v>916</v>
      </c>
      <c r="C24" s="142" t="str">
        <f>IF(RiskRelated!I50=0,"ALL IS OK","ERROR YOU MUST FIX")</f>
        <v>ALL IS OK</v>
      </c>
    </row>
    <row r="25" spans="1:3" x14ac:dyDescent="0.15">
      <c r="A25" s="1" t="s">
        <v>917</v>
      </c>
      <c r="C25" s="142" t="str">
        <f>IF(OtherInternal!I54=0,"ALL IS OK","ERROR YOU MUST FIX")</f>
        <v>ALL IS OK</v>
      </c>
    </row>
    <row r="26" spans="1:3" x14ac:dyDescent="0.15">
      <c r="A26" s="1" t="s">
        <v>918</v>
      </c>
      <c r="C26" s="142" t="str">
        <f>IF(PupilActAgency!I64=0,"ALL IS OK","ERROR YOU MUST FIX")</f>
        <v>ALL IS OK</v>
      </c>
    </row>
    <row r="27" spans="1:3" x14ac:dyDescent="0.15">
      <c r="A27" s="1" t="s">
        <v>920</v>
      </c>
      <c r="C27" s="142" t="str">
        <f>IF('Trust&amp;Agency'!I63=0,"ALL IS OK","ERROR YOU MUST FIX")</f>
        <v>ALL IS OK</v>
      </c>
    </row>
    <row r="28" spans="1:3" x14ac:dyDescent="0.15">
      <c r="A28" s="1" t="s">
        <v>959</v>
      </c>
      <c r="C28" s="142" t="str">
        <f>IF('Foundation Fund'!I63=0,"ALL IS OK","ERROR YOU MUST FIX")</f>
        <v>ALL IS OK</v>
      </c>
    </row>
    <row r="29" spans="1:3" x14ac:dyDescent="0.15">
      <c r="A29" s="1" t="s">
        <v>371</v>
      </c>
      <c r="C29" s="142" t="str">
        <f>IF(Arbitrage!H38=0,"ALL IS OK","ERROR YOU MUST FIX")</f>
        <v>ALL IS OK</v>
      </c>
    </row>
    <row r="30" spans="1:3" x14ac:dyDescent="0.15">
      <c r="A30" s="1"/>
    </row>
    <row r="31" spans="1:3" x14ac:dyDescent="0.15">
      <c r="A31" s="1"/>
    </row>
    <row r="33" spans="1:5" x14ac:dyDescent="0.15">
      <c r="A33" s="18" t="s">
        <v>1661</v>
      </c>
    </row>
    <row r="34" spans="1:5" x14ac:dyDescent="0.15">
      <c r="A34" s="21" t="s">
        <v>49</v>
      </c>
      <c r="C34" s="623" t="str">
        <f>IF(GenFundREV!I105=SUM(Arbitrage!G19-CharterFundRev!I103),"ALL IS OK","ERROR--YOU MUST FIX")</f>
        <v>ALL IS OK</v>
      </c>
    </row>
    <row r="35" spans="1:5" x14ac:dyDescent="0.15">
      <c r="A35" s="21" t="s">
        <v>562</v>
      </c>
    </row>
    <row r="36" spans="1:5" x14ac:dyDescent="0.15">
      <c r="A36" s="21"/>
    </row>
    <row r="38" spans="1:5" x14ac:dyDescent="0.15">
      <c r="A38" s="18" t="s">
        <v>1662</v>
      </c>
    </row>
    <row r="39" spans="1:5" x14ac:dyDescent="0.15">
      <c r="C39" s="623" t="str">
        <f>IF(GenFundREV!I106='CPP Fund'!I14,"ALL IS OK","ERROR--YOU MUST FIX")</f>
        <v>ALL IS OK</v>
      </c>
    </row>
    <row r="42" spans="1:5" x14ac:dyDescent="0.15">
      <c r="D42" s="108"/>
    </row>
    <row r="43" spans="1:5" ht="12.75" x14ac:dyDescent="0.2">
      <c r="A43" s="105" t="s">
        <v>1663</v>
      </c>
      <c r="D43" s="1"/>
      <c r="E43" s="123"/>
    </row>
    <row r="44" spans="1:5" x14ac:dyDescent="0.15">
      <c r="A44" s="108"/>
      <c r="D44" s="1"/>
      <c r="E44" s="123"/>
    </row>
    <row r="45" spans="1:5" x14ac:dyDescent="0.15">
      <c r="A45" s="1" t="s">
        <v>421</v>
      </c>
      <c r="C45" s="109">
        <f>+GenFundREV!I94-GenFundREV!I113</f>
        <v>0</v>
      </c>
      <c r="D45" s="1"/>
      <c r="E45" s="123"/>
    </row>
    <row r="46" spans="1:5" x14ac:dyDescent="0.15">
      <c r="A46" s="1" t="s">
        <v>1634</v>
      </c>
      <c r="C46" s="109">
        <f>+CharterFundRev!I92-CharterFundRev!I111</f>
        <v>0</v>
      </c>
      <c r="D46" s="1"/>
      <c r="E46" s="123"/>
    </row>
    <row r="47" spans="1:5" x14ac:dyDescent="0.15">
      <c r="A47" s="1" t="s">
        <v>1125</v>
      </c>
      <c r="C47" s="109">
        <f>+InsResv!I12-InsResv!I21</f>
        <v>0</v>
      </c>
      <c r="D47" s="1" t="s">
        <v>1666</v>
      </c>
      <c r="E47" s="123"/>
    </row>
    <row r="48" spans="1:5" x14ac:dyDescent="0.15">
      <c r="A48" s="1" t="s">
        <v>1488</v>
      </c>
      <c r="C48" s="109">
        <f>+'CPP Fund'!I13+'CPP Fund'!I22</f>
        <v>0</v>
      </c>
      <c r="D48" s="1"/>
      <c r="E48" s="123"/>
    </row>
    <row r="49" spans="1:5" hidden="1" x14ac:dyDescent="0.15">
      <c r="A49" s="392" t="s">
        <v>1640</v>
      </c>
      <c r="B49" s="289"/>
      <c r="C49" s="394">
        <f>+ARRAGrants!J71-ARRAGrants!J91</f>
        <v>0</v>
      </c>
      <c r="D49" s="1"/>
      <c r="E49" s="123"/>
    </row>
    <row r="50" spans="1:5" s="289" customFormat="1" x14ac:dyDescent="0.15">
      <c r="A50" s="1" t="s">
        <v>795</v>
      </c>
      <c r="B50"/>
      <c r="C50" s="394">
        <f>+CapRes!I19-CapRes!I30</f>
        <v>0</v>
      </c>
      <c r="D50" s="392"/>
      <c r="E50" s="290"/>
    </row>
    <row r="51" spans="1:5" x14ac:dyDescent="0.15">
      <c r="A51" s="1" t="s">
        <v>994</v>
      </c>
      <c r="C51" s="109">
        <f>+GovGrants!J71-GovGrants!J91</f>
        <v>0</v>
      </c>
      <c r="D51" s="1"/>
      <c r="E51" s="123"/>
    </row>
    <row r="52" spans="1:5" x14ac:dyDescent="0.15">
      <c r="A52" s="1" t="s">
        <v>963</v>
      </c>
      <c r="C52" s="109">
        <f>+PupActiv!I14-PupActiv!I22</f>
        <v>0</v>
      </c>
      <c r="D52" s="1"/>
      <c r="E52" s="123"/>
    </row>
    <row r="53" spans="1:5" x14ac:dyDescent="0.15">
      <c r="A53" s="392" t="s">
        <v>370</v>
      </c>
      <c r="B53" s="289"/>
      <c r="C53" s="394">
        <f>FullDayKOverride!I17</f>
        <v>0</v>
      </c>
      <c r="D53" s="1"/>
      <c r="E53" s="123"/>
    </row>
    <row r="54" spans="1:5" x14ac:dyDescent="0.15">
      <c r="A54" s="1" t="s">
        <v>964</v>
      </c>
      <c r="C54" s="109">
        <f>Transp!I17</f>
        <v>0</v>
      </c>
      <c r="D54" s="1"/>
      <c r="E54" s="123"/>
    </row>
    <row r="55" spans="1:5" x14ac:dyDescent="0.15">
      <c r="A55" s="1" t="s">
        <v>965</v>
      </c>
      <c r="C55" s="109">
        <f>+OthSpecRev!I13-OthSpecRev!I21</f>
        <v>0</v>
      </c>
      <c r="D55" s="1"/>
      <c r="E55" s="123"/>
    </row>
    <row r="56" spans="1:5" x14ac:dyDescent="0.15">
      <c r="A56" s="1" t="s">
        <v>966</v>
      </c>
      <c r="C56" s="109">
        <f>+BondRedm!I19-BondRedm!I27</f>
        <v>0</v>
      </c>
      <c r="D56" s="1"/>
      <c r="E56" s="123"/>
    </row>
    <row r="57" spans="1:5" x14ac:dyDescent="0.15">
      <c r="A57" s="1" t="s">
        <v>1670</v>
      </c>
      <c r="C57" s="109">
        <f>+[1]NonVoterDebt!I20-[1]NonVoterDebt!I28</f>
        <v>0</v>
      </c>
      <c r="D57" s="1"/>
      <c r="E57" s="123"/>
    </row>
    <row r="58" spans="1:5" x14ac:dyDescent="0.15">
      <c r="A58" s="1" t="s">
        <v>967</v>
      </c>
      <c r="C58" s="109">
        <f>+BuildFund!I15-BuildFund!I23</f>
        <v>0</v>
      </c>
      <c r="D58" s="1"/>
      <c r="E58" s="123"/>
    </row>
    <row r="59" spans="1:5" x14ac:dyDescent="0.15">
      <c r="A59" s="1" t="s">
        <v>968</v>
      </c>
      <c r="C59" s="109">
        <f>SpecBuild!I12</f>
        <v>0</v>
      </c>
      <c r="D59" s="1"/>
      <c r="E59" s="123"/>
    </row>
    <row r="60" spans="1:5" x14ac:dyDescent="0.15">
      <c r="A60" s="1" t="s">
        <v>975</v>
      </c>
      <c r="C60" s="109">
        <f>+CapResCapPrj!I19-CapResCapPrj!I30</f>
        <v>0</v>
      </c>
      <c r="D60" s="1"/>
      <c r="E60" s="123"/>
    </row>
    <row r="61" spans="1:5" x14ac:dyDescent="0.15">
      <c r="A61" s="1" t="s">
        <v>976</v>
      </c>
      <c r="C61" s="109">
        <f>+FoodServ!I19-FoodServ!I27</f>
        <v>0</v>
      </c>
      <c r="D61" s="1"/>
      <c r="E61" s="123"/>
    </row>
    <row r="62" spans="1:5" x14ac:dyDescent="0.15">
      <c r="A62" s="1" t="s">
        <v>915</v>
      </c>
      <c r="C62" s="109">
        <f>+OtherEnterprise!I14-OtherEnterprise!I22</f>
        <v>0</v>
      </c>
      <c r="D62" s="1"/>
      <c r="E62" s="123"/>
    </row>
    <row r="63" spans="1:5" x14ac:dyDescent="0.15">
      <c r="A63" s="1" t="s">
        <v>916</v>
      </c>
      <c r="C63" s="109">
        <f>+RiskRelated!I12-RiskRelated!I20</f>
        <v>0</v>
      </c>
      <c r="D63" s="1"/>
      <c r="E63" s="123"/>
    </row>
    <row r="64" spans="1:5" x14ac:dyDescent="0.15">
      <c r="A64" s="1" t="s">
        <v>917</v>
      </c>
      <c r="C64" s="109">
        <f>+OtherInternal!I16-OtherInternal!I24</f>
        <v>0</v>
      </c>
      <c r="D64" s="1"/>
      <c r="E64" s="123"/>
    </row>
    <row r="65" spans="1:5" x14ac:dyDescent="0.15">
      <c r="A65" s="1" t="s">
        <v>918</v>
      </c>
      <c r="C65" s="109">
        <f>+PupilActAgency!I11-PupilActAgency!I19</f>
        <v>0</v>
      </c>
      <c r="D65" s="1"/>
      <c r="E65" s="123"/>
    </row>
    <row r="66" spans="1:5" x14ac:dyDescent="0.15">
      <c r="A66" s="1" t="s">
        <v>920</v>
      </c>
      <c r="C66" s="109">
        <f>+'Trust&amp;Agency'!I10-'Trust&amp;Agency'!I18</f>
        <v>0</v>
      </c>
      <c r="E66" s="131"/>
    </row>
    <row r="67" spans="1:5" x14ac:dyDescent="0.15">
      <c r="A67" s="1" t="s">
        <v>959</v>
      </c>
      <c r="C67" s="109">
        <f>+'Foundation Fund'!I10-'Foundation Fund'!I18</f>
        <v>0</v>
      </c>
      <c r="E67" s="123"/>
    </row>
    <row r="68" spans="1:5" x14ac:dyDescent="0.15">
      <c r="A68" s="1" t="s">
        <v>921</v>
      </c>
      <c r="C68" s="109">
        <f>+Arbitrage!G20-Arbitrage!G25</f>
        <v>0</v>
      </c>
    </row>
    <row r="70" spans="1:5" x14ac:dyDescent="0.15">
      <c r="C70" s="122">
        <f>SUM(C45:C69)</f>
        <v>0</v>
      </c>
    </row>
    <row r="71" spans="1:5" ht="12.75" x14ac:dyDescent="0.2">
      <c r="A71" s="105" t="s">
        <v>1607</v>
      </c>
      <c r="C71" s="141" t="str">
        <f>IF(C70=0, "ALL IS OK", "ERROR YOU MUST FIX")</f>
        <v>ALL IS OK</v>
      </c>
    </row>
    <row r="72" spans="1:5" x14ac:dyDescent="0.15">
      <c r="A72" s="6"/>
      <c r="C72" s="131"/>
    </row>
    <row r="73" spans="1:5" ht="12.75" x14ac:dyDescent="0.2">
      <c r="A73" s="105" t="s">
        <v>1664</v>
      </c>
    </row>
    <row r="74" spans="1:5" ht="12.75" x14ac:dyDescent="0.2">
      <c r="A74" s="37" t="s">
        <v>1139</v>
      </c>
    </row>
    <row r="75" spans="1:5" ht="12.75" x14ac:dyDescent="0.2">
      <c r="A75" s="37" t="s">
        <v>1140</v>
      </c>
      <c r="C75" s="109">
        <f>GenFundExp2!I558*0.15</f>
        <v>0</v>
      </c>
    </row>
    <row r="76" spans="1:5" ht="12.75" x14ac:dyDescent="0.2">
      <c r="A76" s="126" t="s">
        <v>1141</v>
      </c>
      <c r="C76" s="109">
        <f>GenFundExp2!I556</f>
        <v>0</v>
      </c>
    </row>
    <row r="77" spans="1:5" ht="12.75" x14ac:dyDescent="0.2">
      <c r="A77" s="125"/>
      <c r="C77" s="142" t="str">
        <f>IF(C76&lt;=0.15*(GenFundExp2!I540+GenFundExp2!I550+GenFundExp2!I556),"ALL IS OK","ERROR YOU MUST FIX")</f>
        <v>ALL IS OK</v>
      </c>
    </row>
    <row r="78" spans="1:5" x14ac:dyDescent="0.15">
      <c r="A78" s="326"/>
      <c r="B78" s="289"/>
      <c r="C78" s="289"/>
      <c r="D78" s="289"/>
    </row>
    <row r="79" spans="1:5" x14ac:dyDescent="0.15">
      <c r="A79" s="326"/>
      <c r="B79" s="289"/>
      <c r="C79" s="289"/>
      <c r="D79" s="289"/>
    </row>
    <row r="80" spans="1:5" ht="12.75" x14ac:dyDescent="0.2">
      <c r="A80" s="722" t="s">
        <v>1665</v>
      </c>
      <c r="B80" s="289"/>
      <c r="C80" s="289"/>
      <c r="D80" s="289"/>
    </row>
    <row r="81" spans="1:8" x14ac:dyDescent="0.15">
      <c r="A81" s="326" t="s">
        <v>1454</v>
      </c>
      <c r="B81" s="289"/>
      <c r="C81" s="289"/>
      <c r="D81" s="289"/>
    </row>
    <row r="82" spans="1:8" x14ac:dyDescent="0.15">
      <c r="A82" s="326" t="s">
        <v>1455</v>
      </c>
      <c r="B82" s="289"/>
      <c r="C82" s="289">
        <f t="array" ref="C82">SUM(IF(CertFund=RIGHT(LEFT($A$81,7),2),CertSalary))</f>
        <v>0</v>
      </c>
      <c r="D82" s="289"/>
    </row>
    <row r="83" spans="1:8" x14ac:dyDescent="0.15">
      <c r="A83" s="326" t="s">
        <v>1456</v>
      </c>
      <c r="B83" s="289"/>
      <c r="C83" s="289">
        <f>SUM(GenFundExp!G11+GenFundExp!G47+GenFundExp!G83+GenFundExp!G119+GenFundExp!G155+GenFundExp!G191+GenFundExp!G226+GenFundExp!G262+GenFundExp!G298+GenFundExp!G334+GenFundExp!G371+GenFundExp!G408+GenFundExp!G445+GenFundExp!G482+GenFundExp!G519+GenFundExp!G556+GenFundExp!G593+GenFundExp!G630+GenFundExp!G668+GenFundExp!G705+GenFundExp!G742+GenFundExp!G779+GenFundExp!G816+GenFundExp!G853+GenFundExp!G890+GenFundExp!G927+GenFundExp!G964+GenFundExp!G1001+GenFundExp!G1038)+SUM(GenFundExp2!G10+GenFundExp2!G47+GenFundExp2!G84+GenFundExp2!G121+GenFundExp2!G152+GenFundExp2!G190+GenFundExp2!G221+GenFundExp2!G254+GenFundExp2!G294+GenFundExp2!G326+GenFundExp2!G356+GenFundExp2!G387+GenFundExp2!G410+GenFundExp2!G433+GenFundExp2!G464+GenFundExp2!G495)</f>
        <v>0</v>
      </c>
      <c r="D83" s="289"/>
    </row>
    <row r="84" spans="1:8" x14ac:dyDescent="0.15">
      <c r="A84" s="326" t="s">
        <v>1459</v>
      </c>
      <c r="B84" s="289"/>
      <c r="C84" s="289">
        <f>+C82-C83</f>
        <v>0</v>
      </c>
      <c r="D84" s="289"/>
    </row>
    <row r="85" spans="1:8" x14ac:dyDescent="0.15">
      <c r="A85" s="326"/>
      <c r="B85" s="289"/>
      <c r="C85" s="723" t="str">
        <f>IF(C84=0, "ALL IS OK", "ERROR YOU MUST FIX")</f>
        <v>ALL IS OK</v>
      </c>
      <c r="D85" s="289"/>
    </row>
    <row r="86" spans="1:8" x14ac:dyDescent="0.15">
      <c r="A86" s="326" t="s">
        <v>1454</v>
      </c>
      <c r="B86" s="289"/>
      <c r="C86" s="289"/>
      <c r="D86" s="289"/>
    </row>
    <row r="87" spans="1:8" x14ac:dyDescent="0.15">
      <c r="A87" s="326" t="s">
        <v>1457</v>
      </c>
      <c r="B87" s="289"/>
      <c r="C87" s="289">
        <f t="array" ref="C87">SUM(IF(CertFund=RIGHT(LEFT($A$86,7),2),CertBen))</f>
        <v>0</v>
      </c>
      <c r="D87" s="289"/>
    </row>
    <row r="88" spans="1:8" x14ac:dyDescent="0.15">
      <c r="A88" s="326" t="s">
        <v>1458</v>
      </c>
      <c r="B88" s="289"/>
      <c r="C88" s="289">
        <f>SUM(GenFundExp!G13+GenFundExp!G49+GenFundExp!G85+GenFundExp!G121+GenFundExp!G157+GenFundExp!G193+GenFundExp!G228+GenFundExp!G264+GenFundExp!G300+GenFundExp!G336+GenFundExp!G373+GenFundExp!G410+GenFundExp!G447+GenFundExp!G484+GenFundExp!G521+GenFundExp!G558+GenFundExp!G595+GenFundExp!G632+GenFundExp!G670+GenFundExp!G707+GenFundExp!G744+GenFundExp!G781+GenFundExp!G818+GenFundExp!G855+GenFundExp!G892+GenFundExp!G929+GenFundExp!G966+GenFundExp!G1003+GenFundExp!G1040)+SUM(GenFundExp2!G12+GenFundExp2!G49+GenFundExp2!G86+GenFundExp2!G123+GenFundExp2!G154+GenFundExp2!G192+GenFundExp2!G223+GenFundExp2!G256+GenFundExp2!G296+GenFundExp2!G328+GenFundExp2!G358+GenFundExp2!G389+GenFundExp2!G412+GenFundExp2!G435+GenFundExp2!G466+GenFundExp2!G497)</f>
        <v>0</v>
      </c>
      <c r="D88" s="289"/>
    </row>
    <row r="89" spans="1:8" x14ac:dyDescent="0.15">
      <c r="A89" s="326" t="s">
        <v>1459</v>
      </c>
      <c r="B89" s="289"/>
      <c r="C89" s="289">
        <f>+C87-C88</f>
        <v>0</v>
      </c>
      <c r="D89" s="289"/>
    </row>
    <row r="90" spans="1:8" x14ac:dyDescent="0.15">
      <c r="A90" s="326"/>
      <c r="B90" s="289"/>
      <c r="C90" s="723" t="str">
        <f>IF(C89=0, "ALL IS OK", "ERROR YOU MUST FIX")</f>
        <v>ALL IS OK</v>
      </c>
      <c r="D90" s="289"/>
    </row>
    <row r="91" spans="1:8" x14ac:dyDescent="0.15">
      <c r="A91" s="326"/>
      <c r="B91" s="289"/>
      <c r="C91" s="289"/>
      <c r="D91" s="289"/>
    </row>
    <row r="92" spans="1:8" x14ac:dyDescent="0.15">
      <c r="A92" s="326" t="s">
        <v>1460</v>
      </c>
      <c r="B92" s="289"/>
      <c r="C92" s="289"/>
      <c r="D92" s="289"/>
    </row>
    <row r="93" spans="1:8" x14ac:dyDescent="0.15">
      <c r="A93" s="326" t="s">
        <v>1455</v>
      </c>
      <c r="B93" s="289"/>
      <c r="C93" s="289">
        <f t="array" ref="C93">SUM(IF(CertFund=RIGHT(LEFT($A$92,7),2),CertSalary))</f>
        <v>0</v>
      </c>
      <c r="D93" s="289"/>
    </row>
    <row r="94" spans="1:8" x14ac:dyDescent="0.15">
      <c r="A94" s="326" t="s">
        <v>1462</v>
      </c>
      <c r="B94" s="289"/>
      <c r="C94" s="289">
        <f>SUM(CharterFundExp!G11+CharterFundExp!G47+CharterFundExp!G83+CharterFundExp!G119+CharterFundExp!G155+CharterFundExp!G191+CharterFundExp!G226+CharterFundExp!G262+CharterFundExp!G298+CharterFundExp!G334+CharterFundExp!G371+CharterFundExp!G408+CharterFundExp!G445+CharterFundExp!G482+CharterFundExp!G519+CharterFundExp!G556+CharterFundExp!G593+CharterFundExp!G630+CharterFundExp!G668+CharterFundExp!G705+CharterFundExp!G742+CharterFundExp!G779+CharterFundExp!G816+CharterFundExp!G853+CharterFundExp!G890+CharterFundExp!G927+CharterFundExp!G964+CharterFundExp!G1001+CharterFundExp!G1038)+SUM(CharterFundExp2!G10+CharterFundExp2!G47+CharterFundExp2!G84+CharterFundExp2!G121+CharterFundExp2!G152+CharterFundExp2!G190+CharterFundExp2!G221+CharterFundExp2!G254+CharterFundExp2!G294+CharterFundExp2!G326+CharterFundExp2!G356+CharterFundExp2!G387+CharterFundExp2!G410+CharterFundExp2!G433+CharterFundExp2!G464+CharterFundExp2!G495)</f>
        <v>0</v>
      </c>
      <c r="D94" s="289"/>
      <c r="H94" s="3"/>
    </row>
    <row r="95" spans="1:8" x14ac:dyDescent="0.15">
      <c r="A95" s="326" t="s">
        <v>1459</v>
      </c>
      <c r="B95" s="289"/>
      <c r="C95" s="289">
        <f>+C93-C94</f>
        <v>0</v>
      </c>
      <c r="D95" s="289"/>
      <c r="H95" s="3"/>
    </row>
    <row r="96" spans="1:8" x14ac:dyDescent="0.15">
      <c r="A96" s="326"/>
      <c r="B96" s="289"/>
      <c r="C96" s="723" t="str">
        <f>IF(C95=0, "ALL IS OK", "ERROR YOU MUST FIX")</f>
        <v>ALL IS OK</v>
      </c>
      <c r="D96" s="289"/>
      <c r="H96" s="3"/>
    </row>
    <row r="97" spans="1:8" x14ac:dyDescent="0.15">
      <c r="A97" s="326" t="s">
        <v>1460</v>
      </c>
      <c r="B97" s="289"/>
      <c r="C97" s="289"/>
      <c r="D97" s="289"/>
      <c r="H97" s="3"/>
    </row>
    <row r="98" spans="1:8" x14ac:dyDescent="0.15">
      <c r="A98" s="326" t="s">
        <v>1457</v>
      </c>
      <c r="B98" s="289"/>
      <c r="C98" s="289">
        <f t="array" ref="C98">SUM(IF(CertFund=RIGHT(LEFT($A$97,7),2),CertBen))</f>
        <v>0</v>
      </c>
      <c r="D98" s="289"/>
      <c r="H98" s="3"/>
    </row>
    <row r="99" spans="1:8" x14ac:dyDescent="0.15">
      <c r="A99" s="326" t="s">
        <v>1463</v>
      </c>
      <c r="B99" s="289"/>
      <c r="C99" s="289">
        <f>SUM(CharterFundExp!G13+CharterFundExp!G49+CharterFundExp!G85+CharterFundExp!G121+CharterFundExp!G157+CharterFundExp!G193+CharterFundExp!G228+CharterFundExp!G264+CharterFundExp!G300+CharterFundExp!G336+CharterFundExp!G373+CharterFundExp!G410+CharterFundExp!G447+CharterFundExp!G484+CharterFundExp!G521+CharterFundExp!G558+CharterFundExp!G595+CharterFundExp!G632+CharterFundExp!G670+CharterFundExp!G707+CharterFundExp!G744+CharterFundExp!G781+CharterFundExp!G818+CharterFundExp!G855+CharterFundExp!G892+CharterFundExp!G929+CharterFundExp!G966+CharterFundExp!G1003+CharterFundExp!G1040)+SUM(CharterFundExp2!G12+CharterFundExp2!G49+CharterFundExp2!G86+CharterFundExp2!G123+CharterFundExp2!G154+CharterFundExp2!G192+CharterFundExp2!G223+CharterFundExp2!G256+CharterFundExp2!G296+CharterFundExp2!G328+CharterFundExp2!G358+CharterFundExp2!G389+CharterFundExp2!G412+CharterFundExp2!G435+CharterFundExp2!G466+CharterFundExp2!G497)</f>
        <v>0</v>
      </c>
      <c r="D99" s="289"/>
      <c r="H99" s="3"/>
    </row>
    <row r="100" spans="1:8" x14ac:dyDescent="0.15">
      <c r="A100" s="326" t="s">
        <v>1459</v>
      </c>
      <c r="B100" s="289"/>
      <c r="C100" s="289">
        <f>+C98-C99</f>
        <v>0</v>
      </c>
      <c r="D100" s="289"/>
      <c r="H100" s="3"/>
    </row>
    <row r="101" spans="1:8" x14ac:dyDescent="0.15">
      <c r="A101" s="326"/>
      <c r="B101" s="289"/>
      <c r="C101" s="723" t="str">
        <f>IF(C100=0, "ALL IS OK", "ERROR YOU MUST FIX")</f>
        <v>ALL IS OK</v>
      </c>
      <c r="D101" s="289"/>
      <c r="H101" s="3"/>
    </row>
    <row r="102" spans="1:8" x14ac:dyDescent="0.15">
      <c r="A102" s="289"/>
      <c r="B102" s="326"/>
      <c r="C102" s="326"/>
      <c r="D102" s="289"/>
      <c r="H102" s="3"/>
    </row>
    <row r="103" spans="1:8" x14ac:dyDescent="0.15">
      <c r="A103" s="326" t="s">
        <v>1461</v>
      </c>
      <c r="B103" s="289"/>
      <c r="C103" s="289"/>
      <c r="D103" s="289"/>
      <c r="H103" s="3"/>
    </row>
    <row r="104" spans="1:8" x14ac:dyDescent="0.15">
      <c r="A104" s="326" t="s">
        <v>1455</v>
      </c>
      <c r="B104" s="289"/>
      <c r="C104" s="289">
        <f t="array" ref="C104">SUM(IF(CertFund=RIGHT(LEFT($A$103,7),2),CertSalary))</f>
        <v>0</v>
      </c>
      <c r="D104" s="289"/>
      <c r="H104" s="3"/>
    </row>
    <row r="105" spans="1:8" x14ac:dyDescent="0.15">
      <c r="A105" s="326" t="s">
        <v>1464</v>
      </c>
      <c r="B105" s="289"/>
      <c r="C105" s="289">
        <f>'CPP Fund'!G28+'CPP Fund'!G75</f>
        <v>0</v>
      </c>
      <c r="D105" s="289"/>
      <c r="H105" s="3"/>
    </row>
    <row r="106" spans="1:8" x14ac:dyDescent="0.15">
      <c r="A106" s="326" t="s">
        <v>1459</v>
      </c>
      <c r="B106" s="289"/>
      <c r="C106" s="289">
        <f>+C104-C105</f>
        <v>0</v>
      </c>
      <c r="D106" s="289"/>
      <c r="H106" s="3"/>
    </row>
    <row r="107" spans="1:8" x14ac:dyDescent="0.15">
      <c r="A107" s="326"/>
      <c r="B107" s="289"/>
      <c r="C107" s="723" t="str">
        <f>IF(C106=0, "ALL IS OK", "ERROR YOU MUST FIX")</f>
        <v>ALL IS OK</v>
      </c>
      <c r="D107" s="289"/>
      <c r="H107" s="3"/>
    </row>
    <row r="108" spans="1:8" x14ac:dyDescent="0.15">
      <c r="A108" s="326" t="s">
        <v>1461</v>
      </c>
      <c r="B108" s="289"/>
      <c r="C108" s="289"/>
      <c r="D108" s="289"/>
      <c r="H108" s="3"/>
    </row>
    <row r="109" spans="1:8" x14ac:dyDescent="0.15">
      <c r="A109" s="326" t="s">
        <v>1457</v>
      </c>
      <c r="B109" s="289"/>
      <c r="C109" s="289">
        <f t="array" ref="C109">SUM(IF(CertFund=RIGHT(LEFT($A$108,7),2),CertBen))</f>
        <v>0</v>
      </c>
      <c r="D109" s="289"/>
      <c r="H109" s="3"/>
    </row>
    <row r="110" spans="1:8" x14ac:dyDescent="0.15">
      <c r="A110" s="326" t="s">
        <v>1465</v>
      </c>
      <c r="B110" s="289"/>
      <c r="C110" s="289">
        <f>'CPP Fund'!G30+'CPP Fund'!G77</f>
        <v>0</v>
      </c>
      <c r="D110" s="289"/>
      <c r="H110" s="3"/>
    </row>
    <row r="111" spans="1:8" x14ac:dyDescent="0.15">
      <c r="A111" s="326" t="s">
        <v>1459</v>
      </c>
      <c r="B111" s="289"/>
      <c r="C111" s="289">
        <f>+C109-C110</f>
        <v>0</v>
      </c>
      <c r="D111" s="289"/>
      <c r="H111" s="3"/>
    </row>
    <row r="112" spans="1:8" x14ac:dyDescent="0.15">
      <c r="A112" s="326"/>
      <c r="B112" s="289"/>
      <c r="C112" s="723" t="str">
        <f>IF(C111=0, "ALL IS OK", "ERROR YOU MUST FIX")</f>
        <v>ALL IS OK</v>
      </c>
      <c r="D112" s="289"/>
      <c r="G112" s="3"/>
      <c r="H112" s="3"/>
    </row>
    <row r="113" spans="1:8" hidden="1" x14ac:dyDescent="0.15">
      <c r="A113" s="289"/>
      <c r="B113" s="326"/>
      <c r="C113" s="326"/>
      <c r="D113" s="289"/>
      <c r="G113" s="3"/>
      <c r="H113" s="3"/>
    </row>
    <row r="114" spans="1:8" hidden="1" x14ac:dyDescent="0.15">
      <c r="A114" s="326" t="s">
        <v>1466</v>
      </c>
      <c r="B114" s="289"/>
      <c r="C114" s="289"/>
      <c r="D114" s="289"/>
      <c r="E114" s="3"/>
      <c r="F114" s="3"/>
      <c r="G114" s="3"/>
      <c r="H114" s="3"/>
    </row>
    <row r="115" spans="1:8" hidden="1" x14ac:dyDescent="0.15">
      <c r="A115" s="326" t="s">
        <v>1455</v>
      </c>
      <c r="B115" s="289"/>
      <c r="C115" s="289">
        <f t="array" ref="C115">SUM(IF(CertFund=RIGHT(LEFT($A$114,7),2),CertSalary))</f>
        <v>0</v>
      </c>
      <c r="D115" s="289"/>
      <c r="F115" s="3"/>
      <c r="G115" s="3"/>
      <c r="H115" s="3"/>
    </row>
    <row r="116" spans="1:8" hidden="1" x14ac:dyDescent="0.15">
      <c r="A116" s="326" t="s">
        <v>732</v>
      </c>
      <c r="B116" s="289"/>
      <c r="C116" s="289">
        <f>'Fund 20 Grants'!X14+'Fund 20 Grants'!X24+'Fund 20 Grants'!X34+'Fund 20 Grants'!X44+'Fund 20 Grants'!X54+'Fund 20 Grants'!X70+'Fund 20 Grants'!X81+'Fund 20 Grants'!X93</f>
        <v>0</v>
      </c>
      <c r="D116" s="289"/>
      <c r="E116" s="3"/>
      <c r="F116" s="3"/>
      <c r="G116" s="3"/>
      <c r="H116" s="3"/>
    </row>
    <row r="117" spans="1:8" hidden="1" x14ac:dyDescent="0.15">
      <c r="A117" s="326" t="s">
        <v>1459</v>
      </c>
      <c r="B117" s="289"/>
      <c r="C117" s="289">
        <f>+C115-C116</f>
        <v>0</v>
      </c>
      <c r="D117" s="724"/>
      <c r="E117" s="3"/>
      <c r="F117" s="3"/>
      <c r="G117" s="3"/>
      <c r="H117" s="3"/>
    </row>
    <row r="118" spans="1:8" hidden="1" x14ac:dyDescent="0.15">
      <c r="A118" s="326"/>
      <c r="B118" s="289"/>
      <c r="C118" s="723" t="str">
        <f>IF(C117=0, "ALL IS OK", "ERROR YOU MUST FIX")</f>
        <v>ALL IS OK</v>
      </c>
      <c r="D118" s="724"/>
      <c r="E118" s="3"/>
      <c r="F118" s="3"/>
      <c r="G118" s="3"/>
      <c r="H118" s="3"/>
    </row>
    <row r="119" spans="1:8" hidden="1" x14ac:dyDescent="0.15">
      <c r="A119" s="326" t="s">
        <v>1466</v>
      </c>
      <c r="B119" s="289"/>
      <c r="C119" s="289"/>
      <c r="D119" s="724"/>
      <c r="E119" s="3"/>
      <c r="F119" s="3"/>
      <c r="G119" s="3"/>
      <c r="H119" s="3"/>
    </row>
    <row r="120" spans="1:8" hidden="1" x14ac:dyDescent="0.15">
      <c r="A120" s="326" t="s">
        <v>1457</v>
      </c>
      <c r="B120" s="289"/>
      <c r="C120" s="289">
        <f t="array" ref="C120">SUM(IF(CertFund=RIGHT(LEFT($A$119,7),2),CertBen))</f>
        <v>0</v>
      </c>
      <c r="D120" s="724"/>
      <c r="E120" s="3"/>
      <c r="F120" s="3"/>
      <c r="G120" s="3"/>
      <c r="H120" s="3"/>
    </row>
    <row r="121" spans="1:8" hidden="1" x14ac:dyDescent="0.15">
      <c r="A121" s="326" t="s">
        <v>733</v>
      </c>
      <c r="B121" s="289"/>
      <c r="C121" s="289">
        <f>'Fund 20 Grants'!X16+'Fund 20 Grants'!X26+'Fund 20 Grants'!X36+'Fund 20 Grants'!X46+'Fund 20 Grants'!X56+'Fund 20 Grants'!X72+'Fund 20 Grants'!X83+'Fund 20 Grants'!X95</f>
        <v>0</v>
      </c>
      <c r="D121" s="289"/>
    </row>
    <row r="122" spans="1:8" hidden="1" x14ac:dyDescent="0.15">
      <c r="A122" s="326" t="s">
        <v>1459</v>
      </c>
      <c r="B122" s="289"/>
      <c r="C122" s="289">
        <f>+C120-C121</f>
        <v>0</v>
      </c>
      <c r="D122" s="289"/>
    </row>
    <row r="123" spans="1:8" hidden="1" x14ac:dyDescent="0.15">
      <c r="A123" s="326"/>
      <c r="B123" s="289"/>
      <c r="C123" s="723" t="str">
        <f>IF(C122=0, "ALL IS OK", "ERROR YOU MUST FIX")</f>
        <v>ALL IS OK</v>
      </c>
      <c r="D123" s="289"/>
    </row>
    <row r="124" spans="1:8" x14ac:dyDescent="0.15">
      <c r="A124" s="724"/>
      <c r="B124" s="724"/>
      <c r="C124" s="724"/>
      <c r="D124" s="289"/>
    </row>
    <row r="125" spans="1:8" x14ac:dyDescent="0.15">
      <c r="A125" s="326" t="s">
        <v>1467</v>
      </c>
      <c r="B125" s="289"/>
      <c r="C125" s="289"/>
      <c r="D125" s="289"/>
    </row>
    <row r="126" spans="1:8" x14ac:dyDescent="0.15">
      <c r="A126" s="326" t="s">
        <v>1455</v>
      </c>
      <c r="B126" s="289"/>
      <c r="C126" s="289">
        <f t="array" ref="C126">SUM(IF(CertFund=RIGHT(LEFT($A$125,7),2),CertSalary))</f>
        <v>0</v>
      </c>
      <c r="D126" s="289"/>
    </row>
    <row r="127" spans="1:8" x14ac:dyDescent="0.15">
      <c r="A127" s="326" t="s">
        <v>734</v>
      </c>
      <c r="B127" s="289"/>
      <c r="C127" s="289">
        <f>'Fund 22 Grants'!X14+'Fund 22 Grants'!X24+'Fund 22 Grants'!X34+'Fund 22 Grants'!X44+'Fund 22 Grants'!X54+'Fund 22 Grants'!X70+'Fund 22 Grants'!X81+'Fund 22 Grants'!X93</f>
        <v>0</v>
      </c>
      <c r="D127" s="289"/>
    </row>
    <row r="128" spans="1:8" x14ac:dyDescent="0.15">
      <c r="A128" s="326" t="s">
        <v>1459</v>
      </c>
      <c r="B128" s="289"/>
      <c r="C128" s="289">
        <f>+C126-C127</f>
        <v>0</v>
      </c>
      <c r="D128" s="289"/>
    </row>
    <row r="129" spans="1:4" x14ac:dyDescent="0.15">
      <c r="A129" s="326"/>
      <c r="B129" s="289"/>
      <c r="C129" s="723" t="str">
        <f>IF(C128=0, "ALL IS OK", "ERROR YOU MUST FIX")</f>
        <v>ALL IS OK</v>
      </c>
      <c r="D129" s="289"/>
    </row>
    <row r="130" spans="1:4" x14ac:dyDescent="0.15">
      <c r="A130" s="326" t="s">
        <v>1467</v>
      </c>
      <c r="B130" s="289"/>
      <c r="C130" s="289"/>
      <c r="D130" s="289"/>
    </row>
    <row r="131" spans="1:4" x14ac:dyDescent="0.15">
      <c r="A131" s="326" t="s">
        <v>1457</v>
      </c>
      <c r="B131" s="289"/>
      <c r="C131" s="289">
        <f t="array" ref="C131">SUM(IF(CertFund=RIGHT(LEFT($A$130,7),2),CertBen))</f>
        <v>0</v>
      </c>
      <c r="D131" s="289"/>
    </row>
    <row r="132" spans="1:4" x14ac:dyDescent="0.15">
      <c r="A132" s="326" t="s">
        <v>735</v>
      </c>
      <c r="B132" s="289"/>
      <c r="C132" s="289">
        <f>'Fund 22 Grants'!X16+'Fund 22 Grants'!X26+'Fund 22 Grants'!X36+'Fund 22 Grants'!X46+'Fund 22 Grants'!X56+'Fund 22 Grants'!X72+'Fund 22 Grants'!X83+'Fund 22 Grants'!X95</f>
        <v>0</v>
      </c>
      <c r="D132" s="289"/>
    </row>
    <row r="133" spans="1:4" x14ac:dyDescent="0.15">
      <c r="A133" s="326" t="s">
        <v>1459</v>
      </c>
      <c r="B133" s="289"/>
      <c r="C133" s="289">
        <f>+C131-C132</f>
        <v>0</v>
      </c>
      <c r="D133" s="289"/>
    </row>
    <row r="134" spans="1:4" x14ac:dyDescent="0.15">
      <c r="A134" s="326"/>
      <c r="B134" s="289"/>
      <c r="C134" s="723" t="str">
        <f>IF(C133=0, "ALL IS OK", "ERROR YOU MUST FIX")</f>
        <v>ALL IS OK</v>
      </c>
      <c r="D134" s="289"/>
    </row>
    <row r="135" spans="1:4" x14ac:dyDescent="0.15">
      <c r="A135" s="724"/>
      <c r="B135" s="724"/>
      <c r="C135" s="724"/>
      <c r="D135" s="289"/>
    </row>
    <row r="136" spans="1:4" x14ac:dyDescent="0.15">
      <c r="A136" s="326" t="s">
        <v>1468</v>
      </c>
      <c r="B136" s="289"/>
      <c r="C136" s="289"/>
      <c r="D136" s="289"/>
    </row>
    <row r="137" spans="1:4" x14ac:dyDescent="0.15">
      <c r="A137" s="326" t="s">
        <v>1455</v>
      </c>
      <c r="B137" s="289"/>
      <c r="C137" s="289">
        <f t="array" ref="C137">SUM(IF(CertFund=RIGHT(LEFT($A$136,7),2),CertSalary))</f>
        <v>0</v>
      </c>
      <c r="D137" s="289"/>
    </row>
    <row r="138" spans="1:4" x14ac:dyDescent="0.15">
      <c r="A138" s="326" t="s">
        <v>1469</v>
      </c>
      <c r="B138" s="289"/>
      <c r="C138" s="289">
        <f>PupActiv!G29</f>
        <v>0</v>
      </c>
      <c r="D138" s="289"/>
    </row>
    <row r="139" spans="1:4" x14ac:dyDescent="0.15">
      <c r="A139" s="326" t="s">
        <v>1459</v>
      </c>
      <c r="B139" s="289"/>
      <c r="C139" s="289">
        <f>+C137-C138</f>
        <v>0</v>
      </c>
      <c r="D139" s="289"/>
    </row>
    <row r="140" spans="1:4" x14ac:dyDescent="0.15">
      <c r="A140" s="326"/>
      <c r="B140" s="289"/>
      <c r="C140" s="723" t="str">
        <f>IF(C139=0, "ALL IS OK", "ERROR YOU MUST FIX")</f>
        <v>ALL IS OK</v>
      </c>
      <c r="D140" s="289"/>
    </row>
    <row r="141" spans="1:4" x14ac:dyDescent="0.15">
      <c r="A141" s="326" t="s">
        <v>1468</v>
      </c>
      <c r="B141" s="289"/>
      <c r="C141" s="289"/>
      <c r="D141" s="289"/>
    </row>
    <row r="142" spans="1:4" x14ac:dyDescent="0.15">
      <c r="A142" s="326" t="s">
        <v>1457</v>
      </c>
      <c r="B142" s="289"/>
      <c r="C142" s="289">
        <f t="array" ref="C142">SUM(IF(CertFund=RIGHT(LEFT($A$141,7),2),CertBen))</f>
        <v>0</v>
      </c>
      <c r="D142" s="289"/>
    </row>
    <row r="143" spans="1:4" x14ac:dyDescent="0.15">
      <c r="A143" s="326" t="s">
        <v>1470</v>
      </c>
      <c r="B143" s="289"/>
      <c r="C143" s="289">
        <f>PupActiv!G31</f>
        <v>0</v>
      </c>
      <c r="D143" s="289"/>
    </row>
    <row r="144" spans="1:4" x14ac:dyDescent="0.15">
      <c r="A144" s="326" t="s">
        <v>1459</v>
      </c>
      <c r="B144" s="289"/>
      <c r="C144" s="289">
        <f>+C142-C143</f>
        <v>0</v>
      </c>
      <c r="D144" s="289"/>
    </row>
    <row r="145" spans="1:4" x14ac:dyDescent="0.15">
      <c r="A145" s="326"/>
      <c r="B145" s="289"/>
      <c r="C145" s="723" t="str">
        <f>IF(C144=0, "ALL IS OK", "ERROR YOU MUST FIX")</f>
        <v>ALL IS OK</v>
      </c>
      <c r="D145" s="289"/>
    </row>
    <row r="146" spans="1:4" x14ac:dyDescent="0.15">
      <c r="A146" s="724"/>
      <c r="B146" s="724"/>
      <c r="C146" s="724"/>
      <c r="D146" s="289"/>
    </row>
    <row r="147" spans="1:4" x14ac:dyDescent="0.15">
      <c r="A147" s="326" t="s">
        <v>886</v>
      </c>
      <c r="B147" s="289"/>
      <c r="C147" s="289"/>
      <c r="D147" s="289"/>
    </row>
    <row r="148" spans="1:4" x14ac:dyDescent="0.15">
      <c r="A148" s="326" t="s">
        <v>1455</v>
      </c>
      <c r="B148" s="289"/>
      <c r="C148" s="289">
        <f t="array" ref="C148">SUM(IF(CertFund=RIGHT(LEFT($A$147,7),2),CertSalary))</f>
        <v>0</v>
      </c>
      <c r="D148" s="289"/>
    </row>
    <row r="149" spans="1:4" x14ac:dyDescent="0.15">
      <c r="A149" s="326" t="s">
        <v>44</v>
      </c>
      <c r="B149" s="289"/>
      <c r="C149" s="289">
        <f>FullDayKOverride!G25</f>
        <v>0</v>
      </c>
      <c r="D149" s="289"/>
    </row>
    <row r="150" spans="1:4" x14ac:dyDescent="0.15">
      <c r="A150" s="326" t="s">
        <v>1459</v>
      </c>
      <c r="B150" s="289"/>
      <c r="C150" s="289">
        <f>+C148-C149</f>
        <v>0</v>
      </c>
      <c r="D150" s="289"/>
    </row>
    <row r="151" spans="1:4" x14ac:dyDescent="0.15">
      <c r="A151" s="326"/>
      <c r="B151" s="289"/>
      <c r="C151" s="723" t="str">
        <f>IF(C150=0, "ALL IS OK", "ERROR YOU MUST FIX")</f>
        <v>ALL IS OK</v>
      </c>
      <c r="D151" s="289"/>
    </row>
    <row r="152" spans="1:4" x14ac:dyDescent="0.15">
      <c r="A152" s="326" t="s">
        <v>886</v>
      </c>
      <c r="B152" s="289"/>
      <c r="C152" s="289"/>
      <c r="D152" s="289"/>
    </row>
    <row r="153" spans="1:4" x14ac:dyDescent="0.15">
      <c r="A153" s="326" t="s">
        <v>1457</v>
      </c>
      <c r="B153" s="289"/>
      <c r="C153" s="289">
        <f t="array" ref="C153">SUM(IF(CertFund=RIGHT(LEFT($A$152,7),2),CertBen))</f>
        <v>0</v>
      </c>
      <c r="D153" s="289"/>
    </row>
    <row r="154" spans="1:4" x14ac:dyDescent="0.15">
      <c r="A154" s="326" t="s">
        <v>45</v>
      </c>
      <c r="B154" s="289"/>
      <c r="C154" s="289">
        <f>FullDayKOverride!G27</f>
        <v>0</v>
      </c>
      <c r="D154" s="289"/>
    </row>
    <row r="155" spans="1:4" x14ac:dyDescent="0.15">
      <c r="A155" s="326" t="s">
        <v>1459</v>
      </c>
      <c r="B155" s="289"/>
      <c r="C155" s="289">
        <f>+C153-C154</f>
        <v>0</v>
      </c>
      <c r="D155" s="289"/>
    </row>
    <row r="156" spans="1:4" x14ac:dyDescent="0.15">
      <c r="A156" s="326"/>
      <c r="B156" s="289"/>
      <c r="C156" s="723" t="str">
        <f>IF(C155=0, "ALL IS OK", "ERROR YOU MUST FIX")</f>
        <v>ALL IS OK</v>
      </c>
      <c r="D156" s="289"/>
    </row>
    <row r="157" spans="1:4" x14ac:dyDescent="0.15">
      <c r="A157" s="724"/>
      <c r="B157" s="724"/>
      <c r="C157" s="724"/>
      <c r="D157" s="289"/>
    </row>
    <row r="158" spans="1:4" x14ac:dyDescent="0.15">
      <c r="A158" s="326" t="s">
        <v>1471</v>
      </c>
      <c r="B158" s="289"/>
      <c r="C158" s="289"/>
      <c r="D158" s="289"/>
    </row>
    <row r="159" spans="1:4" x14ac:dyDescent="0.15">
      <c r="A159" s="326" t="s">
        <v>1455</v>
      </c>
      <c r="B159" s="289"/>
      <c r="C159" s="289">
        <f t="array" ref="C159">SUM(IF(CertFund=RIGHT(LEFT($A$158,7),2),CertSalary))</f>
        <v>0</v>
      </c>
      <c r="D159" s="289"/>
    </row>
    <row r="160" spans="1:4" x14ac:dyDescent="0.15">
      <c r="A160" s="326" t="s">
        <v>1472</v>
      </c>
      <c r="B160" s="289"/>
      <c r="C160" s="289">
        <f>FoodServ!G32</f>
        <v>0</v>
      </c>
      <c r="D160" s="289"/>
    </row>
    <row r="161" spans="1:4" x14ac:dyDescent="0.15">
      <c r="A161" s="326" t="s">
        <v>1459</v>
      </c>
      <c r="B161" s="289"/>
      <c r="C161" s="289">
        <f>+C159-C160</f>
        <v>0</v>
      </c>
      <c r="D161" s="289"/>
    </row>
    <row r="162" spans="1:4" x14ac:dyDescent="0.15">
      <c r="A162" s="326"/>
      <c r="B162" s="289"/>
      <c r="C162" s="723" t="str">
        <f>IF(C161=0, "ALL IS OK", "ERROR YOU MUST FIX")</f>
        <v>ALL IS OK</v>
      </c>
      <c r="D162" s="289"/>
    </row>
    <row r="163" spans="1:4" x14ac:dyDescent="0.15">
      <c r="A163" s="326" t="s">
        <v>1471</v>
      </c>
      <c r="B163" s="289"/>
      <c r="C163" s="289"/>
      <c r="D163" s="289"/>
    </row>
    <row r="164" spans="1:4" x14ac:dyDescent="0.15">
      <c r="A164" s="326" t="s">
        <v>1457</v>
      </c>
      <c r="B164" s="289"/>
      <c r="C164" s="289">
        <f t="array" ref="C164">SUM(IF(CertFund=RIGHT(LEFT($A$163,7),2),CertBen))</f>
        <v>0</v>
      </c>
      <c r="D164" s="289"/>
    </row>
    <row r="165" spans="1:4" x14ac:dyDescent="0.15">
      <c r="A165" s="326" t="s">
        <v>1473</v>
      </c>
      <c r="B165" s="289"/>
      <c r="C165" s="289">
        <f>FoodServ!G34</f>
        <v>0</v>
      </c>
      <c r="D165" s="289"/>
    </row>
    <row r="166" spans="1:4" x14ac:dyDescent="0.15">
      <c r="A166" s="326" t="s">
        <v>1459</v>
      </c>
      <c r="B166" s="289"/>
      <c r="C166" s="289">
        <f>+C164-C165</f>
        <v>0</v>
      </c>
      <c r="D166" s="289"/>
    </row>
    <row r="167" spans="1:4" x14ac:dyDescent="0.15">
      <c r="A167" s="326"/>
      <c r="B167" s="289"/>
      <c r="C167" s="723" t="str">
        <f>IF(C166=0, "ALL IS OK", "ERROR YOU MUST FIX")</f>
        <v>ALL IS OK</v>
      </c>
      <c r="D167" s="289"/>
    </row>
    <row r="168" spans="1:4" x14ac:dyDescent="0.15">
      <c r="A168" s="289"/>
      <c r="B168" s="289"/>
      <c r="C168" s="289"/>
      <c r="D168" s="289"/>
    </row>
    <row r="169" spans="1:4" x14ac:dyDescent="0.15">
      <c r="A169" s="289"/>
      <c r="B169" s="289"/>
      <c r="C169" s="289"/>
      <c r="D169" s="289"/>
    </row>
    <row r="170" spans="1:4" x14ac:dyDescent="0.15">
      <c r="A170" s="289"/>
      <c r="B170" s="289"/>
      <c r="C170" s="289"/>
      <c r="D170" s="289"/>
    </row>
    <row r="171" spans="1:4" x14ac:dyDescent="0.15">
      <c r="A171" s="289"/>
      <c r="B171" s="289"/>
      <c r="C171" s="289"/>
      <c r="D171" s="289"/>
    </row>
    <row r="172" spans="1:4" x14ac:dyDescent="0.15">
      <c r="A172" s="289"/>
      <c r="B172" s="289"/>
      <c r="C172" s="289"/>
      <c r="D172" s="289"/>
    </row>
    <row r="173" spans="1:4" x14ac:dyDescent="0.15">
      <c r="A173" s="289"/>
      <c r="B173" s="289"/>
      <c r="C173" s="289"/>
      <c r="D173" s="289"/>
    </row>
    <row r="174" spans="1:4" x14ac:dyDescent="0.15">
      <c r="A174" s="289"/>
      <c r="B174" s="289"/>
      <c r="C174" s="289"/>
      <c r="D174" s="289"/>
    </row>
    <row r="175" spans="1:4" x14ac:dyDescent="0.15">
      <c r="A175" s="289"/>
      <c r="B175" s="289"/>
      <c r="C175" s="289"/>
      <c r="D175" s="289"/>
    </row>
    <row r="176" spans="1:4" x14ac:dyDescent="0.15">
      <c r="A176" s="289"/>
      <c r="B176" s="289"/>
      <c r="C176" s="289"/>
      <c r="D176" s="289"/>
    </row>
    <row r="177" spans="1:4" x14ac:dyDescent="0.15">
      <c r="A177" s="289"/>
      <c r="B177" s="289"/>
      <c r="C177" s="289"/>
      <c r="D177" s="289"/>
    </row>
    <row r="178" spans="1:4" x14ac:dyDescent="0.15">
      <c r="A178" s="289"/>
      <c r="B178" s="289"/>
      <c r="C178" s="289"/>
      <c r="D178" s="289"/>
    </row>
    <row r="179" spans="1:4" x14ac:dyDescent="0.15">
      <c r="A179" s="289"/>
      <c r="B179" s="289"/>
      <c r="C179" s="289"/>
      <c r="D179" s="289"/>
    </row>
  </sheetData>
  <sheetProtection password="CB03" sheet="1"/>
  <phoneticPr fontId="15" type="noConversion"/>
  <pageMargins left="0.75" right="0.75" top="1" bottom="1" header="0.5" footer="0.5"/>
  <pageSetup scale="66" firstPageNumber="52" fitToWidth="2" fitToHeight="2" orientation="portrait" horizontalDpi="300" verticalDpi="300" r:id="rId1"/>
  <headerFooter alignWithMargins="0">
    <oddFooter>&amp;LCDE, Public Scool Finance Unit&amp;C&amp;P&amp;RRevised March, 2009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B17" sqref="B17"/>
    </sheetView>
  </sheetViews>
  <sheetFormatPr defaultColWidth="12" defaultRowHeight="10.5" x14ac:dyDescent="0.15"/>
  <cols>
    <col min="1" max="1" width="23.6640625" customWidth="1"/>
    <col min="2" max="2" width="52.6640625" customWidth="1"/>
    <col min="3" max="3" width="11.6640625" customWidth="1"/>
    <col min="4" max="7" width="22.83203125" customWidth="1"/>
  </cols>
  <sheetData>
    <row r="1" spans="1:7" x14ac:dyDescent="0.15">
      <c r="A1" t="s">
        <v>106</v>
      </c>
      <c r="B1">
        <f>+'Page 1 - FY2013-14'!B5</f>
        <v>0</v>
      </c>
      <c r="C1" t="s">
        <v>1586</v>
      </c>
      <c r="D1" s="107">
        <f>+'Page 1 - FY2013-14'!F7</f>
        <v>0</v>
      </c>
      <c r="E1" s="17"/>
      <c r="F1" s="17"/>
      <c r="G1" s="12"/>
    </row>
    <row r="2" spans="1:7" x14ac:dyDescent="0.15">
      <c r="A2" s="35" t="s">
        <v>688</v>
      </c>
      <c r="B2" s="17"/>
      <c r="C2" s="17"/>
      <c r="D2" s="17"/>
      <c r="E2" s="17"/>
      <c r="F2" s="17"/>
      <c r="G2" s="17"/>
    </row>
    <row r="4" spans="1:7" x14ac:dyDescent="0.15">
      <c r="A4" s="112" t="s">
        <v>689</v>
      </c>
      <c r="D4" s="4" t="s">
        <v>390</v>
      </c>
      <c r="E4" s="4" t="s">
        <v>996</v>
      </c>
      <c r="F4" s="4" t="s">
        <v>638</v>
      </c>
      <c r="G4" s="4" t="s">
        <v>997</v>
      </c>
    </row>
    <row r="5" spans="1:7" x14ac:dyDescent="0.15">
      <c r="A5" s="1" t="s">
        <v>998</v>
      </c>
      <c r="B5" s="1" t="s">
        <v>999</v>
      </c>
      <c r="C5" s="7" t="s">
        <v>998</v>
      </c>
      <c r="D5" s="120">
        <v>0</v>
      </c>
      <c r="E5" s="120">
        <v>0</v>
      </c>
      <c r="F5" s="120">
        <v>0</v>
      </c>
      <c r="G5" s="47">
        <f t="shared" ref="G5:G11" si="0">D5+E5-F5</f>
        <v>0</v>
      </c>
    </row>
    <row r="6" spans="1:7" x14ac:dyDescent="0.15">
      <c r="A6" s="1" t="s">
        <v>1635</v>
      </c>
      <c r="B6" s="1" t="s">
        <v>1636</v>
      </c>
      <c r="C6" s="7" t="s">
        <v>1635</v>
      </c>
      <c r="D6" s="120">
        <v>0</v>
      </c>
      <c r="E6" s="120">
        <v>0</v>
      </c>
      <c r="F6" s="120">
        <v>0</v>
      </c>
      <c r="G6" s="47">
        <f t="shared" si="0"/>
        <v>0</v>
      </c>
    </row>
    <row r="7" spans="1:7" x14ac:dyDescent="0.15">
      <c r="A7" s="1" t="s">
        <v>473</v>
      </c>
      <c r="B7" s="1" t="s">
        <v>1009</v>
      </c>
      <c r="C7" s="7" t="s">
        <v>473</v>
      </c>
      <c r="D7" s="120">
        <v>0</v>
      </c>
      <c r="E7" s="120">
        <v>0</v>
      </c>
      <c r="F7" s="120">
        <v>0</v>
      </c>
      <c r="G7" s="47">
        <f t="shared" si="0"/>
        <v>0</v>
      </c>
    </row>
    <row r="8" spans="1:7" x14ac:dyDescent="0.15">
      <c r="A8" s="1" t="s">
        <v>474</v>
      </c>
      <c r="B8" s="1" t="s">
        <v>780</v>
      </c>
      <c r="C8" s="7" t="s">
        <v>474</v>
      </c>
      <c r="D8" s="120">
        <v>0</v>
      </c>
      <c r="E8" s="120">
        <v>0</v>
      </c>
      <c r="F8" s="120">
        <v>0</v>
      </c>
      <c r="G8" s="47">
        <f t="shared" si="0"/>
        <v>0</v>
      </c>
    </row>
    <row r="9" spans="1:7" hidden="1" x14ac:dyDescent="0.15">
      <c r="A9" s="392" t="s">
        <v>1000</v>
      </c>
      <c r="B9" s="392" t="s">
        <v>1638</v>
      </c>
      <c r="C9" s="393" t="s">
        <v>1000</v>
      </c>
      <c r="D9" s="120">
        <v>0</v>
      </c>
      <c r="E9" s="120">
        <v>0</v>
      </c>
      <c r="F9" s="120">
        <v>0</v>
      </c>
      <c r="G9" s="47">
        <f>D9+E9-F9</f>
        <v>0</v>
      </c>
    </row>
    <row r="10" spans="1:7" x14ac:dyDescent="0.15">
      <c r="A10" s="1" t="s">
        <v>1002</v>
      </c>
      <c r="B10" s="1" t="s">
        <v>1001</v>
      </c>
      <c r="C10" s="7" t="s">
        <v>1002</v>
      </c>
      <c r="D10" s="120">
        <v>0</v>
      </c>
      <c r="E10" s="120">
        <v>0</v>
      </c>
      <c r="F10" s="120">
        <v>0</v>
      </c>
      <c r="G10" s="47">
        <f t="shared" si="0"/>
        <v>0</v>
      </c>
    </row>
    <row r="11" spans="1:7" x14ac:dyDescent="0.15">
      <c r="A11" s="1" t="s">
        <v>1004</v>
      </c>
      <c r="B11" s="1" t="s">
        <v>1003</v>
      </c>
      <c r="C11" s="7" t="s">
        <v>1004</v>
      </c>
      <c r="D11" s="120">
        <v>0</v>
      </c>
      <c r="E11" s="120">
        <v>0</v>
      </c>
      <c r="F11" s="120">
        <v>0</v>
      </c>
      <c r="G11" s="47">
        <f t="shared" si="0"/>
        <v>0</v>
      </c>
    </row>
    <row r="12" spans="1:7" s="289" customFormat="1" x14ac:dyDescent="0.15">
      <c r="A12" s="1" t="s">
        <v>1008</v>
      </c>
      <c r="B12" s="1" t="s">
        <v>1007</v>
      </c>
      <c r="C12" s="7" t="s">
        <v>1008</v>
      </c>
      <c r="D12" s="120">
        <v>0</v>
      </c>
      <c r="E12" s="120">
        <v>0</v>
      </c>
      <c r="F12" s="120">
        <v>0</v>
      </c>
      <c r="G12" s="47">
        <f t="shared" ref="G12:G24" si="1">D12+E12-F12</f>
        <v>0</v>
      </c>
    </row>
    <row r="13" spans="1:7" x14ac:dyDescent="0.15">
      <c r="A13" s="392" t="s">
        <v>1010</v>
      </c>
      <c r="B13" s="392" t="s">
        <v>475</v>
      </c>
      <c r="C13" s="393" t="s">
        <v>1010</v>
      </c>
      <c r="D13" s="120">
        <v>0</v>
      </c>
      <c r="E13" s="120">
        <v>0</v>
      </c>
      <c r="F13" s="120">
        <v>0</v>
      </c>
      <c r="G13" s="47">
        <f>D13+E13-F13</f>
        <v>0</v>
      </c>
    </row>
    <row r="14" spans="1:7" x14ac:dyDescent="0.15">
      <c r="A14" s="1" t="s">
        <v>1012</v>
      </c>
      <c r="B14" s="1" t="s">
        <v>1011</v>
      </c>
      <c r="C14" s="7" t="s">
        <v>1012</v>
      </c>
      <c r="D14" s="120">
        <v>0</v>
      </c>
      <c r="E14" s="120">
        <v>0</v>
      </c>
      <c r="F14" s="120">
        <v>0</v>
      </c>
      <c r="G14" s="47">
        <f t="shared" si="1"/>
        <v>0</v>
      </c>
    </row>
    <row r="15" spans="1:7" x14ac:dyDescent="0.15">
      <c r="A15" s="1" t="s">
        <v>1014</v>
      </c>
      <c r="B15" s="1" t="s">
        <v>1013</v>
      </c>
      <c r="C15" s="7" t="s">
        <v>1014</v>
      </c>
      <c r="D15" s="120">
        <v>0</v>
      </c>
      <c r="E15" s="120">
        <v>0</v>
      </c>
      <c r="F15" s="120">
        <v>0</v>
      </c>
      <c r="G15" s="47">
        <f t="shared" si="1"/>
        <v>0</v>
      </c>
    </row>
    <row r="16" spans="1:7" x14ac:dyDescent="0.15">
      <c r="A16" s="1" t="s">
        <v>1015</v>
      </c>
      <c r="B16" s="1" t="s">
        <v>995</v>
      </c>
      <c r="C16" s="7" t="s">
        <v>1015</v>
      </c>
      <c r="D16" s="120">
        <v>0</v>
      </c>
      <c r="E16" s="120">
        <v>0</v>
      </c>
      <c r="F16" s="120">
        <v>0</v>
      </c>
      <c r="G16" s="47">
        <f t="shared" si="1"/>
        <v>0</v>
      </c>
    </row>
    <row r="17" spans="1:7" x14ac:dyDescent="0.15">
      <c r="A17" s="1" t="s">
        <v>1671</v>
      </c>
      <c r="B17" s="1" t="s">
        <v>1672</v>
      </c>
      <c r="C17" s="7" t="s">
        <v>1671</v>
      </c>
      <c r="D17" s="120">
        <v>0</v>
      </c>
      <c r="E17" s="120">
        <v>0</v>
      </c>
      <c r="F17" s="120">
        <v>0</v>
      </c>
      <c r="G17" s="47">
        <f>D17+E17-F17</f>
        <v>0</v>
      </c>
    </row>
    <row r="18" spans="1:7" x14ac:dyDescent="0.15">
      <c r="A18" s="1" t="s">
        <v>1017</v>
      </c>
      <c r="B18" s="108" t="s">
        <v>1016</v>
      </c>
      <c r="C18" s="7" t="s">
        <v>1017</v>
      </c>
      <c r="D18" s="120">
        <v>0</v>
      </c>
      <c r="E18" s="120">
        <v>0</v>
      </c>
      <c r="F18" s="120">
        <v>0</v>
      </c>
      <c r="G18" s="47">
        <f t="shared" si="1"/>
        <v>0</v>
      </c>
    </row>
    <row r="19" spans="1:7" x14ac:dyDescent="0.15">
      <c r="A19" s="1" t="s">
        <v>1019</v>
      </c>
      <c r="B19" s="108" t="s">
        <v>1018</v>
      </c>
      <c r="C19" s="7" t="s">
        <v>1019</v>
      </c>
      <c r="D19" s="120">
        <v>0</v>
      </c>
      <c r="E19" s="120">
        <v>0</v>
      </c>
      <c r="F19" s="120">
        <v>0</v>
      </c>
      <c r="G19" s="47">
        <f t="shared" si="1"/>
        <v>0</v>
      </c>
    </row>
    <row r="20" spans="1:7" x14ac:dyDescent="0.15">
      <c r="A20" s="1" t="s">
        <v>1021</v>
      </c>
      <c r="B20" s="1" t="s">
        <v>1020</v>
      </c>
      <c r="C20" s="7" t="s">
        <v>1021</v>
      </c>
      <c r="D20" s="120">
        <v>0</v>
      </c>
      <c r="E20" s="120">
        <v>0</v>
      </c>
      <c r="F20" s="120">
        <v>0</v>
      </c>
      <c r="G20" s="47">
        <f>D20+E20-F20</f>
        <v>0</v>
      </c>
    </row>
    <row r="21" spans="1:7" x14ac:dyDescent="0.15">
      <c r="A21" s="1" t="s">
        <v>1023</v>
      </c>
      <c r="B21" s="1" t="s">
        <v>1022</v>
      </c>
      <c r="C21" s="7" t="s">
        <v>1023</v>
      </c>
      <c r="D21" s="120">
        <v>0</v>
      </c>
      <c r="E21" s="120">
        <v>0</v>
      </c>
      <c r="F21" s="120">
        <v>0</v>
      </c>
      <c r="G21" s="47">
        <f>D21+E21-F21</f>
        <v>0</v>
      </c>
    </row>
    <row r="22" spans="1:7" x14ac:dyDescent="0.15">
      <c r="A22" s="1" t="s">
        <v>1025</v>
      </c>
      <c r="B22" s="1" t="s">
        <v>1024</v>
      </c>
      <c r="C22" s="7" t="s">
        <v>1025</v>
      </c>
      <c r="D22" s="121">
        <v>0</v>
      </c>
      <c r="E22" s="121">
        <v>0</v>
      </c>
      <c r="F22" s="121">
        <v>0</v>
      </c>
      <c r="G22" s="47">
        <f t="shared" si="1"/>
        <v>0</v>
      </c>
    </row>
    <row r="23" spans="1:7" x14ac:dyDescent="0.15">
      <c r="A23" s="1" t="s">
        <v>979</v>
      </c>
      <c r="B23" s="1" t="s">
        <v>978</v>
      </c>
      <c r="C23" s="7" t="s">
        <v>979</v>
      </c>
      <c r="D23" s="120">
        <v>0</v>
      </c>
      <c r="E23" s="120">
        <v>0</v>
      </c>
      <c r="F23" s="120">
        <v>0</v>
      </c>
      <c r="G23" s="47">
        <f>D23+E23-F23</f>
        <v>0</v>
      </c>
    </row>
    <row r="24" spans="1:7" x14ac:dyDescent="0.15">
      <c r="A24" s="1" t="s">
        <v>781</v>
      </c>
      <c r="B24" s="1" t="s">
        <v>477</v>
      </c>
      <c r="C24" s="7" t="s">
        <v>781</v>
      </c>
      <c r="D24" s="120">
        <v>0</v>
      </c>
      <c r="E24" s="120">
        <v>0</v>
      </c>
      <c r="F24" s="120">
        <v>0</v>
      </c>
      <c r="G24" s="47">
        <f t="shared" si="1"/>
        <v>0</v>
      </c>
    </row>
    <row r="25" spans="1:7" ht="11.25" thickBot="1" x14ac:dyDescent="0.2">
      <c r="A25" s="1" t="s">
        <v>476</v>
      </c>
      <c r="B25" s="1" t="s">
        <v>980</v>
      </c>
      <c r="C25" s="7" t="s">
        <v>476</v>
      </c>
      <c r="D25" s="120">
        <v>0</v>
      </c>
      <c r="E25" s="120">
        <v>0</v>
      </c>
      <c r="F25" s="120">
        <v>0</v>
      </c>
      <c r="G25" s="47">
        <f>D25+E25-F25</f>
        <v>0</v>
      </c>
    </row>
    <row r="26" spans="1:7" ht="12" thickTop="1" thickBot="1" x14ac:dyDescent="0.2">
      <c r="B26" s="112" t="s">
        <v>690</v>
      </c>
      <c r="F26" s="6">
        <v>1</v>
      </c>
      <c r="G26" s="42">
        <f>SUM(G5:G25)</f>
        <v>0</v>
      </c>
    </row>
    <row r="27" spans="1:7" ht="11.25" thickTop="1" x14ac:dyDescent="0.15">
      <c r="A27" s="35" t="s">
        <v>981</v>
      </c>
    </row>
    <row r="28" spans="1:7" x14ac:dyDescent="0.15">
      <c r="A28" s="1" t="s">
        <v>998</v>
      </c>
      <c r="B28" s="1" t="s">
        <v>982</v>
      </c>
      <c r="E28" s="7" t="s">
        <v>983</v>
      </c>
      <c r="F28" s="41">
        <v>0</v>
      </c>
    </row>
    <row r="29" spans="1:7" x14ac:dyDescent="0.15">
      <c r="A29" s="1" t="s">
        <v>1000</v>
      </c>
      <c r="B29" s="1" t="s">
        <v>984</v>
      </c>
      <c r="E29" s="7" t="s">
        <v>985</v>
      </c>
      <c r="F29" s="41">
        <v>0</v>
      </c>
    </row>
    <row r="30" spans="1:7" x14ac:dyDescent="0.15">
      <c r="A30" s="1" t="s">
        <v>1002</v>
      </c>
      <c r="B30" s="1" t="s">
        <v>986</v>
      </c>
      <c r="E30" s="7" t="s">
        <v>987</v>
      </c>
      <c r="F30" s="41">
        <v>0</v>
      </c>
    </row>
    <row r="31" spans="1:7" x14ac:dyDescent="0.15">
      <c r="A31" s="1" t="s">
        <v>1004</v>
      </c>
      <c r="B31" s="1" t="s">
        <v>988</v>
      </c>
      <c r="E31" s="7" t="s">
        <v>989</v>
      </c>
      <c r="F31" s="41">
        <v>0</v>
      </c>
    </row>
    <row r="32" spans="1:7" x14ac:dyDescent="0.15">
      <c r="A32" s="1" t="s">
        <v>1008</v>
      </c>
      <c r="B32" s="1" t="s">
        <v>990</v>
      </c>
      <c r="E32" s="7" t="s">
        <v>991</v>
      </c>
      <c r="F32" s="41">
        <v>0</v>
      </c>
    </row>
    <row r="33" spans="1:8" x14ac:dyDescent="0.15">
      <c r="A33" s="1" t="s">
        <v>1010</v>
      </c>
      <c r="B33" s="1" t="s">
        <v>992</v>
      </c>
      <c r="E33" s="7" t="s">
        <v>993</v>
      </c>
      <c r="F33" s="41">
        <v>0</v>
      </c>
    </row>
    <row r="34" spans="1:8" x14ac:dyDescent="0.15">
      <c r="A34" s="1" t="s">
        <v>1012</v>
      </c>
      <c r="B34" s="1" t="s">
        <v>1053</v>
      </c>
      <c r="E34" s="7" t="s">
        <v>1015</v>
      </c>
      <c r="F34" s="41">
        <v>0</v>
      </c>
    </row>
    <row r="35" spans="1:8" ht="11.25" thickBot="1" x14ac:dyDescent="0.2">
      <c r="A35" s="1" t="s">
        <v>1014</v>
      </c>
      <c r="B35" s="1" t="s">
        <v>1054</v>
      </c>
      <c r="E35" s="7" t="s">
        <v>1017</v>
      </c>
      <c r="F35" s="41">
        <v>0</v>
      </c>
    </row>
    <row r="36" spans="1:8" ht="12" thickTop="1" thickBot="1" x14ac:dyDescent="0.2">
      <c r="B36" s="112" t="s">
        <v>691</v>
      </c>
      <c r="F36" s="6">
        <v>2</v>
      </c>
      <c r="G36" s="45">
        <f>SUM(F28:F35)</f>
        <v>0</v>
      </c>
    </row>
    <row r="37" spans="1:8" ht="12" thickTop="1" thickBot="1" x14ac:dyDescent="0.2">
      <c r="A37" s="112" t="s">
        <v>1654</v>
      </c>
      <c r="F37" s="6">
        <v>3</v>
      </c>
      <c r="G37" s="45">
        <f>G26-G36</f>
        <v>0</v>
      </c>
    </row>
    <row r="38" spans="1:8" ht="11.25" thickTop="1" x14ac:dyDescent="0.15">
      <c r="A38" s="35" t="s">
        <v>1055</v>
      </c>
    </row>
    <row r="39" spans="1:8" x14ac:dyDescent="0.15">
      <c r="A39" s="1" t="s">
        <v>998</v>
      </c>
      <c r="B39" s="108" t="s">
        <v>1056</v>
      </c>
      <c r="E39" s="7" t="s">
        <v>998</v>
      </c>
      <c r="F39" s="41">
        <v>0</v>
      </c>
    </row>
    <row r="40" spans="1:8" ht="11.25" thickBot="1" x14ac:dyDescent="0.2">
      <c r="A40" s="1" t="s">
        <v>1000</v>
      </c>
      <c r="B40" s="713" t="s">
        <v>1066</v>
      </c>
      <c r="E40" s="7" t="s">
        <v>1000</v>
      </c>
      <c r="F40" s="41">
        <v>0</v>
      </c>
    </row>
    <row r="41" spans="1:8" ht="12" thickTop="1" thickBot="1" x14ac:dyDescent="0.2">
      <c r="B41" s="35" t="s">
        <v>1058</v>
      </c>
      <c r="F41" s="6">
        <v>4</v>
      </c>
      <c r="G41" s="91">
        <f>SUM(F39:F40)</f>
        <v>0</v>
      </c>
    </row>
    <row r="42" spans="1:8" ht="12" thickTop="1" thickBot="1" x14ac:dyDescent="0.2">
      <c r="A42" s="35" t="s">
        <v>1059</v>
      </c>
      <c r="F42" s="6">
        <v>5</v>
      </c>
      <c r="G42" s="45">
        <f>G37-G41</f>
        <v>0</v>
      </c>
      <c r="H42" t="s">
        <v>1657</v>
      </c>
    </row>
    <row r="43" spans="1:8" ht="12" thickTop="1" thickBot="1" x14ac:dyDescent="0.2">
      <c r="A43" s="35"/>
      <c r="F43" s="6"/>
      <c r="G43" s="714">
        <f>G41*0.03</f>
        <v>0</v>
      </c>
      <c r="H43" t="s">
        <v>1658</v>
      </c>
    </row>
    <row r="44" spans="1:8" ht="11.25" thickTop="1" x14ac:dyDescent="0.15">
      <c r="A44" s="35" t="s">
        <v>1060</v>
      </c>
    </row>
    <row r="45" spans="1:8" x14ac:dyDescent="0.15">
      <c r="A45" s="1" t="s">
        <v>998</v>
      </c>
      <c r="B45" s="108" t="s">
        <v>1655</v>
      </c>
      <c r="D45" s="7" t="s">
        <v>998</v>
      </c>
      <c r="E45" s="92">
        <v>0</v>
      </c>
    </row>
    <row r="46" spans="1:8" ht="11.25" thickBot="1" x14ac:dyDescent="0.2">
      <c r="A46" s="1" t="s">
        <v>1000</v>
      </c>
      <c r="B46" s="1" t="s">
        <v>1061</v>
      </c>
      <c r="D46" s="7" t="s">
        <v>1000</v>
      </c>
      <c r="E46" s="93">
        <v>0</v>
      </c>
    </row>
    <row r="47" spans="1:8" ht="12" thickTop="1" thickBot="1" x14ac:dyDescent="0.2">
      <c r="A47" s="1" t="s">
        <v>1002</v>
      </c>
      <c r="B47" s="1" t="s">
        <v>1062</v>
      </c>
      <c r="D47" s="7" t="s">
        <v>1002</v>
      </c>
      <c r="E47" s="94">
        <f>SUM(E45:E46)</f>
        <v>0</v>
      </c>
    </row>
    <row r="48" spans="1:8" ht="12" thickTop="1" thickBot="1" x14ac:dyDescent="0.2">
      <c r="A48" s="1" t="s">
        <v>1004</v>
      </c>
      <c r="B48" s="1" t="s">
        <v>1063</v>
      </c>
      <c r="D48" s="7" t="s">
        <v>1004</v>
      </c>
      <c r="E48" s="47">
        <f>G42</f>
        <v>0</v>
      </c>
      <c r="G48" s="5"/>
    </row>
    <row r="49" spans="1:7" ht="12" thickTop="1" thickBot="1" x14ac:dyDescent="0.2">
      <c r="A49" s="1" t="s">
        <v>1008</v>
      </c>
      <c r="B49" s="1" t="s">
        <v>1064</v>
      </c>
      <c r="E49" s="7" t="s">
        <v>1008</v>
      </c>
      <c r="F49" s="45">
        <f>E48*E47</f>
        <v>0</v>
      </c>
    </row>
    <row r="50" spans="1:7" ht="11.25" thickTop="1" x14ac:dyDescent="0.15">
      <c r="A50" s="1" t="s">
        <v>1010</v>
      </c>
      <c r="B50" s="108" t="s">
        <v>1065</v>
      </c>
      <c r="E50" s="7" t="s">
        <v>1010</v>
      </c>
      <c r="F50" s="83">
        <f>F39</f>
        <v>0</v>
      </c>
    </row>
    <row r="51" spans="1:7" ht="11.25" thickBot="1" x14ac:dyDescent="0.2">
      <c r="A51" s="1" t="s">
        <v>1012</v>
      </c>
      <c r="B51" s="1" t="s">
        <v>1066</v>
      </c>
      <c r="E51" s="7" t="s">
        <v>1012</v>
      </c>
      <c r="F51" s="83">
        <f>F40</f>
        <v>0</v>
      </c>
    </row>
    <row r="52" spans="1:7" ht="12" thickTop="1" thickBot="1" x14ac:dyDescent="0.2">
      <c r="B52" s="35" t="s">
        <v>1067</v>
      </c>
      <c r="F52" s="6">
        <v>6</v>
      </c>
      <c r="G52" s="42">
        <f>SUM(F49:F51)</f>
        <v>0</v>
      </c>
    </row>
    <row r="53" spans="1:7" ht="12" thickTop="1" thickBot="1" x14ac:dyDescent="0.2"/>
    <row r="54" spans="1:7" ht="12" thickTop="1" thickBot="1" x14ac:dyDescent="0.2">
      <c r="A54" s="112" t="s">
        <v>692</v>
      </c>
      <c r="F54" s="6">
        <v>7</v>
      </c>
      <c r="G54" s="45">
        <f>G52+G37</f>
        <v>0</v>
      </c>
    </row>
    <row r="55" spans="1:7" ht="11.25" thickTop="1" x14ac:dyDescent="0.15"/>
  </sheetData>
  <phoneticPr fontId="15" type="noConversion"/>
  <pageMargins left="0.75" right="0.75" top="1" bottom="1" header="0.5" footer="0.5"/>
  <pageSetup scale="84" firstPageNumber="53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selection activeCell="B17" sqref="B17"/>
    </sheetView>
  </sheetViews>
  <sheetFormatPr defaultColWidth="12" defaultRowHeight="10.5" x14ac:dyDescent="0.15"/>
  <cols>
    <col min="1" max="1" width="20.33203125" customWidth="1"/>
    <col min="2" max="6" width="22.83203125" customWidth="1"/>
  </cols>
  <sheetData>
    <row r="1" spans="1:6" x14ac:dyDescent="0.15">
      <c r="A1" t="s">
        <v>106</v>
      </c>
      <c r="B1">
        <f>+'Page 1 - FY2013-14'!B5</f>
        <v>0</v>
      </c>
      <c r="C1" t="s">
        <v>1586</v>
      </c>
      <c r="D1" s="107">
        <f>+'Page 1 - FY2013-14'!F7</f>
        <v>0</v>
      </c>
      <c r="E1" s="17"/>
      <c r="F1" s="12"/>
    </row>
    <row r="3" spans="1:6" x14ac:dyDescent="0.15">
      <c r="A3" s="35" t="s">
        <v>687</v>
      </c>
      <c r="B3" s="17"/>
      <c r="C3" s="17"/>
      <c r="D3" s="17"/>
      <c r="E3" s="17"/>
      <c r="F3" s="17"/>
    </row>
    <row r="6" spans="1:6" x14ac:dyDescent="0.15">
      <c r="B6" s="95" t="s">
        <v>1068</v>
      </c>
      <c r="C6" s="95" t="s">
        <v>1069</v>
      </c>
      <c r="D6" s="95" t="s">
        <v>1070</v>
      </c>
      <c r="E6" s="95" t="s">
        <v>1099</v>
      </c>
      <c r="F6" s="95" t="s">
        <v>1100</v>
      </c>
    </row>
    <row r="7" spans="1:6" x14ac:dyDescent="0.15">
      <c r="B7" s="96" t="s">
        <v>685</v>
      </c>
      <c r="C7" s="96" t="s">
        <v>1101</v>
      </c>
      <c r="D7" s="96" t="s">
        <v>1102</v>
      </c>
      <c r="E7" s="96" t="s">
        <v>1103</v>
      </c>
      <c r="F7" s="96" t="s">
        <v>1104</v>
      </c>
    </row>
    <row r="8" spans="1:6" x14ac:dyDescent="0.15">
      <c r="B8" s="96" t="s">
        <v>1105</v>
      </c>
      <c r="C8" s="96" t="s">
        <v>1106</v>
      </c>
      <c r="D8" s="96" t="s">
        <v>686</v>
      </c>
      <c r="E8" s="96" t="s">
        <v>1107</v>
      </c>
      <c r="F8" s="96" t="s">
        <v>1102</v>
      </c>
    </row>
    <row r="9" spans="1:6" x14ac:dyDescent="0.15">
      <c r="B9" s="31"/>
      <c r="C9" s="48" t="s">
        <v>1108</v>
      </c>
      <c r="D9" s="96" t="s">
        <v>1105</v>
      </c>
      <c r="E9" s="96" t="s">
        <v>1105</v>
      </c>
      <c r="F9" s="96" t="s">
        <v>686</v>
      </c>
    </row>
    <row r="10" spans="1:6" x14ac:dyDescent="0.15">
      <c r="B10" s="32"/>
      <c r="C10" s="96" t="s">
        <v>1109</v>
      </c>
      <c r="E10" s="132" t="s">
        <v>1106</v>
      </c>
      <c r="F10" s="96" t="s">
        <v>1105</v>
      </c>
    </row>
    <row r="11" spans="1:6" ht="11.25" thickBot="1" x14ac:dyDescent="0.2">
      <c r="B11" s="33"/>
      <c r="C11" s="33"/>
      <c r="D11" s="34"/>
      <c r="E11" s="18"/>
      <c r="F11" s="33"/>
    </row>
    <row r="12" spans="1:6" x14ac:dyDescent="0.15">
      <c r="A12" s="1" t="s">
        <v>999</v>
      </c>
      <c r="B12" s="97">
        <v>0</v>
      </c>
      <c r="C12" s="98">
        <f>'Tabor Spending Limitations'!E47</f>
        <v>0</v>
      </c>
      <c r="D12" s="47">
        <f>B12+(B12*C12)</f>
        <v>0</v>
      </c>
      <c r="E12" s="97">
        <v>0</v>
      </c>
      <c r="F12" s="99">
        <f>D12+E12</f>
        <v>0</v>
      </c>
    </row>
    <row r="13" spans="1:6" x14ac:dyDescent="0.15">
      <c r="A13" s="1" t="s">
        <v>995</v>
      </c>
      <c r="B13" s="81" t="s">
        <v>1110</v>
      </c>
      <c r="C13" s="100" t="s">
        <v>1110</v>
      </c>
      <c r="D13" s="81" t="s">
        <v>1110</v>
      </c>
      <c r="E13" s="81" t="s">
        <v>1110</v>
      </c>
      <c r="F13" s="81" t="s">
        <v>1110</v>
      </c>
    </row>
    <row r="14" spans="1:6" x14ac:dyDescent="0.15">
      <c r="A14" s="1" t="s">
        <v>1011</v>
      </c>
      <c r="B14" s="41">
        <v>0</v>
      </c>
      <c r="C14" s="92">
        <f>'Tabor Spending Limitations'!E47</f>
        <v>0</v>
      </c>
      <c r="D14" s="47">
        <f>B14+(B14*C14)</f>
        <v>0</v>
      </c>
      <c r="E14" s="41">
        <v>0</v>
      </c>
      <c r="F14" s="47">
        <f>D14+E14</f>
        <v>0</v>
      </c>
    </row>
    <row r="15" spans="1:6" x14ac:dyDescent="0.15">
      <c r="A15" s="1" t="s">
        <v>1111</v>
      </c>
      <c r="B15" s="41">
        <v>0</v>
      </c>
      <c r="C15" s="92">
        <f>'Tabor Spending Limitations'!E47</f>
        <v>0</v>
      </c>
      <c r="D15" s="47">
        <f>B15+(B15*C15)</f>
        <v>0</v>
      </c>
      <c r="E15" s="41">
        <v>0</v>
      </c>
      <c r="F15" s="47">
        <f>D15+E15</f>
        <v>0</v>
      </c>
    </row>
    <row r="16" spans="1:6" x14ac:dyDescent="0.15">
      <c r="A16" s="2" t="s">
        <v>1112</v>
      </c>
      <c r="B16" s="41">
        <v>0</v>
      </c>
      <c r="C16" s="92">
        <f>'Tabor Spending Limitations'!E47</f>
        <v>0</v>
      </c>
      <c r="D16" s="47">
        <f>B16+(B16*C16)</f>
        <v>0</v>
      </c>
      <c r="E16" s="41">
        <v>0</v>
      </c>
      <c r="F16" s="47">
        <f>D16+E16</f>
        <v>0</v>
      </c>
    </row>
    <row r="17" spans="1:6" x14ac:dyDescent="0.15">
      <c r="A17" s="3"/>
      <c r="B17" s="101"/>
      <c r="C17" s="102"/>
      <c r="D17" s="46"/>
      <c r="E17" s="101"/>
      <c r="F17" s="46"/>
    </row>
    <row r="18" spans="1:6" x14ac:dyDescent="0.15">
      <c r="A18" s="1" t="s">
        <v>112</v>
      </c>
      <c r="B18" s="47">
        <f>SUM(B12:B16)</f>
        <v>0</v>
      </c>
      <c r="C18" s="92">
        <f>'Tabor Spending Limitations'!E47</f>
        <v>0</v>
      </c>
      <c r="D18" s="47">
        <f>SUM(D12:D16)</f>
        <v>0</v>
      </c>
      <c r="E18" s="47">
        <f>SUM(E12:E16)</f>
        <v>0</v>
      </c>
      <c r="F18" s="47">
        <f>SUM(F12:F16)</f>
        <v>0</v>
      </c>
    </row>
  </sheetData>
  <phoneticPr fontId="15" type="noConversion"/>
  <pageMargins left="0.75" right="0.75" top="1" bottom="1" header="0.5" footer="0.5"/>
  <pageSetup firstPageNumber="54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workbookViewId="0">
      <selection activeCell="D41" sqref="D41"/>
    </sheetView>
  </sheetViews>
  <sheetFormatPr defaultColWidth="12" defaultRowHeight="10.5" x14ac:dyDescent="0.15"/>
  <cols>
    <col min="1" max="1" width="54" customWidth="1"/>
    <col min="2" max="2" width="30" customWidth="1"/>
    <col min="3" max="3" width="31" customWidth="1"/>
    <col min="4" max="4" width="24.33203125" customWidth="1"/>
  </cols>
  <sheetData>
    <row r="1" spans="1:4" x14ac:dyDescent="0.15">
      <c r="A1" t="s">
        <v>106</v>
      </c>
      <c r="B1">
        <f>+'Page 1 - FY2013-14'!B5</f>
        <v>0</v>
      </c>
      <c r="C1" t="s">
        <v>1586</v>
      </c>
      <c r="D1" s="107">
        <f>+'Page 1 - FY2013-14'!F7</f>
        <v>0</v>
      </c>
    </row>
    <row r="3" spans="1:4" x14ac:dyDescent="0.15">
      <c r="A3" s="15" t="s">
        <v>1113</v>
      </c>
    </row>
    <row r="7" spans="1:4" ht="11.25" thickBot="1" x14ac:dyDescent="0.2"/>
    <row r="8" spans="1:4" ht="11.25" thickTop="1" x14ac:dyDescent="0.15">
      <c r="A8" s="50" t="s">
        <v>1114</v>
      </c>
      <c r="B8" s="103" t="s">
        <v>1115</v>
      </c>
      <c r="C8" s="103" t="s">
        <v>1116</v>
      </c>
      <c r="D8" s="11" t="s">
        <v>1117</v>
      </c>
    </row>
    <row r="9" spans="1:4" ht="11.25" thickBot="1" x14ac:dyDescent="0.2">
      <c r="A9" s="23"/>
      <c r="B9" s="104" t="s">
        <v>1118</v>
      </c>
      <c r="C9" s="104" t="s">
        <v>1119</v>
      </c>
      <c r="D9" s="24"/>
    </row>
    <row r="10" spans="1:4" ht="11.25" thickTop="1" x14ac:dyDescent="0.15">
      <c r="A10" s="51" t="s">
        <v>421</v>
      </c>
      <c r="B10" s="47">
        <f>GenFundREV!I110</f>
        <v>0</v>
      </c>
      <c r="C10" s="47">
        <f>GenFundExp2!I552</f>
        <v>0</v>
      </c>
      <c r="D10" s="47">
        <f>AppropRes!G13</f>
        <v>0</v>
      </c>
    </row>
    <row r="11" spans="1:4" x14ac:dyDescent="0.15">
      <c r="A11" s="51" t="s">
        <v>1634</v>
      </c>
      <c r="B11" s="47">
        <f>CharterFundRev!I108</f>
        <v>0</v>
      </c>
      <c r="C11" s="47">
        <f>CharterFundExp2!I550</f>
        <v>0</v>
      </c>
      <c r="D11" s="391">
        <f>AppropRes!G14</f>
        <v>0</v>
      </c>
    </row>
    <row r="12" spans="1:4" x14ac:dyDescent="0.15">
      <c r="A12" s="51" t="s">
        <v>1126</v>
      </c>
      <c r="B12" s="47">
        <f>InsResv!I18</f>
        <v>0</v>
      </c>
      <c r="C12" s="47">
        <f>InsResv!I49</f>
        <v>0</v>
      </c>
      <c r="D12" s="47">
        <f>+AppropRes!G15</f>
        <v>0</v>
      </c>
    </row>
    <row r="13" spans="1:4" x14ac:dyDescent="0.15">
      <c r="A13" s="51" t="s">
        <v>1488</v>
      </c>
      <c r="B13" s="47">
        <f>'CPP Fund'!I19</f>
        <v>0</v>
      </c>
      <c r="C13" s="47">
        <f>'CPP Fund'!I127</f>
        <v>0</v>
      </c>
      <c r="D13" s="47">
        <f>AppropRes!G16</f>
        <v>0</v>
      </c>
    </row>
    <row r="14" spans="1:4" hidden="1" x14ac:dyDescent="0.15">
      <c r="A14" s="51" t="s">
        <v>1639</v>
      </c>
      <c r="B14" s="47">
        <f>ARRAGrants!J88</f>
        <v>0</v>
      </c>
      <c r="C14" s="47">
        <f>ARRAGrants!J181</f>
        <v>0</v>
      </c>
      <c r="D14" s="391">
        <f>+AppropRes!G18</f>
        <v>0</v>
      </c>
    </row>
    <row r="15" spans="1:4" x14ac:dyDescent="0.15">
      <c r="A15" s="51" t="s">
        <v>962</v>
      </c>
      <c r="B15" s="47">
        <f>CapRes!I27</f>
        <v>0</v>
      </c>
      <c r="C15" s="47">
        <f>CapRes!I81</f>
        <v>0</v>
      </c>
      <c r="D15" s="47">
        <f>+AppropRes!G19</f>
        <v>0</v>
      </c>
    </row>
    <row r="16" spans="1:4" x14ac:dyDescent="0.15">
      <c r="A16" s="51" t="s">
        <v>994</v>
      </c>
      <c r="B16" s="47">
        <f>GovGrants!J88</f>
        <v>0</v>
      </c>
      <c r="C16" s="47">
        <f>GovGrants!J181</f>
        <v>0</v>
      </c>
      <c r="D16" s="47">
        <f>+AppropRes!G20</f>
        <v>0</v>
      </c>
    </row>
    <row r="17" spans="1:4" s="289" customFormat="1" x14ac:dyDescent="0.15">
      <c r="A17" s="51" t="s">
        <v>1120</v>
      </c>
      <c r="B17" s="47">
        <f>PupActiv!I19</f>
        <v>0</v>
      </c>
      <c r="C17" s="47">
        <f>PupActiv!I67</f>
        <v>0</v>
      </c>
      <c r="D17" s="47">
        <f>+AppropRes!G21</f>
        <v>0</v>
      </c>
    </row>
    <row r="18" spans="1:4" x14ac:dyDescent="0.15">
      <c r="A18" s="51" t="s">
        <v>370</v>
      </c>
      <c r="B18" s="47">
        <f>FullDayKOverride!I22</f>
        <v>0</v>
      </c>
      <c r="C18" s="47">
        <f>FullDayKOverride!I48</f>
        <v>0</v>
      </c>
      <c r="D18" s="391">
        <f>+AppropRes!G22</f>
        <v>0</v>
      </c>
    </row>
    <row r="19" spans="1:4" x14ac:dyDescent="0.15">
      <c r="A19" s="51" t="s">
        <v>964</v>
      </c>
      <c r="B19" s="47">
        <f>Transp!I22</f>
        <v>0</v>
      </c>
      <c r="C19" s="47">
        <f>Transp!I47</f>
        <v>0</v>
      </c>
      <c r="D19" s="47">
        <f>+AppropRes!G23</f>
        <v>0</v>
      </c>
    </row>
    <row r="20" spans="1:4" x14ac:dyDescent="0.15">
      <c r="A20" s="51" t="s">
        <v>1121</v>
      </c>
      <c r="B20" s="47">
        <f>OthSpecRev!I18</f>
        <v>0</v>
      </c>
      <c r="C20" s="47">
        <f>OthSpecRev!I69</f>
        <v>0</v>
      </c>
      <c r="D20" s="47">
        <f>+AppropRes!G24</f>
        <v>0</v>
      </c>
    </row>
    <row r="21" spans="1:4" x14ac:dyDescent="0.15">
      <c r="A21" s="51" t="s">
        <v>966</v>
      </c>
      <c r="B21" s="47">
        <f>BondRedm!I24</f>
        <v>0</v>
      </c>
      <c r="C21" s="47">
        <f>BondRedm!I46</f>
        <v>0</v>
      </c>
      <c r="D21" s="47">
        <f>+AppropRes!G25</f>
        <v>0</v>
      </c>
    </row>
    <row r="22" spans="1:4" x14ac:dyDescent="0.15">
      <c r="A22" s="51" t="s">
        <v>1670</v>
      </c>
      <c r="B22" s="47">
        <f>[1]NonVoterDebt!I25</f>
        <v>0</v>
      </c>
      <c r="C22" s="47">
        <f>[1]NonVoterDebt!I47</f>
        <v>0</v>
      </c>
      <c r="D22" s="47">
        <f>+[1]AppropRes!G27</f>
        <v>0</v>
      </c>
    </row>
    <row r="23" spans="1:4" x14ac:dyDescent="0.15">
      <c r="A23" s="51" t="s">
        <v>967</v>
      </c>
      <c r="B23" s="47">
        <f>BuildFund!I20</f>
        <v>0</v>
      </c>
      <c r="C23" s="47">
        <f>BuildFund!I53</f>
        <v>0</v>
      </c>
      <c r="D23" s="47">
        <f>+AppropRes!G27</f>
        <v>0</v>
      </c>
    </row>
    <row r="24" spans="1:4" x14ac:dyDescent="0.15">
      <c r="A24" s="114" t="s">
        <v>1122</v>
      </c>
      <c r="B24" s="47">
        <f>SpecBuild!I17</f>
        <v>0</v>
      </c>
      <c r="C24" s="47">
        <f>SpecBuild!I40</f>
        <v>0</v>
      </c>
      <c r="D24" s="47">
        <f>+AppropRes!G28</f>
        <v>0</v>
      </c>
    </row>
    <row r="25" spans="1:4" x14ac:dyDescent="0.15">
      <c r="A25" s="51" t="s">
        <v>975</v>
      </c>
      <c r="B25" s="47">
        <f>CapResCapPrj!I27</f>
        <v>0</v>
      </c>
      <c r="C25" s="47">
        <f>CapResCapPrj!I90</f>
        <v>0</v>
      </c>
      <c r="D25" s="47">
        <f>+AppropRes!G29</f>
        <v>0</v>
      </c>
    </row>
    <row r="26" spans="1:4" x14ac:dyDescent="0.15">
      <c r="A26" s="51" t="s">
        <v>1123</v>
      </c>
      <c r="B26" s="47">
        <f>FoodServ!I24</f>
        <v>0</v>
      </c>
      <c r="C26" s="47">
        <f>FoodServ!I57</f>
        <v>0</v>
      </c>
      <c r="D26" s="47">
        <f>+AppropRes!G31</f>
        <v>0</v>
      </c>
    </row>
    <row r="27" spans="1:4" x14ac:dyDescent="0.15">
      <c r="A27" s="51" t="s">
        <v>1124</v>
      </c>
      <c r="B27" s="47">
        <f>OtherEnterprise!I19</f>
        <v>0</v>
      </c>
      <c r="C27" s="47">
        <f>OtherEnterprise!I47</f>
        <v>0</v>
      </c>
      <c r="D27" s="47">
        <f>+AppropRes!G32</f>
        <v>0</v>
      </c>
    </row>
    <row r="28" spans="1:4" x14ac:dyDescent="0.15">
      <c r="A28" s="51" t="s">
        <v>1200</v>
      </c>
      <c r="B28" s="47">
        <f>RiskRelated!I17</f>
        <v>0</v>
      </c>
      <c r="C28" s="47">
        <f>RiskRelated!I45</f>
        <v>0</v>
      </c>
      <c r="D28" s="47">
        <f>+AppropRes!G34</f>
        <v>0</v>
      </c>
    </row>
    <row r="29" spans="1:4" x14ac:dyDescent="0.15">
      <c r="A29" s="51" t="s">
        <v>1201</v>
      </c>
      <c r="B29" s="47">
        <f>OtherInternal!I21</f>
        <v>0</v>
      </c>
      <c r="C29" s="47">
        <f>OtherInternal!I49</f>
        <v>0</v>
      </c>
      <c r="D29" s="47">
        <f>+AppropRes!G35</f>
        <v>0</v>
      </c>
    </row>
    <row r="30" spans="1:4" x14ac:dyDescent="0.15">
      <c r="A30" s="51" t="s">
        <v>1202</v>
      </c>
      <c r="B30" s="47">
        <f>PupilActAgency!I16</f>
        <v>0</v>
      </c>
      <c r="C30" s="47">
        <f>PupilActAgency!I59</f>
        <v>0</v>
      </c>
      <c r="D30" s="47">
        <f>+AppropRes!G37</f>
        <v>0</v>
      </c>
    </row>
    <row r="31" spans="1:4" x14ac:dyDescent="0.15">
      <c r="A31" s="51" t="s">
        <v>1203</v>
      </c>
      <c r="B31" s="47">
        <f>'Trust&amp;Agency'!I15</f>
        <v>0</v>
      </c>
      <c r="C31" s="47">
        <f>'Trust&amp;Agency'!I58</f>
        <v>0</v>
      </c>
      <c r="D31" s="47">
        <f>+AppropRes!G38</f>
        <v>0</v>
      </c>
    </row>
    <row r="32" spans="1:4" x14ac:dyDescent="0.15">
      <c r="A32" s="51" t="s">
        <v>1645</v>
      </c>
      <c r="B32" s="47">
        <f>'Foundation Fund'!I15</f>
        <v>0</v>
      </c>
      <c r="C32" s="47">
        <f>'Foundation Fund'!I58</f>
        <v>0</v>
      </c>
      <c r="D32" s="47">
        <f>+AppropRes!G39</f>
        <v>0</v>
      </c>
    </row>
    <row r="33" spans="1:4" x14ac:dyDescent="0.15">
      <c r="A33" s="51" t="s">
        <v>1204</v>
      </c>
      <c r="B33" s="47">
        <f>+Arbitrage!I22</f>
        <v>0</v>
      </c>
      <c r="C33" s="47">
        <f>+Arbitrage!H33</f>
        <v>0</v>
      </c>
      <c r="D33" s="47">
        <f>+AppropRes!G40</f>
        <v>0</v>
      </c>
    </row>
    <row r="35" spans="1:4" x14ac:dyDescent="0.15">
      <c r="A35" s="109" t="s">
        <v>740</v>
      </c>
      <c r="B35" s="129">
        <f>SUM(B10:B33)</f>
        <v>0</v>
      </c>
      <c r="C35" s="129">
        <f>SUM(C10:C33)</f>
        <v>0</v>
      </c>
      <c r="D35" s="129">
        <f>SUM(D10:D33)</f>
        <v>0</v>
      </c>
    </row>
  </sheetData>
  <sheetProtection formatCells="0" formatColumns="0" formatRows="0"/>
  <phoneticPr fontId="15" type="noConversion"/>
  <pageMargins left="0.75" right="0.75" top="1" bottom="1" header="0.5" footer="0.5"/>
  <pageSetup firstPageNumber="55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/>
  </sheetViews>
  <sheetFormatPr defaultColWidth="12" defaultRowHeight="10.5" x14ac:dyDescent="0.15"/>
  <cols>
    <col min="1" max="1" width="66.33203125" customWidth="1"/>
    <col min="2" max="4" width="22.83203125" customWidth="1"/>
  </cols>
  <sheetData>
    <row r="1" spans="1:5" x14ac:dyDescent="0.15">
      <c r="A1">
        <f>+'Page 1 - FY2013-14'!B5</f>
        <v>0</v>
      </c>
      <c r="B1" s="17"/>
      <c r="C1" s="17"/>
      <c r="D1" s="12"/>
      <c r="E1" s="17"/>
    </row>
    <row r="2" spans="1:5" ht="19.5" x14ac:dyDescent="0.35">
      <c r="A2" s="52" t="s">
        <v>1205</v>
      </c>
      <c r="B2" s="17"/>
      <c r="C2" s="17"/>
      <c r="D2" s="17"/>
      <c r="E2" s="17"/>
    </row>
    <row r="3" spans="1:5" x14ac:dyDescent="0.15">
      <c r="E3" s="17"/>
    </row>
    <row r="4" spans="1:5" ht="15.75" x14ac:dyDescent="0.25">
      <c r="A4" s="25"/>
      <c r="B4" s="53" t="s">
        <v>1206</v>
      </c>
      <c r="C4" s="53" t="s">
        <v>1206</v>
      </c>
      <c r="D4" s="53" t="s">
        <v>1207</v>
      </c>
    </row>
    <row r="5" spans="1:5" ht="15.75" x14ac:dyDescent="0.25">
      <c r="A5" s="54" t="s">
        <v>1208</v>
      </c>
      <c r="B5" s="54" t="s">
        <v>1209</v>
      </c>
      <c r="C5" s="54" t="s">
        <v>1211</v>
      </c>
      <c r="D5" s="54" t="s">
        <v>1211</v>
      </c>
    </row>
    <row r="6" spans="1:5" ht="16.5" thickBot="1" x14ac:dyDescent="0.3">
      <c r="A6" s="26"/>
      <c r="B6" s="55" t="s">
        <v>1211</v>
      </c>
      <c r="C6" s="55" t="s">
        <v>1212</v>
      </c>
      <c r="D6" s="26"/>
    </row>
    <row r="7" spans="1:5" ht="16.5" thickTop="1" x14ac:dyDescent="0.25">
      <c r="A7" s="56" t="s">
        <v>1217</v>
      </c>
      <c r="B7" s="57">
        <f>+'Budget Summaries 2'!N7</f>
        <v>0</v>
      </c>
      <c r="C7" s="57">
        <f>+'Budget Summaries 4'!H8</f>
        <v>0</v>
      </c>
      <c r="D7" s="57">
        <f t="shared" ref="D7:D17" si="0">SUM(B7:C7)</f>
        <v>0</v>
      </c>
    </row>
    <row r="8" spans="1:5" ht="15.75" x14ac:dyDescent="0.25">
      <c r="A8" s="56" t="s">
        <v>1218</v>
      </c>
      <c r="B8" s="57">
        <f>+'Budget Summaries 2'!N17+'Budget Summaries 2'!N19</f>
        <v>0</v>
      </c>
      <c r="C8" s="57">
        <f>+'Budget Summaries 4'!H14+'Budget Summaries 4'!H16</f>
        <v>0</v>
      </c>
      <c r="D8" s="57">
        <f>SUM(B8:C8)</f>
        <v>0</v>
      </c>
    </row>
    <row r="9" spans="1:5" ht="15.75" x14ac:dyDescent="0.25">
      <c r="A9" s="56" t="s">
        <v>1216</v>
      </c>
      <c r="B9" s="57">
        <f>'Budget Summaries 2'!N20</f>
        <v>0</v>
      </c>
      <c r="C9" s="57">
        <f>'Budget Summaries 4'!H17</f>
        <v>0</v>
      </c>
      <c r="D9" s="57">
        <f>SUM(B9:C9)</f>
        <v>0</v>
      </c>
    </row>
    <row r="10" spans="1:5" ht="16.5" thickBot="1" x14ac:dyDescent="0.3">
      <c r="A10" s="56" t="s">
        <v>1219</v>
      </c>
      <c r="B10" s="57">
        <f>+'Budget Summaries 2'!N18</f>
        <v>0</v>
      </c>
      <c r="C10" s="57">
        <f>'Budget Summaries 4'!H15</f>
        <v>0</v>
      </c>
      <c r="D10" s="57">
        <f t="shared" si="0"/>
        <v>0</v>
      </c>
    </row>
    <row r="11" spans="1:5" ht="17.25" thickTop="1" thickBot="1" x14ac:dyDescent="0.3">
      <c r="A11" s="58" t="s">
        <v>1220</v>
      </c>
      <c r="B11" s="59">
        <f>SUM(B7:B10)</f>
        <v>0</v>
      </c>
      <c r="C11" s="59">
        <f>SUM(C7:C10)</f>
        <v>0</v>
      </c>
      <c r="D11" s="59">
        <f t="shared" si="0"/>
        <v>0</v>
      </c>
    </row>
    <row r="12" spans="1:5" ht="16.5" thickTop="1" x14ac:dyDescent="0.25">
      <c r="A12" s="56" t="s">
        <v>1221</v>
      </c>
      <c r="B12" s="57">
        <f>+'Budget Summaries 3'!N22</f>
        <v>0</v>
      </c>
      <c r="C12" s="57">
        <f>+'Budget Summaries 5'!H22</f>
        <v>0</v>
      </c>
      <c r="D12" s="57">
        <f t="shared" si="0"/>
        <v>0</v>
      </c>
    </row>
    <row r="13" spans="1:5" ht="15.75" x14ac:dyDescent="0.25">
      <c r="A13" s="56" t="s">
        <v>1222</v>
      </c>
      <c r="B13" s="57">
        <f>+'Budget Summaries 3'!N25</f>
        <v>0</v>
      </c>
      <c r="C13" s="57">
        <f>+'Budget Summaries 5'!H25</f>
        <v>0</v>
      </c>
      <c r="D13" s="57">
        <f t="shared" si="0"/>
        <v>0</v>
      </c>
    </row>
    <row r="14" spans="1:5" ht="16.5" thickBot="1" x14ac:dyDescent="0.3">
      <c r="A14" s="60" t="s">
        <v>1144</v>
      </c>
      <c r="B14" s="61">
        <f>+'Budget Summaries 3'!N26</f>
        <v>0</v>
      </c>
      <c r="C14" s="61">
        <f>+'Budget Summaries 5'!H26</f>
        <v>0</v>
      </c>
      <c r="D14" s="57">
        <f t="shared" si="0"/>
        <v>0</v>
      </c>
    </row>
    <row r="15" spans="1:5" ht="17.25" thickTop="1" thickBot="1" x14ac:dyDescent="0.3">
      <c r="A15" s="58" t="s">
        <v>1528</v>
      </c>
      <c r="B15" s="59">
        <f>SUM(B12:B14)</f>
        <v>0</v>
      </c>
      <c r="C15" s="59">
        <f>SUM(C12:C14)</f>
        <v>0</v>
      </c>
      <c r="D15" s="59">
        <f t="shared" si="0"/>
        <v>0</v>
      </c>
    </row>
    <row r="16" spans="1:5" ht="17.25" thickTop="1" thickBot="1" x14ac:dyDescent="0.3">
      <c r="A16" s="56" t="s">
        <v>1353</v>
      </c>
      <c r="B16" s="61">
        <f>+'Budget Summaries 3'!N27</f>
        <v>0</v>
      </c>
      <c r="C16" s="61">
        <f>+'Budget Summaries 5'!H27</f>
        <v>0</v>
      </c>
      <c r="D16" s="59">
        <f t="shared" si="0"/>
        <v>0</v>
      </c>
    </row>
    <row r="17" spans="1:4" ht="17.25" thickTop="1" thickBot="1" x14ac:dyDescent="0.3">
      <c r="A17" s="58" t="s">
        <v>1354</v>
      </c>
      <c r="B17" s="62">
        <f>B15+B16</f>
        <v>0</v>
      </c>
      <c r="C17" s="62">
        <f>C15+C16</f>
        <v>0</v>
      </c>
      <c r="D17" s="59">
        <f t="shared" si="0"/>
        <v>0</v>
      </c>
    </row>
    <row r="18" spans="1:4" ht="11.25" thickTop="1" x14ac:dyDescent="0.15"/>
  </sheetData>
  <sheetProtection formatCells="0" formatColumns="0" formatRows="0"/>
  <phoneticPr fontId="15" type="noConversion"/>
  <pageMargins left="0.75" right="0.75" top="1" bottom="1" header="0.5" footer="0.5"/>
  <pageSetup firstPageNumber="56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zoomScale="90" workbookViewId="0">
      <selection activeCell="B23" sqref="B23"/>
    </sheetView>
  </sheetViews>
  <sheetFormatPr defaultColWidth="12" defaultRowHeight="11.25" customHeight="1" x14ac:dyDescent="0.15"/>
  <cols>
    <col min="1" max="1" width="32.83203125" customWidth="1"/>
    <col min="2" max="5" width="15.83203125" customWidth="1"/>
    <col min="6" max="6" width="15.83203125" style="289" hidden="1" customWidth="1"/>
    <col min="7" max="14" width="15.83203125" customWidth="1"/>
  </cols>
  <sheetData>
    <row r="1" spans="1:14" ht="11.25" customHeight="1" x14ac:dyDescent="0.15">
      <c r="A1">
        <f>+'Page 1 - FY2013-14'!B5</f>
        <v>0</v>
      </c>
      <c r="B1" s="17"/>
      <c r="C1" s="17"/>
      <c r="D1" s="17"/>
      <c r="E1" s="17"/>
      <c r="F1" s="377"/>
      <c r="G1" s="17"/>
      <c r="H1" s="17"/>
      <c r="I1" s="17"/>
      <c r="J1" s="17"/>
      <c r="K1" s="17"/>
      <c r="L1" s="17"/>
      <c r="M1" s="17"/>
      <c r="N1" s="12" t="s">
        <v>1355</v>
      </c>
    </row>
    <row r="2" spans="1:14" ht="15.75" x14ac:dyDescent="0.25">
      <c r="A2" s="63" t="s">
        <v>1356</v>
      </c>
      <c r="B2" s="17"/>
      <c r="C2" s="17"/>
      <c r="D2" s="17"/>
      <c r="E2" s="17"/>
      <c r="F2" s="377"/>
      <c r="G2" s="17"/>
      <c r="H2" s="17"/>
      <c r="I2" s="17"/>
      <c r="J2" s="17"/>
      <c r="K2" s="17"/>
      <c r="L2" s="17"/>
      <c r="M2" s="17"/>
      <c r="N2" s="17"/>
    </row>
    <row r="3" spans="1:14" ht="11.25" customHeight="1" x14ac:dyDescent="0.15">
      <c r="F3"/>
    </row>
    <row r="4" spans="1:14" ht="11.25" customHeight="1" x14ac:dyDescent="0.2">
      <c r="A4" s="27"/>
      <c r="B4" s="28"/>
      <c r="C4" s="390" t="s">
        <v>1633</v>
      </c>
      <c r="D4" s="64" t="s">
        <v>1360</v>
      </c>
      <c r="E4" s="64" t="s">
        <v>783</v>
      </c>
      <c r="F4" s="64" t="s">
        <v>1632</v>
      </c>
      <c r="G4" s="64" t="s">
        <v>1357</v>
      </c>
      <c r="H4" s="64" t="s">
        <v>1358</v>
      </c>
      <c r="I4" s="64" t="s">
        <v>1359</v>
      </c>
      <c r="J4" s="64" t="s">
        <v>1361</v>
      </c>
      <c r="K4" s="64" t="s">
        <v>1362</v>
      </c>
      <c r="L4" s="64" t="s">
        <v>1363</v>
      </c>
      <c r="M4" s="64" t="s">
        <v>1364</v>
      </c>
      <c r="N4" s="64" t="s">
        <v>1206</v>
      </c>
    </row>
    <row r="5" spans="1:14" ht="11.25" customHeight="1" x14ac:dyDescent="0.2">
      <c r="A5" s="65" t="s">
        <v>1208</v>
      </c>
      <c r="B5" s="65" t="s">
        <v>1365</v>
      </c>
      <c r="C5" s="65" t="s">
        <v>784</v>
      </c>
      <c r="D5" s="65" t="s">
        <v>1366</v>
      </c>
      <c r="E5" s="65" t="s">
        <v>784</v>
      </c>
      <c r="F5" s="65" t="s">
        <v>1475</v>
      </c>
      <c r="G5" s="65" t="s">
        <v>1366</v>
      </c>
      <c r="H5" s="65" t="s">
        <v>1475</v>
      </c>
      <c r="I5" s="65" t="s">
        <v>1476</v>
      </c>
      <c r="J5" s="65" t="s">
        <v>1477</v>
      </c>
      <c r="K5" s="65" t="s">
        <v>1478</v>
      </c>
      <c r="L5" s="65" t="s">
        <v>1479</v>
      </c>
      <c r="M5" s="65" t="s">
        <v>1478</v>
      </c>
      <c r="N5" s="65" t="s">
        <v>1209</v>
      </c>
    </row>
    <row r="6" spans="1:14" ht="11.25" customHeight="1" thickBot="1" x14ac:dyDescent="0.25">
      <c r="A6" s="29"/>
      <c r="B6" s="66" t="s">
        <v>1480</v>
      </c>
      <c r="C6" s="66" t="s">
        <v>1480</v>
      </c>
      <c r="D6" s="66" t="s">
        <v>1480</v>
      </c>
      <c r="E6" s="66" t="s">
        <v>1480</v>
      </c>
      <c r="F6" s="67" t="s">
        <v>432</v>
      </c>
      <c r="G6" s="66" t="s">
        <v>1480</v>
      </c>
      <c r="H6" s="67" t="s">
        <v>432</v>
      </c>
      <c r="I6" s="66" t="s">
        <v>1480</v>
      </c>
      <c r="J6" s="66" t="s">
        <v>1481</v>
      </c>
      <c r="K6" s="66" t="s">
        <v>1480</v>
      </c>
      <c r="L6" s="66" t="s">
        <v>1481</v>
      </c>
      <c r="M6" s="66" t="s">
        <v>1481</v>
      </c>
      <c r="N6" s="66" t="s">
        <v>1211</v>
      </c>
    </row>
    <row r="7" spans="1:14" ht="11.25" customHeight="1" thickTop="1" thickBot="1" x14ac:dyDescent="0.25">
      <c r="A7" s="67" t="s">
        <v>1217</v>
      </c>
      <c r="B7" s="68">
        <f>GenFundREV!I5</f>
        <v>0</v>
      </c>
      <c r="C7" s="68">
        <f>CharterFundRev!I5</f>
        <v>0</v>
      </c>
      <c r="D7" s="68">
        <f>InsResv!I6</f>
        <v>0</v>
      </c>
      <c r="E7" s="68">
        <f>'CPP Fund'!I7</f>
        <v>0</v>
      </c>
      <c r="F7" s="68">
        <f>ARRAGrants!J6</f>
        <v>0</v>
      </c>
      <c r="G7" s="68">
        <f>CapRes!I6</f>
        <v>0</v>
      </c>
      <c r="H7" s="68">
        <f>GovGrants!J6</f>
        <v>0</v>
      </c>
      <c r="I7" s="68">
        <f>PupActiv!I6</f>
        <v>0</v>
      </c>
      <c r="J7" s="68">
        <f>Transp!I6+OthSpecRev!I7+FullDayKOverride!I6</f>
        <v>0</v>
      </c>
      <c r="K7" s="68">
        <f>FoodServ!I6</f>
        <v>0</v>
      </c>
      <c r="L7" s="68">
        <f>OtherEnterprise!I6</f>
        <v>0</v>
      </c>
      <c r="M7" s="68">
        <f>+RiskRelated!I7+OtherInternal!I6</f>
        <v>0</v>
      </c>
      <c r="N7" s="68">
        <f>SUM(B7:M7)</f>
        <v>0</v>
      </c>
    </row>
    <row r="8" spans="1:14" ht="11.25" customHeight="1" thickTop="1" x14ac:dyDescent="0.2">
      <c r="A8" s="69" t="s">
        <v>1482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</row>
    <row r="9" spans="1:14" ht="11.25" customHeight="1" x14ac:dyDescent="0.2">
      <c r="A9" s="71" t="s">
        <v>1483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 spans="1:14" ht="11.25" customHeight="1" x14ac:dyDescent="0.2">
      <c r="A10" s="69" t="s">
        <v>1484</v>
      </c>
      <c r="B10" s="73">
        <f>GenFundREV!I7</f>
        <v>0</v>
      </c>
      <c r="C10" s="73">
        <f>CharterFundRev!I7</f>
        <v>0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3">
        <f t="shared" ref="N10:N20" si="0">SUM(B10:M10)</f>
        <v>0</v>
      </c>
    </row>
    <row r="11" spans="1:14" ht="11.25" customHeight="1" x14ac:dyDescent="0.2">
      <c r="A11" s="69" t="s">
        <v>1532</v>
      </c>
      <c r="B11" s="73">
        <f>GenFundREV!I51</f>
        <v>0</v>
      </c>
      <c r="C11" s="73">
        <f>CharterFundRev!I51</f>
        <v>0</v>
      </c>
      <c r="D11" s="73">
        <f>InsResv!I11</f>
        <v>0</v>
      </c>
      <c r="E11" s="74"/>
      <c r="F11" s="74"/>
      <c r="G11" s="73">
        <f>CapRes!I14</f>
        <v>0</v>
      </c>
      <c r="H11" s="74"/>
      <c r="I11" s="74"/>
      <c r="J11" s="74"/>
      <c r="K11" s="74"/>
      <c r="L11" s="74"/>
      <c r="M11" s="74"/>
      <c r="N11" s="73">
        <f t="shared" si="0"/>
        <v>0</v>
      </c>
    </row>
    <row r="12" spans="1:14" ht="11.25" customHeight="1" thickBot="1" x14ac:dyDescent="0.25">
      <c r="A12" s="67" t="s">
        <v>1533</v>
      </c>
      <c r="B12" s="68">
        <f>GenFundREV!I8</f>
        <v>0</v>
      </c>
      <c r="C12" s="68">
        <f>CharterFundRev!I8</f>
        <v>0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3">
        <f t="shared" si="0"/>
        <v>0</v>
      </c>
    </row>
    <row r="13" spans="1:14" ht="11.25" customHeight="1" thickTop="1" x14ac:dyDescent="0.2">
      <c r="A13" s="71" t="s">
        <v>1534</v>
      </c>
      <c r="B13" s="215">
        <f>GenFundREV!I45-GenFundREV!I7-GenFundREV!I8</f>
        <v>0</v>
      </c>
      <c r="C13" s="215">
        <f>CharterFundRev!I45-CharterFundRev!I7-CharterFundRev!I8</f>
        <v>0</v>
      </c>
      <c r="D13" s="215">
        <f>InsResv!I8+InsResv!I9+InsResv!I10</f>
        <v>0</v>
      </c>
      <c r="E13" s="215">
        <f>'CPP Fund'!I9</f>
        <v>0</v>
      </c>
      <c r="F13" s="215">
        <f>ARRAGrants!J65</f>
        <v>0</v>
      </c>
      <c r="G13" s="215">
        <f>CapRes!I8+CapRes!I9+CapRes!I10+CapRes!I11+CapRes!I12</f>
        <v>0</v>
      </c>
      <c r="H13" s="215">
        <f>GovGrants!J65</f>
        <v>0</v>
      </c>
      <c r="I13" s="215">
        <f>PupActiv!I8+PupActiv!I9+PupActiv!I10+PupActiv!I11</f>
        <v>0</v>
      </c>
      <c r="J13" s="215">
        <f>SUM(Transp!I8:I15)+OthSpecRev!I9+OthSpecRev!I10+SUM(FullDayKOverride!I8:I15)</f>
        <v>0</v>
      </c>
      <c r="K13" s="215">
        <f>SUM(FoodServ!I9:I12)</f>
        <v>0</v>
      </c>
      <c r="L13" s="215">
        <f>SUM(OtherEnterprise!I9:I13)</f>
        <v>0</v>
      </c>
      <c r="M13" s="215">
        <f>SUM(RiskRelated!I9:I11)+SUM(OtherInternal!I8:I15)</f>
        <v>0</v>
      </c>
      <c r="N13" s="224">
        <f t="shared" si="0"/>
        <v>0</v>
      </c>
    </row>
    <row r="14" spans="1:14" ht="11.25" customHeight="1" x14ac:dyDescent="0.2">
      <c r="A14" s="216" t="s">
        <v>1143</v>
      </c>
      <c r="B14" s="217">
        <f>GenFundREV!I48</f>
        <v>0</v>
      </c>
      <c r="C14" s="217">
        <f>CharterFundRev!I48</f>
        <v>0</v>
      </c>
      <c r="D14" s="217"/>
      <c r="E14" s="217">
        <f>'CPP Fund'!I10</f>
        <v>0</v>
      </c>
      <c r="F14" s="217"/>
      <c r="G14" s="217">
        <f>CapRes!I13</f>
        <v>0</v>
      </c>
      <c r="H14" s="217"/>
      <c r="I14" s="217"/>
      <c r="J14" s="217"/>
      <c r="K14" s="217"/>
      <c r="L14" s="217"/>
      <c r="M14" s="217"/>
      <c r="N14" s="223">
        <f t="shared" si="0"/>
        <v>0</v>
      </c>
    </row>
    <row r="15" spans="1:14" ht="11.25" customHeight="1" x14ac:dyDescent="0.2">
      <c r="A15" s="71" t="s">
        <v>1535</v>
      </c>
      <c r="B15" s="215">
        <f>GenFundREV!I75-GenFundREV!I51</f>
        <v>0</v>
      </c>
      <c r="C15" s="215">
        <f>CharterFundRev!I74-CharterFundRev!I51</f>
        <v>0</v>
      </c>
      <c r="D15" s="215"/>
      <c r="E15" s="215">
        <f>'CPP Fund'!I11</f>
        <v>0</v>
      </c>
      <c r="F15" s="215">
        <f>ARRAGrants!J23</f>
        <v>0</v>
      </c>
      <c r="G15" s="215">
        <f>CapRes!I15+CapRes!I16+CapRes!I17</f>
        <v>0</v>
      </c>
      <c r="H15" s="215">
        <f>GovGrants!J23</f>
        <v>0</v>
      </c>
      <c r="I15" s="215">
        <f>PupActiv!I12</f>
        <v>0</v>
      </c>
      <c r="J15" s="215">
        <f>Transp!I16+OthSpecRev!I11+FullDayKOverride!I16</f>
        <v>0</v>
      </c>
      <c r="K15" s="215">
        <f>FoodServ!I13+FoodServ!I14+FoodServ!I15</f>
        <v>0</v>
      </c>
      <c r="L15" s="215"/>
      <c r="M15" s="215"/>
      <c r="N15" s="223">
        <f t="shared" si="0"/>
        <v>0</v>
      </c>
    </row>
    <row r="16" spans="1:14" ht="11.25" customHeight="1" x14ac:dyDescent="0.2">
      <c r="A16" s="71" t="s">
        <v>1536</v>
      </c>
      <c r="B16" s="215">
        <f>GenFundREV!I91</f>
        <v>0</v>
      </c>
      <c r="C16" s="215">
        <f>CharterFundRev!I89</f>
        <v>0</v>
      </c>
      <c r="D16" s="215"/>
      <c r="E16" s="215">
        <f>'CPP Fund'!I12</f>
        <v>0</v>
      </c>
      <c r="F16" s="215">
        <f>ARRAGrants!J50</f>
        <v>0</v>
      </c>
      <c r="G16" s="215">
        <f>CapRes!I18</f>
        <v>0</v>
      </c>
      <c r="H16" s="215">
        <f>GovGrants!J50</f>
        <v>0</v>
      </c>
      <c r="I16" s="215">
        <f>PupActiv!I13</f>
        <v>0</v>
      </c>
      <c r="J16" s="215">
        <f>OthSpecRev!I12</f>
        <v>0</v>
      </c>
      <c r="K16" s="215">
        <f>FoodServ!I16+FoodServ!I17+FoodServ!I18</f>
        <v>0</v>
      </c>
      <c r="L16" s="215"/>
      <c r="M16" s="215"/>
      <c r="N16" s="223">
        <f t="shared" si="0"/>
        <v>0</v>
      </c>
    </row>
    <row r="17" spans="1:14" ht="11.25" customHeight="1" thickBot="1" x14ac:dyDescent="0.25">
      <c r="A17" s="67" t="s">
        <v>1537</v>
      </c>
      <c r="B17" s="693">
        <f>SUM(B8:B16)</f>
        <v>0</v>
      </c>
      <c r="C17" s="693">
        <f t="shared" ref="C17:M17" si="1">SUM(C8:C16)</f>
        <v>0</v>
      </c>
      <c r="D17" s="68">
        <f t="shared" si="1"/>
        <v>0</v>
      </c>
      <c r="E17" s="68">
        <f>SUM(E8:E16)</f>
        <v>0</v>
      </c>
      <c r="F17" s="68">
        <f>SUM(F8:F16)</f>
        <v>0</v>
      </c>
      <c r="G17" s="68">
        <f t="shared" si="1"/>
        <v>0</v>
      </c>
      <c r="H17" s="68">
        <f t="shared" si="1"/>
        <v>0</v>
      </c>
      <c r="I17" s="68">
        <f t="shared" si="1"/>
        <v>0</v>
      </c>
      <c r="J17" s="68">
        <f t="shared" si="1"/>
        <v>0</v>
      </c>
      <c r="K17" s="68">
        <f t="shared" si="1"/>
        <v>0</v>
      </c>
      <c r="L17" s="68">
        <f t="shared" si="1"/>
        <v>0</v>
      </c>
      <c r="M17" s="68">
        <f t="shared" si="1"/>
        <v>0</v>
      </c>
      <c r="N17" s="225">
        <f t="shared" si="0"/>
        <v>0</v>
      </c>
    </row>
    <row r="18" spans="1:14" ht="11.25" customHeight="1" thickTop="1" x14ac:dyDescent="0.2">
      <c r="A18" s="69" t="s">
        <v>1605</v>
      </c>
      <c r="B18" s="694">
        <f>GenFundREV!I94</f>
        <v>0</v>
      </c>
      <c r="C18" s="694">
        <f>CharterFundRev!I92</f>
        <v>0</v>
      </c>
      <c r="D18" s="73">
        <f>InsResv!I12</f>
        <v>0</v>
      </c>
      <c r="E18" s="73">
        <f>'CPP Fund'!I13</f>
        <v>0</v>
      </c>
      <c r="F18" s="73">
        <f>ARRAGrants!J71</f>
        <v>0</v>
      </c>
      <c r="G18" s="73">
        <f>CapRes!I19</f>
        <v>0</v>
      </c>
      <c r="H18" s="73">
        <f>GovGrants!J71</f>
        <v>0</v>
      </c>
      <c r="I18" s="73">
        <f>PupActiv!I14</f>
        <v>0</v>
      </c>
      <c r="J18" s="73">
        <f>Transp!I17+OthSpecRev!I13+FullDayKOverride!I17</f>
        <v>0</v>
      </c>
      <c r="K18" s="73">
        <f>FoodServ!I19</f>
        <v>0</v>
      </c>
      <c r="L18" s="73">
        <f>OtherEnterprise!I14</f>
        <v>0</v>
      </c>
      <c r="M18" s="73">
        <f>RiskRelated!I12+OtherInternal!I16</f>
        <v>0</v>
      </c>
      <c r="N18" s="73">
        <f t="shared" si="0"/>
        <v>0</v>
      </c>
    </row>
    <row r="19" spans="1:14" ht="11.25" customHeight="1" x14ac:dyDescent="0.2">
      <c r="A19" s="69" t="s">
        <v>1538</v>
      </c>
      <c r="B19" s="694">
        <f>GenFundREV!I95+GenFundREV!I96+GenFundREV!I97</f>
        <v>0</v>
      </c>
      <c r="C19" s="694">
        <f>CharterFundRev!I93+CharterFundRev!I94+CharterFundRev!I95</f>
        <v>0</v>
      </c>
      <c r="D19" s="73">
        <f>InsResv!I14</f>
        <v>0</v>
      </c>
      <c r="E19" s="73">
        <f>'CPP Fund'!I15</f>
        <v>0</v>
      </c>
      <c r="F19" s="73">
        <f>ARRAGrants!J86</f>
        <v>0</v>
      </c>
      <c r="G19" s="73">
        <f>CapRes!I20+CapRes!I21+CapRes!I23</f>
        <v>0</v>
      </c>
      <c r="H19" s="73">
        <f>GovGrants!J86</f>
        <v>0</v>
      </c>
      <c r="I19" s="73">
        <f>PupActiv!I15</f>
        <v>0</v>
      </c>
      <c r="J19" s="73">
        <f>Transp!I18+OthSpecRev!I14+FullDayKOverride!I18</f>
        <v>0</v>
      </c>
      <c r="K19" s="73">
        <f>FoodServ!I20</f>
        <v>0</v>
      </c>
      <c r="L19" s="73">
        <f>OtherEnterprise!I15</f>
        <v>0</v>
      </c>
      <c r="M19" s="73">
        <f>RiskRelated!I13+OtherInternal!I17</f>
        <v>0</v>
      </c>
      <c r="N19" s="73">
        <f t="shared" si="0"/>
        <v>0</v>
      </c>
    </row>
    <row r="20" spans="1:14" ht="11.25" customHeight="1" thickBot="1" x14ac:dyDescent="0.25">
      <c r="A20" s="67" t="s">
        <v>1539</v>
      </c>
      <c r="B20" s="693">
        <f>-GenFundREV!I108</f>
        <v>0</v>
      </c>
      <c r="C20" s="693">
        <f>-CharterFundRev!I106</f>
        <v>0</v>
      </c>
      <c r="D20" s="68">
        <f>InsResv!I13</f>
        <v>0</v>
      </c>
      <c r="E20" s="68">
        <f>'CPP Fund'!I14</f>
        <v>0</v>
      </c>
      <c r="F20" s="68"/>
      <c r="G20" s="68">
        <f>CapRes!I22</f>
        <v>0</v>
      </c>
      <c r="H20" s="68"/>
      <c r="I20" s="68"/>
      <c r="J20" s="68"/>
      <c r="K20" s="68"/>
      <c r="L20" s="68"/>
      <c r="M20" s="68"/>
      <c r="N20" s="68">
        <f t="shared" si="0"/>
        <v>0</v>
      </c>
    </row>
    <row r="21" spans="1:14" ht="11.25" customHeight="1" thickTop="1" thickBot="1" x14ac:dyDescent="0.25">
      <c r="A21" s="67" t="s">
        <v>1540</v>
      </c>
      <c r="B21" s="68">
        <f>SUM(B17:B20)</f>
        <v>0</v>
      </c>
      <c r="C21" s="68">
        <f t="shared" ref="C21:N21" si="2">SUM(C17:C20)</f>
        <v>0</v>
      </c>
      <c r="D21" s="68">
        <f>SUM(D17:D20)</f>
        <v>0</v>
      </c>
      <c r="E21" s="68">
        <f t="shared" si="2"/>
        <v>0</v>
      </c>
      <c r="F21" s="68">
        <f>SUM(F17:F20)</f>
        <v>0</v>
      </c>
      <c r="G21" s="68">
        <f t="shared" si="2"/>
        <v>0</v>
      </c>
      <c r="H21" s="68">
        <f t="shared" si="2"/>
        <v>0</v>
      </c>
      <c r="I21" s="68">
        <f>SUM(I17:I20)</f>
        <v>0</v>
      </c>
      <c r="J21" s="68">
        <f t="shared" si="2"/>
        <v>0</v>
      </c>
      <c r="K21" s="68">
        <f t="shared" si="2"/>
        <v>0</v>
      </c>
      <c r="L21" s="68">
        <f t="shared" si="2"/>
        <v>0</v>
      </c>
      <c r="M21" s="68">
        <f t="shared" si="2"/>
        <v>0</v>
      </c>
      <c r="N21" s="68">
        <f t="shared" si="2"/>
        <v>0</v>
      </c>
    </row>
    <row r="22" spans="1:14" ht="11.25" customHeight="1" thickTop="1" x14ac:dyDescent="0.2">
      <c r="A22" s="71" t="s">
        <v>1541</v>
      </c>
      <c r="B22" s="130">
        <f>'Page 1 - FY2013-14'!$C$7</f>
        <v>0</v>
      </c>
      <c r="C22" s="130">
        <f>'Page 1 - FY2013-14'!$C$7</f>
        <v>0</v>
      </c>
      <c r="D22" s="130">
        <f>'Page 1 - FY2013-14'!$C$7</f>
        <v>0</v>
      </c>
      <c r="E22" s="130">
        <f>'Page 1 - FY2013-14'!$C$7</f>
        <v>0</v>
      </c>
      <c r="F22" s="130">
        <f>'Page 1 - FY2013-14'!$C$7</f>
        <v>0</v>
      </c>
      <c r="G22" s="130">
        <f>'Page 1 - FY2013-14'!$C$7</f>
        <v>0</v>
      </c>
      <c r="H22" s="130">
        <f>'Page 1 - FY2013-14'!$C$7</f>
        <v>0</v>
      </c>
      <c r="I22" s="130">
        <f>'Page 1 - FY2013-14'!$C$7</f>
        <v>0</v>
      </c>
      <c r="J22" s="130">
        <f>'Page 1 - FY2013-14'!$C$7</f>
        <v>0</v>
      </c>
      <c r="K22" s="130">
        <f>'Page 1 - FY2013-14'!$C$7</f>
        <v>0</v>
      </c>
      <c r="L22" s="130">
        <f>'Page 1 - FY2013-14'!$C$7</f>
        <v>0</v>
      </c>
      <c r="M22" s="130">
        <f>'Page 1 - FY2013-14'!$C$7</f>
        <v>0</v>
      </c>
      <c r="N22" s="130">
        <f>'Page 1 - FY2013-14'!$C$7</f>
        <v>0</v>
      </c>
    </row>
    <row r="23" spans="1:14" ht="11.25" customHeight="1" x14ac:dyDescent="0.2">
      <c r="A23" s="71" t="s">
        <v>1542</v>
      </c>
      <c r="B23" s="78" t="e">
        <f>B21/B22</f>
        <v>#DIV/0!</v>
      </c>
      <c r="C23" s="78" t="e">
        <f>C21/C22</f>
        <v>#DIV/0!</v>
      </c>
      <c r="D23" s="78" t="e">
        <f>D21/D22</f>
        <v>#DIV/0!</v>
      </c>
      <c r="E23" s="78" t="e">
        <f t="shared" ref="E23:N23" si="3">E21/E22</f>
        <v>#DIV/0!</v>
      </c>
      <c r="F23" s="78" t="e">
        <f>F21/F22</f>
        <v>#DIV/0!</v>
      </c>
      <c r="G23" s="78" t="e">
        <f t="shared" si="3"/>
        <v>#DIV/0!</v>
      </c>
      <c r="H23" s="78" t="e">
        <f t="shared" si="3"/>
        <v>#DIV/0!</v>
      </c>
      <c r="I23" s="78" t="e">
        <f>I21/I22</f>
        <v>#DIV/0!</v>
      </c>
      <c r="J23" s="78" t="e">
        <f t="shared" si="3"/>
        <v>#DIV/0!</v>
      </c>
      <c r="K23" s="78" t="e">
        <f t="shared" si="3"/>
        <v>#DIV/0!</v>
      </c>
      <c r="L23" s="78" t="e">
        <f t="shared" si="3"/>
        <v>#DIV/0!</v>
      </c>
      <c r="M23" s="78" t="e">
        <f t="shared" si="3"/>
        <v>#DIV/0!</v>
      </c>
      <c r="N23" s="78" t="e">
        <f t="shared" si="3"/>
        <v>#DIV/0!</v>
      </c>
    </row>
    <row r="24" spans="1:14" ht="11.25" customHeight="1" x14ac:dyDescent="0.15">
      <c r="F24"/>
    </row>
  </sheetData>
  <sheetProtection formatCells="0" formatColumns="0" formatRows="0"/>
  <phoneticPr fontId="15" type="noConversion"/>
  <pageMargins left="0.75" right="0.75" top="1" bottom="1" header="0.5" footer="0.5"/>
  <pageSetup scale="64" firstPageNumber="57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zoomScale="75" workbookViewId="0">
      <selection activeCell="B8" sqref="B8"/>
    </sheetView>
  </sheetViews>
  <sheetFormatPr defaultColWidth="12" defaultRowHeight="10.5" x14ac:dyDescent="0.15"/>
  <cols>
    <col min="1" max="1" width="31.6640625" customWidth="1"/>
    <col min="2" max="5" width="17.83203125" customWidth="1"/>
    <col min="6" max="6" width="17.83203125" style="289" hidden="1" customWidth="1"/>
    <col min="7" max="14" width="17.83203125" customWidth="1"/>
  </cols>
  <sheetData>
    <row r="1" spans="1:14" x14ac:dyDescent="0.15">
      <c r="A1">
        <f>+'Page 1 - FY2013-14'!B5</f>
        <v>0</v>
      </c>
      <c r="B1" s="17"/>
      <c r="C1" s="17"/>
      <c r="D1" s="17"/>
      <c r="E1" s="17"/>
      <c r="F1" s="377"/>
      <c r="G1" s="17"/>
      <c r="H1" s="17"/>
      <c r="I1" s="17"/>
      <c r="J1" s="17"/>
      <c r="K1" s="17"/>
      <c r="L1" s="17"/>
      <c r="M1" s="17"/>
      <c r="N1" s="12"/>
    </row>
    <row r="2" spans="1:14" ht="15.75" x14ac:dyDescent="0.25">
      <c r="A2" s="63" t="s">
        <v>1543</v>
      </c>
      <c r="B2" s="17"/>
      <c r="C2" s="17"/>
      <c r="D2" s="17"/>
      <c r="E2" s="17"/>
      <c r="F2" s="377"/>
      <c r="G2" s="17"/>
      <c r="H2" s="17"/>
      <c r="I2" s="17"/>
      <c r="J2" s="17"/>
      <c r="K2" s="17"/>
      <c r="L2" s="17"/>
      <c r="M2" s="17"/>
      <c r="N2" s="17"/>
    </row>
    <row r="3" spans="1:14" ht="15.75" x14ac:dyDescent="0.25">
      <c r="B3" s="16"/>
      <c r="C3" s="16"/>
      <c r="D3" s="16"/>
      <c r="E3" s="16"/>
      <c r="F3" s="378"/>
      <c r="G3" s="16"/>
      <c r="H3" s="16"/>
      <c r="I3" s="16"/>
      <c r="J3" s="16"/>
      <c r="K3" s="16"/>
      <c r="L3" s="16"/>
      <c r="M3" s="16"/>
      <c r="N3" s="16"/>
    </row>
    <row r="4" spans="1:14" ht="15.75" x14ac:dyDescent="0.25">
      <c r="B4" s="16"/>
      <c r="C4" s="16"/>
      <c r="D4" s="16"/>
      <c r="E4" s="16"/>
      <c r="F4" s="378"/>
      <c r="G4" s="16"/>
      <c r="H4" s="16"/>
      <c r="I4" s="16"/>
      <c r="J4" s="16"/>
      <c r="K4" s="16"/>
      <c r="L4" s="16"/>
      <c r="M4" s="16"/>
      <c r="N4" s="16"/>
    </row>
    <row r="5" spans="1:14" ht="11.25" x14ac:dyDescent="0.2">
      <c r="A5" s="27"/>
      <c r="B5" s="30"/>
      <c r="C5" s="389" t="s">
        <v>1633</v>
      </c>
      <c r="D5" s="79" t="s">
        <v>1544</v>
      </c>
      <c r="E5" s="79" t="s">
        <v>783</v>
      </c>
      <c r="F5" s="79" t="s">
        <v>1632</v>
      </c>
      <c r="G5" s="79" t="s">
        <v>1357</v>
      </c>
      <c r="H5" s="79" t="s">
        <v>1358</v>
      </c>
      <c r="I5" s="79" t="s">
        <v>1359</v>
      </c>
      <c r="J5" s="645" t="s">
        <v>1361</v>
      </c>
      <c r="K5" s="79" t="s">
        <v>1362</v>
      </c>
      <c r="L5" s="79" t="s">
        <v>1363</v>
      </c>
      <c r="M5" s="79" t="s">
        <v>1364</v>
      </c>
      <c r="N5" s="79" t="s">
        <v>1206</v>
      </c>
    </row>
    <row r="6" spans="1:14" ht="11.25" x14ac:dyDescent="0.2">
      <c r="A6" s="65" t="s">
        <v>1208</v>
      </c>
      <c r="B6" s="80" t="s">
        <v>1365</v>
      </c>
      <c r="C6" s="80" t="s">
        <v>784</v>
      </c>
      <c r="D6" s="80" t="s">
        <v>1366</v>
      </c>
      <c r="E6" s="80" t="s">
        <v>784</v>
      </c>
      <c r="F6" s="80" t="s">
        <v>1475</v>
      </c>
      <c r="G6" s="80" t="s">
        <v>1366</v>
      </c>
      <c r="H6" s="80" t="s">
        <v>1475</v>
      </c>
      <c r="I6" s="80" t="s">
        <v>1476</v>
      </c>
      <c r="J6" s="646" t="s">
        <v>1477</v>
      </c>
      <c r="K6" s="80" t="s">
        <v>1478</v>
      </c>
      <c r="L6" s="80" t="s">
        <v>1479</v>
      </c>
      <c r="M6" s="80" t="s">
        <v>1478</v>
      </c>
      <c r="N6" s="80" t="s">
        <v>1209</v>
      </c>
    </row>
    <row r="7" spans="1:14" ht="12" thickBot="1" x14ac:dyDescent="0.25">
      <c r="A7" s="29"/>
      <c r="B7" s="66" t="s">
        <v>1480</v>
      </c>
      <c r="C7" s="66" t="s">
        <v>1480</v>
      </c>
      <c r="D7" s="66" t="s">
        <v>1480</v>
      </c>
      <c r="E7" s="66" t="s">
        <v>1480</v>
      </c>
      <c r="F7" s="67" t="s">
        <v>432</v>
      </c>
      <c r="G7" s="66" t="s">
        <v>1480</v>
      </c>
      <c r="H7" s="67" t="s">
        <v>432</v>
      </c>
      <c r="I7" s="66" t="s">
        <v>1480</v>
      </c>
      <c r="J7" s="647" t="s">
        <v>1481</v>
      </c>
      <c r="K7" s="66" t="s">
        <v>1480</v>
      </c>
      <c r="L7" s="66" t="s">
        <v>1481</v>
      </c>
      <c r="M7" s="66" t="s">
        <v>1481</v>
      </c>
      <c r="N7" s="66" t="s">
        <v>1211</v>
      </c>
    </row>
    <row r="8" spans="1:14" ht="12" thickTop="1" x14ac:dyDescent="0.2">
      <c r="A8" s="69" t="s">
        <v>1545</v>
      </c>
      <c r="B8" s="73">
        <f>GenFundExp!I1074</f>
        <v>0</v>
      </c>
      <c r="C8" s="73">
        <f>CharterFundExp!I1074</f>
        <v>0</v>
      </c>
      <c r="D8" s="73"/>
      <c r="E8" s="73">
        <f>'CPP Fund'!I61</f>
        <v>0</v>
      </c>
      <c r="F8" s="73"/>
      <c r="G8" s="73">
        <f>CapRes!I46</f>
        <v>0</v>
      </c>
      <c r="H8" s="73"/>
      <c r="I8" s="73">
        <f>PupActiv!I41</f>
        <v>0</v>
      </c>
      <c r="J8" s="73">
        <f>OthSpecRev!I36</f>
        <v>0</v>
      </c>
      <c r="K8" s="73"/>
      <c r="L8" s="73"/>
      <c r="M8" s="73"/>
      <c r="N8" s="73">
        <f>SUM(B8:M8)</f>
        <v>0</v>
      </c>
    </row>
    <row r="9" spans="1:14" ht="11.25" x14ac:dyDescent="0.2">
      <c r="A9" s="69" t="s">
        <v>1546</v>
      </c>
      <c r="B9" s="73">
        <f>GenFundExp2!I44+GenFundExp2!I81+GenFundExp2!I118</f>
        <v>0</v>
      </c>
      <c r="C9" s="73">
        <f>CharterFundExp2!I44+CharterFundExp2!I81+CharterFundExp2!I118</f>
        <v>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>
        <f>SUM(B9:M9)</f>
        <v>0</v>
      </c>
    </row>
    <row r="10" spans="1:14" ht="12" thickBot="1" x14ac:dyDescent="0.25">
      <c r="A10" s="67" t="s">
        <v>1547</v>
      </c>
      <c r="B10" s="68">
        <f>GenFundExp2!I187</f>
        <v>0</v>
      </c>
      <c r="C10" s="68">
        <f>CharterFundExp2!I187</f>
        <v>0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>
        <f>SUM(B10:M10)</f>
        <v>0</v>
      </c>
    </row>
    <row r="11" spans="1:14" ht="12.75" thickTop="1" thickBot="1" x14ac:dyDescent="0.25">
      <c r="A11" s="67" t="s">
        <v>1548</v>
      </c>
      <c r="B11" s="68">
        <f>SUM(B8:B10)</f>
        <v>0</v>
      </c>
      <c r="C11" s="68">
        <f t="shared" ref="C11:L11" si="0">SUM(C8:C10)</f>
        <v>0</v>
      </c>
      <c r="D11" s="68">
        <f>SUM(D8:D10)</f>
        <v>0</v>
      </c>
      <c r="E11" s="68">
        <f t="shared" si="0"/>
        <v>0</v>
      </c>
      <c r="F11" s="68">
        <f>SUM(F8:F10)</f>
        <v>0</v>
      </c>
      <c r="G11" s="68">
        <f t="shared" si="0"/>
        <v>0</v>
      </c>
      <c r="H11" s="68">
        <f>SUM(H8:H10)</f>
        <v>0</v>
      </c>
      <c r="I11" s="68">
        <f>SUM(I8:I10)</f>
        <v>0</v>
      </c>
      <c r="J11" s="68">
        <f>SUM(J8:J10)</f>
        <v>0</v>
      </c>
      <c r="K11" s="68">
        <f t="shared" si="0"/>
        <v>0</v>
      </c>
      <c r="L11" s="68">
        <f t="shared" si="0"/>
        <v>0</v>
      </c>
      <c r="M11" s="68">
        <f>SUM(M8:M10)</f>
        <v>0</v>
      </c>
      <c r="N11" s="68">
        <f>SUM(N8:N10)</f>
        <v>0</v>
      </c>
    </row>
    <row r="12" spans="1:14" ht="12" thickTop="1" x14ac:dyDescent="0.2">
      <c r="A12" s="82" t="s">
        <v>1549</v>
      </c>
      <c r="B12" s="76"/>
      <c r="C12" s="76"/>
      <c r="D12" s="76"/>
      <c r="E12" s="215">
        <f>'CPP Fund'!I111</f>
        <v>0</v>
      </c>
      <c r="F12" s="76"/>
      <c r="G12" s="215">
        <f>CapRes!I61</f>
        <v>0</v>
      </c>
      <c r="H12" s="76"/>
      <c r="I12" s="215">
        <f>PupActiv!I55</f>
        <v>0</v>
      </c>
      <c r="J12" s="76"/>
      <c r="K12" s="76"/>
      <c r="L12" s="76"/>
      <c r="M12" s="215">
        <f>RiskRelated!I35+OtherInternal!I39</f>
        <v>0</v>
      </c>
      <c r="N12" s="215">
        <f t="shared" ref="N12:N17" si="1">SUM(B12:M12)</f>
        <v>0</v>
      </c>
    </row>
    <row r="13" spans="1:14" ht="11.25" x14ac:dyDescent="0.2">
      <c r="A13" s="69" t="s">
        <v>1550</v>
      </c>
      <c r="B13" s="73">
        <f>GenFundExp2!I149</f>
        <v>0</v>
      </c>
      <c r="C13" s="73">
        <f>CharterFundExp2!I149</f>
        <v>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>
        <f t="shared" si="1"/>
        <v>0</v>
      </c>
    </row>
    <row r="14" spans="1:14" ht="11.25" x14ac:dyDescent="0.2">
      <c r="A14" s="69" t="s">
        <v>1551</v>
      </c>
      <c r="B14" s="73">
        <f>GenFundExp2!I251</f>
        <v>0</v>
      </c>
      <c r="C14" s="73">
        <f>CharterFundExp2!I251</f>
        <v>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>
        <f t="shared" si="1"/>
        <v>0</v>
      </c>
    </row>
    <row r="15" spans="1:14" ht="11.25" x14ac:dyDescent="0.2">
      <c r="A15" s="69" t="s">
        <v>1552</v>
      </c>
      <c r="B15" s="73">
        <f>GenFundExp2!I291</f>
        <v>0</v>
      </c>
      <c r="C15" s="73">
        <f>CharterFundExp2!I291</f>
        <v>0</v>
      </c>
      <c r="D15" s="73"/>
      <c r="E15" s="73"/>
      <c r="F15" s="73"/>
      <c r="G15" s="73"/>
      <c r="H15" s="73"/>
      <c r="I15" s="73"/>
      <c r="J15" s="73">
        <f>Transp!I37+FullDayKOverride!I38</f>
        <v>0</v>
      </c>
      <c r="K15" s="73"/>
      <c r="L15" s="73"/>
      <c r="M15" s="73"/>
      <c r="N15" s="73">
        <f t="shared" si="1"/>
        <v>0</v>
      </c>
    </row>
    <row r="16" spans="1:14" ht="11.25" x14ac:dyDescent="0.2">
      <c r="A16" s="69" t="s">
        <v>1553</v>
      </c>
      <c r="B16" s="73">
        <f>GenFundExp2!I384</f>
        <v>0</v>
      </c>
      <c r="C16" s="73">
        <f>CharterFundExp2!I384</f>
        <v>0</v>
      </c>
      <c r="D16" s="73"/>
      <c r="E16" s="73"/>
      <c r="F16" s="73"/>
      <c r="G16" s="73"/>
      <c r="H16" s="73"/>
      <c r="I16" s="73"/>
      <c r="J16" s="73"/>
      <c r="K16" s="73">
        <f>FoodServ!I47</f>
        <v>0</v>
      </c>
      <c r="L16" s="73"/>
      <c r="M16" s="73"/>
      <c r="N16" s="73">
        <f t="shared" si="1"/>
        <v>0</v>
      </c>
    </row>
    <row r="17" spans="1:14" ht="12" thickBot="1" x14ac:dyDescent="0.25">
      <c r="A17" s="67" t="s">
        <v>1554</v>
      </c>
      <c r="B17" s="68">
        <f>GenFundExp2!I218+GenFundExp2!I323+GenFundExp2!I353+GenFundExp2!I407+GenFundExp2!I525+GenFundExp2!I430</f>
        <v>0</v>
      </c>
      <c r="C17" s="68">
        <f>CharterFundExp2!I218+CharterFundExp2!I323+CharterFundExp2!I353+CharterFundExp2!I407+CharterFundExp2!I525+CharterFundExp2!I430</f>
        <v>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>
        <f t="shared" si="1"/>
        <v>0</v>
      </c>
    </row>
    <row r="18" spans="1:14" ht="12.75" thickTop="1" thickBot="1" x14ac:dyDescent="0.25">
      <c r="A18" s="67" t="s">
        <v>1555</v>
      </c>
      <c r="B18" s="68">
        <f>SUM(B12:B17)</f>
        <v>0</v>
      </c>
      <c r="C18" s="68">
        <f>SUM(C12:C17)</f>
        <v>0</v>
      </c>
      <c r="D18" s="68">
        <f>SUM(D12:D17)</f>
        <v>0</v>
      </c>
      <c r="E18" s="68">
        <f t="shared" ref="E18:M18" si="2">SUM(E12:E17)</f>
        <v>0</v>
      </c>
      <c r="F18" s="68">
        <f>SUM(F12:F17)</f>
        <v>0</v>
      </c>
      <c r="G18" s="68">
        <f t="shared" si="2"/>
        <v>0</v>
      </c>
      <c r="H18" s="68">
        <f t="shared" si="2"/>
        <v>0</v>
      </c>
      <c r="I18" s="68">
        <f t="shared" si="2"/>
        <v>0</v>
      </c>
      <c r="J18" s="68">
        <f t="shared" si="2"/>
        <v>0</v>
      </c>
      <c r="K18" s="68">
        <f t="shared" si="2"/>
        <v>0</v>
      </c>
      <c r="L18" s="68">
        <f t="shared" si="2"/>
        <v>0</v>
      </c>
      <c r="M18" s="68">
        <f t="shared" si="2"/>
        <v>0</v>
      </c>
      <c r="N18" s="68">
        <f>SUM(N12:N17)</f>
        <v>0</v>
      </c>
    </row>
    <row r="19" spans="1:14" ht="12" thickTop="1" x14ac:dyDescent="0.2">
      <c r="A19" s="69" t="s">
        <v>1556</v>
      </c>
      <c r="B19" s="73">
        <f>GenFundExp2!I461+GenFundExp2!I492</f>
        <v>0</v>
      </c>
      <c r="C19" s="73">
        <f>CharterFundExp2!I461+CharterFundExp2!I492</f>
        <v>0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>
        <f>SUM(B19:M19)</f>
        <v>0</v>
      </c>
    </row>
    <row r="20" spans="1:14" ht="11.25" x14ac:dyDescent="0.2">
      <c r="A20" s="69" t="s">
        <v>1557</v>
      </c>
      <c r="B20" s="73">
        <f>GenFundExp2!I534+GenFundExp2!I535</f>
        <v>0</v>
      </c>
      <c r="C20" s="73">
        <f>CharterFundExp2!I534+CharterFundExp2!I535</f>
        <v>0</v>
      </c>
      <c r="D20" s="73"/>
      <c r="E20" s="73"/>
      <c r="F20" s="73"/>
      <c r="G20" s="73">
        <f>CapRes!I69</f>
        <v>0</v>
      </c>
      <c r="H20" s="73"/>
      <c r="I20" s="73"/>
      <c r="J20" s="73">
        <f>OthSpecRev!I57</f>
        <v>0</v>
      </c>
      <c r="K20" s="73"/>
      <c r="L20" s="73"/>
      <c r="M20" s="73"/>
      <c r="N20" s="73">
        <f>SUM(B20:M20)</f>
        <v>0</v>
      </c>
    </row>
    <row r="21" spans="1:14" ht="12" thickBot="1" x14ac:dyDescent="0.25">
      <c r="A21" s="67" t="s">
        <v>1558</v>
      </c>
      <c r="B21" s="73">
        <f>GenFundExp2!I532+GenFundExp2!I537</f>
        <v>0</v>
      </c>
      <c r="C21" s="73">
        <f>CharterFundExp2!I532+CharterFundExp2!I537</f>
        <v>0</v>
      </c>
      <c r="D21" s="68">
        <f>InsResv!I39</f>
        <v>0</v>
      </c>
      <c r="E21" s="68">
        <f>+'CPP Fund'!I113+'CPP Fund'!I114</f>
        <v>0</v>
      </c>
      <c r="F21" s="68"/>
      <c r="G21" s="68"/>
      <c r="H21" s="68"/>
      <c r="I21" s="68"/>
      <c r="J21" s="73">
        <f>OthSpecRev!I49</f>
        <v>0</v>
      </c>
      <c r="K21" s="68"/>
      <c r="L21" s="68">
        <f>OtherEnterprise!I37</f>
        <v>0</v>
      </c>
      <c r="M21" s="68"/>
      <c r="N21" s="68">
        <f>SUM(B21:M21)</f>
        <v>0</v>
      </c>
    </row>
    <row r="22" spans="1:14" ht="12.75" thickTop="1" thickBot="1" x14ac:dyDescent="0.25">
      <c r="A22" s="84" t="s">
        <v>1559</v>
      </c>
      <c r="B22" s="85">
        <f t="shared" ref="B22:L22" si="3">SUM(B18:B21)+B11</f>
        <v>0</v>
      </c>
      <c r="C22" s="85">
        <f t="shared" si="3"/>
        <v>0</v>
      </c>
      <c r="D22" s="85">
        <f>SUM(D18:D21)+D11</f>
        <v>0</v>
      </c>
      <c r="E22" s="85">
        <f t="shared" si="3"/>
        <v>0</v>
      </c>
      <c r="F22" s="85">
        <f>ARRAGrants!J170</f>
        <v>0</v>
      </c>
      <c r="G22" s="85">
        <f t="shared" si="3"/>
        <v>0</v>
      </c>
      <c r="H22" s="85">
        <f>GovGrants!J170</f>
        <v>0</v>
      </c>
      <c r="I22" s="85">
        <f>SUM(I18:I21)+I11</f>
        <v>0</v>
      </c>
      <c r="J22" s="85">
        <f>SUM(J18:J21)+J11</f>
        <v>0</v>
      </c>
      <c r="K22" s="85">
        <f t="shared" si="3"/>
        <v>0</v>
      </c>
      <c r="L22" s="85">
        <f t="shared" si="3"/>
        <v>0</v>
      </c>
      <c r="M22" s="85">
        <f>SUM(M18:M21)+M11</f>
        <v>0</v>
      </c>
      <c r="N22" s="85">
        <f>SUM(B22:M22)</f>
        <v>0</v>
      </c>
    </row>
    <row r="23" spans="1:14" ht="12" thickTop="1" x14ac:dyDescent="0.2">
      <c r="A23" s="69" t="s">
        <v>1541</v>
      </c>
      <c r="B23" s="77">
        <f>'Page 1 - FY2013-14'!$C7</f>
        <v>0</v>
      </c>
      <c r="C23" s="77">
        <f>'Page 1 - FY2013-14'!$C7</f>
        <v>0</v>
      </c>
      <c r="D23" s="77">
        <f>'Page 1 - FY2013-14'!$C7</f>
        <v>0</v>
      </c>
      <c r="E23" s="77">
        <f>'Page 1 - FY2013-14'!$C7</f>
        <v>0</v>
      </c>
      <c r="F23" s="77">
        <f>'Page 1 - FY2013-14'!$C7</f>
        <v>0</v>
      </c>
      <c r="G23" s="77">
        <f>'Page 1 - FY2013-14'!$C7</f>
        <v>0</v>
      </c>
      <c r="H23" s="77">
        <f>'Page 1 - FY2013-14'!$C7</f>
        <v>0</v>
      </c>
      <c r="I23" s="77">
        <f>'Page 1 - FY2013-14'!$C7</f>
        <v>0</v>
      </c>
      <c r="J23" s="77">
        <f>'Page 1 - FY2013-14'!$C7</f>
        <v>0</v>
      </c>
      <c r="K23" s="77">
        <f>'Page 1 - FY2013-14'!$C7</f>
        <v>0</v>
      </c>
      <c r="L23" s="77">
        <f>'Page 1 - FY2013-14'!$C7</f>
        <v>0</v>
      </c>
      <c r="M23" s="77">
        <f>'Page 1 - FY2013-14'!$C7</f>
        <v>0</v>
      </c>
      <c r="N23" s="77">
        <f>'Page 1 - FY2013-14'!$C7</f>
        <v>0</v>
      </c>
    </row>
    <row r="24" spans="1:14" ht="12" thickBot="1" x14ac:dyDescent="0.25">
      <c r="A24" s="69" t="s">
        <v>1560</v>
      </c>
      <c r="B24" s="73" t="e">
        <f t="shared" ref="B24:L24" si="4">B22/B23</f>
        <v>#DIV/0!</v>
      </c>
      <c r="C24" s="73" t="e">
        <f t="shared" si="4"/>
        <v>#DIV/0!</v>
      </c>
      <c r="D24" s="73" t="e">
        <f>D22/D23</f>
        <v>#DIV/0!</v>
      </c>
      <c r="E24" s="73" t="e">
        <f t="shared" si="4"/>
        <v>#DIV/0!</v>
      </c>
      <c r="F24" s="73" t="e">
        <f>F22/F23</f>
        <v>#DIV/0!</v>
      </c>
      <c r="G24" s="73" t="e">
        <f t="shared" si="4"/>
        <v>#DIV/0!</v>
      </c>
      <c r="H24" s="73" t="e">
        <f>H22/H23</f>
        <v>#DIV/0!</v>
      </c>
      <c r="I24" s="73" t="e">
        <f>I22/I23</f>
        <v>#DIV/0!</v>
      </c>
      <c r="J24" s="73" t="e">
        <f>J22/J23</f>
        <v>#DIV/0!</v>
      </c>
      <c r="K24" s="73" t="e">
        <f t="shared" si="4"/>
        <v>#DIV/0!</v>
      </c>
      <c r="L24" s="73" t="e">
        <f t="shared" si="4"/>
        <v>#DIV/0!</v>
      </c>
      <c r="M24" s="73" t="e">
        <f>M22/M23</f>
        <v>#DIV/0!</v>
      </c>
      <c r="N24" s="73" t="e">
        <f>N22/N23</f>
        <v>#DIV/0!</v>
      </c>
    </row>
    <row r="25" spans="1:14" ht="12" thickTop="1" x14ac:dyDescent="0.2">
      <c r="A25" s="86" t="s">
        <v>1222</v>
      </c>
      <c r="B25" s="87">
        <f>GenFundExp2!I544</f>
        <v>0</v>
      </c>
      <c r="C25" s="87">
        <f>CharterFundExp2!I544</f>
        <v>0</v>
      </c>
      <c r="D25" s="87">
        <f>InsResv!I43</f>
        <v>0</v>
      </c>
      <c r="E25" s="87">
        <f>'CPP Fund'!I121</f>
        <v>0</v>
      </c>
      <c r="F25" s="87">
        <f>ARRAGrants!J175</f>
        <v>0</v>
      </c>
      <c r="G25" s="87">
        <f>CapRes!I75</f>
        <v>0</v>
      </c>
      <c r="H25" s="87">
        <f>GovGrants!J175</f>
        <v>0</v>
      </c>
      <c r="I25" s="87">
        <f>PupActiv!I61</f>
        <v>0</v>
      </c>
      <c r="J25" s="87">
        <f>Transp!I41+OthSpecRev!I63+FullDayKOverride!I42</f>
        <v>0</v>
      </c>
      <c r="K25" s="87">
        <f>FoodServ!I51</f>
        <v>0</v>
      </c>
      <c r="L25" s="87">
        <f>OtherEnterprise!I41</f>
        <v>0</v>
      </c>
      <c r="M25" s="87">
        <f>RiskRelated!I39+OtherInternal!I43</f>
        <v>0</v>
      </c>
      <c r="N25" s="87">
        <f>SUM(B25:M25)</f>
        <v>0</v>
      </c>
    </row>
    <row r="26" spans="1:14" ht="12" thickBot="1" x14ac:dyDescent="0.25">
      <c r="A26" s="69" t="s">
        <v>1144</v>
      </c>
      <c r="B26" s="73">
        <f>GenFundExp2!I550-GenFundExp2!I544</f>
        <v>0</v>
      </c>
      <c r="C26" s="73">
        <f>CharterFundExp2!I548-CharterFundExp2!I544</f>
        <v>0</v>
      </c>
      <c r="D26" s="73">
        <f>InsResv!I47-InsResv!I43</f>
        <v>0</v>
      </c>
      <c r="E26" s="73">
        <f>'CPP Fund'!I125-'CPP Fund'!I121</f>
        <v>0</v>
      </c>
      <c r="F26" s="73">
        <f>ARRAGrants!J179-ARRAGrants!J175</f>
        <v>0</v>
      </c>
      <c r="G26" s="73">
        <f>CapRes!I79-CapRes!I75</f>
        <v>0</v>
      </c>
      <c r="H26" s="73">
        <f>GovGrants!J179-GovGrants!J175</f>
        <v>0</v>
      </c>
      <c r="I26" s="73">
        <f>PupActiv!I65-PupActiv!I61</f>
        <v>0</v>
      </c>
      <c r="J26" s="73">
        <f>Transp!I45-Transp!I41+OthSpecRev!I67-OthSpecRev!I63+FullDayKOverride!I46-FullDayKOverride!I42</f>
        <v>0</v>
      </c>
      <c r="K26" s="73">
        <f>FoodServ!I55-FoodServ!I51</f>
        <v>0</v>
      </c>
      <c r="L26" s="73">
        <f>OtherEnterprise!I45-OtherEnterprise!I41</f>
        <v>0</v>
      </c>
      <c r="M26" s="73">
        <f>RiskRelated!I43-RiskRelated!I39+OtherInternal!I47-OtherInternal!I43</f>
        <v>0</v>
      </c>
      <c r="N26" s="73">
        <f>SUM(B26:M26)</f>
        <v>0</v>
      </c>
    </row>
    <row r="27" spans="1:14" ht="12" thickTop="1" x14ac:dyDescent="0.2">
      <c r="A27" s="82" t="s">
        <v>1353</v>
      </c>
      <c r="B27" s="88">
        <f>GenFundExp2!I556</f>
        <v>0</v>
      </c>
      <c r="C27" s="88">
        <f>CharterFundExp2!I554</f>
        <v>0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>
        <f>SUM(B27:M27)</f>
        <v>0</v>
      </c>
    </row>
  </sheetData>
  <sheetProtection formatCells="0" formatColumns="0" formatRows="0"/>
  <phoneticPr fontId="15" type="noConversion"/>
  <pageMargins left="0.75" right="0.75" top="1" bottom="1" header="0.5" footer="0.5"/>
  <pageSetup scale="58" firstPageNumber="58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>
      <selection activeCell="G18" sqref="G18"/>
    </sheetView>
  </sheetViews>
  <sheetFormatPr defaultColWidth="12" defaultRowHeight="10.5" x14ac:dyDescent="0.15"/>
  <cols>
    <col min="1" max="1" width="30.6640625" customWidth="1"/>
    <col min="2" max="8" width="17.83203125" customWidth="1"/>
  </cols>
  <sheetData>
    <row r="1" spans="1:8" x14ac:dyDescent="0.15">
      <c r="A1">
        <f>+'Page 1 - FY2013-14'!B5</f>
        <v>0</v>
      </c>
      <c r="B1" s="17"/>
      <c r="C1" s="17"/>
      <c r="D1" s="17"/>
      <c r="E1" s="17"/>
      <c r="F1" s="17"/>
      <c r="G1" s="17"/>
      <c r="H1" s="12"/>
    </row>
    <row r="2" spans="1:8" ht="15.75" x14ac:dyDescent="0.25">
      <c r="A2" s="63" t="s">
        <v>1561</v>
      </c>
      <c r="B2" s="17"/>
      <c r="C2" s="17"/>
      <c r="D2" s="17"/>
      <c r="E2" s="17"/>
      <c r="F2" s="17"/>
      <c r="G2" s="17"/>
      <c r="H2" s="17"/>
    </row>
    <row r="4" spans="1:8" ht="11.25" x14ac:dyDescent="0.2">
      <c r="A4" s="27"/>
      <c r="B4" s="64"/>
      <c r="C4" s="64"/>
      <c r="D4" s="127" t="s">
        <v>1357</v>
      </c>
      <c r="E4" s="64" t="s">
        <v>1361</v>
      </c>
      <c r="F4" s="64"/>
      <c r="G4" s="90"/>
      <c r="H4" s="64"/>
    </row>
    <row r="5" spans="1:8" ht="11.25" x14ac:dyDescent="0.2">
      <c r="A5" s="65" t="s">
        <v>1208</v>
      </c>
      <c r="B5" s="65" t="s">
        <v>1562</v>
      </c>
      <c r="C5" s="65" t="s">
        <v>1668</v>
      </c>
      <c r="D5" s="65" t="s">
        <v>1565</v>
      </c>
      <c r="E5" s="118" t="s">
        <v>1566</v>
      </c>
      <c r="F5" s="65" t="s">
        <v>1563</v>
      </c>
      <c r="G5" s="65" t="s">
        <v>1283</v>
      </c>
      <c r="H5" s="65" t="s">
        <v>1206</v>
      </c>
    </row>
    <row r="6" spans="1:8" ht="11.25" x14ac:dyDescent="0.2">
      <c r="A6" s="65"/>
      <c r="B6" s="65" t="s">
        <v>1564</v>
      </c>
      <c r="C6" s="65" t="s">
        <v>1669</v>
      </c>
      <c r="D6" s="65" t="s">
        <v>1568</v>
      </c>
      <c r="E6" s="65" t="s">
        <v>1569</v>
      </c>
      <c r="F6" s="65" t="s">
        <v>1567</v>
      </c>
      <c r="G6" s="65" t="s">
        <v>1284</v>
      </c>
      <c r="H6" s="65" t="s">
        <v>1211</v>
      </c>
    </row>
    <row r="7" spans="1:8" ht="12" thickBot="1" x14ac:dyDescent="0.25">
      <c r="A7" s="29"/>
      <c r="B7" s="66" t="s">
        <v>1480</v>
      </c>
      <c r="C7" s="66" t="s">
        <v>1480</v>
      </c>
      <c r="D7" s="66" t="s">
        <v>1480</v>
      </c>
      <c r="E7" s="66" t="s">
        <v>1480</v>
      </c>
      <c r="F7" s="66" t="s">
        <v>1481</v>
      </c>
      <c r="G7" s="66" t="s">
        <v>1285</v>
      </c>
      <c r="H7" s="66" t="s">
        <v>1570</v>
      </c>
    </row>
    <row r="8" spans="1:8" ht="12.75" thickTop="1" thickBot="1" x14ac:dyDescent="0.25">
      <c r="A8" s="67" t="s">
        <v>1217</v>
      </c>
      <c r="B8" s="68">
        <f>BondRedm!I6</f>
        <v>0</v>
      </c>
      <c r="C8" s="68">
        <f>[1]NonVoterDebt!I6</f>
        <v>0</v>
      </c>
      <c r="D8" s="68">
        <f>CapResCapPrj!I6+BuildFund!I6</f>
        <v>0</v>
      </c>
      <c r="E8" s="68">
        <f>SpecBuild!I6</f>
        <v>0</v>
      </c>
      <c r="F8" s="68">
        <f>PupilActAgency!I6+'Trust&amp;Agency'!I6</f>
        <v>0</v>
      </c>
      <c r="G8" s="68">
        <f>Arbitrage!I12+'Foundation Fund'!I6</f>
        <v>0</v>
      </c>
      <c r="H8" s="68">
        <f>SUM(B8:G8)</f>
        <v>0</v>
      </c>
    </row>
    <row r="9" spans="1:8" ht="12" thickTop="1" x14ac:dyDescent="0.2">
      <c r="A9" s="69" t="s">
        <v>1482</v>
      </c>
      <c r="B9" s="70"/>
      <c r="C9" s="70"/>
      <c r="D9" s="70"/>
      <c r="E9" s="70"/>
      <c r="F9" s="70"/>
      <c r="G9" s="70"/>
      <c r="H9" s="70"/>
    </row>
    <row r="10" spans="1:8" ht="11.25" x14ac:dyDescent="0.2">
      <c r="A10" s="71" t="s">
        <v>1534</v>
      </c>
      <c r="B10" s="215">
        <f>SUM(BondRedm!I8:I14)</f>
        <v>0</v>
      </c>
      <c r="C10" s="215">
        <f>SUM([1]NonVoterDebt!I8:I14)</f>
        <v>0</v>
      </c>
      <c r="D10" s="215">
        <f>SUM(BuildFund!I8:I9)+SUM(CapResCapPrj!I8:I12)</f>
        <v>0</v>
      </c>
      <c r="E10" s="215">
        <f>SUM(SpecBuild!I8:I11)</f>
        <v>0</v>
      </c>
      <c r="F10" s="215">
        <f>SUM(PupilActAgency!I8:I10)+'Trust&amp;Agency'!I9</f>
        <v>0</v>
      </c>
      <c r="G10" s="215">
        <f>SUM(Arbitrage!G15:G17)+'Foundation Fund'!I9</f>
        <v>0</v>
      </c>
      <c r="H10" s="217">
        <f>SUM(B10:G10)</f>
        <v>0</v>
      </c>
    </row>
    <row r="11" spans="1:8" ht="11.25" x14ac:dyDescent="0.2">
      <c r="A11" s="216" t="s">
        <v>1143</v>
      </c>
      <c r="B11" s="217">
        <f>BondRedm!I15</f>
        <v>0</v>
      </c>
      <c r="C11" s="217">
        <f>[1]NonVoterDebt!I15</f>
        <v>0</v>
      </c>
      <c r="D11" s="217">
        <f>+CapResCapPrj!I13</f>
        <v>0</v>
      </c>
      <c r="E11" s="217"/>
      <c r="F11" s="217"/>
      <c r="G11" s="217"/>
      <c r="H11" s="217">
        <f>SUM(B11:G11)</f>
        <v>0</v>
      </c>
    </row>
    <row r="12" spans="1:8" ht="11.25" x14ac:dyDescent="0.2">
      <c r="A12" s="218" t="s">
        <v>1535</v>
      </c>
      <c r="B12" s="219"/>
      <c r="C12" s="219"/>
      <c r="D12" s="219">
        <f>BuildFund!I10+SUM(CapResCapPrj!I14:I17)</f>
        <v>0</v>
      </c>
      <c r="E12" s="219"/>
      <c r="F12" s="219"/>
      <c r="G12" s="219"/>
      <c r="H12" s="217">
        <f>SUM(B12:G12)</f>
        <v>0</v>
      </c>
    </row>
    <row r="13" spans="1:8" ht="12" thickBot="1" x14ac:dyDescent="0.25">
      <c r="A13" s="220" t="s">
        <v>1536</v>
      </c>
      <c r="B13" s="221"/>
      <c r="C13" s="221"/>
      <c r="D13" s="221">
        <f>BuildFund!I11+CapResCapPrj!I18</f>
        <v>0</v>
      </c>
      <c r="E13" s="221"/>
      <c r="F13" s="221"/>
      <c r="G13" s="221"/>
      <c r="H13" s="217">
        <f>SUM(B13:G13)</f>
        <v>0</v>
      </c>
    </row>
    <row r="14" spans="1:8" ht="12.75" thickTop="1" thickBot="1" x14ac:dyDescent="0.25">
      <c r="A14" s="84" t="s">
        <v>1537</v>
      </c>
      <c r="B14" s="85">
        <f t="shared" ref="B14:H14" si="0">SUM(B9:B13)</f>
        <v>0</v>
      </c>
      <c r="C14" s="85">
        <f>SUM(C9:C13)</f>
        <v>0</v>
      </c>
      <c r="D14" s="85">
        <f t="shared" si="0"/>
        <v>0</v>
      </c>
      <c r="E14" s="85">
        <f t="shared" si="0"/>
        <v>0</v>
      </c>
      <c r="F14" s="85">
        <f t="shared" si="0"/>
        <v>0</v>
      </c>
      <c r="G14" s="85">
        <f t="shared" si="0"/>
        <v>0</v>
      </c>
      <c r="H14" s="85">
        <f t="shared" si="0"/>
        <v>0</v>
      </c>
    </row>
    <row r="15" spans="1:8" ht="12" thickTop="1" x14ac:dyDescent="0.2">
      <c r="A15" s="69" t="s">
        <v>1605</v>
      </c>
      <c r="B15" s="73">
        <f>BondRedm!I19</f>
        <v>0</v>
      </c>
      <c r="C15" s="73">
        <f>[1]NonVoterDebt!I19</f>
        <v>0</v>
      </c>
      <c r="D15" s="73">
        <f>BuildFund!I15+CapResCapPrj!I19</f>
        <v>0</v>
      </c>
      <c r="E15" s="73">
        <f>SpecBuild!I12</f>
        <v>0</v>
      </c>
      <c r="F15" s="73">
        <f>PupilActAgency!I11+'Trust&amp;Agency'!I10</f>
        <v>0</v>
      </c>
      <c r="G15" s="73">
        <f>Arbitrage!G20+'Foundation Fund'!I10</f>
        <v>0</v>
      </c>
      <c r="H15" s="73">
        <f>SUM(B15:G15)</f>
        <v>0</v>
      </c>
    </row>
    <row r="16" spans="1:8" ht="11.25" x14ac:dyDescent="0.2">
      <c r="A16" s="69" t="s">
        <v>1538</v>
      </c>
      <c r="B16" s="73">
        <f>BondRedm!I16+BondRedm!I17+BondRedm!I18+BondRedm!I20</f>
        <v>0</v>
      </c>
      <c r="C16" s="73">
        <f>[1]NonVoterDebt!I16+[1]NonVoterDebt!I17+[1]NonVoterDebt!I18+[1]NonVoterDebt!I20</f>
        <v>0</v>
      </c>
      <c r="D16" s="73">
        <f>BuildFund!I12+BuildFund!I13+BuildFund!I14+BuildFund!I16+CapResCapPrj!I20+CapResCapPrj!I21+CapResCapPrj!I23</f>
        <v>0</v>
      </c>
      <c r="E16" s="73">
        <f>SpecBuild!I13</f>
        <v>0</v>
      </c>
      <c r="F16" s="73">
        <f>PupilActAgency!I12+'Trust&amp;Agency'!I11</f>
        <v>0</v>
      </c>
      <c r="G16" s="73">
        <f>Arbitrage!G18+'Foundation Fund'!I11</f>
        <v>0</v>
      </c>
      <c r="H16" s="73">
        <f>SUM(B16:G16)</f>
        <v>0</v>
      </c>
    </row>
    <row r="17" spans="1:8" ht="12" thickBot="1" x14ac:dyDescent="0.25">
      <c r="A17" s="67" t="s">
        <v>1539</v>
      </c>
      <c r="B17" s="68"/>
      <c r="C17" s="68"/>
      <c r="D17" s="68">
        <f>CapResCapPrj!I22</f>
        <v>0</v>
      </c>
      <c r="E17" s="68"/>
      <c r="F17" s="68"/>
      <c r="G17" s="68">
        <f>+Arbitrage!G19</f>
        <v>0</v>
      </c>
      <c r="H17" s="68">
        <f>SUM(B17:G17)</f>
        <v>0</v>
      </c>
    </row>
    <row r="18" spans="1:8" ht="12.75" thickTop="1" thickBot="1" x14ac:dyDescent="0.25">
      <c r="A18" s="67" t="s">
        <v>1540</v>
      </c>
      <c r="B18" s="68">
        <f t="shared" ref="B18:H18" si="1">SUM(B14:B17)</f>
        <v>0</v>
      </c>
      <c r="C18" s="68">
        <f>SUM(C14:C17)</f>
        <v>0</v>
      </c>
      <c r="D18" s="68">
        <f t="shared" si="1"/>
        <v>0</v>
      </c>
      <c r="E18" s="68">
        <f t="shared" si="1"/>
        <v>0</v>
      </c>
      <c r="F18" s="68">
        <f t="shared" si="1"/>
        <v>0</v>
      </c>
      <c r="G18" s="68">
        <f t="shared" si="1"/>
        <v>0</v>
      </c>
      <c r="H18" s="68">
        <f t="shared" si="1"/>
        <v>0</v>
      </c>
    </row>
    <row r="19" spans="1:8" ht="12" thickTop="1" x14ac:dyDescent="0.2">
      <c r="A19" s="69" t="s">
        <v>1541</v>
      </c>
      <c r="B19" s="77">
        <f>'Page 1 - FY2013-14'!$C7</f>
        <v>0</v>
      </c>
      <c r="C19" s="77">
        <f>'[1]Page 1 - FY2012-13'!$C7</f>
        <v>0</v>
      </c>
      <c r="D19" s="77">
        <f>'Page 1 - FY2013-14'!$C7</f>
        <v>0</v>
      </c>
      <c r="E19" s="77">
        <f>'Page 1 - FY2013-14'!$C7</f>
        <v>0</v>
      </c>
      <c r="F19" s="77">
        <f>'Page 1 - FY2013-14'!$C7</f>
        <v>0</v>
      </c>
      <c r="G19" s="77">
        <f>'Page 1 - FY2013-14'!$C7</f>
        <v>0</v>
      </c>
      <c r="H19" s="77">
        <f>'Page 1 - FY2013-14'!$C7</f>
        <v>0</v>
      </c>
    </row>
    <row r="20" spans="1:8" ht="11.25" x14ac:dyDescent="0.2">
      <c r="A20" s="71" t="s">
        <v>1542</v>
      </c>
      <c r="B20" s="78" t="e">
        <f t="shared" ref="B20:H20" si="2">B18/B19</f>
        <v>#DIV/0!</v>
      </c>
      <c r="C20" s="78" t="e">
        <f>C18/C19</f>
        <v>#DIV/0!</v>
      </c>
      <c r="D20" s="78" t="e">
        <f t="shared" si="2"/>
        <v>#DIV/0!</v>
      </c>
      <c r="E20" s="78" t="e">
        <f t="shared" si="2"/>
        <v>#DIV/0!</v>
      </c>
      <c r="F20" s="78" t="e">
        <f t="shared" si="2"/>
        <v>#DIV/0!</v>
      </c>
      <c r="G20" s="78" t="e">
        <f t="shared" si="2"/>
        <v>#DIV/0!</v>
      </c>
      <c r="H20" s="78" t="e">
        <f t="shared" si="2"/>
        <v>#DIV/0!</v>
      </c>
    </row>
  </sheetData>
  <sheetProtection formatCells="0" formatColumns="0" formatRows="0"/>
  <phoneticPr fontId="15" type="noConversion"/>
  <pageMargins left="0.75" right="0.75" top="1" bottom="1" header="0.5" footer="0.5"/>
  <pageSetup firstPageNumber="59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activeCell="H9" sqref="H9"/>
    </sheetView>
  </sheetViews>
  <sheetFormatPr defaultColWidth="12" defaultRowHeight="10.5" x14ac:dyDescent="0.15"/>
  <cols>
    <col min="1" max="1" width="33.1640625" customWidth="1"/>
    <col min="2" max="8" width="17.83203125" customWidth="1"/>
  </cols>
  <sheetData>
    <row r="1" spans="1:8" x14ac:dyDescent="0.15">
      <c r="A1">
        <f>+'Page 1 - FY2013-14'!B5</f>
        <v>0</v>
      </c>
      <c r="B1" s="17"/>
      <c r="C1" s="17"/>
      <c r="D1" s="17"/>
      <c r="E1" s="17"/>
      <c r="F1" s="17"/>
      <c r="G1" s="17"/>
      <c r="H1" s="12"/>
    </row>
    <row r="2" spans="1:8" ht="15.75" x14ac:dyDescent="0.25">
      <c r="A2" s="63" t="s">
        <v>1571</v>
      </c>
      <c r="B2" s="17"/>
      <c r="C2" s="17"/>
      <c r="D2" s="17"/>
      <c r="E2" s="17"/>
      <c r="F2" s="17"/>
      <c r="G2" s="17"/>
      <c r="H2" s="17"/>
    </row>
    <row r="4" spans="1:8" ht="11.25" x14ac:dyDescent="0.2">
      <c r="A4" s="27"/>
      <c r="B4" s="64"/>
      <c r="C4" s="64"/>
      <c r="D4" s="127" t="s">
        <v>1357</v>
      </c>
      <c r="E4" s="64" t="s">
        <v>1361</v>
      </c>
      <c r="F4" s="64"/>
      <c r="G4" s="90"/>
      <c r="H4" s="64"/>
    </row>
    <row r="5" spans="1:8" ht="11.25" x14ac:dyDescent="0.2">
      <c r="A5" s="65" t="s">
        <v>1208</v>
      </c>
      <c r="B5" s="65" t="s">
        <v>1562</v>
      </c>
      <c r="C5" s="65" t="s">
        <v>1668</v>
      </c>
      <c r="D5" s="65" t="s">
        <v>1565</v>
      </c>
      <c r="E5" s="118" t="s">
        <v>1566</v>
      </c>
      <c r="F5" s="65" t="s">
        <v>1563</v>
      </c>
      <c r="G5" s="65" t="s">
        <v>1283</v>
      </c>
      <c r="H5" s="65" t="s">
        <v>1206</v>
      </c>
    </row>
    <row r="6" spans="1:8" ht="11.25" x14ac:dyDescent="0.2">
      <c r="A6" s="65"/>
      <c r="B6" s="65" t="s">
        <v>1564</v>
      </c>
      <c r="C6" s="65" t="s">
        <v>1669</v>
      </c>
      <c r="D6" s="65" t="s">
        <v>1568</v>
      </c>
      <c r="E6" s="65" t="s">
        <v>1569</v>
      </c>
      <c r="F6" s="65" t="s">
        <v>1567</v>
      </c>
      <c r="G6" s="65" t="s">
        <v>1284</v>
      </c>
      <c r="H6" s="65" t="s">
        <v>1211</v>
      </c>
    </row>
    <row r="7" spans="1:8" ht="12" thickBot="1" x14ac:dyDescent="0.25">
      <c r="A7" s="29"/>
      <c r="B7" s="66" t="s">
        <v>1480</v>
      </c>
      <c r="C7" s="66" t="s">
        <v>1480</v>
      </c>
      <c r="D7" s="66" t="s">
        <v>1480</v>
      </c>
      <c r="E7" s="66" t="s">
        <v>1480</v>
      </c>
      <c r="F7" s="66" t="s">
        <v>1481</v>
      </c>
      <c r="G7" s="66" t="s">
        <v>1285</v>
      </c>
      <c r="H7" s="66" t="s">
        <v>1570</v>
      </c>
    </row>
    <row r="8" spans="1:8" ht="12" thickTop="1" x14ac:dyDescent="0.2">
      <c r="A8" s="69" t="s">
        <v>1545</v>
      </c>
      <c r="B8" s="73"/>
      <c r="C8" s="73"/>
      <c r="D8" s="73">
        <f>CapResCapPrj!I51</f>
        <v>0</v>
      </c>
      <c r="E8" s="73"/>
      <c r="F8" s="73">
        <f>PupilActAgency!I34+'Trust&amp;Agency'!I33</f>
        <v>0</v>
      </c>
      <c r="G8" s="73">
        <f>'Foundation Fund'!I33</f>
        <v>0</v>
      </c>
      <c r="H8" s="73">
        <f t="shared" ref="H8:H17" si="0">SUM(B8:G8)</f>
        <v>0</v>
      </c>
    </row>
    <row r="9" spans="1:8" ht="11.25" x14ac:dyDescent="0.2">
      <c r="A9" s="69" t="s">
        <v>1546</v>
      </c>
      <c r="B9" s="73"/>
      <c r="C9" s="73"/>
      <c r="D9" s="73"/>
      <c r="E9" s="73"/>
      <c r="F9" s="73"/>
      <c r="G9" s="73"/>
      <c r="H9" s="73">
        <f t="shared" si="0"/>
        <v>0</v>
      </c>
    </row>
    <row r="10" spans="1:8" ht="12" thickBot="1" x14ac:dyDescent="0.25">
      <c r="A10" s="67" t="s">
        <v>1547</v>
      </c>
      <c r="B10" s="68"/>
      <c r="C10" s="68"/>
      <c r="D10" s="68"/>
      <c r="E10" s="68"/>
      <c r="F10" s="68"/>
      <c r="G10" s="68"/>
      <c r="H10" s="68">
        <f t="shared" si="0"/>
        <v>0</v>
      </c>
    </row>
    <row r="11" spans="1:8" ht="12.75" thickTop="1" thickBot="1" x14ac:dyDescent="0.25">
      <c r="A11" s="67" t="s">
        <v>1548</v>
      </c>
      <c r="B11" s="68">
        <f t="shared" ref="B11:G11" si="1">SUM(B8:B10)</f>
        <v>0</v>
      </c>
      <c r="C11" s="68">
        <f t="shared" si="1"/>
        <v>0</v>
      </c>
      <c r="D11" s="68">
        <f t="shared" si="1"/>
        <v>0</v>
      </c>
      <c r="E11" s="68">
        <f t="shared" si="1"/>
        <v>0</v>
      </c>
      <c r="F11" s="68">
        <f t="shared" si="1"/>
        <v>0</v>
      </c>
      <c r="G11" s="68">
        <f t="shared" si="1"/>
        <v>0</v>
      </c>
      <c r="H11" s="68">
        <f t="shared" si="0"/>
        <v>0</v>
      </c>
    </row>
    <row r="12" spans="1:8" ht="12" thickTop="1" x14ac:dyDescent="0.2">
      <c r="A12" s="82" t="s">
        <v>1549</v>
      </c>
      <c r="B12" s="76"/>
      <c r="C12" s="76"/>
      <c r="D12" s="215">
        <f>BuildFund!I43+CapResCapPrj!I70</f>
        <v>0</v>
      </c>
      <c r="E12" s="215">
        <f>SpecBuild!I30</f>
        <v>0</v>
      </c>
      <c r="F12" s="215">
        <f>PupilActAgency!I48+'Trust&amp;Agency'!I47</f>
        <v>0</v>
      </c>
      <c r="G12" s="215">
        <f>'Foundation Fund'!I47</f>
        <v>0</v>
      </c>
      <c r="H12" s="215">
        <f t="shared" si="0"/>
        <v>0</v>
      </c>
    </row>
    <row r="13" spans="1:8" ht="11.25" x14ac:dyDescent="0.2">
      <c r="A13" s="69" t="s">
        <v>1550</v>
      </c>
      <c r="B13" s="73"/>
      <c r="C13" s="73"/>
      <c r="D13" s="73"/>
      <c r="E13" s="73"/>
      <c r="F13" s="73"/>
      <c r="G13" s="73"/>
      <c r="H13" s="73">
        <f t="shared" si="0"/>
        <v>0</v>
      </c>
    </row>
    <row r="14" spans="1:8" ht="11.25" x14ac:dyDescent="0.2">
      <c r="A14" s="69" t="s">
        <v>1551</v>
      </c>
      <c r="B14" s="73"/>
      <c r="C14" s="73"/>
      <c r="D14" s="73"/>
      <c r="E14" s="73"/>
      <c r="F14" s="73"/>
      <c r="G14" s="73"/>
      <c r="H14" s="73">
        <f t="shared" si="0"/>
        <v>0</v>
      </c>
    </row>
    <row r="15" spans="1:8" ht="11.25" x14ac:dyDescent="0.2">
      <c r="A15" s="69" t="s">
        <v>1552</v>
      </c>
      <c r="B15" s="73"/>
      <c r="C15" s="73"/>
      <c r="D15" s="73"/>
      <c r="E15" s="73"/>
      <c r="F15" s="73"/>
      <c r="G15" s="73"/>
      <c r="H15" s="73">
        <f t="shared" si="0"/>
        <v>0</v>
      </c>
    </row>
    <row r="16" spans="1:8" ht="11.25" x14ac:dyDescent="0.2">
      <c r="A16" s="69" t="s">
        <v>1553</v>
      </c>
      <c r="B16" s="73"/>
      <c r="C16" s="73"/>
      <c r="D16" s="73"/>
      <c r="E16" s="73"/>
      <c r="F16" s="73"/>
      <c r="G16" s="73"/>
      <c r="H16" s="73">
        <f t="shared" si="0"/>
        <v>0</v>
      </c>
    </row>
    <row r="17" spans="1:8" ht="12" thickBot="1" x14ac:dyDescent="0.25">
      <c r="A17" s="67" t="s">
        <v>1554</v>
      </c>
      <c r="B17" s="68"/>
      <c r="C17" s="68"/>
      <c r="D17" s="68"/>
      <c r="E17" s="68"/>
      <c r="F17" s="68"/>
      <c r="G17" s="68"/>
      <c r="H17" s="68">
        <f t="shared" si="0"/>
        <v>0</v>
      </c>
    </row>
    <row r="18" spans="1:8" ht="12.75" thickTop="1" thickBot="1" x14ac:dyDescent="0.25">
      <c r="A18" s="67" t="s">
        <v>1555</v>
      </c>
      <c r="B18" s="68">
        <f t="shared" ref="B18:H18" si="2">SUM(B12:B17)</f>
        <v>0</v>
      </c>
      <c r="C18" s="68">
        <f>SUM(C12:C17)</f>
        <v>0</v>
      </c>
      <c r="D18" s="68">
        <f t="shared" si="2"/>
        <v>0</v>
      </c>
      <c r="E18" s="68">
        <f t="shared" si="2"/>
        <v>0</v>
      </c>
      <c r="F18" s="68">
        <f t="shared" si="2"/>
        <v>0</v>
      </c>
      <c r="G18" s="68">
        <f t="shared" si="2"/>
        <v>0</v>
      </c>
      <c r="H18" s="68">
        <f t="shared" si="2"/>
        <v>0</v>
      </c>
    </row>
    <row r="19" spans="1:8" ht="12" thickTop="1" x14ac:dyDescent="0.2">
      <c r="A19" s="69" t="s">
        <v>1556</v>
      </c>
      <c r="B19" s="73"/>
      <c r="C19" s="73"/>
      <c r="D19" s="73"/>
      <c r="E19" s="73"/>
      <c r="F19" s="73"/>
      <c r="G19" s="73"/>
      <c r="H19" s="73">
        <f>SUM(B19:G19)</f>
        <v>0</v>
      </c>
    </row>
    <row r="20" spans="1:8" ht="11.25" x14ac:dyDescent="0.2">
      <c r="A20" s="69" t="s">
        <v>1557</v>
      </c>
      <c r="B20" s="73">
        <f>BondRedm!I32+BondRedm!I33</f>
        <v>0</v>
      </c>
      <c r="C20" s="73">
        <f>[1]NonVoterDebt!I32+[1]NonVoterDebt!I33</f>
        <v>0</v>
      </c>
      <c r="D20" s="73">
        <f>CapResCapPrj!I78</f>
        <v>0</v>
      </c>
      <c r="E20" s="73"/>
      <c r="F20" s="73"/>
      <c r="G20" s="73"/>
      <c r="H20" s="73">
        <f>SUM(B20:G20)</f>
        <v>0</v>
      </c>
    </row>
    <row r="21" spans="1:8" ht="12" thickBot="1" x14ac:dyDescent="0.25">
      <c r="A21" s="67" t="s">
        <v>1572</v>
      </c>
      <c r="B21" s="68">
        <f>+BondRedm!I35+BondRedm!I34</f>
        <v>0</v>
      </c>
      <c r="C21" s="68">
        <f>+[1]NonVoterDebt!I35+[1]NonVoterDebt!I34</f>
        <v>0</v>
      </c>
      <c r="D21" s="68"/>
      <c r="E21" s="68"/>
      <c r="F21" s="68"/>
      <c r="G21" s="68">
        <f>+Arbitrage!G28+Arbitrage!G25</f>
        <v>0</v>
      </c>
      <c r="H21" s="68">
        <f>SUM(B21:G21)</f>
        <v>0</v>
      </c>
    </row>
    <row r="22" spans="1:8" ht="12.75" thickTop="1" thickBot="1" x14ac:dyDescent="0.25">
      <c r="A22" s="84" t="s">
        <v>1559</v>
      </c>
      <c r="B22" s="85">
        <f t="shared" ref="B22:G22" si="3">SUM(B18:B21)+B11</f>
        <v>0</v>
      </c>
      <c r="C22" s="85">
        <f t="shared" si="3"/>
        <v>0</v>
      </c>
      <c r="D22" s="85">
        <f t="shared" si="3"/>
        <v>0</v>
      </c>
      <c r="E22" s="85">
        <f t="shared" si="3"/>
        <v>0</v>
      </c>
      <c r="F22" s="85">
        <f t="shared" si="3"/>
        <v>0</v>
      </c>
      <c r="G22" s="85">
        <f t="shared" si="3"/>
        <v>0</v>
      </c>
      <c r="H22" s="85">
        <f>SUM(B22:G22)</f>
        <v>0</v>
      </c>
    </row>
    <row r="23" spans="1:8" ht="12" thickTop="1" x14ac:dyDescent="0.2">
      <c r="A23" s="69" t="s">
        <v>1541</v>
      </c>
      <c r="B23" s="77">
        <f>'Page 1 - FY2013-14'!$C7</f>
        <v>0</v>
      </c>
      <c r="C23" s="77">
        <f>'[1]Page 1 - FY2012-13'!$C7</f>
        <v>0</v>
      </c>
      <c r="D23" s="77">
        <f>'Page 1 - FY2013-14'!$C7</f>
        <v>0</v>
      </c>
      <c r="E23" s="77">
        <f>'Page 1 - FY2013-14'!$C7</f>
        <v>0</v>
      </c>
      <c r="F23" s="77">
        <f>'Page 1 - FY2013-14'!$C7</f>
        <v>0</v>
      </c>
      <c r="G23" s="77">
        <f>'Page 1 - FY2013-14'!$C7</f>
        <v>0</v>
      </c>
      <c r="H23" s="77">
        <f>'Page 1 - FY2013-14'!$C7</f>
        <v>0</v>
      </c>
    </row>
    <row r="24" spans="1:8" ht="12" thickBot="1" x14ac:dyDescent="0.25">
      <c r="A24" s="69" t="s">
        <v>1560</v>
      </c>
      <c r="B24" s="73" t="e">
        <f t="shared" ref="B24:H24" si="4">B22/B23</f>
        <v>#DIV/0!</v>
      </c>
      <c r="C24" s="73" t="e">
        <f>C22/C23</f>
        <v>#DIV/0!</v>
      </c>
      <c r="D24" s="73" t="e">
        <f t="shared" si="4"/>
        <v>#DIV/0!</v>
      </c>
      <c r="E24" s="73" t="e">
        <f t="shared" si="4"/>
        <v>#DIV/0!</v>
      </c>
      <c r="F24" s="73" t="e">
        <f t="shared" si="4"/>
        <v>#DIV/0!</v>
      </c>
      <c r="G24" s="73" t="e">
        <f t="shared" si="4"/>
        <v>#DIV/0!</v>
      </c>
      <c r="H24" s="73" t="e">
        <f t="shared" si="4"/>
        <v>#DIV/0!</v>
      </c>
    </row>
    <row r="25" spans="1:8" ht="12" thickTop="1" x14ac:dyDescent="0.2">
      <c r="A25" s="86" t="s">
        <v>1222</v>
      </c>
      <c r="B25" s="222" t="str">
        <f>+Arbitrage!D53</f>
        <v>Not Required</v>
      </c>
      <c r="C25" s="222" t="str">
        <f>+[1]Arbitrage!D54</f>
        <v>Provide if required</v>
      </c>
      <c r="D25" s="87">
        <f>BuildFund!I47+CapResCapPrj!I84</f>
        <v>0</v>
      </c>
      <c r="E25" s="87">
        <f>SpecBuild!I34</f>
        <v>0</v>
      </c>
      <c r="F25" s="222" t="s">
        <v>751</v>
      </c>
      <c r="G25" s="222" t="s">
        <v>751</v>
      </c>
      <c r="H25" s="648">
        <f>SUM(B25:G25)</f>
        <v>0</v>
      </c>
    </row>
    <row r="26" spans="1:8" ht="12" thickBot="1" x14ac:dyDescent="0.25">
      <c r="A26" s="67" t="s">
        <v>1144</v>
      </c>
      <c r="B26" s="68">
        <f>BondRedm!I44</f>
        <v>0</v>
      </c>
      <c r="C26" s="68">
        <f>[1]NonVoterDebt!J44</f>
        <v>0</v>
      </c>
      <c r="D26" s="68">
        <f>BuildFund!I51-BuildFund!I47+CapResCapPrj!I88-CapResCapPrj!I84</f>
        <v>0</v>
      </c>
      <c r="E26" s="68">
        <f>SpecBuild!I38-SpecBuild!I34</f>
        <v>0</v>
      </c>
      <c r="F26" s="68">
        <f>PupilActAgency!I57+'Trust&amp;Agency'!I56</f>
        <v>0</v>
      </c>
      <c r="G26" s="68">
        <f>Arbitrage!G32+'Foundation Fund'!I56</f>
        <v>0</v>
      </c>
      <c r="H26" s="68">
        <f>SUM(B26:G26)</f>
        <v>0</v>
      </c>
    </row>
    <row r="27" spans="1:8" ht="12" thickTop="1" x14ac:dyDescent="0.2">
      <c r="A27" s="71" t="s">
        <v>1353</v>
      </c>
      <c r="B27" s="78"/>
      <c r="C27" s="78"/>
      <c r="D27" s="78"/>
      <c r="E27" s="78"/>
      <c r="F27" s="78"/>
      <c r="G27" s="78">
        <f>Arbitrage!G35</f>
        <v>0</v>
      </c>
      <c r="H27" s="78">
        <f>SUM(B27:G27)</f>
        <v>0</v>
      </c>
    </row>
  </sheetData>
  <sheetProtection formatCells="0" formatColumns="0" formatRows="0"/>
  <phoneticPr fontId="15" type="noConversion"/>
  <pageMargins left="0.75" right="0.75" top="1" bottom="1" header="0.5" footer="0.5"/>
  <pageSetup scale="97" firstPageNumber="60" orientation="landscape" horizontalDpi="300" verticalDpi="300" r:id="rId1"/>
  <headerFooter alignWithMargins="0">
    <oddFooter>&amp;LCDE, Public Scool Finance Unit&amp;C&amp;P&amp;RRevised March, 2009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96"/>
  <sheetViews>
    <sheetView tabSelected="1" zoomScale="60" zoomScaleNormal="60" workbookViewId="0">
      <pane xSplit="3" ySplit="5" topLeftCell="AS172" activePane="bottomRight" state="frozen"/>
      <selection pane="topRight" activeCell="D1" sqref="D1"/>
      <selection pane="bottomLeft" activeCell="A6" sqref="A6"/>
      <selection pane="bottomRight" activeCell="BC179" sqref="BC179"/>
    </sheetView>
  </sheetViews>
  <sheetFormatPr defaultRowHeight="14.25" zeroHeight="1" x14ac:dyDescent="0.2"/>
  <cols>
    <col min="1" max="1" width="63.1640625" style="711" customWidth="1"/>
    <col min="2" max="2" width="18.83203125" style="695" customWidth="1"/>
    <col min="3" max="3" width="1.6640625" style="696" customWidth="1"/>
    <col min="4" max="4" width="29.33203125" style="236" customWidth="1"/>
    <col min="5" max="5" width="1.6640625" style="696" customWidth="1"/>
    <col min="6" max="6" width="30.33203125" style="236" customWidth="1"/>
    <col min="7" max="7" width="1.6640625" style="696" customWidth="1"/>
    <col min="8" max="8" width="29" style="236" customWidth="1"/>
    <col min="9" max="9" width="1.6640625" style="696" customWidth="1"/>
    <col min="10" max="10" width="29.33203125" style="236" customWidth="1"/>
    <col min="11" max="11" width="1.6640625" style="696" customWidth="1"/>
    <col min="12" max="12" width="30.83203125" style="386" hidden="1" customWidth="1"/>
    <col min="13" max="13" width="1.6640625" style="696" hidden="1" customWidth="1"/>
    <col min="14" max="14" width="30" style="236" customWidth="1"/>
    <col min="15" max="15" width="1.6640625" style="696" customWidth="1"/>
    <col min="16" max="16" width="30.83203125" style="236" customWidth="1"/>
    <col min="17" max="17" width="1.6640625" style="696" customWidth="1"/>
    <col min="18" max="18" width="29" style="236" customWidth="1"/>
    <col min="19" max="19" width="1.6640625" style="696" customWidth="1"/>
    <col min="20" max="20" width="30" style="236" customWidth="1"/>
    <col min="21" max="21" width="1.6640625" style="696" customWidth="1"/>
    <col min="22" max="22" width="30" style="236" customWidth="1"/>
    <col min="23" max="23" width="1.6640625" style="696" customWidth="1"/>
    <col min="24" max="24" width="29.33203125" style="236" customWidth="1"/>
    <col min="25" max="26" width="1.6640625" style="696" customWidth="1"/>
    <col min="27" max="27" width="29.33203125" style="236" customWidth="1"/>
    <col min="28" max="28" width="1.6640625" style="696" customWidth="1"/>
    <col min="29" max="30" width="29.33203125" style="236" customWidth="1"/>
    <col min="31" max="31" width="1.6640625" style="696" customWidth="1"/>
    <col min="32" max="32" width="31.33203125" style="236" customWidth="1"/>
    <col min="33" max="33" width="1.6640625" style="696" customWidth="1"/>
    <col min="34" max="34" width="29.33203125" style="236" customWidth="1"/>
    <col min="35" max="35" width="1.6640625" style="696" customWidth="1"/>
    <col min="36" max="36" width="29.33203125" style="236" customWidth="1"/>
    <col min="37" max="37" width="1.6640625" style="696" customWidth="1"/>
    <col min="38" max="38" width="30.6640625" style="236" customWidth="1"/>
    <col min="39" max="39" width="1.6640625" style="696" customWidth="1"/>
    <col min="40" max="40" width="29.33203125" style="236" customWidth="1"/>
    <col min="41" max="41" width="1.6640625" style="696" customWidth="1"/>
    <col min="42" max="42" width="29.33203125" style="236" customWidth="1"/>
    <col min="43" max="43" width="1.6640625" style="696" customWidth="1"/>
    <col min="44" max="44" width="29.33203125" style="236" customWidth="1"/>
    <col min="45" max="45" width="2.1640625" style="696" customWidth="1"/>
    <col min="46" max="46" width="1.6640625" style="696" customWidth="1"/>
    <col min="47" max="47" width="29.33203125" style="236" customWidth="1"/>
    <col min="48" max="48" width="1.6640625" style="696" customWidth="1"/>
    <col min="49" max="49" width="29.33203125" style="236" customWidth="1"/>
    <col min="50" max="50" width="1.6640625" style="696" customWidth="1"/>
    <col min="51" max="51" width="29.33203125" style="236" customWidth="1"/>
    <col min="52" max="52" width="1.6640625" style="696" customWidth="1"/>
    <col min="53" max="53" width="29.33203125" style="236" customWidth="1"/>
    <col min="54" max="54" width="1.6640625" style="696" customWidth="1"/>
    <col min="55" max="55" width="29.33203125" style="236" customWidth="1"/>
    <col min="56" max="56" width="1.6640625" style="696" customWidth="1"/>
    <col min="57" max="57" width="29.33203125" style="236" customWidth="1"/>
    <col min="58" max="58" width="1.6640625" style="696" customWidth="1"/>
    <col min="59" max="59" width="29.33203125" style="236" customWidth="1"/>
    <col min="60" max="60" width="1.6640625" style="696" customWidth="1"/>
    <col min="61" max="61" width="29.33203125" style="236" customWidth="1"/>
    <col min="62" max="62" width="1.6640625" style="696" customWidth="1"/>
    <col min="63" max="64" width="0" style="696" hidden="1" customWidth="1"/>
    <col min="65" max="65" width="0" style="697" hidden="1" customWidth="1"/>
    <col min="66" max="16384" width="9.33203125" style="698"/>
  </cols>
  <sheetData>
    <row r="1" spans="1:65" ht="53.25" thickBot="1" x14ac:dyDescent="0.45">
      <c r="A1" s="712" t="s">
        <v>1707</v>
      </c>
      <c r="AD1" s="386"/>
    </row>
    <row r="2" spans="1:65" s="258" customFormat="1" ht="74.25" customHeight="1" thickBot="1" x14ac:dyDescent="0.3">
      <c r="A2" s="237" t="s">
        <v>806</v>
      </c>
      <c r="B2" s="238" t="s">
        <v>807</v>
      </c>
      <c r="C2" s="239"/>
      <c r="D2" s="240" t="s">
        <v>808</v>
      </c>
      <c r="E2" s="239"/>
      <c r="F2" s="240" t="s">
        <v>809</v>
      </c>
      <c r="G2" s="239"/>
      <c r="H2" s="240" t="s">
        <v>810</v>
      </c>
      <c r="I2" s="239"/>
      <c r="J2" s="240" t="s">
        <v>811</v>
      </c>
      <c r="K2" s="239"/>
      <c r="L2" s="387" t="s">
        <v>344</v>
      </c>
      <c r="M2" s="242"/>
      <c r="N2" s="240" t="s">
        <v>812</v>
      </c>
      <c r="O2" s="239"/>
      <c r="P2" s="240" t="s">
        <v>813</v>
      </c>
      <c r="Q2" s="239"/>
      <c r="R2" s="241" t="s">
        <v>814</v>
      </c>
      <c r="S2" s="239"/>
      <c r="T2" s="387" t="s">
        <v>345</v>
      </c>
      <c r="U2" s="243"/>
      <c r="V2" s="240" t="s">
        <v>704</v>
      </c>
      <c r="W2" s="243"/>
      <c r="X2" s="240" t="s">
        <v>1286</v>
      </c>
      <c r="Y2" s="239"/>
      <c r="Z2" s="242"/>
      <c r="AA2" s="293" t="s">
        <v>705</v>
      </c>
      <c r="AB2" s="239"/>
      <c r="AC2" s="240" t="s">
        <v>706</v>
      </c>
      <c r="AD2" s="240" t="s">
        <v>1667</v>
      </c>
      <c r="AE2" s="239"/>
      <c r="AF2" s="240" t="s">
        <v>707</v>
      </c>
      <c r="AG2" s="239"/>
      <c r="AH2" s="240" t="s">
        <v>708</v>
      </c>
      <c r="AI2" s="239"/>
      <c r="AJ2" s="240" t="s">
        <v>709</v>
      </c>
      <c r="AK2" s="239"/>
      <c r="AL2" s="240" t="s">
        <v>710</v>
      </c>
      <c r="AM2" s="239"/>
      <c r="AN2" s="240" t="s">
        <v>711</v>
      </c>
      <c r="AO2" s="239"/>
      <c r="AP2" s="240" t="s">
        <v>712</v>
      </c>
      <c r="AQ2" s="239"/>
      <c r="AR2" s="240" t="s">
        <v>866</v>
      </c>
      <c r="AS2" s="242"/>
      <c r="AT2" s="239"/>
      <c r="AU2" s="240" t="s">
        <v>867</v>
      </c>
      <c r="AV2" s="244"/>
      <c r="AW2" s="240" t="s">
        <v>169</v>
      </c>
      <c r="AX2" s="239"/>
      <c r="AY2" s="301" t="s">
        <v>868</v>
      </c>
      <c r="AZ2" s="239"/>
      <c r="BA2" s="301" t="s">
        <v>869</v>
      </c>
      <c r="BB2" s="239"/>
      <c r="BC2" s="240" t="s">
        <v>870</v>
      </c>
      <c r="BD2" s="239"/>
      <c r="BE2" s="240" t="s">
        <v>871</v>
      </c>
      <c r="BF2" s="239"/>
      <c r="BG2" s="387" t="s">
        <v>369</v>
      </c>
      <c r="BH2" s="239"/>
      <c r="BI2" s="240" t="s">
        <v>112</v>
      </c>
      <c r="BJ2" s="239"/>
      <c r="BK2" s="245"/>
      <c r="BL2" s="245"/>
      <c r="BM2" s="246"/>
    </row>
    <row r="3" spans="1:65" s="258" customFormat="1" ht="42.75" customHeight="1" thickBot="1" x14ac:dyDescent="0.3">
      <c r="A3" s="247">
        <f>'Page 1 - FY2013-14'!B5</f>
        <v>0</v>
      </c>
      <c r="B3" s="303">
        <f>'Page 1 - FY2013-14'!F7</f>
        <v>0</v>
      </c>
      <c r="C3" s="248"/>
      <c r="D3" s="249" t="s">
        <v>1703</v>
      </c>
      <c r="E3" s="248"/>
      <c r="F3" s="249" t="s">
        <v>1703</v>
      </c>
      <c r="G3" s="248"/>
      <c r="H3" s="249" t="s">
        <v>1703</v>
      </c>
      <c r="I3" s="248"/>
      <c r="J3" s="249" t="s">
        <v>1703</v>
      </c>
      <c r="K3" s="248"/>
      <c r="L3" s="388" t="s">
        <v>1656</v>
      </c>
      <c r="M3" s="248"/>
      <c r="N3" s="249" t="s">
        <v>1703</v>
      </c>
      <c r="O3" s="248"/>
      <c r="P3" s="249" t="s">
        <v>1703</v>
      </c>
      <c r="Q3" s="248"/>
      <c r="R3" s="249" t="s">
        <v>1703</v>
      </c>
      <c r="S3" s="248"/>
      <c r="T3" s="249" t="s">
        <v>1703</v>
      </c>
      <c r="U3" s="250"/>
      <c r="V3" s="249" t="s">
        <v>1703</v>
      </c>
      <c r="W3" s="250"/>
      <c r="X3" s="249" t="s">
        <v>1703</v>
      </c>
      <c r="Y3" s="248"/>
      <c r="Z3" s="248"/>
      <c r="AA3" s="249" t="s">
        <v>1703</v>
      </c>
      <c r="AB3" s="248"/>
      <c r="AC3" s="249" t="s">
        <v>1703</v>
      </c>
      <c r="AD3" s="249" t="s">
        <v>1703</v>
      </c>
      <c r="AE3" s="248"/>
      <c r="AF3" s="249" t="s">
        <v>1703</v>
      </c>
      <c r="AG3" s="248"/>
      <c r="AH3" s="249" t="s">
        <v>1703</v>
      </c>
      <c r="AI3" s="248"/>
      <c r="AJ3" s="249" t="s">
        <v>1703</v>
      </c>
      <c r="AK3" s="248"/>
      <c r="AL3" s="249" t="s">
        <v>1703</v>
      </c>
      <c r="AM3" s="248"/>
      <c r="AN3" s="249" t="s">
        <v>1703</v>
      </c>
      <c r="AO3" s="248"/>
      <c r="AP3" s="249" t="s">
        <v>1703</v>
      </c>
      <c r="AQ3" s="248"/>
      <c r="AR3" s="249" t="s">
        <v>1703</v>
      </c>
      <c r="AS3" s="248"/>
      <c r="AT3" s="248"/>
      <c r="AU3" s="249" t="s">
        <v>1703</v>
      </c>
      <c r="AV3" s="252"/>
      <c r="AW3" s="249" t="s">
        <v>1703</v>
      </c>
      <c r="AX3" s="248"/>
      <c r="AY3" s="249" t="s">
        <v>1703</v>
      </c>
      <c r="AZ3" s="248"/>
      <c r="BA3" s="249" t="s">
        <v>1703</v>
      </c>
      <c r="BB3" s="248"/>
      <c r="BC3" s="249" t="s">
        <v>1703</v>
      </c>
      <c r="BD3" s="248"/>
      <c r="BE3" s="249" t="s">
        <v>1703</v>
      </c>
      <c r="BF3" s="248"/>
      <c r="BG3" s="249" t="s">
        <v>1703</v>
      </c>
      <c r="BH3" s="248"/>
      <c r="BI3" s="249" t="s">
        <v>1703</v>
      </c>
      <c r="BJ3" s="248"/>
      <c r="BK3" s="245"/>
      <c r="BL3" s="245"/>
      <c r="BM3" s="246"/>
    </row>
    <row r="4" spans="1:65" s="258" customFormat="1" ht="8.25" customHeight="1" x14ac:dyDescent="0.25">
      <c r="A4" s="253"/>
      <c r="B4" s="254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55"/>
      <c r="BL4" s="255"/>
      <c r="BM4" s="256"/>
    </row>
    <row r="5" spans="1:65" s="258" customFormat="1" ht="8.25" customHeight="1" x14ac:dyDescent="0.25">
      <c r="A5" s="256"/>
      <c r="B5" s="257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55"/>
      <c r="BL5" s="255"/>
      <c r="BM5" s="256"/>
    </row>
    <row r="6" spans="1:65" s="258" customFormat="1" ht="21" customHeight="1" thickBot="1" x14ac:dyDescent="0.3">
      <c r="A6" s="258" t="s">
        <v>872</v>
      </c>
      <c r="B6" s="649">
        <f>'Page 1 - FY2013-14'!C7</f>
        <v>0</v>
      </c>
      <c r="C6" s="248"/>
      <c r="D6" s="260"/>
      <c r="E6" s="248"/>
      <c r="F6" s="260"/>
      <c r="G6" s="248"/>
      <c r="H6" s="260"/>
      <c r="I6" s="248"/>
      <c r="J6" s="260"/>
      <c r="K6" s="248"/>
      <c r="L6" s="260"/>
      <c r="M6" s="248"/>
      <c r="N6" s="260"/>
      <c r="O6" s="248"/>
      <c r="P6" s="260"/>
      <c r="Q6" s="248"/>
      <c r="R6" s="260"/>
      <c r="S6" s="248"/>
      <c r="T6" s="260"/>
      <c r="U6" s="248"/>
      <c r="V6" s="260"/>
      <c r="W6" s="248"/>
      <c r="X6" s="260"/>
      <c r="Y6" s="248"/>
      <c r="Z6" s="248"/>
      <c r="AA6" s="298" t="s">
        <v>170</v>
      </c>
      <c r="AB6" s="248"/>
      <c r="AC6" s="260"/>
      <c r="AD6" s="260"/>
      <c r="AE6" s="248"/>
      <c r="AF6" s="260"/>
      <c r="AG6" s="248"/>
      <c r="AH6" s="260"/>
      <c r="AI6" s="248"/>
      <c r="AJ6" s="260"/>
      <c r="AK6" s="248"/>
      <c r="AL6" s="260"/>
      <c r="AM6" s="248"/>
      <c r="AN6" s="260"/>
      <c r="AO6" s="248"/>
      <c r="AP6" s="260"/>
      <c r="AQ6" s="248"/>
      <c r="AR6" s="298" t="s">
        <v>168</v>
      </c>
      <c r="AS6" s="248"/>
      <c r="AT6" s="248"/>
      <c r="AU6" s="260"/>
      <c r="AV6" s="248"/>
      <c r="AW6" s="260"/>
      <c r="AX6" s="248"/>
      <c r="AY6" s="298" t="s">
        <v>166</v>
      </c>
      <c r="AZ6" s="248"/>
      <c r="BA6" s="298" t="s">
        <v>166</v>
      </c>
      <c r="BB6" s="248"/>
      <c r="BC6" s="260"/>
      <c r="BD6" s="248"/>
      <c r="BE6" s="260"/>
      <c r="BF6" s="248"/>
      <c r="BG6" s="260"/>
      <c r="BH6" s="248"/>
      <c r="BI6" s="260"/>
      <c r="BJ6" s="248"/>
      <c r="BK6" s="261"/>
      <c r="BL6" s="261"/>
    </row>
    <row r="7" spans="1:65" s="258" customFormat="1" ht="37.5" customHeight="1" x14ac:dyDescent="0.25">
      <c r="A7" s="246" t="s">
        <v>873</v>
      </c>
      <c r="B7" s="262" t="s">
        <v>874</v>
      </c>
      <c r="C7" s="263"/>
      <c r="D7" s="281">
        <f>GenFundREV!I5</f>
        <v>0</v>
      </c>
      <c r="E7" s="265"/>
      <c r="F7" s="281">
        <f>CharterFundRev!I5</f>
        <v>0</v>
      </c>
      <c r="G7" s="265"/>
      <c r="H7" s="264">
        <f>InsResv!I6</f>
        <v>0</v>
      </c>
      <c r="I7" s="265"/>
      <c r="J7" s="264">
        <f>'CPP Fund'!I7</f>
        <v>0</v>
      </c>
      <c r="K7" s="265"/>
      <c r="L7" s="281">
        <f>ARRAGrants!J6</f>
        <v>0</v>
      </c>
      <c r="M7" s="265"/>
      <c r="N7" s="264">
        <f>CapRes!I6</f>
        <v>0</v>
      </c>
      <c r="O7" s="265"/>
      <c r="P7" s="264">
        <f>GovGrants!J6</f>
        <v>0</v>
      </c>
      <c r="Q7" s="265"/>
      <c r="R7" s="264">
        <f>PupActiv!I6</f>
        <v>0</v>
      </c>
      <c r="S7" s="265"/>
      <c r="T7" s="264">
        <f>FullDayKOverride!I6</f>
        <v>0</v>
      </c>
      <c r="U7" s="265"/>
      <c r="V7" s="264">
        <f>Transp!I6</f>
        <v>0</v>
      </c>
      <c r="W7" s="265"/>
      <c r="X7" s="264">
        <f>OthSpecRev!I7</f>
        <v>0</v>
      </c>
      <c r="Y7" s="265"/>
      <c r="Z7" s="265"/>
      <c r="AA7" s="264">
        <v>0</v>
      </c>
      <c r="AB7" s="265"/>
      <c r="AC7" s="264">
        <f>BondRedm!I6</f>
        <v>0</v>
      </c>
      <c r="AD7" s="264">
        <f>NonVoterDebt!I6</f>
        <v>0</v>
      </c>
      <c r="AE7" s="265"/>
      <c r="AF7" s="264">
        <f>BuildFund!I6</f>
        <v>0</v>
      </c>
      <c r="AG7" s="265"/>
      <c r="AH7" s="264">
        <f>SpecBuild!I6</f>
        <v>0</v>
      </c>
      <c r="AI7" s="265"/>
      <c r="AJ7" s="264">
        <f>CapResCapPrj!I6</f>
        <v>0</v>
      </c>
      <c r="AK7" s="265"/>
      <c r="AL7" s="264">
        <f>OtherEnterprise!I6</f>
        <v>0</v>
      </c>
      <c r="AM7" s="265"/>
      <c r="AN7" s="264">
        <f>FoodServ!I6</f>
        <v>0</v>
      </c>
      <c r="AO7" s="265"/>
      <c r="AP7" s="264">
        <f>OtherInternal!I6</f>
        <v>0</v>
      </c>
      <c r="AQ7" s="265"/>
      <c r="AR7" s="264">
        <v>0</v>
      </c>
      <c r="AS7" s="265"/>
      <c r="AT7" s="265"/>
      <c r="AU7" s="264">
        <f>RiskRelated!I7</f>
        <v>0</v>
      </c>
      <c r="AV7" s="265"/>
      <c r="AW7" s="264">
        <f>'Trust&amp;Agency'!I6</f>
        <v>0</v>
      </c>
      <c r="AX7" s="265"/>
      <c r="AY7" s="264">
        <v>0</v>
      </c>
      <c r="AZ7" s="265"/>
      <c r="BA7" s="264">
        <v>0</v>
      </c>
      <c r="BB7" s="265"/>
      <c r="BC7" s="264">
        <f>PupilActAgency!I6</f>
        <v>0</v>
      </c>
      <c r="BD7" s="265"/>
      <c r="BE7" s="264">
        <f>'Foundation Fund'!I6</f>
        <v>0</v>
      </c>
      <c r="BF7" s="265"/>
      <c r="BG7" s="656">
        <f>Arbitrage!I12</f>
        <v>0</v>
      </c>
      <c r="BH7" s="265"/>
      <c r="BI7" s="264">
        <f t="shared" ref="BI7:BI18" si="0">D7+F7+H7+J7+X7+N7+P7+R7+L7+T7+V7+AA7+AC7+AD7+AF7+AH7+AJ7+AL7+AN7+AP7+AR7+AU7+AW7+AY7+BA7+BC7+BE7+BG7</f>
        <v>0</v>
      </c>
      <c r="BJ7" s="266"/>
      <c r="BK7" s="245"/>
      <c r="BL7" s="245"/>
      <c r="BM7" s="246"/>
    </row>
    <row r="8" spans="1:65" s="258" customFormat="1" ht="16.5" customHeight="1" x14ac:dyDescent="0.25">
      <c r="B8" s="259"/>
      <c r="C8" s="248"/>
      <c r="D8" s="260"/>
      <c r="E8" s="248"/>
      <c r="F8" s="260"/>
      <c r="G8" s="248"/>
      <c r="H8" s="260"/>
      <c r="I8" s="248"/>
      <c r="J8" s="260"/>
      <c r="K8" s="248"/>
      <c r="L8" s="260"/>
      <c r="M8" s="248"/>
      <c r="N8" s="260"/>
      <c r="O8" s="248"/>
      <c r="P8" s="260"/>
      <c r="Q8" s="248"/>
      <c r="R8" s="260"/>
      <c r="S8" s="248"/>
      <c r="T8" s="260"/>
      <c r="U8" s="248"/>
      <c r="V8" s="260"/>
      <c r="W8" s="248"/>
      <c r="X8" s="260"/>
      <c r="Y8" s="248"/>
      <c r="Z8" s="248"/>
      <c r="AA8" s="260"/>
      <c r="AB8" s="248"/>
      <c r="AC8" s="260"/>
      <c r="AD8" s="260"/>
      <c r="AE8" s="248"/>
      <c r="AF8" s="260"/>
      <c r="AG8" s="248"/>
      <c r="AH8" s="260"/>
      <c r="AI8" s="248"/>
      <c r="AJ8" s="260"/>
      <c r="AK8" s="248"/>
      <c r="AL8" s="260"/>
      <c r="AM8" s="248"/>
      <c r="AN8" s="260"/>
      <c r="AO8" s="248"/>
      <c r="AP8" s="260"/>
      <c r="AQ8" s="248"/>
      <c r="AR8" s="260"/>
      <c r="AS8" s="248"/>
      <c r="AT8" s="248"/>
      <c r="AU8" s="260"/>
      <c r="AV8" s="248"/>
      <c r="AW8" s="260"/>
      <c r="AX8" s="248"/>
      <c r="AY8" s="260"/>
      <c r="AZ8" s="248"/>
      <c r="BA8" s="260"/>
      <c r="BB8" s="248"/>
      <c r="BC8" s="260"/>
      <c r="BD8" s="248"/>
      <c r="BE8" s="260"/>
      <c r="BF8" s="248"/>
      <c r="BG8" s="260"/>
      <c r="BH8" s="248"/>
      <c r="BI8" s="264">
        <f t="shared" si="0"/>
        <v>0</v>
      </c>
      <c r="BJ8" s="248"/>
      <c r="BK8" s="261"/>
      <c r="BL8" s="261"/>
    </row>
    <row r="9" spans="1:65" s="282" customFormat="1" ht="20.25" customHeight="1" x14ac:dyDescent="0.3">
      <c r="A9" s="267" t="s">
        <v>875</v>
      </c>
      <c r="B9" s="262"/>
      <c r="C9" s="268"/>
      <c r="D9" s="281"/>
      <c r="E9" s="265"/>
      <c r="F9" s="264"/>
      <c r="G9" s="265"/>
      <c r="H9" s="264"/>
      <c r="I9" s="265"/>
      <c r="J9" s="264"/>
      <c r="K9" s="265"/>
      <c r="L9" s="281"/>
      <c r="M9" s="265"/>
      <c r="N9" s="264"/>
      <c r="O9" s="265"/>
      <c r="P9" s="264"/>
      <c r="Q9" s="265"/>
      <c r="R9" s="264"/>
      <c r="S9" s="265"/>
      <c r="T9" s="264"/>
      <c r="U9" s="265"/>
      <c r="V9" s="264"/>
      <c r="W9" s="265"/>
      <c r="X9" s="264"/>
      <c r="Y9" s="265"/>
      <c r="Z9" s="265"/>
      <c r="AA9" s="264"/>
      <c r="AB9" s="265"/>
      <c r="AC9" s="264"/>
      <c r="AD9" s="264"/>
      <c r="AE9" s="265"/>
      <c r="AF9" s="264"/>
      <c r="AG9" s="265"/>
      <c r="AH9" s="264"/>
      <c r="AI9" s="265"/>
      <c r="AJ9" s="264"/>
      <c r="AK9" s="265"/>
      <c r="AL9" s="264"/>
      <c r="AM9" s="265"/>
      <c r="AN9" s="264"/>
      <c r="AO9" s="265"/>
      <c r="AP9" s="264"/>
      <c r="AQ9" s="265"/>
      <c r="AR9" s="264"/>
      <c r="AS9" s="265"/>
      <c r="AT9" s="265"/>
      <c r="AU9" s="264"/>
      <c r="AV9" s="265"/>
      <c r="AW9" s="264"/>
      <c r="AX9" s="265"/>
      <c r="AY9" s="264"/>
      <c r="AZ9" s="265"/>
      <c r="BA9" s="264"/>
      <c r="BB9" s="265"/>
      <c r="BC9" s="264"/>
      <c r="BD9" s="265"/>
      <c r="BE9" s="264"/>
      <c r="BF9" s="265"/>
      <c r="BG9" s="264"/>
      <c r="BH9" s="265"/>
      <c r="BI9" s="264">
        <f t="shared" si="0"/>
        <v>0</v>
      </c>
      <c r="BJ9" s="268"/>
      <c r="BK9" s="269"/>
      <c r="BL9" s="269"/>
      <c r="BM9" s="270"/>
    </row>
    <row r="10" spans="1:65" s="282" customFormat="1" ht="20.25" customHeight="1" x14ac:dyDescent="0.25">
      <c r="A10" s="246" t="s">
        <v>1146</v>
      </c>
      <c r="B10" s="262" t="s">
        <v>876</v>
      </c>
      <c r="C10" s="268"/>
      <c r="D10" s="281">
        <f>GenFundREV!I45</f>
        <v>0</v>
      </c>
      <c r="E10" s="265"/>
      <c r="F10" s="281">
        <f>CharterFundRev!I45</f>
        <v>0</v>
      </c>
      <c r="G10" s="265"/>
      <c r="H10" s="264">
        <f>SUM(InsResv!I8+InsResv!I9+InsResv!I10)</f>
        <v>0</v>
      </c>
      <c r="I10" s="265"/>
      <c r="J10" s="264">
        <f>'CPP Fund'!I9</f>
        <v>0</v>
      </c>
      <c r="K10" s="265"/>
      <c r="L10" s="281">
        <f>SUM(ARRAGrants!J54:J63)</f>
        <v>0</v>
      </c>
      <c r="M10" s="265"/>
      <c r="N10" s="264">
        <f>SUM(CapRes!I8:I12)</f>
        <v>0</v>
      </c>
      <c r="O10" s="265"/>
      <c r="P10" s="264">
        <f>SUM(GovGrants!J54:J63)</f>
        <v>0</v>
      </c>
      <c r="Q10" s="265"/>
      <c r="R10" s="264">
        <f>SUM(PupActiv!I8:I10)</f>
        <v>0</v>
      </c>
      <c r="S10" s="265"/>
      <c r="T10" s="264">
        <f>SUM(FullDayKOverride!I8:I15)</f>
        <v>0</v>
      </c>
      <c r="U10" s="265"/>
      <c r="V10" s="264">
        <f>SUM(Transp!I8:I15)</f>
        <v>0</v>
      </c>
      <c r="W10" s="265"/>
      <c r="X10" s="264">
        <f>SUM(OthSpecRev!I9+OthSpecRev!I10)</f>
        <v>0</v>
      </c>
      <c r="Y10" s="265"/>
      <c r="Z10" s="265"/>
      <c r="AA10" s="264">
        <v>0</v>
      </c>
      <c r="AB10" s="265"/>
      <c r="AC10" s="264">
        <f>SUM(BondRedm!I8:I14)</f>
        <v>0</v>
      </c>
      <c r="AD10" s="264">
        <f>SUM([1]NonVoterDebt!I8:I14)</f>
        <v>0</v>
      </c>
      <c r="AE10" s="265"/>
      <c r="AF10" s="264">
        <f>SUM(NonVoterDebt!I8:I14)</f>
        <v>0</v>
      </c>
      <c r="AG10" s="265"/>
      <c r="AH10" s="264">
        <f>SUM(SpecBuild!I8:I11)</f>
        <v>0</v>
      </c>
      <c r="AI10" s="265"/>
      <c r="AJ10" s="264">
        <f>SUM(CapResCapPrj!I8:I12)</f>
        <v>0</v>
      </c>
      <c r="AK10" s="265"/>
      <c r="AL10" s="264">
        <f>SUM(OtherEnterprise!I9:I13)</f>
        <v>0</v>
      </c>
      <c r="AM10" s="265"/>
      <c r="AN10" s="264">
        <f>SUM(FoodServ!I9:I12)</f>
        <v>0</v>
      </c>
      <c r="AO10" s="265"/>
      <c r="AP10" s="264">
        <f>SUM(OtherInternal!I8:I15)</f>
        <v>0</v>
      </c>
      <c r="AQ10" s="265"/>
      <c r="AR10" s="264">
        <v>0</v>
      </c>
      <c r="AS10" s="265"/>
      <c r="AT10" s="265"/>
      <c r="AU10" s="264">
        <f>SUM(RiskRelated!I9:I11)</f>
        <v>0</v>
      </c>
      <c r="AV10" s="265"/>
      <c r="AW10" s="264">
        <f>'Trust&amp;Agency'!I9</f>
        <v>0</v>
      </c>
      <c r="AX10" s="265"/>
      <c r="AY10" s="264">
        <v>0</v>
      </c>
      <c r="AZ10" s="265"/>
      <c r="BA10" s="264">
        <v>0</v>
      </c>
      <c r="BB10" s="265"/>
      <c r="BC10" s="264">
        <f>SUM(PupilActAgency!I8:I10)</f>
        <v>0</v>
      </c>
      <c r="BD10" s="265"/>
      <c r="BE10" s="264">
        <f>'Foundation Fund'!I9</f>
        <v>0</v>
      </c>
      <c r="BF10" s="265"/>
      <c r="BG10" s="656">
        <f>SUM(Arbitrage!G15:G17)</f>
        <v>0</v>
      </c>
      <c r="BH10" s="265"/>
      <c r="BI10" s="264">
        <f t="shared" si="0"/>
        <v>0</v>
      </c>
      <c r="BJ10" s="268"/>
      <c r="BK10" s="269"/>
      <c r="BL10" s="269"/>
      <c r="BM10" s="270"/>
    </row>
    <row r="11" spans="1:65" s="282" customFormat="1" ht="21.75" customHeight="1" x14ac:dyDescent="0.25">
      <c r="A11" s="246"/>
      <c r="B11" s="262"/>
      <c r="C11" s="268"/>
      <c r="D11" s="281"/>
      <c r="E11" s="265"/>
      <c r="F11" s="264"/>
      <c r="G11" s="265"/>
      <c r="H11" s="264"/>
      <c r="I11" s="265"/>
      <c r="J11" s="264"/>
      <c r="K11" s="265"/>
      <c r="L11" s="281"/>
      <c r="M11" s="265"/>
      <c r="N11" s="264"/>
      <c r="O11" s="265"/>
      <c r="P11" s="264"/>
      <c r="Q11" s="265"/>
      <c r="R11" s="264"/>
      <c r="S11" s="265"/>
      <c r="T11" s="264"/>
      <c r="U11" s="265"/>
      <c r="V11" s="264"/>
      <c r="W11" s="265"/>
      <c r="X11" s="264"/>
      <c r="Y11" s="265"/>
      <c r="Z11" s="265"/>
      <c r="AA11" s="264"/>
      <c r="AB11" s="265"/>
      <c r="AC11" s="264"/>
      <c r="AD11" s="264"/>
      <c r="AE11" s="265"/>
      <c r="AF11" s="264"/>
      <c r="AG11" s="265"/>
      <c r="AH11" s="264"/>
      <c r="AI11" s="265"/>
      <c r="AJ11" s="264"/>
      <c r="AK11" s="265"/>
      <c r="AL11" s="264"/>
      <c r="AM11" s="265"/>
      <c r="AN11" s="264"/>
      <c r="AO11" s="265"/>
      <c r="AP11" s="264"/>
      <c r="AQ11" s="265"/>
      <c r="AR11" s="264"/>
      <c r="AS11" s="265"/>
      <c r="AT11" s="265"/>
      <c r="AU11" s="264"/>
      <c r="AV11" s="265"/>
      <c r="AW11" s="264"/>
      <c r="AX11" s="265"/>
      <c r="AY11" s="264"/>
      <c r="AZ11" s="265"/>
      <c r="BA11" s="264"/>
      <c r="BB11" s="265"/>
      <c r="BC11" s="264"/>
      <c r="BD11" s="265"/>
      <c r="BE11" s="264"/>
      <c r="BF11" s="265"/>
      <c r="BG11" s="264"/>
      <c r="BH11" s="265"/>
      <c r="BI11" s="264">
        <f t="shared" si="0"/>
        <v>0</v>
      </c>
      <c r="BJ11" s="268"/>
      <c r="BK11" s="269"/>
      <c r="BL11" s="269"/>
      <c r="BM11" s="270"/>
    </row>
    <row r="12" spans="1:65" s="282" customFormat="1" ht="21.75" customHeight="1" x14ac:dyDescent="0.25">
      <c r="A12" s="246" t="s">
        <v>1149</v>
      </c>
      <c r="B12" s="262" t="s">
        <v>877</v>
      </c>
      <c r="C12" s="263"/>
      <c r="D12" s="281">
        <f>GenFundREV!I48</f>
        <v>0</v>
      </c>
      <c r="E12" s="265"/>
      <c r="F12" s="264">
        <f>CharterFundRev!I48</f>
        <v>0</v>
      </c>
      <c r="G12" s="265"/>
      <c r="H12" s="264">
        <v>0</v>
      </c>
      <c r="I12" s="265"/>
      <c r="J12" s="264">
        <f>'CPP Fund'!I10</f>
        <v>0</v>
      </c>
      <c r="K12" s="265"/>
      <c r="L12" s="281"/>
      <c r="M12" s="265"/>
      <c r="N12" s="264">
        <f>CapRes!I13</f>
        <v>0</v>
      </c>
      <c r="O12" s="265"/>
      <c r="P12" s="264"/>
      <c r="Q12" s="265"/>
      <c r="R12" s="264">
        <f>PupActiv!I11</f>
        <v>0</v>
      </c>
      <c r="S12" s="265"/>
      <c r="T12" s="264"/>
      <c r="U12" s="265"/>
      <c r="V12" s="264"/>
      <c r="W12" s="265"/>
      <c r="X12" s="264"/>
      <c r="Y12" s="265"/>
      <c r="Z12" s="265"/>
      <c r="AA12" s="264">
        <v>0</v>
      </c>
      <c r="AB12" s="265"/>
      <c r="AC12" s="264">
        <f>BondRedm!I15</f>
        <v>0</v>
      </c>
      <c r="AD12" s="264">
        <f>NonVoterDebt!I15</f>
        <v>0</v>
      </c>
      <c r="AE12" s="265"/>
      <c r="AF12" s="264"/>
      <c r="AG12" s="265"/>
      <c r="AH12" s="264"/>
      <c r="AI12" s="265"/>
      <c r="AJ12" s="264">
        <f>CapResCapPrj!I13</f>
        <v>0</v>
      </c>
      <c r="AK12" s="265"/>
      <c r="AL12" s="264"/>
      <c r="AM12" s="265"/>
      <c r="AN12" s="264"/>
      <c r="AO12" s="265"/>
      <c r="AP12" s="264"/>
      <c r="AQ12" s="265"/>
      <c r="AR12" s="264">
        <v>0</v>
      </c>
      <c r="AS12" s="265"/>
      <c r="AT12" s="265"/>
      <c r="AU12" s="264"/>
      <c r="AV12" s="265"/>
      <c r="AW12" s="264"/>
      <c r="AX12" s="265"/>
      <c r="AY12" s="264">
        <v>0</v>
      </c>
      <c r="AZ12" s="265"/>
      <c r="BA12" s="264">
        <v>0</v>
      </c>
      <c r="BB12" s="265"/>
      <c r="BC12" s="264"/>
      <c r="BD12" s="265"/>
      <c r="BE12" s="264"/>
      <c r="BF12" s="265"/>
      <c r="BG12" s="264"/>
      <c r="BH12" s="265"/>
      <c r="BI12" s="264">
        <f t="shared" si="0"/>
        <v>0</v>
      </c>
      <c r="BJ12" s="266"/>
      <c r="BK12" s="269"/>
      <c r="BL12" s="269"/>
      <c r="BM12" s="270"/>
    </row>
    <row r="13" spans="1:65" s="282" customFormat="1" ht="21.75" customHeight="1" x14ac:dyDescent="0.25">
      <c r="A13" s="246"/>
      <c r="B13" s="262"/>
      <c r="C13" s="268"/>
      <c r="D13" s="281"/>
      <c r="E13" s="265"/>
      <c r="F13" s="264"/>
      <c r="G13" s="265"/>
      <c r="H13" s="264"/>
      <c r="I13" s="265"/>
      <c r="J13" s="264"/>
      <c r="K13" s="265"/>
      <c r="L13" s="281"/>
      <c r="M13" s="265"/>
      <c r="N13" s="264"/>
      <c r="O13" s="265"/>
      <c r="P13" s="264"/>
      <c r="Q13" s="265"/>
      <c r="R13" s="264"/>
      <c r="S13" s="265"/>
      <c r="T13" s="264"/>
      <c r="U13" s="265"/>
      <c r="V13" s="264"/>
      <c r="W13" s="265"/>
      <c r="X13" s="264"/>
      <c r="Y13" s="265"/>
      <c r="Z13" s="265"/>
      <c r="AA13" s="264"/>
      <c r="AB13" s="265"/>
      <c r="AC13" s="264"/>
      <c r="AD13" s="264"/>
      <c r="AE13" s="265"/>
      <c r="AF13" s="264"/>
      <c r="AG13" s="265"/>
      <c r="AH13" s="264"/>
      <c r="AI13" s="265"/>
      <c r="AJ13" s="264"/>
      <c r="AK13" s="265"/>
      <c r="AL13" s="264"/>
      <c r="AM13" s="265"/>
      <c r="AN13" s="264"/>
      <c r="AO13" s="265"/>
      <c r="AP13" s="264"/>
      <c r="AQ13" s="265"/>
      <c r="AR13" s="264"/>
      <c r="AS13" s="265"/>
      <c r="AT13" s="265"/>
      <c r="AU13" s="264"/>
      <c r="AV13" s="265"/>
      <c r="AW13" s="264"/>
      <c r="AX13" s="265"/>
      <c r="AY13" s="264"/>
      <c r="AZ13" s="265"/>
      <c r="BA13" s="264"/>
      <c r="BB13" s="265"/>
      <c r="BC13" s="264"/>
      <c r="BD13" s="265"/>
      <c r="BE13" s="264"/>
      <c r="BF13" s="265"/>
      <c r="BG13" s="264"/>
      <c r="BH13" s="265"/>
      <c r="BI13" s="264">
        <f t="shared" si="0"/>
        <v>0</v>
      </c>
      <c r="BJ13" s="268"/>
      <c r="BK13" s="269"/>
      <c r="BL13" s="269"/>
      <c r="BM13" s="270"/>
    </row>
    <row r="14" spans="1:65" s="282" customFormat="1" ht="21.75" customHeight="1" x14ac:dyDescent="0.25">
      <c r="A14" s="246" t="s">
        <v>1150</v>
      </c>
      <c r="B14" s="262" t="s">
        <v>878</v>
      </c>
      <c r="C14" s="268"/>
      <c r="D14" s="281">
        <f>GenFundREV!I75</f>
        <v>0</v>
      </c>
      <c r="E14" s="265"/>
      <c r="F14" s="264">
        <f>CharterFundRev!I74</f>
        <v>0</v>
      </c>
      <c r="G14" s="265"/>
      <c r="H14" s="264">
        <f>InsResv!I11</f>
        <v>0</v>
      </c>
      <c r="I14" s="265"/>
      <c r="J14" s="264">
        <f>'CPP Fund'!I11</f>
        <v>0</v>
      </c>
      <c r="K14" s="265"/>
      <c r="L14" s="281">
        <f>SUM(ARRAGrants!J10:J21)</f>
        <v>0</v>
      </c>
      <c r="M14" s="265"/>
      <c r="N14" s="264">
        <f>SUM(CapRes!I14:I17)</f>
        <v>0</v>
      </c>
      <c r="O14" s="265"/>
      <c r="P14" s="264">
        <f>SUM(GovGrants!J10:J21)</f>
        <v>0</v>
      </c>
      <c r="Q14" s="265"/>
      <c r="R14" s="264">
        <f>PupActiv!I12</f>
        <v>0</v>
      </c>
      <c r="S14" s="265"/>
      <c r="T14" s="264">
        <f>FullDayKOverride!I16</f>
        <v>0</v>
      </c>
      <c r="U14" s="265"/>
      <c r="V14" s="264">
        <f>Transp!I16</f>
        <v>0</v>
      </c>
      <c r="W14" s="265"/>
      <c r="X14" s="264">
        <f>OthSpecRev!I11</f>
        <v>0</v>
      </c>
      <c r="Y14" s="265"/>
      <c r="Z14" s="265"/>
      <c r="AA14" s="264">
        <v>0</v>
      </c>
      <c r="AB14" s="265"/>
      <c r="AC14" s="264"/>
      <c r="AD14" s="264"/>
      <c r="AE14" s="265"/>
      <c r="AF14" s="264">
        <f>BuildFund!I10</f>
        <v>0</v>
      </c>
      <c r="AG14" s="265"/>
      <c r="AH14" s="264"/>
      <c r="AI14" s="265"/>
      <c r="AJ14" s="264">
        <f>SUM(CapResCapPrj!I14:I17)</f>
        <v>0</v>
      </c>
      <c r="AK14" s="265"/>
      <c r="AL14" s="264"/>
      <c r="AM14" s="265"/>
      <c r="AN14" s="264">
        <f>SUM(FoodServ!I13:I15)</f>
        <v>0</v>
      </c>
      <c r="AO14" s="265"/>
      <c r="AP14" s="264"/>
      <c r="AQ14" s="265"/>
      <c r="AR14" s="264">
        <v>0</v>
      </c>
      <c r="AS14" s="265"/>
      <c r="AT14" s="265"/>
      <c r="AU14" s="264"/>
      <c r="AV14" s="265"/>
      <c r="AW14" s="264"/>
      <c r="AX14" s="265"/>
      <c r="AY14" s="264">
        <v>0</v>
      </c>
      <c r="AZ14" s="265"/>
      <c r="BA14" s="264">
        <v>0</v>
      </c>
      <c r="BB14" s="265"/>
      <c r="BC14" s="264"/>
      <c r="BD14" s="265"/>
      <c r="BE14" s="264"/>
      <c r="BF14" s="265"/>
      <c r="BG14" s="264"/>
      <c r="BH14" s="265"/>
      <c r="BI14" s="264">
        <f t="shared" si="0"/>
        <v>0</v>
      </c>
      <c r="BJ14" s="268"/>
      <c r="BK14" s="269"/>
      <c r="BL14" s="269"/>
      <c r="BM14" s="270"/>
    </row>
    <row r="15" spans="1:65" s="282" customFormat="1" ht="24.75" customHeight="1" x14ac:dyDescent="0.25">
      <c r="A15" s="246"/>
      <c r="B15" s="262"/>
      <c r="C15" s="265"/>
      <c r="D15" s="281"/>
      <c r="E15" s="265"/>
      <c r="F15" s="264"/>
      <c r="G15" s="265"/>
      <c r="H15" s="264"/>
      <c r="I15" s="265"/>
      <c r="J15" s="264"/>
      <c r="K15" s="265"/>
      <c r="L15" s="281"/>
      <c r="M15" s="265"/>
      <c r="N15" s="264"/>
      <c r="O15" s="265"/>
      <c r="P15" s="264"/>
      <c r="Q15" s="265"/>
      <c r="R15" s="264"/>
      <c r="S15" s="265"/>
      <c r="T15" s="264"/>
      <c r="U15" s="265"/>
      <c r="V15" s="264"/>
      <c r="W15" s="265"/>
      <c r="X15" s="264"/>
      <c r="Y15" s="265"/>
      <c r="Z15" s="265"/>
      <c r="AA15" s="264"/>
      <c r="AB15" s="265"/>
      <c r="AC15" s="264"/>
      <c r="AD15" s="264"/>
      <c r="AE15" s="265"/>
      <c r="AF15" s="264"/>
      <c r="AG15" s="265"/>
      <c r="AH15" s="264"/>
      <c r="AI15" s="265"/>
      <c r="AJ15" s="264"/>
      <c r="AK15" s="265"/>
      <c r="AL15" s="264"/>
      <c r="AM15" s="265"/>
      <c r="AN15" s="264"/>
      <c r="AO15" s="265"/>
      <c r="AP15" s="264"/>
      <c r="AQ15" s="265"/>
      <c r="AR15" s="264"/>
      <c r="AS15" s="265"/>
      <c r="AT15" s="265"/>
      <c r="AU15" s="264"/>
      <c r="AV15" s="265"/>
      <c r="AW15" s="264"/>
      <c r="AX15" s="265"/>
      <c r="AY15" s="264"/>
      <c r="AZ15" s="265"/>
      <c r="BA15" s="264"/>
      <c r="BB15" s="265"/>
      <c r="BC15" s="264"/>
      <c r="BD15" s="265"/>
      <c r="BE15" s="264"/>
      <c r="BF15" s="265"/>
      <c r="BG15" s="264"/>
      <c r="BH15" s="265"/>
      <c r="BI15" s="264">
        <f t="shared" si="0"/>
        <v>0</v>
      </c>
      <c r="BJ15" s="265"/>
      <c r="BK15" s="269"/>
      <c r="BL15" s="269"/>
      <c r="BM15" s="270"/>
    </row>
    <row r="16" spans="1:65" s="282" customFormat="1" ht="21.75" customHeight="1" x14ac:dyDescent="0.25">
      <c r="A16" s="246" t="s">
        <v>1151</v>
      </c>
      <c r="B16" s="262" t="s">
        <v>879</v>
      </c>
      <c r="C16" s="265"/>
      <c r="D16" s="281">
        <f>GenFundREV!I91</f>
        <v>0</v>
      </c>
      <c r="E16" s="265"/>
      <c r="F16" s="264">
        <f>CharterFundRev!I89</f>
        <v>0</v>
      </c>
      <c r="G16" s="265"/>
      <c r="H16" s="264">
        <v>0</v>
      </c>
      <c r="I16" s="265"/>
      <c r="J16" s="264">
        <f>'CPP Fund'!I12</f>
        <v>0</v>
      </c>
      <c r="K16" s="265"/>
      <c r="L16" s="281">
        <f>SUM(ARRAGrants!J29:J48)</f>
        <v>0</v>
      </c>
      <c r="M16" s="265"/>
      <c r="N16" s="264">
        <f>SUM(CapRes!I18)</f>
        <v>0</v>
      </c>
      <c r="O16" s="265"/>
      <c r="P16" s="264">
        <f>SUM(GovGrants!J29:J48)</f>
        <v>0</v>
      </c>
      <c r="Q16" s="265"/>
      <c r="R16" s="264">
        <f>PupActiv!I13</f>
        <v>0</v>
      </c>
      <c r="S16" s="265"/>
      <c r="T16" s="264"/>
      <c r="U16" s="265"/>
      <c r="V16" s="264"/>
      <c r="W16" s="265"/>
      <c r="X16" s="264">
        <f>OthSpecRev!I12</f>
        <v>0</v>
      </c>
      <c r="Y16" s="265"/>
      <c r="Z16" s="265"/>
      <c r="AA16" s="264">
        <v>0</v>
      </c>
      <c r="AB16" s="265"/>
      <c r="AC16" s="264"/>
      <c r="AD16" s="264"/>
      <c r="AE16" s="265"/>
      <c r="AF16" s="264">
        <f>BuildFund!I11</f>
        <v>0</v>
      </c>
      <c r="AG16" s="265"/>
      <c r="AH16" s="264"/>
      <c r="AI16" s="265"/>
      <c r="AJ16" s="264">
        <f>CapResCapPrj!I18</f>
        <v>0</v>
      </c>
      <c r="AK16" s="265"/>
      <c r="AL16" s="264"/>
      <c r="AM16" s="265"/>
      <c r="AN16" s="264">
        <f>SUM(FoodServ!I16:I18)</f>
        <v>0</v>
      </c>
      <c r="AO16" s="265"/>
      <c r="AP16" s="264"/>
      <c r="AQ16" s="265"/>
      <c r="AR16" s="264">
        <v>0</v>
      </c>
      <c r="AS16" s="265"/>
      <c r="AT16" s="265"/>
      <c r="AU16" s="264"/>
      <c r="AV16" s="265"/>
      <c r="AW16" s="264"/>
      <c r="AX16" s="265"/>
      <c r="AY16" s="264">
        <v>0</v>
      </c>
      <c r="AZ16" s="265"/>
      <c r="BA16" s="264">
        <v>0</v>
      </c>
      <c r="BB16" s="265"/>
      <c r="BC16" s="264"/>
      <c r="BD16" s="265"/>
      <c r="BE16" s="264"/>
      <c r="BF16" s="265"/>
      <c r="BG16" s="264"/>
      <c r="BH16" s="265"/>
      <c r="BI16" s="264">
        <f t="shared" si="0"/>
        <v>0</v>
      </c>
      <c r="BJ16" s="265"/>
      <c r="BK16" s="269"/>
      <c r="BL16" s="269"/>
      <c r="BM16" s="270"/>
    </row>
    <row r="17" spans="1:65" s="282" customFormat="1" ht="21.75" customHeight="1" thickBot="1" x14ac:dyDescent="0.3">
      <c r="A17" s="246"/>
      <c r="B17" s="262"/>
      <c r="C17" s="265"/>
      <c r="D17" s="264"/>
      <c r="E17" s="265"/>
      <c r="F17" s="264"/>
      <c r="G17" s="265"/>
      <c r="H17" s="264"/>
      <c r="I17" s="265"/>
      <c r="J17" s="264"/>
      <c r="K17" s="265"/>
      <c r="L17" s="281"/>
      <c r="M17" s="265"/>
      <c r="N17" s="264"/>
      <c r="O17" s="265"/>
      <c r="P17" s="264"/>
      <c r="Q17" s="265"/>
      <c r="R17" s="264"/>
      <c r="S17" s="265"/>
      <c r="T17" s="264"/>
      <c r="U17" s="265"/>
      <c r="V17" s="264"/>
      <c r="W17" s="265"/>
      <c r="X17" s="264"/>
      <c r="Y17" s="265"/>
      <c r="Z17" s="265"/>
      <c r="AA17" s="264"/>
      <c r="AB17" s="265"/>
      <c r="AC17" s="264"/>
      <c r="AD17" s="264"/>
      <c r="AE17" s="265"/>
      <c r="AF17" s="264"/>
      <c r="AG17" s="265"/>
      <c r="AH17" s="264"/>
      <c r="AI17" s="265"/>
      <c r="AJ17" s="264"/>
      <c r="AK17" s="265"/>
      <c r="AL17" s="264"/>
      <c r="AM17" s="265"/>
      <c r="AN17" s="264"/>
      <c r="AO17" s="265"/>
      <c r="AP17" s="264"/>
      <c r="AQ17" s="265"/>
      <c r="AR17" s="264"/>
      <c r="AS17" s="265"/>
      <c r="AT17" s="265"/>
      <c r="AU17" s="264"/>
      <c r="AV17" s="265"/>
      <c r="AW17" s="264"/>
      <c r="AX17" s="265"/>
      <c r="AY17" s="264"/>
      <c r="AZ17" s="265"/>
      <c r="BA17" s="264"/>
      <c r="BB17" s="265"/>
      <c r="BC17" s="264"/>
      <c r="BD17" s="265"/>
      <c r="BE17" s="264"/>
      <c r="BF17" s="265"/>
      <c r="BG17" s="264"/>
      <c r="BH17" s="265"/>
      <c r="BI17" s="264">
        <f t="shared" si="0"/>
        <v>0</v>
      </c>
      <c r="BJ17" s="265"/>
      <c r="BK17" s="269"/>
      <c r="BL17" s="269"/>
      <c r="BM17" s="270"/>
    </row>
    <row r="18" spans="1:65" s="282" customFormat="1" ht="20.25" customHeight="1" thickBot="1" x14ac:dyDescent="0.3">
      <c r="A18" s="271" t="s">
        <v>880</v>
      </c>
      <c r="B18" s="272"/>
      <c r="C18" s="273"/>
      <c r="D18" s="274">
        <f>SUM(D10:D17)</f>
        <v>0</v>
      </c>
      <c r="E18" s="275"/>
      <c r="F18" s="274">
        <f>SUM(F10:F17)</f>
        <v>0</v>
      </c>
      <c r="G18" s="275"/>
      <c r="H18" s="274">
        <f>SUM(H10:H17)</f>
        <v>0</v>
      </c>
      <c r="I18" s="275"/>
      <c r="J18" s="274">
        <f>SUM(J10:J17)</f>
        <v>0</v>
      </c>
      <c r="K18" s="275"/>
      <c r="L18" s="274">
        <f>SUM(L10:L17)</f>
        <v>0</v>
      </c>
      <c r="M18" s="275"/>
      <c r="N18" s="274">
        <f>SUM(N10:N17)</f>
        <v>0</v>
      </c>
      <c r="O18" s="275"/>
      <c r="P18" s="274">
        <f>SUM(P10:P17)</f>
        <v>0</v>
      </c>
      <c r="Q18" s="275"/>
      <c r="R18" s="274">
        <f>SUM(R10:R17)</f>
        <v>0</v>
      </c>
      <c r="S18" s="275"/>
      <c r="T18" s="274">
        <f>SUM(T10:T17)</f>
        <v>0</v>
      </c>
      <c r="U18" s="275"/>
      <c r="V18" s="274">
        <f>SUM(V10:V17)</f>
        <v>0</v>
      </c>
      <c r="W18" s="275"/>
      <c r="X18" s="274">
        <f>SUM(X10:X17)</f>
        <v>0</v>
      </c>
      <c r="Y18" s="275"/>
      <c r="Z18" s="275"/>
      <c r="AA18" s="274">
        <f>SUM(AA10:AA17)</f>
        <v>0</v>
      </c>
      <c r="AB18" s="275"/>
      <c r="AC18" s="274">
        <f>SUM(AC10:AC17)</f>
        <v>0</v>
      </c>
      <c r="AD18" s="274">
        <f>SUM(AD10:AD17)</f>
        <v>0</v>
      </c>
      <c r="AE18" s="275"/>
      <c r="AF18" s="274">
        <f>SUM(AF10:AF17)</f>
        <v>0</v>
      </c>
      <c r="AG18" s="275"/>
      <c r="AH18" s="274">
        <f>SUM(AH10:AH17)</f>
        <v>0</v>
      </c>
      <c r="AI18" s="275"/>
      <c r="AJ18" s="274">
        <f>SUM(AJ10:AJ17)</f>
        <v>0</v>
      </c>
      <c r="AK18" s="275"/>
      <c r="AL18" s="274">
        <f>SUM(AL10:AL17)</f>
        <v>0</v>
      </c>
      <c r="AM18" s="275"/>
      <c r="AN18" s="274">
        <f>SUM(AN10:AN17)</f>
        <v>0</v>
      </c>
      <c r="AO18" s="275"/>
      <c r="AP18" s="274">
        <f>SUM(AP10:AP17)</f>
        <v>0</v>
      </c>
      <c r="AQ18" s="275"/>
      <c r="AR18" s="274">
        <f>SUM(AR10:AR17)</f>
        <v>0</v>
      </c>
      <c r="AS18" s="275"/>
      <c r="AT18" s="275"/>
      <c r="AU18" s="274">
        <f>SUM(AU10:AU17)</f>
        <v>0</v>
      </c>
      <c r="AV18" s="275"/>
      <c r="AW18" s="274">
        <f>SUM(AW10:AW17)</f>
        <v>0</v>
      </c>
      <c r="AX18" s="275"/>
      <c r="AY18" s="274">
        <f>SUM(AY10:AY17)</f>
        <v>0</v>
      </c>
      <c r="AZ18" s="275"/>
      <c r="BA18" s="274">
        <f>SUM(BA10:BA17)</f>
        <v>0</v>
      </c>
      <c r="BB18" s="275"/>
      <c r="BC18" s="274">
        <f>SUM(BC10:BC17)</f>
        <v>0</v>
      </c>
      <c r="BD18" s="275"/>
      <c r="BE18" s="274">
        <f>SUM(BE10:BE17)</f>
        <v>0</v>
      </c>
      <c r="BF18" s="275"/>
      <c r="BG18" s="274">
        <f>SUM(BG10:BG17)</f>
        <v>0</v>
      </c>
      <c r="BH18" s="275"/>
      <c r="BI18" s="274">
        <f t="shared" si="0"/>
        <v>0</v>
      </c>
      <c r="BJ18" s="275"/>
      <c r="BK18" s="276"/>
      <c r="BL18" s="276"/>
      <c r="BM18" s="270"/>
    </row>
    <row r="19" spans="1:65" s="282" customFormat="1" ht="18" x14ac:dyDescent="0.25">
      <c r="A19" s="246"/>
      <c r="B19" s="262"/>
      <c r="C19" s="265"/>
      <c r="D19" s="264"/>
      <c r="E19" s="265"/>
      <c r="F19" s="264"/>
      <c r="G19" s="265"/>
      <c r="H19" s="264"/>
      <c r="I19" s="265"/>
      <c r="J19" s="264"/>
      <c r="K19" s="265"/>
      <c r="L19" s="281"/>
      <c r="M19" s="265"/>
      <c r="N19" s="264"/>
      <c r="O19" s="265"/>
      <c r="P19" s="264"/>
      <c r="Q19" s="265"/>
      <c r="R19" s="264"/>
      <c r="S19" s="265"/>
      <c r="T19" s="264"/>
      <c r="U19" s="265"/>
      <c r="V19" s="264"/>
      <c r="W19" s="265"/>
      <c r="X19" s="264"/>
      <c r="Y19" s="265"/>
      <c r="Z19" s="265"/>
      <c r="AA19" s="264"/>
      <c r="AB19" s="265"/>
      <c r="AC19" s="264"/>
      <c r="AD19" s="264"/>
      <c r="AE19" s="265"/>
      <c r="AF19" s="264"/>
      <c r="AG19" s="265"/>
      <c r="AH19" s="264"/>
      <c r="AI19" s="265"/>
      <c r="AJ19" s="264"/>
      <c r="AK19" s="265"/>
      <c r="AL19" s="264"/>
      <c r="AM19" s="265"/>
      <c r="AN19" s="264"/>
      <c r="AO19" s="265"/>
      <c r="AP19" s="264"/>
      <c r="AQ19" s="265"/>
      <c r="AR19" s="264"/>
      <c r="AS19" s="265"/>
      <c r="AT19" s="265"/>
      <c r="AU19" s="264"/>
      <c r="AV19" s="265"/>
      <c r="AW19" s="264"/>
      <c r="AX19" s="265"/>
      <c r="AY19" s="264"/>
      <c r="AZ19" s="265"/>
      <c r="BA19" s="264"/>
      <c r="BB19" s="265"/>
      <c r="BC19" s="264"/>
      <c r="BD19" s="265"/>
      <c r="BE19" s="264"/>
      <c r="BF19" s="265"/>
      <c r="BG19" s="264"/>
      <c r="BH19" s="265"/>
      <c r="BI19" s="264"/>
      <c r="BJ19" s="277"/>
      <c r="BK19" s="269"/>
      <c r="BL19" s="269"/>
      <c r="BM19" s="270"/>
    </row>
    <row r="20" spans="1:65" s="282" customFormat="1" ht="18.75" thickBot="1" x14ac:dyDescent="0.3">
      <c r="A20" s="246"/>
      <c r="B20" s="262"/>
      <c r="C20" s="278"/>
      <c r="D20" s="264"/>
      <c r="E20" s="265"/>
      <c r="F20" s="264"/>
      <c r="G20" s="265"/>
      <c r="H20" s="264"/>
      <c r="I20" s="265"/>
      <c r="J20" s="264"/>
      <c r="K20" s="265"/>
      <c r="L20" s="281"/>
      <c r="M20" s="265"/>
      <c r="N20" s="264"/>
      <c r="O20" s="265"/>
      <c r="P20" s="264"/>
      <c r="Q20" s="265"/>
      <c r="R20" s="264"/>
      <c r="S20" s="265"/>
      <c r="T20" s="264"/>
      <c r="U20" s="265"/>
      <c r="V20" s="264"/>
      <c r="W20" s="265"/>
      <c r="X20" s="264"/>
      <c r="Y20" s="265"/>
      <c r="Z20" s="265"/>
      <c r="AA20" s="264"/>
      <c r="AB20" s="265"/>
      <c r="AC20" s="264"/>
      <c r="AD20" s="264"/>
      <c r="AE20" s="265"/>
      <c r="AF20" s="264"/>
      <c r="AG20" s="265"/>
      <c r="AH20" s="264"/>
      <c r="AI20" s="265"/>
      <c r="AJ20" s="264"/>
      <c r="AK20" s="265"/>
      <c r="AL20" s="264"/>
      <c r="AM20" s="265"/>
      <c r="AN20" s="264"/>
      <c r="AO20" s="265"/>
      <c r="AP20" s="264"/>
      <c r="AQ20" s="265"/>
      <c r="AR20" s="264"/>
      <c r="AS20" s="265"/>
      <c r="AT20" s="265"/>
      <c r="AU20" s="264"/>
      <c r="AV20" s="265"/>
      <c r="AW20" s="264"/>
      <c r="AX20" s="265"/>
      <c r="AY20" s="264"/>
      <c r="AZ20" s="265"/>
      <c r="BA20" s="264"/>
      <c r="BB20" s="265"/>
      <c r="BC20" s="264"/>
      <c r="BD20" s="265"/>
      <c r="BE20" s="264"/>
      <c r="BF20" s="265"/>
      <c r="BG20" s="264"/>
      <c r="BH20" s="265"/>
      <c r="BI20" s="264"/>
      <c r="BJ20" s="265"/>
      <c r="BK20" s="269"/>
      <c r="BL20" s="269"/>
      <c r="BM20" s="270"/>
    </row>
    <row r="21" spans="1:65" s="282" customFormat="1" ht="36.75" thickBot="1" x14ac:dyDescent="0.3">
      <c r="A21" s="271" t="s">
        <v>13</v>
      </c>
      <c r="B21" s="279"/>
      <c r="C21" s="275"/>
      <c r="D21" s="274">
        <f>D7+D18</f>
        <v>0</v>
      </c>
      <c r="E21" s="275"/>
      <c r="F21" s="274">
        <f>F7+F18</f>
        <v>0</v>
      </c>
      <c r="G21" s="275"/>
      <c r="H21" s="274">
        <f>H7+H18</f>
        <v>0</v>
      </c>
      <c r="I21" s="275"/>
      <c r="J21" s="274">
        <f>J7+J18</f>
        <v>0</v>
      </c>
      <c r="K21" s="275"/>
      <c r="L21" s="274">
        <f>L7+L18</f>
        <v>0</v>
      </c>
      <c r="M21" s="275"/>
      <c r="N21" s="274">
        <f>N7+N18</f>
        <v>0</v>
      </c>
      <c r="O21" s="275"/>
      <c r="P21" s="274">
        <f>P7+P18</f>
        <v>0</v>
      </c>
      <c r="Q21" s="275"/>
      <c r="R21" s="274">
        <f>R7+R18</f>
        <v>0</v>
      </c>
      <c r="S21" s="275"/>
      <c r="T21" s="274">
        <f>T7+T18</f>
        <v>0</v>
      </c>
      <c r="U21" s="275"/>
      <c r="V21" s="274">
        <f>V7+V18</f>
        <v>0</v>
      </c>
      <c r="W21" s="275"/>
      <c r="X21" s="274">
        <f>X7+X18</f>
        <v>0</v>
      </c>
      <c r="Y21" s="275"/>
      <c r="Z21" s="275"/>
      <c r="AA21" s="274">
        <f>AA7+AA18</f>
        <v>0</v>
      </c>
      <c r="AB21" s="275"/>
      <c r="AC21" s="274">
        <f>AC7+AC18</f>
        <v>0</v>
      </c>
      <c r="AD21" s="274">
        <f>AD7+AD18</f>
        <v>0</v>
      </c>
      <c r="AE21" s="275"/>
      <c r="AF21" s="274">
        <f>AF7+AF18</f>
        <v>0</v>
      </c>
      <c r="AG21" s="275"/>
      <c r="AH21" s="274">
        <f>AH7+AH18</f>
        <v>0</v>
      </c>
      <c r="AI21" s="275"/>
      <c r="AJ21" s="274">
        <f>AJ7+AJ18</f>
        <v>0</v>
      </c>
      <c r="AK21" s="275"/>
      <c r="AL21" s="274">
        <f>AL7+AL18</f>
        <v>0</v>
      </c>
      <c r="AM21" s="275"/>
      <c r="AN21" s="274">
        <f>AN7+AN18</f>
        <v>0</v>
      </c>
      <c r="AO21" s="275"/>
      <c r="AP21" s="274">
        <f>AP7+AP18</f>
        <v>0</v>
      </c>
      <c r="AQ21" s="275"/>
      <c r="AR21" s="274">
        <f>AR7+AR18</f>
        <v>0</v>
      </c>
      <c r="AS21" s="275"/>
      <c r="AT21" s="275"/>
      <c r="AU21" s="274">
        <f>AU7+AU18</f>
        <v>0</v>
      </c>
      <c r="AV21" s="275"/>
      <c r="AW21" s="274">
        <f>AW7+AW18</f>
        <v>0</v>
      </c>
      <c r="AX21" s="275"/>
      <c r="AY21" s="274">
        <f>AY7+AY18</f>
        <v>0</v>
      </c>
      <c r="AZ21" s="275"/>
      <c r="BA21" s="274">
        <f>BA7+BA18</f>
        <v>0</v>
      </c>
      <c r="BB21" s="275"/>
      <c r="BC21" s="274">
        <f>BC7+BC18</f>
        <v>0</v>
      </c>
      <c r="BD21" s="275"/>
      <c r="BE21" s="274">
        <f>BE7+BE18</f>
        <v>0</v>
      </c>
      <c r="BF21" s="275"/>
      <c r="BG21" s="274">
        <f>BG7+BG18</f>
        <v>0</v>
      </c>
      <c r="BH21" s="275"/>
      <c r="BI21" s="274">
        <f>D21+F21+H21+J21+X21+N21+P21+R21+L21+T21+V21+AA21+AC21+AD21+AF21+AH21+AJ21+AL21+AN21+AP21+AR21+AU21+AW21+AY21+BA21+BC21+BE21+BG21</f>
        <v>0</v>
      </c>
      <c r="BJ21" s="275"/>
      <c r="BK21" s="276"/>
      <c r="BL21" s="276"/>
      <c r="BM21" s="270"/>
    </row>
    <row r="22" spans="1:65" s="282" customFormat="1" ht="18" x14ac:dyDescent="0.25">
      <c r="A22" s="246" t="s">
        <v>14</v>
      </c>
      <c r="B22" s="262"/>
      <c r="C22" s="268"/>
      <c r="D22" s="264"/>
      <c r="E22" s="265"/>
      <c r="F22" s="264"/>
      <c r="G22" s="265"/>
      <c r="H22" s="264"/>
      <c r="I22" s="265"/>
      <c r="J22" s="264"/>
      <c r="K22" s="265"/>
      <c r="L22" s="281"/>
      <c r="M22" s="265"/>
      <c r="N22" s="264"/>
      <c r="O22" s="265"/>
      <c r="P22" s="264"/>
      <c r="Q22" s="265"/>
      <c r="R22" s="264"/>
      <c r="S22" s="265"/>
      <c r="T22" s="264"/>
      <c r="U22" s="265"/>
      <c r="V22" s="264"/>
      <c r="W22" s="265"/>
      <c r="X22" s="264"/>
      <c r="Y22" s="265"/>
      <c r="Z22" s="265"/>
      <c r="AA22" s="264"/>
      <c r="AB22" s="265"/>
      <c r="AC22" s="264"/>
      <c r="AD22" s="264"/>
      <c r="AE22" s="265"/>
      <c r="AF22" s="264"/>
      <c r="AG22" s="265"/>
      <c r="AH22" s="264"/>
      <c r="AI22" s="265"/>
      <c r="AJ22" s="264"/>
      <c r="AK22" s="265"/>
      <c r="AL22" s="264"/>
      <c r="AM22" s="265"/>
      <c r="AN22" s="264"/>
      <c r="AO22" s="265"/>
      <c r="AP22" s="264"/>
      <c r="AQ22" s="265"/>
      <c r="AR22" s="264"/>
      <c r="AS22" s="265"/>
      <c r="AT22" s="265"/>
      <c r="AU22" s="264"/>
      <c r="AV22" s="265"/>
      <c r="AW22" s="264"/>
      <c r="AX22" s="265"/>
      <c r="AY22" s="264"/>
      <c r="AZ22" s="265"/>
      <c r="BA22" s="264"/>
      <c r="BB22" s="265"/>
      <c r="BC22" s="264"/>
      <c r="BD22" s="265"/>
      <c r="BE22" s="264"/>
      <c r="BF22" s="265"/>
      <c r="BG22" s="264"/>
      <c r="BH22" s="265"/>
      <c r="BI22" s="270"/>
      <c r="BJ22" s="268"/>
      <c r="BK22" s="269"/>
      <c r="BL22" s="269"/>
      <c r="BM22" s="270"/>
    </row>
    <row r="23" spans="1:65" s="282" customFormat="1" ht="36" x14ac:dyDescent="0.25">
      <c r="A23" s="246" t="s">
        <v>15</v>
      </c>
      <c r="B23" s="262" t="s">
        <v>16</v>
      </c>
      <c r="C23" s="263"/>
      <c r="D23" s="699">
        <f>-GenFundREV!I108</f>
        <v>0</v>
      </c>
      <c r="E23" s="265"/>
      <c r="F23" s="264">
        <f>-CharterFundRev!I106</f>
        <v>0</v>
      </c>
      <c r="G23" s="265"/>
      <c r="H23" s="264">
        <f>InsResv!I13</f>
        <v>0</v>
      </c>
      <c r="I23" s="265"/>
      <c r="J23" s="264">
        <f>'CPP Fund'!I14</f>
        <v>0</v>
      </c>
      <c r="K23" s="265"/>
      <c r="L23" s="281"/>
      <c r="M23" s="265"/>
      <c r="N23" s="264">
        <f>CapRes!I22</f>
        <v>0</v>
      </c>
      <c r="O23" s="265"/>
      <c r="P23" s="264"/>
      <c r="Q23" s="265"/>
      <c r="R23" s="264"/>
      <c r="S23" s="265"/>
      <c r="T23" s="264"/>
      <c r="U23" s="265"/>
      <c r="V23" s="264"/>
      <c r="W23" s="265"/>
      <c r="X23" s="264"/>
      <c r="Y23" s="265"/>
      <c r="Z23" s="265"/>
      <c r="AA23" s="264">
        <v>0</v>
      </c>
      <c r="AB23" s="265"/>
      <c r="AC23" s="264"/>
      <c r="AD23" s="264"/>
      <c r="AE23" s="265"/>
      <c r="AF23" s="264"/>
      <c r="AG23" s="265"/>
      <c r="AH23" s="264"/>
      <c r="AI23" s="265"/>
      <c r="AJ23" s="264">
        <f>CapResCapPrj!I22</f>
        <v>0</v>
      </c>
      <c r="AK23" s="265"/>
      <c r="AL23" s="264"/>
      <c r="AM23" s="265"/>
      <c r="AN23" s="264"/>
      <c r="AO23" s="265"/>
      <c r="AP23" s="264"/>
      <c r="AQ23" s="265"/>
      <c r="AR23" s="264">
        <v>0</v>
      </c>
      <c r="AS23" s="265"/>
      <c r="AT23" s="265"/>
      <c r="AU23" s="264"/>
      <c r="AV23" s="265"/>
      <c r="AW23" s="264"/>
      <c r="AX23" s="265"/>
      <c r="AY23" s="264">
        <v>0</v>
      </c>
      <c r="AZ23" s="265"/>
      <c r="BA23" s="264">
        <v>0</v>
      </c>
      <c r="BB23" s="265"/>
      <c r="BC23" s="264"/>
      <c r="BD23" s="265"/>
      <c r="BE23" s="264"/>
      <c r="BF23" s="265"/>
      <c r="BG23" s="656">
        <f>Arbitrage!G19</f>
        <v>0</v>
      </c>
      <c r="BH23" s="265"/>
      <c r="BI23" s="264">
        <f t="shared" ref="BI23:BI29" si="1">D23+F23+H23+J23+X23+N23+P23+R23+L23+T23+V23+AA23+AC23+AD23+AF23+AH23+AJ23+AL23+AN23+AP23+AR23+AU23+AW23+AY23+BA23+BC23+BE23+BG23</f>
        <v>0</v>
      </c>
      <c r="BJ23" s="266"/>
      <c r="BK23" s="269"/>
      <c r="BL23" s="269"/>
      <c r="BM23" s="270"/>
    </row>
    <row r="24" spans="1:65" s="282" customFormat="1" ht="18" x14ac:dyDescent="0.25">
      <c r="A24" s="246"/>
      <c r="B24" s="262"/>
      <c r="C24" s="263"/>
      <c r="D24" s="281"/>
      <c r="E24" s="265"/>
      <c r="F24" s="264"/>
      <c r="G24" s="265"/>
      <c r="H24" s="264"/>
      <c r="I24" s="265"/>
      <c r="J24" s="264"/>
      <c r="K24" s="265"/>
      <c r="L24" s="281"/>
      <c r="M24" s="265"/>
      <c r="N24" s="264"/>
      <c r="O24" s="265"/>
      <c r="P24" s="264"/>
      <c r="Q24" s="265"/>
      <c r="R24" s="264"/>
      <c r="S24" s="265"/>
      <c r="T24" s="264"/>
      <c r="U24" s="265"/>
      <c r="V24" s="264"/>
      <c r="W24" s="265"/>
      <c r="X24" s="264"/>
      <c r="Y24" s="265"/>
      <c r="Z24" s="265"/>
      <c r="AA24" s="264"/>
      <c r="AB24" s="265"/>
      <c r="AC24" s="264"/>
      <c r="AD24" s="264"/>
      <c r="AE24" s="265"/>
      <c r="AF24" s="264"/>
      <c r="AG24" s="265"/>
      <c r="AH24" s="264"/>
      <c r="AI24" s="265"/>
      <c r="AJ24" s="264"/>
      <c r="AK24" s="265"/>
      <c r="AL24" s="264"/>
      <c r="AM24" s="265"/>
      <c r="AN24" s="264"/>
      <c r="AO24" s="265"/>
      <c r="AP24" s="264"/>
      <c r="AQ24" s="265"/>
      <c r="AR24" s="264"/>
      <c r="AS24" s="265"/>
      <c r="AT24" s="265"/>
      <c r="AU24" s="264"/>
      <c r="AV24" s="265"/>
      <c r="AW24" s="264"/>
      <c r="AX24" s="265"/>
      <c r="AY24" s="264"/>
      <c r="AZ24" s="265"/>
      <c r="BA24" s="264"/>
      <c r="BB24" s="265"/>
      <c r="BC24" s="264"/>
      <c r="BD24" s="265"/>
      <c r="BE24" s="264"/>
      <c r="BF24" s="265"/>
      <c r="BG24" s="264"/>
      <c r="BH24" s="265"/>
      <c r="BI24" s="264">
        <f t="shared" si="1"/>
        <v>0</v>
      </c>
      <c r="BJ24" s="268"/>
      <c r="BK24" s="269"/>
      <c r="BL24" s="269"/>
      <c r="BM24" s="270"/>
    </row>
    <row r="25" spans="1:65" s="282" customFormat="1" ht="36" x14ac:dyDescent="0.25">
      <c r="A25" s="246" t="s">
        <v>17</v>
      </c>
      <c r="B25" s="280" t="s">
        <v>18</v>
      </c>
      <c r="C25" s="263"/>
      <c r="D25" s="281">
        <f>GenFundREV!I94</f>
        <v>0</v>
      </c>
      <c r="E25" s="265"/>
      <c r="F25" s="264">
        <f>CharterFundRev!I92</f>
        <v>0</v>
      </c>
      <c r="G25" s="265"/>
      <c r="H25" s="264">
        <f>InsResv!I12</f>
        <v>0</v>
      </c>
      <c r="I25" s="265"/>
      <c r="J25" s="264">
        <f>'CPP Fund'!I13</f>
        <v>0</v>
      </c>
      <c r="K25" s="265"/>
      <c r="L25" s="281">
        <f>+ARRAGrants!J71</f>
        <v>0</v>
      </c>
      <c r="M25" s="265"/>
      <c r="N25" s="264">
        <f>SUM(CapRes!I19)</f>
        <v>0</v>
      </c>
      <c r="O25" s="265"/>
      <c r="P25" s="264">
        <f>SUM(GovGrants!J71)</f>
        <v>0</v>
      </c>
      <c r="Q25" s="265"/>
      <c r="R25" s="264">
        <f>PupActiv!I14</f>
        <v>0</v>
      </c>
      <c r="S25" s="265"/>
      <c r="T25" s="264">
        <f>FullDayKOverride!I17</f>
        <v>0</v>
      </c>
      <c r="U25" s="265"/>
      <c r="V25" s="264">
        <f>Transp!I17</f>
        <v>0</v>
      </c>
      <c r="W25" s="265"/>
      <c r="X25" s="264">
        <f>OthSpecRev!I13</f>
        <v>0</v>
      </c>
      <c r="Y25" s="265"/>
      <c r="Z25" s="265"/>
      <c r="AA25" s="264">
        <v>0</v>
      </c>
      <c r="AB25" s="265"/>
      <c r="AC25" s="264">
        <f>BondRedm!I19</f>
        <v>0</v>
      </c>
      <c r="AD25" s="264">
        <f>NonVoterDebt!I19</f>
        <v>0</v>
      </c>
      <c r="AE25" s="265"/>
      <c r="AF25" s="264">
        <f>BuildFund!I15</f>
        <v>0</v>
      </c>
      <c r="AG25" s="265"/>
      <c r="AH25" s="264">
        <f>SpecBuild!I12</f>
        <v>0</v>
      </c>
      <c r="AI25" s="265"/>
      <c r="AJ25" s="264">
        <f>CapResCapPrj!I19</f>
        <v>0</v>
      </c>
      <c r="AK25" s="265"/>
      <c r="AL25" s="264">
        <f>OtherEnterprise!I14</f>
        <v>0</v>
      </c>
      <c r="AM25" s="265"/>
      <c r="AN25" s="264">
        <f>FoodServ!I19</f>
        <v>0</v>
      </c>
      <c r="AO25" s="265"/>
      <c r="AP25" s="264">
        <f>OtherInternal!I16</f>
        <v>0</v>
      </c>
      <c r="AQ25" s="265"/>
      <c r="AR25" s="264">
        <v>0</v>
      </c>
      <c r="AS25" s="265"/>
      <c r="AT25" s="265"/>
      <c r="AU25" s="264">
        <f>RiskRelated!I12</f>
        <v>0</v>
      </c>
      <c r="AV25" s="265"/>
      <c r="AW25" s="264">
        <f>'Trust&amp;Agency'!I10</f>
        <v>0</v>
      </c>
      <c r="AX25" s="265"/>
      <c r="AY25" s="264">
        <v>0</v>
      </c>
      <c r="AZ25" s="265"/>
      <c r="BA25" s="264">
        <v>0</v>
      </c>
      <c r="BB25" s="265"/>
      <c r="BC25" s="264">
        <f>PupilActAgency!I11</f>
        <v>0</v>
      </c>
      <c r="BD25" s="265"/>
      <c r="BE25" s="264">
        <f>'Foundation Fund'!I10</f>
        <v>0</v>
      </c>
      <c r="BF25" s="265"/>
      <c r="BG25" s="656">
        <f>Arbitrage!G20</f>
        <v>0</v>
      </c>
      <c r="BH25" s="265"/>
      <c r="BI25" s="264">
        <f t="shared" si="1"/>
        <v>0</v>
      </c>
      <c r="BJ25" s="266"/>
      <c r="BK25" s="269"/>
      <c r="BL25" s="269"/>
      <c r="BM25" s="270"/>
    </row>
    <row r="26" spans="1:65" s="282" customFormat="1" ht="18" x14ac:dyDescent="0.25">
      <c r="A26" s="246"/>
      <c r="B26" s="262"/>
      <c r="C26" s="263"/>
      <c r="D26" s="281"/>
      <c r="E26" s="265"/>
      <c r="F26" s="264"/>
      <c r="G26" s="265"/>
      <c r="H26" s="264"/>
      <c r="I26" s="265"/>
      <c r="J26" s="264"/>
      <c r="K26" s="265"/>
      <c r="L26" s="281"/>
      <c r="M26" s="265"/>
      <c r="N26" s="264"/>
      <c r="O26" s="265"/>
      <c r="P26" s="264"/>
      <c r="Q26" s="265"/>
      <c r="R26" s="264"/>
      <c r="S26" s="265"/>
      <c r="T26" s="264"/>
      <c r="U26" s="265"/>
      <c r="V26" s="264"/>
      <c r="W26" s="265"/>
      <c r="X26" s="264"/>
      <c r="Y26" s="265"/>
      <c r="Z26" s="265"/>
      <c r="AA26" s="264"/>
      <c r="AB26" s="265"/>
      <c r="AC26" s="264"/>
      <c r="AD26" s="264"/>
      <c r="AE26" s="265"/>
      <c r="AF26" s="264"/>
      <c r="AG26" s="265"/>
      <c r="AH26" s="264"/>
      <c r="AI26" s="265"/>
      <c r="AJ26" s="264"/>
      <c r="AK26" s="265"/>
      <c r="AL26" s="264"/>
      <c r="AM26" s="265"/>
      <c r="AN26" s="264"/>
      <c r="AO26" s="265"/>
      <c r="AP26" s="264"/>
      <c r="AQ26" s="265"/>
      <c r="AR26" s="264"/>
      <c r="AS26" s="265"/>
      <c r="AT26" s="265"/>
      <c r="AU26" s="264"/>
      <c r="AV26" s="265"/>
      <c r="AW26" s="264"/>
      <c r="AX26" s="265"/>
      <c r="AY26" s="264"/>
      <c r="AZ26" s="265"/>
      <c r="BA26" s="264"/>
      <c r="BB26" s="265"/>
      <c r="BC26" s="264"/>
      <c r="BD26" s="265"/>
      <c r="BE26" s="264"/>
      <c r="BF26" s="265"/>
      <c r="BG26" s="264"/>
      <c r="BH26" s="265"/>
      <c r="BI26" s="264">
        <f t="shared" si="1"/>
        <v>0</v>
      </c>
      <c r="BJ26" s="265"/>
      <c r="BK26" s="269"/>
      <c r="BL26" s="269"/>
      <c r="BM26" s="270"/>
    </row>
    <row r="27" spans="1:65" s="282" customFormat="1" ht="54" x14ac:dyDescent="0.25">
      <c r="A27" s="246" t="s">
        <v>19</v>
      </c>
      <c r="B27" s="262" t="s">
        <v>20</v>
      </c>
      <c r="C27" s="263"/>
      <c r="D27" s="281">
        <f>SUM(GenFundREV!I95+GenFundREV!I96+GenFundREV!I97)</f>
        <v>0</v>
      </c>
      <c r="E27" s="265"/>
      <c r="F27" s="281">
        <f>SUM(CharterFundRev!I93+CharterFundRev!I94+CharterFundRev!I95)</f>
        <v>0</v>
      </c>
      <c r="G27" s="265"/>
      <c r="H27" s="264">
        <f>InsResv!I14</f>
        <v>0</v>
      </c>
      <c r="I27" s="265"/>
      <c r="J27" s="264">
        <f>'CPP Fund'!I15</f>
        <v>0</v>
      </c>
      <c r="K27" s="265"/>
      <c r="L27" s="281">
        <f>SUM(ARRAGrants!J75:J84)</f>
        <v>0</v>
      </c>
      <c r="M27" s="265"/>
      <c r="N27" s="264">
        <f>SUM(CapRes!I20+CapRes!I21+CapRes!I23)</f>
        <v>0</v>
      </c>
      <c r="O27" s="265"/>
      <c r="P27" s="264">
        <f>SUM(GovGrants!J75:J84)</f>
        <v>0</v>
      </c>
      <c r="Q27" s="265"/>
      <c r="R27" s="264">
        <f>PupActiv!I15</f>
        <v>0</v>
      </c>
      <c r="S27" s="265"/>
      <c r="T27" s="264">
        <f>FullDayKOverride!I18</f>
        <v>0</v>
      </c>
      <c r="U27" s="265"/>
      <c r="V27" s="264">
        <f>Transp!I18</f>
        <v>0</v>
      </c>
      <c r="W27" s="265"/>
      <c r="X27" s="264">
        <f>OthSpecRev!I14</f>
        <v>0</v>
      </c>
      <c r="Y27" s="265"/>
      <c r="Z27" s="265"/>
      <c r="AA27" s="264">
        <v>0</v>
      </c>
      <c r="AB27" s="265"/>
      <c r="AC27" s="264">
        <f>SUM(BondRedm!I16+BondRedm!I17+BondRedm!I18+BondRedm!I20)</f>
        <v>0</v>
      </c>
      <c r="AD27" s="264">
        <f>SUM(NonVoterDebt!I16+NonVoterDebt!I17+NonVoterDebt!I18+NonVoterDebt!I20)</f>
        <v>0</v>
      </c>
      <c r="AE27" s="265"/>
      <c r="AF27" s="264">
        <f>SUM(BuildFund!I12+BuildFund!I13+BuildFund!I14+BuildFund!I16)</f>
        <v>0</v>
      </c>
      <c r="AG27" s="265"/>
      <c r="AH27" s="264">
        <f>SpecBuild!I13</f>
        <v>0</v>
      </c>
      <c r="AI27" s="265"/>
      <c r="AJ27" s="264">
        <f>SUM(CapResCapPrj!I20+CapResCapPrj!I21+CapResCapPrj!I23)</f>
        <v>0</v>
      </c>
      <c r="AK27" s="265"/>
      <c r="AL27" s="264">
        <f>OtherEnterprise!I15</f>
        <v>0</v>
      </c>
      <c r="AM27" s="265"/>
      <c r="AN27" s="264">
        <f>FoodServ!I20</f>
        <v>0</v>
      </c>
      <c r="AO27" s="265"/>
      <c r="AP27" s="264">
        <f>OtherInternal!I17</f>
        <v>0</v>
      </c>
      <c r="AQ27" s="265"/>
      <c r="AR27" s="264">
        <v>0</v>
      </c>
      <c r="AS27" s="265"/>
      <c r="AT27" s="265"/>
      <c r="AU27" s="264">
        <f>SUM(RiskRelated!I13)</f>
        <v>0</v>
      </c>
      <c r="AV27" s="265"/>
      <c r="AW27" s="264">
        <f>'Trust&amp;Agency'!I11</f>
        <v>0</v>
      </c>
      <c r="AX27" s="265"/>
      <c r="AY27" s="264">
        <v>0</v>
      </c>
      <c r="AZ27" s="265"/>
      <c r="BA27" s="264">
        <v>0</v>
      </c>
      <c r="BB27" s="265"/>
      <c r="BC27" s="264">
        <f>PupilActAgency!I12</f>
        <v>0</v>
      </c>
      <c r="BD27" s="265"/>
      <c r="BE27" s="264">
        <f>'Foundation Fund'!I11</f>
        <v>0</v>
      </c>
      <c r="BF27" s="265"/>
      <c r="BG27" s="656">
        <f>Arbitrage!G18</f>
        <v>0</v>
      </c>
      <c r="BH27" s="265"/>
      <c r="BI27" s="264">
        <f t="shared" si="1"/>
        <v>0</v>
      </c>
      <c r="BJ27" s="265"/>
      <c r="BK27" s="269"/>
      <c r="BL27" s="269"/>
      <c r="BM27" s="270"/>
    </row>
    <row r="28" spans="1:65" s="282" customFormat="1" ht="18.75" thickBot="1" x14ac:dyDescent="0.3">
      <c r="A28" s="246"/>
      <c r="B28" s="262"/>
      <c r="C28" s="263"/>
      <c r="D28" s="264"/>
      <c r="E28" s="265"/>
      <c r="F28" s="264"/>
      <c r="G28" s="265"/>
      <c r="H28" s="264"/>
      <c r="I28" s="265"/>
      <c r="J28" s="264"/>
      <c r="K28" s="265"/>
      <c r="L28" s="281"/>
      <c r="M28" s="265"/>
      <c r="N28" s="264"/>
      <c r="O28" s="265"/>
      <c r="P28" s="264"/>
      <c r="Q28" s="265"/>
      <c r="R28" s="264"/>
      <c r="S28" s="265"/>
      <c r="T28" s="264"/>
      <c r="U28" s="265"/>
      <c r="V28" s="264"/>
      <c r="W28" s="265"/>
      <c r="X28" s="264"/>
      <c r="Y28" s="265"/>
      <c r="Z28" s="265"/>
      <c r="AA28" s="264"/>
      <c r="AB28" s="265"/>
      <c r="AC28" s="264"/>
      <c r="AD28" s="264"/>
      <c r="AE28" s="265"/>
      <c r="AF28" s="264"/>
      <c r="AG28" s="265"/>
      <c r="AH28" s="264"/>
      <c r="AI28" s="265"/>
      <c r="AJ28" s="264"/>
      <c r="AK28" s="265"/>
      <c r="AL28" s="264"/>
      <c r="AM28" s="265"/>
      <c r="AN28" s="264"/>
      <c r="AO28" s="265"/>
      <c r="AP28" s="264"/>
      <c r="AQ28" s="265"/>
      <c r="AR28" s="264"/>
      <c r="AS28" s="265"/>
      <c r="AT28" s="265"/>
      <c r="AU28" s="264"/>
      <c r="AV28" s="265"/>
      <c r="AW28" s="264"/>
      <c r="AX28" s="265"/>
      <c r="AY28" s="264"/>
      <c r="AZ28" s="265"/>
      <c r="BA28" s="264"/>
      <c r="BB28" s="265"/>
      <c r="BC28" s="264"/>
      <c r="BD28" s="265"/>
      <c r="BE28" s="264"/>
      <c r="BF28" s="265"/>
      <c r="BG28" s="264"/>
      <c r="BH28" s="265"/>
      <c r="BI28" s="264">
        <f t="shared" si="1"/>
        <v>0</v>
      </c>
      <c r="BJ28" s="268"/>
      <c r="BK28" s="269"/>
      <c r="BL28" s="269"/>
      <c r="BM28" s="270"/>
    </row>
    <row r="29" spans="1:65" s="282" customFormat="1" ht="72.75" thickBot="1" x14ac:dyDescent="0.3">
      <c r="A29" s="271" t="s">
        <v>54</v>
      </c>
      <c r="B29" s="279"/>
      <c r="C29" s="275"/>
      <c r="D29" s="274">
        <f>D21+D23+D25+D27</f>
        <v>0</v>
      </c>
      <c r="E29" s="275"/>
      <c r="F29" s="274">
        <f>F21+F23+F25+F27</f>
        <v>0</v>
      </c>
      <c r="G29" s="275"/>
      <c r="H29" s="274">
        <f>H21+H23+H25+H27</f>
        <v>0</v>
      </c>
      <c r="I29" s="275"/>
      <c r="J29" s="274">
        <f>J21+J23+J25+J27</f>
        <v>0</v>
      </c>
      <c r="K29" s="275"/>
      <c r="L29" s="274">
        <f>L21+L23+L25+L27</f>
        <v>0</v>
      </c>
      <c r="M29" s="275"/>
      <c r="N29" s="274">
        <f>N21+N23+N25+N27</f>
        <v>0</v>
      </c>
      <c r="O29" s="275"/>
      <c r="P29" s="274">
        <f>P21+P23+P25+P27</f>
        <v>0</v>
      </c>
      <c r="Q29" s="275"/>
      <c r="R29" s="274">
        <f>R21+R23+R25+R27</f>
        <v>0</v>
      </c>
      <c r="S29" s="275"/>
      <c r="T29" s="274">
        <f>T21+T23+T25+T27</f>
        <v>0</v>
      </c>
      <c r="U29" s="275"/>
      <c r="V29" s="274">
        <f>V21+V23+V25+V27</f>
        <v>0</v>
      </c>
      <c r="W29" s="275"/>
      <c r="X29" s="274">
        <f>X21+X23+X25+X27</f>
        <v>0</v>
      </c>
      <c r="Y29" s="275"/>
      <c r="Z29" s="275"/>
      <c r="AA29" s="274">
        <f>AA21+AA23+AA25+AA27</f>
        <v>0</v>
      </c>
      <c r="AB29" s="275"/>
      <c r="AC29" s="274">
        <f>AC21+AC23+AC25+AC27</f>
        <v>0</v>
      </c>
      <c r="AD29" s="274">
        <f>AD21+AD23+AD25+AD27</f>
        <v>0</v>
      </c>
      <c r="AE29" s="275"/>
      <c r="AF29" s="274">
        <f>AF21+AF23+AF25+AF27</f>
        <v>0</v>
      </c>
      <c r="AG29" s="275"/>
      <c r="AH29" s="274">
        <f>AH21+AH23+AH25+AH27</f>
        <v>0</v>
      </c>
      <c r="AI29" s="275"/>
      <c r="AJ29" s="274">
        <f>AJ21+AJ23+AJ25+AJ27</f>
        <v>0</v>
      </c>
      <c r="AK29" s="275"/>
      <c r="AL29" s="274">
        <f>AL21+AL23+AL25+AL27</f>
        <v>0</v>
      </c>
      <c r="AM29" s="275"/>
      <c r="AN29" s="274">
        <f>AN21+AN23+AN25+AN27</f>
        <v>0</v>
      </c>
      <c r="AO29" s="275"/>
      <c r="AP29" s="274">
        <f>AP21+AP23+AP25+AP27</f>
        <v>0</v>
      </c>
      <c r="AQ29" s="275"/>
      <c r="AR29" s="274">
        <f>AR21+AR23+AR25+AR27</f>
        <v>0</v>
      </c>
      <c r="AS29" s="275"/>
      <c r="AT29" s="275"/>
      <c r="AU29" s="274">
        <f>AU21+AU23+AU25+AU27</f>
        <v>0</v>
      </c>
      <c r="AV29" s="275"/>
      <c r="AW29" s="274">
        <f>AW21+AW23+AW25+AW27</f>
        <v>0</v>
      </c>
      <c r="AX29" s="275"/>
      <c r="AY29" s="274">
        <f>AY21+AY23+AY25+AY27</f>
        <v>0</v>
      </c>
      <c r="AZ29" s="275"/>
      <c r="BA29" s="274">
        <f>BA21+BA23+BA25+BA27</f>
        <v>0</v>
      </c>
      <c r="BB29" s="275"/>
      <c r="BC29" s="274">
        <f>BC21+BC23+BC25+BC27</f>
        <v>0</v>
      </c>
      <c r="BD29" s="275"/>
      <c r="BE29" s="274">
        <f>BE21+BE23+BE25+BE27</f>
        <v>0</v>
      </c>
      <c r="BF29" s="275"/>
      <c r="BG29" s="274">
        <f>BG21+BG23+BG25+BG27</f>
        <v>0</v>
      </c>
      <c r="BH29" s="275"/>
      <c r="BI29" s="274">
        <f t="shared" si="1"/>
        <v>0</v>
      </c>
      <c r="BJ29" s="275"/>
      <c r="BK29" s="276"/>
      <c r="BL29" s="276"/>
      <c r="BM29" s="270"/>
    </row>
    <row r="30" spans="1:65" s="282" customFormat="1" ht="18" x14ac:dyDescent="0.25">
      <c r="A30" s="258"/>
      <c r="B30" s="259"/>
      <c r="C30" s="268"/>
      <c r="D30" s="281"/>
      <c r="E30" s="265"/>
      <c r="F30" s="281"/>
      <c r="G30" s="265"/>
      <c r="H30" s="281"/>
      <c r="I30" s="265"/>
      <c r="J30" s="281"/>
      <c r="K30" s="265"/>
      <c r="L30" s="281"/>
      <c r="M30" s="265"/>
      <c r="N30" s="281"/>
      <c r="O30" s="265"/>
      <c r="P30" s="281"/>
      <c r="Q30" s="265"/>
      <c r="R30" s="281"/>
      <c r="S30" s="265"/>
      <c r="T30" s="281"/>
      <c r="U30" s="265"/>
      <c r="V30" s="281"/>
      <c r="W30" s="265"/>
      <c r="X30" s="281"/>
      <c r="Y30" s="265"/>
      <c r="Z30" s="265"/>
      <c r="AA30" s="281"/>
      <c r="AB30" s="265"/>
      <c r="AC30" s="281"/>
      <c r="AD30" s="281"/>
      <c r="AE30" s="265"/>
      <c r="AF30" s="281"/>
      <c r="AG30" s="265"/>
      <c r="AH30" s="281"/>
      <c r="AI30" s="265"/>
      <c r="AJ30" s="281"/>
      <c r="AK30" s="265"/>
      <c r="AL30" s="281"/>
      <c r="AM30" s="265"/>
      <c r="AN30" s="281"/>
      <c r="AO30" s="265"/>
      <c r="AP30" s="281"/>
      <c r="AQ30" s="265"/>
      <c r="AR30" s="281"/>
      <c r="AS30" s="265"/>
      <c r="AT30" s="265"/>
      <c r="AU30" s="281"/>
      <c r="AV30" s="265"/>
      <c r="AW30" s="281"/>
      <c r="AX30" s="265"/>
      <c r="AY30" s="281"/>
      <c r="AZ30" s="265"/>
      <c r="BA30" s="281"/>
      <c r="BB30" s="265"/>
      <c r="BC30" s="281"/>
      <c r="BD30" s="265"/>
      <c r="BE30" s="281"/>
      <c r="BF30" s="265"/>
      <c r="BG30" s="281"/>
      <c r="BH30" s="265"/>
      <c r="BJ30" s="268"/>
      <c r="BK30" s="269"/>
      <c r="BL30" s="269"/>
      <c r="BM30" s="270"/>
    </row>
    <row r="31" spans="1:65" s="282" customFormat="1" ht="28.5" customHeight="1" x14ac:dyDescent="0.3">
      <c r="A31" s="267" t="s">
        <v>21</v>
      </c>
      <c r="B31" s="262"/>
      <c r="C31" s="268"/>
      <c r="D31" s="264"/>
      <c r="E31" s="265"/>
      <c r="F31" s="264"/>
      <c r="G31" s="265"/>
      <c r="H31" s="264"/>
      <c r="I31" s="265"/>
      <c r="J31" s="264"/>
      <c r="K31" s="265"/>
      <c r="L31" s="700" t="s">
        <v>1342</v>
      </c>
      <c r="M31" s="265"/>
      <c r="N31" s="264"/>
      <c r="O31" s="265"/>
      <c r="P31" s="701" t="s">
        <v>1342</v>
      </c>
      <c r="Q31" s="265"/>
      <c r="R31" s="264"/>
      <c r="S31" s="265"/>
      <c r="T31" s="264"/>
      <c r="U31" s="265"/>
      <c r="V31" s="264"/>
      <c r="W31" s="265"/>
      <c r="X31" s="264"/>
      <c r="Y31" s="265"/>
      <c r="Z31" s="265"/>
      <c r="AA31" s="264"/>
      <c r="AB31" s="265"/>
      <c r="AC31" s="264"/>
      <c r="AD31" s="264"/>
      <c r="AE31" s="265"/>
      <c r="AF31" s="657"/>
      <c r="AG31" s="265"/>
      <c r="AH31" s="295" t="s">
        <v>798</v>
      </c>
      <c r="AI31" s="265"/>
      <c r="AJ31" s="295" t="s">
        <v>797</v>
      </c>
      <c r="AK31" s="265"/>
      <c r="AL31" s="295" t="s">
        <v>798</v>
      </c>
      <c r="AM31" s="265"/>
      <c r="AN31" s="702"/>
      <c r="AO31" s="265"/>
      <c r="AP31" s="295" t="s">
        <v>798</v>
      </c>
      <c r="AQ31" s="265"/>
      <c r="AR31" s="264"/>
      <c r="AS31" s="265"/>
      <c r="AT31" s="265"/>
      <c r="AU31" s="295" t="s">
        <v>798</v>
      </c>
      <c r="AV31" s="265"/>
      <c r="AW31" s="295" t="s">
        <v>797</v>
      </c>
      <c r="AX31" s="265"/>
      <c r="AY31" s="264"/>
      <c r="AZ31" s="265"/>
      <c r="BA31" s="264"/>
      <c r="BB31" s="265"/>
      <c r="BC31" s="295" t="s">
        <v>797</v>
      </c>
      <c r="BD31" s="265"/>
      <c r="BE31" s="295" t="s">
        <v>797</v>
      </c>
      <c r="BF31" s="265"/>
      <c r="BG31" s="295" t="s">
        <v>1453</v>
      </c>
      <c r="BH31" s="265"/>
      <c r="BI31" s="270"/>
      <c r="BJ31" s="268"/>
      <c r="BK31" s="269"/>
      <c r="BL31" s="269"/>
      <c r="BM31" s="270"/>
    </row>
    <row r="32" spans="1:65" s="282" customFormat="1" ht="21.75" customHeight="1" x14ac:dyDescent="0.25">
      <c r="A32" s="246" t="s">
        <v>22</v>
      </c>
      <c r="B32" s="262"/>
      <c r="C32" s="268"/>
      <c r="D32" s="264"/>
      <c r="E32" s="265"/>
      <c r="F32" s="264"/>
      <c r="G32" s="265"/>
      <c r="H32" s="264"/>
      <c r="I32" s="265"/>
      <c r="J32" s="264"/>
      <c r="K32" s="265"/>
      <c r="L32" s="281"/>
      <c r="M32" s="265"/>
      <c r="N32" s="264"/>
      <c r="O32" s="265"/>
      <c r="P32" s="264"/>
      <c r="Q32" s="265"/>
      <c r="R32" s="264"/>
      <c r="S32" s="265"/>
      <c r="T32" s="299" t="s">
        <v>46</v>
      </c>
      <c r="U32" s="265"/>
      <c r="V32" s="264"/>
      <c r="W32" s="265"/>
      <c r="X32" s="264"/>
      <c r="Y32" s="265"/>
      <c r="Z32" s="265"/>
      <c r="AA32" s="264"/>
      <c r="AB32" s="265"/>
      <c r="AC32" s="264"/>
      <c r="AD32" s="264"/>
      <c r="AE32" s="265"/>
      <c r="AF32" s="264"/>
      <c r="AG32" s="265"/>
      <c r="AH32" s="264"/>
      <c r="AI32" s="265"/>
      <c r="AJ32" s="270"/>
      <c r="AK32" s="265"/>
      <c r="AL32" s="264"/>
      <c r="AM32" s="265"/>
      <c r="AN32" s="270"/>
      <c r="AO32" s="265"/>
      <c r="AP32" s="270"/>
      <c r="AQ32" s="265"/>
      <c r="AR32" s="264"/>
      <c r="AS32" s="265"/>
      <c r="AT32" s="265"/>
      <c r="AU32" s="270"/>
      <c r="AV32" s="265"/>
      <c r="AW32" s="270"/>
      <c r="AX32" s="265"/>
      <c r="AY32" s="264"/>
      <c r="AZ32" s="265"/>
      <c r="BA32" s="264"/>
      <c r="BB32" s="265"/>
      <c r="BC32" s="270"/>
      <c r="BD32" s="265"/>
      <c r="BE32" s="264"/>
      <c r="BF32" s="265"/>
      <c r="BG32" s="264"/>
      <c r="BH32" s="265"/>
      <c r="BI32" s="270"/>
      <c r="BJ32" s="268"/>
      <c r="BK32" s="269"/>
      <c r="BL32" s="269"/>
      <c r="BM32" s="270"/>
    </row>
    <row r="33" spans="1:65" s="282" customFormat="1" ht="21.75" customHeight="1" x14ac:dyDescent="0.25">
      <c r="A33" s="246" t="s">
        <v>23</v>
      </c>
      <c r="B33" s="283" t="s">
        <v>1577</v>
      </c>
      <c r="C33" s="268"/>
      <c r="D33" s="703">
        <f>GenFundExp!B1079</f>
        <v>0</v>
      </c>
      <c r="E33" s="265"/>
      <c r="F33" s="704">
        <f>CharterFundExp!B1079</f>
        <v>0</v>
      </c>
      <c r="G33" s="265"/>
      <c r="H33" s="264"/>
      <c r="I33" s="265"/>
      <c r="J33" s="264">
        <f>'CPP Fund'!I28+'CPP Fund'!I29</f>
        <v>0</v>
      </c>
      <c r="K33" s="265"/>
      <c r="L33" s="281">
        <f>ARRAGrants!J170</f>
        <v>0</v>
      </c>
      <c r="M33" s="265"/>
      <c r="N33" s="264"/>
      <c r="O33" s="265"/>
      <c r="P33" s="264">
        <f>GovGrants!J170</f>
        <v>0</v>
      </c>
      <c r="Q33" s="265"/>
      <c r="R33" s="264">
        <f>SUM(PupActiv!I29:I30)</f>
        <v>0</v>
      </c>
      <c r="S33" s="265"/>
      <c r="T33" s="264">
        <f>FullDayKOverride!I25+FullDayKOverride!I26</f>
        <v>0</v>
      </c>
      <c r="U33" s="265"/>
      <c r="V33" s="264"/>
      <c r="W33" s="265"/>
      <c r="X33" s="264">
        <f>OthSpecRev!I26</f>
        <v>0</v>
      </c>
      <c r="Y33" s="265"/>
      <c r="Z33" s="265"/>
      <c r="AA33" s="264"/>
      <c r="AB33" s="265"/>
      <c r="AC33" s="264"/>
      <c r="AD33" s="264"/>
      <c r="AE33" s="265"/>
      <c r="AF33" s="264"/>
      <c r="AG33" s="265"/>
      <c r="AH33" s="264">
        <f>SpecBuild!I21</f>
        <v>0</v>
      </c>
      <c r="AI33" s="265"/>
      <c r="AJ33" s="264">
        <f>CapResCapPrj!I35</f>
        <v>0</v>
      </c>
      <c r="AK33" s="265"/>
      <c r="AL33" s="264">
        <f>OtherEnterprise!I26</f>
        <v>0</v>
      </c>
      <c r="AM33" s="265"/>
      <c r="AO33" s="265"/>
      <c r="AP33" s="264">
        <f>OtherInternal!I28</f>
        <v>0</v>
      </c>
      <c r="AQ33" s="265"/>
      <c r="AR33" s="264"/>
      <c r="AS33" s="265"/>
      <c r="AT33" s="265"/>
      <c r="AU33" s="264">
        <f>RiskRelated!I24</f>
        <v>0</v>
      </c>
      <c r="AV33" s="265"/>
      <c r="AW33" s="264">
        <f>'Trust&amp;Agency'!I23</f>
        <v>0</v>
      </c>
      <c r="AX33" s="265"/>
      <c r="AY33" s="264"/>
      <c r="AZ33" s="265"/>
      <c r="BA33" s="264"/>
      <c r="BB33" s="265"/>
      <c r="BC33" s="264">
        <f>'Trust&amp;Agency'!I24</f>
        <v>0</v>
      </c>
      <c r="BD33" s="265"/>
      <c r="BE33" s="264">
        <f>'Foundation Fund'!I23</f>
        <v>0</v>
      </c>
      <c r="BF33" s="265"/>
      <c r="BG33" s="656">
        <f>SUM(Arbitrage!G25:G28)</f>
        <v>0</v>
      </c>
      <c r="BH33" s="265"/>
      <c r="BI33" s="264">
        <f t="shared" ref="BI33:BI39" si="2">D33+F33+H33+J33+X33+N33+P33+R33+L33+T33+V33+AA33+AC33+AD33+AF33+AH33+AJ33+AL33+AN33+AP33+AR33+AU33+AW33+AY33+BA33+BC33+BE33+BG33</f>
        <v>0</v>
      </c>
      <c r="BJ33" s="268"/>
      <c r="BK33" s="269"/>
      <c r="BL33" s="269"/>
      <c r="BM33" s="270"/>
    </row>
    <row r="34" spans="1:65" s="282" customFormat="1" ht="21.75" customHeight="1" x14ac:dyDescent="0.25">
      <c r="A34" s="246" t="s">
        <v>24</v>
      </c>
      <c r="B34" s="283" t="s">
        <v>1578</v>
      </c>
      <c r="C34" s="268"/>
      <c r="D34" s="281">
        <f>GenFundExp!B1080</f>
        <v>0</v>
      </c>
      <c r="E34" s="265"/>
      <c r="F34" s="264">
        <f>CharterFundExp!B1080</f>
        <v>0</v>
      </c>
      <c r="G34" s="265"/>
      <c r="H34" s="264"/>
      <c r="I34" s="265"/>
      <c r="J34" s="264">
        <f>'CPP Fund'!I30+'CPP Fund'!I31</f>
        <v>0</v>
      </c>
      <c r="K34" s="265"/>
      <c r="L34" s="281"/>
      <c r="M34" s="265"/>
      <c r="N34" s="264"/>
      <c r="O34" s="265"/>
      <c r="P34" s="264"/>
      <c r="Q34" s="265"/>
      <c r="R34" s="264">
        <f>SUM(PupActiv!I31:I32)</f>
        <v>0</v>
      </c>
      <c r="S34" s="265"/>
      <c r="T34" s="264">
        <f>FullDayKOverride!I27+FullDayKOverride!I28</f>
        <v>0</v>
      </c>
      <c r="U34" s="265"/>
      <c r="V34" s="264"/>
      <c r="W34" s="265"/>
      <c r="X34" s="264">
        <f>OthSpecRev!I27</f>
        <v>0</v>
      </c>
      <c r="Y34" s="265"/>
      <c r="Z34" s="265"/>
      <c r="AA34" s="264"/>
      <c r="AB34" s="265"/>
      <c r="AC34" s="264"/>
      <c r="AD34" s="264"/>
      <c r="AE34" s="265"/>
      <c r="AF34" s="264"/>
      <c r="AG34" s="265"/>
      <c r="AH34" s="264"/>
      <c r="AI34" s="265"/>
      <c r="AJ34" s="264">
        <f>CapResCapPrj!I36</f>
        <v>0</v>
      </c>
      <c r="AK34" s="265"/>
      <c r="AL34" s="264">
        <f>OtherEnterprise!I27</f>
        <v>0</v>
      </c>
      <c r="AM34" s="265"/>
      <c r="AO34" s="265"/>
      <c r="AP34" s="264">
        <f>OtherInternal!I29</f>
        <v>0</v>
      </c>
      <c r="AQ34" s="265"/>
      <c r="AR34" s="264"/>
      <c r="AS34" s="265"/>
      <c r="AT34" s="265"/>
      <c r="AU34" s="264">
        <f>RiskRelated!I25</f>
        <v>0</v>
      </c>
      <c r="AV34" s="265"/>
      <c r="AW34" s="264">
        <f>'Trust&amp;Agency'!I24</f>
        <v>0</v>
      </c>
      <c r="AX34" s="265"/>
      <c r="AY34" s="264"/>
      <c r="AZ34" s="265"/>
      <c r="BA34" s="264"/>
      <c r="BB34" s="265"/>
      <c r="BC34" s="264">
        <f>PupilActAgency!I25</f>
        <v>0</v>
      </c>
      <c r="BD34" s="265"/>
      <c r="BE34" s="264">
        <f>'Foundation Fund'!I24</f>
        <v>0</v>
      </c>
      <c r="BF34" s="265"/>
      <c r="BG34" s="264"/>
      <c r="BH34" s="265"/>
      <c r="BI34" s="264">
        <f t="shared" si="2"/>
        <v>0</v>
      </c>
      <c r="BJ34" s="268"/>
      <c r="BK34" s="269"/>
      <c r="BL34" s="269"/>
      <c r="BM34" s="270"/>
    </row>
    <row r="35" spans="1:65" s="282" customFormat="1" ht="36" x14ac:dyDescent="0.25">
      <c r="A35" s="246" t="s">
        <v>25</v>
      </c>
      <c r="B35" s="283" t="s">
        <v>897</v>
      </c>
      <c r="C35" s="268"/>
      <c r="D35" s="703">
        <f>SUM(GenFundExp!B1081+GenFundExp!B1082+GenFundExp!B1083+GenFundExp!B1084+GenFundExp!B1085+GenFundExp!B1086+GenFundExp!B1087+GenFundExp!B1088+GenFundExp!B1089+GenFundExp!B1090+GenFundExp!B1091+GenFundExp!B1092+GenFundExp!B1093+GenFundExp!B1094+GenFundExp!B1095+GenFundExp!B1096+GenFundExp!B1097+GenFundExp!B1098+GenFundExp!B1099+GenFundExp!B1100)</f>
        <v>0</v>
      </c>
      <c r="E35" s="265"/>
      <c r="F35" s="704">
        <f>SUM(CharterFundExp!B1081+CharterFundExp!B1082+CharterFundExp!B1083+CharterFundExp!B1084+CharterFundExp!B1085+CharterFundExp!B1086+CharterFundExp!B1087+CharterFundExp!B1088+CharterFundExp!B1089+CharterFundExp!B1090+CharterFundExp!B1091+CharterFundExp!B1092+CharterFundExp!B1093+CharterFundExp!B1094+CharterFundExp!B1095+CharterFundExp!B1096+CharterFundExp!B1097+CharterFundExp!B1098+CharterFundExp!B1099+CharterFundExp!B1100)</f>
        <v>0</v>
      </c>
      <c r="G35" s="265"/>
      <c r="H35" s="264"/>
      <c r="I35" s="265"/>
      <c r="J35" s="264">
        <f>SUM('CPP Fund'!I32:I49)</f>
        <v>0</v>
      </c>
      <c r="K35" s="265"/>
      <c r="L35" s="281"/>
      <c r="M35" s="265"/>
      <c r="N35" s="264"/>
      <c r="O35" s="265"/>
      <c r="P35" s="264"/>
      <c r="Q35" s="265"/>
      <c r="R35" s="264">
        <f>SUM(PupActiv!I33:I35)</f>
        <v>0</v>
      </c>
      <c r="S35" s="265"/>
      <c r="T35" s="264">
        <f>SUM(FullDayKOverride!I29:I31)</f>
        <v>0</v>
      </c>
      <c r="U35" s="265"/>
      <c r="V35" s="264"/>
      <c r="W35" s="265"/>
      <c r="X35" s="264">
        <f>SUM(OthSpecRev!I28:I30)</f>
        <v>0</v>
      </c>
      <c r="Y35" s="265"/>
      <c r="Z35" s="265"/>
      <c r="AA35" s="264"/>
      <c r="AB35" s="265"/>
      <c r="AC35" s="264"/>
      <c r="AD35" s="264"/>
      <c r="AE35" s="265"/>
      <c r="AF35" s="264"/>
      <c r="AG35" s="265"/>
      <c r="AH35" s="264">
        <f>SpecBuild!I22</f>
        <v>0</v>
      </c>
      <c r="AI35" s="265"/>
      <c r="AJ35" s="264">
        <f>SUM(CapResCapPrj!I37:I39)</f>
        <v>0</v>
      </c>
      <c r="AK35" s="265"/>
      <c r="AL35" s="264">
        <f>SUM(OtherEnterprise!I28:I30)</f>
        <v>0</v>
      </c>
      <c r="AM35" s="265"/>
      <c r="AO35" s="265"/>
      <c r="AP35" s="264">
        <f>SUM(OtherInternal!I30:I32)</f>
        <v>0</v>
      </c>
      <c r="AQ35" s="265"/>
      <c r="AR35" s="264"/>
      <c r="AS35" s="265"/>
      <c r="AT35" s="265"/>
      <c r="AU35" s="264">
        <f>SUM(RiskRelated!I26:I28)</f>
        <v>0</v>
      </c>
      <c r="AV35" s="265"/>
      <c r="AW35" s="264">
        <f>SUM('Trust&amp;Agency'!I25+'Trust&amp;Agency'!I26+'Trust&amp;Agency'!I27)</f>
        <v>0</v>
      </c>
      <c r="AX35" s="265"/>
      <c r="AY35" s="264"/>
      <c r="AZ35" s="265"/>
      <c r="BA35" s="264"/>
      <c r="BB35" s="265"/>
      <c r="BC35" s="264">
        <f>SUM(PupilActAgency!I26+PupilActAgency!I27+PupilActAgency!I28)</f>
        <v>0</v>
      </c>
      <c r="BD35" s="265"/>
      <c r="BE35" s="264">
        <f>SUM('Foundation Fund'!I25+'Foundation Fund'!I26+'Foundation Fund'!I27)</f>
        <v>0</v>
      </c>
      <c r="BF35" s="265"/>
      <c r="BG35" s="264"/>
      <c r="BH35" s="265"/>
      <c r="BI35" s="264">
        <f t="shared" si="2"/>
        <v>0</v>
      </c>
      <c r="BJ35" s="268"/>
      <c r="BK35" s="269"/>
      <c r="BL35" s="269"/>
      <c r="BM35" s="270"/>
    </row>
    <row r="36" spans="1:65" s="282" customFormat="1" ht="21.75" customHeight="1" x14ac:dyDescent="0.25">
      <c r="A36" s="246" t="s">
        <v>898</v>
      </c>
      <c r="B36" s="283" t="s">
        <v>1582</v>
      </c>
      <c r="C36" s="268"/>
      <c r="D36" s="281">
        <f>GenFundExp!B1101+GenFundExp!B1102</f>
        <v>0</v>
      </c>
      <c r="E36" s="265"/>
      <c r="F36" s="264">
        <f>CharterFundExp!B1101+CharterFundExp!B1102</f>
        <v>0</v>
      </c>
      <c r="G36" s="265"/>
      <c r="H36" s="264"/>
      <c r="I36" s="265"/>
      <c r="J36" s="264">
        <f>SUM('CPP Fund'!I50:I51)</f>
        <v>0</v>
      </c>
      <c r="K36" s="265"/>
      <c r="L36" s="281"/>
      <c r="M36" s="265"/>
      <c r="N36" s="264"/>
      <c r="O36" s="265"/>
      <c r="P36" s="264"/>
      <c r="Q36" s="265"/>
      <c r="R36" s="264">
        <f>PupActiv!I36</f>
        <v>0</v>
      </c>
      <c r="S36" s="265"/>
      <c r="T36" s="264">
        <f>FullDayKOverride!I32</f>
        <v>0</v>
      </c>
      <c r="U36" s="265"/>
      <c r="V36" s="264"/>
      <c r="W36" s="265"/>
      <c r="X36" s="264">
        <f>OthSpecRev!I31</f>
        <v>0</v>
      </c>
      <c r="Y36" s="265"/>
      <c r="Z36" s="265"/>
      <c r="AA36" s="264"/>
      <c r="AB36" s="265"/>
      <c r="AC36" s="264"/>
      <c r="AD36" s="264"/>
      <c r="AE36" s="265"/>
      <c r="AF36" s="264"/>
      <c r="AG36" s="265"/>
      <c r="AH36" s="264">
        <f>SpecBuild!I23</f>
        <v>0</v>
      </c>
      <c r="AI36" s="265"/>
      <c r="AJ36" s="264">
        <f>CapResCapPrj!I40</f>
        <v>0</v>
      </c>
      <c r="AK36" s="265"/>
      <c r="AL36" s="264">
        <f>OtherEnterprise!I31</f>
        <v>0</v>
      </c>
      <c r="AM36" s="265"/>
      <c r="AO36" s="265"/>
      <c r="AP36" s="264">
        <f>OtherInternal!I33</f>
        <v>0</v>
      </c>
      <c r="AQ36" s="265"/>
      <c r="AR36" s="264"/>
      <c r="AS36" s="265"/>
      <c r="AT36" s="265"/>
      <c r="AU36" s="264">
        <f>RiskRelated!I29</f>
        <v>0</v>
      </c>
      <c r="AV36" s="265"/>
      <c r="AW36" s="264">
        <f>'Trust&amp;Agency'!I28</f>
        <v>0</v>
      </c>
      <c r="AX36" s="265"/>
      <c r="AY36" s="264"/>
      <c r="AZ36" s="265"/>
      <c r="BA36" s="264"/>
      <c r="BB36" s="265"/>
      <c r="BC36" s="264">
        <f>PupilActAgency!I29</f>
        <v>0</v>
      </c>
      <c r="BD36" s="265"/>
      <c r="BE36" s="264">
        <f>'Foundation Fund'!I28</f>
        <v>0</v>
      </c>
      <c r="BF36" s="265"/>
      <c r="BG36" s="264"/>
      <c r="BH36" s="265"/>
      <c r="BI36" s="264">
        <f t="shared" si="2"/>
        <v>0</v>
      </c>
      <c r="BJ36" s="268"/>
      <c r="BK36" s="269"/>
      <c r="BL36" s="269"/>
      <c r="BM36" s="270"/>
    </row>
    <row r="37" spans="1:65" s="282" customFormat="1" ht="21.75" customHeight="1" x14ac:dyDescent="0.25">
      <c r="A37" s="246" t="s">
        <v>899</v>
      </c>
      <c r="B37" s="283" t="s">
        <v>1583</v>
      </c>
      <c r="C37" s="268"/>
      <c r="D37" s="281">
        <f>GenFundExp!B1103+GenFundExp!B1104+GenFundExp!B1105+GenFundExp!B1106+GenFundExp!B1107</f>
        <v>0</v>
      </c>
      <c r="E37" s="265"/>
      <c r="F37" s="264">
        <f>CharterFundExp!B1103+CharterFundExp!B1104+CharterFundExp!B1105+CharterFundExp!B1106+CharterFundExp!B1107</f>
        <v>0</v>
      </c>
      <c r="G37" s="265"/>
      <c r="H37" s="264"/>
      <c r="I37" s="265"/>
      <c r="J37" s="264">
        <f>SUM('CPP Fund'!I52:I55)</f>
        <v>0</v>
      </c>
      <c r="K37" s="265"/>
      <c r="L37" s="281"/>
      <c r="M37" s="265"/>
      <c r="N37" s="264">
        <f>SUM(CapRes!I35:I43)</f>
        <v>0</v>
      </c>
      <c r="O37" s="265"/>
      <c r="P37" s="264"/>
      <c r="Q37" s="265"/>
      <c r="R37" s="264">
        <f>SUM(PupActiv!I37:I38)</f>
        <v>0</v>
      </c>
      <c r="S37" s="265"/>
      <c r="T37" s="264">
        <f>SUM(FullDayKOverride!I33:I35)</f>
        <v>0</v>
      </c>
      <c r="U37" s="265"/>
      <c r="V37" s="264"/>
      <c r="W37" s="265"/>
      <c r="X37" s="264">
        <f>SUM(OthSpecRev!I32+OthSpecRev!I33)</f>
        <v>0</v>
      </c>
      <c r="Y37" s="265"/>
      <c r="Z37" s="265"/>
      <c r="AA37" s="264"/>
      <c r="AB37" s="265"/>
      <c r="AC37" s="264"/>
      <c r="AD37" s="264"/>
      <c r="AE37" s="265"/>
      <c r="AF37" s="264"/>
      <c r="AG37" s="265"/>
      <c r="AH37" s="264">
        <f>SUM(SpecBuild!I24:I27)</f>
        <v>0</v>
      </c>
      <c r="AI37" s="265"/>
      <c r="AJ37" s="264">
        <f>SUM(CapResCapPrj!I41:I48)</f>
        <v>0</v>
      </c>
      <c r="AK37" s="265"/>
      <c r="AL37" s="264">
        <f>SUM(OtherEnterprise!I32:I33)</f>
        <v>0</v>
      </c>
      <c r="AM37" s="265"/>
      <c r="AO37" s="265"/>
      <c r="AP37" s="264">
        <f>SUM(OtherInternal!I34:I35)</f>
        <v>0</v>
      </c>
      <c r="AQ37" s="265"/>
      <c r="AR37" s="264"/>
      <c r="AS37" s="265"/>
      <c r="AT37" s="265"/>
      <c r="AU37" s="264">
        <f>SUM(RiskRelated!I30:I31)</f>
        <v>0</v>
      </c>
      <c r="AV37" s="265"/>
      <c r="AW37" s="264">
        <f>SUM('Trust&amp;Agency'!I29+'Trust&amp;Agency'!I30)</f>
        <v>0</v>
      </c>
      <c r="AX37" s="265"/>
      <c r="AY37" s="264"/>
      <c r="AZ37" s="265"/>
      <c r="BA37" s="264"/>
      <c r="BB37" s="265"/>
      <c r="BC37" s="264">
        <f>SUM(PupilActAgency!I30+PupilActAgency!I31)</f>
        <v>0</v>
      </c>
      <c r="BD37" s="265"/>
      <c r="BE37" s="264">
        <f>SUM('Foundation Fund'!I29+'Foundation Fund'!I30)</f>
        <v>0</v>
      </c>
      <c r="BF37" s="265"/>
      <c r="BG37" s="264"/>
      <c r="BH37" s="265"/>
      <c r="BI37" s="264">
        <f t="shared" si="2"/>
        <v>0</v>
      </c>
      <c r="BJ37" s="268"/>
      <c r="BK37" s="269"/>
      <c r="BL37" s="269"/>
      <c r="BM37" s="270"/>
    </row>
    <row r="38" spans="1:65" s="282" customFormat="1" ht="21.75" customHeight="1" thickBot="1" x14ac:dyDescent="0.3">
      <c r="A38" s="246" t="s">
        <v>900</v>
      </c>
      <c r="B38" s="283" t="s">
        <v>901</v>
      </c>
      <c r="C38" s="265"/>
      <c r="D38" s="281">
        <f>GenFundExp!B1108+GenFundExp!B1109+GenFundExp!B1110+GenFundExp!B1111</f>
        <v>0</v>
      </c>
      <c r="E38" s="265"/>
      <c r="F38" s="264">
        <f>CharterFundExp!B1108+CharterFundExp!B1109+CharterFundExp!B1110+CharterFundExp!B1111</f>
        <v>0</v>
      </c>
      <c r="G38" s="265"/>
      <c r="H38" s="264"/>
      <c r="I38" s="265"/>
      <c r="J38" s="264">
        <f>SUM('CPP Fund'!I56:I59)</f>
        <v>0</v>
      </c>
      <c r="K38" s="265"/>
      <c r="L38" s="281"/>
      <c r="M38" s="265"/>
      <c r="N38" s="264">
        <f>CapRes!I44</f>
        <v>0</v>
      </c>
      <c r="O38" s="265"/>
      <c r="P38" s="264"/>
      <c r="Q38" s="265"/>
      <c r="R38" s="264">
        <f>PupActiv!I39</f>
        <v>0</v>
      </c>
      <c r="S38" s="265"/>
      <c r="T38" s="264">
        <f>FullDayKOverride!I36</f>
        <v>0</v>
      </c>
      <c r="U38" s="265"/>
      <c r="V38" s="264"/>
      <c r="W38" s="265"/>
      <c r="X38" s="264">
        <f>SUM(OthSpecRev!I34)</f>
        <v>0</v>
      </c>
      <c r="Y38" s="265"/>
      <c r="Z38" s="265"/>
      <c r="AA38" s="264"/>
      <c r="AB38" s="265"/>
      <c r="AC38" s="264"/>
      <c r="AD38" s="264"/>
      <c r="AE38" s="265"/>
      <c r="AF38" s="264"/>
      <c r="AG38" s="265"/>
      <c r="AH38" s="264">
        <f>SpecBuild!I28</f>
        <v>0</v>
      </c>
      <c r="AI38" s="265"/>
      <c r="AJ38" s="264">
        <f>CapResCapPrj!I49</f>
        <v>0</v>
      </c>
      <c r="AK38" s="265"/>
      <c r="AL38" s="264">
        <f>+OtherEnterprise!I34+OtherEnterprise!I35</f>
        <v>0</v>
      </c>
      <c r="AM38" s="265"/>
      <c r="AO38" s="265"/>
      <c r="AP38" s="264">
        <f>SUM(OtherInternal!I36:I37)</f>
        <v>0</v>
      </c>
      <c r="AQ38" s="265"/>
      <c r="AR38" s="264"/>
      <c r="AS38" s="265"/>
      <c r="AT38" s="265"/>
      <c r="AU38" s="264">
        <f>+RiskRelated!I32+RiskRelated!I33</f>
        <v>0</v>
      </c>
      <c r="AV38" s="265"/>
      <c r="AW38" s="264">
        <f>'Trust&amp;Agency'!I31</f>
        <v>0</v>
      </c>
      <c r="AX38" s="265"/>
      <c r="AY38" s="264"/>
      <c r="AZ38" s="265"/>
      <c r="BA38" s="264"/>
      <c r="BB38" s="265"/>
      <c r="BC38" s="264">
        <f>PupilActAgency!I32</f>
        <v>0</v>
      </c>
      <c r="BD38" s="265"/>
      <c r="BE38" s="264">
        <f>'Foundation Fund'!I31</f>
        <v>0</v>
      </c>
      <c r="BF38" s="265"/>
      <c r="BG38" s="264"/>
      <c r="BH38" s="265"/>
      <c r="BI38" s="264">
        <f t="shared" si="2"/>
        <v>0</v>
      </c>
      <c r="BJ38" s="265"/>
      <c r="BK38" s="269"/>
      <c r="BL38" s="269"/>
      <c r="BM38" s="270"/>
    </row>
    <row r="39" spans="1:65" s="282" customFormat="1" ht="21.75" customHeight="1" thickBot="1" x14ac:dyDescent="0.3">
      <c r="A39" s="271" t="s">
        <v>902</v>
      </c>
      <c r="B39" s="279"/>
      <c r="C39" s="275"/>
      <c r="D39" s="274">
        <f>SUM(D33:D38)</f>
        <v>0</v>
      </c>
      <c r="E39" s="275"/>
      <c r="F39" s="274">
        <f>SUM(F33:F38)</f>
        <v>0</v>
      </c>
      <c r="G39" s="275"/>
      <c r="H39" s="274">
        <f>SUM(H33:H38)</f>
        <v>0</v>
      </c>
      <c r="I39" s="275"/>
      <c r="J39" s="274">
        <f>SUM(J33:J38)</f>
        <v>0</v>
      </c>
      <c r="K39" s="275"/>
      <c r="L39" s="274">
        <f>SUM(L33:L38)</f>
        <v>0</v>
      </c>
      <c r="M39" s="275"/>
      <c r="N39" s="274">
        <f>SUM(N33:N38)</f>
        <v>0</v>
      </c>
      <c r="O39" s="275"/>
      <c r="P39" s="274">
        <f>SUM(P33:P38)</f>
        <v>0</v>
      </c>
      <c r="Q39" s="275"/>
      <c r="R39" s="274">
        <f>SUM(R33:R38)</f>
        <v>0</v>
      </c>
      <c r="S39" s="275"/>
      <c r="T39" s="274">
        <f>SUM(T33:T38)</f>
        <v>0</v>
      </c>
      <c r="U39" s="275"/>
      <c r="V39" s="274">
        <f>SUM(V33:V38)</f>
        <v>0</v>
      </c>
      <c r="W39" s="275"/>
      <c r="X39" s="274">
        <f>SUM(X33:X38)</f>
        <v>0</v>
      </c>
      <c r="Y39" s="275"/>
      <c r="Z39" s="275"/>
      <c r="AA39" s="274">
        <f>SUM(AA33:AA38)</f>
        <v>0</v>
      </c>
      <c r="AB39" s="275"/>
      <c r="AC39" s="274">
        <f>SUM(AC33:AC38)</f>
        <v>0</v>
      </c>
      <c r="AD39" s="274">
        <f>SUM(AD33:AD38)</f>
        <v>0</v>
      </c>
      <c r="AE39" s="275"/>
      <c r="AF39" s="274">
        <f>SUM(AF33:AF38)</f>
        <v>0</v>
      </c>
      <c r="AG39" s="275"/>
      <c r="AH39" s="274">
        <f>SUM(AH33:AH38)</f>
        <v>0</v>
      </c>
      <c r="AI39" s="275"/>
      <c r="AJ39" s="274">
        <f>SUM(AJ33:AJ38)</f>
        <v>0</v>
      </c>
      <c r="AK39" s="275"/>
      <c r="AL39" s="274">
        <f>SUM(AL33:AL38)</f>
        <v>0</v>
      </c>
      <c r="AM39" s="275"/>
      <c r="AN39" s="274">
        <f>SUM(AN33:AN38)</f>
        <v>0</v>
      </c>
      <c r="AO39" s="275"/>
      <c r="AP39" s="274">
        <f>SUM(AP33:AP38)</f>
        <v>0</v>
      </c>
      <c r="AQ39" s="275"/>
      <c r="AR39" s="274">
        <f>SUM(AR33:AR38)</f>
        <v>0</v>
      </c>
      <c r="AS39" s="275"/>
      <c r="AT39" s="275"/>
      <c r="AU39" s="274">
        <f>SUM(AU33:AU38)</f>
        <v>0</v>
      </c>
      <c r="AV39" s="275"/>
      <c r="AW39" s="274">
        <f>SUM(AW33:AW38)</f>
        <v>0</v>
      </c>
      <c r="AX39" s="275"/>
      <c r="AY39" s="274">
        <f>SUM(AY33:AY38)</f>
        <v>0</v>
      </c>
      <c r="AZ39" s="275"/>
      <c r="BA39" s="274">
        <f>SUM(BA33:BA38)</f>
        <v>0</v>
      </c>
      <c r="BB39" s="275"/>
      <c r="BC39" s="274">
        <f>SUM(BC33:BC38)</f>
        <v>0</v>
      </c>
      <c r="BD39" s="275"/>
      <c r="BE39" s="274">
        <f>SUM(BE33:BE38)</f>
        <v>0</v>
      </c>
      <c r="BF39" s="275"/>
      <c r="BG39" s="274">
        <f>SUM(BG33:BG38)</f>
        <v>0</v>
      </c>
      <c r="BH39" s="275"/>
      <c r="BI39" s="274">
        <f t="shared" si="2"/>
        <v>0</v>
      </c>
      <c r="BJ39" s="275"/>
      <c r="BK39" s="276"/>
      <c r="BL39" s="276"/>
      <c r="BM39" s="270"/>
    </row>
    <row r="40" spans="1:65" s="282" customFormat="1" ht="21.75" customHeight="1" x14ac:dyDescent="0.25">
      <c r="A40" s="246" t="s">
        <v>903</v>
      </c>
      <c r="B40" s="262"/>
      <c r="C40" s="268"/>
      <c r="D40" s="264"/>
      <c r="E40" s="265"/>
      <c r="F40" s="264"/>
      <c r="G40" s="265"/>
      <c r="H40" s="264"/>
      <c r="I40" s="265"/>
      <c r="J40" s="270"/>
      <c r="K40" s="265"/>
      <c r="L40" s="281"/>
      <c r="M40" s="265"/>
      <c r="N40" s="264"/>
      <c r="O40" s="265"/>
      <c r="P40" s="264"/>
      <c r="Q40" s="265"/>
      <c r="R40" s="264"/>
      <c r="S40" s="265"/>
      <c r="T40" s="264"/>
      <c r="U40" s="265"/>
      <c r="V40" s="264"/>
      <c r="W40" s="265"/>
      <c r="X40" s="270"/>
      <c r="Y40" s="265"/>
      <c r="Z40" s="265"/>
      <c r="AA40" s="264"/>
      <c r="AB40" s="265"/>
      <c r="AC40" s="264"/>
      <c r="AD40" s="264"/>
      <c r="AE40" s="265"/>
      <c r="AF40" s="264"/>
      <c r="AG40" s="265"/>
      <c r="AH40" s="264"/>
      <c r="AI40" s="265"/>
      <c r="AJ40" s="264"/>
      <c r="AK40" s="265"/>
      <c r="AL40" s="264"/>
      <c r="AM40" s="265"/>
      <c r="AN40" s="264"/>
      <c r="AO40" s="265"/>
      <c r="AP40" s="264"/>
      <c r="AQ40" s="265"/>
      <c r="AR40" s="264"/>
      <c r="AS40" s="265"/>
      <c r="AT40" s="265"/>
      <c r="AU40" s="264"/>
      <c r="AV40" s="265"/>
      <c r="AW40" s="270"/>
      <c r="AX40" s="265"/>
      <c r="AY40" s="264"/>
      <c r="AZ40" s="265"/>
      <c r="BA40" s="264"/>
      <c r="BB40" s="265"/>
      <c r="BC40" s="264"/>
      <c r="BD40" s="265"/>
      <c r="BE40" s="264"/>
      <c r="BF40" s="265"/>
      <c r="BG40" s="264"/>
      <c r="BH40" s="265"/>
      <c r="BI40" s="270"/>
      <c r="BJ40" s="268"/>
      <c r="BK40" s="269"/>
      <c r="BL40" s="269"/>
      <c r="BM40" s="270"/>
    </row>
    <row r="41" spans="1:65" s="282" customFormat="1" ht="21.75" customHeight="1" x14ac:dyDescent="0.25">
      <c r="A41" s="246" t="s">
        <v>904</v>
      </c>
      <c r="B41" s="262"/>
      <c r="C41" s="268"/>
      <c r="D41" s="264"/>
      <c r="E41" s="265"/>
      <c r="F41" s="264"/>
      <c r="G41" s="265"/>
      <c r="H41" s="264"/>
      <c r="I41" s="265"/>
      <c r="J41" s="299" t="s">
        <v>1340</v>
      </c>
      <c r="K41" s="265"/>
      <c r="L41" s="281"/>
      <c r="M41" s="265"/>
      <c r="N41" s="299" t="s">
        <v>1341</v>
      </c>
      <c r="O41" s="265"/>
      <c r="P41" s="264"/>
      <c r="Q41" s="265"/>
      <c r="R41" s="299" t="s">
        <v>1343</v>
      </c>
      <c r="S41" s="265"/>
      <c r="T41" s="299"/>
      <c r="U41" s="265"/>
      <c r="V41" s="299" t="s">
        <v>1344</v>
      </c>
      <c r="W41" s="265"/>
      <c r="X41" s="299" t="s">
        <v>1340</v>
      </c>
      <c r="Y41" s="265"/>
      <c r="Z41" s="265"/>
      <c r="AA41" s="264"/>
      <c r="AB41" s="265"/>
      <c r="AC41" s="264"/>
      <c r="AD41" s="264"/>
      <c r="AE41" s="265"/>
      <c r="AF41" s="264"/>
      <c r="AG41" s="265"/>
      <c r="AH41" s="264"/>
      <c r="AI41" s="265"/>
      <c r="AJ41" s="294" t="s">
        <v>1341</v>
      </c>
      <c r="AK41" s="265"/>
      <c r="AL41" s="264"/>
      <c r="AM41" s="265"/>
      <c r="AN41" s="264"/>
      <c r="AO41" s="265"/>
      <c r="AP41" s="294"/>
      <c r="AQ41" s="265"/>
      <c r="AR41" s="264"/>
      <c r="AS41" s="265"/>
      <c r="AT41" s="265"/>
      <c r="AU41" s="264"/>
      <c r="AV41" s="265"/>
      <c r="AW41" s="295" t="s">
        <v>167</v>
      </c>
      <c r="AX41" s="265"/>
      <c r="AY41" s="264"/>
      <c r="AZ41" s="265"/>
      <c r="BA41" s="264"/>
      <c r="BB41" s="265"/>
      <c r="BC41" s="295" t="s">
        <v>167</v>
      </c>
      <c r="BD41" s="265"/>
      <c r="BE41" s="295" t="s">
        <v>167</v>
      </c>
      <c r="BF41" s="265"/>
      <c r="BG41" s="657"/>
      <c r="BH41" s="265"/>
      <c r="BI41" s="270"/>
      <c r="BJ41" s="268"/>
      <c r="BK41" s="269"/>
      <c r="BL41" s="269"/>
      <c r="BM41" s="270"/>
    </row>
    <row r="42" spans="1:65" s="282" customFormat="1" ht="21.75" customHeight="1" x14ac:dyDescent="0.25">
      <c r="A42" s="246" t="s">
        <v>23</v>
      </c>
      <c r="B42" s="283" t="s">
        <v>1577</v>
      </c>
      <c r="C42" s="268"/>
      <c r="D42" s="264">
        <f>GenFundExp2!I10+GenFundExp2!I11</f>
        <v>0</v>
      </c>
      <c r="E42" s="265"/>
      <c r="F42" s="264">
        <f>CharterFundExp2!I10+CharterFundExp2!I11</f>
        <v>0</v>
      </c>
      <c r="G42" s="265"/>
      <c r="H42" s="264"/>
      <c r="I42" s="265"/>
      <c r="J42" s="264">
        <f>'CPP Fund'!I75+'CPP Fund'!I76</f>
        <v>0</v>
      </c>
      <c r="K42" s="265"/>
      <c r="L42" s="281"/>
      <c r="M42" s="265"/>
      <c r="N42" s="264"/>
      <c r="O42" s="265"/>
      <c r="P42" s="264"/>
      <c r="Q42" s="265"/>
      <c r="R42" s="264">
        <f>PupActiv!I44</f>
        <v>0</v>
      </c>
      <c r="S42" s="265"/>
      <c r="T42" s="264"/>
      <c r="U42" s="265"/>
      <c r="V42" s="264">
        <f>Transp!I26</f>
        <v>0</v>
      </c>
      <c r="W42" s="265"/>
      <c r="X42" s="264">
        <f>OthSpecRev!I39</f>
        <v>0</v>
      </c>
      <c r="Y42" s="265"/>
      <c r="Z42" s="265"/>
      <c r="AA42" s="264"/>
      <c r="AB42" s="265"/>
      <c r="AC42" s="264"/>
      <c r="AD42" s="264"/>
      <c r="AE42" s="265"/>
      <c r="AF42" s="264"/>
      <c r="AG42" s="265"/>
      <c r="AH42" s="264"/>
      <c r="AI42" s="265"/>
      <c r="AJ42" s="264">
        <f>CapResCapPrj!I54</f>
        <v>0</v>
      </c>
      <c r="AK42" s="265"/>
      <c r="AL42" s="264"/>
      <c r="AM42" s="265"/>
      <c r="AN42" s="264"/>
      <c r="AO42" s="265"/>
      <c r="AP42" s="264"/>
      <c r="AQ42" s="265"/>
      <c r="AR42" s="264"/>
      <c r="AS42" s="265"/>
      <c r="AT42" s="265"/>
      <c r="AU42" s="264"/>
      <c r="AV42" s="265"/>
      <c r="AW42" s="264">
        <f>'Trust&amp;Agency'!I36</f>
        <v>0</v>
      </c>
      <c r="AX42" s="265"/>
      <c r="AY42" s="264"/>
      <c r="AZ42" s="265"/>
      <c r="BA42" s="264"/>
      <c r="BB42" s="265"/>
      <c r="BC42" s="264">
        <f>PupilActAgency!I37</f>
        <v>0</v>
      </c>
      <c r="BD42" s="265"/>
      <c r="BE42" s="264">
        <f>'Foundation Fund'!I36</f>
        <v>0</v>
      </c>
      <c r="BF42" s="265"/>
      <c r="BG42" s="264"/>
      <c r="BH42" s="265"/>
      <c r="BI42" s="264">
        <f t="shared" ref="BI42:BI48" si="3">D42+F42+H42+J42+X42+N42+P42+R42+L42+T42+V42+AA42+AC42+AD42+AF42+AH42+AJ42+AL42+AN42+AP42+AR42+AU42+AW42+AY42+BA42+BC42+BE42+BG42</f>
        <v>0</v>
      </c>
      <c r="BJ42" s="268"/>
      <c r="BK42" s="269"/>
      <c r="BL42" s="269"/>
      <c r="BM42" s="270"/>
    </row>
    <row r="43" spans="1:65" s="282" customFormat="1" ht="18" x14ac:dyDescent="0.25">
      <c r="A43" s="246" t="s">
        <v>24</v>
      </c>
      <c r="B43" s="283" t="s">
        <v>1578</v>
      </c>
      <c r="C43" s="268"/>
      <c r="D43" s="264">
        <f>GenFundExp2!I12+GenFundExp2!I13</f>
        <v>0</v>
      </c>
      <c r="E43" s="265"/>
      <c r="F43" s="264">
        <f>CharterFundExp2!I12+CharterFundExp2!I13</f>
        <v>0</v>
      </c>
      <c r="G43" s="265"/>
      <c r="H43" s="264"/>
      <c r="I43" s="265"/>
      <c r="J43" s="264">
        <f>'CPP Fund'!I77+'CPP Fund'!I78</f>
        <v>0</v>
      </c>
      <c r="K43" s="265"/>
      <c r="L43" s="281"/>
      <c r="M43" s="265"/>
      <c r="N43" s="264"/>
      <c r="O43" s="265"/>
      <c r="P43" s="264"/>
      <c r="Q43" s="265"/>
      <c r="R43" s="264">
        <f>PupActiv!I45</f>
        <v>0</v>
      </c>
      <c r="S43" s="265"/>
      <c r="T43" s="264"/>
      <c r="U43" s="265"/>
      <c r="V43" s="264">
        <f>Transp!I27</f>
        <v>0</v>
      </c>
      <c r="W43" s="265"/>
      <c r="X43" s="264">
        <f>OthSpecRev!I40</f>
        <v>0</v>
      </c>
      <c r="Y43" s="265"/>
      <c r="Z43" s="265"/>
      <c r="AA43" s="264"/>
      <c r="AB43" s="265"/>
      <c r="AC43" s="264"/>
      <c r="AD43" s="264"/>
      <c r="AE43" s="265"/>
      <c r="AF43" s="264"/>
      <c r="AG43" s="265"/>
      <c r="AH43" s="264"/>
      <c r="AI43" s="265"/>
      <c r="AJ43" s="264">
        <f>CapResCapPrj!I55</f>
        <v>0</v>
      </c>
      <c r="AK43" s="265"/>
      <c r="AL43" s="264"/>
      <c r="AM43" s="265"/>
      <c r="AN43" s="264"/>
      <c r="AO43" s="265"/>
      <c r="AP43" s="264"/>
      <c r="AQ43" s="265"/>
      <c r="AR43" s="264"/>
      <c r="AS43" s="265"/>
      <c r="AT43" s="265"/>
      <c r="AU43" s="264"/>
      <c r="AV43" s="265"/>
      <c r="AW43" s="264">
        <f>'Trust&amp;Agency'!I37</f>
        <v>0</v>
      </c>
      <c r="AX43" s="265"/>
      <c r="AY43" s="264"/>
      <c r="AZ43" s="265"/>
      <c r="BA43" s="264"/>
      <c r="BB43" s="265"/>
      <c r="BC43" s="264">
        <f>PupilActAgency!I38</f>
        <v>0</v>
      </c>
      <c r="BD43" s="265"/>
      <c r="BE43" s="264">
        <f>'Foundation Fund'!I37</f>
        <v>0</v>
      </c>
      <c r="BF43" s="265"/>
      <c r="BG43" s="264"/>
      <c r="BH43" s="265"/>
      <c r="BI43" s="264">
        <f t="shared" si="3"/>
        <v>0</v>
      </c>
      <c r="BJ43" s="268"/>
      <c r="BK43" s="269"/>
      <c r="BL43" s="269"/>
      <c r="BM43" s="270"/>
    </row>
    <row r="44" spans="1:65" s="282" customFormat="1" ht="36" x14ac:dyDescent="0.25">
      <c r="A44" s="246" t="s">
        <v>25</v>
      </c>
      <c r="B44" s="283" t="s">
        <v>897</v>
      </c>
      <c r="C44" s="268"/>
      <c r="D44" s="264">
        <f>SUM(GenFundExp2!I14+GenFundExp2!I15+GenFundExp2!I16+GenFundExp2!I17+GenFundExp2!I18+GenFundExp2!I19+GenFundExp2!I20+GenFundExp2!I21+GenFundExp2!I22+GenFundExp2!I23+GenFundExp2!I24+GenFundExp2!I25+GenFundExp2!I26+GenFundExp2!I27+GenFundExp2!I28+GenFundExp2!I29+GenFundExp2!I30+GenFundExp2!I31)</f>
        <v>0</v>
      </c>
      <c r="E44" s="265"/>
      <c r="F44" s="264">
        <f>SUM(CharterFundExp2!I14+CharterFundExp2!I15+CharterFundExp2!I16+CharterFundExp2!I17+CharterFundExp2!I18+CharterFundExp2!I19+CharterFundExp2!I20+CharterFundExp2!I21+CharterFundExp2!I22+CharterFundExp2!I23+CharterFundExp2!I24+CharterFundExp2!I25+CharterFundExp2!I26+CharterFundExp2!I27+CharterFundExp2!I28+CharterFundExp2!I29+CharterFundExp2!I30+CharterFundExp2!I31)</f>
        <v>0</v>
      </c>
      <c r="G44" s="265"/>
      <c r="H44" s="264"/>
      <c r="I44" s="265"/>
      <c r="J44" s="264">
        <f>SUM('CPP Fund'!I79:I96)</f>
        <v>0</v>
      </c>
      <c r="K44" s="265"/>
      <c r="L44" s="281"/>
      <c r="M44" s="265"/>
      <c r="N44" s="264">
        <f>CapRes!I49</f>
        <v>0</v>
      </c>
      <c r="O44" s="265"/>
      <c r="P44" s="264"/>
      <c r="Q44" s="265"/>
      <c r="R44" s="264">
        <f>SUM(PupActiv!I46:I48)</f>
        <v>0</v>
      </c>
      <c r="S44" s="265"/>
      <c r="T44" s="264"/>
      <c r="U44" s="265"/>
      <c r="V44" s="264">
        <f>SUM(Transp!I28:I30)</f>
        <v>0</v>
      </c>
      <c r="W44" s="265"/>
      <c r="X44" s="264">
        <f>SUM(OthSpecRev!I41:I43)</f>
        <v>0</v>
      </c>
      <c r="Y44" s="265"/>
      <c r="Z44" s="265"/>
      <c r="AA44" s="264"/>
      <c r="AB44" s="265"/>
      <c r="AC44" s="264"/>
      <c r="AD44" s="264"/>
      <c r="AE44" s="265"/>
      <c r="AF44" s="264"/>
      <c r="AG44" s="265"/>
      <c r="AH44" s="264"/>
      <c r="AI44" s="265"/>
      <c r="AJ44" s="264">
        <f>SUM(CapResCapPrj!I56:I58)</f>
        <v>0</v>
      </c>
      <c r="AK44" s="265"/>
      <c r="AL44" s="264"/>
      <c r="AM44" s="265"/>
      <c r="AN44" s="264"/>
      <c r="AO44" s="265"/>
      <c r="AP44" s="264"/>
      <c r="AQ44" s="265"/>
      <c r="AR44" s="264"/>
      <c r="AS44" s="265"/>
      <c r="AT44" s="265"/>
      <c r="AU44" s="264"/>
      <c r="AV44" s="265"/>
      <c r="AW44" s="264">
        <f>SUM('Trust&amp;Agency'!I38+'Trust&amp;Agency'!I39+'Trust&amp;Agency'!I40)</f>
        <v>0</v>
      </c>
      <c r="AX44" s="265"/>
      <c r="AY44" s="264"/>
      <c r="AZ44" s="265"/>
      <c r="BA44" s="264"/>
      <c r="BB44" s="265"/>
      <c r="BC44" s="264">
        <f>SUM(PupilActAgency!I39+PupilActAgency!I40+PupilActAgency!I41)</f>
        <v>0</v>
      </c>
      <c r="BD44" s="265"/>
      <c r="BE44" s="264">
        <f>SUM('Foundation Fund'!I38+'Foundation Fund'!I39+'Foundation Fund'!I40)</f>
        <v>0</v>
      </c>
      <c r="BF44" s="265"/>
      <c r="BG44" s="264"/>
      <c r="BH44" s="265"/>
      <c r="BI44" s="264">
        <f t="shared" si="3"/>
        <v>0</v>
      </c>
      <c r="BJ44" s="268"/>
      <c r="BK44" s="269"/>
      <c r="BL44" s="269"/>
      <c r="BM44" s="270"/>
    </row>
    <row r="45" spans="1:65" s="282" customFormat="1" ht="18" x14ac:dyDescent="0.25">
      <c r="A45" s="246" t="s">
        <v>898</v>
      </c>
      <c r="B45" s="283" t="s">
        <v>1582</v>
      </c>
      <c r="C45" s="268"/>
      <c r="D45" s="264">
        <f>SUM(GenFundExp2!I32+GenFundExp2!I33)</f>
        <v>0</v>
      </c>
      <c r="E45" s="265"/>
      <c r="F45" s="264">
        <f>SUM(CharterFundExp2!I32+CharterFundExp2!I33)</f>
        <v>0</v>
      </c>
      <c r="G45" s="265"/>
      <c r="H45" s="264"/>
      <c r="I45" s="265"/>
      <c r="J45" s="264">
        <f>SUM('CPP Fund'!I97:I98)</f>
        <v>0</v>
      </c>
      <c r="K45" s="265"/>
      <c r="L45" s="281"/>
      <c r="M45" s="265"/>
      <c r="N45" s="264"/>
      <c r="O45" s="265"/>
      <c r="P45" s="264"/>
      <c r="Q45" s="265"/>
      <c r="R45" s="264">
        <f>PupActiv!I49</f>
        <v>0</v>
      </c>
      <c r="S45" s="265"/>
      <c r="T45" s="264"/>
      <c r="U45" s="265"/>
      <c r="V45" s="264">
        <f>Transp!I31</f>
        <v>0</v>
      </c>
      <c r="W45" s="265"/>
      <c r="X45" s="264">
        <f>SUM(OthSpecRev!I44)</f>
        <v>0</v>
      </c>
      <c r="Y45" s="265"/>
      <c r="Z45" s="265"/>
      <c r="AA45" s="264"/>
      <c r="AB45" s="265"/>
      <c r="AC45" s="264"/>
      <c r="AD45" s="264"/>
      <c r="AE45" s="265"/>
      <c r="AF45" s="264"/>
      <c r="AG45" s="265"/>
      <c r="AH45" s="264"/>
      <c r="AI45" s="265"/>
      <c r="AJ45" s="264">
        <f>CapResCapPrj!I59</f>
        <v>0</v>
      </c>
      <c r="AK45" s="265"/>
      <c r="AL45" s="264"/>
      <c r="AM45" s="265"/>
      <c r="AN45" s="264"/>
      <c r="AO45" s="265"/>
      <c r="AP45" s="264"/>
      <c r="AQ45" s="265"/>
      <c r="AR45" s="264"/>
      <c r="AS45" s="265"/>
      <c r="AT45" s="265"/>
      <c r="AU45" s="264"/>
      <c r="AV45" s="265"/>
      <c r="AW45" s="264">
        <f>'Trust&amp;Agency'!I41</f>
        <v>0</v>
      </c>
      <c r="AX45" s="265"/>
      <c r="AY45" s="264"/>
      <c r="AZ45" s="265"/>
      <c r="BA45" s="264"/>
      <c r="BB45" s="265"/>
      <c r="BC45" s="264">
        <f>PupilActAgency!I42</f>
        <v>0</v>
      </c>
      <c r="BD45" s="265"/>
      <c r="BE45" s="264">
        <f>'Foundation Fund'!I41</f>
        <v>0</v>
      </c>
      <c r="BF45" s="265"/>
      <c r="BG45" s="264"/>
      <c r="BH45" s="265"/>
      <c r="BI45" s="264">
        <f t="shared" si="3"/>
        <v>0</v>
      </c>
      <c r="BJ45" s="268"/>
      <c r="BK45" s="269"/>
      <c r="BL45" s="269"/>
      <c r="BM45" s="270"/>
    </row>
    <row r="46" spans="1:65" s="282" customFormat="1" ht="18" x14ac:dyDescent="0.25">
      <c r="A46" s="246" t="s">
        <v>899</v>
      </c>
      <c r="B46" s="283" t="s">
        <v>1583</v>
      </c>
      <c r="C46" s="268"/>
      <c r="D46" s="264">
        <f>SUM(GenFundExp2!I34+GenFundExp2!I35+GenFundExp2!I36+GenFundExp2!I37)</f>
        <v>0</v>
      </c>
      <c r="E46" s="265"/>
      <c r="F46" s="264">
        <f>SUM(CharterFundExp2!I34+CharterFundExp2!I35+CharterFundExp2!I36+CharterFundExp2!I37)</f>
        <v>0</v>
      </c>
      <c r="G46" s="265"/>
      <c r="H46" s="264"/>
      <c r="I46" s="265"/>
      <c r="J46" s="264">
        <f>SUM('CPP Fund'!I99:I103)</f>
        <v>0</v>
      </c>
      <c r="K46" s="265"/>
      <c r="L46" s="281"/>
      <c r="M46" s="265"/>
      <c r="N46" s="264">
        <f>SUM(CapRes!I50:I58)</f>
        <v>0</v>
      </c>
      <c r="O46" s="265"/>
      <c r="P46" s="264"/>
      <c r="Q46" s="265"/>
      <c r="R46" s="264">
        <f>SUM(PupActiv!I50:I51)</f>
        <v>0</v>
      </c>
      <c r="S46" s="265"/>
      <c r="T46" s="264"/>
      <c r="U46" s="265"/>
      <c r="V46" s="264">
        <f>SUM(Transp!I32:I34)</f>
        <v>0</v>
      </c>
      <c r="W46" s="265"/>
      <c r="X46" s="264">
        <f>SUM(OthSpecRev!I45:I46)</f>
        <v>0</v>
      </c>
      <c r="Y46" s="265"/>
      <c r="Z46" s="265"/>
      <c r="AA46" s="264"/>
      <c r="AB46" s="265"/>
      <c r="AC46" s="264"/>
      <c r="AD46" s="264"/>
      <c r="AE46" s="265"/>
      <c r="AF46" s="264"/>
      <c r="AG46" s="265"/>
      <c r="AH46" s="264"/>
      <c r="AI46" s="265"/>
      <c r="AJ46" s="264">
        <f>SUM(CapResCapPrj!I60:I67)</f>
        <v>0</v>
      </c>
      <c r="AK46" s="265"/>
      <c r="AL46" s="264"/>
      <c r="AM46" s="265"/>
      <c r="AN46" s="264"/>
      <c r="AO46" s="265"/>
      <c r="AP46" s="264"/>
      <c r="AQ46" s="265"/>
      <c r="AR46" s="264"/>
      <c r="AS46" s="265"/>
      <c r="AT46" s="265"/>
      <c r="AU46" s="264"/>
      <c r="AV46" s="265"/>
      <c r="AW46" s="264">
        <f>SUM('Trust&amp;Agency'!I42+'Trust&amp;Agency'!I43)</f>
        <v>0</v>
      </c>
      <c r="AX46" s="265"/>
      <c r="AY46" s="264"/>
      <c r="AZ46" s="265"/>
      <c r="BA46" s="264"/>
      <c r="BB46" s="265"/>
      <c r="BC46" s="264">
        <f>SUM(PupilActAgency!I43+PupilActAgency!I44)</f>
        <v>0</v>
      </c>
      <c r="BD46" s="265"/>
      <c r="BE46" s="264">
        <f>SUM('Foundation Fund'!I42+'Foundation Fund'!I43)</f>
        <v>0</v>
      </c>
      <c r="BF46" s="265"/>
      <c r="BG46" s="264"/>
      <c r="BH46" s="265"/>
      <c r="BI46" s="264">
        <f t="shared" si="3"/>
        <v>0</v>
      </c>
      <c r="BJ46" s="268"/>
      <c r="BK46" s="269"/>
      <c r="BL46" s="269"/>
      <c r="BM46" s="270"/>
    </row>
    <row r="47" spans="1:65" s="282" customFormat="1" ht="18.75" thickBot="1" x14ac:dyDescent="0.3">
      <c r="A47" s="246" t="s">
        <v>900</v>
      </c>
      <c r="B47" s="283" t="s">
        <v>901</v>
      </c>
      <c r="C47" s="268"/>
      <c r="D47" s="264">
        <f>SUM(GenFundExp2!I38+GenFundExp2!I39+GenFundExp2!I40+GenFundExp2!I41+GenFundExp2!I42+GenFundExp2!I43)</f>
        <v>0</v>
      </c>
      <c r="E47" s="265"/>
      <c r="F47" s="264">
        <f>SUM(CharterFundExp2!I38+CharterFundExp2!I39+CharterFundExp2!I40+CharterFundExp2!I41+CharterFundExp2!I42+CharterFundExp2!I43)</f>
        <v>0</v>
      </c>
      <c r="G47" s="265"/>
      <c r="H47" s="264"/>
      <c r="I47" s="265"/>
      <c r="J47" s="264">
        <f>SUM('CPP Fund'!I104:I109)</f>
        <v>0</v>
      </c>
      <c r="K47" s="265"/>
      <c r="L47" s="281"/>
      <c r="M47" s="265"/>
      <c r="N47" s="264">
        <f>CapRes!I59</f>
        <v>0</v>
      </c>
      <c r="O47" s="265"/>
      <c r="P47" s="264"/>
      <c r="Q47" s="265"/>
      <c r="R47" s="264">
        <f>SUM(PupActiv!I52:I53)</f>
        <v>0</v>
      </c>
      <c r="S47" s="265"/>
      <c r="T47" s="264"/>
      <c r="U47" s="265"/>
      <c r="V47" s="264">
        <f>Transp!I35</f>
        <v>0</v>
      </c>
      <c r="W47" s="265"/>
      <c r="X47" s="264">
        <f>OthSpecRev!I47</f>
        <v>0</v>
      </c>
      <c r="Y47" s="265"/>
      <c r="Z47" s="265"/>
      <c r="AA47" s="264"/>
      <c r="AB47" s="265"/>
      <c r="AC47" s="264"/>
      <c r="AD47" s="264"/>
      <c r="AE47" s="265"/>
      <c r="AF47" s="264"/>
      <c r="AG47" s="265"/>
      <c r="AH47" s="264"/>
      <c r="AI47" s="265"/>
      <c r="AJ47" s="264">
        <f>CapResCapPrj!I68</f>
        <v>0</v>
      </c>
      <c r="AK47" s="265"/>
      <c r="AL47" s="264"/>
      <c r="AM47" s="265"/>
      <c r="AN47" s="264"/>
      <c r="AO47" s="265"/>
      <c r="AP47" s="264"/>
      <c r="AQ47" s="265"/>
      <c r="AR47" s="264"/>
      <c r="AS47" s="265"/>
      <c r="AT47" s="265"/>
      <c r="AU47" s="264"/>
      <c r="AV47" s="265"/>
      <c r="AW47" s="264">
        <f>SUM('Trust&amp;Agency'!I44+'Trust&amp;Agency'!I45)</f>
        <v>0</v>
      </c>
      <c r="AX47" s="265"/>
      <c r="AY47" s="264"/>
      <c r="AZ47" s="265"/>
      <c r="BA47" s="264"/>
      <c r="BB47" s="265"/>
      <c r="BC47" s="264">
        <f>SUM(PupilActAgency!I45+PupilActAgency!I46)</f>
        <v>0</v>
      </c>
      <c r="BD47" s="265"/>
      <c r="BE47" s="264">
        <f>SUM('Foundation Fund'!I44+'Foundation Fund'!I45)</f>
        <v>0</v>
      </c>
      <c r="BF47" s="265"/>
      <c r="BG47" s="264"/>
      <c r="BH47" s="265"/>
      <c r="BI47" s="264">
        <f t="shared" si="3"/>
        <v>0</v>
      </c>
      <c r="BJ47" s="268"/>
      <c r="BK47" s="269"/>
      <c r="BL47" s="269"/>
      <c r="BM47" s="270"/>
    </row>
    <row r="48" spans="1:65" s="282" customFormat="1" ht="18.75" thickBot="1" x14ac:dyDescent="0.3">
      <c r="A48" s="271" t="s">
        <v>905</v>
      </c>
      <c r="B48" s="279"/>
      <c r="C48" s="275"/>
      <c r="D48" s="274">
        <f>SUM(D42:D47)</f>
        <v>0</v>
      </c>
      <c r="E48" s="275"/>
      <c r="F48" s="274">
        <f>SUM(F42:F47)</f>
        <v>0</v>
      </c>
      <c r="G48" s="275"/>
      <c r="H48" s="274">
        <f>SUM(H42:H47)</f>
        <v>0</v>
      </c>
      <c r="I48" s="275"/>
      <c r="J48" s="274">
        <f>SUM(J42:J47)</f>
        <v>0</v>
      </c>
      <c r="K48" s="275"/>
      <c r="L48" s="274">
        <f>SUM(L42:L47)</f>
        <v>0</v>
      </c>
      <c r="M48" s="275"/>
      <c r="N48" s="274">
        <f>SUM(N42:N47)</f>
        <v>0</v>
      </c>
      <c r="O48" s="275"/>
      <c r="P48" s="274">
        <f>SUM(P42:P47)</f>
        <v>0</v>
      </c>
      <c r="Q48" s="275"/>
      <c r="R48" s="274">
        <f>SUM(R42:R47)</f>
        <v>0</v>
      </c>
      <c r="S48" s="275"/>
      <c r="T48" s="274">
        <f>SUM(T42:T47)</f>
        <v>0</v>
      </c>
      <c r="U48" s="275"/>
      <c r="V48" s="274">
        <f>SUM(V42:V47)</f>
        <v>0</v>
      </c>
      <c r="W48" s="275"/>
      <c r="X48" s="274">
        <f>SUM(X42:X47)</f>
        <v>0</v>
      </c>
      <c r="Y48" s="275"/>
      <c r="Z48" s="275"/>
      <c r="AA48" s="274">
        <f>SUM(AA42:AA47)</f>
        <v>0</v>
      </c>
      <c r="AB48" s="275"/>
      <c r="AC48" s="274">
        <f>SUM(AC42:AC47)</f>
        <v>0</v>
      </c>
      <c r="AD48" s="274">
        <f>SUM(AD42:AD47)</f>
        <v>0</v>
      </c>
      <c r="AE48" s="275"/>
      <c r="AF48" s="274">
        <f>SUM(AF42:AF47)</f>
        <v>0</v>
      </c>
      <c r="AG48" s="275"/>
      <c r="AH48" s="274">
        <f>SUM(AH42:AH47)</f>
        <v>0</v>
      </c>
      <c r="AI48" s="275"/>
      <c r="AJ48" s="274">
        <f>SUM(AJ42:AJ47)</f>
        <v>0</v>
      </c>
      <c r="AK48" s="275"/>
      <c r="AL48" s="274">
        <f>SUM(AL42:AL47)</f>
        <v>0</v>
      </c>
      <c r="AM48" s="275"/>
      <c r="AN48" s="274">
        <f>SUM(AN42:AN47)</f>
        <v>0</v>
      </c>
      <c r="AO48" s="275"/>
      <c r="AP48" s="274">
        <f>SUM(AP42:AP47)</f>
        <v>0</v>
      </c>
      <c r="AQ48" s="275"/>
      <c r="AR48" s="274">
        <f>SUM(AR42:AR47)</f>
        <v>0</v>
      </c>
      <c r="AS48" s="275"/>
      <c r="AT48" s="275"/>
      <c r="AU48" s="274">
        <f>SUM(AU42:AU47)</f>
        <v>0</v>
      </c>
      <c r="AV48" s="275"/>
      <c r="AW48" s="274">
        <f>SUM(AW42:AW47)</f>
        <v>0</v>
      </c>
      <c r="AX48" s="275"/>
      <c r="AY48" s="274">
        <f>SUM(AY42:AY47)</f>
        <v>0</v>
      </c>
      <c r="AZ48" s="275"/>
      <c r="BA48" s="274">
        <f>SUM(BA42:BA47)</f>
        <v>0</v>
      </c>
      <c r="BB48" s="275"/>
      <c r="BC48" s="274">
        <f>SUM(BC42:BC47)</f>
        <v>0</v>
      </c>
      <c r="BD48" s="275"/>
      <c r="BE48" s="274">
        <f>SUM(BE42:BE47)</f>
        <v>0</v>
      </c>
      <c r="BF48" s="275"/>
      <c r="BG48" s="274">
        <f>SUM(BG42:BG47)</f>
        <v>0</v>
      </c>
      <c r="BH48" s="275"/>
      <c r="BI48" s="274">
        <f t="shared" si="3"/>
        <v>0</v>
      </c>
      <c r="BJ48" s="275"/>
      <c r="BK48" s="276"/>
      <c r="BL48" s="276"/>
      <c r="BM48" s="270"/>
    </row>
    <row r="49" spans="1:65" s="282" customFormat="1" ht="18" x14ac:dyDescent="0.25">
      <c r="A49" s="246"/>
      <c r="B49" s="262"/>
      <c r="C49" s="268"/>
      <c r="D49" s="264"/>
      <c r="E49" s="265"/>
      <c r="F49" s="264"/>
      <c r="G49" s="265"/>
      <c r="H49" s="264"/>
      <c r="I49" s="265"/>
      <c r="J49" s="264"/>
      <c r="K49" s="265"/>
      <c r="L49" s="281"/>
      <c r="M49" s="265"/>
      <c r="N49" s="264"/>
      <c r="O49" s="265"/>
      <c r="P49" s="264"/>
      <c r="Q49" s="265"/>
      <c r="R49" s="264"/>
      <c r="S49" s="265"/>
      <c r="T49" s="264"/>
      <c r="U49" s="265"/>
      <c r="V49" s="264"/>
      <c r="W49" s="265"/>
      <c r="X49" s="264"/>
      <c r="Y49" s="265"/>
      <c r="Z49" s="265"/>
      <c r="AA49" s="264"/>
      <c r="AB49" s="265"/>
      <c r="AC49" s="264"/>
      <c r="AD49" s="264"/>
      <c r="AE49" s="265"/>
      <c r="AF49" s="264"/>
      <c r="AG49" s="265"/>
      <c r="AH49" s="264"/>
      <c r="AI49" s="265"/>
      <c r="AJ49" s="264"/>
      <c r="AK49" s="265"/>
      <c r="AL49" s="264"/>
      <c r="AM49" s="265"/>
      <c r="AN49" s="264"/>
      <c r="AO49" s="265"/>
      <c r="AP49" s="264"/>
      <c r="AQ49" s="265"/>
      <c r="AR49" s="264"/>
      <c r="AS49" s="265"/>
      <c r="AT49" s="265"/>
      <c r="AU49" s="264"/>
      <c r="AV49" s="265"/>
      <c r="AW49" s="264"/>
      <c r="AX49" s="265"/>
      <c r="AY49" s="264"/>
      <c r="AZ49" s="265"/>
      <c r="BA49" s="264"/>
      <c r="BB49" s="265"/>
      <c r="BC49" s="264"/>
      <c r="BD49" s="265"/>
      <c r="BE49" s="264"/>
      <c r="BF49" s="265"/>
      <c r="BG49" s="264"/>
      <c r="BH49" s="265"/>
      <c r="BI49" s="270"/>
      <c r="BJ49" s="268"/>
      <c r="BK49" s="269"/>
      <c r="BL49" s="269"/>
      <c r="BM49" s="270"/>
    </row>
    <row r="50" spans="1:65" s="282" customFormat="1" ht="18" x14ac:dyDescent="0.25">
      <c r="A50" s="246" t="s">
        <v>906</v>
      </c>
      <c r="B50" s="262"/>
      <c r="C50" s="268"/>
      <c r="D50" s="264"/>
      <c r="E50" s="265"/>
      <c r="F50" s="264"/>
      <c r="G50" s="265"/>
      <c r="H50" s="264"/>
      <c r="I50" s="265"/>
      <c r="J50" s="264"/>
      <c r="K50" s="265"/>
      <c r="L50" s="281"/>
      <c r="M50" s="265"/>
      <c r="N50" s="264"/>
      <c r="O50" s="265"/>
      <c r="P50" s="264"/>
      <c r="Q50" s="265"/>
      <c r="R50" s="264"/>
      <c r="S50" s="265"/>
      <c r="T50" s="264"/>
      <c r="U50" s="265"/>
      <c r="V50" s="264"/>
      <c r="W50" s="265"/>
      <c r="X50" s="264"/>
      <c r="Y50" s="265"/>
      <c r="Z50" s="265"/>
      <c r="AA50" s="264"/>
      <c r="AB50" s="265"/>
      <c r="AC50" s="264"/>
      <c r="AD50" s="264"/>
      <c r="AE50" s="265"/>
      <c r="AF50" s="264"/>
      <c r="AG50" s="265"/>
      <c r="AH50" s="264"/>
      <c r="AI50" s="265"/>
      <c r="AJ50" s="264"/>
      <c r="AK50" s="265"/>
      <c r="AL50" s="264"/>
      <c r="AM50" s="265"/>
      <c r="AN50" s="264"/>
      <c r="AO50" s="265"/>
      <c r="AP50" s="264"/>
      <c r="AQ50" s="265"/>
      <c r="AR50" s="264"/>
      <c r="AS50" s="265"/>
      <c r="AT50" s="265"/>
      <c r="AU50" s="264"/>
      <c r="AV50" s="265"/>
      <c r="AW50" s="264"/>
      <c r="AX50" s="265"/>
      <c r="AY50" s="264"/>
      <c r="AZ50" s="265"/>
      <c r="BA50" s="264"/>
      <c r="BB50" s="265"/>
      <c r="BC50" s="264"/>
      <c r="BD50" s="265"/>
      <c r="BE50" s="264"/>
      <c r="BF50" s="265"/>
      <c r="BG50" s="264"/>
      <c r="BH50" s="265"/>
      <c r="BI50" s="270"/>
      <c r="BJ50" s="268"/>
      <c r="BK50" s="269"/>
      <c r="BL50" s="269"/>
      <c r="BM50" s="270"/>
    </row>
    <row r="51" spans="1:65" s="282" customFormat="1" ht="18" x14ac:dyDescent="0.25">
      <c r="A51" s="246" t="s">
        <v>23</v>
      </c>
      <c r="B51" s="283" t="s">
        <v>1577</v>
      </c>
      <c r="C51" s="268"/>
      <c r="D51" s="264">
        <f>SUM(GenFundExp2!I47+GenFundExp2!I48+GenFundExp2!I84+GenFundExp2!I85)</f>
        <v>0</v>
      </c>
      <c r="E51" s="265"/>
      <c r="F51" s="264">
        <f>SUM(CharterFundExp2!I47+CharterFundExp2!I48+CharterFundExp2!I84+CharterFundExp2!I85)</f>
        <v>0</v>
      </c>
      <c r="G51" s="265"/>
      <c r="H51" s="264"/>
      <c r="I51" s="265"/>
      <c r="J51" s="264"/>
      <c r="K51" s="265"/>
      <c r="L51" s="281"/>
      <c r="M51" s="265"/>
      <c r="N51" s="264"/>
      <c r="O51" s="265"/>
      <c r="P51" s="264"/>
      <c r="Q51" s="265"/>
      <c r="R51" s="264"/>
      <c r="S51" s="265"/>
      <c r="T51" s="264"/>
      <c r="U51" s="265"/>
      <c r="V51" s="264"/>
      <c r="W51" s="265"/>
      <c r="X51" s="264"/>
      <c r="Y51" s="265"/>
      <c r="Z51" s="265"/>
      <c r="AA51" s="264"/>
      <c r="AB51" s="265"/>
      <c r="AC51" s="264"/>
      <c r="AD51" s="264"/>
      <c r="AE51" s="265"/>
      <c r="AF51" s="264"/>
      <c r="AG51" s="265"/>
      <c r="AH51" s="264"/>
      <c r="AI51" s="265"/>
      <c r="AJ51" s="264"/>
      <c r="AK51" s="265"/>
      <c r="AL51" s="264"/>
      <c r="AM51" s="265"/>
      <c r="AN51" s="264"/>
      <c r="AO51" s="265"/>
      <c r="AP51" s="264"/>
      <c r="AQ51" s="265"/>
      <c r="AR51" s="264"/>
      <c r="AS51" s="265"/>
      <c r="AT51" s="265"/>
      <c r="AU51" s="264"/>
      <c r="AV51" s="265"/>
      <c r="AW51" s="264"/>
      <c r="AX51" s="265"/>
      <c r="AY51" s="264"/>
      <c r="AZ51" s="265"/>
      <c r="BA51" s="264"/>
      <c r="BB51" s="265"/>
      <c r="BC51" s="264"/>
      <c r="BD51" s="265"/>
      <c r="BE51" s="264"/>
      <c r="BF51" s="265"/>
      <c r="BG51" s="264"/>
      <c r="BH51" s="265"/>
      <c r="BI51" s="264">
        <f t="shared" ref="BI51:BI57" si="4">D51+F51+H51+J51+X51+N51+P51+R51+L51+T51+V51+AA51+AC51+AD51+AF51+AH51+AJ51+AL51+AN51+AP51+AR51+AU51+AW51+AY51+BA51+BC51+BE51+BG51</f>
        <v>0</v>
      </c>
      <c r="BJ51" s="268"/>
      <c r="BK51" s="269"/>
      <c r="BL51" s="269"/>
      <c r="BM51" s="270"/>
    </row>
    <row r="52" spans="1:65" s="282" customFormat="1" ht="18" x14ac:dyDescent="0.25">
      <c r="A52" s="246" t="s">
        <v>24</v>
      </c>
      <c r="B52" s="283" t="s">
        <v>1578</v>
      </c>
      <c r="C52" s="268"/>
      <c r="D52" s="264">
        <f>SUM(GenFundExp2!I49+GenFundExp2!I50+GenFundExp2!I86+GenFundExp2!I87)</f>
        <v>0</v>
      </c>
      <c r="E52" s="265"/>
      <c r="F52" s="264">
        <f>SUM(CharterFundExp2!I49+CharterFundExp2!I50+CharterFundExp2!I86+CharterFundExp2!I87)</f>
        <v>0</v>
      </c>
      <c r="G52" s="265"/>
      <c r="H52" s="264"/>
      <c r="I52" s="265"/>
      <c r="J52" s="264"/>
      <c r="K52" s="265"/>
      <c r="L52" s="281"/>
      <c r="M52" s="265"/>
      <c r="N52" s="264"/>
      <c r="O52" s="265"/>
      <c r="P52" s="264"/>
      <c r="Q52" s="265"/>
      <c r="R52" s="264"/>
      <c r="S52" s="265"/>
      <c r="T52" s="264"/>
      <c r="U52" s="265"/>
      <c r="V52" s="264"/>
      <c r="W52" s="265"/>
      <c r="X52" s="264"/>
      <c r="Y52" s="265"/>
      <c r="Z52" s="265"/>
      <c r="AA52" s="264"/>
      <c r="AB52" s="265"/>
      <c r="AC52" s="264"/>
      <c r="AD52" s="264"/>
      <c r="AE52" s="265"/>
      <c r="AF52" s="264"/>
      <c r="AG52" s="265"/>
      <c r="AH52" s="264"/>
      <c r="AI52" s="265"/>
      <c r="AJ52" s="264"/>
      <c r="AK52" s="265"/>
      <c r="AL52" s="264"/>
      <c r="AM52" s="265"/>
      <c r="AN52" s="264"/>
      <c r="AO52" s="265"/>
      <c r="AP52" s="264"/>
      <c r="AQ52" s="265"/>
      <c r="AR52" s="264"/>
      <c r="AS52" s="265"/>
      <c r="AT52" s="265"/>
      <c r="AU52" s="264"/>
      <c r="AV52" s="265"/>
      <c r="AW52" s="264"/>
      <c r="AX52" s="265"/>
      <c r="AY52" s="264"/>
      <c r="AZ52" s="265"/>
      <c r="BA52" s="264"/>
      <c r="BB52" s="265"/>
      <c r="BC52" s="264"/>
      <c r="BD52" s="265"/>
      <c r="BE52" s="264"/>
      <c r="BF52" s="265"/>
      <c r="BG52" s="264"/>
      <c r="BH52" s="265"/>
      <c r="BI52" s="264">
        <f t="shared" si="4"/>
        <v>0</v>
      </c>
      <c r="BJ52" s="268"/>
      <c r="BK52" s="269"/>
      <c r="BL52" s="269"/>
      <c r="BM52" s="270"/>
    </row>
    <row r="53" spans="1:65" s="282" customFormat="1" ht="36" x14ac:dyDescent="0.25">
      <c r="A53" s="246" t="s">
        <v>25</v>
      </c>
      <c r="B53" s="283" t="s">
        <v>897</v>
      </c>
      <c r="C53" s="268"/>
      <c r="D53" s="264">
        <f>SUM(GenFundExp2!I51+GenFundExp2!I52+GenFundExp2!I53+GenFundExp2!I54+GenFundExp2!I55+GenFundExp2!I56+GenFundExp2!I57+GenFundExp2!I58+GenFundExp2!I59+GenFundExp2!I60+GenFundExp2!I61+GenFundExp2!I62+GenFundExp2!I63+GenFundExp2!I64+GenFundExp2!I65+GenFundExp2!I66+GenFundExp2!I67+GenFundExp2!I68+GenFundExp2!I88+GenFundExp2!I89+GenFundExp2!I90+GenFundExp2!I91+GenFundExp2!I92+GenFundExp2!I93+GenFundExp2!I94+GenFundExp2!I95+GenFundExp2!I96+GenFundExp2!I97+GenFundExp2!I98+GenFundExp2!I99+GenFundExp2!I100+GenFundExp2!I101+GenFundExp2!I102+GenFundExp2!I103+GenFundExp2!I104+GenFundExp2!I105)</f>
        <v>0</v>
      </c>
      <c r="E53" s="265"/>
      <c r="F53" s="264">
        <f>SUM(CharterFundExp2!I51+CharterFundExp2!I52+CharterFundExp2!I53+CharterFundExp2!I54+CharterFundExp2!I55+CharterFundExp2!I56+CharterFundExp2!I57+CharterFundExp2!I58+CharterFundExp2!I59+CharterFundExp2!I60+CharterFundExp2!I61+CharterFundExp2!I62+CharterFundExp2!I63+CharterFundExp2!I64+CharterFundExp2!I65+CharterFundExp2!I66+CharterFundExp2!I67+CharterFundExp2!I68+CharterFundExp2!I88+CharterFundExp2!I89+CharterFundExp2!I90+CharterFundExp2!I91+CharterFundExp2!I92+CharterFundExp2!I93+CharterFundExp2!I94+CharterFundExp2!I95+CharterFundExp2!I96+CharterFundExp2!I97+CharterFundExp2!I98+CharterFundExp2!I99+CharterFundExp2!I100+CharterFundExp2!I101+CharterFundExp2!I102+CharterFundExp2!I103+CharterFundExp2!I104+CharterFundExp2!I105)</f>
        <v>0</v>
      </c>
      <c r="G53" s="265"/>
      <c r="H53" s="264"/>
      <c r="I53" s="265"/>
      <c r="J53" s="264"/>
      <c r="K53" s="265"/>
      <c r="L53" s="281"/>
      <c r="M53" s="265"/>
      <c r="N53" s="264"/>
      <c r="O53" s="265"/>
      <c r="P53" s="264"/>
      <c r="Q53" s="265"/>
      <c r="R53" s="264"/>
      <c r="S53" s="265"/>
      <c r="T53" s="264"/>
      <c r="U53" s="265"/>
      <c r="V53" s="264"/>
      <c r="W53" s="265"/>
      <c r="X53" s="264"/>
      <c r="Y53" s="265"/>
      <c r="Z53" s="265"/>
      <c r="AA53" s="264"/>
      <c r="AB53" s="265"/>
      <c r="AC53" s="264"/>
      <c r="AD53" s="264"/>
      <c r="AE53" s="265"/>
      <c r="AF53" s="264"/>
      <c r="AG53" s="265"/>
      <c r="AH53" s="264"/>
      <c r="AI53" s="265"/>
      <c r="AJ53" s="264"/>
      <c r="AK53" s="265"/>
      <c r="AL53" s="264"/>
      <c r="AM53" s="265"/>
      <c r="AN53" s="264"/>
      <c r="AO53" s="265"/>
      <c r="AP53" s="264"/>
      <c r="AQ53" s="265"/>
      <c r="AR53" s="264"/>
      <c r="AS53" s="265"/>
      <c r="AT53" s="265"/>
      <c r="AU53" s="264"/>
      <c r="AV53" s="265"/>
      <c r="AW53" s="264"/>
      <c r="AX53" s="265"/>
      <c r="AY53" s="264"/>
      <c r="AZ53" s="265"/>
      <c r="BA53" s="264"/>
      <c r="BB53" s="265"/>
      <c r="BC53" s="264"/>
      <c r="BD53" s="265"/>
      <c r="BE53" s="264"/>
      <c r="BF53" s="265"/>
      <c r="BG53" s="264"/>
      <c r="BH53" s="265"/>
      <c r="BI53" s="264">
        <f t="shared" si="4"/>
        <v>0</v>
      </c>
      <c r="BJ53" s="268"/>
      <c r="BK53" s="269"/>
      <c r="BL53" s="269"/>
      <c r="BM53" s="270"/>
    </row>
    <row r="54" spans="1:65" s="282" customFormat="1" ht="18" x14ac:dyDescent="0.25">
      <c r="A54" s="246" t="s">
        <v>898</v>
      </c>
      <c r="B54" s="283" t="s">
        <v>1582</v>
      </c>
      <c r="C54" s="268"/>
      <c r="D54" s="264">
        <f>SUM(GenFundExp2!I69+GenFundExp2!I70+GenFundExp2!I106+GenFundExp2!I107)</f>
        <v>0</v>
      </c>
      <c r="E54" s="265"/>
      <c r="F54" s="264">
        <f>SUM(CharterFundExp2!I69+CharterFundExp2!I70+CharterFundExp2!I106+CharterFundExp2!I107)</f>
        <v>0</v>
      </c>
      <c r="G54" s="265"/>
      <c r="H54" s="264"/>
      <c r="I54" s="265"/>
      <c r="J54" s="264"/>
      <c r="K54" s="265"/>
      <c r="L54" s="281"/>
      <c r="M54" s="265"/>
      <c r="N54" s="264"/>
      <c r="O54" s="265"/>
      <c r="P54" s="264"/>
      <c r="Q54" s="265"/>
      <c r="R54" s="264"/>
      <c r="S54" s="265"/>
      <c r="T54" s="264"/>
      <c r="U54" s="265"/>
      <c r="V54" s="264"/>
      <c r="W54" s="265"/>
      <c r="X54" s="264"/>
      <c r="Y54" s="265"/>
      <c r="Z54" s="265"/>
      <c r="AA54" s="264"/>
      <c r="AB54" s="265"/>
      <c r="AC54" s="264"/>
      <c r="AD54" s="264"/>
      <c r="AE54" s="265"/>
      <c r="AF54" s="264"/>
      <c r="AG54" s="265"/>
      <c r="AH54" s="264"/>
      <c r="AI54" s="265"/>
      <c r="AJ54" s="264"/>
      <c r="AK54" s="265"/>
      <c r="AL54" s="264"/>
      <c r="AM54" s="265"/>
      <c r="AN54" s="264"/>
      <c r="AO54" s="265"/>
      <c r="AP54" s="264"/>
      <c r="AQ54" s="265"/>
      <c r="AR54" s="264"/>
      <c r="AS54" s="265"/>
      <c r="AT54" s="265"/>
      <c r="AU54" s="264"/>
      <c r="AV54" s="265"/>
      <c r="AW54" s="264"/>
      <c r="AX54" s="265"/>
      <c r="AY54" s="264"/>
      <c r="AZ54" s="265"/>
      <c r="BA54" s="264"/>
      <c r="BB54" s="265"/>
      <c r="BC54" s="264"/>
      <c r="BD54" s="265"/>
      <c r="BE54" s="264"/>
      <c r="BF54" s="265"/>
      <c r="BG54" s="264"/>
      <c r="BH54" s="265"/>
      <c r="BI54" s="264">
        <f t="shared" si="4"/>
        <v>0</v>
      </c>
      <c r="BJ54" s="268"/>
      <c r="BK54" s="269"/>
      <c r="BL54" s="269"/>
      <c r="BM54" s="270"/>
    </row>
    <row r="55" spans="1:65" s="282" customFormat="1" ht="18" x14ac:dyDescent="0.25">
      <c r="A55" s="246" t="s">
        <v>899</v>
      </c>
      <c r="B55" s="283" t="s">
        <v>1583</v>
      </c>
      <c r="C55" s="268"/>
      <c r="D55" s="264">
        <f>SUM(GenFundExp2!I71+GenFundExp2!I72+GenFundExp2!I73+GenFundExp2!I74+GenFundExp2!I108+GenFundExp2!I109+GenFundExp2!I110+GenFundExp2!I111)</f>
        <v>0</v>
      </c>
      <c r="E55" s="265"/>
      <c r="F55" s="264">
        <f>SUM(CharterFundExp2!I71+CharterFundExp2!I72+CharterFundExp2!I73+CharterFundExp2!I74+CharterFundExp2!I108+CharterFundExp2!I109+CharterFundExp2!I110+CharterFundExp2!I111)</f>
        <v>0</v>
      </c>
      <c r="G55" s="265"/>
      <c r="H55" s="264"/>
      <c r="I55" s="265"/>
      <c r="J55" s="264"/>
      <c r="K55" s="265"/>
      <c r="L55" s="281"/>
      <c r="M55" s="265"/>
      <c r="N55" s="264"/>
      <c r="O55" s="265"/>
      <c r="P55" s="264"/>
      <c r="Q55" s="265"/>
      <c r="R55" s="264"/>
      <c r="S55" s="265"/>
      <c r="T55" s="264"/>
      <c r="U55" s="265"/>
      <c r="V55" s="264"/>
      <c r="W55" s="265"/>
      <c r="X55" s="264"/>
      <c r="Y55" s="265"/>
      <c r="Z55" s="265"/>
      <c r="AA55" s="264"/>
      <c r="AB55" s="265"/>
      <c r="AC55" s="264"/>
      <c r="AD55" s="264"/>
      <c r="AE55" s="265"/>
      <c r="AF55" s="264"/>
      <c r="AG55" s="265"/>
      <c r="AH55" s="264"/>
      <c r="AI55" s="265"/>
      <c r="AJ55" s="264"/>
      <c r="AK55" s="265"/>
      <c r="AL55" s="264"/>
      <c r="AM55" s="265"/>
      <c r="AN55" s="264"/>
      <c r="AO55" s="265"/>
      <c r="AP55" s="264"/>
      <c r="AQ55" s="265"/>
      <c r="AR55" s="264"/>
      <c r="AS55" s="265"/>
      <c r="AT55" s="265"/>
      <c r="AU55" s="264"/>
      <c r="AV55" s="265"/>
      <c r="AW55" s="264"/>
      <c r="AX55" s="265"/>
      <c r="AY55" s="264"/>
      <c r="AZ55" s="265"/>
      <c r="BA55" s="264"/>
      <c r="BB55" s="265"/>
      <c r="BC55" s="264"/>
      <c r="BD55" s="265"/>
      <c r="BE55" s="264"/>
      <c r="BF55" s="265"/>
      <c r="BG55" s="264"/>
      <c r="BH55" s="265"/>
      <c r="BI55" s="264">
        <f t="shared" si="4"/>
        <v>0</v>
      </c>
      <c r="BJ55" s="268"/>
      <c r="BK55" s="269"/>
      <c r="BL55" s="269"/>
      <c r="BM55" s="270"/>
    </row>
    <row r="56" spans="1:65" s="282" customFormat="1" ht="18.75" thickBot="1" x14ac:dyDescent="0.3">
      <c r="A56" s="246" t="s">
        <v>900</v>
      </c>
      <c r="B56" s="283" t="s">
        <v>901</v>
      </c>
      <c r="C56" s="268"/>
      <c r="D56" s="264">
        <f>SUM(GenFundExp2!I75+GenFundExp2!I76+GenFundExp2!I77+GenFundExp2!I78+GenFundExp2!I79+GenFundExp2!I80+GenFundExp2!I112+GenFundExp2!I113+GenFundExp2!I114+GenFundExp2!I115+GenFundExp2!I116+GenFundExp2!I117)</f>
        <v>0</v>
      </c>
      <c r="E56" s="265"/>
      <c r="F56" s="264">
        <f>SUM(CharterFundExp2!I75+CharterFundExp2!I76+CharterFundExp2!I77+CharterFundExp2!I78+CharterFundExp2!I79+CharterFundExp2!I80+CharterFundExp2!I112+CharterFundExp2!I113+CharterFundExp2!I114+CharterFundExp2!I115+CharterFundExp2!I116+CharterFundExp2!I117)</f>
        <v>0</v>
      </c>
      <c r="G56" s="265"/>
      <c r="H56" s="264"/>
      <c r="I56" s="265"/>
      <c r="J56" s="264"/>
      <c r="K56" s="265"/>
      <c r="L56" s="281"/>
      <c r="M56" s="265"/>
      <c r="N56" s="264"/>
      <c r="O56" s="265"/>
      <c r="P56" s="264"/>
      <c r="Q56" s="265"/>
      <c r="R56" s="264"/>
      <c r="S56" s="265"/>
      <c r="T56" s="264"/>
      <c r="U56" s="265"/>
      <c r="V56" s="264"/>
      <c r="W56" s="265"/>
      <c r="X56" s="264"/>
      <c r="Y56" s="265"/>
      <c r="Z56" s="265"/>
      <c r="AA56" s="264"/>
      <c r="AB56" s="265"/>
      <c r="AC56" s="264"/>
      <c r="AD56" s="264"/>
      <c r="AE56" s="265"/>
      <c r="AF56" s="264"/>
      <c r="AG56" s="265"/>
      <c r="AH56" s="264"/>
      <c r="AI56" s="265"/>
      <c r="AJ56" s="264"/>
      <c r="AK56" s="265"/>
      <c r="AL56" s="264"/>
      <c r="AM56" s="265"/>
      <c r="AN56" s="264"/>
      <c r="AO56" s="265"/>
      <c r="AP56" s="264"/>
      <c r="AQ56" s="265"/>
      <c r="AR56" s="264"/>
      <c r="AS56" s="265"/>
      <c r="AT56" s="265"/>
      <c r="AU56" s="264"/>
      <c r="AV56" s="265"/>
      <c r="AW56" s="264"/>
      <c r="AX56" s="265"/>
      <c r="AY56" s="264"/>
      <c r="AZ56" s="265"/>
      <c r="BA56" s="264"/>
      <c r="BB56" s="265"/>
      <c r="BC56" s="264"/>
      <c r="BD56" s="265"/>
      <c r="BE56" s="264"/>
      <c r="BF56" s="265"/>
      <c r="BG56" s="264"/>
      <c r="BH56" s="265"/>
      <c r="BI56" s="264">
        <f t="shared" si="4"/>
        <v>0</v>
      </c>
      <c r="BJ56" s="268"/>
      <c r="BK56" s="269"/>
      <c r="BL56" s="269"/>
      <c r="BM56" s="270"/>
    </row>
    <row r="57" spans="1:65" s="282" customFormat="1" ht="18.75" thickBot="1" x14ac:dyDescent="0.3">
      <c r="A57" s="271" t="s">
        <v>907</v>
      </c>
      <c r="B57" s="279"/>
      <c r="C57" s="275"/>
      <c r="D57" s="274">
        <f>SUM(D51:D56)</f>
        <v>0</v>
      </c>
      <c r="E57" s="275"/>
      <c r="F57" s="274">
        <f>SUM(F51:F56)</f>
        <v>0</v>
      </c>
      <c r="G57" s="275"/>
      <c r="H57" s="274">
        <f>SUM(H51:H56)</f>
        <v>0</v>
      </c>
      <c r="I57" s="275"/>
      <c r="J57" s="274">
        <f>SUM(J51:J56)</f>
        <v>0</v>
      </c>
      <c r="K57" s="275"/>
      <c r="L57" s="274">
        <f>SUM(L51:L56)</f>
        <v>0</v>
      </c>
      <c r="M57" s="275"/>
      <c r="N57" s="274">
        <f>SUM(N51:N56)</f>
        <v>0</v>
      </c>
      <c r="O57" s="275"/>
      <c r="P57" s="274">
        <f>SUM(P51:P56)</f>
        <v>0</v>
      </c>
      <c r="Q57" s="275"/>
      <c r="R57" s="274">
        <f>SUM(R51:R56)</f>
        <v>0</v>
      </c>
      <c r="S57" s="275"/>
      <c r="T57" s="274">
        <f>SUM(T51:T56)</f>
        <v>0</v>
      </c>
      <c r="U57" s="275"/>
      <c r="V57" s="274">
        <f>SUM(V51:V56)</f>
        <v>0</v>
      </c>
      <c r="W57" s="275"/>
      <c r="X57" s="274">
        <f>SUM(X51:X56)</f>
        <v>0</v>
      </c>
      <c r="Y57" s="275"/>
      <c r="Z57" s="275"/>
      <c r="AA57" s="274">
        <f>SUM(AA51:AA56)</f>
        <v>0</v>
      </c>
      <c r="AB57" s="275"/>
      <c r="AC57" s="274">
        <f>SUM(AC51:AC56)</f>
        <v>0</v>
      </c>
      <c r="AD57" s="274">
        <f>SUM(AD51:AD56)</f>
        <v>0</v>
      </c>
      <c r="AE57" s="275"/>
      <c r="AF57" s="274">
        <f>SUM(AF51:AF56)</f>
        <v>0</v>
      </c>
      <c r="AG57" s="275"/>
      <c r="AH57" s="274">
        <f>SUM(AH51:AH56)</f>
        <v>0</v>
      </c>
      <c r="AI57" s="275"/>
      <c r="AJ57" s="274">
        <f>SUM(AJ51:AJ56)</f>
        <v>0</v>
      </c>
      <c r="AK57" s="275"/>
      <c r="AL57" s="274">
        <f>SUM(AL51:AL56)</f>
        <v>0</v>
      </c>
      <c r="AM57" s="275"/>
      <c r="AN57" s="274">
        <f>SUM(AN51:AN56)</f>
        <v>0</v>
      </c>
      <c r="AO57" s="275"/>
      <c r="AP57" s="274">
        <f>SUM(AP51:AP56)</f>
        <v>0</v>
      </c>
      <c r="AQ57" s="275"/>
      <c r="AR57" s="274">
        <f>SUM(AR51:AR56)</f>
        <v>0</v>
      </c>
      <c r="AS57" s="275"/>
      <c r="AT57" s="275"/>
      <c r="AU57" s="274">
        <f>SUM(AU51:AU56)</f>
        <v>0</v>
      </c>
      <c r="AV57" s="275"/>
      <c r="AW57" s="274">
        <f>SUM(AW51:AW56)</f>
        <v>0</v>
      </c>
      <c r="AX57" s="275"/>
      <c r="AY57" s="274">
        <f>SUM(AY51:AY56)</f>
        <v>0</v>
      </c>
      <c r="AZ57" s="275"/>
      <c r="BA57" s="274">
        <f>SUM(BA51:BA56)</f>
        <v>0</v>
      </c>
      <c r="BB57" s="275"/>
      <c r="BC57" s="274">
        <f>SUM(BC51:BC56)</f>
        <v>0</v>
      </c>
      <c r="BD57" s="275"/>
      <c r="BE57" s="274">
        <f>SUM(BE51:BE56)</f>
        <v>0</v>
      </c>
      <c r="BF57" s="275"/>
      <c r="BG57" s="274">
        <f>SUM(BG51:BG56)</f>
        <v>0</v>
      </c>
      <c r="BH57" s="275"/>
      <c r="BI57" s="274">
        <f t="shared" si="4"/>
        <v>0</v>
      </c>
      <c r="BJ57" s="275"/>
      <c r="BK57" s="276"/>
      <c r="BL57" s="276"/>
      <c r="BM57" s="270"/>
    </row>
    <row r="58" spans="1:65" s="282" customFormat="1" ht="18" x14ac:dyDescent="0.25">
      <c r="A58" s="246"/>
      <c r="B58" s="262"/>
      <c r="C58" s="268"/>
      <c r="D58" s="264"/>
      <c r="E58" s="265"/>
      <c r="F58" s="264"/>
      <c r="G58" s="265"/>
      <c r="H58" s="264"/>
      <c r="I58" s="265"/>
      <c r="J58" s="264"/>
      <c r="K58" s="265"/>
      <c r="L58" s="281"/>
      <c r="M58" s="265"/>
      <c r="N58" s="264"/>
      <c r="O58" s="265"/>
      <c r="P58" s="264"/>
      <c r="Q58" s="265"/>
      <c r="R58" s="264"/>
      <c r="S58" s="265"/>
      <c r="T58" s="264"/>
      <c r="U58" s="265"/>
      <c r="V58" s="264"/>
      <c r="W58" s="265"/>
      <c r="X58" s="264"/>
      <c r="Y58" s="265"/>
      <c r="Z58" s="265"/>
      <c r="AA58" s="264"/>
      <c r="AB58" s="265"/>
      <c r="AC58" s="264"/>
      <c r="AD58" s="264"/>
      <c r="AE58" s="265"/>
      <c r="AF58" s="264"/>
      <c r="AG58" s="265"/>
      <c r="AH58" s="264"/>
      <c r="AI58" s="265"/>
      <c r="AJ58" s="264"/>
      <c r="AK58" s="265"/>
      <c r="AL58" s="264"/>
      <c r="AM58" s="265"/>
      <c r="AN58" s="264"/>
      <c r="AO58" s="265"/>
      <c r="AP58" s="264"/>
      <c r="AQ58" s="265"/>
      <c r="AR58" s="264"/>
      <c r="AS58" s="265"/>
      <c r="AT58" s="265"/>
      <c r="AU58" s="264"/>
      <c r="AV58" s="265"/>
      <c r="AW58" s="264"/>
      <c r="AX58" s="265"/>
      <c r="AY58" s="264"/>
      <c r="AZ58" s="265"/>
      <c r="BA58" s="264"/>
      <c r="BB58" s="265"/>
      <c r="BC58" s="264"/>
      <c r="BD58" s="265"/>
      <c r="BE58" s="264"/>
      <c r="BF58" s="265"/>
      <c r="BG58" s="264"/>
      <c r="BH58" s="265"/>
      <c r="BI58" s="270"/>
      <c r="BJ58" s="268"/>
      <c r="BK58" s="269"/>
      <c r="BL58" s="269"/>
      <c r="BM58" s="270"/>
    </row>
    <row r="59" spans="1:65" s="282" customFormat="1" ht="36" x14ac:dyDescent="0.25">
      <c r="A59" s="246" t="s">
        <v>908</v>
      </c>
      <c r="B59" s="262"/>
      <c r="C59" s="268"/>
      <c r="D59" s="264"/>
      <c r="E59" s="265"/>
      <c r="F59" s="264"/>
      <c r="G59" s="265"/>
      <c r="H59" s="264"/>
      <c r="I59" s="265"/>
      <c r="J59" s="264"/>
      <c r="K59" s="265"/>
      <c r="L59" s="281"/>
      <c r="M59" s="265"/>
      <c r="N59" s="264"/>
      <c r="O59" s="265"/>
      <c r="P59" s="264"/>
      <c r="Q59" s="265"/>
      <c r="R59" s="264"/>
      <c r="S59" s="265"/>
      <c r="T59" s="264"/>
      <c r="U59" s="265"/>
      <c r="V59" s="264"/>
      <c r="W59" s="265"/>
      <c r="X59" s="264"/>
      <c r="Y59" s="265"/>
      <c r="Z59" s="265"/>
      <c r="AA59" s="264"/>
      <c r="AB59" s="265"/>
      <c r="AC59" s="264"/>
      <c r="AD59" s="264"/>
      <c r="AE59" s="265"/>
      <c r="AF59" s="264"/>
      <c r="AG59" s="265"/>
      <c r="AH59" s="264"/>
      <c r="AI59" s="265"/>
      <c r="AJ59" s="264"/>
      <c r="AK59" s="265"/>
      <c r="AL59" s="264"/>
      <c r="AM59" s="265"/>
      <c r="AN59" s="264"/>
      <c r="AO59" s="265"/>
      <c r="AP59" s="264"/>
      <c r="AQ59" s="265"/>
      <c r="AR59" s="264"/>
      <c r="AS59" s="265"/>
      <c r="AT59" s="265"/>
      <c r="AU59" s="264"/>
      <c r="AV59" s="265"/>
      <c r="AW59" s="264"/>
      <c r="AX59" s="265"/>
      <c r="AY59" s="264"/>
      <c r="AZ59" s="265"/>
      <c r="BA59" s="264"/>
      <c r="BB59" s="265"/>
      <c r="BC59" s="264"/>
      <c r="BD59" s="265"/>
      <c r="BE59" s="264"/>
      <c r="BF59" s="265"/>
      <c r="BG59" s="264"/>
      <c r="BH59" s="265"/>
      <c r="BI59" s="270"/>
      <c r="BJ59" s="268"/>
      <c r="BK59" s="269"/>
      <c r="BL59" s="269"/>
      <c r="BM59" s="270"/>
    </row>
    <row r="60" spans="1:65" s="282" customFormat="1" ht="18" x14ac:dyDescent="0.25">
      <c r="A60" s="246" t="s">
        <v>23</v>
      </c>
      <c r="B60" s="283" t="s">
        <v>1577</v>
      </c>
      <c r="C60" s="268"/>
      <c r="D60" s="281">
        <f>SUM(GenFundExp2!I121+GenFundExp2!I122)</f>
        <v>0</v>
      </c>
      <c r="E60" s="265"/>
      <c r="F60" s="281">
        <f>SUM(CharterFundExp2!I121+CharterFundExp2!I122)</f>
        <v>0</v>
      </c>
      <c r="G60" s="265"/>
      <c r="H60" s="264"/>
      <c r="I60" s="265"/>
      <c r="J60" s="264"/>
      <c r="K60" s="265"/>
      <c r="L60" s="281"/>
      <c r="M60" s="265"/>
      <c r="N60" s="264"/>
      <c r="O60" s="265"/>
      <c r="P60" s="264"/>
      <c r="Q60" s="265"/>
      <c r="R60" s="264"/>
      <c r="S60" s="265"/>
      <c r="T60" s="264"/>
      <c r="U60" s="265"/>
      <c r="V60" s="264"/>
      <c r="W60" s="265"/>
      <c r="X60" s="264"/>
      <c r="Y60" s="265"/>
      <c r="Z60" s="265"/>
      <c r="AA60" s="264"/>
      <c r="AB60" s="265"/>
      <c r="AC60" s="264"/>
      <c r="AD60" s="264"/>
      <c r="AE60" s="265"/>
      <c r="AF60" s="264"/>
      <c r="AG60" s="265"/>
      <c r="AH60" s="264"/>
      <c r="AI60" s="265"/>
      <c r="AJ60" s="264"/>
      <c r="AK60" s="265"/>
      <c r="AL60" s="264"/>
      <c r="AM60" s="265"/>
      <c r="AN60" s="264"/>
      <c r="AO60" s="265"/>
      <c r="AP60" s="264"/>
      <c r="AQ60" s="265"/>
      <c r="AR60" s="264"/>
      <c r="AS60" s="265"/>
      <c r="AT60" s="265"/>
      <c r="AU60" s="264"/>
      <c r="AV60" s="265"/>
      <c r="AW60" s="264"/>
      <c r="AX60" s="265"/>
      <c r="AY60" s="264"/>
      <c r="AZ60" s="265"/>
      <c r="BA60" s="264"/>
      <c r="BB60" s="265"/>
      <c r="BC60" s="264"/>
      <c r="BD60" s="265"/>
      <c r="BE60" s="264"/>
      <c r="BF60" s="265"/>
      <c r="BG60" s="264"/>
      <c r="BH60" s="265"/>
      <c r="BI60" s="264">
        <f t="shared" ref="BI60:BI66" si="5">D60+F60+H60+J60+X60+N60+P60+R60+L60+T60+V60+AA60+AC60+AD60+AF60+AH60+AJ60+AL60+AN60+AP60+AR60+AU60+AW60+AY60+BA60+BC60+BE60+BG60</f>
        <v>0</v>
      </c>
      <c r="BJ60" s="268"/>
      <c r="BK60" s="269"/>
      <c r="BL60" s="269"/>
      <c r="BM60" s="270"/>
    </row>
    <row r="61" spans="1:65" s="282" customFormat="1" ht="18" x14ac:dyDescent="0.25">
      <c r="A61" s="246" t="s">
        <v>24</v>
      </c>
      <c r="B61" s="283" t="s">
        <v>1578</v>
      </c>
      <c r="C61" s="268"/>
      <c r="D61" s="281">
        <f>SUM(GenFundExp2!I123+GenFundExp2!I124)</f>
        <v>0</v>
      </c>
      <c r="E61" s="265"/>
      <c r="F61" s="281">
        <f>SUM(CharterFundExp2!I123+CharterFundExp2!I124)</f>
        <v>0</v>
      </c>
      <c r="G61" s="265"/>
      <c r="H61" s="264"/>
      <c r="I61" s="265"/>
      <c r="J61" s="264"/>
      <c r="K61" s="265"/>
      <c r="L61" s="281"/>
      <c r="M61" s="265"/>
      <c r="N61" s="264"/>
      <c r="O61" s="265"/>
      <c r="P61" s="264"/>
      <c r="Q61" s="265"/>
      <c r="R61" s="264"/>
      <c r="S61" s="265"/>
      <c r="T61" s="264"/>
      <c r="U61" s="265"/>
      <c r="V61" s="264"/>
      <c r="W61" s="265"/>
      <c r="X61" s="264"/>
      <c r="Y61" s="265"/>
      <c r="Z61" s="265"/>
      <c r="AA61" s="264"/>
      <c r="AB61" s="265"/>
      <c r="AC61" s="264"/>
      <c r="AD61" s="264"/>
      <c r="AE61" s="265"/>
      <c r="AF61" s="264"/>
      <c r="AG61" s="265"/>
      <c r="AH61" s="264"/>
      <c r="AI61" s="265"/>
      <c r="AJ61" s="264"/>
      <c r="AK61" s="265"/>
      <c r="AL61" s="264"/>
      <c r="AM61" s="265"/>
      <c r="AN61" s="264"/>
      <c r="AO61" s="265"/>
      <c r="AP61" s="264"/>
      <c r="AQ61" s="265"/>
      <c r="AR61" s="264"/>
      <c r="AS61" s="265"/>
      <c r="AT61" s="265"/>
      <c r="AU61" s="264"/>
      <c r="AV61" s="265"/>
      <c r="AW61" s="264"/>
      <c r="AX61" s="265"/>
      <c r="AY61" s="264"/>
      <c r="AZ61" s="265"/>
      <c r="BA61" s="264"/>
      <c r="BB61" s="265"/>
      <c r="BC61" s="264"/>
      <c r="BD61" s="265"/>
      <c r="BE61" s="264"/>
      <c r="BF61" s="265"/>
      <c r="BG61" s="264"/>
      <c r="BH61" s="265"/>
      <c r="BI61" s="264">
        <f t="shared" si="5"/>
        <v>0</v>
      </c>
      <c r="BJ61" s="268"/>
      <c r="BK61" s="269"/>
      <c r="BL61" s="269"/>
      <c r="BM61" s="270"/>
    </row>
    <row r="62" spans="1:65" s="282" customFormat="1" ht="36" x14ac:dyDescent="0.25">
      <c r="A62" s="246" t="s">
        <v>25</v>
      </c>
      <c r="B62" s="283" t="s">
        <v>897</v>
      </c>
      <c r="C62" s="268"/>
      <c r="D62" s="281">
        <f>SUM(GenFundExp2!I125:I136)</f>
        <v>0</v>
      </c>
      <c r="E62" s="265"/>
      <c r="F62" s="281">
        <f>SUM(CharterFundExp2!I125:I136)</f>
        <v>0</v>
      </c>
      <c r="G62" s="265"/>
      <c r="H62" s="281"/>
      <c r="I62" s="265"/>
      <c r="J62" s="264"/>
      <c r="K62" s="265"/>
      <c r="L62" s="281"/>
      <c r="M62" s="265"/>
      <c r="N62" s="264"/>
      <c r="O62" s="265"/>
      <c r="P62" s="264"/>
      <c r="Q62" s="265"/>
      <c r="R62" s="264"/>
      <c r="S62" s="265"/>
      <c r="T62" s="264"/>
      <c r="U62" s="265"/>
      <c r="V62" s="264"/>
      <c r="W62" s="265"/>
      <c r="X62" s="264"/>
      <c r="Y62" s="265"/>
      <c r="Z62" s="265"/>
      <c r="AA62" s="264"/>
      <c r="AB62" s="265"/>
      <c r="AC62" s="264"/>
      <c r="AD62" s="264"/>
      <c r="AE62" s="265"/>
      <c r="AF62" s="264"/>
      <c r="AG62" s="265"/>
      <c r="AH62" s="264"/>
      <c r="AI62" s="265"/>
      <c r="AJ62" s="264"/>
      <c r="AK62" s="265"/>
      <c r="AL62" s="264"/>
      <c r="AM62" s="265"/>
      <c r="AN62" s="264"/>
      <c r="AO62" s="265"/>
      <c r="AP62" s="264"/>
      <c r="AQ62" s="265"/>
      <c r="AR62" s="264"/>
      <c r="AS62" s="265"/>
      <c r="AT62" s="265"/>
      <c r="AU62" s="264"/>
      <c r="AV62" s="265"/>
      <c r="AW62" s="264"/>
      <c r="AX62" s="265"/>
      <c r="AY62" s="264"/>
      <c r="AZ62" s="265"/>
      <c r="BA62" s="264"/>
      <c r="BB62" s="265"/>
      <c r="BC62" s="264"/>
      <c r="BD62" s="265"/>
      <c r="BE62" s="264"/>
      <c r="BF62" s="265"/>
      <c r="BG62" s="264"/>
      <c r="BH62" s="265"/>
      <c r="BI62" s="264">
        <f t="shared" si="5"/>
        <v>0</v>
      </c>
      <c r="BJ62" s="268"/>
      <c r="BK62" s="269"/>
      <c r="BL62" s="269"/>
      <c r="BM62" s="270"/>
    </row>
    <row r="63" spans="1:65" s="282" customFormat="1" ht="18" x14ac:dyDescent="0.25">
      <c r="A63" s="246" t="s">
        <v>898</v>
      </c>
      <c r="B63" s="283" t="s">
        <v>1582</v>
      </c>
      <c r="C63" s="268"/>
      <c r="D63" s="281">
        <f>SUM(GenFundExp2!I137:I138)</f>
        <v>0</v>
      </c>
      <c r="E63" s="265"/>
      <c r="F63" s="281">
        <f>SUM(CharterFundExp2!I137:I138)</f>
        <v>0</v>
      </c>
      <c r="G63" s="265"/>
      <c r="H63" s="264"/>
      <c r="I63" s="265"/>
      <c r="J63" s="264"/>
      <c r="K63" s="265"/>
      <c r="L63" s="281"/>
      <c r="M63" s="265"/>
      <c r="N63" s="264"/>
      <c r="O63" s="265"/>
      <c r="P63" s="264"/>
      <c r="Q63" s="265"/>
      <c r="R63" s="264"/>
      <c r="S63" s="265"/>
      <c r="T63" s="264"/>
      <c r="U63" s="265"/>
      <c r="V63" s="264"/>
      <c r="W63" s="265"/>
      <c r="X63" s="264"/>
      <c r="Y63" s="265"/>
      <c r="Z63" s="265"/>
      <c r="AA63" s="264"/>
      <c r="AB63" s="265"/>
      <c r="AC63" s="264"/>
      <c r="AD63" s="264"/>
      <c r="AE63" s="265"/>
      <c r="AF63" s="264"/>
      <c r="AG63" s="265"/>
      <c r="AH63" s="264"/>
      <c r="AI63" s="265"/>
      <c r="AJ63" s="264"/>
      <c r="AK63" s="265"/>
      <c r="AL63" s="264"/>
      <c r="AM63" s="265"/>
      <c r="AN63" s="264"/>
      <c r="AO63" s="265"/>
      <c r="AP63" s="264"/>
      <c r="AQ63" s="265"/>
      <c r="AR63" s="264"/>
      <c r="AS63" s="265"/>
      <c r="AT63" s="265"/>
      <c r="AU63" s="264"/>
      <c r="AV63" s="265"/>
      <c r="AW63" s="264"/>
      <c r="AX63" s="265"/>
      <c r="AY63" s="264"/>
      <c r="AZ63" s="265"/>
      <c r="BA63" s="264"/>
      <c r="BB63" s="265"/>
      <c r="BC63" s="264"/>
      <c r="BD63" s="265"/>
      <c r="BE63" s="264"/>
      <c r="BF63" s="265"/>
      <c r="BG63" s="264"/>
      <c r="BH63" s="265"/>
      <c r="BI63" s="264">
        <f t="shared" si="5"/>
        <v>0</v>
      </c>
      <c r="BJ63" s="268"/>
      <c r="BK63" s="269"/>
      <c r="BL63" s="269"/>
      <c r="BM63" s="270"/>
    </row>
    <row r="64" spans="1:65" s="282" customFormat="1" ht="18" x14ac:dyDescent="0.25">
      <c r="A64" s="246" t="s">
        <v>899</v>
      </c>
      <c r="B64" s="283" t="s">
        <v>1583</v>
      </c>
      <c r="C64" s="268"/>
      <c r="D64" s="281">
        <f>SUM(GenFundExp2!I139:I142)</f>
        <v>0</v>
      </c>
      <c r="E64" s="265"/>
      <c r="F64" s="281">
        <f>SUM(CharterFundExp2!I139:I142)</f>
        <v>0</v>
      </c>
      <c r="G64" s="265"/>
      <c r="H64" s="264"/>
      <c r="I64" s="265"/>
      <c r="J64" s="264"/>
      <c r="K64" s="265"/>
      <c r="L64" s="281"/>
      <c r="M64" s="265"/>
      <c r="N64" s="264"/>
      <c r="O64" s="265"/>
      <c r="P64" s="264"/>
      <c r="Q64" s="265"/>
      <c r="R64" s="264"/>
      <c r="S64" s="265"/>
      <c r="T64" s="264"/>
      <c r="U64" s="265"/>
      <c r="V64" s="264"/>
      <c r="W64" s="265"/>
      <c r="X64" s="264"/>
      <c r="Y64" s="265"/>
      <c r="Z64" s="265"/>
      <c r="AA64" s="264"/>
      <c r="AB64" s="265"/>
      <c r="AC64" s="264"/>
      <c r="AD64" s="264"/>
      <c r="AE64" s="265"/>
      <c r="AF64" s="264"/>
      <c r="AG64" s="265"/>
      <c r="AH64" s="264"/>
      <c r="AI64" s="265"/>
      <c r="AJ64" s="264"/>
      <c r="AK64" s="265"/>
      <c r="AL64" s="264"/>
      <c r="AM64" s="265"/>
      <c r="AN64" s="264"/>
      <c r="AO64" s="265"/>
      <c r="AP64" s="264"/>
      <c r="AQ64" s="265"/>
      <c r="AR64" s="264"/>
      <c r="AS64" s="265"/>
      <c r="AT64" s="265"/>
      <c r="AU64" s="264"/>
      <c r="AV64" s="265"/>
      <c r="AW64" s="264"/>
      <c r="AX64" s="265"/>
      <c r="AY64" s="264"/>
      <c r="AZ64" s="265"/>
      <c r="BA64" s="264"/>
      <c r="BB64" s="265"/>
      <c r="BC64" s="264"/>
      <c r="BD64" s="265"/>
      <c r="BE64" s="264"/>
      <c r="BF64" s="265"/>
      <c r="BG64" s="264"/>
      <c r="BH64" s="265"/>
      <c r="BI64" s="264">
        <f t="shared" si="5"/>
        <v>0</v>
      </c>
      <c r="BJ64" s="268"/>
      <c r="BK64" s="269"/>
      <c r="BL64" s="269"/>
      <c r="BM64" s="270"/>
    </row>
    <row r="65" spans="1:65" s="282" customFormat="1" ht="18.75" thickBot="1" x14ac:dyDescent="0.3">
      <c r="A65" s="246" t="s">
        <v>900</v>
      </c>
      <c r="B65" s="283" t="s">
        <v>901</v>
      </c>
      <c r="C65" s="268"/>
      <c r="D65" s="281">
        <f>SUM(GenFundExp2!I143:I148)</f>
        <v>0</v>
      </c>
      <c r="E65" s="265"/>
      <c r="F65" s="281">
        <f>SUM(CharterFundExp2!I143:I148)</f>
        <v>0</v>
      </c>
      <c r="G65" s="265"/>
      <c r="H65" s="264"/>
      <c r="I65" s="265"/>
      <c r="J65" s="264"/>
      <c r="K65" s="265"/>
      <c r="L65" s="281"/>
      <c r="M65" s="265"/>
      <c r="N65" s="264"/>
      <c r="O65" s="265"/>
      <c r="P65" s="264"/>
      <c r="Q65" s="265"/>
      <c r="R65" s="264"/>
      <c r="S65" s="265"/>
      <c r="T65" s="264"/>
      <c r="U65" s="265"/>
      <c r="V65" s="264"/>
      <c r="W65" s="265"/>
      <c r="X65" s="264"/>
      <c r="Y65" s="265"/>
      <c r="Z65" s="265"/>
      <c r="AA65" s="264"/>
      <c r="AB65" s="265"/>
      <c r="AC65" s="264"/>
      <c r="AD65" s="264"/>
      <c r="AE65" s="265"/>
      <c r="AF65" s="264"/>
      <c r="AG65" s="265"/>
      <c r="AH65" s="264"/>
      <c r="AI65" s="265"/>
      <c r="AJ65" s="264"/>
      <c r="AK65" s="265"/>
      <c r="AL65" s="264"/>
      <c r="AM65" s="265"/>
      <c r="AN65" s="264"/>
      <c r="AO65" s="265"/>
      <c r="AP65" s="264"/>
      <c r="AQ65" s="265"/>
      <c r="AR65" s="264"/>
      <c r="AS65" s="265"/>
      <c r="AT65" s="265"/>
      <c r="AU65" s="264"/>
      <c r="AV65" s="265"/>
      <c r="AW65" s="264"/>
      <c r="AX65" s="265"/>
      <c r="AY65" s="264"/>
      <c r="AZ65" s="265"/>
      <c r="BA65" s="264"/>
      <c r="BB65" s="265"/>
      <c r="BC65" s="264"/>
      <c r="BD65" s="265"/>
      <c r="BE65" s="264"/>
      <c r="BF65" s="265"/>
      <c r="BG65" s="264"/>
      <c r="BH65" s="265"/>
      <c r="BI65" s="264">
        <f t="shared" si="5"/>
        <v>0</v>
      </c>
      <c r="BJ65" s="268"/>
      <c r="BK65" s="269"/>
      <c r="BL65" s="269"/>
      <c r="BM65" s="270"/>
    </row>
    <row r="66" spans="1:65" s="282" customFormat="1" ht="18.75" thickBot="1" x14ac:dyDescent="0.3">
      <c r="A66" s="271" t="s">
        <v>909</v>
      </c>
      <c r="B66" s="279"/>
      <c r="C66" s="275"/>
      <c r="D66" s="274">
        <f>SUM(D60:D65)</f>
        <v>0</v>
      </c>
      <c r="E66" s="275"/>
      <c r="F66" s="274">
        <f>SUM(F60:F65)</f>
        <v>0</v>
      </c>
      <c r="G66" s="275"/>
      <c r="H66" s="274">
        <f>SUM(H60:H65)</f>
        <v>0</v>
      </c>
      <c r="I66" s="275"/>
      <c r="J66" s="274">
        <f>SUM(J60:J65)</f>
        <v>0</v>
      </c>
      <c r="K66" s="275"/>
      <c r="L66" s="274">
        <f>SUM(L60:L65)</f>
        <v>0</v>
      </c>
      <c r="M66" s="275"/>
      <c r="N66" s="274">
        <f>SUM(N60:N65)</f>
        <v>0</v>
      </c>
      <c r="O66" s="275"/>
      <c r="P66" s="274">
        <f>SUM(P60:P65)</f>
        <v>0</v>
      </c>
      <c r="Q66" s="275"/>
      <c r="R66" s="274">
        <f>SUM(R60:R65)</f>
        <v>0</v>
      </c>
      <c r="S66" s="275"/>
      <c r="T66" s="274">
        <f>SUM(T60:T65)</f>
        <v>0</v>
      </c>
      <c r="U66" s="275"/>
      <c r="V66" s="274">
        <f>SUM(V60:V65)</f>
        <v>0</v>
      </c>
      <c r="W66" s="275"/>
      <c r="X66" s="274">
        <f>SUM(X60:X65)</f>
        <v>0</v>
      </c>
      <c r="Y66" s="275"/>
      <c r="Z66" s="275"/>
      <c r="AA66" s="274">
        <f>SUM(AA60:AA65)</f>
        <v>0</v>
      </c>
      <c r="AB66" s="275"/>
      <c r="AC66" s="274">
        <f>SUM(AC60:AC65)</f>
        <v>0</v>
      </c>
      <c r="AD66" s="274">
        <f>SUM(AD60:AD65)</f>
        <v>0</v>
      </c>
      <c r="AE66" s="275"/>
      <c r="AF66" s="274">
        <f>SUM(AF60:AF65)</f>
        <v>0</v>
      </c>
      <c r="AG66" s="275"/>
      <c r="AH66" s="274">
        <f>SUM(AH60:AH65)</f>
        <v>0</v>
      </c>
      <c r="AI66" s="275"/>
      <c r="AJ66" s="274">
        <f>SUM(AJ60:AJ65)</f>
        <v>0</v>
      </c>
      <c r="AK66" s="275"/>
      <c r="AL66" s="274">
        <f>SUM(AL60:AL65)</f>
        <v>0</v>
      </c>
      <c r="AM66" s="275"/>
      <c r="AN66" s="274">
        <f>SUM(AN60:AN65)</f>
        <v>0</v>
      </c>
      <c r="AO66" s="275"/>
      <c r="AP66" s="274">
        <f>SUM(AP60:AP65)</f>
        <v>0</v>
      </c>
      <c r="AQ66" s="275"/>
      <c r="AR66" s="274">
        <f>SUM(AR60:AR65)</f>
        <v>0</v>
      </c>
      <c r="AS66" s="275"/>
      <c r="AT66" s="275"/>
      <c r="AU66" s="274">
        <f>SUM(AU60:AU65)</f>
        <v>0</v>
      </c>
      <c r="AV66" s="275"/>
      <c r="AW66" s="274">
        <f>SUM(AW60:AW65)</f>
        <v>0</v>
      </c>
      <c r="AX66" s="275"/>
      <c r="AY66" s="274">
        <f>SUM(AY60:AY65)</f>
        <v>0</v>
      </c>
      <c r="AZ66" s="275"/>
      <c r="BA66" s="274">
        <f>SUM(BA60:BA65)</f>
        <v>0</v>
      </c>
      <c r="BB66" s="275"/>
      <c r="BC66" s="274">
        <f>SUM(BC60:BC65)</f>
        <v>0</v>
      </c>
      <c r="BD66" s="275"/>
      <c r="BE66" s="274">
        <f>SUM(BE60:BE65)</f>
        <v>0</v>
      </c>
      <c r="BF66" s="275"/>
      <c r="BG66" s="274">
        <f>SUM(BG60:BG65)</f>
        <v>0</v>
      </c>
      <c r="BH66" s="275"/>
      <c r="BI66" s="274">
        <f t="shared" si="5"/>
        <v>0</v>
      </c>
      <c r="BJ66" s="275"/>
      <c r="BK66" s="276"/>
      <c r="BL66" s="276"/>
      <c r="BM66" s="270"/>
    </row>
    <row r="67" spans="1:65" s="282" customFormat="1" ht="18" x14ac:dyDescent="0.25">
      <c r="A67" s="246"/>
      <c r="B67" s="262"/>
      <c r="C67" s="268"/>
      <c r="D67" s="264"/>
      <c r="E67" s="265"/>
      <c r="F67" s="264"/>
      <c r="G67" s="265"/>
      <c r="H67" s="264"/>
      <c r="I67" s="265"/>
      <c r="J67" s="264"/>
      <c r="K67" s="265"/>
      <c r="L67" s="281"/>
      <c r="M67" s="265"/>
      <c r="N67" s="264"/>
      <c r="O67" s="265"/>
      <c r="P67" s="264"/>
      <c r="Q67" s="265"/>
      <c r="R67" s="264"/>
      <c r="S67" s="265"/>
      <c r="T67" s="264"/>
      <c r="U67" s="265"/>
      <c r="V67" s="264"/>
      <c r="W67" s="265"/>
      <c r="X67" s="264"/>
      <c r="Y67" s="265"/>
      <c r="Z67" s="265"/>
      <c r="AA67" s="264"/>
      <c r="AB67" s="265"/>
      <c r="AC67" s="264"/>
      <c r="AD67" s="264"/>
      <c r="AE67" s="265"/>
      <c r="AF67" s="264"/>
      <c r="AG67" s="265"/>
      <c r="AH67" s="264"/>
      <c r="AI67" s="265"/>
      <c r="AJ67" s="264"/>
      <c r="AK67" s="265"/>
      <c r="AL67" s="264"/>
      <c r="AM67" s="265"/>
      <c r="AN67" s="264"/>
      <c r="AO67" s="265"/>
      <c r="AP67" s="264"/>
      <c r="AQ67" s="265"/>
      <c r="AR67" s="264"/>
      <c r="AS67" s="265"/>
      <c r="AT67" s="265"/>
      <c r="AU67" s="264"/>
      <c r="AV67" s="265"/>
      <c r="AW67" s="264"/>
      <c r="AX67" s="265"/>
      <c r="AY67" s="264"/>
      <c r="AZ67" s="265"/>
      <c r="BA67" s="264"/>
      <c r="BB67" s="265"/>
      <c r="BC67" s="264"/>
      <c r="BD67" s="265"/>
      <c r="BE67" s="264"/>
      <c r="BF67" s="265"/>
      <c r="BG67" s="264"/>
      <c r="BH67" s="265"/>
      <c r="BI67" s="270"/>
      <c r="BJ67" s="268"/>
      <c r="BK67" s="269"/>
      <c r="BL67" s="269"/>
      <c r="BM67" s="270"/>
    </row>
    <row r="68" spans="1:65" s="282" customFormat="1" ht="18" x14ac:dyDescent="0.25">
      <c r="A68" s="246" t="s">
        <v>910</v>
      </c>
      <c r="B68" s="262"/>
      <c r="C68" s="268"/>
      <c r="D68" s="264"/>
      <c r="E68" s="265"/>
      <c r="F68" s="264"/>
      <c r="G68" s="265"/>
      <c r="H68" s="264"/>
      <c r="I68" s="265"/>
      <c r="J68" s="264"/>
      <c r="K68" s="265"/>
      <c r="L68" s="281"/>
      <c r="M68" s="265"/>
      <c r="N68" s="264"/>
      <c r="O68" s="265"/>
      <c r="P68" s="264"/>
      <c r="Q68" s="265"/>
      <c r="R68" s="264"/>
      <c r="S68" s="265"/>
      <c r="T68" s="264"/>
      <c r="U68" s="265"/>
      <c r="V68" s="264"/>
      <c r="W68" s="265"/>
      <c r="X68" s="264"/>
      <c r="Y68" s="265"/>
      <c r="Z68" s="265"/>
      <c r="AA68" s="264"/>
      <c r="AB68" s="265"/>
      <c r="AC68" s="264"/>
      <c r="AD68" s="264"/>
      <c r="AE68" s="265"/>
      <c r="AF68" s="264"/>
      <c r="AG68" s="265"/>
      <c r="AH68" s="264"/>
      <c r="AI68" s="265"/>
      <c r="AJ68" s="264"/>
      <c r="AK68" s="265"/>
      <c r="AL68" s="264"/>
      <c r="AM68" s="265"/>
      <c r="AN68" s="264"/>
      <c r="AO68" s="265"/>
      <c r="AP68" s="264"/>
      <c r="AQ68" s="265"/>
      <c r="AR68" s="264"/>
      <c r="AS68" s="265"/>
      <c r="AT68" s="265"/>
      <c r="AU68" s="264"/>
      <c r="AV68" s="265"/>
      <c r="AW68" s="264"/>
      <c r="AX68" s="265"/>
      <c r="AY68" s="264"/>
      <c r="AZ68" s="265"/>
      <c r="BA68" s="264"/>
      <c r="BB68" s="265"/>
      <c r="BC68" s="264"/>
      <c r="BD68" s="265"/>
      <c r="BE68" s="264"/>
      <c r="BF68" s="265"/>
      <c r="BG68" s="264"/>
      <c r="BH68" s="265"/>
      <c r="BI68" s="270"/>
      <c r="BJ68" s="268"/>
      <c r="BK68" s="269"/>
      <c r="BL68" s="269"/>
      <c r="BM68" s="270"/>
    </row>
    <row r="69" spans="1:65" s="282" customFormat="1" ht="18" x14ac:dyDescent="0.25">
      <c r="A69" s="246" t="s">
        <v>23</v>
      </c>
      <c r="B69" s="283" t="s">
        <v>1577</v>
      </c>
      <c r="C69" s="268"/>
      <c r="D69" s="281">
        <f>SUM(GenFundExp2!I152+GenFundExp2!I153)</f>
        <v>0</v>
      </c>
      <c r="E69" s="265"/>
      <c r="F69" s="281">
        <f>SUM(CharterFundExp2!I152+CharterFundExp2!I153)</f>
        <v>0</v>
      </c>
      <c r="G69" s="265"/>
      <c r="H69" s="264"/>
      <c r="I69" s="265"/>
      <c r="J69" s="264"/>
      <c r="K69" s="265"/>
      <c r="L69" s="281"/>
      <c r="M69" s="265"/>
      <c r="N69" s="264"/>
      <c r="O69" s="265"/>
      <c r="P69" s="264"/>
      <c r="Q69" s="265"/>
      <c r="R69" s="264"/>
      <c r="S69" s="265"/>
      <c r="T69" s="264"/>
      <c r="U69" s="265"/>
      <c r="V69" s="264"/>
      <c r="W69" s="265"/>
      <c r="X69" s="264"/>
      <c r="Y69" s="265"/>
      <c r="Z69" s="265"/>
      <c r="AA69" s="264"/>
      <c r="AB69" s="265"/>
      <c r="AC69" s="264"/>
      <c r="AD69" s="264"/>
      <c r="AE69" s="265"/>
      <c r="AF69" s="264"/>
      <c r="AG69" s="265"/>
      <c r="AH69" s="264"/>
      <c r="AI69" s="265"/>
      <c r="AJ69" s="264"/>
      <c r="AK69" s="265"/>
      <c r="AL69" s="264"/>
      <c r="AM69" s="265"/>
      <c r="AN69" s="264"/>
      <c r="AO69" s="265"/>
      <c r="AP69" s="264"/>
      <c r="AQ69" s="265"/>
      <c r="AR69" s="264"/>
      <c r="AS69" s="265"/>
      <c r="AT69" s="265"/>
      <c r="AU69" s="264"/>
      <c r="AV69" s="265"/>
      <c r="AW69" s="264"/>
      <c r="AX69" s="265"/>
      <c r="AY69" s="264"/>
      <c r="AZ69" s="265"/>
      <c r="BA69" s="264"/>
      <c r="BB69" s="265"/>
      <c r="BC69" s="264"/>
      <c r="BD69" s="265"/>
      <c r="BE69" s="264"/>
      <c r="BF69" s="265"/>
      <c r="BG69" s="264"/>
      <c r="BH69" s="265"/>
      <c r="BI69" s="264">
        <f t="shared" ref="BI69:BI75" si="6">D69+F69+H69+J69+X69+N69+P69+R69+L69+T69+V69+AA69+AC69+AD69+AF69+AH69+AJ69+AL69+AN69+AP69+AR69+AU69+AW69+AY69+BA69+BC69+BE69+BG69</f>
        <v>0</v>
      </c>
      <c r="BJ69" s="268"/>
      <c r="BK69" s="269"/>
      <c r="BL69" s="269"/>
      <c r="BM69" s="270"/>
    </row>
    <row r="70" spans="1:65" s="282" customFormat="1" ht="18" x14ac:dyDescent="0.25">
      <c r="A70" s="246" t="s">
        <v>24</v>
      </c>
      <c r="B70" s="283" t="s">
        <v>1578</v>
      </c>
      <c r="C70" s="268"/>
      <c r="D70" s="281">
        <f>SUM(GenFundExp2!I154+GenFundExp2!I155)</f>
        <v>0</v>
      </c>
      <c r="E70" s="265"/>
      <c r="F70" s="281">
        <f>SUM(CharterFundExp2!I154+CharterFundExp2!I155)</f>
        <v>0</v>
      </c>
      <c r="G70" s="265"/>
      <c r="H70" s="264"/>
      <c r="I70" s="265"/>
      <c r="J70" s="264"/>
      <c r="K70" s="265"/>
      <c r="L70" s="281"/>
      <c r="M70" s="265"/>
      <c r="N70" s="264"/>
      <c r="O70" s="265"/>
      <c r="P70" s="264"/>
      <c r="Q70" s="265"/>
      <c r="R70" s="264"/>
      <c r="S70" s="265"/>
      <c r="T70" s="264"/>
      <c r="U70" s="265"/>
      <c r="V70" s="264"/>
      <c r="W70" s="265"/>
      <c r="X70" s="264"/>
      <c r="Y70" s="265"/>
      <c r="Z70" s="265"/>
      <c r="AA70" s="264"/>
      <c r="AB70" s="265"/>
      <c r="AC70" s="264"/>
      <c r="AD70" s="264"/>
      <c r="AE70" s="265"/>
      <c r="AF70" s="264"/>
      <c r="AG70" s="265"/>
      <c r="AH70" s="264"/>
      <c r="AI70" s="265"/>
      <c r="AJ70" s="264"/>
      <c r="AK70" s="265"/>
      <c r="AL70" s="264"/>
      <c r="AM70" s="265"/>
      <c r="AN70" s="264"/>
      <c r="AO70" s="265"/>
      <c r="AP70" s="264"/>
      <c r="AQ70" s="265"/>
      <c r="AR70" s="264"/>
      <c r="AS70" s="265"/>
      <c r="AT70" s="265"/>
      <c r="AU70" s="264"/>
      <c r="AV70" s="265"/>
      <c r="AW70" s="264"/>
      <c r="AX70" s="265"/>
      <c r="AY70" s="264"/>
      <c r="AZ70" s="265"/>
      <c r="BA70" s="264"/>
      <c r="BB70" s="265"/>
      <c r="BC70" s="264"/>
      <c r="BD70" s="265"/>
      <c r="BE70" s="264"/>
      <c r="BF70" s="265"/>
      <c r="BG70" s="264"/>
      <c r="BH70" s="265"/>
      <c r="BI70" s="264">
        <f t="shared" si="6"/>
        <v>0</v>
      </c>
      <c r="BJ70" s="268"/>
      <c r="BK70" s="269"/>
      <c r="BL70" s="269"/>
      <c r="BM70" s="270"/>
    </row>
    <row r="71" spans="1:65" s="282" customFormat="1" ht="36" x14ac:dyDescent="0.25">
      <c r="A71" s="246" t="s">
        <v>25</v>
      </c>
      <c r="B71" s="283" t="s">
        <v>897</v>
      </c>
      <c r="C71" s="268"/>
      <c r="D71" s="281">
        <f>SUM(GenFundExp2!I156:I174)</f>
        <v>0</v>
      </c>
      <c r="E71" s="265"/>
      <c r="F71" s="281">
        <f>SUM(CharterFundExp2!I156:I174)</f>
        <v>0</v>
      </c>
      <c r="G71" s="265"/>
      <c r="H71" s="264"/>
      <c r="I71" s="265"/>
      <c r="J71" s="264"/>
      <c r="K71" s="265"/>
      <c r="L71" s="281"/>
      <c r="M71" s="265"/>
      <c r="N71" s="264"/>
      <c r="O71" s="265"/>
      <c r="P71" s="264"/>
      <c r="Q71" s="265"/>
      <c r="R71" s="264"/>
      <c r="S71" s="265"/>
      <c r="T71" s="264"/>
      <c r="U71" s="265"/>
      <c r="V71" s="264"/>
      <c r="W71" s="265"/>
      <c r="X71" s="264"/>
      <c r="Y71" s="265"/>
      <c r="Z71" s="265"/>
      <c r="AA71" s="264"/>
      <c r="AB71" s="265"/>
      <c r="AC71" s="264"/>
      <c r="AD71" s="264"/>
      <c r="AE71" s="265"/>
      <c r="AF71" s="264"/>
      <c r="AG71" s="265"/>
      <c r="AH71" s="264"/>
      <c r="AI71" s="265"/>
      <c r="AJ71" s="264"/>
      <c r="AK71" s="265"/>
      <c r="AL71" s="264"/>
      <c r="AM71" s="265"/>
      <c r="AN71" s="264"/>
      <c r="AO71" s="265"/>
      <c r="AP71" s="264"/>
      <c r="AQ71" s="265"/>
      <c r="AR71" s="264"/>
      <c r="AS71" s="265"/>
      <c r="AT71" s="265"/>
      <c r="AU71" s="264"/>
      <c r="AV71" s="265"/>
      <c r="AW71" s="264"/>
      <c r="AX71" s="265"/>
      <c r="AY71" s="264"/>
      <c r="AZ71" s="265"/>
      <c r="BA71" s="264"/>
      <c r="BB71" s="265"/>
      <c r="BC71" s="264"/>
      <c r="BD71" s="265"/>
      <c r="BE71" s="264"/>
      <c r="BF71" s="265"/>
      <c r="BG71" s="264"/>
      <c r="BH71" s="265"/>
      <c r="BI71" s="264">
        <f t="shared" si="6"/>
        <v>0</v>
      </c>
      <c r="BJ71" s="268"/>
      <c r="BK71" s="269"/>
      <c r="BL71" s="269"/>
      <c r="BM71" s="270"/>
    </row>
    <row r="72" spans="1:65" s="282" customFormat="1" ht="18" x14ac:dyDescent="0.25">
      <c r="A72" s="246" t="s">
        <v>898</v>
      </c>
      <c r="B72" s="283" t="s">
        <v>1582</v>
      </c>
      <c r="C72" s="268"/>
      <c r="D72" s="281">
        <f>SUM(GenFundExp2!I175:I176)</f>
        <v>0</v>
      </c>
      <c r="E72" s="265"/>
      <c r="F72" s="281">
        <f>SUM(CharterFundExp2!I175:I176)</f>
        <v>0</v>
      </c>
      <c r="G72" s="265"/>
      <c r="H72" s="264"/>
      <c r="I72" s="265"/>
      <c r="J72" s="264"/>
      <c r="K72" s="265"/>
      <c r="L72" s="281"/>
      <c r="M72" s="265"/>
      <c r="N72" s="264"/>
      <c r="O72" s="265"/>
      <c r="P72" s="264"/>
      <c r="Q72" s="265"/>
      <c r="R72" s="264"/>
      <c r="S72" s="265"/>
      <c r="T72" s="264"/>
      <c r="U72" s="265"/>
      <c r="V72" s="264"/>
      <c r="W72" s="265"/>
      <c r="X72" s="264"/>
      <c r="Y72" s="265"/>
      <c r="Z72" s="265"/>
      <c r="AA72" s="264"/>
      <c r="AB72" s="265"/>
      <c r="AC72" s="264"/>
      <c r="AD72" s="264"/>
      <c r="AE72" s="265"/>
      <c r="AF72" s="264"/>
      <c r="AG72" s="265"/>
      <c r="AH72" s="264"/>
      <c r="AI72" s="265"/>
      <c r="AJ72" s="264"/>
      <c r="AK72" s="265"/>
      <c r="AL72" s="264"/>
      <c r="AM72" s="265"/>
      <c r="AN72" s="264"/>
      <c r="AO72" s="265"/>
      <c r="AP72" s="264"/>
      <c r="AQ72" s="265"/>
      <c r="AR72" s="264"/>
      <c r="AS72" s="265"/>
      <c r="AT72" s="265"/>
      <c r="AU72" s="264"/>
      <c r="AV72" s="265"/>
      <c r="AW72" s="264"/>
      <c r="AX72" s="265"/>
      <c r="AY72" s="264"/>
      <c r="AZ72" s="265"/>
      <c r="BA72" s="264"/>
      <c r="BB72" s="265"/>
      <c r="BC72" s="264"/>
      <c r="BD72" s="265"/>
      <c r="BE72" s="264"/>
      <c r="BF72" s="265"/>
      <c r="BG72" s="264"/>
      <c r="BH72" s="265"/>
      <c r="BI72" s="264">
        <f t="shared" si="6"/>
        <v>0</v>
      </c>
      <c r="BJ72" s="268"/>
      <c r="BK72" s="269"/>
      <c r="BL72" s="269"/>
      <c r="BM72" s="270"/>
    </row>
    <row r="73" spans="1:65" s="282" customFormat="1" ht="18" x14ac:dyDescent="0.25">
      <c r="A73" s="246" t="s">
        <v>911</v>
      </c>
      <c r="B73" s="283" t="s">
        <v>1583</v>
      </c>
      <c r="C73" s="268"/>
      <c r="D73" s="281">
        <f>SUM(GenFundExp2!I177:I180)</f>
        <v>0</v>
      </c>
      <c r="E73" s="265"/>
      <c r="F73" s="281">
        <f>SUM(CharterFundExp2!I177:I180)</f>
        <v>0</v>
      </c>
      <c r="G73" s="265"/>
      <c r="H73" s="264"/>
      <c r="I73" s="265"/>
      <c r="J73" s="264"/>
      <c r="K73" s="265"/>
      <c r="L73" s="281"/>
      <c r="M73" s="265"/>
      <c r="N73" s="264"/>
      <c r="O73" s="265"/>
      <c r="P73" s="264"/>
      <c r="Q73" s="265"/>
      <c r="R73" s="264"/>
      <c r="S73" s="265"/>
      <c r="T73" s="264"/>
      <c r="U73" s="265"/>
      <c r="V73" s="264"/>
      <c r="W73" s="265"/>
      <c r="X73" s="264"/>
      <c r="Y73" s="265"/>
      <c r="Z73" s="265"/>
      <c r="AA73" s="264"/>
      <c r="AB73" s="265"/>
      <c r="AC73" s="264"/>
      <c r="AD73" s="264"/>
      <c r="AE73" s="265"/>
      <c r="AF73" s="264"/>
      <c r="AG73" s="265"/>
      <c r="AH73" s="264"/>
      <c r="AI73" s="265"/>
      <c r="AJ73" s="264"/>
      <c r="AK73" s="265"/>
      <c r="AL73" s="264"/>
      <c r="AM73" s="265"/>
      <c r="AN73" s="264"/>
      <c r="AO73" s="265"/>
      <c r="AP73" s="264"/>
      <c r="AQ73" s="265"/>
      <c r="AR73" s="264"/>
      <c r="AS73" s="265"/>
      <c r="AT73" s="265"/>
      <c r="AU73" s="264"/>
      <c r="AV73" s="265"/>
      <c r="AW73" s="264"/>
      <c r="AX73" s="265"/>
      <c r="AY73" s="264"/>
      <c r="AZ73" s="265"/>
      <c r="BA73" s="264"/>
      <c r="BB73" s="265"/>
      <c r="BC73" s="264"/>
      <c r="BD73" s="265"/>
      <c r="BE73" s="264"/>
      <c r="BF73" s="265"/>
      <c r="BG73" s="264"/>
      <c r="BH73" s="265"/>
      <c r="BI73" s="264">
        <f t="shared" si="6"/>
        <v>0</v>
      </c>
      <c r="BJ73" s="268"/>
      <c r="BK73" s="269"/>
      <c r="BL73" s="269"/>
      <c r="BM73" s="270"/>
    </row>
    <row r="74" spans="1:65" s="282" customFormat="1" ht="18.75" thickBot="1" x14ac:dyDescent="0.3">
      <c r="A74" s="246" t="s">
        <v>900</v>
      </c>
      <c r="B74" s="283" t="s">
        <v>901</v>
      </c>
      <c r="C74" s="268"/>
      <c r="D74" s="281">
        <f>SUM(GenFundExp2!I181:I186)</f>
        <v>0</v>
      </c>
      <c r="E74" s="265"/>
      <c r="F74" s="281">
        <f>SUM(CharterFundExp2!I181:I186)</f>
        <v>0</v>
      </c>
      <c r="G74" s="265"/>
      <c r="H74" s="264"/>
      <c r="I74" s="265"/>
      <c r="J74" s="264"/>
      <c r="K74" s="265"/>
      <c r="L74" s="281"/>
      <c r="M74" s="265"/>
      <c r="N74" s="264"/>
      <c r="O74" s="265"/>
      <c r="P74" s="264"/>
      <c r="Q74" s="265"/>
      <c r="R74" s="264"/>
      <c r="S74" s="265"/>
      <c r="T74" s="264"/>
      <c r="U74" s="265"/>
      <c r="V74" s="264"/>
      <c r="W74" s="265"/>
      <c r="X74" s="264"/>
      <c r="Y74" s="265"/>
      <c r="Z74" s="265"/>
      <c r="AA74" s="264"/>
      <c r="AB74" s="265"/>
      <c r="AC74" s="264"/>
      <c r="AD74" s="264"/>
      <c r="AE74" s="265"/>
      <c r="AF74" s="264"/>
      <c r="AG74" s="265"/>
      <c r="AH74" s="264"/>
      <c r="AI74" s="265"/>
      <c r="AJ74" s="264"/>
      <c r="AK74" s="265"/>
      <c r="AL74" s="264"/>
      <c r="AM74" s="265"/>
      <c r="AN74" s="264"/>
      <c r="AO74" s="265"/>
      <c r="AP74" s="264"/>
      <c r="AQ74" s="265"/>
      <c r="AR74" s="264"/>
      <c r="AS74" s="265"/>
      <c r="AT74" s="265"/>
      <c r="AU74" s="264"/>
      <c r="AV74" s="265"/>
      <c r="AW74" s="264"/>
      <c r="AX74" s="265"/>
      <c r="AY74" s="264"/>
      <c r="AZ74" s="265"/>
      <c r="BA74" s="264"/>
      <c r="BB74" s="265"/>
      <c r="BC74" s="264"/>
      <c r="BD74" s="265"/>
      <c r="BE74" s="264"/>
      <c r="BF74" s="265"/>
      <c r="BG74" s="264"/>
      <c r="BH74" s="265"/>
      <c r="BI74" s="264">
        <f t="shared" si="6"/>
        <v>0</v>
      </c>
      <c r="BJ74" s="268"/>
      <c r="BK74" s="269"/>
      <c r="BL74" s="269"/>
      <c r="BM74" s="270"/>
    </row>
    <row r="75" spans="1:65" s="282" customFormat="1" ht="18.75" thickBot="1" x14ac:dyDescent="0.3">
      <c r="A75" s="271" t="s">
        <v>909</v>
      </c>
      <c r="B75" s="279"/>
      <c r="C75" s="275"/>
      <c r="D75" s="274">
        <f>SUM(D69:D74)</f>
        <v>0</v>
      </c>
      <c r="E75" s="275"/>
      <c r="F75" s="274">
        <f>SUM(F69:F74)</f>
        <v>0</v>
      </c>
      <c r="G75" s="275"/>
      <c r="H75" s="274">
        <f>SUM(H69:H74)</f>
        <v>0</v>
      </c>
      <c r="I75" s="275"/>
      <c r="J75" s="274">
        <f>SUM(J69:J74)</f>
        <v>0</v>
      </c>
      <c r="K75" s="275"/>
      <c r="L75" s="274">
        <f>SUM(L69:L74)</f>
        <v>0</v>
      </c>
      <c r="M75" s="275"/>
      <c r="N75" s="274">
        <f>SUM(N69:N74)</f>
        <v>0</v>
      </c>
      <c r="O75" s="275"/>
      <c r="P75" s="274">
        <f>SUM(P69:P74)</f>
        <v>0</v>
      </c>
      <c r="Q75" s="275"/>
      <c r="R75" s="274">
        <f>SUM(R69:R74)</f>
        <v>0</v>
      </c>
      <c r="S75" s="275"/>
      <c r="T75" s="274">
        <f>SUM(T69:T74)</f>
        <v>0</v>
      </c>
      <c r="U75" s="275"/>
      <c r="V75" s="274">
        <f>SUM(V69:V74)</f>
        <v>0</v>
      </c>
      <c r="W75" s="275"/>
      <c r="X75" s="274">
        <f>SUM(X69:X74)</f>
        <v>0</v>
      </c>
      <c r="Y75" s="275"/>
      <c r="Z75" s="275"/>
      <c r="AA75" s="274">
        <f>SUM(AA69:AA74)</f>
        <v>0</v>
      </c>
      <c r="AB75" s="275"/>
      <c r="AC75" s="274">
        <f>SUM(AC69:AC74)</f>
        <v>0</v>
      </c>
      <c r="AD75" s="274">
        <f>SUM(AD69:AD74)</f>
        <v>0</v>
      </c>
      <c r="AE75" s="275"/>
      <c r="AF75" s="274">
        <f>SUM(AF69:AF74)</f>
        <v>0</v>
      </c>
      <c r="AG75" s="275"/>
      <c r="AH75" s="274">
        <f>SUM(AH69:AH74)</f>
        <v>0</v>
      </c>
      <c r="AI75" s="275"/>
      <c r="AJ75" s="274">
        <f>SUM(AJ69:AJ74)</f>
        <v>0</v>
      </c>
      <c r="AK75" s="275"/>
      <c r="AL75" s="274">
        <f>SUM(AL69:AL74)</f>
        <v>0</v>
      </c>
      <c r="AM75" s="275"/>
      <c r="AN75" s="274">
        <f>SUM(AN69:AN74)</f>
        <v>0</v>
      </c>
      <c r="AO75" s="275"/>
      <c r="AP75" s="274">
        <f>SUM(AP69:AP74)</f>
        <v>0</v>
      </c>
      <c r="AQ75" s="275"/>
      <c r="AR75" s="274">
        <f>SUM(AR69:AR74)</f>
        <v>0</v>
      </c>
      <c r="AS75" s="275"/>
      <c r="AT75" s="275"/>
      <c r="AU75" s="274">
        <f>SUM(AU69:AU74)</f>
        <v>0</v>
      </c>
      <c r="AV75" s="275"/>
      <c r="AW75" s="274">
        <f>SUM(AW69:AW74)</f>
        <v>0</v>
      </c>
      <c r="AX75" s="275"/>
      <c r="AY75" s="274">
        <f>SUM(AY69:AY74)</f>
        <v>0</v>
      </c>
      <c r="AZ75" s="275"/>
      <c r="BA75" s="274">
        <f>SUM(BA69:BA74)</f>
        <v>0</v>
      </c>
      <c r="BB75" s="275"/>
      <c r="BC75" s="274">
        <f>SUM(BC69:BC74)</f>
        <v>0</v>
      </c>
      <c r="BD75" s="275"/>
      <c r="BE75" s="274">
        <f>SUM(BE69:BE74)</f>
        <v>0</v>
      </c>
      <c r="BF75" s="275"/>
      <c r="BG75" s="274">
        <f>SUM(BG69:BG74)</f>
        <v>0</v>
      </c>
      <c r="BH75" s="275"/>
      <c r="BI75" s="274">
        <f t="shared" si="6"/>
        <v>0</v>
      </c>
      <c r="BJ75" s="275"/>
      <c r="BK75" s="276"/>
      <c r="BL75" s="276"/>
      <c r="BM75" s="270"/>
    </row>
    <row r="76" spans="1:65" s="282" customFormat="1" ht="18" x14ac:dyDescent="0.25">
      <c r="A76" s="246"/>
      <c r="B76" s="262"/>
      <c r="C76" s="268"/>
      <c r="D76" s="264"/>
      <c r="E76" s="265"/>
      <c r="F76" s="264"/>
      <c r="G76" s="265"/>
      <c r="H76" s="264"/>
      <c r="I76" s="265"/>
      <c r="J76" s="264"/>
      <c r="K76" s="265"/>
      <c r="L76" s="281"/>
      <c r="M76" s="265"/>
      <c r="N76" s="264"/>
      <c r="O76" s="265"/>
      <c r="P76" s="264"/>
      <c r="Q76" s="265"/>
      <c r="R76" s="264"/>
      <c r="S76" s="265"/>
      <c r="T76" s="264"/>
      <c r="U76" s="265"/>
      <c r="V76" s="264"/>
      <c r="W76" s="265"/>
      <c r="X76" s="264"/>
      <c r="Y76" s="265"/>
      <c r="Z76" s="265"/>
      <c r="AA76" s="264"/>
      <c r="AB76" s="265"/>
      <c r="AC76" s="264"/>
      <c r="AD76" s="264"/>
      <c r="AE76" s="265"/>
      <c r="AF76" s="264"/>
      <c r="AG76" s="265"/>
      <c r="AH76" s="264"/>
      <c r="AI76" s="265"/>
      <c r="AJ76" s="264"/>
      <c r="AK76" s="265"/>
      <c r="AL76" s="264"/>
      <c r="AM76" s="265"/>
      <c r="AN76" s="264"/>
      <c r="AO76" s="265"/>
      <c r="AP76" s="264"/>
      <c r="AQ76" s="265"/>
      <c r="AR76" s="264"/>
      <c r="AS76" s="265"/>
      <c r="AT76" s="265"/>
      <c r="AU76" s="264"/>
      <c r="AV76" s="265"/>
      <c r="AW76" s="264"/>
      <c r="AX76" s="265"/>
      <c r="AY76" s="264"/>
      <c r="AZ76" s="265"/>
      <c r="BA76" s="264"/>
      <c r="BB76" s="265"/>
      <c r="BC76" s="264"/>
      <c r="BD76" s="265"/>
      <c r="BE76" s="264"/>
      <c r="BF76" s="265"/>
      <c r="BG76" s="264"/>
      <c r="BH76" s="265"/>
      <c r="BI76" s="270"/>
      <c r="BJ76" s="268"/>
      <c r="BK76" s="269"/>
      <c r="BL76" s="269"/>
      <c r="BM76" s="270"/>
    </row>
    <row r="77" spans="1:65" s="282" customFormat="1" ht="18" x14ac:dyDescent="0.25">
      <c r="A77" s="246" t="s">
        <v>912</v>
      </c>
      <c r="B77" s="262"/>
      <c r="C77" s="268"/>
      <c r="D77" s="264"/>
      <c r="E77" s="265"/>
      <c r="F77" s="264"/>
      <c r="G77" s="265"/>
      <c r="H77" s="264"/>
      <c r="I77" s="265"/>
      <c r="J77" s="264"/>
      <c r="K77" s="265"/>
      <c r="L77" s="281"/>
      <c r="M77" s="265"/>
      <c r="N77" s="264"/>
      <c r="O77" s="265"/>
      <c r="P77" s="264"/>
      <c r="Q77" s="265"/>
      <c r="R77" s="264"/>
      <c r="S77" s="265"/>
      <c r="T77" s="264"/>
      <c r="U77" s="265"/>
      <c r="V77" s="264"/>
      <c r="W77" s="265"/>
      <c r="X77" s="264"/>
      <c r="Y77" s="265"/>
      <c r="Z77" s="265"/>
      <c r="AA77" s="264"/>
      <c r="AB77" s="265"/>
      <c r="AC77" s="264"/>
      <c r="AD77" s="264"/>
      <c r="AE77" s="265"/>
      <c r="AF77" s="264"/>
      <c r="AG77" s="265"/>
      <c r="AH77" s="264"/>
      <c r="AI77" s="265"/>
      <c r="AJ77" s="264"/>
      <c r="AK77" s="265"/>
      <c r="AL77" s="264"/>
      <c r="AM77" s="265"/>
      <c r="AN77" s="264"/>
      <c r="AO77" s="265"/>
      <c r="AP77" s="264"/>
      <c r="AQ77" s="265"/>
      <c r="AR77" s="264"/>
      <c r="AS77" s="265"/>
      <c r="AT77" s="265"/>
      <c r="AU77" s="264"/>
      <c r="AV77" s="265"/>
      <c r="AW77" s="264"/>
      <c r="AX77" s="265"/>
      <c r="AY77" s="264"/>
      <c r="AZ77" s="265"/>
      <c r="BA77" s="264"/>
      <c r="BB77" s="265"/>
      <c r="BC77" s="264"/>
      <c r="BD77" s="265"/>
      <c r="BE77" s="264"/>
      <c r="BF77" s="265"/>
      <c r="BG77" s="264"/>
      <c r="BH77" s="265"/>
      <c r="BI77" s="270"/>
      <c r="BJ77" s="268"/>
      <c r="BK77" s="269"/>
      <c r="BL77" s="269"/>
      <c r="BM77" s="270"/>
    </row>
    <row r="78" spans="1:65" s="282" customFormat="1" ht="18" x14ac:dyDescent="0.25">
      <c r="A78" s="246" t="s">
        <v>23</v>
      </c>
      <c r="B78" s="283" t="s">
        <v>1577</v>
      </c>
      <c r="C78" s="268"/>
      <c r="D78" s="281">
        <f>SUM(GenFundExp2!I190+GenFundExp2!I191)</f>
        <v>0</v>
      </c>
      <c r="E78" s="265"/>
      <c r="F78" s="281">
        <f>SUM(CharterFundExp2!I190+CharterFundExp2!I191)</f>
        <v>0</v>
      </c>
      <c r="G78" s="265"/>
      <c r="H78" s="264"/>
      <c r="I78" s="265"/>
      <c r="J78" s="264"/>
      <c r="K78" s="265"/>
      <c r="L78" s="281"/>
      <c r="M78" s="265"/>
      <c r="N78" s="264"/>
      <c r="O78" s="265"/>
      <c r="P78" s="264"/>
      <c r="Q78" s="265"/>
      <c r="R78" s="264"/>
      <c r="S78" s="265"/>
      <c r="T78" s="264"/>
      <c r="U78" s="265"/>
      <c r="V78" s="264"/>
      <c r="W78" s="265"/>
      <c r="X78" s="264"/>
      <c r="Y78" s="265"/>
      <c r="Z78" s="265"/>
      <c r="AA78" s="264"/>
      <c r="AB78" s="265"/>
      <c r="AC78" s="264"/>
      <c r="AD78" s="264"/>
      <c r="AE78" s="265"/>
      <c r="AF78" s="264"/>
      <c r="AG78" s="265"/>
      <c r="AH78" s="264"/>
      <c r="AI78" s="265"/>
      <c r="AJ78" s="264"/>
      <c r="AK78" s="265"/>
      <c r="AL78" s="264"/>
      <c r="AM78" s="265"/>
      <c r="AN78" s="264"/>
      <c r="AO78" s="265"/>
      <c r="AP78" s="264"/>
      <c r="AQ78" s="265"/>
      <c r="AR78" s="264"/>
      <c r="AS78" s="265"/>
      <c r="AT78" s="265"/>
      <c r="AU78" s="264"/>
      <c r="AV78" s="265"/>
      <c r="AW78" s="264"/>
      <c r="AX78" s="265"/>
      <c r="AY78" s="264"/>
      <c r="AZ78" s="265"/>
      <c r="BA78" s="264"/>
      <c r="BB78" s="265"/>
      <c r="BC78" s="264"/>
      <c r="BD78" s="265"/>
      <c r="BE78" s="264"/>
      <c r="BF78" s="265"/>
      <c r="BG78" s="264"/>
      <c r="BH78" s="265"/>
      <c r="BI78" s="264">
        <f t="shared" ref="BI78:BI84" si="7">D78+F78+H78+J78+X78+N78+P78+R78+L78+T78+V78+AA78+AC78+AD78+AF78+AH78+AJ78+AL78+AN78+AP78+AR78+AU78+AW78+AY78+BA78+BC78+BE78+BG78</f>
        <v>0</v>
      </c>
      <c r="BJ78" s="268"/>
      <c r="BK78" s="269"/>
      <c r="BL78" s="269"/>
      <c r="BM78" s="270"/>
    </row>
    <row r="79" spans="1:65" s="282" customFormat="1" ht="18" x14ac:dyDescent="0.25">
      <c r="A79" s="246" t="s">
        <v>24</v>
      </c>
      <c r="B79" s="283" t="s">
        <v>1578</v>
      </c>
      <c r="C79" s="268"/>
      <c r="D79" s="281">
        <f>SUM(GenFundExp2!I192+GenFundExp2!I193)</f>
        <v>0</v>
      </c>
      <c r="E79" s="265"/>
      <c r="F79" s="281">
        <f>SUM(CharterFundExp2!I192+CharterFundExp2!I193)</f>
        <v>0</v>
      </c>
      <c r="G79" s="265"/>
      <c r="H79" s="264"/>
      <c r="I79" s="265"/>
      <c r="J79" s="264"/>
      <c r="K79" s="265"/>
      <c r="L79" s="281"/>
      <c r="M79" s="265"/>
      <c r="N79" s="264"/>
      <c r="O79" s="265"/>
      <c r="P79" s="264"/>
      <c r="Q79" s="265"/>
      <c r="R79" s="264"/>
      <c r="S79" s="265"/>
      <c r="T79" s="264"/>
      <c r="U79" s="265"/>
      <c r="V79" s="264"/>
      <c r="W79" s="265"/>
      <c r="X79" s="264"/>
      <c r="Y79" s="265"/>
      <c r="Z79" s="265"/>
      <c r="AA79" s="264"/>
      <c r="AB79" s="265"/>
      <c r="AC79" s="264"/>
      <c r="AD79" s="264"/>
      <c r="AE79" s="265"/>
      <c r="AF79" s="264"/>
      <c r="AG79" s="265"/>
      <c r="AH79" s="264"/>
      <c r="AI79" s="265"/>
      <c r="AJ79" s="264"/>
      <c r="AK79" s="265"/>
      <c r="AL79" s="264"/>
      <c r="AM79" s="265"/>
      <c r="AN79" s="264"/>
      <c r="AO79" s="265"/>
      <c r="AP79" s="264"/>
      <c r="AQ79" s="265"/>
      <c r="AR79" s="264"/>
      <c r="AS79" s="265"/>
      <c r="AT79" s="265"/>
      <c r="AU79" s="264"/>
      <c r="AV79" s="265"/>
      <c r="AW79" s="264"/>
      <c r="AX79" s="265"/>
      <c r="AY79" s="264"/>
      <c r="AZ79" s="265"/>
      <c r="BA79" s="264"/>
      <c r="BB79" s="265"/>
      <c r="BC79" s="264"/>
      <c r="BD79" s="265"/>
      <c r="BE79" s="264"/>
      <c r="BF79" s="265"/>
      <c r="BG79" s="264"/>
      <c r="BH79" s="265"/>
      <c r="BI79" s="264">
        <f t="shared" si="7"/>
        <v>0</v>
      </c>
      <c r="BJ79" s="268"/>
      <c r="BK79" s="269"/>
      <c r="BL79" s="269"/>
      <c r="BM79" s="270"/>
    </row>
    <row r="80" spans="1:65" s="282" customFormat="1" ht="36" x14ac:dyDescent="0.25">
      <c r="A80" s="246" t="s">
        <v>25</v>
      </c>
      <c r="B80" s="283" t="s">
        <v>897</v>
      </c>
      <c r="C80" s="268"/>
      <c r="D80" s="281">
        <f>SUM(GenFundExp2!I194:I205)</f>
        <v>0</v>
      </c>
      <c r="E80" s="265"/>
      <c r="F80" s="281">
        <f>SUM(CharterFundExp2!I194:I205)</f>
        <v>0</v>
      </c>
      <c r="G80" s="265"/>
      <c r="H80" s="264"/>
      <c r="I80" s="265"/>
      <c r="J80" s="264"/>
      <c r="K80" s="265"/>
      <c r="L80" s="281"/>
      <c r="M80" s="265"/>
      <c r="N80" s="264"/>
      <c r="O80" s="265"/>
      <c r="P80" s="264"/>
      <c r="Q80" s="265"/>
      <c r="R80" s="264"/>
      <c r="S80" s="265"/>
      <c r="T80" s="264"/>
      <c r="U80" s="265"/>
      <c r="V80" s="264"/>
      <c r="W80" s="265"/>
      <c r="X80" s="264"/>
      <c r="Y80" s="265"/>
      <c r="Z80" s="265"/>
      <c r="AA80" s="264"/>
      <c r="AB80" s="265"/>
      <c r="AC80" s="264"/>
      <c r="AD80" s="264"/>
      <c r="AE80" s="265"/>
      <c r="AF80" s="264"/>
      <c r="AG80" s="265"/>
      <c r="AH80" s="264"/>
      <c r="AI80" s="265"/>
      <c r="AJ80" s="264"/>
      <c r="AK80" s="265"/>
      <c r="AL80" s="264"/>
      <c r="AM80" s="265"/>
      <c r="AN80" s="264"/>
      <c r="AO80" s="265"/>
      <c r="AP80" s="264"/>
      <c r="AQ80" s="265"/>
      <c r="AR80" s="264"/>
      <c r="AS80" s="265"/>
      <c r="AT80" s="265"/>
      <c r="AU80" s="264"/>
      <c r="AV80" s="265"/>
      <c r="AW80" s="264"/>
      <c r="AX80" s="265"/>
      <c r="AY80" s="264"/>
      <c r="AZ80" s="265"/>
      <c r="BA80" s="264"/>
      <c r="BB80" s="265"/>
      <c r="BC80" s="264"/>
      <c r="BD80" s="265"/>
      <c r="BE80" s="264"/>
      <c r="BF80" s="265"/>
      <c r="BG80" s="264"/>
      <c r="BH80" s="265"/>
      <c r="BI80" s="264">
        <f t="shared" si="7"/>
        <v>0</v>
      </c>
      <c r="BJ80" s="268"/>
      <c r="BK80" s="269"/>
      <c r="BL80" s="269"/>
      <c r="BM80" s="270"/>
    </row>
    <row r="81" spans="1:65" s="282" customFormat="1" ht="18" x14ac:dyDescent="0.25">
      <c r="A81" s="246" t="s">
        <v>898</v>
      </c>
      <c r="B81" s="283" t="s">
        <v>1582</v>
      </c>
      <c r="C81" s="268"/>
      <c r="D81" s="281">
        <f>SUM(GenFundExp2!I206:I207)</f>
        <v>0</v>
      </c>
      <c r="E81" s="265"/>
      <c r="F81" s="281">
        <f>SUM(CharterFundExp2!I206:I207)</f>
        <v>0</v>
      </c>
      <c r="G81" s="265"/>
      <c r="H81" s="264"/>
      <c r="I81" s="265"/>
      <c r="J81" s="264"/>
      <c r="K81" s="265"/>
      <c r="L81" s="281"/>
      <c r="M81" s="265"/>
      <c r="N81" s="264"/>
      <c r="O81" s="265"/>
      <c r="P81" s="264"/>
      <c r="Q81" s="265"/>
      <c r="R81" s="264"/>
      <c r="S81" s="265"/>
      <c r="T81" s="264"/>
      <c r="U81" s="265"/>
      <c r="V81" s="264"/>
      <c r="W81" s="265"/>
      <c r="X81" s="264"/>
      <c r="Y81" s="265"/>
      <c r="Z81" s="265"/>
      <c r="AA81" s="264"/>
      <c r="AB81" s="265"/>
      <c r="AC81" s="264"/>
      <c r="AD81" s="264"/>
      <c r="AE81" s="265"/>
      <c r="AF81" s="264"/>
      <c r="AG81" s="265"/>
      <c r="AH81" s="264"/>
      <c r="AI81" s="265"/>
      <c r="AJ81" s="264"/>
      <c r="AK81" s="265"/>
      <c r="AL81" s="264"/>
      <c r="AM81" s="265"/>
      <c r="AN81" s="264"/>
      <c r="AO81" s="265"/>
      <c r="AP81" s="264"/>
      <c r="AQ81" s="265"/>
      <c r="AR81" s="264"/>
      <c r="AS81" s="265"/>
      <c r="AT81" s="265"/>
      <c r="AU81" s="264"/>
      <c r="AV81" s="265"/>
      <c r="AW81" s="264"/>
      <c r="AX81" s="265"/>
      <c r="AY81" s="264"/>
      <c r="AZ81" s="265"/>
      <c r="BA81" s="264"/>
      <c r="BB81" s="265"/>
      <c r="BC81" s="264"/>
      <c r="BD81" s="265"/>
      <c r="BE81" s="264"/>
      <c r="BF81" s="265"/>
      <c r="BG81" s="264"/>
      <c r="BH81" s="265"/>
      <c r="BI81" s="264">
        <f t="shared" si="7"/>
        <v>0</v>
      </c>
      <c r="BJ81" s="268"/>
      <c r="BK81" s="269"/>
      <c r="BL81" s="269"/>
      <c r="BM81" s="270"/>
    </row>
    <row r="82" spans="1:65" s="282" customFormat="1" ht="18" x14ac:dyDescent="0.25">
      <c r="A82" s="246" t="s">
        <v>899</v>
      </c>
      <c r="B82" s="283" t="s">
        <v>1583</v>
      </c>
      <c r="C82" s="268"/>
      <c r="D82" s="281">
        <f>SUM(GenFundExp2!I208:I211)</f>
        <v>0</v>
      </c>
      <c r="E82" s="265"/>
      <c r="F82" s="281">
        <f>SUM(CharterFundExp2!I208:I211)</f>
        <v>0</v>
      </c>
      <c r="G82" s="265"/>
      <c r="H82" s="264"/>
      <c r="I82" s="265"/>
      <c r="J82" s="264"/>
      <c r="K82" s="265"/>
      <c r="L82" s="281"/>
      <c r="M82" s="265"/>
      <c r="N82" s="264"/>
      <c r="O82" s="265"/>
      <c r="P82" s="264"/>
      <c r="Q82" s="265"/>
      <c r="R82" s="264"/>
      <c r="S82" s="265"/>
      <c r="T82" s="264"/>
      <c r="U82" s="265"/>
      <c r="V82" s="264"/>
      <c r="W82" s="265"/>
      <c r="X82" s="264"/>
      <c r="Y82" s="265"/>
      <c r="Z82" s="265"/>
      <c r="AA82" s="264"/>
      <c r="AB82" s="265"/>
      <c r="AC82" s="264"/>
      <c r="AD82" s="264"/>
      <c r="AE82" s="265"/>
      <c r="AF82" s="264"/>
      <c r="AG82" s="265"/>
      <c r="AH82" s="264"/>
      <c r="AI82" s="265"/>
      <c r="AJ82" s="264"/>
      <c r="AK82" s="265"/>
      <c r="AL82" s="264"/>
      <c r="AM82" s="265"/>
      <c r="AN82" s="264"/>
      <c r="AO82" s="265"/>
      <c r="AP82" s="264"/>
      <c r="AQ82" s="265"/>
      <c r="AR82" s="264"/>
      <c r="AS82" s="265"/>
      <c r="AT82" s="265"/>
      <c r="AU82" s="264"/>
      <c r="AV82" s="265"/>
      <c r="AW82" s="264"/>
      <c r="AX82" s="265"/>
      <c r="AY82" s="264"/>
      <c r="AZ82" s="265"/>
      <c r="BA82" s="264"/>
      <c r="BB82" s="265"/>
      <c r="BC82" s="264"/>
      <c r="BD82" s="265"/>
      <c r="BE82" s="264"/>
      <c r="BF82" s="265"/>
      <c r="BG82" s="264"/>
      <c r="BH82" s="265"/>
      <c r="BI82" s="264">
        <f t="shared" si="7"/>
        <v>0</v>
      </c>
      <c r="BJ82" s="268"/>
      <c r="BK82" s="269"/>
      <c r="BL82" s="269"/>
      <c r="BM82" s="270"/>
    </row>
    <row r="83" spans="1:65" s="282" customFormat="1" ht="18.75" thickBot="1" x14ac:dyDescent="0.3">
      <c r="A83" s="246" t="s">
        <v>900</v>
      </c>
      <c r="B83" s="283" t="s">
        <v>901</v>
      </c>
      <c r="C83" s="268"/>
      <c r="D83" s="281">
        <f>SUM(GenFundExp2!I212:I217)</f>
        <v>0</v>
      </c>
      <c r="E83" s="265"/>
      <c r="F83" s="281">
        <f>SUM(CharterFundExp2!I212:I217)</f>
        <v>0</v>
      </c>
      <c r="G83" s="265"/>
      <c r="H83" s="264"/>
      <c r="I83" s="265"/>
      <c r="J83" s="264"/>
      <c r="K83" s="265"/>
      <c r="L83" s="281"/>
      <c r="M83" s="265"/>
      <c r="N83" s="264"/>
      <c r="O83" s="265"/>
      <c r="P83" s="264"/>
      <c r="Q83" s="265"/>
      <c r="R83" s="264"/>
      <c r="S83" s="265"/>
      <c r="T83" s="264"/>
      <c r="U83" s="265"/>
      <c r="V83" s="264"/>
      <c r="W83" s="265"/>
      <c r="X83" s="264"/>
      <c r="Y83" s="265"/>
      <c r="Z83" s="265"/>
      <c r="AA83" s="264"/>
      <c r="AB83" s="265"/>
      <c r="AC83" s="264"/>
      <c r="AD83" s="264"/>
      <c r="AE83" s="265"/>
      <c r="AF83" s="264"/>
      <c r="AG83" s="265"/>
      <c r="AH83" s="264"/>
      <c r="AI83" s="265"/>
      <c r="AJ83" s="264"/>
      <c r="AK83" s="265"/>
      <c r="AL83" s="264"/>
      <c r="AM83" s="265"/>
      <c r="AN83" s="264"/>
      <c r="AO83" s="265"/>
      <c r="AP83" s="264"/>
      <c r="AQ83" s="265"/>
      <c r="AR83" s="264"/>
      <c r="AS83" s="265"/>
      <c r="AT83" s="265"/>
      <c r="AU83" s="264"/>
      <c r="AV83" s="265"/>
      <c r="AW83" s="264"/>
      <c r="AX83" s="265"/>
      <c r="AY83" s="264"/>
      <c r="AZ83" s="265"/>
      <c r="BA83" s="264"/>
      <c r="BB83" s="265"/>
      <c r="BC83" s="264"/>
      <c r="BD83" s="265"/>
      <c r="BE83" s="264"/>
      <c r="BF83" s="265"/>
      <c r="BG83" s="264"/>
      <c r="BH83" s="265"/>
      <c r="BI83" s="264">
        <f t="shared" si="7"/>
        <v>0</v>
      </c>
      <c r="BJ83" s="268"/>
      <c r="BK83" s="269"/>
      <c r="BL83" s="269"/>
      <c r="BM83" s="270"/>
    </row>
    <row r="84" spans="1:65" s="282" customFormat="1" ht="18.75" thickBot="1" x14ac:dyDescent="0.3">
      <c r="A84" s="271" t="s">
        <v>913</v>
      </c>
      <c r="B84" s="279"/>
      <c r="C84" s="275"/>
      <c r="D84" s="274">
        <f>SUM(D78:D83)</f>
        <v>0</v>
      </c>
      <c r="E84" s="275"/>
      <c r="F84" s="274">
        <f>SUM(F78:F83)</f>
        <v>0</v>
      </c>
      <c r="G84" s="275"/>
      <c r="H84" s="274">
        <f>SUM(H78:H83)</f>
        <v>0</v>
      </c>
      <c r="I84" s="275"/>
      <c r="J84" s="274">
        <f>SUM(J78:J83)</f>
        <v>0</v>
      </c>
      <c r="K84" s="275"/>
      <c r="L84" s="274">
        <f>SUM(L78:L83)</f>
        <v>0</v>
      </c>
      <c r="M84" s="275"/>
      <c r="N84" s="274">
        <f>SUM(N78:N83)</f>
        <v>0</v>
      </c>
      <c r="O84" s="275"/>
      <c r="P84" s="274">
        <f>SUM(P78:P83)</f>
        <v>0</v>
      </c>
      <c r="Q84" s="275"/>
      <c r="R84" s="274">
        <f>SUM(R78:R83)</f>
        <v>0</v>
      </c>
      <c r="S84" s="275"/>
      <c r="T84" s="274">
        <f>SUM(T78:T83)</f>
        <v>0</v>
      </c>
      <c r="U84" s="275"/>
      <c r="V84" s="274">
        <f>SUM(V78:V83)</f>
        <v>0</v>
      </c>
      <c r="W84" s="275"/>
      <c r="X84" s="274">
        <f>SUM(X78:X83)</f>
        <v>0</v>
      </c>
      <c r="Y84" s="275"/>
      <c r="Z84" s="275"/>
      <c r="AA84" s="274">
        <f>SUM(AA78:AA83)</f>
        <v>0</v>
      </c>
      <c r="AB84" s="275"/>
      <c r="AC84" s="274">
        <f>SUM(AC78:AC83)</f>
        <v>0</v>
      </c>
      <c r="AD84" s="274">
        <f>SUM(AD78:AD83)</f>
        <v>0</v>
      </c>
      <c r="AE84" s="275"/>
      <c r="AF84" s="274">
        <f>SUM(AF78:AF83)</f>
        <v>0</v>
      </c>
      <c r="AG84" s="275"/>
      <c r="AH84" s="274">
        <f>SUM(AH78:AH83)</f>
        <v>0</v>
      </c>
      <c r="AI84" s="275"/>
      <c r="AJ84" s="274">
        <f>SUM(AJ78:AJ83)</f>
        <v>0</v>
      </c>
      <c r="AK84" s="275"/>
      <c r="AL84" s="274">
        <f>SUM(AL78:AL83)</f>
        <v>0</v>
      </c>
      <c r="AM84" s="275"/>
      <c r="AN84" s="274">
        <f>SUM(AN78:AN83)</f>
        <v>0</v>
      </c>
      <c r="AO84" s="275"/>
      <c r="AP84" s="274">
        <f>SUM(AP78:AP83)</f>
        <v>0</v>
      </c>
      <c r="AQ84" s="275"/>
      <c r="AR84" s="274">
        <f>SUM(AR78:AR83)</f>
        <v>0</v>
      </c>
      <c r="AS84" s="275"/>
      <c r="AT84" s="275"/>
      <c r="AU84" s="274">
        <f>SUM(AU78:AU83)</f>
        <v>0</v>
      </c>
      <c r="AV84" s="275"/>
      <c r="AW84" s="274">
        <f>SUM(AW78:AW83)</f>
        <v>0</v>
      </c>
      <c r="AX84" s="275"/>
      <c r="AY84" s="274">
        <f>SUM(AY78:AY83)</f>
        <v>0</v>
      </c>
      <c r="AZ84" s="275"/>
      <c r="BA84" s="274">
        <f>SUM(BA78:BA83)</f>
        <v>0</v>
      </c>
      <c r="BB84" s="275"/>
      <c r="BC84" s="274">
        <f>SUM(BC78:BC83)</f>
        <v>0</v>
      </c>
      <c r="BD84" s="275"/>
      <c r="BE84" s="274">
        <f>SUM(BE78:BE83)</f>
        <v>0</v>
      </c>
      <c r="BF84" s="275"/>
      <c r="BG84" s="274">
        <f>SUM(BG78:BG83)</f>
        <v>0</v>
      </c>
      <c r="BH84" s="275"/>
      <c r="BI84" s="274">
        <f t="shared" si="7"/>
        <v>0</v>
      </c>
      <c r="BJ84" s="275"/>
      <c r="BK84" s="276"/>
      <c r="BL84" s="276"/>
      <c r="BM84" s="270"/>
    </row>
    <row r="85" spans="1:65" s="282" customFormat="1" ht="36" x14ac:dyDescent="0.25">
      <c r="A85" s="246" t="s">
        <v>914</v>
      </c>
      <c r="B85" s="262"/>
      <c r="C85" s="268"/>
      <c r="D85" s="264"/>
      <c r="E85" s="265"/>
      <c r="F85" s="264"/>
      <c r="G85" s="265"/>
      <c r="H85" s="264"/>
      <c r="I85" s="265"/>
      <c r="J85" s="264"/>
      <c r="K85" s="265"/>
      <c r="L85" s="281"/>
      <c r="M85" s="265"/>
      <c r="N85" s="264"/>
      <c r="O85" s="265"/>
      <c r="P85" s="264"/>
      <c r="Q85" s="265"/>
      <c r="R85" s="264"/>
      <c r="S85" s="265"/>
      <c r="T85" s="264"/>
      <c r="U85" s="265"/>
      <c r="V85" s="264"/>
      <c r="W85" s="265"/>
      <c r="X85" s="264"/>
      <c r="Y85" s="265"/>
      <c r="Z85" s="265"/>
      <c r="AA85" s="264"/>
      <c r="AB85" s="265"/>
      <c r="AC85" s="264"/>
      <c r="AD85" s="264"/>
      <c r="AE85" s="265"/>
      <c r="AF85" s="264"/>
      <c r="AG85" s="265"/>
      <c r="AH85" s="264"/>
      <c r="AI85" s="265"/>
      <c r="AJ85" s="264"/>
      <c r="AK85" s="265"/>
      <c r="AL85" s="264"/>
      <c r="AM85" s="265"/>
      <c r="AN85" s="264"/>
      <c r="AO85" s="265"/>
      <c r="AP85" s="264"/>
      <c r="AQ85" s="265"/>
      <c r="AR85" s="264"/>
      <c r="AS85" s="265"/>
      <c r="AT85" s="265"/>
      <c r="AU85" s="264"/>
      <c r="AV85" s="265"/>
      <c r="AW85" s="264"/>
      <c r="AX85" s="265"/>
      <c r="AY85" s="264"/>
      <c r="AZ85" s="265"/>
      <c r="BA85" s="264"/>
      <c r="BB85" s="265"/>
      <c r="BC85" s="264"/>
      <c r="BD85" s="265"/>
      <c r="BE85" s="264"/>
      <c r="BF85" s="265"/>
      <c r="BG85" s="264"/>
      <c r="BH85" s="265"/>
      <c r="BI85" s="270"/>
      <c r="BJ85" s="268"/>
      <c r="BK85" s="269"/>
      <c r="BL85" s="269"/>
      <c r="BM85" s="270"/>
    </row>
    <row r="86" spans="1:65" s="282" customFormat="1" ht="18" x14ac:dyDescent="0.25">
      <c r="A86" s="246" t="s">
        <v>23</v>
      </c>
      <c r="B86" s="283" t="s">
        <v>1577</v>
      </c>
      <c r="C86" s="268"/>
      <c r="D86" s="281">
        <f>SUM(GenFundExp2!I221+GenFundExp2!I222)</f>
        <v>0</v>
      </c>
      <c r="E86" s="265"/>
      <c r="F86" s="281">
        <f>SUM(CharterFundExp2!I221+CharterFundExp2!I222)</f>
        <v>0</v>
      </c>
      <c r="G86" s="265"/>
      <c r="H86" s="264"/>
      <c r="I86" s="265"/>
      <c r="J86" s="264"/>
      <c r="K86" s="265"/>
      <c r="L86" s="281"/>
      <c r="M86" s="265"/>
      <c r="N86" s="264"/>
      <c r="O86" s="265"/>
      <c r="P86" s="264"/>
      <c r="Q86" s="265"/>
      <c r="R86" s="264"/>
      <c r="S86" s="265"/>
      <c r="T86" s="264"/>
      <c r="U86" s="265"/>
      <c r="V86" s="264"/>
      <c r="W86" s="265"/>
      <c r="X86" s="264"/>
      <c r="Y86" s="265"/>
      <c r="Z86" s="265"/>
      <c r="AA86" s="264"/>
      <c r="AB86" s="265"/>
      <c r="AC86" s="264"/>
      <c r="AD86" s="264"/>
      <c r="AE86" s="265"/>
      <c r="AF86" s="264"/>
      <c r="AG86" s="265"/>
      <c r="AH86" s="264"/>
      <c r="AI86" s="265"/>
      <c r="AJ86" s="264"/>
      <c r="AK86" s="265"/>
      <c r="AL86" s="264"/>
      <c r="AM86" s="265"/>
      <c r="AN86" s="264"/>
      <c r="AO86" s="265"/>
      <c r="AP86" s="264"/>
      <c r="AQ86" s="265"/>
      <c r="AR86" s="264"/>
      <c r="AS86" s="265"/>
      <c r="AT86" s="265"/>
      <c r="AU86" s="264"/>
      <c r="AV86" s="265"/>
      <c r="AW86" s="264"/>
      <c r="AX86" s="265"/>
      <c r="AY86" s="264"/>
      <c r="AZ86" s="265"/>
      <c r="BA86" s="264"/>
      <c r="BB86" s="265"/>
      <c r="BC86" s="264"/>
      <c r="BD86" s="265"/>
      <c r="BE86" s="264"/>
      <c r="BF86" s="265"/>
      <c r="BG86" s="264"/>
      <c r="BH86" s="265"/>
      <c r="BI86" s="264">
        <f t="shared" ref="BI86:BI92" si="8">D86+F86+H86+J86+X86+N86+P86+R86+L86+T86+V86+AA86+AC86+AD86+AF86+AH86+AJ86+AL86+AN86+AP86+AR86+AU86+AW86+AY86+BA86+BC86+BE86+BG86</f>
        <v>0</v>
      </c>
      <c r="BJ86" s="268"/>
      <c r="BK86" s="269"/>
      <c r="BL86" s="269"/>
      <c r="BM86" s="270"/>
    </row>
    <row r="87" spans="1:65" s="282" customFormat="1" ht="18" x14ac:dyDescent="0.25">
      <c r="A87" s="246" t="s">
        <v>24</v>
      </c>
      <c r="B87" s="283" t="s">
        <v>1578</v>
      </c>
      <c r="C87" s="268"/>
      <c r="D87" s="281">
        <f>SUM(GenFundExp2!I223+GenFundExp2!I224)</f>
        <v>0</v>
      </c>
      <c r="E87" s="265"/>
      <c r="F87" s="281">
        <f>SUM(CharterFundExp2!I223+CharterFundExp2!I224)</f>
        <v>0</v>
      </c>
      <c r="G87" s="265"/>
      <c r="H87" s="264"/>
      <c r="I87" s="265"/>
      <c r="J87" s="264"/>
      <c r="K87" s="265"/>
      <c r="L87" s="281"/>
      <c r="M87" s="265"/>
      <c r="N87" s="264"/>
      <c r="O87" s="265"/>
      <c r="P87" s="264"/>
      <c r="Q87" s="265"/>
      <c r="R87" s="264"/>
      <c r="S87" s="265"/>
      <c r="T87" s="264"/>
      <c r="U87" s="265"/>
      <c r="V87" s="264"/>
      <c r="W87" s="265"/>
      <c r="X87" s="264"/>
      <c r="Y87" s="265"/>
      <c r="Z87" s="265"/>
      <c r="AA87" s="264"/>
      <c r="AB87" s="265"/>
      <c r="AC87" s="264"/>
      <c r="AD87" s="264"/>
      <c r="AE87" s="265"/>
      <c r="AF87" s="264"/>
      <c r="AG87" s="265"/>
      <c r="AH87" s="264"/>
      <c r="AI87" s="265"/>
      <c r="AJ87" s="264"/>
      <c r="AK87" s="265"/>
      <c r="AL87" s="264"/>
      <c r="AM87" s="265"/>
      <c r="AN87" s="264"/>
      <c r="AO87" s="265"/>
      <c r="AP87" s="264"/>
      <c r="AQ87" s="265"/>
      <c r="AR87" s="264"/>
      <c r="AS87" s="265"/>
      <c r="AT87" s="265"/>
      <c r="AU87" s="264"/>
      <c r="AV87" s="265"/>
      <c r="AW87" s="264"/>
      <c r="AX87" s="265"/>
      <c r="AY87" s="264"/>
      <c r="AZ87" s="265"/>
      <c r="BA87" s="264"/>
      <c r="BB87" s="265"/>
      <c r="BC87" s="264"/>
      <c r="BD87" s="265"/>
      <c r="BE87" s="264"/>
      <c r="BF87" s="265"/>
      <c r="BG87" s="264"/>
      <c r="BH87" s="265"/>
      <c r="BI87" s="264">
        <f t="shared" si="8"/>
        <v>0</v>
      </c>
      <c r="BJ87" s="268"/>
      <c r="BK87" s="269"/>
      <c r="BL87" s="269"/>
      <c r="BM87" s="270"/>
    </row>
    <row r="88" spans="1:65" s="282" customFormat="1" ht="36" x14ac:dyDescent="0.25">
      <c r="A88" s="246" t="s">
        <v>25</v>
      </c>
      <c r="B88" s="283" t="s">
        <v>897</v>
      </c>
      <c r="C88" s="268"/>
      <c r="D88" s="281">
        <f>SUM(GenFundExp2!I225:I237)</f>
        <v>0</v>
      </c>
      <c r="E88" s="265"/>
      <c r="F88" s="281">
        <f>SUM(CharterFundExp2!I225:I237)</f>
        <v>0</v>
      </c>
      <c r="G88" s="265"/>
      <c r="H88" s="281">
        <f>SUM(InsResv!I25+InsResv!I26+InsResv!I27+InsResv!I28)</f>
        <v>0</v>
      </c>
      <c r="I88" s="265"/>
      <c r="J88" s="264"/>
      <c r="K88" s="265"/>
      <c r="L88" s="281"/>
      <c r="M88" s="265"/>
      <c r="N88" s="264"/>
      <c r="O88" s="265"/>
      <c r="P88" s="264"/>
      <c r="Q88" s="265"/>
      <c r="R88" s="264"/>
      <c r="S88" s="265"/>
      <c r="T88" s="264"/>
      <c r="U88" s="265"/>
      <c r="V88" s="264"/>
      <c r="W88" s="265"/>
      <c r="X88" s="264"/>
      <c r="Y88" s="265"/>
      <c r="Z88" s="265"/>
      <c r="AA88" s="264"/>
      <c r="AB88" s="265"/>
      <c r="AC88" s="264"/>
      <c r="AD88" s="264"/>
      <c r="AE88" s="265"/>
      <c r="AF88" s="264"/>
      <c r="AG88" s="265"/>
      <c r="AH88" s="264"/>
      <c r="AI88" s="265"/>
      <c r="AJ88" s="264"/>
      <c r="AK88" s="265"/>
      <c r="AL88" s="264"/>
      <c r="AM88" s="265"/>
      <c r="AN88" s="264"/>
      <c r="AO88" s="265"/>
      <c r="AP88" s="264"/>
      <c r="AQ88" s="265"/>
      <c r="AR88" s="264"/>
      <c r="AS88" s="265"/>
      <c r="AT88" s="265"/>
      <c r="AU88" s="264"/>
      <c r="AV88" s="265"/>
      <c r="AW88" s="264"/>
      <c r="AX88" s="265"/>
      <c r="AY88" s="264"/>
      <c r="AZ88" s="265"/>
      <c r="BA88" s="264"/>
      <c r="BB88" s="265"/>
      <c r="BC88" s="264"/>
      <c r="BD88" s="265"/>
      <c r="BE88" s="264"/>
      <c r="BF88" s="265"/>
      <c r="BG88" s="264"/>
      <c r="BH88" s="265"/>
      <c r="BI88" s="264">
        <f t="shared" si="8"/>
        <v>0</v>
      </c>
      <c r="BJ88" s="268"/>
      <c r="BK88" s="269"/>
      <c r="BL88" s="269"/>
      <c r="BM88" s="270"/>
    </row>
    <row r="89" spans="1:65" s="282" customFormat="1" ht="18" x14ac:dyDescent="0.25">
      <c r="A89" s="246" t="s">
        <v>898</v>
      </c>
      <c r="B89" s="283" t="s">
        <v>1582</v>
      </c>
      <c r="C89" s="268"/>
      <c r="D89" s="281">
        <f>SUM(GenFundExp2!I238:I239)</f>
        <v>0</v>
      </c>
      <c r="E89" s="265"/>
      <c r="F89" s="281">
        <f>SUM(CharterFundExp2!I238:I239)</f>
        <v>0</v>
      </c>
      <c r="G89" s="265"/>
      <c r="H89" s="281"/>
      <c r="I89" s="265"/>
      <c r="J89" s="264"/>
      <c r="K89" s="265"/>
      <c r="L89" s="281"/>
      <c r="M89" s="265"/>
      <c r="N89" s="264"/>
      <c r="O89" s="265"/>
      <c r="P89" s="264"/>
      <c r="Q89" s="265"/>
      <c r="R89" s="264"/>
      <c r="S89" s="265"/>
      <c r="T89" s="264"/>
      <c r="U89" s="265"/>
      <c r="V89" s="264"/>
      <c r="W89" s="265"/>
      <c r="X89" s="264"/>
      <c r="Y89" s="265"/>
      <c r="Z89" s="265"/>
      <c r="AA89" s="264"/>
      <c r="AB89" s="265"/>
      <c r="AC89" s="264"/>
      <c r="AD89" s="264"/>
      <c r="AE89" s="265"/>
      <c r="AF89" s="264"/>
      <c r="AG89" s="265"/>
      <c r="AH89" s="264"/>
      <c r="AI89" s="265"/>
      <c r="AJ89" s="264"/>
      <c r="AK89" s="265"/>
      <c r="AL89" s="264"/>
      <c r="AM89" s="265"/>
      <c r="AN89" s="264"/>
      <c r="AO89" s="265"/>
      <c r="AP89" s="264"/>
      <c r="AQ89" s="265"/>
      <c r="AR89" s="264"/>
      <c r="AS89" s="265"/>
      <c r="AT89" s="265"/>
      <c r="AU89" s="264"/>
      <c r="AV89" s="265"/>
      <c r="AW89" s="264"/>
      <c r="AX89" s="265"/>
      <c r="AY89" s="264"/>
      <c r="AZ89" s="265"/>
      <c r="BA89" s="264"/>
      <c r="BB89" s="265"/>
      <c r="BC89" s="264"/>
      <c r="BD89" s="265"/>
      <c r="BE89" s="264"/>
      <c r="BF89" s="265"/>
      <c r="BG89" s="264"/>
      <c r="BH89" s="265"/>
      <c r="BI89" s="264">
        <f t="shared" si="8"/>
        <v>0</v>
      </c>
      <c r="BJ89" s="268"/>
      <c r="BK89" s="269"/>
      <c r="BL89" s="269"/>
      <c r="BM89" s="270"/>
    </row>
    <row r="90" spans="1:65" s="282" customFormat="1" ht="18" x14ac:dyDescent="0.25">
      <c r="A90" s="246" t="s">
        <v>899</v>
      </c>
      <c r="B90" s="283" t="s">
        <v>1583</v>
      </c>
      <c r="C90" s="268"/>
      <c r="D90" s="281">
        <f>SUM(GenFundExp2!I240:I244)</f>
        <v>0</v>
      </c>
      <c r="E90" s="265"/>
      <c r="F90" s="281">
        <f>SUM(CharterFundExp2!I240:I244)</f>
        <v>0</v>
      </c>
      <c r="G90" s="265"/>
      <c r="H90" s="281"/>
      <c r="I90" s="265"/>
      <c r="J90" s="264"/>
      <c r="K90" s="265"/>
      <c r="L90" s="281"/>
      <c r="M90" s="265"/>
      <c r="N90" s="264"/>
      <c r="O90" s="265"/>
      <c r="P90" s="264"/>
      <c r="Q90" s="265"/>
      <c r="R90" s="264"/>
      <c r="S90" s="265"/>
      <c r="T90" s="264"/>
      <c r="U90" s="265"/>
      <c r="V90" s="264"/>
      <c r="W90" s="265"/>
      <c r="X90" s="264"/>
      <c r="Y90" s="265"/>
      <c r="Z90" s="265"/>
      <c r="AA90" s="264"/>
      <c r="AB90" s="265"/>
      <c r="AC90" s="264"/>
      <c r="AD90" s="264"/>
      <c r="AE90" s="265"/>
      <c r="AF90" s="264"/>
      <c r="AG90" s="265"/>
      <c r="AH90" s="264"/>
      <c r="AI90" s="265"/>
      <c r="AJ90" s="264"/>
      <c r="AK90" s="265"/>
      <c r="AL90" s="264"/>
      <c r="AM90" s="265"/>
      <c r="AN90" s="264"/>
      <c r="AO90" s="265"/>
      <c r="AP90" s="264"/>
      <c r="AQ90" s="265"/>
      <c r="AR90" s="264"/>
      <c r="AS90" s="265"/>
      <c r="AT90" s="265"/>
      <c r="AU90" s="264"/>
      <c r="AV90" s="265"/>
      <c r="AW90" s="264"/>
      <c r="AX90" s="265"/>
      <c r="AY90" s="264"/>
      <c r="AZ90" s="265"/>
      <c r="BA90" s="264"/>
      <c r="BB90" s="265"/>
      <c r="BC90" s="264"/>
      <c r="BD90" s="265"/>
      <c r="BE90" s="264"/>
      <c r="BF90" s="265"/>
      <c r="BG90" s="264"/>
      <c r="BH90" s="265"/>
      <c r="BI90" s="264">
        <f t="shared" si="8"/>
        <v>0</v>
      </c>
      <c r="BJ90" s="268"/>
      <c r="BK90" s="269"/>
      <c r="BL90" s="269"/>
      <c r="BM90" s="270"/>
    </row>
    <row r="91" spans="1:65" s="282" customFormat="1" ht="18.75" thickBot="1" x14ac:dyDescent="0.3">
      <c r="A91" s="246" t="s">
        <v>900</v>
      </c>
      <c r="B91" s="283" t="s">
        <v>901</v>
      </c>
      <c r="C91" s="268"/>
      <c r="D91" s="281">
        <f>SUM(GenFundExp2!I245:I250)</f>
        <v>0</v>
      </c>
      <c r="E91" s="265"/>
      <c r="F91" s="281">
        <f>SUM(CharterFundExp2!I245:I250)</f>
        <v>0</v>
      </c>
      <c r="G91" s="265"/>
      <c r="H91" s="281">
        <f>InsResv!I37</f>
        <v>0</v>
      </c>
      <c r="I91" s="265"/>
      <c r="J91" s="264"/>
      <c r="K91" s="265"/>
      <c r="L91" s="281"/>
      <c r="M91" s="265"/>
      <c r="N91" s="264"/>
      <c r="O91" s="265"/>
      <c r="P91" s="264"/>
      <c r="Q91" s="265"/>
      <c r="R91" s="264"/>
      <c r="S91" s="265"/>
      <c r="T91" s="264"/>
      <c r="U91" s="265"/>
      <c r="V91" s="264"/>
      <c r="W91" s="265"/>
      <c r="X91" s="264"/>
      <c r="Y91" s="265"/>
      <c r="Z91" s="265"/>
      <c r="AA91" s="264"/>
      <c r="AB91" s="265"/>
      <c r="AC91" s="264"/>
      <c r="AD91" s="264"/>
      <c r="AE91" s="265"/>
      <c r="AF91" s="264"/>
      <c r="AG91" s="265"/>
      <c r="AH91" s="264"/>
      <c r="AI91" s="265"/>
      <c r="AJ91" s="264"/>
      <c r="AK91" s="265"/>
      <c r="AL91" s="264"/>
      <c r="AM91" s="265"/>
      <c r="AN91" s="264"/>
      <c r="AO91" s="265"/>
      <c r="AP91" s="264"/>
      <c r="AQ91" s="265"/>
      <c r="AR91" s="264"/>
      <c r="AS91" s="265"/>
      <c r="AT91" s="265"/>
      <c r="AU91" s="264"/>
      <c r="AV91" s="265"/>
      <c r="AW91" s="264"/>
      <c r="AX91" s="265"/>
      <c r="AY91" s="264"/>
      <c r="AZ91" s="265"/>
      <c r="BA91" s="264"/>
      <c r="BB91" s="265"/>
      <c r="BC91" s="264"/>
      <c r="BD91" s="265"/>
      <c r="BE91" s="264"/>
      <c r="BF91" s="265"/>
      <c r="BG91" s="264"/>
      <c r="BH91" s="265"/>
      <c r="BI91" s="264">
        <f t="shared" si="8"/>
        <v>0</v>
      </c>
      <c r="BJ91" s="268"/>
      <c r="BK91" s="269"/>
      <c r="BL91" s="269"/>
      <c r="BM91" s="270"/>
    </row>
    <row r="92" spans="1:65" s="282" customFormat="1" ht="18.75" thickBot="1" x14ac:dyDescent="0.3">
      <c r="A92" s="271" t="s">
        <v>769</v>
      </c>
      <c r="B92" s="279"/>
      <c r="C92" s="275"/>
      <c r="D92" s="274">
        <f>SUM(D86:D91)</f>
        <v>0</v>
      </c>
      <c r="E92" s="275"/>
      <c r="F92" s="274">
        <f>SUM(F86:F91)</f>
        <v>0</v>
      </c>
      <c r="G92" s="275"/>
      <c r="H92" s="274">
        <f>SUM(H86:H91)</f>
        <v>0</v>
      </c>
      <c r="I92" s="275"/>
      <c r="J92" s="274">
        <f>SUM(J86:J91)</f>
        <v>0</v>
      </c>
      <c r="K92" s="275"/>
      <c r="L92" s="274">
        <f>SUM(L86:L91)</f>
        <v>0</v>
      </c>
      <c r="M92" s="275"/>
      <c r="N92" s="274">
        <f>SUM(N86:N91)</f>
        <v>0</v>
      </c>
      <c r="O92" s="275"/>
      <c r="P92" s="274">
        <f>SUM(P86:P91)</f>
        <v>0</v>
      </c>
      <c r="Q92" s="275"/>
      <c r="R92" s="274">
        <f>SUM(R86:R91)</f>
        <v>0</v>
      </c>
      <c r="S92" s="275"/>
      <c r="T92" s="274">
        <f>SUM(T86:T91)</f>
        <v>0</v>
      </c>
      <c r="U92" s="275"/>
      <c r="V92" s="274">
        <f>SUM(V86:V91)</f>
        <v>0</v>
      </c>
      <c r="W92" s="275"/>
      <c r="X92" s="274">
        <f>SUM(X86:X91)</f>
        <v>0</v>
      </c>
      <c r="Y92" s="275"/>
      <c r="Z92" s="275"/>
      <c r="AA92" s="274">
        <f>SUM(AA86:AA91)</f>
        <v>0</v>
      </c>
      <c r="AB92" s="275"/>
      <c r="AC92" s="274">
        <f>SUM(AC86:AC91)</f>
        <v>0</v>
      </c>
      <c r="AD92" s="274">
        <f>SUM(AD86:AD91)</f>
        <v>0</v>
      </c>
      <c r="AE92" s="275"/>
      <c r="AF92" s="274">
        <f>SUM(AF86:AF91)</f>
        <v>0</v>
      </c>
      <c r="AG92" s="275"/>
      <c r="AH92" s="274">
        <f>SUM(AH86:AH91)</f>
        <v>0</v>
      </c>
      <c r="AI92" s="275"/>
      <c r="AJ92" s="274">
        <f>SUM(AJ86:AJ91)</f>
        <v>0</v>
      </c>
      <c r="AK92" s="275"/>
      <c r="AL92" s="274">
        <f>SUM(AL86:AL91)</f>
        <v>0</v>
      </c>
      <c r="AM92" s="275"/>
      <c r="AN92" s="274">
        <f>SUM(AN86:AN91)</f>
        <v>0</v>
      </c>
      <c r="AO92" s="275"/>
      <c r="AP92" s="274">
        <f>SUM(AP86:AP91)</f>
        <v>0</v>
      </c>
      <c r="AQ92" s="275"/>
      <c r="AR92" s="274">
        <f>SUM(AR86:AR91)</f>
        <v>0</v>
      </c>
      <c r="AS92" s="275"/>
      <c r="AT92" s="275"/>
      <c r="AU92" s="274">
        <f>SUM(AU86:AU91)</f>
        <v>0</v>
      </c>
      <c r="AV92" s="275"/>
      <c r="AW92" s="274">
        <f>SUM(AW86:AW91)</f>
        <v>0</v>
      </c>
      <c r="AX92" s="275"/>
      <c r="AY92" s="274">
        <f>SUM(AY86:AY91)</f>
        <v>0</v>
      </c>
      <c r="AZ92" s="275"/>
      <c r="BA92" s="274">
        <f>SUM(BA86:BA91)</f>
        <v>0</v>
      </c>
      <c r="BB92" s="275"/>
      <c r="BC92" s="274">
        <f>SUM(BC86:BC91)</f>
        <v>0</v>
      </c>
      <c r="BD92" s="275"/>
      <c r="BE92" s="274">
        <f>SUM(BE86:BE91)</f>
        <v>0</v>
      </c>
      <c r="BF92" s="275"/>
      <c r="BG92" s="274">
        <f>SUM(BG86:BG91)</f>
        <v>0</v>
      </c>
      <c r="BH92" s="275"/>
      <c r="BI92" s="274">
        <f t="shared" si="8"/>
        <v>0</v>
      </c>
      <c r="BJ92" s="275"/>
      <c r="BK92" s="276"/>
      <c r="BL92" s="276"/>
      <c r="BM92" s="270"/>
    </row>
    <row r="93" spans="1:65" s="282" customFormat="1" ht="18" x14ac:dyDescent="0.25">
      <c r="A93" s="246"/>
      <c r="B93" s="262"/>
      <c r="C93" s="268"/>
      <c r="D93" s="264"/>
      <c r="E93" s="265"/>
      <c r="F93" s="264"/>
      <c r="G93" s="265"/>
      <c r="H93" s="264"/>
      <c r="I93" s="265"/>
      <c r="J93" s="264"/>
      <c r="K93" s="265"/>
      <c r="L93" s="281"/>
      <c r="M93" s="265"/>
      <c r="N93" s="264"/>
      <c r="O93" s="265"/>
      <c r="P93" s="264"/>
      <c r="Q93" s="265"/>
      <c r="R93" s="264"/>
      <c r="S93" s="265"/>
      <c r="T93" s="264"/>
      <c r="U93" s="265"/>
      <c r="V93" s="264"/>
      <c r="W93" s="265"/>
      <c r="X93" s="264"/>
      <c r="Y93" s="265"/>
      <c r="Z93" s="265"/>
      <c r="AA93" s="264"/>
      <c r="AB93" s="265"/>
      <c r="AC93" s="264"/>
      <c r="AD93" s="264"/>
      <c r="AE93" s="265"/>
      <c r="AF93" s="264"/>
      <c r="AG93" s="265"/>
      <c r="AH93" s="264"/>
      <c r="AI93" s="265"/>
      <c r="AJ93" s="264"/>
      <c r="AK93" s="265"/>
      <c r="AL93" s="264"/>
      <c r="AM93" s="265"/>
      <c r="AN93" s="264"/>
      <c r="AO93" s="265"/>
      <c r="AP93" s="264"/>
      <c r="AQ93" s="265"/>
      <c r="AR93" s="264"/>
      <c r="AS93" s="265"/>
      <c r="AT93" s="265"/>
      <c r="AU93" s="264"/>
      <c r="AV93" s="265"/>
      <c r="AW93" s="264"/>
      <c r="AX93" s="265"/>
      <c r="AY93" s="264"/>
      <c r="AZ93" s="265"/>
      <c r="BA93" s="264"/>
      <c r="BB93" s="265"/>
      <c r="BC93" s="264"/>
      <c r="BD93" s="265"/>
      <c r="BE93" s="264"/>
      <c r="BF93" s="265"/>
      <c r="BG93" s="264"/>
      <c r="BH93" s="265"/>
      <c r="BI93" s="270"/>
      <c r="BJ93" s="268"/>
      <c r="BK93" s="269"/>
      <c r="BL93" s="269"/>
      <c r="BM93" s="270"/>
    </row>
    <row r="94" spans="1:65" s="282" customFormat="1" ht="36" x14ac:dyDescent="0.25">
      <c r="A94" s="246" t="s">
        <v>770</v>
      </c>
      <c r="B94" s="262"/>
      <c r="C94" s="268"/>
      <c r="D94" s="264"/>
      <c r="E94" s="265"/>
      <c r="F94" s="264"/>
      <c r="G94" s="265"/>
      <c r="H94" s="264"/>
      <c r="I94" s="265"/>
      <c r="J94" s="264"/>
      <c r="K94" s="265"/>
      <c r="L94" s="281"/>
      <c r="M94" s="265"/>
      <c r="N94" s="264"/>
      <c r="O94" s="265"/>
      <c r="P94" s="264"/>
      <c r="Q94" s="265"/>
      <c r="R94" s="264"/>
      <c r="S94" s="265"/>
      <c r="T94" s="264"/>
      <c r="U94" s="265"/>
      <c r="V94" s="264"/>
      <c r="W94" s="265"/>
      <c r="X94" s="264"/>
      <c r="Y94" s="265"/>
      <c r="Z94" s="265"/>
      <c r="AA94" s="264"/>
      <c r="AB94" s="265"/>
      <c r="AC94" s="264"/>
      <c r="AD94" s="264"/>
      <c r="AE94" s="265"/>
      <c r="AF94" s="264"/>
      <c r="AG94" s="265"/>
      <c r="AH94" s="264"/>
      <c r="AI94" s="265"/>
      <c r="AJ94" s="264"/>
      <c r="AK94" s="265"/>
      <c r="AL94" s="264"/>
      <c r="AM94" s="265"/>
      <c r="AN94" s="264"/>
      <c r="AO94" s="265"/>
      <c r="AP94" s="264"/>
      <c r="AQ94" s="265"/>
      <c r="AR94" s="264"/>
      <c r="AS94" s="265"/>
      <c r="AT94" s="265"/>
      <c r="AU94" s="264"/>
      <c r="AV94" s="265"/>
      <c r="AW94" s="264"/>
      <c r="AX94" s="265"/>
      <c r="AY94" s="264"/>
      <c r="AZ94" s="265"/>
      <c r="BA94" s="264"/>
      <c r="BB94" s="265"/>
      <c r="BC94" s="264"/>
      <c r="BD94" s="265"/>
      <c r="BE94" s="264"/>
      <c r="BF94" s="265"/>
      <c r="BG94" s="264"/>
      <c r="BH94" s="265"/>
      <c r="BI94" s="270"/>
      <c r="BJ94" s="268"/>
      <c r="BK94" s="269"/>
      <c r="BL94" s="269"/>
      <c r="BM94" s="270"/>
    </row>
    <row r="95" spans="1:65" s="282" customFormat="1" ht="18" x14ac:dyDescent="0.25">
      <c r="A95" s="246" t="s">
        <v>23</v>
      </c>
      <c r="B95" s="283" t="s">
        <v>1577</v>
      </c>
      <c r="C95" s="268"/>
      <c r="D95" s="281">
        <f>SUM(GenFundExp2!I254+GenFundExp2!I255)</f>
        <v>0</v>
      </c>
      <c r="E95" s="265"/>
      <c r="F95" s="281">
        <f>SUM(CharterFundExp2!I254+CharterFundExp2!I255)</f>
        <v>0</v>
      </c>
      <c r="G95" s="265"/>
      <c r="H95" s="264"/>
      <c r="I95" s="265"/>
      <c r="J95" s="264"/>
      <c r="K95" s="265"/>
      <c r="L95" s="281"/>
      <c r="M95" s="265"/>
      <c r="N95" s="264"/>
      <c r="O95" s="265"/>
      <c r="P95" s="264"/>
      <c r="Q95" s="265"/>
      <c r="R95" s="264"/>
      <c r="S95" s="265"/>
      <c r="T95" s="264"/>
      <c r="U95" s="265"/>
      <c r="V95" s="264"/>
      <c r="W95" s="265"/>
      <c r="X95" s="264"/>
      <c r="Y95" s="265"/>
      <c r="Z95" s="265"/>
      <c r="AA95" s="264"/>
      <c r="AB95" s="265"/>
      <c r="AC95" s="264"/>
      <c r="AD95" s="264"/>
      <c r="AE95" s="265"/>
      <c r="AF95" s="264"/>
      <c r="AG95" s="265"/>
      <c r="AH95" s="264"/>
      <c r="AI95" s="265"/>
      <c r="AJ95" s="264"/>
      <c r="AK95" s="265"/>
      <c r="AL95" s="264"/>
      <c r="AM95" s="265"/>
      <c r="AN95" s="264"/>
      <c r="AO95" s="265"/>
      <c r="AP95" s="264"/>
      <c r="AQ95" s="265"/>
      <c r="AR95" s="264"/>
      <c r="AS95" s="265"/>
      <c r="AT95" s="265"/>
      <c r="AU95" s="264"/>
      <c r="AV95" s="265"/>
      <c r="AW95" s="264"/>
      <c r="AX95" s="265"/>
      <c r="AY95" s="264"/>
      <c r="AZ95" s="265"/>
      <c r="BA95" s="264"/>
      <c r="BB95" s="265"/>
      <c r="BC95" s="264"/>
      <c r="BD95" s="265"/>
      <c r="BE95" s="264"/>
      <c r="BF95" s="265"/>
      <c r="BG95" s="264"/>
      <c r="BH95" s="265"/>
      <c r="BI95" s="264">
        <f t="shared" ref="BI95:BI101" si="9">D95+F95+H95+J95+X95+N95+P95+R95+L95+T95+V95+AA95+AC95+AD95+AF95+AH95+AJ95+AL95+AN95+AP95+AR95+AU95+AW95+AY95+BA95+BC95+BE95+BG95</f>
        <v>0</v>
      </c>
      <c r="BJ95" s="268"/>
      <c r="BK95" s="269"/>
      <c r="BL95" s="269"/>
      <c r="BM95" s="270"/>
    </row>
    <row r="96" spans="1:65" s="282" customFormat="1" ht="18" x14ac:dyDescent="0.25">
      <c r="A96" s="246" t="s">
        <v>24</v>
      </c>
      <c r="B96" s="283" t="s">
        <v>1578</v>
      </c>
      <c r="C96" s="268"/>
      <c r="D96" s="281">
        <f>SUM(GenFundExp2!I256+GenFundExp2!I257)</f>
        <v>0</v>
      </c>
      <c r="E96" s="265"/>
      <c r="F96" s="281">
        <f>SUM(CharterFundExp2!I256+CharterFundExp2!I257)</f>
        <v>0</v>
      </c>
      <c r="G96" s="265"/>
      <c r="H96" s="264"/>
      <c r="I96" s="265"/>
      <c r="J96" s="264"/>
      <c r="K96" s="265"/>
      <c r="L96" s="281"/>
      <c r="M96" s="265"/>
      <c r="N96" s="264"/>
      <c r="O96" s="265"/>
      <c r="P96" s="264"/>
      <c r="Q96" s="265"/>
      <c r="R96" s="264"/>
      <c r="S96" s="265"/>
      <c r="T96" s="264"/>
      <c r="U96" s="265"/>
      <c r="V96" s="264"/>
      <c r="W96" s="265"/>
      <c r="X96" s="264"/>
      <c r="Y96" s="265"/>
      <c r="Z96" s="265"/>
      <c r="AA96" s="264"/>
      <c r="AB96" s="265"/>
      <c r="AC96" s="264"/>
      <c r="AD96" s="264"/>
      <c r="AE96" s="265"/>
      <c r="AF96" s="264"/>
      <c r="AG96" s="265"/>
      <c r="AH96" s="264"/>
      <c r="AI96" s="265"/>
      <c r="AJ96" s="264"/>
      <c r="AK96" s="265"/>
      <c r="AL96" s="264"/>
      <c r="AM96" s="265"/>
      <c r="AN96" s="264"/>
      <c r="AO96" s="265"/>
      <c r="AP96" s="264"/>
      <c r="AQ96" s="265"/>
      <c r="AR96" s="264"/>
      <c r="AS96" s="265"/>
      <c r="AT96" s="265"/>
      <c r="AU96" s="264"/>
      <c r="AV96" s="265"/>
      <c r="AW96" s="264"/>
      <c r="AX96" s="265"/>
      <c r="AY96" s="264"/>
      <c r="AZ96" s="265"/>
      <c r="BA96" s="264"/>
      <c r="BB96" s="265"/>
      <c r="BC96" s="264"/>
      <c r="BD96" s="265"/>
      <c r="BE96" s="264"/>
      <c r="BF96" s="265"/>
      <c r="BG96" s="264"/>
      <c r="BH96" s="265"/>
      <c r="BI96" s="264">
        <f t="shared" si="9"/>
        <v>0</v>
      </c>
      <c r="BJ96" s="268"/>
      <c r="BK96" s="269"/>
      <c r="BL96" s="269"/>
      <c r="BM96" s="270"/>
    </row>
    <row r="97" spans="1:65" s="282" customFormat="1" ht="36" x14ac:dyDescent="0.25">
      <c r="A97" s="246" t="s">
        <v>25</v>
      </c>
      <c r="B97" s="283" t="s">
        <v>897</v>
      </c>
      <c r="C97" s="268"/>
      <c r="D97" s="281">
        <f>SUM(GenFundExp2!I258:I277)</f>
        <v>0</v>
      </c>
      <c r="E97" s="265"/>
      <c r="F97" s="281">
        <f>SUM(CharterFundExp2!I258:I277)</f>
        <v>0</v>
      </c>
      <c r="G97" s="265"/>
      <c r="H97" s="281">
        <f>SUM(InsResv!I29)</f>
        <v>0</v>
      </c>
      <c r="I97" s="265"/>
      <c r="J97" s="264"/>
      <c r="K97" s="265"/>
      <c r="L97" s="281"/>
      <c r="M97" s="265"/>
      <c r="N97" s="264"/>
      <c r="O97" s="265"/>
      <c r="P97" s="264"/>
      <c r="Q97" s="265"/>
      <c r="R97" s="264"/>
      <c r="S97" s="265"/>
      <c r="T97" s="264"/>
      <c r="U97" s="265"/>
      <c r="V97" s="264"/>
      <c r="W97" s="265"/>
      <c r="X97" s="264"/>
      <c r="Y97" s="265"/>
      <c r="Z97" s="265"/>
      <c r="AA97" s="264"/>
      <c r="AB97" s="265"/>
      <c r="AC97" s="264"/>
      <c r="AD97" s="264"/>
      <c r="AE97" s="265"/>
      <c r="AF97" s="264"/>
      <c r="AG97" s="265"/>
      <c r="AH97" s="264"/>
      <c r="AI97" s="265"/>
      <c r="AJ97" s="264"/>
      <c r="AK97" s="265"/>
      <c r="AL97" s="264"/>
      <c r="AM97" s="265"/>
      <c r="AN97" s="264"/>
      <c r="AO97" s="265"/>
      <c r="AP97" s="264"/>
      <c r="AQ97" s="265"/>
      <c r="AR97" s="264"/>
      <c r="AS97" s="265"/>
      <c r="AT97" s="265"/>
      <c r="AU97" s="264"/>
      <c r="AV97" s="265"/>
      <c r="AW97" s="264"/>
      <c r="AX97" s="265"/>
      <c r="AY97" s="264"/>
      <c r="AZ97" s="265"/>
      <c r="BA97" s="264"/>
      <c r="BB97" s="265"/>
      <c r="BC97" s="264"/>
      <c r="BD97" s="265"/>
      <c r="BE97" s="264"/>
      <c r="BF97" s="265"/>
      <c r="BG97" s="264"/>
      <c r="BH97" s="265"/>
      <c r="BI97" s="264">
        <f t="shared" si="9"/>
        <v>0</v>
      </c>
      <c r="BJ97" s="268"/>
      <c r="BK97" s="269"/>
      <c r="BL97" s="269"/>
      <c r="BM97" s="270"/>
    </row>
    <row r="98" spans="1:65" s="282" customFormat="1" ht="18" x14ac:dyDescent="0.25">
      <c r="A98" s="246" t="s">
        <v>898</v>
      </c>
      <c r="B98" s="283" t="s">
        <v>1582</v>
      </c>
      <c r="C98" s="268"/>
      <c r="D98" s="281">
        <f>SUM(GenFundExp2!I278:I279)</f>
        <v>0</v>
      </c>
      <c r="E98" s="265"/>
      <c r="F98" s="281">
        <f>SUM(CharterFundExp2!I278:I279)</f>
        <v>0</v>
      </c>
      <c r="G98" s="265"/>
      <c r="H98" s="264"/>
      <c r="I98" s="265"/>
      <c r="J98" s="264"/>
      <c r="K98" s="265"/>
      <c r="L98" s="281"/>
      <c r="M98" s="265"/>
      <c r="N98" s="264"/>
      <c r="O98" s="265"/>
      <c r="P98" s="264"/>
      <c r="Q98" s="265"/>
      <c r="R98" s="264"/>
      <c r="S98" s="265"/>
      <c r="T98" s="264"/>
      <c r="U98" s="265"/>
      <c r="V98" s="264"/>
      <c r="W98" s="265"/>
      <c r="X98" s="264"/>
      <c r="Y98" s="265"/>
      <c r="Z98" s="265"/>
      <c r="AA98" s="264"/>
      <c r="AB98" s="265"/>
      <c r="AC98" s="264"/>
      <c r="AD98" s="264"/>
      <c r="AE98" s="265"/>
      <c r="AF98" s="264"/>
      <c r="AG98" s="265"/>
      <c r="AH98" s="264"/>
      <c r="AI98" s="265"/>
      <c r="AJ98" s="264"/>
      <c r="AK98" s="265"/>
      <c r="AL98" s="264"/>
      <c r="AM98" s="265"/>
      <c r="AN98" s="264"/>
      <c r="AO98" s="265"/>
      <c r="AP98" s="264"/>
      <c r="AQ98" s="265"/>
      <c r="AR98" s="264"/>
      <c r="AS98" s="265"/>
      <c r="AT98" s="265"/>
      <c r="AU98" s="264"/>
      <c r="AV98" s="265"/>
      <c r="AW98" s="264"/>
      <c r="AX98" s="265"/>
      <c r="AY98" s="264"/>
      <c r="AZ98" s="265"/>
      <c r="BA98" s="264"/>
      <c r="BB98" s="265"/>
      <c r="BC98" s="264"/>
      <c r="BD98" s="265"/>
      <c r="BE98" s="264"/>
      <c r="BF98" s="265"/>
      <c r="BG98" s="264"/>
      <c r="BH98" s="265"/>
      <c r="BI98" s="264">
        <f t="shared" si="9"/>
        <v>0</v>
      </c>
      <c r="BJ98" s="268"/>
      <c r="BK98" s="269"/>
      <c r="BL98" s="269"/>
      <c r="BM98" s="270"/>
    </row>
    <row r="99" spans="1:65" s="282" customFormat="1" ht="18" x14ac:dyDescent="0.25">
      <c r="A99" s="246" t="s">
        <v>899</v>
      </c>
      <c r="B99" s="283" t="s">
        <v>1583</v>
      </c>
      <c r="C99" s="268"/>
      <c r="D99" s="281">
        <f>SUM(GenFundExp2!I280:I284)</f>
        <v>0</v>
      </c>
      <c r="E99" s="265"/>
      <c r="F99" s="281">
        <f>SUM(CharterFundExp2!I280:I284)</f>
        <v>0</v>
      </c>
      <c r="G99" s="265"/>
      <c r="H99" s="264"/>
      <c r="I99" s="265"/>
      <c r="J99" s="264"/>
      <c r="K99" s="265"/>
      <c r="L99" s="281"/>
      <c r="M99" s="265"/>
      <c r="N99" s="264"/>
      <c r="O99" s="265"/>
      <c r="P99" s="264"/>
      <c r="Q99" s="265"/>
      <c r="R99" s="264"/>
      <c r="S99" s="265"/>
      <c r="T99" s="264"/>
      <c r="U99" s="265"/>
      <c r="V99" s="264"/>
      <c r="W99" s="265"/>
      <c r="X99" s="264"/>
      <c r="Y99" s="265"/>
      <c r="Z99" s="265"/>
      <c r="AA99" s="264"/>
      <c r="AB99" s="265"/>
      <c r="AC99" s="264"/>
      <c r="AD99" s="264"/>
      <c r="AE99" s="265"/>
      <c r="AF99" s="264"/>
      <c r="AG99" s="265"/>
      <c r="AH99" s="264"/>
      <c r="AI99" s="265"/>
      <c r="AJ99" s="264"/>
      <c r="AK99" s="265"/>
      <c r="AL99" s="264"/>
      <c r="AM99" s="265"/>
      <c r="AN99" s="264"/>
      <c r="AO99" s="265"/>
      <c r="AP99" s="264"/>
      <c r="AQ99" s="265"/>
      <c r="AR99" s="264"/>
      <c r="AS99" s="265"/>
      <c r="AT99" s="265"/>
      <c r="AU99" s="264"/>
      <c r="AV99" s="265"/>
      <c r="AW99" s="264"/>
      <c r="AX99" s="265"/>
      <c r="AY99" s="264"/>
      <c r="AZ99" s="265"/>
      <c r="BA99" s="264"/>
      <c r="BB99" s="265"/>
      <c r="BC99" s="264"/>
      <c r="BD99" s="265"/>
      <c r="BE99" s="264"/>
      <c r="BF99" s="265"/>
      <c r="BG99" s="264"/>
      <c r="BH99" s="265"/>
      <c r="BI99" s="264">
        <f t="shared" si="9"/>
        <v>0</v>
      </c>
      <c r="BJ99" s="268"/>
      <c r="BK99" s="269"/>
      <c r="BL99" s="269"/>
      <c r="BM99" s="270"/>
    </row>
    <row r="100" spans="1:65" s="282" customFormat="1" ht="18.75" thickBot="1" x14ac:dyDescent="0.3">
      <c r="A100" s="246" t="s">
        <v>900</v>
      </c>
      <c r="B100" s="283" t="s">
        <v>901</v>
      </c>
      <c r="C100" s="268"/>
      <c r="D100" s="281">
        <f>SUM(GenFundExp2!I285:I290)</f>
        <v>0</v>
      </c>
      <c r="E100" s="265"/>
      <c r="F100" s="281">
        <f>SUM(CharterFundExp2!I285:I290)</f>
        <v>0</v>
      </c>
      <c r="G100" s="265"/>
      <c r="H100" s="264"/>
      <c r="I100" s="265"/>
      <c r="J100" s="264"/>
      <c r="K100" s="265"/>
      <c r="L100" s="281"/>
      <c r="M100" s="265"/>
      <c r="N100" s="264"/>
      <c r="O100" s="265"/>
      <c r="P100" s="264"/>
      <c r="Q100" s="265"/>
      <c r="R100" s="264"/>
      <c r="S100" s="265"/>
      <c r="T100" s="264"/>
      <c r="U100" s="265"/>
      <c r="V100" s="264"/>
      <c r="W100" s="265"/>
      <c r="X100" s="264"/>
      <c r="Y100" s="265"/>
      <c r="Z100" s="265"/>
      <c r="AA100" s="264"/>
      <c r="AB100" s="265"/>
      <c r="AC100" s="264"/>
      <c r="AD100" s="264"/>
      <c r="AE100" s="265"/>
      <c r="AF100" s="264"/>
      <c r="AG100" s="265"/>
      <c r="AH100" s="264"/>
      <c r="AI100" s="265"/>
      <c r="AJ100" s="264"/>
      <c r="AK100" s="265"/>
      <c r="AL100" s="264"/>
      <c r="AM100" s="265"/>
      <c r="AN100" s="264"/>
      <c r="AO100" s="265"/>
      <c r="AP100" s="264"/>
      <c r="AQ100" s="265"/>
      <c r="AR100" s="264"/>
      <c r="AS100" s="265"/>
      <c r="AT100" s="265"/>
      <c r="AU100" s="264"/>
      <c r="AV100" s="265"/>
      <c r="AW100" s="264"/>
      <c r="AX100" s="265"/>
      <c r="AY100" s="264"/>
      <c r="AZ100" s="265"/>
      <c r="BA100" s="264"/>
      <c r="BB100" s="265"/>
      <c r="BC100" s="264"/>
      <c r="BD100" s="265"/>
      <c r="BE100" s="264"/>
      <c r="BF100" s="265"/>
      <c r="BG100" s="264"/>
      <c r="BH100" s="265"/>
      <c r="BI100" s="264">
        <f t="shared" si="9"/>
        <v>0</v>
      </c>
      <c r="BJ100" s="268"/>
      <c r="BK100" s="269"/>
      <c r="BL100" s="269"/>
      <c r="BM100" s="270"/>
    </row>
    <row r="101" spans="1:65" s="282" customFormat="1" ht="18.75" thickBot="1" x14ac:dyDescent="0.3">
      <c r="A101" s="271" t="s">
        <v>771</v>
      </c>
      <c r="B101" s="279"/>
      <c r="C101" s="275"/>
      <c r="D101" s="274">
        <f>SUM(D95:D100)</f>
        <v>0</v>
      </c>
      <c r="E101" s="275"/>
      <c r="F101" s="274">
        <f>SUM(F95:F100)</f>
        <v>0</v>
      </c>
      <c r="G101" s="275"/>
      <c r="H101" s="274">
        <f>SUM(H95:H100)</f>
        <v>0</v>
      </c>
      <c r="I101" s="275"/>
      <c r="J101" s="274">
        <f>SUM(J95:J100)</f>
        <v>0</v>
      </c>
      <c r="K101" s="275"/>
      <c r="L101" s="274">
        <f>SUM(L95:L100)</f>
        <v>0</v>
      </c>
      <c r="M101" s="275"/>
      <c r="N101" s="274">
        <f>SUM(N95:N100)</f>
        <v>0</v>
      </c>
      <c r="O101" s="275"/>
      <c r="P101" s="274">
        <f>SUM(P95:P100)</f>
        <v>0</v>
      </c>
      <c r="Q101" s="275"/>
      <c r="R101" s="274">
        <f>SUM(R95:R100)</f>
        <v>0</v>
      </c>
      <c r="S101" s="275"/>
      <c r="T101" s="274">
        <f>SUM(T95:T100)</f>
        <v>0</v>
      </c>
      <c r="U101" s="275"/>
      <c r="V101" s="274">
        <f>SUM(V95:V100)</f>
        <v>0</v>
      </c>
      <c r="W101" s="275"/>
      <c r="X101" s="274">
        <f>SUM(X95:X100)</f>
        <v>0</v>
      </c>
      <c r="Y101" s="275"/>
      <c r="Z101" s="275"/>
      <c r="AA101" s="274">
        <f>SUM(AA95:AA100)</f>
        <v>0</v>
      </c>
      <c r="AB101" s="275"/>
      <c r="AC101" s="274">
        <f>SUM(AC95:AC100)</f>
        <v>0</v>
      </c>
      <c r="AD101" s="274">
        <f>SUM(AD95:AD100)</f>
        <v>0</v>
      </c>
      <c r="AE101" s="275"/>
      <c r="AF101" s="274">
        <f>SUM(AF95:AF100)</f>
        <v>0</v>
      </c>
      <c r="AG101" s="275"/>
      <c r="AH101" s="274">
        <f>SUM(AH95:AH100)</f>
        <v>0</v>
      </c>
      <c r="AI101" s="275"/>
      <c r="AJ101" s="274">
        <f>SUM(AJ95:AJ100)</f>
        <v>0</v>
      </c>
      <c r="AK101" s="275"/>
      <c r="AL101" s="274">
        <f>SUM(AL95:AL100)</f>
        <v>0</v>
      </c>
      <c r="AM101" s="275"/>
      <c r="AN101" s="274">
        <f>SUM(AN95:AN100)</f>
        <v>0</v>
      </c>
      <c r="AO101" s="275"/>
      <c r="AP101" s="274">
        <f>SUM(AP95:AP100)</f>
        <v>0</v>
      </c>
      <c r="AQ101" s="275"/>
      <c r="AR101" s="274">
        <f>SUM(AR95:AR100)</f>
        <v>0</v>
      </c>
      <c r="AS101" s="275"/>
      <c r="AT101" s="275"/>
      <c r="AU101" s="274">
        <f>SUM(AU95:AU100)</f>
        <v>0</v>
      </c>
      <c r="AV101" s="275"/>
      <c r="AW101" s="274">
        <f>SUM(AW95:AW100)</f>
        <v>0</v>
      </c>
      <c r="AX101" s="275"/>
      <c r="AY101" s="274">
        <f>SUM(AY95:AY100)</f>
        <v>0</v>
      </c>
      <c r="AZ101" s="275"/>
      <c r="BA101" s="274">
        <f>SUM(BA95:BA100)</f>
        <v>0</v>
      </c>
      <c r="BB101" s="275"/>
      <c r="BC101" s="274">
        <f>SUM(BC95:BC100)</f>
        <v>0</v>
      </c>
      <c r="BD101" s="275"/>
      <c r="BE101" s="274">
        <f>SUM(BE95:BE100)</f>
        <v>0</v>
      </c>
      <c r="BF101" s="275"/>
      <c r="BG101" s="274">
        <f>SUM(BG95:BG100)</f>
        <v>0</v>
      </c>
      <c r="BH101" s="275"/>
      <c r="BI101" s="274">
        <f t="shared" si="9"/>
        <v>0</v>
      </c>
      <c r="BJ101" s="275"/>
      <c r="BK101" s="276"/>
      <c r="BL101" s="276"/>
      <c r="BM101" s="270"/>
    </row>
    <row r="102" spans="1:65" s="282" customFormat="1" ht="18" x14ac:dyDescent="0.25">
      <c r="A102" s="246"/>
      <c r="B102" s="262"/>
      <c r="C102" s="268"/>
      <c r="D102" s="264"/>
      <c r="E102" s="265"/>
      <c r="F102" s="264"/>
      <c r="G102" s="265"/>
      <c r="H102" s="264"/>
      <c r="I102" s="265"/>
      <c r="J102" s="264"/>
      <c r="K102" s="265"/>
      <c r="L102" s="281"/>
      <c r="M102" s="265"/>
      <c r="N102" s="264"/>
      <c r="O102" s="265"/>
      <c r="P102" s="264"/>
      <c r="Q102" s="265"/>
      <c r="R102" s="264"/>
      <c r="S102" s="265"/>
      <c r="T102" s="264"/>
      <c r="U102" s="265"/>
      <c r="V102" s="264"/>
      <c r="W102" s="265"/>
      <c r="X102" s="264"/>
      <c r="Y102" s="265"/>
      <c r="Z102" s="265"/>
      <c r="AA102" s="264"/>
      <c r="AB102" s="265"/>
      <c r="AC102" s="264"/>
      <c r="AD102" s="264"/>
      <c r="AE102" s="265"/>
      <c r="AF102" s="264"/>
      <c r="AG102" s="265"/>
      <c r="AH102" s="264"/>
      <c r="AI102" s="265"/>
      <c r="AJ102" s="264"/>
      <c r="AK102" s="265"/>
      <c r="AL102" s="264"/>
      <c r="AM102" s="265"/>
      <c r="AN102" s="264"/>
      <c r="AO102" s="265"/>
      <c r="AP102" s="264"/>
      <c r="AQ102" s="265"/>
      <c r="AR102" s="264"/>
      <c r="AS102" s="265"/>
      <c r="AT102" s="265"/>
      <c r="AU102" s="264"/>
      <c r="AV102" s="265"/>
      <c r="AW102" s="264"/>
      <c r="AX102" s="265"/>
      <c r="AY102" s="264"/>
      <c r="AZ102" s="265"/>
      <c r="BA102" s="264"/>
      <c r="BB102" s="265"/>
      <c r="BC102" s="264"/>
      <c r="BD102" s="265"/>
      <c r="BE102" s="264"/>
      <c r="BF102" s="265"/>
      <c r="BG102" s="264"/>
      <c r="BH102" s="265"/>
      <c r="BI102" s="270"/>
      <c r="BJ102" s="268"/>
      <c r="BK102" s="269"/>
      <c r="BL102" s="269"/>
      <c r="BM102" s="270"/>
    </row>
    <row r="103" spans="1:65" s="282" customFormat="1" ht="18" x14ac:dyDescent="0.25">
      <c r="A103" s="246" t="s">
        <v>772</v>
      </c>
      <c r="B103" s="262"/>
      <c r="C103" s="268"/>
      <c r="D103" s="264"/>
      <c r="E103" s="265"/>
      <c r="F103" s="264"/>
      <c r="G103" s="265"/>
      <c r="H103" s="264"/>
      <c r="I103" s="265"/>
      <c r="J103" s="264"/>
      <c r="K103" s="265"/>
      <c r="L103" s="281"/>
      <c r="M103" s="265"/>
      <c r="N103" s="264"/>
      <c r="O103" s="265"/>
      <c r="P103" s="264"/>
      <c r="Q103" s="265"/>
      <c r="R103" s="264"/>
      <c r="S103" s="265"/>
      <c r="T103" s="264"/>
      <c r="U103" s="265"/>
      <c r="V103" s="264"/>
      <c r="W103" s="265"/>
      <c r="X103" s="264"/>
      <c r="Y103" s="265"/>
      <c r="Z103" s="265"/>
      <c r="AA103" s="264"/>
      <c r="AB103" s="265"/>
      <c r="AC103" s="264"/>
      <c r="AD103" s="264"/>
      <c r="AE103" s="265"/>
      <c r="AF103" s="264"/>
      <c r="AG103" s="265"/>
      <c r="AH103" s="264"/>
      <c r="AI103" s="265"/>
      <c r="AJ103" s="264"/>
      <c r="AK103" s="265"/>
      <c r="AL103" s="264"/>
      <c r="AM103" s="265"/>
      <c r="AN103" s="264"/>
      <c r="AO103" s="265"/>
      <c r="AP103" s="264"/>
      <c r="AQ103" s="265"/>
      <c r="AR103" s="264"/>
      <c r="AS103" s="265"/>
      <c r="AT103" s="265"/>
      <c r="AU103" s="264"/>
      <c r="AV103" s="265"/>
      <c r="AW103" s="264"/>
      <c r="AX103" s="265"/>
      <c r="AY103" s="264"/>
      <c r="AZ103" s="265"/>
      <c r="BA103" s="264"/>
      <c r="BB103" s="265"/>
      <c r="BC103" s="264"/>
      <c r="BD103" s="265"/>
      <c r="BE103" s="264"/>
      <c r="BF103" s="265"/>
      <c r="BG103" s="264"/>
      <c r="BH103" s="265"/>
      <c r="BI103" s="270"/>
      <c r="BJ103" s="268"/>
      <c r="BK103" s="269"/>
      <c r="BL103" s="269"/>
      <c r="BM103" s="270"/>
    </row>
    <row r="104" spans="1:65" s="282" customFormat="1" ht="18" x14ac:dyDescent="0.25">
      <c r="A104" s="246" t="s">
        <v>23</v>
      </c>
      <c r="B104" s="283" t="s">
        <v>1577</v>
      </c>
      <c r="C104" s="268"/>
      <c r="D104" s="281">
        <f>SUM(GenFundExp2!I294+GenFundExp2!I295)</f>
        <v>0</v>
      </c>
      <c r="E104" s="265"/>
      <c r="F104" s="281">
        <f>SUM(CharterFundExp2!I294+CharterFundExp2!I295)</f>
        <v>0</v>
      </c>
      <c r="G104" s="265"/>
      <c r="H104" s="264"/>
      <c r="I104" s="265"/>
      <c r="J104" s="264"/>
      <c r="K104" s="265"/>
      <c r="L104" s="281"/>
      <c r="M104" s="265"/>
      <c r="N104" s="264"/>
      <c r="O104" s="265"/>
      <c r="P104" s="264"/>
      <c r="Q104" s="265"/>
      <c r="R104" s="264"/>
      <c r="S104" s="265"/>
      <c r="T104" s="264"/>
      <c r="U104" s="265"/>
      <c r="V104" s="264"/>
      <c r="W104" s="265"/>
      <c r="X104" s="264"/>
      <c r="Y104" s="265"/>
      <c r="Z104" s="265"/>
      <c r="AA104" s="264"/>
      <c r="AB104" s="265"/>
      <c r="AC104" s="264"/>
      <c r="AD104" s="264"/>
      <c r="AE104" s="265"/>
      <c r="AF104" s="264"/>
      <c r="AG104" s="265"/>
      <c r="AH104" s="264"/>
      <c r="AI104" s="265"/>
      <c r="AJ104" s="264"/>
      <c r="AK104" s="265"/>
      <c r="AL104" s="264"/>
      <c r="AM104" s="265"/>
      <c r="AN104" s="264"/>
      <c r="AO104" s="265"/>
      <c r="AP104" s="264"/>
      <c r="AQ104" s="265"/>
      <c r="AR104" s="264"/>
      <c r="AS104" s="265"/>
      <c r="AT104" s="265"/>
      <c r="AU104" s="264"/>
      <c r="AV104" s="265"/>
      <c r="AW104" s="264"/>
      <c r="AX104" s="265"/>
      <c r="AY104" s="264"/>
      <c r="AZ104" s="265"/>
      <c r="BA104" s="264"/>
      <c r="BB104" s="265"/>
      <c r="BC104" s="264"/>
      <c r="BD104" s="265"/>
      <c r="BE104" s="264"/>
      <c r="BF104" s="265"/>
      <c r="BG104" s="264"/>
      <c r="BH104" s="265"/>
      <c r="BI104" s="264">
        <f t="shared" ref="BI104:BI110" si="10">D104+F104+H104+J104+X104+N104+P104+R104+L104+T104+V104+AA104+AC104+AD104+AF104+AH104+AJ104+AL104+AN104+AP104+AR104+AU104+AW104+AY104+BA104+BC104+BE104+BG104</f>
        <v>0</v>
      </c>
      <c r="BJ104" s="268"/>
      <c r="BK104" s="269"/>
      <c r="BL104" s="269"/>
      <c r="BM104" s="270"/>
    </row>
    <row r="105" spans="1:65" s="282" customFormat="1" ht="18" x14ac:dyDescent="0.25">
      <c r="A105" s="246" t="s">
        <v>24</v>
      </c>
      <c r="B105" s="283" t="s">
        <v>1578</v>
      </c>
      <c r="C105" s="268"/>
      <c r="D105" s="281">
        <f>SUM(GenFundExp2!I296+GenFundExp2!I297)</f>
        <v>0</v>
      </c>
      <c r="E105" s="265"/>
      <c r="F105" s="281">
        <f>SUM(CharterFundExp2!I296+CharterFundExp2!I297)</f>
        <v>0</v>
      </c>
      <c r="G105" s="265"/>
      <c r="H105" s="264"/>
      <c r="I105" s="265"/>
      <c r="J105" s="264"/>
      <c r="K105" s="265"/>
      <c r="L105" s="281"/>
      <c r="M105" s="265"/>
      <c r="N105" s="264"/>
      <c r="O105" s="265"/>
      <c r="P105" s="264"/>
      <c r="Q105" s="265"/>
      <c r="R105" s="264"/>
      <c r="S105" s="265"/>
      <c r="T105" s="264"/>
      <c r="U105" s="265"/>
      <c r="V105" s="264"/>
      <c r="W105" s="265"/>
      <c r="X105" s="264"/>
      <c r="Y105" s="265"/>
      <c r="Z105" s="265"/>
      <c r="AA105" s="264"/>
      <c r="AB105" s="265"/>
      <c r="AC105" s="264"/>
      <c r="AD105" s="264"/>
      <c r="AE105" s="265"/>
      <c r="AF105" s="264"/>
      <c r="AG105" s="265"/>
      <c r="AH105" s="264"/>
      <c r="AI105" s="265"/>
      <c r="AJ105" s="264"/>
      <c r="AK105" s="265"/>
      <c r="AL105" s="264"/>
      <c r="AM105" s="265"/>
      <c r="AN105" s="264"/>
      <c r="AO105" s="265"/>
      <c r="AP105" s="264"/>
      <c r="AQ105" s="265"/>
      <c r="AR105" s="264"/>
      <c r="AS105" s="265"/>
      <c r="AT105" s="265"/>
      <c r="AU105" s="264"/>
      <c r="AV105" s="265"/>
      <c r="AW105" s="264"/>
      <c r="AX105" s="265"/>
      <c r="AY105" s="264"/>
      <c r="AZ105" s="265"/>
      <c r="BA105" s="264"/>
      <c r="BB105" s="265"/>
      <c r="BC105" s="264"/>
      <c r="BD105" s="265"/>
      <c r="BE105" s="264"/>
      <c r="BF105" s="265"/>
      <c r="BG105" s="264"/>
      <c r="BH105" s="265"/>
      <c r="BI105" s="264">
        <f t="shared" si="10"/>
        <v>0</v>
      </c>
      <c r="BJ105" s="268"/>
      <c r="BK105" s="269"/>
      <c r="BL105" s="269"/>
      <c r="BM105" s="270"/>
    </row>
    <row r="106" spans="1:65" s="282" customFormat="1" ht="36" x14ac:dyDescent="0.25">
      <c r="A106" s="246" t="s">
        <v>25</v>
      </c>
      <c r="B106" s="283" t="s">
        <v>773</v>
      </c>
      <c r="C106" s="268"/>
      <c r="D106" s="281">
        <f>SUM(GenFundExp2!I298:I310)</f>
        <v>0</v>
      </c>
      <c r="E106" s="265"/>
      <c r="F106" s="281">
        <f>SUM(CharterFundExp2!I298:I310)</f>
        <v>0</v>
      </c>
      <c r="G106" s="265"/>
      <c r="H106" s="705">
        <f>SUM(InsResv!I31+InsResv!I33+InsResv!I34+InsResv!I35+InsResv!I32)</f>
        <v>0</v>
      </c>
      <c r="I106" s="265"/>
      <c r="J106" s="264"/>
      <c r="K106" s="265"/>
      <c r="L106" s="281"/>
      <c r="M106" s="265"/>
      <c r="N106" s="264"/>
      <c r="O106" s="265"/>
      <c r="P106" s="264"/>
      <c r="Q106" s="265"/>
      <c r="R106" s="264"/>
      <c r="S106" s="265"/>
      <c r="T106" s="264"/>
      <c r="U106" s="265"/>
      <c r="V106" s="264"/>
      <c r="W106" s="265"/>
      <c r="X106" s="264"/>
      <c r="Y106" s="265"/>
      <c r="Z106" s="265"/>
      <c r="AA106" s="264"/>
      <c r="AB106" s="265"/>
      <c r="AC106" s="264"/>
      <c r="AD106" s="264"/>
      <c r="AE106" s="265"/>
      <c r="AF106" s="264"/>
      <c r="AG106" s="265"/>
      <c r="AH106" s="264"/>
      <c r="AI106" s="265"/>
      <c r="AJ106" s="264"/>
      <c r="AK106" s="265"/>
      <c r="AL106" s="264"/>
      <c r="AM106" s="265"/>
      <c r="AN106" s="264"/>
      <c r="AO106" s="265"/>
      <c r="AP106" s="264"/>
      <c r="AQ106" s="265"/>
      <c r="AR106" s="264"/>
      <c r="AS106" s="265"/>
      <c r="AT106" s="265"/>
      <c r="AU106" s="264"/>
      <c r="AV106" s="265"/>
      <c r="AW106" s="264"/>
      <c r="AX106" s="265"/>
      <c r="AY106" s="264"/>
      <c r="AZ106" s="265"/>
      <c r="BA106" s="264"/>
      <c r="BB106" s="265"/>
      <c r="BC106" s="264"/>
      <c r="BD106" s="265"/>
      <c r="BE106" s="264"/>
      <c r="BF106" s="265"/>
      <c r="BG106" s="264"/>
      <c r="BH106" s="265"/>
      <c r="BI106" s="264">
        <f t="shared" si="10"/>
        <v>0</v>
      </c>
      <c r="BJ106" s="268"/>
      <c r="BK106" s="269"/>
      <c r="BL106" s="269"/>
      <c r="BM106" s="270"/>
    </row>
    <row r="107" spans="1:65" s="282" customFormat="1" ht="18" x14ac:dyDescent="0.25">
      <c r="A107" s="246" t="s">
        <v>898</v>
      </c>
      <c r="B107" s="283" t="s">
        <v>1582</v>
      </c>
      <c r="C107" s="268"/>
      <c r="D107" s="281">
        <f>SUM(GenFundExp2!I311:I312)</f>
        <v>0</v>
      </c>
      <c r="E107" s="265"/>
      <c r="F107" s="281">
        <f>SUM(CharterFundExp2!I311:I312)</f>
        <v>0</v>
      </c>
      <c r="G107" s="265"/>
      <c r="H107" s="264"/>
      <c r="I107" s="265"/>
      <c r="J107" s="264"/>
      <c r="K107" s="265"/>
      <c r="L107" s="281"/>
      <c r="M107" s="265"/>
      <c r="N107" s="264"/>
      <c r="O107" s="265"/>
      <c r="P107" s="264"/>
      <c r="Q107" s="265"/>
      <c r="R107" s="264"/>
      <c r="S107" s="265"/>
      <c r="T107" s="264"/>
      <c r="U107" s="265"/>
      <c r="V107" s="264"/>
      <c r="W107" s="265"/>
      <c r="X107" s="264"/>
      <c r="Y107" s="265"/>
      <c r="Z107" s="265"/>
      <c r="AA107" s="264"/>
      <c r="AB107" s="265"/>
      <c r="AC107" s="264"/>
      <c r="AD107" s="264"/>
      <c r="AE107" s="265"/>
      <c r="AF107" s="264"/>
      <c r="AG107" s="265"/>
      <c r="AH107" s="264"/>
      <c r="AI107" s="265"/>
      <c r="AJ107" s="264"/>
      <c r="AK107" s="265"/>
      <c r="AL107" s="264"/>
      <c r="AM107" s="265"/>
      <c r="AN107" s="264"/>
      <c r="AO107" s="265"/>
      <c r="AP107" s="264"/>
      <c r="AQ107" s="265"/>
      <c r="AR107" s="264"/>
      <c r="AS107" s="265"/>
      <c r="AT107" s="265"/>
      <c r="AU107" s="264"/>
      <c r="AV107" s="265"/>
      <c r="AW107" s="264"/>
      <c r="AX107" s="265"/>
      <c r="AY107" s="264"/>
      <c r="AZ107" s="265"/>
      <c r="BA107" s="264"/>
      <c r="BB107" s="265"/>
      <c r="BC107" s="264"/>
      <c r="BD107" s="265"/>
      <c r="BE107" s="264"/>
      <c r="BF107" s="265"/>
      <c r="BG107" s="264"/>
      <c r="BH107" s="265"/>
      <c r="BI107" s="264">
        <f t="shared" si="10"/>
        <v>0</v>
      </c>
      <c r="BJ107" s="268"/>
      <c r="BK107" s="269"/>
      <c r="BL107" s="269"/>
      <c r="BM107" s="270"/>
    </row>
    <row r="108" spans="1:65" s="282" customFormat="1" ht="18" x14ac:dyDescent="0.25">
      <c r="A108" s="246" t="s">
        <v>899</v>
      </c>
      <c r="B108" s="283" t="s">
        <v>1583</v>
      </c>
      <c r="C108" s="268"/>
      <c r="D108" s="281">
        <f>SUM(GenFundExp2!I313:I316)</f>
        <v>0</v>
      </c>
      <c r="E108" s="265"/>
      <c r="F108" s="281">
        <f>SUM(CharterFundExp2!I313:I316)</f>
        <v>0</v>
      </c>
      <c r="G108" s="265"/>
      <c r="H108" s="264"/>
      <c r="I108" s="265"/>
      <c r="J108" s="264"/>
      <c r="K108" s="265"/>
      <c r="L108" s="281"/>
      <c r="M108" s="265"/>
      <c r="N108" s="264"/>
      <c r="O108" s="265"/>
      <c r="P108" s="264"/>
      <c r="Q108" s="265"/>
      <c r="R108" s="264"/>
      <c r="S108" s="265"/>
      <c r="T108" s="264"/>
      <c r="U108" s="265"/>
      <c r="V108" s="264"/>
      <c r="W108" s="265"/>
      <c r="X108" s="264"/>
      <c r="Y108" s="265"/>
      <c r="Z108" s="265"/>
      <c r="AA108" s="264"/>
      <c r="AB108" s="265"/>
      <c r="AC108" s="264"/>
      <c r="AD108" s="264"/>
      <c r="AE108" s="265"/>
      <c r="AF108" s="264"/>
      <c r="AG108" s="265"/>
      <c r="AH108" s="264"/>
      <c r="AI108" s="265"/>
      <c r="AJ108" s="264"/>
      <c r="AK108" s="265"/>
      <c r="AL108" s="264"/>
      <c r="AM108" s="265"/>
      <c r="AN108" s="264"/>
      <c r="AO108" s="265"/>
      <c r="AP108" s="264"/>
      <c r="AQ108" s="265"/>
      <c r="AR108" s="264"/>
      <c r="AS108" s="265"/>
      <c r="AT108" s="265"/>
      <c r="AU108" s="264"/>
      <c r="AV108" s="265"/>
      <c r="AW108" s="264"/>
      <c r="AX108" s="265"/>
      <c r="AY108" s="264"/>
      <c r="AZ108" s="265"/>
      <c r="BA108" s="264"/>
      <c r="BB108" s="265"/>
      <c r="BC108" s="264"/>
      <c r="BD108" s="265"/>
      <c r="BE108" s="264"/>
      <c r="BF108" s="265"/>
      <c r="BG108" s="264"/>
      <c r="BH108" s="265"/>
      <c r="BI108" s="264">
        <f t="shared" si="10"/>
        <v>0</v>
      </c>
      <c r="BJ108" s="268"/>
      <c r="BK108" s="269"/>
      <c r="BL108" s="269"/>
      <c r="BM108" s="270"/>
    </row>
    <row r="109" spans="1:65" s="282" customFormat="1" ht="18.75" thickBot="1" x14ac:dyDescent="0.3">
      <c r="A109" s="246" t="s">
        <v>900</v>
      </c>
      <c r="B109" s="283" t="s">
        <v>901</v>
      </c>
      <c r="C109" s="268"/>
      <c r="D109" s="281">
        <f>SUM(GenFundExp2!I317:I322)</f>
        <v>0</v>
      </c>
      <c r="E109" s="265"/>
      <c r="F109" s="281">
        <f>SUM(CharterFundExp2!I317:I322)</f>
        <v>0</v>
      </c>
      <c r="G109" s="265"/>
      <c r="H109" s="264"/>
      <c r="I109" s="265"/>
      <c r="J109" s="264"/>
      <c r="K109" s="265"/>
      <c r="L109" s="281"/>
      <c r="M109" s="265"/>
      <c r="N109" s="264"/>
      <c r="O109" s="265"/>
      <c r="P109" s="264"/>
      <c r="Q109" s="265"/>
      <c r="R109" s="264"/>
      <c r="S109" s="265"/>
      <c r="T109" s="264"/>
      <c r="U109" s="265"/>
      <c r="V109" s="264"/>
      <c r="W109" s="265"/>
      <c r="X109" s="264"/>
      <c r="Y109" s="265"/>
      <c r="Z109" s="265"/>
      <c r="AA109" s="264"/>
      <c r="AB109" s="265"/>
      <c r="AC109" s="264"/>
      <c r="AD109" s="264"/>
      <c r="AE109" s="265"/>
      <c r="AF109" s="264"/>
      <c r="AG109" s="265"/>
      <c r="AH109" s="264"/>
      <c r="AI109" s="265"/>
      <c r="AJ109" s="264"/>
      <c r="AK109" s="265"/>
      <c r="AL109" s="264"/>
      <c r="AM109" s="265"/>
      <c r="AN109" s="264"/>
      <c r="AO109" s="265"/>
      <c r="AP109" s="264"/>
      <c r="AQ109" s="265"/>
      <c r="AR109" s="264"/>
      <c r="AS109" s="265"/>
      <c r="AT109" s="265"/>
      <c r="AU109" s="264"/>
      <c r="AV109" s="265"/>
      <c r="AW109" s="264"/>
      <c r="AX109" s="265"/>
      <c r="AY109" s="264"/>
      <c r="AZ109" s="265"/>
      <c r="BA109" s="264"/>
      <c r="BB109" s="265"/>
      <c r="BC109" s="264"/>
      <c r="BD109" s="265"/>
      <c r="BE109" s="264"/>
      <c r="BF109" s="265"/>
      <c r="BG109" s="264"/>
      <c r="BH109" s="265"/>
      <c r="BI109" s="264">
        <f t="shared" si="10"/>
        <v>0</v>
      </c>
      <c r="BJ109" s="268"/>
      <c r="BK109" s="269"/>
      <c r="BL109" s="269"/>
      <c r="BM109" s="270"/>
    </row>
    <row r="110" spans="1:65" s="282" customFormat="1" ht="18.75" thickBot="1" x14ac:dyDescent="0.3">
      <c r="A110" s="271" t="s">
        <v>774</v>
      </c>
      <c r="B110" s="279"/>
      <c r="C110" s="275"/>
      <c r="D110" s="274">
        <f>SUM(D104:D109)</f>
        <v>0</v>
      </c>
      <c r="E110" s="275"/>
      <c r="F110" s="274">
        <f>SUM(F104:F109)</f>
        <v>0</v>
      </c>
      <c r="G110" s="275"/>
      <c r="H110" s="274">
        <f>SUM(H104:H109)</f>
        <v>0</v>
      </c>
      <c r="I110" s="275"/>
      <c r="J110" s="274">
        <f>SUM(J104:J109)</f>
        <v>0</v>
      </c>
      <c r="K110" s="275"/>
      <c r="L110" s="274">
        <f>SUM(L104:L109)</f>
        <v>0</v>
      </c>
      <c r="M110" s="275"/>
      <c r="N110" s="274">
        <f>SUM(N104:N109)</f>
        <v>0</v>
      </c>
      <c r="O110" s="275"/>
      <c r="P110" s="274">
        <f>SUM(P104:P109)</f>
        <v>0</v>
      </c>
      <c r="Q110" s="275"/>
      <c r="R110" s="274">
        <f>SUM(R104:R109)</f>
        <v>0</v>
      </c>
      <c r="S110" s="275"/>
      <c r="T110" s="274">
        <f>SUM(T104:T109)</f>
        <v>0</v>
      </c>
      <c r="U110" s="275"/>
      <c r="V110" s="274">
        <f>SUM(V104:V109)</f>
        <v>0</v>
      </c>
      <c r="W110" s="275"/>
      <c r="X110" s="274">
        <f>SUM(X104:X109)</f>
        <v>0</v>
      </c>
      <c r="Y110" s="275"/>
      <c r="Z110" s="275"/>
      <c r="AA110" s="274">
        <f>SUM(AA104:AA109)</f>
        <v>0</v>
      </c>
      <c r="AB110" s="275"/>
      <c r="AC110" s="274">
        <f>SUM(AC104:AC109)</f>
        <v>0</v>
      </c>
      <c r="AD110" s="274">
        <f>SUM(AD104:AD109)</f>
        <v>0</v>
      </c>
      <c r="AE110" s="275"/>
      <c r="AF110" s="274">
        <f>SUM(AF104:AF109)</f>
        <v>0</v>
      </c>
      <c r="AG110" s="275"/>
      <c r="AH110" s="274">
        <f>SUM(AH104:AH109)</f>
        <v>0</v>
      </c>
      <c r="AI110" s="275"/>
      <c r="AJ110" s="274">
        <f>SUM(AJ104:AJ109)</f>
        <v>0</v>
      </c>
      <c r="AK110" s="275"/>
      <c r="AL110" s="274">
        <f>SUM(AL104:AL109)</f>
        <v>0</v>
      </c>
      <c r="AM110" s="275"/>
      <c r="AN110" s="274">
        <f>SUM(AN104:AN109)</f>
        <v>0</v>
      </c>
      <c r="AO110" s="275"/>
      <c r="AP110" s="274">
        <f>SUM(AP104:AP109)</f>
        <v>0</v>
      </c>
      <c r="AQ110" s="275"/>
      <c r="AR110" s="274">
        <f>SUM(AR104:AR109)</f>
        <v>0</v>
      </c>
      <c r="AS110" s="275"/>
      <c r="AT110" s="275"/>
      <c r="AU110" s="274">
        <f>SUM(AU104:AU109)</f>
        <v>0</v>
      </c>
      <c r="AV110" s="275"/>
      <c r="AW110" s="274">
        <f>SUM(AW104:AW109)</f>
        <v>0</v>
      </c>
      <c r="AX110" s="275"/>
      <c r="AY110" s="274">
        <f>SUM(AY104:AY109)</f>
        <v>0</v>
      </c>
      <c r="AZ110" s="275"/>
      <c r="BA110" s="274">
        <f>SUM(BA104:BA109)</f>
        <v>0</v>
      </c>
      <c r="BB110" s="275"/>
      <c r="BC110" s="274">
        <f>SUM(BC104:BC109)</f>
        <v>0</v>
      </c>
      <c r="BD110" s="275"/>
      <c r="BE110" s="274">
        <f>SUM(BE104:BE109)</f>
        <v>0</v>
      </c>
      <c r="BF110" s="275"/>
      <c r="BG110" s="274">
        <f>SUM(BG104:BG109)</f>
        <v>0</v>
      </c>
      <c r="BH110" s="275"/>
      <c r="BI110" s="274">
        <f t="shared" si="10"/>
        <v>0</v>
      </c>
      <c r="BJ110" s="275"/>
      <c r="BK110" s="276"/>
      <c r="BL110" s="276"/>
      <c r="BM110" s="270"/>
    </row>
    <row r="111" spans="1:65" s="282" customFormat="1" ht="18" x14ac:dyDescent="0.25">
      <c r="A111" s="246"/>
      <c r="B111" s="262"/>
      <c r="C111" s="268"/>
      <c r="D111" s="264"/>
      <c r="E111" s="265"/>
      <c r="F111" s="264"/>
      <c r="G111" s="265"/>
      <c r="H111" s="264"/>
      <c r="I111" s="265"/>
      <c r="J111" s="264"/>
      <c r="K111" s="265"/>
      <c r="L111" s="281"/>
      <c r="M111" s="265"/>
      <c r="N111" s="264"/>
      <c r="O111" s="265"/>
      <c r="P111" s="264"/>
      <c r="Q111" s="265"/>
      <c r="R111" s="264"/>
      <c r="S111" s="265"/>
      <c r="T111" s="264"/>
      <c r="U111" s="265"/>
      <c r="V111" s="264"/>
      <c r="W111" s="265"/>
      <c r="X111" s="264"/>
      <c r="Y111" s="265"/>
      <c r="Z111" s="265"/>
      <c r="AA111" s="264"/>
      <c r="AB111" s="265"/>
      <c r="AC111" s="264"/>
      <c r="AD111" s="264"/>
      <c r="AE111" s="265"/>
      <c r="AF111" s="264"/>
      <c r="AG111" s="265"/>
      <c r="AH111" s="264"/>
      <c r="AI111" s="265"/>
      <c r="AJ111" s="264"/>
      <c r="AK111" s="265"/>
      <c r="AL111" s="264"/>
      <c r="AM111" s="265"/>
      <c r="AN111" s="264"/>
      <c r="AO111" s="265"/>
      <c r="AP111" s="264"/>
      <c r="AQ111" s="265"/>
      <c r="AR111" s="264"/>
      <c r="AS111" s="265"/>
      <c r="AT111" s="265"/>
      <c r="AU111" s="264"/>
      <c r="AV111" s="265"/>
      <c r="AW111" s="264"/>
      <c r="AX111" s="265"/>
      <c r="AY111" s="264"/>
      <c r="AZ111" s="265"/>
      <c r="BA111" s="264"/>
      <c r="BB111" s="265"/>
      <c r="BC111" s="264"/>
      <c r="BD111" s="265"/>
      <c r="BE111" s="264"/>
      <c r="BF111" s="265"/>
      <c r="BG111" s="264"/>
      <c r="BH111" s="265"/>
      <c r="BI111" s="270"/>
      <c r="BJ111" s="268"/>
      <c r="BK111" s="269"/>
      <c r="BL111" s="269"/>
      <c r="BM111" s="270"/>
    </row>
    <row r="112" spans="1:65" s="282" customFormat="1" ht="18" x14ac:dyDescent="0.25">
      <c r="A112" s="246" t="s">
        <v>775</v>
      </c>
      <c r="B112" s="262"/>
      <c r="C112" s="268"/>
      <c r="D112" s="264"/>
      <c r="E112" s="265"/>
      <c r="F112" s="264"/>
      <c r="G112" s="265"/>
      <c r="H112" s="264"/>
      <c r="I112" s="265"/>
      <c r="J112" s="264"/>
      <c r="K112" s="265"/>
      <c r="L112" s="281"/>
      <c r="M112" s="265"/>
      <c r="N112" s="264"/>
      <c r="O112" s="265"/>
      <c r="P112" s="264"/>
      <c r="Q112" s="265"/>
      <c r="R112" s="264"/>
      <c r="S112" s="265"/>
      <c r="T112" s="264"/>
      <c r="U112" s="265"/>
      <c r="V112" s="264"/>
      <c r="W112" s="265"/>
      <c r="X112" s="264"/>
      <c r="Y112" s="265"/>
      <c r="Z112" s="265"/>
      <c r="AA112" s="264"/>
      <c r="AB112" s="265"/>
      <c r="AC112" s="264"/>
      <c r="AD112" s="264"/>
      <c r="AE112" s="265"/>
      <c r="AF112" s="264"/>
      <c r="AG112" s="265"/>
      <c r="AH112" s="264"/>
      <c r="AI112" s="265"/>
      <c r="AJ112" s="264"/>
      <c r="AK112" s="265"/>
      <c r="AL112" s="264"/>
      <c r="AM112" s="265"/>
      <c r="AN112" s="264"/>
      <c r="AO112" s="265"/>
      <c r="AP112" s="264"/>
      <c r="AQ112" s="265"/>
      <c r="AR112" s="264"/>
      <c r="AS112" s="265"/>
      <c r="AT112" s="265"/>
      <c r="AU112" s="264"/>
      <c r="AV112" s="265"/>
      <c r="AW112" s="264"/>
      <c r="AX112" s="265"/>
      <c r="AY112" s="264"/>
      <c r="AZ112" s="265"/>
      <c r="BA112" s="264"/>
      <c r="BB112" s="265"/>
      <c r="BC112" s="264"/>
      <c r="BD112" s="265"/>
      <c r="BE112" s="264"/>
      <c r="BF112" s="265"/>
      <c r="BG112" s="264"/>
      <c r="BH112" s="265"/>
      <c r="BI112" s="270"/>
      <c r="BJ112" s="268"/>
      <c r="BK112" s="269"/>
      <c r="BL112" s="269"/>
      <c r="BM112" s="270"/>
    </row>
    <row r="113" spans="1:65" s="282" customFormat="1" ht="18" x14ac:dyDescent="0.25">
      <c r="A113" s="246" t="s">
        <v>23</v>
      </c>
      <c r="B113" s="283" t="s">
        <v>1577</v>
      </c>
      <c r="C113" s="268"/>
      <c r="D113" s="281">
        <f>SUM(GenFundExp2!I326+GenFundExp2!I327)</f>
        <v>0</v>
      </c>
      <c r="E113" s="265"/>
      <c r="F113" s="281">
        <f>SUM(CharterFundExp2!I326+CharterFundExp2!I327)</f>
        <v>0</v>
      </c>
      <c r="G113" s="265"/>
      <c r="H113" s="264"/>
      <c r="I113" s="265"/>
      <c r="J113" s="264"/>
      <c r="K113" s="265"/>
      <c r="L113" s="281"/>
      <c r="M113" s="265"/>
      <c r="N113" s="264"/>
      <c r="O113" s="265"/>
      <c r="P113" s="264"/>
      <c r="Q113" s="265"/>
      <c r="R113" s="264"/>
      <c r="S113" s="265"/>
      <c r="T113" s="264"/>
      <c r="U113" s="265"/>
      <c r="V113" s="264"/>
      <c r="W113" s="265"/>
      <c r="X113" s="264"/>
      <c r="Y113" s="265"/>
      <c r="Z113" s="265"/>
      <c r="AA113" s="264"/>
      <c r="AB113" s="265"/>
      <c r="AC113" s="264"/>
      <c r="AD113" s="264"/>
      <c r="AE113" s="265"/>
      <c r="AF113" s="264"/>
      <c r="AG113" s="265"/>
      <c r="AH113" s="264"/>
      <c r="AI113" s="265"/>
      <c r="AJ113" s="264"/>
      <c r="AK113" s="265"/>
      <c r="AL113" s="264"/>
      <c r="AM113" s="265"/>
      <c r="AN113" s="264"/>
      <c r="AO113" s="265"/>
      <c r="AP113" s="264"/>
      <c r="AQ113" s="265"/>
      <c r="AR113" s="264"/>
      <c r="AS113" s="265"/>
      <c r="AT113" s="265"/>
      <c r="AU113" s="264"/>
      <c r="AV113" s="265"/>
      <c r="AW113" s="264"/>
      <c r="AX113" s="265"/>
      <c r="AY113" s="264"/>
      <c r="AZ113" s="265"/>
      <c r="BA113" s="264"/>
      <c r="BB113" s="265"/>
      <c r="BC113" s="264"/>
      <c r="BD113" s="265"/>
      <c r="BE113" s="264"/>
      <c r="BF113" s="265"/>
      <c r="BG113" s="264"/>
      <c r="BH113" s="265"/>
      <c r="BI113" s="264">
        <f t="shared" ref="BI113:BI119" si="11">D113+F113+H113+J113+X113+N113+P113+R113+L113+T113+V113+AA113+AC113+AD113+AF113+AH113+AJ113+AL113+AN113+AP113+AR113+AU113+AW113+AY113+BA113+BC113+BE113+BG113</f>
        <v>0</v>
      </c>
      <c r="BJ113" s="268"/>
      <c r="BK113" s="269"/>
      <c r="BL113" s="269"/>
      <c r="BM113" s="270"/>
    </row>
    <row r="114" spans="1:65" s="282" customFormat="1" ht="18" x14ac:dyDescent="0.25">
      <c r="A114" s="246" t="s">
        <v>24</v>
      </c>
      <c r="B114" s="283" t="s">
        <v>1578</v>
      </c>
      <c r="C114" s="268"/>
      <c r="D114" s="281">
        <f>SUM(GenFundExp2!I328+GenFundExp2!I329)</f>
        <v>0</v>
      </c>
      <c r="E114" s="265"/>
      <c r="F114" s="281">
        <f>SUM(CharterFundExp2!I328+CharterFundExp2!I329)</f>
        <v>0</v>
      </c>
      <c r="G114" s="265"/>
      <c r="H114" s="264"/>
      <c r="I114" s="265"/>
      <c r="J114" s="264"/>
      <c r="K114" s="265"/>
      <c r="L114" s="281"/>
      <c r="M114" s="265"/>
      <c r="N114" s="264"/>
      <c r="O114" s="265"/>
      <c r="P114" s="264"/>
      <c r="Q114" s="265"/>
      <c r="R114" s="264"/>
      <c r="S114" s="265"/>
      <c r="T114" s="264"/>
      <c r="U114" s="265"/>
      <c r="V114" s="264"/>
      <c r="W114" s="265"/>
      <c r="X114" s="264"/>
      <c r="Y114" s="265"/>
      <c r="Z114" s="265"/>
      <c r="AA114" s="264"/>
      <c r="AB114" s="265"/>
      <c r="AC114" s="264"/>
      <c r="AD114" s="264"/>
      <c r="AE114" s="265"/>
      <c r="AF114" s="264"/>
      <c r="AG114" s="265"/>
      <c r="AH114" s="264"/>
      <c r="AI114" s="265"/>
      <c r="AJ114" s="264"/>
      <c r="AK114" s="265"/>
      <c r="AL114" s="264"/>
      <c r="AM114" s="265"/>
      <c r="AN114" s="264"/>
      <c r="AO114" s="265"/>
      <c r="AP114" s="264"/>
      <c r="AQ114" s="265"/>
      <c r="AR114" s="264"/>
      <c r="AS114" s="265"/>
      <c r="AT114" s="265"/>
      <c r="AU114" s="264"/>
      <c r="AV114" s="265"/>
      <c r="AW114" s="264"/>
      <c r="AX114" s="265"/>
      <c r="AY114" s="264"/>
      <c r="AZ114" s="265"/>
      <c r="BA114" s="264"/>
      <c r="BB114" s="265"/>
      <c r="BC114" s="264"/>
      <c r="BD114" s="265"/>
      <c r="BE114" s="264"/>
      <c r="BF114" s="265"/>
      <c r="BG114" s="264"/>
      <c r="BH114" s="265"/>
      <c r="BI114" s="264">
        <f t="shared" si="11"/>
        <v>0</v>
      </c>
      <c r="BJ114" s="268"/>
      <c r="BK114" s="269"/>
      <c r="BL114" s="269"/>
      <c r="BM114" s="270"/>
    </row>
    <row r="115" spans="1:65" s="282" customFormat="1" ht="36" x14ac:dyDescent="0.25">
      <c r="A115" s="246" t="s">
        <v>25</v>
      </c>
      <c r="B115" s="283" t="s">
        <v>773</v>
      </c>
      <c r="C115" s="268"/>
      <c r="D115" s="281">
        <f>SUM(GenFundExp2!I330:I340)</f>
        <v>0</v>
      </c>
      <c r="E115" s="265"/>
      <c r="F115" s="281">
        <f>SUM(CharterFundExp2!I330:I340)</f>
        <v>0</v>
      </c>
      <c r="G115" s="265"/>
      <c r="H115" s="264"/>
      <c r="I115" s="265"/>
      <c r="J115" s="264"/>
      <c r="K115" s="265"/>
      <c r="L115" s="281"/>
      <c r="M115" s="265"/>
      <c r="N115" s="264"/>
      <c r="O115" s="265"/>
      <c r="P115" s="264"/>
      <c r="Q115" s="265"/>
      <c r="R115" s="264"/>
      <c r="S115" s="265"/>
      <c r="T115" s="264"/>
      <c r="U115" s="265"/>
      <c r="V115" s="264"/>
      <c r="W115" s="265"/>
      <c r="X115" s="264"/>
      <c r="Y115" s="265"/>
      <c r="Z115" s="265"/>
      <c r="AA115" s="264"/>
      <c r="AB115" s="265"/>
      <c r="AC115" s="264"/>
      <c r="AD115" s="264"/>
      <c r="AE115" s="265"/>
      <c r="AF115" s="264"/>
      <c r="AG115" s="265"/>
      <c r="AH115" s="264"/>
      <c r="AI115" s="265"/>
      <c r="AJ115" s="264"/>
      <c r="AK115" s="265"/>
      <c r="AL115" s="264"/>
      <c r="AM115" s="265"/>
      <c r="AN115" s="264"/>
      <c r="AO115" s="265"/>
      <c r="AP115" s="264"/>
      <c r="AQ115" s="265"/>
      <c r="AR115" s="264"/>
      <c r="AS115" s="265"/>
      <c r="AT115" s="265"/>
      <c r="AU115" s="264"/>
      <c r="AV115" s="265"/>
      <c r="AW115" s="264"/>
      <c r="AX115" s="265"/>
      <c r="AY115" s="264"/>
      <c r="AZ115" s="265"/>
      <c r="BA115" s="264"/>
      <c r="BB115" s="265"/>
      <c r="BC115" s="264"/>
      <c r="BD115" s="265"/>
      <c r="BE115" s="264"/>
      <c r="BF115" s="265"/>
      <c r="BG115" s="264"/>
      <c r="BH115" s="265"/>
      <c r="BI115" s="264">
        <f t="shared" si="11"/>
        <v>0</v>
      </c>
      <c r="BJ115" s="268"/>
      <c r="BK115" s="269"/>
      <c r="BL115" s="269"/>
      <c r="BM115" s="270"/>
    </row>
    <row r="116" spans="1:65" s="282" customFormat="1" ht="18" x14ac:dyDescent="0.25">
      <c r="A116" s="246" t="s">
        <v>898</v>
      </c>
      <c r="B116" s="283" t="s">
        <v>1582</v>
      </c>
      <c r="C116" s="268"/>
      <c r="D116" s="281">
        <f>SUM(GenFundExp2!I341:I342)</f>
        <v>0</v>
      </c>
      <c r="E116" s="265"/>
      <c r="F116" s="281">
        <f>SUM(CharterFundExp2!I341:I342)</f>
        <v>0</v>
      </c>
      <c r="G116" s="265"/>
      <c r="H116" s="264"/>
      <c r="I116" s="265"/>
      <c r="J116" s="264"/>
      <c r="K116" s="265"/>
      <c r="L116" s="281"/>
      <c r="M116" s="265"/>
      <c r="N116" s="264"/>
      <c r="O116" s="265"/>
      <c r="P116" s="264"/>
      <c r="Q116" s="265"/>
      <c r="R116" s="264"/>
      <c r="S116" s="265"/>
      <c r="T116" s="264"/>
      <c r="U116" s="265"/>
      <c r="V116" s="264"/>
      <c r="W116" s="265"/>
      <c r="X116" s="264"/>
      <c r="Y116" s="265"/>
      <c r="Z116" s="265"/>
      <c r="AA116" s="264"/>
      <c r="AB116" s="265"/>
      <c r="AC116" s="264"/>
      <c r="AD116" s="264"/>
      <c r="AE116" s="265"/>
      <c r="AF116" s="264"/>
      <c r="AG116" s="265"/>
      <c r="AH116" s="264"/>
      <c r="AI116" s="265"/>
      <c r="AJ116" s="264"/>
      <c r="AK116" s="265"/>
      <c r="AL116" s="264"/>
      <c r="AM116" s="265"/>
      <c r="AN116" s="264"/>
      <c r="AO116" s="265"/>
      <c r="AP116" s="264"/>
      <c r="AQ116" s="265"/>
      <c r="AR116" s="264"/>
      <c r="AS116" s="265"/>
      <c r="AT116" s="265"/>
      <c r="AU116" s="264"/>
      <c r="AV116" s="265"/>
      <c r="AW116" s="264"/>
      <c r="AX116" s="265"/>
      <c r="AY116" s="264"/>
      <c r="AZ116" s="265"/>
      <c r="BA116" s="264"/>
      <c r="BB116" s="265"/>
      <c r="BC116" s="264"/>
      <c r="BD116" s="265"/>
      <c r="BE116" s="264"/>
      <c r="BF116" s="265"/>
      <c r="BG116" s="264"/>
      <c r="BH116" s="265"/>
      <c r="BI116" s="264">
        <f t="shared" si="11"/>
        <v>0</v>
      </c>
      <c r="BJ116" s="268"/>
      <c r="BK116" s="269"/>
      <c r="BL116" s="269"/>
      <c r="BM116" s="270"/>
    </row>
    <row r="117" spans="1:65" s="282" customFormat="1" ht="18" x14ac:dyDescent="0.25">
      <c r="A117" s="246" t="s">
        <v>899</v>
      </c>
      <c r="B117" s="283" t="s">
        <v>1583</v>
      </c>
      <c r="C117" s="268"/>
      <c r="D117" s="281">
        <f>SUM(GenFundExp2!I343:I346)</f>
        <v>0</v>
      </c>
      <c r="E117" s="265"/>
      <c r="F117" s="281">
        <f>SUM(CharterFundExp2!I343:I346)</f>
        <v>0</v>
      </c>
      <c r="G117" s="265"/>
      <c r="H117" s="264"/>
      <c r="I117" s="265"/>
      <c r="J117" s="264"/>
      <c r="K117" s="265"/>
      <c r="L117" s="281"/>
      <c r="M117" s="265"/>
      <c r="N117" s="264"/>
      <c r="O117" s="265"/>
      <c r="P117" s="264"/>
      <c r="Q117" s="265"/>
      <c r="R117" s="264"/>
      <c r="S117" s="265"/>
      <c r="T117" s="264"/>
      <c r="U117" s="265"/>
      <c r="V117" s="264"/>
      <c r="W117" s="265"/>
      <c r="X117" s="264"/>
      <c r="Y117" s="265"/>
      <c r="Z117" s="265"/>
      <c r="AA117" s="264"/>
      <c r="AB117" s="265"/>
      <c r="AC117" s="264"/>
      <c r="AD117" s="264"/>
      <c r="AE117" s="265"/>
      <c r="AF117" s="264"/>
      <c r="AG117" s="265"/>
      <c r="AH117" s="264"/>
      <c r="AI117" s="265"/>
      <c r="AJ117" s="264"/>
      <c r="AK117" s="265"/>
      <c r="AL117" s="264"/>
      <c r="AM117" s="265"/>
      <c r="AN117" s="264"/>
      <c r="AO117" s="265"/>
      <c r="AP117" s="264"/>
      <c r="AQ117" s="265"/>
      <c r="AR117" s="264"/>
      <c r="AS117" s="265"/>
      <c r="AT117" s="265"/>
      <c r="AU117" s="264"/>
      <c r="AV117" s="265"/>
      <c r="AW117" s="264"/>
      <c r="AX117" s="265"/>
      <c r="AY117" s="264"/>
      <c r="AZ117" s="265"/>
      <c r="BA117" s="264"/>
      <c r="BB117" s="265"/>
      <c r="BC117" s="264"/>
      <c r="BD117" s="265"/>
      <c r="BE117" s="264"/>
      <c r="BF117" s="265"/>
      <c r="BG117" s="264"/>
      <c r="BH117" s="265"/>
      <c r="BI117" s="264">
        <f t="shared" si="11"/>
        <v>0</v>
      </c>
      <c r="BJ117" s="268"/>
      <c r="BK117" s="269"/>
      <c r="BL117" s="269"/>
      <c r="BM117" s="270"/>
    </row>
    <row r="118" spans="1:65" s="282" customFormat="1" ht="18.75" thickBot="1" x14ac:dyDescent="0.3">
      <c r="A118" s="246" t="s">
        <v>900</v>
      </c>
      <c r="B118" s="283" t="s">
        <v>901</v>
      </c>
      <c r="C118" s="268"/>
      <c r="D118" s="281">
        <f>SUM(GenFundExp2!I347:I352)</f>
        <v>0</v>
      </c>
      <c r="E118" s="265"/>
      <c r="F118" s="281">
        <f>SUM(CharterFundExp2!I347:I352)</f>
        <v>0</v>
      </c>
      <c r="G118" s="265"/>
      <c r="H118" s="264"/>
      <c r="I118" s="265"/>
      <c r="J118" s="264"/>
      <c r="K118" s="265"/>
      <c r="L118" s="281"/>
      <c r="M118" s="265"/>
      <c r="N118" s="264"/>
      <c r="O118" s="265"/>
      <c r="P118" s="264"/>
      <c r="Q118" s="265"/>
      <c r="R118" s="264"/>
      <c r="S118" s="265"/>
      <c r="T118" s="264"/>
      <c r="U118" s="265"/>
      <c r="V118" s="264"/>
      <c r="W118" s="265"/>
      <c r="X118" s="264"/>
      <c r="Y118" s="265"/>
      <c r="Z118" s="265"/>
      <c r="AA118" s="264"/>
      <c r="AB118" s="265"/>
      <c r="AC118" s="264"/>
      <c r="AD118" s="264"/>
      <c r="AE118" s="265"/>
      <c r="AF118" s="264"/>
      <c r="AG118" s="265"/>
      <c r="AH118" s="264"/>
      <c r="AI118" s="265"/>
      <c r="AJ118" s="264"/>
      <c r="AK118" s="265"/>
      <c r="AL118" s="264"/>
      <c r="AM118" s="265"/>
      <c r="AN118" s="264"/>
      <c r="AO118" s="265"/>
      <c r="AP118" s="264"/>
      <c r="AQ118" s="265"/>
      <c r="AR118" s="264"/>
      <c r="AS118" s="265"/>
      <c r="AT118" s="265"/>
      <c r="AU118" s="264"/>
      <c r="AV118" s="265"/>
      <c r="AW118" s="264"/>
      <c r="AX118" s="265"/>
      <c r="AY118" s="264"/>
      <c r="AZ118" s="265"/>
      <c r="BA118" s="264"/>
      <c r="BB118" s="265"/>
      <c r="BC118" s="264"/>
      <c r="BD118" s="265"/>
      <c r="BE118" s="264"/>
      <c r="BF118" s="265"/>
      <c r="BG118" s="264"/>
      <c r="BH118" s="265"/>
      <c r="BI118" s="264">
        <f t="shared" si="11"/>
        <v>0</v>
      </c>
      <c r="BJ118" s="268"/>
      <c r="BK118" s="269"/>
      <c r="BL118" s="269"/>
      <c r="BM118" s="270"/>
    </row>
    <row r="119" spans="1:65" s="282" customFormat="1" ht="18.75" thickBot="1" x14ac:dyDescent="0.3">
      <c r="A119" s="271" t="s">
        <v>776</v>
      </c>
      <c r="B119" s="279"/>
      <c r="C119" s="275"/>
      <c r="D119" s="274">
        <f>SUM(D113:D118)</f>
        <v>0</v>
      </c>
      <c r="E119" s="275"/>
      <c r="F119" s="274">
        <f>SUM(F113:F118)</f>
        <v>0</v>
      </c>
      <c r="G119" s="275"/>
      <c r="H119" s="274">
        <f>SUM(H113:H118)</f>
        <v>0</v>
      </c>
      <c r="I119" s="275"/>
      <c r="J119" s="274">
        <f>SUM(J113:J118)</f>
        <v>0</v>
      </c>
      <c r="K119" s="275"/>
      <c r="L119" s="274">
        <f>SUM(L113:L118)</f>
        <v>0</v>
      </c>
      <c r="M119" s="275"/>
      <c r="N119" s="274">
        <f>SUM(N113:N118)</f>
        <v>0</v>
      </c>
      <c r="O119" s="275"/>
      <c r="P119" s="274">
        <f>SUM(P113:P118)</f>
        <v>0</v>
      </c>
      <c r="Q119" s="275"/>
      <c r="R119" s="274">
        <f>SUM(R113:R118)</f>
        <v>0</v>
      </c>
      <c r="S119" s="275"/>
      <c r="T119" s="274">
        <f>SUM(T113:T118)</f>
        <v>0</v>
      </c>
      <c r="U119" s="275"/>
      <c r="V119" s="274">
        <f>SUM(V113:V118)</f>
        <v>0</v>
      </c>
      <c r="W119" s="275"/>
      <c r="X119" s="274">
        <f>SUM(X113:X118)</f>
        <v>0</v>
      </c>
      <c r="Y119" s="275"/>
      <c r="Z119" s="275"/>
      <c r="AA119" s="274">
        <f>SUM(AA113:AA118)</f>
        <v>0</v>
      </c>
      <c r="AB119" s="275"/>
      <c r="AC119" s="274">
        <f>SUM(AC113:AC118)</f>
        <v>0</v>
      </c>
      <c r="AD119" s="274">
        <f>SUM(AD113:AD118)</f>
        <v>0</v>
      </c>
      <c r="AE119" s="275"/>
      <c r="AF119" s="274">
        <f>SUM(AF113:AF118)</f>
        <v>0</v>
      </c>
      <c r="AG119" s="275"/>
      <c r="AH119" s="274">
        <f>SUM(AH113:AH118)</f>
        <v>0</v>
      </c>
      <c r="AI119" s="275"/>
      <c r="AJ119" s="274">
        <f>SUM(AJ113:AJ118)</f>
        <v>0</v>
      </c>
      <c r="AK119" s="275"/>
      <c r="AL119" s="274">
        <f>SUM(AL113:AL118)</f>
        <v>0</v>
      </c>
      <c r="AM119" s="275"/>
      <c r="AN119" s="274">
        <f>SUM(AN113:AN118)</f>
        <v>0</v>
      </c>
      <c r="AO119" s="275"/>
      <c r="AP119" s="274">
        <f>SUM(AP113:AP118)</f>
        <v>0</v>
      </c>
      <c r="AQ119" s="275"/>
      <c r="AR119" s="274">
        <f>SUM(AR113:AR118)</f>
        <v>0</v>
      </c>
      <c r="AS119" s="275"/>
      <c r="AT119" s="275"/>
      <c r="AU119" s="274">
        <f>SUM(AU113:AU118)</f>
        <v>0</v>
      </c>
      <c r="AV119" s="275"/>
      <c r="AW119" s="274">
        <f>SUM(AW113:AW118)</f>
        <v>0</v>
      </c>
      <c r="AX119" s="275"/>
      <c r="AY119" s="274">
        <f>SUM(AY113:AY118)</f>
        <v>0</v>
      </c>
      <c r="AZ119" s="275"/>
      <c r="BA119" s="274">
        <f>SUM(BA113:BA118)</f>
        <v>0</v>
      </c>
      <c r="BB119" s="275"/>
      <c r="BC119" s="274">
        <f>SUM(BC113:BC118)</f>
        <v>0</v>
      </c>
      <c r="BD119" s="275"/>
      <c r="BE119" s="274">
        <f>SUM(BE113:BE118)</f>
        <v>0</v>
      </c>
      <c r="BF119" s="275"/>
      <c r="BG119" s="274">
        <f>SUM(BG113:BG118)</f>
        <v>0</v>
      </c>
      <c r="BH119" s="275"/>
      <c r="BI119" s="274">
        <f t="shared" si="11"/>
        <v>0</v>
      </c>
      <c r="BJ119" s="275"/>
      <c r="BK119" s="276"/>
      <c r="BL119" s="276"/>
      <c r="BM119" s="270"/>
    </row>
    <row r="120" spans="1:65" s="282" customFormat="1" ht="18" x14ac:dyDescent="0.25">
      <c r="A120" s="246"/>
      <c r="B120" s="262"/>
      <c r="C120" s="268"/>
      <c r="D120" s="264"/>
      <c r="E120" s="265"/>
      <c r="F120" s="264"/>
      <c r="G120" s="265"/>
      <c r="H120" s="264"/>
      <c r="I120" s="265"/>
      <c r="J120" s="264"/>
      <c r="K120" s="265"/>
      <c r="L120" s="281"/>
      <c r="M120" s="265"/>
      <c r="N120" s="264"/>
      <c r="O120" s="265"/>
      <c r="P120" s="264"/>
      <c r="Q120" s="265"/>
      <c r="R120" s="264"/>
      <c r="S120" s="265"/>
      <c r="T120" s="264"/>
      <c r="U120" s="265"/>
      <c r="V120" s="264"/>
      <c r="W120" s="265"/>
      <c r="X120" s="264"/>
      <c r="Y120" s="265"/>
      <c r="Z120" s="265"/>
      <c r="AA120" s="264"/>
      <c r="AB120" s="265"/>
      <c r="AC120" s="264"/>
      <c r="AD120" s="264"/>
      <c r="AE120" s="265"/>
      <c r="AF120" s="264"/>
      <c r="AG120" s="265"/>
      <c r="AH120" s="264"/>
      <c r="AI120" s="265"/>
      <c r="AJ120" s="264"/>
      <c r="AK120" s="265"/>
      <c r="AL120" s="264"/>
      <c r="AM120" s="265"/>
      <c r="AN120" s="264"/>
      <c r="AO120" s="265"/>
      <c r="AP120" s="264"/>
      <c r="AQ120" s="265"/>
      <c r="AR120" s="264"/>
      <c r="AS120" s="265"/>
      <c r="AT120" s="265"/>
      <c r="AU120" s="264"/>
      <c r="AV120" s="265"/>
      <c r="AW120" s="264"/>
      <c r="AX120" s="265"/>
      <c r="AY120" s="264"/>
      <c r="AZ120" s="265"/>
      <c r="BA120" s="264"/>
      <c r="BB120" s="265"/>
      <c r="BC120" s="264"/>
      <c r="BD120" s="265"/>
      <c r="BE120" s="264"/>
      <c r="BF120" s="265"/>
      <c r="BG120" s="264"/>
      <c r="BH120" s="265"/>
      <c r="BI120" s="270"/>
      <c r="BJ120" s="268"/>
      <c r="BK120" s="269"/>
      <c r="BL120" s="269"/>
      <c r="BM120" s="270"/>
    </row>
    <row r="121" spans="1:65" s="282" customFormat="1" ht="33" customHeight="1" x14ac:dyDescent="0.25">
      <c r="A121" s="246" t="s">
        <v>777</v>
      </c>
      <c r="B121" s="262"/>
      <c r="C121" s="268"/>
      <c r="D121" s="264"/>
      <c r="E121" s="265"/>
      <c r="F121" s="264"/>
      <c r="G121" s="265"/>
      <c r="H121" s="264"/>
      <c r="I121" s="265"/>
      <c r="J121" s="264"/>
      <c r="K121" s="265"/>
      <c r="L121" s="281"/>
      <c r="M121" s="265"/>
      <c r="N121" s="264"/>
      <c r="O121" s="265"/>
      <c r="P121" s="264"/>
      <c r="Q121" s="265"/>
      <c r="R121" s="264"/>
      <c r="S121" s="265"/>
      <c r="T121" s="264"/>
      <c r="U121" s="265"/>
      <c r="V121" s="264"/>
      <c r="W121" s="265"/>
      <c r="X121" s="264"/>
      <c r="Y121" s="265"/>
      <c r="Z121" s="265"/>
      <c r="AA121" s="264"/>
      <c r="AB121" s="265"/>
      <c r="AC121" s="264"/>
      <c r="AD121" s="264"/>
      <c r="AE121" s="265"/>
      <c r="AF121" s="264"/>
      <c r="AG121" s="265"/>
      <c r="AH121" s="264"/>
      <c r="AI121" s="265"/>
      <c r="AJ121" s="264"/>
      <c r="AK121" s="265"/>
      <c r="AL121" s="264"/>
      <c r="AM121" s="265"/>
      <c r="AN121" s="264"/>
      <c r="AO121" s="265"/>
      <c r="AP121" s="264"/>
      <c r="AQ121" s="265"/>
      <c r="AR121" s="264"/>
      <c r="AS121" s="265"/>
      <c r="AT121" s="265"/>
      <c r="AU121" s="264"/>
      <c r="AV121" s="265"/>
      <c r="AW121" s="264"/>
      <c r="AX121" s="265"/>
      <c r="AY121" s="264"/>
      <c r="AZ121" s="265"/>
      <c r="BA121" s="264"/>
      <c r="BB121" s="265"/>
      <c r="BC121" s="264"/>
      <c r="BD121" s="265"/>
      <c r="BE121" s="264"/>
      <c r="BF121" s="265"/>
      <c r="BG121" s="264"/>
      <c r="BH121" s="265"/>
      <c r="BI121" s="270"/>
      <c r="BJ121" s="268"/>
      <c r="BK121" s="269"/>
      <c r="BL121" s="269"/>
      <c r="BM121" s="270"/>
    </row>
    <row r="122" spans="1:65" s="282" customFormat="1" ht="18" x14ac:dyDescent="0.25">
      <c r="A122" s="246" t="s">
        <v>23</v>
      </c>
      <c r="B122" s="283" t="s">
        <v>1577</v>
      </c>
      <c r="C122" s="268"/>
      <c r="D122" s="281">
        <f>SUM(GenFundExp2!I356+GenFundExp2!I357)</f>
        <v>0</v>
      </c>
      <c r="E122" s="265"/>
      <c r="F122" s="281">
        <f>SUM(CharterFundExp2!I356+CharterFundExp2!I357)</f>
        <v>0</v>
      </c>
      <c r="G122" s="265"/>
      <c r="H122" s="264"/>
      <c r="I122" s="265"/>
      <c r="J122" s="264"/>
      <c r="K122" s="265"/>
      <c r="L122" s="281"/>
      <c r="M122" s="265"/>
      <c r="N122" s="264"/>
      <c r="O122" s="265"/>
      <c r="P122" s="264"/>
      <c r="Q122" s="265"/>
      <c r="R122" s="264"/>
      <c r="S122" s="265"/>
      <c r="T122" s="264"/>
      <c r="U122" s="265"/>
      <c r="V122" s="264"/>
      <c r="W122" s="265"/>
      <c r="X122" s="264"/>
      <c r="Y122" s="265"/>
      <c r="Z122" s="265"/>
      <c r="AA122" s="264"/>
      <c r="AB122" s="265"/>
      <c r="AC122" s="264"/>
      <c r="AD122" s="264"/>
      <c r="AE122" s="265"/>
      <c r="AF122" s="264"/>
      <c r="AG122" s="265"/>
      <c r="AH122" s="264"/>
      <c r="AI122" s="265"/>
      <c r="AJ122" s="264"/>
      <c r="AK122" s="265"/>
      <c r="AL122" s="264"/>
      <c r="AM122" s="265"/>
      <c r="AN122" s="264">
        <f>FoodServ!I32+FoodServ!I33</f>
        <v>0</v>
      </c>
      <c r="AO122" s="265"/>
      <c r="AP122" s="264"/>
      <c r="AQ122" s="265"/>
      <c r="AR122" s="264"/>
      <c r="AS122" s="265"/>
      <c r="AT122" s="265"/>
      <c r="AU122" s="264"/>
      <c r="AV122" s="265"/>
      <c r="AW122" s="264"/>
      <c r="AX122" s="265"/>
      <c r="AY122" s="264"/>
      <c r="AZ122" s="265"/>
      <c r="BA122" s="264"/>
      <c r="BB122" s="265"/>
      <c r="BC122" s="264"/>
      <c r="BD122" s="265"/>
      <c r="BE122" s="264"/>
      <c r="BF122" s="265"/>
      <c r="BG122" s="264"/>
      <c r="BH122" s="265"/>
      <c r="BI122" s="264">
        <f t="shared" ref="BI122:BI128" si="12">D122+F122+H122+J122+X122+N122+P122+R122+L122+T122+V122+AA122+AC122+AD122+AF122+AH122+AJ122+AL122+AN122+AP122+AR122+AU122+AW122+AY122+BA122+BC122+BE122+BG122</f>
        <v>0</v>
      </c>
      <c r="BJ122" s="268"/>
      <c r="BK122" s="269"/>
      <c r="BL122" s="269"/>
      <c r="BM122" s="270"/>
    </row>
    <row r="123" spans="1:65" s="282" customFormat="1" ht="18" x14ac:dyDescent="0.25">
      <c r="A123" s="246" t="s">
        <v>24</v>
      </c>
      <c r="B123" s="283" t="s">
        <v>1578</v>
      </c>
      <c r="C123" s="268"/>
      <c r="D123" s="281">
        <f>SUM(GenFundExp2!I358+GenFundExp2!I359)</f>
        <v>0</v>
      </c>
      <c r="E123" s="265"/>
      <c r="F123" s="281">
        <f>SUM(CharterFundExp2!I358+CharterFundExp2!I359)</f>
        <v>0</v>
      </c>
      <c r="G123" s="265"/>
      <c r="H123" s="264"/>
      <c r="I123" s="265"/>
      <c r="J123" s="264"/>
      <c r="K123" s="265"/>
      <c r="L123" s="281"/>
      <c r="M123" s="265"/>
      <c r="N123" s="264"/>
      <c r="O123" s="265"/>
      <c r="P123" s="264"/>
      <c r="Q123" s="265"/>
      <c r="R123" s="264"/>
      <c r="S123" s="265"/>
      <c r="T123" s="264"/>
      <c r="U123" s="265"/>
      <c r="V123" s="264"/>
      <c r="W123" s="265"/>
      <c r="X123" s="264"/>
      <c r="Y123" s="265"/>
      <c r="Z123" s="265"/>
      <c r="AA123" s="264"/>
      <c r="AB123" s="265"/>
      <c r="AC123" s="264"/>
      <c r="AD123" s="264"/>
      <c r="AE123" s="265"/>
      <c r="AF123" s="264"/>
      <c r="AG123" s="265"/>
      <c r="AH123" s="264"/>
      <c r="AI123" s="265"/>
      <c r="AJ123" s="264"/>
      <c r="AK123" s="265"/>
      <c r="AL123" s="264"/>
      <c r="AM123" s="265"/>
      <c r="AN123" s="264">
        <f>FoodServ!I34+FoodServ!I35</f>
        <v>0</v>
      </c>
      <c r="AO123" s="265"/>
      <c r="AP123" s="264"/>
      <c r="AQ123" s="265"/>
      <c r="AR123" s="264"/>
      <c r="AS123" s="265"/>
      <c r="AT123" s="265"/>
      <c r="AU123" s="264"/>
      <c r="AV123" s="265"/>
      <c r="AW123" s="264"/>
      <c r="AX123" s="265"/>
      <c r="AY123" s="264"/>
      <c r="AZ123" s="265"/>
      <c r="BA123" s="264"/>
      <c r="BB123" s="265"/>
      <c r="BC123" s="264"/>
      <c r="BD123" s="265"/>
      <c r="BE123" s="264"/>
      <c r="BF123" s="265"/>
      <c r="BG123" s="264"/>
      <c r="BH123" s="265"/>
      <c r="BI123" s="264">
        <f t="shared" si="12"/>
        <v>0</v>
      </c>
      <c r="BJ123" s="268"/>
      <c r="BK123" s="269"/>
      <c r="BL123" s="269"/>
      <c r="BM123" s="270"/>
    </row>
    <row r="124" spans="1:65" s="282" customFormat="1" ht="36" x14ac:dyDescent="0.25">
      <c r="A124" s="246" t="s">
        <v>25</v>
      </c>
      <c r="B124" s="283" t="s">
        <v>773</v>
      </c>
      <c r="C124" s="268"/>
      <c r="D124" s="281">
        <f>SUM(GenFundExp2!I360:I370)</f>
        <v>0</v>
      </c>
      <c r="E124" s="265"/>
      <c r="F124" s="281">
        <f>SUM(CharterFundExp2!I360:I370)</f>
        <v>0</v>
      </c>
      <c r="G124" s="265"/>
      <c r="H124" s="705">
        <f>SUM(InsResv!I30)</f>
        <v>0</v>
      </c>
      <c r="I124" s="265"/>
      <c r="J124" s="264"/>
      <c r="K124" s="265"/>
      <c r="L124" s="281"/>
      <c r="M124" s="265"/>
      <c r="N124" s="264"/>
      <c r="O124" s="265"/>
      <c r="P124" s="264"/>
      <c r="Q124" s="265"/>
      <c r="R124" s="264"/>
      <c r="S124" s="265"/>
      <c r="T124" s="264"/>
      <c r="U124" s="265"/>
      <c r="V124" s="264"/>
      <c r="W124" s="265"/>
      <c r="X124" s="264"/>
      <c r="Y124" s="265"/>
      <c r="Z124" s="265"/>
      <c r="AA124" s="264"/>
      <c r="AB124" s="265"/>
      <c r="AC124" s="264"/>
      <c r="AD124" s="264"/>
      <c r="AE124" s="265"/>
      <c r="AF124" s="264"/>
      <c r="AG124" s="265"/>
      <c r="AH124" s="264"/>
      <c r="AI124" s="265"/>
      <c r="AJ124" s="264"/>
      <c r="AK124" s="265"/>
      <c r="AL124" s="264"/>
      <c r="AM124" s="265"/>
      <c r="AN124" s="264">
        <f>SUM(FoodServ!I36)</f>
        <v>0</v>
      </c>
      <c r="AO124" s="265"/>
      <c r="AP124" s="264"/>
      <c r="AQ124" s="265"/>
      <c r="AR124" s="264"/>
      <c r="AS124" s="265"/>
      <c r="AT124" s="265"/>
      <c r="AU124" s="264"/>
      <c r="AV124" s="265"/>
      <c r="AW124" s="264"/>
      <c r="AX124" s="265"/>
      <c r="AY124" s="264"/>
      <c r="AZ124" s="265"/>
      <c r="BA124" s="264"/>
      <c r="BB124" s="265"/>
      <c r="BC124" s="264"/>
      <c r="BD124" s="265"/>
      <c r="BE124" s="264"/>
      <c r="BF124" s="265"/>
      <c r="BG124" s="264"/>
      <c r="BH124" s="265"/>
      <c r="BI124" s="264">
        <f t="shared" si="12"/>
        <v>0</v>
      </c>
      <c r="BJ124" s="268"/>
      <c r="BK124" s="269"/>
      <c r="BL124" s="269"/>
      <c r="BM124" s="270"/>
    </row>
    <row r="125" spans="1:65" s="282" customFormat="1" ht="18" x14ac:dyDescent="0.25">
      <c r="A125" s="246" t="s">
        <v>898</v>
      </c>
      <c r="B125" s="283" t="s">
        <v>1582</v>
      </c>
      <c r="C125" s="268"/>
      <c r="D125" s="281">
        <f>SUM(GenFundExp2!I371:I373)</f>
        <v>0</v>
      </c>
      <c r="E125" s="265"/>
      <c r="F125" s="281">
        <f>SUM(CharterFundExp2!I371:I373)</f>
        <v>0</v>
      </c>
      <c r="G125" s="265"/>
      <c r="H125" s="264"/>
      <c r="I125" s="265"/>
      <c r="J125" s="264"/>
      <c r="K125" s="265"/>
      <c r="L125" s="281"/>
      <c r="M125" s="265"/>
      <c r="N125" s="264"/>
      <c r="O125" s="265"/>
      <c r="P125" s="264"/>
      <c r="Q125" s="265"/>
      <c r="R125" s="264"/>
      <c r="S125" s="265"/>
      <c r="T125" s="264"/>
      <c r="U125" s="265"/>
      <c r="V125" s="264"/>
      <c r="W125" s="265"/>
      <c r="X125" s="264"/>
      <c r="Y125" s="265"/>
      <c r="Z125" s="265"/>
      <c r="AA125" s="264"/>
      <c r="AB125" s="265"/>
      <c r="AC125" s="264"/>
      <c r="AD125" s="264"/>
      <c r="AE125" s="265"/>
      <c r="AF125" s="264"/>
      <c r="AG125" s="265"/>
      <c r="AH125" s="264"/>
      <c r="AI125" s="265"/>
      <c r="AJ125" s="264"/>
      <c r="AK125" s="265"/>
      <c r="AL125" s="264"/>
      <c r="AM125" s="265"/>
      <c r="AN125" s="264">
        <f>SUM(FoodServ!I37:I40)</f>
        <v>0</v>
      </c>
      <c r="AO125" s="265"/>
      <c r="AP125" s="264"/>
      <c r="AQ125" s="265"/>
      <c r="AR125" s="264"/>
      <c r="AS125" s="265"/>
      <c r="AT125" s="265"/>
      <c r="AU125" s="264"/>
      <c r="AV125" s="265"/>
      <c r="AW125" s="264"/>
      <c r="AX125" s="265"/>
      <c r="AY125" s="264"/>
      <c r="AZ125" s="265"/>
      <c r="BA125" s="264"/>
      <c r="BB125" s="265"/>
      <c r="BC125" s="264"/>
      <c r="BD125" s="265"/>
      <c r="BE125" s="264"/>
      <c r="BF125" s="265"/>
      <c r="BG125" s="264"/>
      <c r="BH125" s="265"/>
      <c r="BI125" s="264">
        <f t="shared" si="12"/>
        <v>0</v>
      </c>
      <c r="BJ125" s="268"/>
      <c r="BK125" s="269"/>
      <c r="BL125" s="269"/>
      <c r="BM125" s="270"/>
    </row>
    <row r="126" spans="1:65" s="282" customFormat="1" ht="18" x14ac:dyDescent="0.25">
      <c r="A126" s="246" t="s">
        <v>899</v>
      </c>
      <c r="B126" s="283" t="s">
        <v>1583</v>
      </c>
      <c r="C126" s="268"/>
      <c r="D126" s="281">
        <f>SUM(GenFundExp2!I374:I377)</f>
        <v>0</v>
      </c>
      <c r="E126" s="265"/>
      <c r="F126" s="281">
        <f>SUM(CharterFundExp2!I374:I377)</f>
        <v>0</v>
      </c>
      <c r="G126" s="265"/>
      <c r="H126" s="264"/>
      <c r="I126" s="265"/>
      <c r="J126" s="264"/>
      <c r="K126" s="265"/>
      <c r="L126" s="281"/>
      <c r="M126" s="265"/>
      <c r="N126" s="264"/>
      <c r="O126" s="265"/>
      <c r="P126" s="264"/>
      <c r="Q126" s="265"/>
      <c r="R126" s="264"/>
      <c r="S126" s="265"/>
      <c r="T126" s="264"/>
      <c r="U126" s="265"/>
      <c r="V126" s="264"/>
      <c r="W126" s="265"/>
      <c r="X126" s="264"/>
      <c r="Y126" s="265"/>
      <c r="Z126" s="265"/>
      <c r="AA126" s="264"/>
      <c r="AB126" s="265"/>
      <c r="AC126" s="264"/>
      <c r="AD126" s="264"/>
      <c r="AE126" s="265"/>
      <c r="AF126" s="264"/>
      <c r="AG126" s="265"/>
      <c r="AH126" s="264"/>
      <c r="AI126" s="265"/>
      <c r="AJ126" s="264"/>
      <c r="AK126" s="265"/>
      <c r="AL126" s="264"/>
      <c r="AM126" s="265"/>
      <c r="AN126" s="264">
        <f>SUM(FoodServ!I41:I42)</f>
        <v>0</v>
      </c>
      <c r="AO126" s="265"/>
      <c r="AP126" s="264"/>
      <c r="AQ126" s="265"/>
      <c r="AR126" s="264"/>
      <c r="AS126" s="265"/>
      <c r="AT126" s="265"/>
      <c r="AU126" s="264"/>
      <c r="AV126" s="265"/>
      <c r="AW126" s="264"/>
      <c r="AX126" s="265"/>
      <c r="AY126" s="264"/>
      <c r="AZ126" s="265"/>
      <c r="BA126" s="264"/>
      <c r="BB126" s="265"/>
      <c r="BC126" s="264"/>
      <c r="BD126" s="265"/>
      <c r="BE126" s="264"/>
      <c r="BF126" s="265"/>
      <c r="BG126" s="264"/>
      <c r="BH126" s="265"/>
      <c r="BI126" s="264">
        <f t="shared" si="12"/>
        <v>0</v>
      </c>
      <c r="BJ126" s="268"/>
      <c r="BK126" s="269"/>
      <c r="BL126" s="269"/>
      <c r="BM126" s="270"/>
    </row>
    <row r="127" spans="1:65" s="282" customFormat="1" ht="18.75" thickBot="1" x14ac:dyDescent="0.3">
      <c r="A127" s="246" t="s">
        <v>900</v>
      </c>
      <c r="B127" s="283" t="s">
        <v>901</v>
      </c>
      <c r="C127" s="268"/>
      <c r="D127" s="281">
        <f>SUM(GenFundExp2!I378:I383)</f>
        <v>0</v>
      </c>
      <c r="E127" s="265"/>
      <c r="F127" s="281">
        <f>SUM(CharterFundExp2!I378:I383)</f>
        <v>0</v>
      </c>
      <c r="G127" s="265"/>
      <c r="H127" s="264"/>
      <c r="I127" s="265"/>
      <c r="J127" s="264"/>
      <c r="K127" s="265"/>
      <c r="L127" s="281"/>
      <c r="M127" s="265"/>
      <c r="N127" s="264"/>
      <c r="O127" s="265"/>
      <c r="P127" s="264"/>
      <c r="Q127" s="265"/>
      <c r="R127" s="264"/>
      <c r="S127" s="265"/>
      <c r="T127" s="264"/>
      <c r="U127" s="265"/>
      <c r="V127" s="264"/>
      <c r="W127" s="265"/>
      <c r="X127" s="264"/>
      <c r="Y127" s="265"/>
      <c r="Z127" s="265"/>
      <c r="AA127" s="264"/>
      <c r="AB127" s="265"/>
      <c r="AC127" s="264"/>
      <c r="AD127" s="264"/>
      <c r="AE127" s="265"/>
      <c r="AF127" s="264"/>
      <c r="AG127" s="265"/>
      <c r="AH127" s="264"/>
      <c r="AI127" s="265"/>
      <c r="AJ127" s="264"/>
      <c r="AK127" s="265"/>
      <c r="AL127" s="264"/>
      <c r="AM127" s="265"/>
      <c r="AN127" s="264">
        <f>SUM(FoodServ!I43:I45)</f>
        <v>0</v>
      </c>
      <c r="AO127" s="265"/>
      <c r="AP127" s="264"/>
      <c r="AQ127" s="265"/>
      <c r="AR127" s="264"/>
      <c r="AS127" s="265"/>
      <c r="AT127" s="265"/>
      <c r="AU127" s="264"/>
      <c r="AV127" s="265"/>
      <c r="AW127" s="264"/>
      <c r="AX127" s="265"/>
      <c r="AY127" s="264"/>
      <c r="AZ127" s="265"/>
      <c r="BA127" s="264"/>
      <c r="BB127" s="265"/>
      <c r="BC127" s="264"/>
      <c r="BD127" s="265"/>
      <c r="BE127" s="264"/>
      <c r="BF127" s="265"/>
      <c r="BG127" s="264"/>
      <c r="BH127" s="265"/>
      <c r="BI127" s="264">
        <f t="shared" si="12"/>
        <v>0</v>
      </c>
      <c r="BJ127" s="268"/>
      <c r="BK127" s="269"/>
      <c r="BL127" s="269"/>
      <c r="BM127" s="270"/>
    </row>
    <row r="128" spans="1:65" s="282" customFormat="1" ht="18.75" thickBot="1" x14ac:dyDescent="0.3">
      <c r="A128" s="271" t="s">
        <v>776</v>
      </c>
      <c r="B128" s="279"/>
      <c r="C128" s="275"/>
      <c r="D128" s="274">
        <f>SUM(D122:D127)</f>
        <v>0</v>
      </c>
      <c r="E128" s="275"/>
      <c r="F128" s="274">
        <f>SUM(F122:F127)</f>
        <v>0</v>
      </c>
      <c r="G128" s="275"/>
      <c r="H128" s="274">
        <f>SUM(H122:H127)</f>
        <v>0</v>
      </c>
      <c r="I128" s="275"/>
      <c r="J128" s="274">
        <f>SUM(J122:J127)</f>
        <v>0</v>
      </c>
      <c r="K128" s="275"/>
      <c r="L128" s="274">
        <f>SUM(L122:L127)</f>
        <v>0</v>
      </c>
      <c r="M128" s="275"/>
      <c r="N128" s="274">
        <f>SUM(N122:N127)</f>
        <v>0</v>
      </c>
      <c r="O128" s="275"/>
      <c r="P128" s="274">
        <f>SUM(P122:P127)</f>
        <v>0</v>
      </c>
      <c r="Q128" s="275"/>
      <c r="R128" s="274">
        <f>SUM(R122:R127)</f>
        <v>0</v>
      </c>
      <c r="S128" s="275"/>
      <c r="T128" s="274">
        <f>SUM(T122:T127)</f>
        <v>0</v>
      </c>
      <c r="U128" s="275"/>
      <c r="V128" s="274">
        <f>SUM(V122:V127)</f>
        <v>0</v>
      </c>
      <c r="W128" s="275"/>
      <c r="X128" s="274">
        <f>SUM(X122:X127)</f>
        <v>0</v>
      </c>
      <c r="Y128" s="275"/>
      <c r="Z128" s="275"/>
      <c r="AA128" s="274">
        <f>SUM(AA122:AA127)</f>
        <v>0</v>
      </c>
      <c r="AB128" s="275"/>
      <c r="AC128" s="274">
        <f>SUM(AC122:AC127)</f>
        <v>0</v>
      </c>
      <c r="AD128" s="274">
        <f>SUM(AD122:AD127)</f>
        <v>0</v>
      </c>
      <c r="AE128" s="275"/>
      <c r="AF128" s="274">
        <f>SUM(AF122:AF127)</f>
        <v>0</v>
      </c>
      <c r="AG128" s="275"/>
      <c r="AH128" s="274">
        <f>SUM(AH122:AH127)</f>
        <v>0</v>
      </c>
      <c r="AI128" s="275"/>
      <c r="AJ128" s="274">
        <f>SUM(AJ122:AJ127)</f>
        <v>0</v>
      </c>
      <c r="AK128" s="275"/>
      <c r="AL128" s="274">
        <f>SUM(AL122:AL127)</f>
        <v>0</v>
      </c>
      <c r="AM128" s="275"/>
      <c r="AN128" s="274">
        <f>SUM(AN122:AN127)</f>
        <v>0</v>
      </c>
      <c r="AO128" s="275"/>
      <c r="AP128" s="274">
        <f>SUM(AP122:AP127)</f>
        <v>0</v>
      </c>
      <c r="AQ128" s="275"/>
      <c r="AR128" s="274">
        <f>SUM(AR122:AR127)</f>
        <v>0</v>
      </c>
      <c r="AS128" s="275"/>
      <c r="AT128" s="275"/>
      <c r="AU128" s="274">
        <f>SUM(AU122:AU127)</f>
        <v>0</v>
      </c>
      <c r="AV128" s="275"/>
      <c r="AW128" s="274">
        <f>SUM(AW122:AW127)</f>
        <v>0</v>
      </c>
      <c r="AX128" s="275"/>
      <c r="AY128" s="274">
        <f>SUM(AY122:AY127)</f>
        <v>0</v>
      </c>
      <c r="AZ128" s="275"/>
      <c r="BA128" s="274">
        <f>SUM(BA122:BA127)</f>
        <v>0</v>
      </c>
      <c r="BB128" s="275"/>
      <c r="BC128" s="274">
        <f>SUM(BC122:BC127)</f>
        <v>0</v>
      </c>
      <c r="BD128" s="275"/>
      <c r="BE128" s="274">
        <f>SUM(BE122:BE127)</f>
        <v>0</v>
      </c>
      <c r="BF128" s="275"/>
      <c r="BG128" s="274">
        <f>SUM(BG122:BG127)</f>
        <v>0</v>
      </c>
      <c r="BH128" s="275"/>
      <c r="BI128" s="274">
        <f t="shared" si="12"/>
        <v>0</v>
      </c>
      <c r="BJ128" s="275"/>
      <c r="BK128" s="276"/>
      <c r="BL128" s="276"/>
      <c r="BM128" s="270"/>
    </row>
    <row r="129" spans="1:65" s="282" customFormat="1" ht="18" x14ac:dyDescent="0.25">
      <c r="A129" s="246" t="s">
        <v>778</v>
      </c>
      <c r="B129" s="262"/>
      <c r="C129" s="268"/>
      <c r="D129" s="264"/>
      <c r="E129" s="265"/>
      <c r="F129" s="264"/>
      <c r="G129" s="265"/>
      <c r="H129" s="264"/>
      <c r="I129" s="265"/>
      <c r="J129" s="264"/>
      <c r="K129" s="265"/>
      <c r="L129" s="281"/>
      <c r="M129" s="265"/>
      <c r="N129" s="264"/>
      <c r="O129" s="265"/>
      <c r="P129" s="264"/>
      <c r="Q129" s="265"/>
      <c r="R129" s="264"/>
      <c r="S129" s="265"/>
      <c r="T129" s="264"/>
      <c r="U129" s="265"/>
      <c r="V129" s="264"/>
      <c r="W129" s="265"/>
      <c r="X129" s="264"/>
      <c r="Y129" s="265"/>
      <c r="Z129" s="265"/>
      <c r="AA129" s="264"/>
      <c r="AB129" s="265"/>
      <c r="AC129" s="264"/>
      <c r="AD129" s="264"/>
      <c r="AE129" s="265"/>
      <c r="AF129" s="264"/>
      <c r="AG129" s="265"/>
      <c r="AH129" s="264"/>
      <c r="AI129" s="265"/>
      <c r="AJ129" s="264"/>
      <c r="AK129" s="265"/>
      <c r="AL129" s="264"/>
      <c r="AM129" s="265"/>
      <c r="AN129" s="264"/>
      <c r="AO129" s="265"/>
      <c r="AP129" s="264"/>
      <c r="AQ129" s="265"/>
      <c r="AR129" s="264"/>
      <c r="AS129" s="265"/>
      <c r="AT129" s="265"/>
      <c r="AU129" s="264"/>
      <c r="AV129" s="265"/>
      <c r="AW129" s="264"/>
      <c r="AX129" s="265"/>
      <c r="AY129" s="264"/>
      <c r="AZ129" s="265"/>
      <c r="BA129" s="264"/>
      <c r="BB129" s="265"/>
      <c r="BC129" s="264"/>
      <c r="BD129" s="265"/>
      <c r="BE129" s="264"/>
      <c r="BF129" s="265"/>
      <c r="BG129" s="264"/>
      <c r="BH129" s="265"/>
      <c r="BI129" s="270"/>
      <c r="BJ129" s="268"/>
      <c r="BK129" s="269"/>
      <c r="BL129" s="269"/>
      <c r="BM129" s="270"/>
    </row>
    <row r="130" spans="1:65" s="282" customFormat="1" ht="18" x14ac:dyDescent="0.25">
      <c r="A130" s="246" t="s">
        <v>23</v>
      </c>
      <c r="B130" s="283" t="s">
        <v>1577</v>
      </c>
      <c r="C130" s="268"/>
      <c r="D130" s="281">
        <f>SUM(GenFundExp2!I387+GenFundExp2!I388+GenFundExp2!I410+GenFundExp2!I411)</f>
        <v>0</v>
      </c>
      <c r="E130" s="265"/>
      <c r="F130" s="281">
        <f>SUM(CharterFundExp2!I387+CharterFundExp2!I388+CharterFundExp2!I410+CharterFundExp2!I411)</f>
        <v>0</v>
      </c>
      <c r="G130" s="265"/>
      <c r="H130" s="264"/>
      <c r="I130" s="265"/>
      <c r="J130" s="264"/>
      <c r="K130" s="265"/>
      <c r="L130" s="281"/>
      <c r="M130" s="265"/>
      <c r="N130" s="264"/>
      <c r="O130" s="265"/>
      <c r="P130" s="264"/>
      <c r="Q130" s="265"/>
      <c r="R130" s="264"/>
      <c r="S130" s="265"/>
      <c r="T130" s="264"/>
      <c r="U130" s="265"/>
      <c r="V130" s="264"/>
      <c r="W130" s="265"/>
      <c r="X130" s="264"/>
      <c r="Y130" s="265"/>
      <c r="Z130" s="265"/>
      <c r="AA130" s="264"/>
      <c r="AB130" s="265"/>
      <c r="AC130" s="264"/>
      <c r="AD130" s="264"/>
      <c r="AE130" s="265"/>
      <c r="AF130" s="264"/>
      <c r="AG130" s="265"/>
      <c r="AH130" s="264"/>
      <c r="AI130" s="265"/>
      <c r="AJ130" s="264"/>
      <c r="AK130" s="265"/>
      <c r="AL130" s="264"/>
      <c r="AM130" s="265"/>
      <c r="AN130" s="264"/>
      <c r="AO130" s="265"/>
      <c r="AP130" s="264"/>
      <c r="AQ130" s="265"/>
      <c r="AR130" s="264"/>
      <c r="AS130" s="265"/>
      <c r="AT130" s="265"/>
      <c r="AU130" s="264"/>
      <c r="AV130" s="265"/>
      <c r="AW130" s="264"/>
      <c r="AX130" s="265"/>
      <c r="AY130" s="264"/>
      <c r="AZ130" s="265"/>
      <c r="BA130" s="264"/>
      <c r="BB130" s="265"/>
      <c r="BC130" s="264"/>
      <c r="BD130" s="265"/>
      <c r="BE130" s="264"/>
      <c r="BF130" s="265"/>
      <c r="BG130" s="264"/>
      <c r="BH130" s="265"/>
      <c r="BI130" s="264">
        <f t="shared" ref="BI130:BI136" si="13">D130+F130+H130+J130+X130+N130+P130+R130+L130+T130+V130+AA130+AC130+AD130+AF130+AH130+AJ130+AL130+AN130+AP130+AR130+AU130+AW130+AY130+BA130+BC130+BE130+BG130</f>
        <v>0</v>
      </c>
      <c r="BJ130" s="268"/>
      <c r="BK130" s="269"/>
      <c r="BL130" s="269"/>
      <c r="BM130" s="270"/>
    </row>
    <row r="131" spans="1:65" s="282" customFormat="1" ht="18" x14ac:dyDescent="0.25">
      <c r="A131" s="246" t="s">
        <v>24</v>
      </c>
      <c r="B131" s="283" t="s">
        <v>1578</v>
      </c>
      <c r="C131" s="268"/>
      <c r="D131" s="281">
        <f>SUM(GenFundExp2!I389+GenFundExp2!I390+GenFundExp2!I412+GenFundExp2!I413)</f>
        <v>0</v>
      </c>
      <c r="E131" s="265"/>
      <c r="F131" s="281">
        <f>SUM(CharterFundExp2!I389+CharterFundExp2!I390+CharterFundExp2!I412+CharterFundExp2!I413)</f>
        <v>0</v>
      </c>
      <c r="G131" s="265"/>
      <c r="H131" s="264"/>
      <c r="I131" s="265"/>
      <c r="J131" s="264"/>
      <c r="K131" s="265"/>
      <c r="L131" s="281"/>
      <c r="M131" s="265"/>
      <c r="N131" s="264"/>
      <c r="O131" s="265"/>
      <c r="P131" s="264"/>
      <c r="Q131" s="265"/>
      <c r="R131" s="264"/>
      <c r="S131" s="265"/>
      <c r="T131" s="264"/>
      <c r="U131" s="265"/>
      <c r="V131" s="264"/>
      <c r="W131" s="265"/>
      <c r="X131" s="264"/>
      <c r="Y131" s="265"/>
      <c r="Z131" s="265"/>
      <c r="AA131" s="264"/>
      <c r="AB131" s="265"/>
      <c r="AC131" s="264"/>
      <c r="AD131" s="264"/>
      <c r="AE131" s="265"/>
      <c r="AF131" s="264"/>
      <c r="AG131" s="265"/>
      <c r="AH131" s="264"/>
      <c r="AI131" s="265"/>
      <c r="AJ131" s="264"/>
      <c r="AK131" s="265"/>
      <c r="AL131" s="264"/>
      <c r="AM131" s="265"/>
      <c r="AN131" s="264"/>
      <c r="AO131" s="265"/>
      <c r="AP131" s="264"/>
      <c r="AQ131" s="265"/>
      <c r="AR131" s="264"/>
      <c r="AS131" s="265"/>
      <c r="AT131" s="265"/>
      <c r="AU131" s="264"/>
      <c r="AV131" s="265"/>
      <c r="AW131" s="264"/>
      <c r="AX131" s="265"/>
      <c r="AY131" s="264"/>
      <c r="AZ131" s="265"/>
      <c r="BA131" s="264"/>
      <c r="BB131" s="265"/>
      <c r="BC131" s="264"/>
      <c r="BD131" s="265"/>
      <c r="BE131" s="264"/>
      <c r="BF131" s="265"/>
      <c r="BG131" s="264"/>
      <c r="BH131" s="265"/>
      <c r="BI131" s="264">
        <f t="shared" si="13"/>
        <v>0</v>
      </c>
      <c r="BJ131" s="268"/>
      <c r="BK131" s="269"/>
      <c r="BL131" s="269"/>
      <c r="BM131" s="270"/>
    </row>
    <row r="132" spans="1:65" s="282" customFormat="1" ht="36" x14ac:dyDescent="0.25">
      <c r="A132" s="246" t="s">
        <v>25</v>
      </c>
      <c r="B132" s="283" t="s">
        <v>773</v>
      </c>
      <c r="C132" s="268"/>
      <c r="D132" s="264">
        <f>SUM(GenFundExp2!I391+GenFundExp2!I392+GenFundExp2!I393+GenFundExp2!I394+GenFundExp2!I395+GenFundExp2!I396+GenFundExp2!I414+GenFundExp2!I415+GenFundExp2!I416+GenFundExp2!I417+GenFundExp2!I418+GenFundExp2!I419)</f>
        <v>0</v>
      </c>
      <c r="E132" s="265"/>
      <c r="F132" s="264">
        <f>SUM(CharterFundExp2!I391+CharterFundExp2!I392+CharterFundExp2!I393+CharterFundExp2!I394+CharterFundExp2!I395+CharterFundExp2!I396+CharterFundExp2!I414+CharterFundExp2!I415+CharterFundExp2!I416+CharterFundExp2!I417+CharterFundExp2!I418+CharterFundExp2!I419)</f>
        <v>0</v>
      </c>
      <c r="G132" s="265"/>
      <c r="H132" s="264"/>
      <c r="I132" s="265"/>
      <c r="J132" s="264"/>
      <c r="K132" s="265"/>
      <c r="L132" s="281"/>
      <c r="M132" s="265"/>
      <c r="N132" s="264"/>
      <c r="O132" s="265"/>
      <c r="P132" s="264"/>
      <c r="Q132" s="265"/>
      <c r="R132" s="264"/>
      <c r="S132" s="265"/>
      <c r="T132" s="264"/>
      <c r="U132" s="265"/>
      <c r="V132" s="264"/>
      <c r="W132" s="265"/>
      <c r="X132" s="264"/>
      <c r="Y132" s="265"/>
      <c r="Z132" s="265"/>
      <c r="AA132" s="264"/>
      <c r="AB132" s="265"/>
      <c r="AC132" s="264"/>
      <c r="AD132" s="264"/>
      <c r="AE132" s="265"/>
      <c r="AF132" s="264"/>
      <c r="AG132" s="265"/>
      <c r="AH132" s="264"/>
      <c r="AI132" s="265"/>
      <c r="AJ132" s="264"/>
      <c r="AK132" s="265"/>
      <c r="AL132" s="264"/>
      <c r="AM132" s="265"/>
      <c r="AN132" s="264"/>
      <c r="AO132" s="265"/>
      <c r="AP132" s="264"/>
      <c r="AQ132" s="265"/>
      <c r="AR132" s="264"/>
      <c r="AS132" s="265"/>
      <c r="AT132" s="265"/>
      <c r="AU132" s="264"/>
      <c r="AV132" s="265"/>
      <c r="AW132" s="264"/>
      <c r="AX132" s="265"/>
      <c r="AY132" s="264"/>
      <c r="AZ132" s="265"/>
      <c r="BA132" s="264"/>
      <c r="BB132" s="265"/>
      <c r="BC132" s="264"/>
      <c r="BD132" s="265"/>
      <c r="BE132" s="264"/>
      <c r="BF132" s="265"/>
      <c r="BG132" s="264"/>
      <c r="BH132" s="265"/>
      <c r="BI132" s="264">
        <f t="shared" si="13"/>
        <v>0</v>
      </c>
      <c r="BJ132" s="268"/>
      <c r="BK132" s="269"/>
      <c r="BL132" s="269"/>
      <c r="BM132" s="270"/>
    </row>
    <row r="133" spans="1:65" s="282" customFormat="1" ht="18" x14ac:dyDescent="0.25">
      <c r="A133" s="246" t="s">
        <v>898</v>
      </c>
      <c r="B133" s="283" t="s">
        <v>1582</v>
      </c>
      <c r="C133" s="268"/>
      <c r="D133" s="264">
        <f>SUM(GenFundExp2!I397+GenFundExp2!I398+GenFundExp2!I420+GenFundExp2!I421)</f>
        <v>0</v>
      </c>
      <c r="E133" s="265"/>
      <c r="F133" s="264">
        <f>SUM(CharterFundExp2!I397+CharterFundExp2!I398+CharterFundExp2!I420+CharterFundExp2!I421)</f>
        <v>0</v>
      </c>
      <c r="G133" s="265"/>
      <c r="H133" s="264"/>
      <c r="I133" s="265"/>
      <c r="J133" s="264"/>
      <c r="K133" s="265"/>
      <c r="L133" s="281"/>
      <c r="M133" s="265"/>
      <c r="N133" s="264"/>
      <c r="O133" s="265"/>
      <c r="P133" s="264"/>
      <c r="Q133" s="265"/>
      <c r="R133" s="264"/>
      <c r="S133" s="265"/>
      <c r="T133" s="264"/>
      <c r="U133" s="265"/>
      <c r="V133" s="264"/>
      <c r="W133" s="265"/>
      <c r="X133" s="264"/>
      <c r="Y133" s="265"/>
      <c r="Z133" s="265"/>
      <c r="AA133" s="264"/>
      <c r="AB133" s="265"/>
      <c r="AC133" s="264"/>
      <c r="AD133" s="264"/>
      <c r="AE133" s="265"/>
      <c r="AF133" s="264"/>
      <c r="AG133" s="265"/>
      <c r="AH133" s="264"/>
      <c r="AI133" s="265"/>
      <c r="AJ133" s="264"/>
      <c r="AK133" s="265"/>
      <c r="AL133" s="264"/>
      <c r="AM133" s="265"/>
      <c r="AN133" s="264"/>
      <c r="AO133" s="265"/>
      <c r="AP133" s="264"/>
      <c r="AQ133" s="265"/>
      <c r="AR133" s="264"/>
      <c r="AS133" s="265"/>
      <c r="AT133" s="265"/>
      <c r="AU133" s="264"/>
      <c r="AV133" s="265"/>
      <c r="AW133" s="264"/>
      <c r="AX133" s="265"/>
      <c r="AY133" s="264"/>
      <c r="AZ133" s="265"/>
      <c r="BA133" s="264"/>
      <c r="BB133" s="265"/>
      <c r="BC133" s="264"/>
      <c r="BD133" s="265"/>
      <c r="BE133" s="264"/>
      <c r="BF133" s="265"/>
      <c r="BG133" s="264"/>
      <c r="BH133" s="265"/>
      <c r="BI133" s="264">
        <f t="shared" si="13"/>
        <v>0</v>
      </c>
      <c r="BJ133" s="268"/>
      <c r="BK133" s="269"/>
      <c r="BL133" s="269"/>
      <c r="BM133" s="270"/>
    </row>
    <row r="134" spans="1:65" s="282" customFormat="1" ht="18" x14ac:dyDescent="0.25">
      <c r="A134" s="246" t="s">
        <v>899</v>
      </c>
      <c r="B134" s="283" t="s">
        <v>1583</v>
      </c>
      <c r="C134" s="268"/>
      <c r="D134" s="264">
        <f>SUM(GenFundExp2!I399+GenFundExp2!I400+GenFundExp2!I401+GenFundExp2!I402+GenFundExp2!I422+GenFundExp2!I423+GenFundExp2!I424+GenFundExp2!I425)</f>
        <v>0</v>
      </c>
      <c r="E134" s="265"/>
      <c r="F134" s="264">
        <f>SUM(CharterFundExp2!I399+CharterFundExp2!I400+CharterFundExp2!I401+CharterFundExp2!I402+CharterFundExp2!I422+CharterFundExp2!I423+CharterFundExp2!I424+CharterFundExp2!I425)</f>
        <v>0</v>
      </c>
      <c r="G134" s="265"/>
      <c r="H134" s="264"/>
      <c r="I134" s="265"/>
      <c r="J134" s="264"/>
      <c r="K134" s="265"/>
      <c r="L134" s="281"/>
      <c r="M134" s="265"/>
      <c r="N134" s="264"/>
      <c r="O134" s="265"/>
      <c r="P134" s="264"/>
      <c r="Q134" s="265"/>
      <c r="R134" s="264"/>
      <c r="S134" s="265"/>
      <c r="T134" s="264"/>
      <c r="U134" s="265"/>
      <c r="V134" s="264"/>
      <c r="W134" s="265"/>
      <c r="X134" s="264"/>
      <c r="Y134" s="265"/>
      <c r="Z134" s="265"/>
      <c r="AA134" s="264"/>
      <c r="AB134" s="265"/>
      <c r="AC134" s="264"/>
      <c r="AD134" s="264"/>
      <c r="AE134" s="265"/>
      <c r="AF134" s="264"/>
      <c r="AG134" s="265"/>
      <c r="AH134" s="264"/>
      <c r="AI134" s="265"/>
      <c r="AJ134" s="264"/>
      <c r="AK134" s="265"/>
      <c r="AL134" s="264"/>
      <c r="AM134" s="265"/>
      <c r="AN134" s="264"/>
      <c r="AO134" s="265"/>
      <c r="AP134" s="264"/>
      <c r="AQ134" s="265"/>
      <c r="AR134" s="264"/>
      <c r="AS134" s="265"/>
      <c r="AT134" s="265"/>
      <c r="AU134" s="264"/>
      <c r="AV134" s="265"/>
      <c r="AW134" s="264"/>
      <c r="AX134" s="265"/>
      <c r="AY134" s="264"/>
      <c r="AZ134" s="265"/>
      <c r="BA134" s="264"/>
      <c r="BB134" s="265"/>
      <c r="BC134" s="264"/>
      <c r="BD134" s="265"/>
      <c r="BE134" s="264"/>
      <c r="BF134" s="265"/>
      <c r="BG134" s="264"/>
      <c r="BH134" s="265"/>
      <c r="BI134" s="264">
        <f t="shared" si="13"/>
        <v>0</v>
      </c>
      <c r="BJ134" s="268"/>
      <c r="BK134" s="269"/>
      <c r="BL134" s="269"/>
      <c r="BM134" s="270"/>
    </row>
    <row r="135" spans="1:65" s="282" customFormat="1" ht="18.75" thickBot="1" x14ac:dyDescent="0.3">
      <c r="A135" s="246" t="s">
        <v>900</v>
      </c>
      <c r="B135" s="283" t="s">
        <v>901</v>
      </c>
      <c r="C135" s="268"/>
      <c r="D135" s="264">
        <f>SUM(GenFundExp2!I403+GenFundExp2!I404+GenFundExp2!I405+GenFundExp2!I406+GenFundExp2!I426+GenFundExp2!I427+GenFundExp2!I428+GenFundExp2!I429)</f>
        <v>0</v>
      </c>
      <c r="E135" s="265"/>
      <c r="F135" s="264">
        <f>SUM(CharterFundExp2!I403+CharterFundExp2!I404+CharterFundExp2!I405+CharterFundExp2!I406+CharterFundExp2!I426+CharterFundExp2!I427+CharterFundExp2!I428+CharterFundExp2!I429)</f>
        <v>0</v>
      </c>
      <c r="G135" s="265"/>
      <c r="H135" s="264"/>
      <c r="I135" s="265"/>
      <c r="J135" s="264"/>
      <c r="K135" s="265"/>
      <c r="L135" s="281"/>
      <c r="M135" s="265"/>
      <c r="N135" s="264"/>
      <c r="O135" s="265"/>
      <c r="P135" s="264"/>
      <c r="Q135" s="265"/>
      <c r="R135" s="264"/>
      <c r="S135" s="265"/>
      <c r="T135" s="264"/>
      <c r="U135" s="265"/>
      <c r="V135" s="264"/>
      <c r="W135" s="265"/>
      <c r="X135" s="264"/>
      <c r="Y135" s="265"/>
      <c r="Z135" s="265"/>
      <c r="AA135" s="264"/>
      <c r="AB135" s="265"/>
      <c r="AC135" s="264"/>
      <c r="AD135" s="264"/>
      <c r="AE135" s="265"/>
      <c r="AF135" s="264"/>
      <c r="AG135" s="265"/>
      <c r="AH135" s="264"/>
      <c r="AI135" s="265"/>
      <c r="AJ135" s="264"/>
      <c r="AK135" s="265"/>
      <c r="AL135" s="264"/>
      <c r="AM135" s="265"/>
      <c r="AN135" s="264"/>
      <c r="AO135" s="265"/>
      <c r="AP135" s="264"/>
      <c r="AQ135" s="265"/>
      <c r="AR135" s="264"/>
      <c r="AS135" s="265"/>
      <c r="AT135" s="265"/>
      <c r="AU135" s="264"/>
      <c r="AV135" s="265"/>
      <c r="AW135" s="264"/>
      <c r="AX135" s="265"/>
      <c r="AY135" s="264"/>
      <c r="AZ135" s="265"/>
      <c r="BA135" s="264"/>
      <c r="BB135" s="265"/>
      <c r="BC135" s="264"/>
      <c r="BD135" s="265"/>
      <c r="BE135" s="264"/>
      <c r="BF135" s="265"/>
      <c r="BG135" s="264"/>
      <c r="BH135" s="265"/>
      <c r="BI135" s="264">
        <f t="shared" si="13"/>
        <v>0</v>
      </c>
      <c r="BJ135" s="268"/>
      <c r="BK135" s="269"/>
      <c r="BL135" s="269"/>
      <c r="BM135" s="270"/>
    </row>
    <row r="136" spans="1:65" s="282" customFormat="1" ht="18.75" thickBot="1" x14ac:dyDescent="0.3">
      <c r="A136" s="271" t="s">
        <v>779</v>
      </c>
      <c r="B136" s="279"/>
      <c r="C136" s="275"/>
      <c r="D136" s="274">
        <f>SUM(D130:D135)</f>
        <v>0</v>
      </c>
      <c r="E136" s="275"/>
      <c r="F136" s="274">
        <f>SUM(F130:F135)</f>
        <v>0</v>
      </c>
      <c r="G136" s="275"/>
      <c r="H136" s="274">
        <f>SUM(H130:H135)</f>
        <v>0</v>
      </c>
      <c r="I136" s="275"/>
      <c r="J136" s="274">
        <f>SUM(J130:J135)</f>
        <v>0</v>
      </c>
      <c r="K136" s="275"/>
      <c r="L136" s="274">
        <f>SUM(L130:L135)</f>
        <v>0</v>
      </c>
      <c r="M136" s="275"/>
      <c r="N136" s="274">
        <f>SUM(N130:N135)</f>
        <v>0</v>
      </c>
      <c r="O136" s="275"/>
      <c r="P136" s="274">
        <f>SUM(P130:P135)</f>
        <v>0</v>
      </c>
      <c r="Q136" s="275"/>
      <c r="R136" s="274">
        <f>SUM(R130:R135)</f>
        <v>0</v>
      </c>
      <c r="S136" s="275"/>
      <c r="T136" s="274">
        <f>SUM(T130:T135)</f>
        <v>0</v>
      </c>
      <c r="U136" s="275"/>
      <c r="V136" s="274">
        <f>SUM(V130:V135)</f>
        <v>0</v>
      </c>
      <c r="W136" s="275"/>
      <c r="X136" s="274">
        <f>SUM(X130:X135)</f>
        <v>0</v>
      </c>
      <c r="Y136" s="275"/>
      <c r="Z136" s="275"/>
      <c r="AA136" s="274">
        <f>SUM(AA130:AA135)</f>
        <v>0</v>
      </c>
      <c r="AB136" s="275"/>
      <c r="AC136" s="274">
        <f>SUM(AC130:AC135)</f>
        <v>0</v>
      </c>
      <c r="AD136" s="274">
        <f>SUM(AD130:AD135)</f>
        <v>0</v>
      </c>
      <c r="AE136" s="275"/>
      <c r="AF136" s="274">
        <f>SUM(AF130:AF135)</f>
        <v>0</v>
      </c>
      <c r="AG136" s="275"/>
      <c r="AH136" s="274">
        <f>SUM(AH130:AH135)</f>
        <v>0</v>
      </c>
      <c r="AI136" s="275"/>
      <c r="AJ136" s="274">
        <f>SUM(AJ130:AJ135)</f>
        <v>0</v>
      </c>
      <c r="AK136" s="275"/>
      <c r="AL136" s="274">
        <f>SUM(AL130:AL135)</f>
        <v>0</v>
      </c>
      <c r="AM136" s="275"/>
      <c r="AN136" s="274">
        <f>SUM(AN130:AN135)</f>
        <v>0</v>
      </c>
      <c r="AO136" s="275"/>
      <c r="AP136" s="274">
        <f>SUM(AP130:AP135)</f>
        <v>0</v>
      </c>
      <c r="AQ136" s="275"/>
      <c r="AR136" s="274">
        <f>SUM(AR130:AR135)</f>
        <v>0</v>
      </c>
      <c r="AS136" s="275"/>
      <c r="AT136" s="275"/>
      <c r="AU136" s="274">
        <f>SUM(AU130:AU135)</f>
        <v>0</v>
      </c>
      <c r="AV136" s="275"/>
      <c r="AW136" s="274">
        <f>SUM(AW130:AW135)</f>
        <v>0</v>
      </c>
      <c r="AX136" s="275"/>
      <c r="AY136" s="274">
        <f>SUM(AY130:AY135)</f>
        <v>0</v>
      </c>
      <c r="AZ136" s="275"/>
      <c r="BA136" s="274">
        <f>SUM(BA130:BA135)</f>
        <v>0</v>
      </c>
      <c r="BB136" s="275"/>
      <c r="BC136" s="274">
        <f>SUM(BC130:BC135)</f>
        <v>0</v>
      </c>
      <c r="BD136" s="275"/>
      <c r="BE136" s="274">
        <f>SUM(BE130:BE135)</f>
        <v>0</v>
      </c>
      <c r="BF136" s="275"/>
      <c r="BG136" s="274">
        <f>SUM(BG130:BG135)</f>
        <v>0</v>
      </c>
      <c r="BH136" s="275"/>
      <c r="BI136" s="274">
        <f t="shared" si="13"/>
        <v>0</v>
      </c>
      <c r="BJ136" s="275"/>
      <c r="BK136" s="276"/>
      <c r="BL136" s="276"/>
      <c r="BM136" s="270"/>
    </row>
    <row r="137" spans="1:65" s="282" customFormat="1" ht="18" x14ac:dyDescent="0.25">
      <c r="A137" s="246"/>
      <c r="B137" s="262"/>
      <c r="C137" s="265"/>
      <c r="D137" s="264"/>
      <c r="E137" s="265"/>
      <c r="F137" s="264"/>
      <c r="G137" s="265"/>
      <c r="H137" s="264"/>
      <c r="I137" s="265"/>
      <c r="J137" s="264"/>
      <c r="K137" s="265"/>
      <c r="L137" s="281"/>
      <c r="M137" s="265"/>
      <c r="N137" s="264"/>
      <c r="O137" s="265"/>
      <c r="P137" s="264"/>
      <c r="Q137" s="265"/>
      <c r="R137" s="264"/>
      <c r="S137" s="265"/>
      <c r="T137" s="264"/>
      <c r="U137" s="265"/>
      <c r="V137" s="264"/>
      <c r="W137" s="265"/>
      <c r="X137" s="264"/>
      <c r="Y137" s="265"/>
      <c r="Z137" s="265"/>
      <c r="AA137" s="264"/>
      <c r="AB137" s="265"/>
      <c r="AC137" s="264"/>
      <c r="AD137" s="264"/>
      <c r="AE137" s="265"/>
      <c r="AF137" s="264"/>
      <c r="AG137" s="265"/>
      <c r="AH137" s="264"/>
      <c r="AI137" s="265"/>
      <c r="AJ137" s="264"/>
      <c r="AK137" s="265"/>
      <c r="AL137" s="264"/>
      <c r="AM137" s="265"/>
      <c r="AN137" s="264"/>
      <c r="AO137" s="265"/>
      <c r="AP137" s="264"/>
      <c r="AQ137" s="265"/>
      <c r="AR137" s="264"/>
      <c r="AS137" s="265"/>
      <c r="AT137" s="265"/>
      <c r="AU137" s="264"/>
      <c r="AV137" s="265"/>
      <c r="AW137" s="264"/>
      <c r="AX137" s="265"/>
      <c r="AY137" s="264"/>
      <c r="AZ137" s="265"/>
      <c r="BA137" s="264"/>
      <c r="BB137" s="265"/>
      <c r="BC137" s="264"/>
      <c r="BD137" s="265"/>
      <c r="BE137" s="264"/>
      <c r="BF137" s="265"/>
      <c r="BG137" s="264"/>
      <c r="BH137" s="265"/>
      <c r="BI137" s="264"/>
      <c r="BJ137" s="265"/>
      <c r="BK137" s="269"/>
      <c r="BL137" s="269"/>
      <c r="BM137" s="270"/>
    </row>
    <row r="138" spans="1:65" s="282" customFormat="1" ht="18" x14ac:dyDescent="0.25">
      <c r="A138" s="246" t="s">
        <v>923</v>
      </c>
      <c r="B138" s="262"/>
      <c r="C138" s="268"/>
      <c r="D138" s="264"/>
      <c r="E138" s="265"/>
      <c r="F138" s="264"/>
      <c r="G138" s="265"/>
      <c r="H138" s="264"/>
      <c r="I138" s="265"/>
      <c r="J138" s="264"/>
      <c r="K138" s="265"/>
      <c r="L138" s="281"/>
      <c r="M138" s="265"/>
      <c r="N138" s="264"/>
      <c r="O138" s="265"/>
      <c r="P138" s="264"/>
      <c r="Q138" s="265"/>
      <c r="R138" s="264"/>
      <c r="S138" s="265"/>
      <c r="T138" s="264"/>
      <c r="U138" s="265"/>
      <c r="V138" s="264"/>
      <c r="W138" s="265"/>
      <c r="X138" s="264"/>
      <c r="Y138" s="265"/>
      <c r="Z138" s="265"/>
      <c r="AA138" s="264"/>
      <c r="AB138" s="265"/>
      <c r="AC138" s="264"/>
      <c r="AD138" s="264"/>
      <c r="AE138" s="265"/>
      <c r="AF138" s="264"/>
      <c r="AG138" s="265"/>
      <c r="AH138" s="264"/>
      <c r="AI138" s="265"/>
      <c r="AJ138" s="264"/>
      <c r="AK138" s="265"/>
      <c r="AL138" s="264"/>
      <c r="AM138" s="265"/>
      <c r="AN138" s="264"/>
      <c r="AO138" s="265"/>
      <c r="AP138" s="264"/>
      <c r="AQ138" s="265"/>
      <c r="AR138" s="264"/>
      <c r="AS138" s="265"/>
      <c r="AT138" s="265"/>
      <c r="AU138" s="264"/>
      <c r="AV138" s="265"/>
      <c r="AW138" s="264"/>
      <c r="AX138" s="265"/>
      <c r="AY138" s="264"/>
      <c r="AZ138" s="265"/>
      <c r="BA138" s="264"/>
      <c r="BB138" s="265"/>
      <c r="BC138" s="264"/>
      <c r="BD138" s="265"/>
      <c r="BE138" s="264"/>
      <c r="BF138" s="265"/>
      <c r="BG138" s="264"/>
      <c r="BH138" s="265"/>
      <c r="BI138" s="270"/>
      <c r="BJ138" s="268"/>
      <c r="BK138" s="269"/>
      <c r="BL138" s="269"/>
      <c r="BM138" s="270"/>
    </row>
    <row r="139" spans="1:65" s="282" customFormat="1" ht="18" x14ac:dyDescent="0.25">
      <c r="A139" s="246" t="s">
        <v>23</v>
      </c>
      <c r="B139" s="283" t="s">
        <v>1577</v>
      </c>
      <c r="C139" s="268"/>
      <c r="D139" s="281">
        <f>SUM(GenFundExp2!I433+GenFundExp2!I434)</f>
        <v>0</v>
      </c>
      <c r="E139" s="265"/>
      <c r="F139" s="281">
        <f>SUM(CharterFundExp2!I433+CharterFundExp2!I434)</f>
        <v>0</v>
      </c>
      <c r="G139" s="265"/>
      <c r="H139" s="264"/>
      <c r="I139" s="265"/>
      <c r="J139" s="264"/>
      <c r="K139" s="265"/>
      <c r="L139" s="281"/>
      <c r="M139" s="265"/>
      <c r="N139" s="264"/>
      <c r="O139" s="265"/>
      <c r="P139" s="264"/>
      <c r="Q139" s="265"/>
      <c r="R139" s="264"/>
      <c r="S139" s="265"/>
      <c r="T139" s="264"/>
      <c r="U139" s="265"/>
      <c r="V139" s="264"/>
      <c r="W139" s="265"/>
      <c r="X139" s="264"/>
      <c r="Y139" s="265"/>
      <c r="Z139" s="265"/>
      <c r="AA139" s="264"/>
      <c r="AB139" s="265"/>
      <c r="AC139" s="264"/>
      <c r="AD139" s="264"/>
      <c r="AE139" s="265"/>
      <c r="AF139" s="264"/>
      <c r="AG139" s="265"/>
      <c r="AH139" s="264"/>
      <c r="AI139" s="265"/>
      <c r="AJ139" s="264"/>
      <c r="AK139" s="265"/>
      <c r="AL139" s="264"/>
      <c r="AM139" s="265"/>
      <c r="AN139" s="264"/>
      <c r="AO139" s="265"/>
      <c r="AP139" s="264"/>
      <c r="AQ139" s="265"/>
      <c r="AR139" s="264"/>
      <c r="AS139" s="265"/>
      <c r="AT139" s="265"/>
      <c r="AU139" s="264"/>
      <c r="AV139" s="265"/>
      <c r="AW139" s="264"/>
      <c r="AX139" s="265"/>
      <c r="AY139" s="264"/>
      <c r="AZ139" s="265"/>
      <c r="BA139" s="264"/>
      <c r="BB139" s="265"/>
      <c r="BC139" s="264"/>
      <c r="BD139" s="265"/>
      <c r="BE139" s="264"/>
      <c r="BF139" s="265"/>
      <c r="BG139" s="264"/>
      <c r="BH139" s="265"/>
      <c r="BI139" s="264">
        <f t="shared" ref="BI139:BI145" si="14">D139+F139+H139+J139+X139+N139+P139+R139+L139+T139+V139+AA139+AC139+AD139+AF139+AH139+AJ139+AL139+AN139+AP139+AR139+AU139+AW139+AY139+BA139+BC139+BE139+BG139</f>
        <v>0</v>
      </c>
      <c r="BJ139" s="268"/>
      <c r="BK139" s="269"/>
      <c r="BL139" s="269"/>
      <c r="BM139" s="270"/>
    </row>
    <row r="140" spans="1:65" s="282" customFormat="1" ht="18" x14ac:dyDescent="0.25">
      <c r="A140" s="246" t="s">
        <v>24</v>
      </c>
      <c r="B140" s="283" t="s">
        <v>1578</v>
      </c>
      <c r="C140" s="268"/>
      <c r="D140" s="281">
        <f>SUM(GenFundExp2!I435+GenFundExp2!I436)</f>
        <v>0</v>
      </c>
      <c r="E140" s="265"/>
      <c r="F140" s="281">
        <f>SUM(CharterFundExp2!I435+CharterFundExp2!I436)</f>
        <v>0</v>
      </c>
      <c r="G140" s="265"/>
      <c r="H140" s="264"/>
      <c r="I140" s="265"/>
      <c r="J140" s="264"/>
      <c r="K140" s="265"/>
      <c r="L140" s="281"/>
      <c r="M140" s="265"/>
      <c r="N140" s="264"/>
      <c r="O140" s="265"/>
      <c r="P140" s="264"/>
      <c r="Q140" s="265"/>
      <c r="R140" s="264"/>
      <c r="S140" s="265"/>
      <c r="T140" s="264"/>
      <c r="U140" s="265"/>
      <c r="V140" s="264"/>
      <c r="W140" s="265"/>
      <c r="X140" s="264"/>
      <c r="Y140" s="265"/>
      <c r="Z140" s="265"/>
      <c r="AA140" s="264"/>
      <c r="AB140" s="265"/>
      <c r="AC140" s="264"/>
      <c r="AD140" s="264"/>
      <c r="AE140" s="265"/>
      <c r="AF140" s="264"/>
      <c r="AG140" s="265"/>
      <c r="AH140" s="264"/>
      <c r="AI140" s="265"/>
      <c r="AJ140" s="264"/>
      <c r="AK140" s="265"/>
      <c r="AL140" s="264"/>
      <c r="AM140" s="265"/>
      <c r="AN140" s="264"/>
      <c r="AO140" s="265"/>
      <c r="AP140" s="264"/>
      <c r="AQ140" s="265"/>
      <c r="AR140" s="264"/>
      <c r="AS140" s="265"/>
      <c r="AT140" s="265"/>
      <c r="AU140" s="264"/>
      <c r="AV140" s="265"/>
      <c r="AW140" s="264"/>
      <c r="AX140" s="265"/>
      <c r="AY140" s="264"/>
      <c r="AZ140" s="265"/>
      <c r="BA140" s="264"/>
      <c r="BB140" s="265"/>
      <c r="BC140" s="264"/>
      <c r="BD140" s="265"/>
      <c r="BE140" s="264"/>
      <c r="BF140" s="265"/>
      <c r="BG140" s="264"/>
      <c r="BH140" s="265"/>
      <c r="BI140" s="264">
        <f t="shared" si="14"/>
        <v>0</v>
      </c>
      <c r="BJ140" s="268"/>
      <c r="BK140" s="269"/>
      <c r="BL140" s="269"/>
      <c r="BM140" s="270"/>
    </row>
    <row r="141" spans="1:65" s="282" customFormat="1" ht="36" x14ac:dyDescent="0.25">
      <c r="A141" s="246" t="s">
        <v>25</v>
      </c>
      <c r="B141" s="283" t="s">
        <v>773</v>
      </c>
      <c r="C141" s="268"/>
      <c r="D141" s="264">
        <f>SUM(GenFundExp2!I437:I447)</f>
        <v>0</v>
      </c>
      <c r="E141" s="265"/>
      <c r="F141" s="264">
        <f>SUM(CharterFundExp2!I437:I447)</f>
        <v>0</v>
      </c>
      <c r="G141" s="265"/>
      <c r="H141" s="264"/>
      <c r="I141" s="265"/>
      <c r="J141" s="264"/>
      <c r="K141" s="265"/>
      <c r="L141" s="281"/>
      <c r="M141" s="265"/>
      <c r="N141" s="264"/>
      <c r="O141" s="265"/>
      <c r="P141" s="264"/>
      <c r="Q141" s="265"/>
      <c r="R141" s="264"/>
      <c r="S141" s="265"/>
      <c r="T141" s="264"/>
      <c r="U141" s="265"/>
      <c r="V141" s="264"/>
      <c r="W141" s="265"/>
      <c r="X141" s="264"/>
      <c r="Y141" s="265"/>
      <c r="Z141" s="265"/>
      <c r="AA141" s="264"/>
      <c r="AB141" s="265"/>
      <c r="AC141" s="264"/>
      <c r="AD141" s="264"/>
      <c r="AE141" s="265"/>
      <c r="AF141" s="264"/>
      <c r="AG141" s="265"/>
      <c r="AH141" s="264"/>
      <c r="AI141" s="265"/>
      <c r="AJ141" s="264"/>
      <c r="AK141" s="265"/>
      <c r="AL141" s="264"/>
      <c r="AM141" s="265"/>
      <c r="AN141" s="264"/>
      <c r="AO141" s="265"/>
      <c r="AP141" s="264"/>
      <c r="AQ141" s="265"/>
      <c r="AR141" s="264"/>
      <c r="AS141" s="265"/>
      <c r="AT141" s="265"/>
      <c r="AU141" s="264"/>
      <c r="AV141" s="265"/>
      <c r="AW141" s="264"/>
      <c r="AX141" s="265"/>
      <c r="AY141" s="264"/>
      <c r="AZ141" s="265"/>
      <c r="BA141" s="264"/>
      <c r="BB141" s="265"/>
      <c r="BC141" s="264"/>
      <c r="BD141" s="265"/>
      <c r="BE141" s="264"/>
      <c r="BF141" s="265"/>
      <c r="BG141" s="264"/>
      <c r="BH141" s="265"/>
      <c r="BI141" s="264">
        <f t="shared" si="14"/>
        <v>0</v>
      </c>
      <c r="BJ141" s="268"/>
      <c r="BK141" s="269"/>
      <c r="BL141" s="269"/>
      <c r="BM141" s="270"/>
    </row>
    <row r="142" spans="1:65" s="282" customFormat="1" ht="18" x14ac:dyDescent="0.25">
      <c r="A142" s="246" t="s">
        <v>898</v>
      </c>
      <c r="B142" s="283" t="s">
        <v>1582</v>
      </c>
      <c r="C142" s="268"/>
      <c r="D142" s="264">
        <f>SUM(GenFundExp2!I448:I449)</f>
        <v>0</v>
      </c>
      <c r="E142" s="265"/>
      <c r="F142" s="264">
        <f>SUM(CharterFundExp2!I448:I449)</f>
        <v>0</v>
      </c>
      <c r="G142" s="265"/>
      <c r="H142" s="264"/>
      <c r="I142" s="265"/>
      <c r="J142" s="264"/>
      <c r="K142" s="265"/>
      <c r="L142" s="281"/>
      <c r="M142" s="265"/>
      <c r="N142" s="264"/>
      <c r="O142" s="265"/>
      <c r="P142" s="264"/>
      <c r="Q142" s="265"/>
      <c r="R142" s="264"/>
      <c r="S142" s="265"/>
      <c r="T142" s="264"/>
      <c r="U142" s="265"/>
      <c r="V142" s="264"/>
      <c r="W142" s="265"/>
      <c r="X142" s="264"/>
      <c r="Y142" s="265"/>
      <c r="Z142" s="265"/>
      <c r="AA142" s="264"/>
      <c r="AB142" s="265"/>
      <c r="AC142" s="264"/>
      <c r="AD142" s="264"/>
      <c r="AE142" s="265"/>
      <c r="AF142" s="264"/>
      <c r="AG142" s="265"/>
      <c r="AH142" s="264"/>
      <c r="AI142" s="265"/>
      <c r="AJ142" s="264"/>
      <c r="AK142" s="265"/>
      <c r="AL142" s="264"/>
      <c r="AM142" s="265"/>
      <c r="AN142" s="264"/>
      <c r="AO142" s="265"/>
      <c r="AP142" s="264"/>
      <c r="AQ142" s="265"/>
      <c r="AR142" s="264"/>
      <c r="AS142" s="265"/>
      <c r="AT142" s="265"/>
      <c r="AU142" s="264"/>
      <c r="AV142" s="265"/>
      <c r="AW142" s="264"/>
      <c r="AX142" s="265"/>
      <c r="AY142" s="264"/>
      <c r="AZ142" s="265"/>
      <c r="BA142" s="264"/>
      <c r="BB142" s="265"/>
      <c r="BC142" s="264"/>
      <c r="BD142" s="265"/>
      <c r="BE142" s="264"/>
      <c r="BF142" s="265"/>
      <c r="BG142" s="264"/>
      <c r="BH142" s="265"/>
      <c r="BI142" s="264">
        <f t="shared" si="14"/>
        <v>0</v>
      </c>
      <c r="BJ142" s="268"/>
      <c r="BK142" s="269"/>
      <c r="BL142" s="269"/>
      <c r="BM142" s="270"/>
    </row>
    <row r="143" spans="1:65" s="282" customFormat="1" ht="18" x14ac:dyDescent="0.25">
      <c r="A143" s="246" t="s">
        <v>911</v>
      </c>
      <c r="B143" s="283" t="s">
        <v>1583</v>
      </c>
      <c r="C143" s="268"/>
      <c r="D143" s="264">
        <f>SUM(GenFundExp2!I450:I454)</f>
        <v>0</v>
      </c>
      <c r="E143" s="265"/>
      <c r="F143" s="264">
        <f>SUM(CharterFundExp2!I450:I454)</f>
        <v>0</v>
      </c>
      <c r="G143" s="265"/>
      <c r="H143" s="264"/>
      <c r="I143" s="265"/>
      <c r="J143" s="264"/>
      <c r="K143" s="265"/>
      <c r="L143" s="281"/>
      <c r="M143" s="265"/>
      <c r="N143" s="264"/>
      <c r="O143" s="265"/>
      <c r="P143" s="264"/>
      <c r="Q143" s="265"/>
      <c r="R143" s="264"/>
      <c r="S143" s="265"/>
      <c r="T143" s="264"/>
      <c r="U143" s="265"/>
      <c r="V143" s="264"/>
      <c r="W143" s="265"/>
      <c r="X143" s="264"/>
      <c r="Y143" s="265"/>
      <c r="Z143" s="265"/>
      <c r="AA143" s="264"/>
      <c r="AB143" s="265"/>
      <c r="AC143" s="264"/>
      <c r="AD143" s="264"/>
      <c r="AE143" s="265"/>
      <c r="AF143" s="264"/>
      <c r="AG143" s="265"/>
      <c r="AH143" s="264"/>
      <c r="AI143" s="265"/>
      <c r="AJ143" s="264"/>
      <c r="AK143" s="265"/>
      <c r="AL143" s="264"/>
      <c r="AM143" s="265"/>
      <c r="AN143" s="264"/>
      <c r="AO143" s="265"/>
      <c r="AP143" s="264"/>
      <c r="AQ143" s="265"/>
      <c r="AR143" s="264"/>
      <c r="AS143" s="265"/>
      <c r="AT143" s="265"/>
      <c r="AU143" s="264"/>
      <c r="AV143" s="265"/>
      <c r="AW143" s="264"/>
      <c r="AX143" s="265"/>
      <c r="AY143" s="264"/>
      <c r="AZ143" s="265"/>
      <c r="BA143" s="264"/>
      <c r="BB143" s="265"/>
      <c r="BC143" s="264"/>
      <c r="BD143" s="265"/>
      <c r="BE143" s="264"/>
      <c r="BF143" s="265"/>
      <c r="BG143" s="264"/>
      <c r="BH143" s="265"/>
      <c r="BI143" s="264">
        <f t="shared" si="14"/>
        <v>0</v>
      </c>
      <c r="BJ143" s="268"/>
      <c r="BK143" s="269"/>
      <c r="BL143" s="269"/>
      <c r="BM143" s="270"/>
    </row>
    <row r="144" spans="1:65" s="282" customFormat="1" ht="18.75" thickBot="1" x14ac:dyDescent="0.3">
      <c r="A144" s="246" t="s">
        <v>900</v>
      </c>
      <c r="B144" s="283" t="s">
        <v>901</v>
      </c>
      <c r="C144" s="268"/>
      <c r="D144" s="264">
        <f>SUM(GenFundExp2!I455:I460)</f>
        <v>0</v>
      </c>
      <c r="E144" s="265"/>
      <c r="F144" s="264">
        <f>SUM(CharterFundExp2!I455:I460)</f>
        <v>0</v>
      </c>
      <c r="G144" s="265"/>
      <c r="H144" s="264"/>
      <c r="I144" s="265"/>
      <c r="J144" s="264"/>
      <c r="K144" s="265"/>
      <c r="L144" s="281"/>
      <c r="M144" s="265"/>
      <c r="N144" s="264"/>
      <c r="O144" s="265"/>
      <c r="P144" s="264"/>
      <c r="Q144" s="265"/>
      <c r="R144" s="264"/>
      <c r="S144" s="265"/>
      <c r="T144" s="264"/>
      <c r="U144" s="265"/>
      <c r="V144" s="264"/>
      <c r="W144" s="265"/>
      <c r="X144" s="264"/>
      <c r="Y144" s="265"/>
      <c r="Z144" s="265"/>
      <c r="AA144" s="264"/>
      <c r="AB144" s="265"/>
      <c r="AC144" s="264"/>
      <c r="AD144" s="264"/>
      <c r="AE144" s="265"/>
      <c r="AF144" s="264"/>
      <c r="AG144" s="265"/>
      <c r="AH144" s="264"/>
      <c r="AI144" s="265"/>
      <c r="AJ144" s="264"/>
      <c r="AK144" s="265"/>
      <c r="AL144" s="264"/>
      <c r="AM144" s="265"/>
      <c r="AN144" s="264"/>
      <c r="AO144" s="265"/>
      <c r="AP144" s="264"/>
      <c r="AQ144" s="265"/>
      <c r="AR144" s="264"/>
      <c r="AS144" s="265"/>
      <c r="AT144" s="265"/>
      <c r="AU144" s="264"/>
      <c r="AV144" s="265"/>
      <c r="AW144" s="264"/>
      <c r="AX144" s="265"/>
      <c r="AY144" s="264"/>
      <c r="AZ144" s="265"/>
      <c r="BA144" s="264"/>
      <c r="BB144" s="265"/>
      <c r="BC144" s="264"/>
      <c r="BD144" s="265"/>
      <c r="BE144" s="264"/>
      <c r="BF144" s="265"/>
      <c r="BG144" s="264"/>
      <c r="BH144" s="265"/>
      <c r="BI144" s="264">
        <f t="shared" si="14"/>
        <v>0</v>
      </c>
      <c r="BJ144" s="268"/>
      <c r="BK144" s="269"/>
      <c r="BL144" s="269"/>
      <c r="BM144" s="270"/>
    </row>
    <row r="145" spans="1:65" s="282" customFormat="1" ht="18.75" thickBot="1" x14ac:dyDescent="0.3">
      <c r="A145" s="271" t="s">
        <v>924</v>
      </c>
      <c r="B145" s="279"/>
      <c r="C145" s="275"/>
      <c r="D145" s="274">
        <f>SUM(D139:D144)</f>
        <v>0</v>
      </c>
      <c r="E145" s="275"/>
      <c r="F145" s="274">
        <f>SUM(F139:F144)</f>
        <v>0</v>
      </c>
      <c r="G145" s="275"/>
      <c r="H145" s="274">
        <f>SUM(H139:H144)</f>
        <v>0</v>
      </c>
      <c r="I145" s="275"/>
      <c r="J145" s="274">
        <f>SUM(J139:J144)</f>
        <v>0</v>
      </c>
      <c r="K145" s="275"/>
      <c r="L145" s="274">
        <f>SUM(L139:L144)</f>
        <v>0</v>
      </c>
      <c r="M145" s="275"/>
      <c r="N145" s="274">
        <f>SUM(N139:N144)</f>
        <v>0</v>
      </c>
      <c r="O145" s="275"/>
      <c r="P145" s="274">
        <f>SUM(P139:P144)</f>
        <v>0</v>
      </c>
      <c r="Q145" s="275"/>
      <c r="R145" s="274">
        <f>SUM(R139:R144)</f>
        <v>0</v>
      </c>
      <c r="S145" s="275"/>
      <c r="T145" s="274">
        <f>SUM(T139:T144)</f>
        <v>0</v>
      </c>
      <c r="U145" s="275"/>
      <c r="V145" s="274">
        <f>SUM(V139:V144)</f>
        <v>0</v>
      </c>
      <c r="W145" s="275"/>
      <c r="X145" s="274">
        <f>SUM(X139:X144)</f>
        <v>0</v>
      </c>
      <c r="Y145" s="275"/>
      <c r="Z145" s="275"/>
      <c r="AA145" s="274">
        <f>SUM(AA139:AA144)</f>
        <v>0</v>
      </c>
      <c r="AB145" s="275"/>
      <c r="AC145" s="274">
        <f>SUM(AC139:AC144)</f>
        <v>0</v>
      </c>
      <c r="AD145" s="274">
        <f>SUM(AD139:AD144)</f>
        <v>0</v>
      </c>
      <c r="AE145" s="275"/>
      <c r="AF145" s="274">
        <f>SUM(AF139:AF144)</f>
        <v>0</v>
      </c>
      <c r="AG145" s="275"/>
      <c r="AH145" s="274">
        <f>SUM(AH139:AH144)</f>
        <v>0</v>
      </c>
      <c r="AI145" s="275"/>
      <c r="AJ145" s="274">
        <f>SUM(AJ139:AJ144)</f>
        <v>0</v>
      </c>
      <c r="AK145" s="275"/>
      <c r="AL145" s="274">
        <f>SUM(AL139:AL144)</f>
        <v>0</v>
      </c>
      <c r="AM145" s="275"/>
      <c r="AN145" s="274">
        <f>SUM(AN139:AN144)</f>
        <v>0</v>
      </c>
      <c r="AO145" s="275"/>
      <c r="AP145" s="274">
        <f>SUM(AP139:AP144)</f>
        <v>0</v>
      </c>
      <c r="AQ145" s="275"/>
      <c r="AR145" s="274">
        <f>SUM(AR139:AR144)</f>
        <v>0</v>
      </c>
      <c r="AS145" s="275"/>
      <c r="AT145" s="275"/>
      <c r="AU145" s="274">
        <f>SUM(AU139:AU144)</f>
        <v>0</v>
      </c>
      <c r="AV145" s="275"/>
      <c r="AW145" s="274">
        <f>SUM(AW139:AW144)</f>
        <v>0</v>
      </c>
      <c r="AX145" s="275"/>
      <c r="AY145" s="274">
        <f>SUM(AY139:AY144)</f>
        <v>0</v>
      </c>
      <c r="AZ145" s="275"/>
      <c r="BA145" s="274">
        <f>SUM(BA139:BA144)</f>
        <v>0</v>
      </c>
      <c r="BB145" s="275"/>
      <c r="BC145" s="274">
        <f>SUM(BC139:BC144)</f>
        <v>0</v>
      </c>
      <c r="BD145" s="275"/>
      <c r="BE145" s="274">
        <f>SUM(BE139:BE144)</f>
        <v>0</v>
      </c>
      <c r="BF145" s="275"/>
      <c r="BG145" s="274">
        <f>SUM(BG139:BG144)</f>
        <v>0</v>
      </c>
      <c r="BH145" s="275"/>
      <c r="BI145" s="274">
        <f t="shared" si="14"/>
        <v>0</v>
      </c>
      <c r="BJ145" s="275"/>
      <c r="BK145" s="276"/>
      <c r="BL145" s="276"/>
      <c r="BM145" s="270"/>
    </row>
    <row r="146" spans="1:65" s="282" customFormat="1" ht="18" x14ac:dyDescent="0.25">
      <c r="A146" s="246"/>
      <c r="B146" s="262"/>
      <c r="C146" s="266"/>
      <c r="D146" s="264"/>
      <c r="E146" s="265"/>
      <c r="F146" s="264"/>
      <c r="G146" s="265"/>
      <c r="H146" s="264"/>
      <c r="I146" s="265"/>
      <c r="J146" s="264"/>
      <c r="K146" s="265"/>
      <c r="L146" s="281"/>
      <c r="M146" s="265"/>
      <c r="N146" s="264"/>
      <c r="O146" s="265"/>
      <c r="P146" s="264"/>
      <c r="Q146" s="265"/>
      <c r="R146" s="264"/>
      <c r="S146" s="265"/>
      <c r="T146" s="264"/>
      <c r="U146" s="265"/>
      <c r="V146" s="264"/>
      <c r="W146" s="265"/>
      <c r="X146" s="264"/>
      <c r="Y146" s="265"/>
      <c r="Z146" s="265"/>
      <c r="AA146" s="264"/>
      <c r="AB146" s="265"/>
      <c r="AC146" s="264"/>
      <c r="AD146" s="264"/>
      <c r="AE146" s="265"/>
      <c r="AF146" s="264"/>
      <c r="AG146" s="265"/>
      <c r="AH146" s="264"/>
      <c r="AI146" s="265"/>
      <c r="AJ146" s="264"/>
      <c r="AK146" s="265"/>
      <c r="AL146" s="264"/>
      <c r="AM146" s="265"/>
      <c r="AN146" s="264"/>
      <c r="AO146" s="265"/>
      <c r="AP146" s="264"/>
      <c r="AQ146" s="265"/>
      <c r="AR146" s="264"/>
      <c r="AS146" s="265"/>
      <c r="AT146" s="265"/>
      <c r="AU146" s="264"/>
      <c r="AV146" s="265"/>
      <c r="AW146" s="264"/>
      <c r="AX146" s="265"/>
      <c r="AY146" s="264"/>
      <c r="AZ146" s="265"/>
      <c r="BA146" s="264"/>
      <c r="BB146" s="265"/>
      <c r="BC146" s="264"/>
      <c r="BD146" s="265"/>
      <c r="BE146" s="264"/>
      <c r="BF146" s="265"/>
      <c r="BG146" s="264"/>
      <c r="BH146" s="265"/>
      <c r="BI146" s="264"/>
      <c r="BJ146" s="266"/>
      <c r="BK146" s="269"/>
      <c r="BL146" s="269"/>
      <c r="BM146" s="270"/>
    </row>
    <row r="147" spans="1:65" s="282" customFormat="1" ht="18" x14ac:dyDescent="0.25">
      <c r="A147" s="246" t="s">
        <v>408</v>
      </c>
      <c r="B147" s="262"/>
      <c r="C147" s="265"/>
      <c r="D147" s="264"/>
      <c r="E147" s="265"/>
      <c r="F147" s="264"/>
      <c r="G147" s="265"/>
      <c r="H147" s="264"/>
      <c r="I147" s="265"/>
      <c r="J147" s="264"/>
      <c r="K147" s="265"/>
      <c r="L147" s="281"/>
      <c r="M147" s="265"/>
      <c r="N147" s="264"/>
      <c r="O147" s="265"/>
      <c r="P147" s="264"/>
      <c r="Q147" s="265"/>
      <c r="R147" s="264"/>
      <c r="S147" s="265"/>
      <c r="T147" s="264"/>
      <c r="U147" s="265"/>
      <c r="V147" s="264"/>
      <c r="W147" s="265"/>
      <c r="X147" s="264"/>
      <c r="Y147" s="265"/>
      <c r="Z147" s="265"/>
      <c r="AA147" s="264"/>
      <c r="AB147" s="265"/>
      <c r="AC147" s="264"/>
      <c r="AD147" s="264"/>
      <c r="AE147" s="265"/>
      <c r="AF147" s="264"/>
      <c r="AG147" s="265"/>
      <c r="AH147" s="264"/>
      <c r="AI147" s="265"/>
      <c r="AJ147" s="264"/>
      <c r="AK147" s="265"/>
      <c r="AL147" s="264"/>
      <c r="AM147" s="265"/>
      <c r="AN147" s="264"/>
      <c r="AO147" s="265"/>
      <c r="AP147" s="264"/>
      <c r="AQ147" s="265"/>
      <c r="AR147" s="264"/>
      <c r="AS147" s="265"/>
      <c r="AT147" s="265"/>
      <c r="AU147" s="264"/>
      <c r="AV147" s="265"/>
      <c r="AW147" s="264"/>
      <c r="AX147" s="265"/>
      <c r="AY147" s="264"/>
      <c r="AZ147" s="265"/>
      <c r="BA147" s="264"/>
      <c r="BB147" s="265"/>
      <c r="BC147" s="264"/>
      <c r="BD147" s="265"/>
      <c r="BE147" s="264"/>
      <c r="BF147" s="265"/>
      <c r="BG147" s="264"/>
      <c r="BH147" s="265"/>
      <c r="BI147" s="264"/>
      <c r="BJ147" s="265"/>
      <c r="BK147" s="269"/>
      <c r="BL147" s="269"/>
      <c r="BM147" s="270"/>
    </row>
    <row r="148" spans="1:65" s="282" customFormat="1" ht="18" x14ac:dyDescent="0.25">
      <c r="A148" s="246" t="s">
        <v>23</v>
      </c>
      <c r="B148" s="283" t="s">
        <v>1577</v>
      </c>
      <c r="C148" s="265"/>
      <c r="D148" s="281">
        <f>SUM(GenFundExp2!I464+GenFundExp2!I465)</f>
        <v>0</v>
      </c>
      <c r="E148" s="265"/>
      <c r="F148" s="281">
        <f>SUM(CharterFundExp2!I464+CharterFundExp2!I465)</f>
        <v>0</v>
      </c>
      <c r="G148" s="265"/>
      <c r="H148" s="264"/>
      <c r="I148" s="265"/>
      <c r="J148" s="264"/>
      <c r="K148" s="265"/>
      <c r="L148" s="281"/>
      <c r="M148" s="265"/>
      <c r="N148" s="264"/>
      <c r="O148" s="265"/>
      <c r="P148" s="264"/>
      <c r="Q148" s="265"/>
      <c r="R148" s="264"/>
      <c r="S148" s="265"/>
      <c r="T148" s="264"/>
      <c r="U148" s="265"/>
      <c r="V148" s="264"/>
      <c r="W148" s="265"/>
      <c r="X148" s="264"/>
      <c r="Y148" s="265"/>
      <c r="Z148" s="265"/>
      <c r="AA148" s="264"/>
      <c r="AB148" s="265"/>
      <c r="AC148" s="264"/>
      <c r="AD148" s="264"/>
      <c r="AE148" s="265"/>
      <c r="AF148" s="264"/>
      <c r="AG148" s="265"/>
      <c r="AH148" s="264"/>
      <c r="AI148" s="265"/>
      <c r="AJ148" s="264"/>
      <c r="AK148" s="265"/>
      <c r="AL148" s="264"/>
      <c r="AM148" s="265"/>
      <c r="AN148" s="264"/>
      <c r="AO148" s="265"/>
      <c r="AP148" s="264"/>
      <c r="AQ148" s="265"/>
      <c r="AR148" s="264"/>
      <c r="AS148" s="265"/>
      <c r="AT148" s="265"/>
      <c r="AU148" s="264"/>
      <c r="AV148" s="265"/>
      <c r="AW148" s="264"/>
      <c r="AX148" s="265"/>
      <c r="AY148" s="264"/>
      <c r="AZ148" s="265"/>
      <c r="BA148" s="264"/>
      <c r="BB148" s="265"/>
      <c r="BC148" s="264"/>
      <c r="BD148" s="265"/>
      <c r="BE148" s="264"/>
      <c r="BF148" s="265"/>
      <c r="BG148" s="264"/>
      <c r="BH148" s="265"/>
      <c r="BI148" s="264">
        <f t="shared" ref="BI148:BI154" si="15">D148+F148+H148+J148+X148+N148+P148+R148+L148+T148+V148+AA148+AC148+AD148+AF148+AH148+AJ148+AL148+AN148+AP148+AR148+AU148+AW148+AY148+BA148+BC148+BE148+BG148</f>
        <v>0</v>
      </c>
      <c r="BJ148" s="265"/>
      <c r="BK148" s="269"/>
      <c r="BL148" s="269"/>
      <c r="BM148" s="270"/>
    </row>
    <row r="149" spans="1:65" s="282" customFormat="1" ht="18" x14ac:dyDescent="0.25">
      <c r="A149" s="246" t="s">
        <v>24</v>
      </c>
      <c r="B149" s="283" t="s">
        <v>1578</v>
      </c>
      <c r="C149" s="265"/>
      <c r="D149" s="281">
        <f>SUM(GenFundExp2!I466+GenFundExp2!I467)</f>
        <v>0</v>
      </c>
      <c r="E149" s="265"/>
      <c r="F149" s="281">
        <f>SUM(CharterFundExp2!I466+CharterFundExp2!I467)</f>
        <v>0</v>
      </c>
      <c r="G149" s="265"/>
      <c r="H149" s="264"/>
      <c r="I149" s="265"/>
      <c r="J149" s="264"/>
      <c r="K149" s="265"/>
      <c r="L149" s="281"/>
      <c r="M149" s="265"/>
      <c r="N149" s="264"/>
      <c r="O149" s="265"/>
      <c r="P149" s="264"/>
      <c r="Q149" s="265"/>
      <c r="R149" s="264"/>
      <c r="S149" s="265"/>
      <c r="T149" s="264"/>
      <c r="U149" s="265"/>
      <c r="V149" s="264"/>
      <c r="W149" s="265"/>
      <c r="X149" s="264"/>
      <c r="Y149" s="265"/>
      <c r="Z149" s="265"/>
      <c r="AA149" s="264"/>
      <c r="AB149" s="265"/>
      <c r="AC149" s="264"/>
      <c r="AD149" s="264"/>
      <c r="AE149" s="265"/>
      <c r="AF149" s="264"/>
      <c r="AG149" s="265"/>
      <c r="AH149" s="264"/>
      <c r="AI149" s="265"/>
      <c r="AJ149" s="264"/>
      <c r="AK149" s="265"/>
      <c r="AL149" s="264"/>
      <c r="AM149" s="265"/>
      <c r="AN149" s="264"/>
      <c r="AO149" s="265"/>
      <c r="AP149" s="264"/>
      <c r="AQ149" s="265"/>
      <c r="AR149" s="264"/>
      <c r="AS149" s="265"/>
      <c r="AT149" s="265"/>
      <c r="AU149" s="264"/>
      <c r="AV149" s="265"/>
      <c r="AW149" s="264"/>
      <c r="AX149" s="265"/>
      <c r="AY149" s="264"/>
      <c r="AZ149" s="265"/>
      <c r="BA149" s="264"/>
      <c r="BB149" s="265"/>
      <c r="BC149" s="264"/>
      <c r="BD149" s="265"/>
      <c r="BE149" s="264"/>
      <c r="BF149" s="265"/>
      <c r="BG149" s="264"/>
      <c r="BH149" s="265"/>
      <c r="BI149" s="264">
        <f t="shared" si="15"/>
        <v>0</v>
      </c>
      <c r="BJ149" s="265"/>
      <c r="BK149" s="269"/>
      <c r="BL149" s="269"/>
      <c r="BM149" s="270"/>
    </row>
    <row r="150" spans="1:65" s="282" customFormat="1" ht="36" x14ac:dyDescent="0.25">
      <c r="A150" s="246" t="s">
        <v>25</v>
      </c>
      <c r="B150" s="283" t="s">
        <v>773</v>
      </c>
      <c r="C150" s="265"/>
      <c r="D150" s="264">
        <f>SUM(GenFundExp2!I468:I479)</f>
        <v>0</v>
      </c>
      <c r="E150" s="265"/>
      <c r="F150" s="264">
        <f>SUM(CharterFundExp2!I468:I479)</f>
        <v>0</v>
      </c>
      <c r="G150" s="265"/>
      <c r="H150" s="264"/>
      <c r="I150" s="265"/>
      <c r="J150" s="264"/>
      <c r="K150" s="265"/>
      <c r="L150" s="281"/>
      <c r="M150" s="265"/>
      <c r="N150" s="264"/>
      <c r="O150" s="265"/>
      <c r="P150" s="264"/>
      <c r="Q150" s="265"/>
      <c r="R150" s="264"/>
      <c r="S150" s="265"/>
      <c r="T150" s="264"/>
      <c r="U150" s="265"/>
      <c r="V150" s="264"/>
      <c r="W150" s="265"/>
      <c r="X150" s="264"/>
      <c r="Y150" s="265"/>
      <c r="Z150" s="265"/>
      <c r="AA150" s="264"/>
      <c r="AB150" s="265"/>
      <c r="AC150" s="264"/>
      <c r="AD150" s="264"/>
      <c r="AE150" s="265"/>
      <c r="AF150" s="264"/>
      <c r="AG150" s="265"/>
      <c r="AH150" s="264"/>
      <c r="AI150" s="265"/>
      <c r="AJ150" s="264"/>
      <c r="AK150" s="265"/>
      <c r="AL150" s="264"/>
      <c r="AM150" s="265"/>
      <c r="AN150" s="264"/>
      <c r="AO150" s="265"/>
      <c r="AP150" s="264"/>
      <c r="AQ150" s="265"/>
      <c r="AR150" s="264"/>
      <c r="AS150" s="265"/>
      <c r="AT150" s="265"/>
      <c r="AU150" s="264"/>
      <c r="AV150" s="265"/>
      <c r="AW150" s="264"/>
      <c r="AX150" s="265"/>
      <c r="AY150" s="264"/>
      <c r="AZ150" s="265"/>
      <c r="BA150" s="264"/>
      <c r="BB150" s="265"/>
      <c r="BC150" s="264"/>
      <c r="BD150" s="265"/>
      <c r="BE150" s="264"/>
      <c r="BF150" s="265"/>
      <c r="BG150" s="264"/>
      <c r="BH150" s="265"/>
      <c r="BI150" s="264">
        <f t="shared" si="15"/>
        <v>0</v>
      </c>
      <c r="BJ150" s="265"/>
      <c r="BK150" s="269"/>
      <c r="BL150" s="269"/>
      <c r="BM150" s="270"/>
    </row>
    <row r="151" spans="1:65" s="282" customFormat="1" ht="18" x14ac:dyDescent="0.25">
      <c r="A151" s="246" t="s">
        <v>898</v>
      </c>
      <c r="B151" s="283" t="s">
        <v>1582</v>
      </c>
      <c r="C151" s="265"/>
      <c r="D151" s="264">
        <f>SUM(GenFundExp2!I480:I481)</f>
        <v>0</v>
      </c>
      <c r="E151" s="265"/>
      <c r="F151" s="264">
        <f>SUM(CharterFundExp2!I480:I481)</f>
        <v>0</v>
      </c>
      <c r="G151" s="265"/>
      <c r="H151" s="264"/>
      <c r="I151" s="265"/>
      <c r="J151" s="264"/>
      <c r="K151" s="265"/>
      <c r="L151" s="281"/>
      <c r="M151" s="265"/>
      <c r="N151" s="264"/>
      <c r="O151" s="265"/>
      <c r="P151" s="264"/>
      <c r="Q151" s="265"/>
      <c r="R151" s="264"/>
      <c r="S151" s="265"/>
      <c r="T151" s="264"/>
      <c r="U151" s="265"/>
      <c r="V151" s="264"/>
      <c r="W151" s="265"/>
      <c r="X151" s="264"/>
      <c r="Y151" s="265"/>
      <c r="Z151" s="265"/>
      <c r="AA151" s="264"/>
      <c r="AB151" s="265"/>
      <c r="AC151" s="264"/>
      <c r="AD151" s="264"/>
      <c r="AE151" s="265"/>
      <c r="AF151" s="264"/>
      <c r="AG151" s="265"/>
      <c r="AH151" s="264"/>
      <c r="AI151" s="265"/>
      <c r="AJ151" s="264"/>
      <c r="AK151" s="265"/>
      <c r="AL151" s="264"/>
      <c r="AM151" s="265"/>
      <c r="AN151" s="264"/>
      <c r="AO151" s="265"/>
      <c r="AP151" s="264"/>
      <c r="AQ151" s="265"/>
      <c r="AR151" s="264"/>
      <c r="AS151" s="265"/>
      <c r="AT151" s="265"/>
      <c r="AU151" s="264"/>
      <c r="AV151" s="265"/>
      <c r="AW151" s="264"/>
      <c r="AX151" s="265"/>
      <c r="AY151" s="264"/>
      <c r="AZ151" s="265"/>
      <c r="BA151" s="264"/>
      <c r="BB151" s="265"/>
      <c r="BC151" s="264"/>
      <c r="BD151" s="265"/>
      <c r="BE151" s="264"/>
      <c r="BF151" s="265"/>
      <c r="BG151" s="264"/>
      <c r="BH151" s="265"/>
      <c r="BI151" s="264">
        <f t="shared" si="15"/>
        <v>0</v>
      </c>
      <c r="BJ151" s="265"/>
      <c r="BK151" s="269"/>
      <c r="BL151" s="269"/>
      <c r="BM151" s="270"/>
    </row>
    <row r="152" spans="1:65" s="282" customFormat="1" ht="18" x14ac:dyDescent="0.25">
      <c r="A152" s="246" t="s">
        <v>911</v>
      </c>
      <c r="B152" s="283" t="s">
        <v>1583</v>
      </c>
      <c r="C152" s="265"/>
      <c r="D152" s="264">
        <f>SUM(GenFundExp2!I482:I485)</f>
        <v>0</v>
      </c>
      <c r="E152" s="265"/>
      <c r="F152" s="264">
        <f>SUM(CharterFundExp2!I482:I485)</f>
        <v>0</v>
      </c>
      <c r="G152" s="265"/>
      <c r="H152" s="264"/>
      <c r="I152" s="265"/>
      <c r="J152" s="264"/>
      <c r="K152" s="265"/>
      <c r="L152" s="281"/>
      <c r="M152" s="265"/>
      <c r="N152" s="264"/>
      <c r="O152" s="265"/>
      <c r="P152" s="264"/>
      <c r="Q152" s="265"/>
      <c r="R152" s="264"/>
      <c r="S152" s="265"/>
      <c r="T152" s="264"/>
      <c r="U152" s="265"/>
      <c r="V152" s="264"/>
      <c r="W152" s="265"/>
      <c r="X152" s="264"/>
      <c r="Y152" s="265"/>
      <c r="Z152" s="265"/>
      <c r="AA152" s="264"/>
      <c r="AB152" s="265"/>
      <c r="AC152" s="264"/>
      <c r="AD152" s="264"/>
      <c r="AE152" s="265"/>
      <c r="AF152" s="264"/>
      <c r="AG152" s="265"/>
      <c r="AH152" s="264"/>
      <c r="AI152" s="265"/>
      <c r="AJ152" s="264"/>
      <c r="AK152" s="265"/>
      <c r="AL152" s="264"/>
      <c r="AM152" s="265"/>
      <c r="AN152" s="264"/>
      <c r="AO152" s="265"/>
      <c r="AP152" s="264"/>
      <c r="AQ152" s="265"/>
      <c r="AR152" s="264"/>
      <c r="AS152" s="265"/>
      <c r="AT152" s="265"/>
      <c r="AU152" s="264"/>
      <c r="AV152" s="265"/>
      <c r="AW152" s="264"/>
      <c r="AX152" s="265"/>
      <c r="AY152" s="264"/>
      <c r="AZ152" s="265"/>
      <c r="BA152" s="264"/>
      <c r="BB152" s="265"/>
      <c r="BC152" s="264"/>
      <c r="BD152" s="265"/>
      <c r="BE152" s="264"/>
      <c r="BF152" s="265"/>
      <c r="BG152" s="264"/>
      <c r="BH152" s="265"/>
      <c r="BI152" s="264">
        <f t="shared" si="15"/>
        <v>0</v>
      </c>
      <c r="BJ152" s="265"/>
      <c r="BK152" s="269"/>
      <c r="BL152" s="269"/>
      <c r="BM152" s="270"/>
    </row>
    <row r="153" spans="1:65" s="282" customFormat="1" ht="18.75" thickBot="1" x14ac:dyDescent="0.3">
      <c r="A153" s="246" t="s">
        <v>900</v>
      </c>
      <c r="B153" s="283" t="s">
        <v>901</v>
      </c>
      <c r="C153" s="265"/>
      <c r="D153" s="264">
        <f>SUM(GenFundExp2!I486:I491)</f>
        <v>0</v>
      </c>
      <c r="E153" s="265"/>
      <c r="F153" s="264">
        <f>SUM(CharterFundExp2!I486:I491)</f>
        <v>0</v>
      </c>
      <c r="G153" s="265"/>
      <c r="H153" s="264"/>
      <c r="I153" s="265"/>
      <c r="J153" s="264"/>
      <c r="K153" s="265"/>
      <c r="L153" s="281"/>
      <c r="M153" s="265"/>
      <c r="N153" s="264"/>
      <c r="O153" s="265"/>
      <c r="P153" s="264"/>
      <c r="Q153" s="265"/>
      <c r="R153" s="264"/>
      <c r="S153" s="265"/>
      <c r="T153" s="264"/>
      <c r="U153" s="265"/>
      <c r="V153" s="264"/>
      <c r="W153" s="265"/>
      <c r="X153" s="264"/>
      <c r="Y153" s="265"/>
      <c r="Z153" s="265"/>
      <c r="AA153" s="264"/>
      <c r="AB153" s="265"/>
      <c r="AC153" s="264"/>
      <c r="AD153" s="264"/>
      <c r="AE153" s="265"/>
      <c r="AF153" s="264"/>
      <c r="AG153" s="265"/>
      <c r="AH153" s="264"/>
      <c r="AI153" s="265"/>
      <c r="AJ153" s="264"/>
      <c r="AK153" s="265"/>
      <c r="AL153" s="264"/>
      <c r="AM153" s="265"/>
      <c r="AN153" s="264"/>
      <c r="AO153" s="265"/>
      <c r="AP153" s="264"/>
      <c r="AQ153" s="265"/>
      <c r="AR153" s="264"/>
      <c r="AS153" s="265"/>
      <c r="AT153" s="265"/>
      <c r="AU153" s="264"/>
      <c r="AV153" s="265"/>
      <c r="AW153" s="264"/>
      <c r="AX153" s="265"/>
      <c r="AY153" s="264"/>
      <c r="AZ153" s="265"/>
      <c r="BA153" s="264"/>
      <c r="BB153" s="265"/>
      <c r="BC153" s="264"/>
      <c r="BD153" s="265"/>
      <c r="BE153" s="264"/>
      <c r="BF153" s="265"/>
      <c r="BG153" s="264"/>
      <c r="BH153" s="265"/>
      <c r="BI153" s="264">
        <f t="shared" si="15"/>
        <v>0</v>
      </c>
      <c r="BJ153" s="265"/>
      <c r="BK153" s="269"/>
      <c r="BL153" s="269"/>
      <c r="BM153" s="270"/>
    </row>
    <row r="154" spans="1:65" s="282" customFormat="1" ht="18.75" thickBot="1" x14ac:dyDescent="0.3">
      <c r="A154" s="271" t="s">
        <v>544</v>
      </c>
      <c r="B154" s="279"/>
      <c r="C154" s="265"/>
      <c r="D154" s="274">
        <f>SUM(D148:D153)</f>
        <v>0</v>
      </c>
      <c r="E154" s="275"/>
      <c r="F154" s="274">
        <f>SUM(F148:F153)</f>
        <v>0</v>
      </c>
      <c r="G154" s="275"/>
      <c r="H154" s="274">
        <f>SUM(H148:H153)</f>
        <v>0</v>
      </c>
      <c r="I154" s="275"/>
      <c r="J154" s="274">
        <f>SUM(J148:J153)</f>
        <v>0</v>
      </c>
      <c r="K154" s="275"/>
      <c r="L154" s="274">
        <f>SUM(L148:L153)</f>
        <v>0</v>
      </c>
      <c r="M154" s="275"/>
      <c r="N154" s="274">
        <f>SUM(N148:N153)</f>
        <v>0</v>
      </c>
      <c r="O154" s="275"/>
      <c r="P154" s="274">
        <f>SUM(P148:P153)</f>
        <v>0</v>
      </c>
      <c r="Q154" s="275"/>
      <c r="R154" s="274">
        <f>SUM(R148:R153)</f>
        <v>0</v>
      </c>
      <c r="S154" s="275"/>
      <c r="T154" s="274">
        <f>SUM(T148:T153)</f>
        <v>0</v>
      </c>
      <c r="U154" s="275"/>
      <c r="V154" s="274">
        <f>SUM(V148:V153)</f>
        <v>0</v>
      </c>
      <c r="W154" s="275"/>
      <c r="X154" s="274">
        <f>SUM(X148:X153)</f>
        <v>0</v>
      </c>
      <c r="Y154" s="275"/>
      <c r="Z154" s="275"/>
      <c r="AA154" s="274">
        <f>SUM(AA148:AA153)</f>
        <v>0</v>
      </c>
      <c r="AB154" s="275"/>
      <c r="AC154" s="274">
        <f>SUM(AC148:AC153)</f>
        <v>0</v>
      </c>
      <c r="AD154" s="274">
        <f>SUM(AD148:AD153)</f>
        <v>0</v>
      </c>
      <c r="AE154" s="275"/>
      <c r="AF154" s="274">
        <f>SUM(AF148:AF153)</f>
        <v>0</v>
      </c>
      <c r="AG154" s="275"/>
      <c r="AH154" s="274">
        <f>SUM(AH148:AH153)</f>
        <v>0</v>
      </c>
      <c r="AI154" s="275"/>
      <c r="AJ154" s="274">
        <f>SUM(AJ148:AJ153)</f>
        <v>0</v>
      </c>
      <c r="AK154" s="275"/>
      <c r="AL154" s="274">
        <f>SUM(AL148:AL153)</f>
        <v>0</v>
      </c>
      <c r="AM154" s="275"/>
      <c r="AN154" s="274">
        <f>SUM(AN148:AN153)</f>
        <v>0</v>
      </c>
      <c r="AO154" s="275"/>
      <c r="AP154" s="274">
        <f>SUM(AP148:AP153)</f>
        <v>0</v>
      </c>
      <c r="AQ154" s="275"/>
      <c r="AR154" s="274">
        <f>SUM(AR148:AR153)</f>
        <v>0</v>
      </c>
      <c r="AS154" s="275"/>
      <c r="AT154" s="275"/>
      <c r="AU154" s="274">
        <f>SUM(AU148:AU153)</f>
        <v>0</v>
      </c>
      <c r="AV154" s="275"/>
      <c r="AW154" s="274">
        <f>SUM(AW148:AW153)</f>
        <v>0</v>
      </c>
      <c r="AX154" s="275"/>
      <c r="AY154" s="274">
        <f>SUM(AY148:AY153)</f>
        <v>0</v>
      </c>
      <c r="AZ154" s="275"/>
      <c r="BA154" s="274">
        <f>SUM(BA148:BA153)</f>
        <v>0</v>
      </c>
      <c r="BB154" s="275"/>
      <c r="BC154" s="274">
        <f>SUM(BC148:BC153)</f>
        <v>0</v>
      </c>
      <c r="BD154" s="275"/>
      <c r="BE154" s="274">
        <f>SUM(BE148:BE153)</f>
        <v>0</v>
      </c>
      <c r="BF154" s="275"/>
      <c r="BG154" s="274">
        <f>SUM(BG148:BG153)</f>
        <v>0</v>
      </c>
      <c r="BH154" s="275"/>
      <c r="BI154" s="274">
        <f t="shared" si="15"/>
        <v>0</v>
      </c>
      <c r="BJ154" s="265"/>
      <c r="BK154" s="269"/>
      <c r="BL154" s="269"/>
      <c r="BM154" s="270"/>
    </row>
    <row r="155" spans="1:65" s="282" customFormat="1" ht="18.75" thickBot="1" x14ac:dyDescent="0.3">
      <c r="A155" s="246"/>
      <c r="B155" s="262"/>
      <c r="C155" s="265"/>
      <c r="D155" s="264"/>
      <c r="E155" s="265"/>
      <c r="F155" s="264"/>
      <c r="G155" s="265"/>
      <c r="H155" s="264"/>
      <c r="I155" s="265"/>
      <c r="J155" s="264"/>
      <c r="K155" s="265"/>
      <c r="L155" s="281"/>
      <c r="M155" s="265"/>
      <c r="N155" s="264"/>
      <c r="O155" s="265"/>
      <c r="P155" s="264"/>
      <c r="Q155" s="265"/>
      <c r="R155" s="264"/>
      <c r="S155" s="265"/>
      <c r="T155" s="264"/>
      <c r="U155" s="265"/>
      <c r="V155" s="264"/>
      <c r="W155" s="265"/>
      <c r="X155" s="264"/>
      <c r="Y155" s="265"/>
      <c r="Z155" s="265"/>
      <c r="AA155" s="264"/>
      <c r="AB155" s="265"/>
      <c r="AC155" s="264"/>
      <c r="AD155" s="264"/>
      <c r="AE155" s="265"/>
      <c r="AF155" s="264"/>
      <c r="AG155" s="265"/>
      <c r="AH155" s="264"/>
      <c r="AI155" s="265"/>
      <c r="AJ155" s="264"/>
      <c r="AK155" s="265"/>
      <c r="AL155" s="264"/>
      <c r="AM155" s="265"/>
      <c r="AN155" s="264"/>
      <c r="AO155" s="265"/>
      <c r="AP155" s="264"/>
      <c r="AQ155" s="265"/>
      <c r="AR155" s="264"/>
      <c r="AS155" s="265"/>
      <c r="AT155" s="265"/>
      <c r="AU155" s="264"/>
      <c r="AV155" s="265"/>
      <c r="AW155" s="264"/>
      <c r="AX155" s="265"/>
      <c r="AY155" s="264"/>
      <c r="AZ155" s="265"/>
      <c r="BA155" s="264"/>
      <c r="BB155" s="265"/>
      <c r="BC155" s="264"/>
      <c r="BD155" s="265"/>
      <c r="BE155" s="264"/>
      <c r="BF155" s="265"/>
      <c r="BG155" s="264"/>
      <c r="BH155" s="265"/>
      <c r="BI155" s="264"/>
      <c r="BJ155" s="265"/>
      <c r="BK155" s="269"/>
      <c r="BL155" s="269"/>
      <c r="BM155" s="270"/>
    </row>
    <row r="156" spans="1:65" s="282" customFormat="1" ht="18.75" thickBot="1" x14ac:dyDescent="0.3">
      <c r="A156" s="271" t="s">
        <v>925</v>
      </c>
      <c r="B156" s="279"/>
      <c r="C156" s="275"/>
      <c r="D156" s="274">
        <f>SUM(D145+D136+D128+D119+D110+D101+D92+D84+D75+D66+D57+D48+D154)</f>
        <v>0</v>
      </c>
      <c r="E156" s="275"/>
      <c r="F156" s="274">
        <f>SUM(F145+F136+F128+F119+F110+F101+F92+F84+F75+F66+F57+F48+F154)</f>
        <v>0</v>
      </c>
      <c r="G156" s="275"/>
      <c r="H156" s="274">
        <f>SUM(H145+H136+H128+H119+H110+H101+H92+H84+H75+H66+H57+H48+H154)</f>
        <v>0</v>
      </c>
      <c r="I156" s="275"/>
      <c r="J156" s="274">
        <f>SUM(J145+J136+J128+J119+J110+J101+J92+J84+J75+J66+J57+J48+J154)</f>
        <v>0</v>
      </c>
      <c r="K156" s="275"/>
      <c r="L156" s="274">
        <f>SUM(L145+L136+L128+L119+L110+L101+L92+L84+L75+L66+L57+L48+L154)</f>
        <v>0</v>
      </c>
      <c r="M156" s="275"/>
      <c r="N156" s="274">
        <f>SUM(N145+N136+N128+N119+N110+N101+N92+N84+N75+N66+N57+N48+N154)</f>
        <v>0</v>
      </c>
      <c r="O156" s="275"/>
      <c r="P156" s="274">
        <f>SUM(P145+P136+P128+P119+P110+P101+P92+P84+P75+P66+P57+P48+P154)</f>
        <v>0</v>
      </c>
      <c r="Q156" s="275"/>
      <c r="R156" s="274">
        <f>SUM(R145+R136+R128+R119+R110+R101+R92+R84+R75+R66+R57+R48+R154)</f>
        <v>0</v>
      </c>
      <c r="S156" s="275"/>
      <c r="T156" s="274">
        <f>SUM(T145+T136+T128+T119+T110+T101+T92+T84+T75+T66+T57+T48+T154)</f>
        <v>0</v>
      </c>
      <c r="U156" s="275"/>
      <c r="V156" s="274">
        <f>SUM(V145+V136+V128+V119+V110+V101+V92+V84+V75+V66+V57+V48+V154)</f>
        <v>0</v>
      </c>
      <c r="W156" s="275"/>
      <c r="X156" s="274">
        <f>SUM(X145+X136+X128+X119+X110+X101+X92+X84+X75+X66+X57+X48+X154)</f>
        <v>0</v>
      </c>
      <c r="Y156" s="275"/>
      <c r="Z156" s="275"/>
      <c r="AA156" s="274">
        <f>SUM(AA145+AA136+AA128+AA119+AA110+AA101+AA92+AA84+AA75+AA66+AA57+AA48+AA154)</f>
        <v>0</v>
      </c>
      <c r="AB156" s="275"/>
      <c r="AC156" s="274">
        <f>SUM(AC145+AC136+AC128+AC119+AC110+AC101+AC92+AC84+AC75+AC66+AC57+AC48+AC154)</f>
        <v>0</v>
      </c>
      <c r="AD156" s="274">
        <f>SUM(AD145+AD136+AD128+AD119+AD110+AD101+AD92+AD84+AD75+AD66+AD57+AD48+AD154)</f>
        <v>0</v>
      </c>
      <c r="AE156" s="275"/>
      <c r="AF156" s="274">
        <f>SUM(AF145+AF136+AF128+AF119+AF110+AF101+AF92+AF84+AF75+AF66+AF57+AF48+AF154)</f>
        <v>0</v>
      </c>
      <c r="AG156" s="275"/>
      <c r="AH156" s="274">
        <f>SUM(AH145+AH136+AH128+AH119+AH110+AH101+AH92+AH84+AH75+AH66+AH57+AH48+AH154)</f>
        <v>0</v>
      </c>
      <c r="AI156" s="275"/>
      <c r="AJ156" s="274">
        <f>SUM(AJ145+AJ136+AJ128+AJ119+AJ110+AJ101+AJ92+AJ84+AJ75+AJ66+AJ57+AJ48+AJ154)</f>
        <v>0</v>
      </c>
      <c r="AK156" s="275"/>
      <c r="AL156" s="274">
        <f>SUM(AL145+AL136+AL128+AL119+AL110+AL101+AL92+AL84+AL75+AL66+AL57+AL48+AL154)</f>
        <v>0</v>
      </c>
      <c r="AM156" s="275"/>
      <c r="AN156" s="274">
        <f>SUM(AN145+AN136+AN128+AN119+AN110+AN101+AN92+AN84+AN75+AN66+AN57+AN48+AN154)</f>
        <v>0</v>
      </c>
      <c r="AO156" s="275"/>
      <c r="AP156" s="274">
        <f>SUM(AP145+AP136+AP128+AP119+AP110+AP101+AP92+AP84+AP75+AP66+AP57+AP48+AP154)</f>
        <v>0</v>
      </c>
      <c r="AQ156" s="275"/>
      <c r="AR156" s="274">
        <f>SUM(AR145+AR136+AR128+AR119+AR110+AR101+AR92+AR84+AR75+AR66+AR57+AR48+AR154)</f>
        <v>0</v>
      </c>
      <c r="AS156" s="275"/>
      <c r="AT156" s="275"/>
      <c r="AU156" s="274">
        <f>SUM(AU145+AU136+AU128+AU119+AU110+AU101+AU92+AU84+AU75+AU66+AU57+AU48+AU154)</f>
        <v>0</v>
      </c>
      <c r="AV156" s="275"/>
      <c r="AW156" s="274">
        <f>SUM(AW145+AW136+AW128+AW119+AW110+AW101+AW92+AW84+AW75+AW66+AW57+AW48+AW154)</f>
        <v>0</v>
      </c>
      <c r="AX156" s="275"/>
      <c r="AY156" s="274">
        <f>SUM(AY145+AY136+AY128+AY119+AY110+AY101+AY92+AY84+AY75+AY66+AY57+AY48+AY154)</f>
        <v>0</v>
      </c>
      <c r="AZ156" s="275"/>
      <c r="BA156" s="274">
        <f>SUM(BA145+BA136+BA128+BA119+BA110+BA101+BA92+BA84+BA75+BA66+BA57+BA48+BA154)</f>
        <v>0</v>
      </c>
      <c r="BB156" s="275"/>
      <c r="BC156" s="274">
        <f>SUM(BC145+BC136+BC128+BC119+BC110+BC101+BC92+BC84+BC75+BC66+BC57+BC48+BC154)</f>
        <v>0</v>
      </c>
      <c r="BD156" s="275"/>
      <c r="BE156" s="274">
        <f>SUM(BE145+BE136+BE128+BE119+BE110+BE101+BE92+BE84+BE75+BE66+BE57+BE48+BE154)</f>
        <v>0</v>
      </c>
      <c r="BF156" s="275"/>
      <c r="BG156" s="274">
        <f>SUM(BG145+BG136+BG128+BG119+BG110+BG101+BG92+BG84+BG75+BG66+BG57+BG48+BG154)</f>
        <v>0</v>
      </c>
      <c r="BH156" s="275"/>
      <c r="BI156" s="274">
        <f>D156+F156+H156+J156+X156+N156+P156+R156+L156+T156+V156+AA156+AC156+AD156+AF156+AH156+AJ156+AL156+AN156+AP156+AR156+AU156+AW156+AY156+BA156+BC156+BE156+BG156</f>
        <v>0</v>
      </c>
      <c r="BJ156" s="275"/>
      <c r="BK156" s="276"/>
      <c r="BL156" s="276"/>
      <c r="BM156" s="270"/>
    </row>
    <row r="157" spans="1:65" s="282" customFormat="1" ht="18" x14ac:dyDescent="0.25">
      <c r="A157" s="246"/>
      <c r="B157" s="262"/>
      <c r="C157" s="268"/>
      <c r="D157" s="264"/>
      <c r="E157" s="265"/>
      <c r="F157" s="264"/>
      <c r="G157" s="265"/>
      <c r="H157" s="264"/>
      <c r="I157" s="265"/>
      <c r="J157" s="264"/>
      <c r="K157" s="265"/>
      <c r="L157" s="281"/>
      <c r="M157" s="265"/>
      <c r="N157" s="264"/>
      <c r="O157" s="265"/>
      <c r="P157" s="264"/>
      <c r="Q157" s="265"/>
      <c r="R157" s="264"/>
      <c r="S157" s="265"/>
      <c r="T157" s="264"/>
      <c r="U157" s="265"/>
      <c r="V157" s="264"/>
      <c r="W157" s="265"/>
      <c r="X157" s="264"/>
      <c r="Y157" s="265"/>
      <c r="Z157" s="265"/>
      <c r="AA157" s="264"/>
      <c r="AB157" s="265"/>
      <c r="AC157" s="264"/>
      <c r="AD157" s="264"/>
      <c r="AE157" s="265"/>
      <c r="AF157" s="264"/>
      <c r="AG157" s="265"/>
      <c r="AH157" s="264"/>
      <c r="AI157" s="265"/>
      <c r="AJ157" s="264"/>
      <c r="AK157" s="265"/>
      <c r="AL157" s="264"/>
      <c r="AM157" s="265"/>
      <c r="AN157" s="264"/>
      <c r="AO157" s="265"/>
      <c r="AP157" s="264"/>
      <c r="AQ157" s="265"/>
      <c r="AR157" s="264"/>
      <c r="AS157" s="265"/>
      <c r="AT157" s="265"/>
      <c r="AU157" s="264"/>
      <c r="AV157" s="265"/>
      <c r="AW157" s="264"/>
      <c r="AX157" s="265"/>
      <c r="AY157" s="264"/>
      <c r="AZ157" s="265"/>
      <c r="BA157" s="264"/>
      <c r="BB157" s="265"/>
      <c r="BC157" s="264"/>
      <c r="BD157" s="265"/>
      <c r="BE157" s="264"/>
      <c r="BF157" s="265"/>
      <c r="BG157" s="264"/>
      <c r="BH157" s="265"/>
      <c r="BI157" s="270"/>
      <c r="BJ157" s="268"/>
      <c r="BK157" s="269"/>
      <c r="BL157" s="269"/>
      <c r="BM157" s="270"/>
    </row>
    <row r="158" spans="1:65" s="282" customFormat="1" ht="18" x14ac:dyDescent="0.25">
      <c r="A158" s="246" t="s">
        <v>926</v>
      </c>
      <c r="B158" s="262"/>
      <c r="C158" s="268"/>
      <c r="D158" s="264"/>
      <c r="E158" s="265"/>
      <c r="F158" s="264"/>
      <c r="G158" s="265"/>
      <c r="H158" s="264"/>
      <c r="I158" s="265"/>
      <c r="J158" s="264"/>
      <c r="K158" s="265"/>
      <c r="L158" s="281"/>
      <c r="M158" s="265"/>
      <c r="N158" s="264"/>
      <c r="O158" s="265"/>
      <c r="P158" s="264"/>
      <c r="Q158" s="265"/>
      <c r="R158" s="264"/>
      <c r="S158" s="265"/>
      <c r="T158" s="264"/>
      <c r="U158" s="265"/>
      <c r="V158" s="264"/>
      <c r="W158" s="265"/>
      <c r="X158" s="264"/>
      <c r="Y158" s="265"/>
      <c r="Z158" s="265"/>
      <c r="AA158" s="264"/>
      <c r="AB158" s="265"/>
      <c r="AC158" s="264"/>
      <c r="AD158" s="264"/>
      <c r="AE158" s="265"/>
      <c r="AF158" s="264"/>
      <c r="AG158" s="265"/>
      <c r="AH158" s="264"/>
      <c r="AI158" s="265"/>
      <c r="AJ158" s="264"/>
      <c r="AK158" s="265"/>
      <c r="AL158" s="264"/>
      <c r="AM158" s="265"/>
      <c r="AN158" s="264"/>
      <c r="AO158" s="265"/>
      <c r="AP158" s="264"/>
      <c r="AQ158" s="265"/>
      <c r="AR158" s="264"/>
      <c r="AS158" s="265"/>
      <c r="AT158" s="265"/>
      <c r="AU158" s="264"/>
      <c r="AV158" s="265"/>
      <c r="AW158" s="264"/>
      <c r="AX158" s="265"/>
      <c r="AY158" s="264"/>
      <c r="AZ158" s="265"/>
      <c r="BA158" s="264"/>
      <c r="BB158" s="265"/>
      <c r="BC158" s="264"/>
      <c r="BD158" s="265"/>
      <c r="BE158" s="264"/>
      <c r="BF158" s="265"/>
      <c r="BG158" s="264"/>
      <c r="BH158" s="265"/>
      <c r="BI158" s="270"/>
      <c r="BJ158" s="268"/>
      <c r="BK158" s="269"/>
      <c r="BL158" s="269"/>
      <c r="BM158" s="270"/>
    </row>
    <row r="159" spans="1:65" s="282" customFormat="1" ht="18" x14ac:dyDescent="0.25">
      <c r="A159" s="246" t="s">
        <v>23</v>
      </c>
      <c r="B159" s="283" t="s">
        <v>1577</v>
      </c>
      <c r="C159" s="268"/>
      <c r="D159" s="281">
        <f>SUM(GenFundExp2!I495+GenFundExp2!I496)</f>
        <v>0</v>
      </c>
      <c r="E159" s="265"/>
      <c r="F159" s="281">
        <f>SUM(CharterFundExp2!I495+CharterFundExp2!I496)</f>
        <v>0</v>
      </c>
      <c r="G159" s="265"/>
      <c r="H159" s="264"/>
      <c r="I159" s="265"/>
      <c r="J159" s="264"/>
      <c r="K159" s="265"/>
      <c r="L159" s="281"/>
      <c r="M159" s="265"/>
      <c r="N159" s="264"/>
      <c r="O159" s="265"/>
      <c r="P159" s="264"/>
      <c r="Q159" s="265"/>
      <c r="R159" s="264"/>
      <c r="S159" s="265"/>
      <c r="T159" s="264"/>
      <c r="U159" s="265"/>
      <c r="V159" s="264"/>
      <c r="W159" s="265"/>
      <c r="X159" s="264"/>
      <c r="Y159" s="265"/>
      <c r="Z159" s="265"/>
      <c r="AA159" s="264"/>
      <c r="AB159" s="265"/>
      <c r="AC159" s="264"/>
      <c r="AD159" s="264"/>
      <c r="AE159" s="265"/>
      <c r="AF159" s="264">
        <f>BuildFund!I27</f>
        <v>0</v>
      </c>
      <c r="AG159" s="265"/>
      <c r="AH159" s="264"/>
      <c r="AI159" s="265"/>
      <c r="AJ159" s="264"/>
      <c r="AK159" s="265"/>
      <c r="AL159" s="264"/>
      <c r="AM159" s="265"/>
      <c r="AN159" s="264"/>
      <c r="AO159" s="265"/>
      <c r="AP159" s="264"/>
      <c r="AQ159" s="265"/>
      <c r="AR159" s="264"/>
      <c r="AS159" s="265"/>
      <c r="AT159" s="265"/>
      <c r="AU159" s="264"/>
      <c r="AV159" s="265"/>
      <c r="AW159" s="264"/>
      <c r="AX159" s="265"/>
      <c r="AY159" s="264"/>
      <c r="AZ159" s="265"/>
      <c r="BA159" s="264"/>
      <c r="BB159" s="265"/>
      <c r="BC159" s="264"/>
      <c r="BD159" s="265"/>
      <c r="BE159" s="264"/>
      <c r="BF159" s="265"/>
      <c r="BG159" s="264"/>
      <c r="BH159" s="265"/>
      <c r="BI159" s="264">
        <f t="shared" ref="BI159:BI165" si="16">D159+F159+H159+J159+X159+N159+P159+R159+L159+T159+V159+AA159+AC159+AD159+AF159+AH159+AJ159+AL159+AN159+AP159+AR159+AU159+AW159+AY159+BA159+BC159+BE159+BG159</f>
        <v>0</v>
      </c>
      <c r="BJ159" s="268"/>
      <c r="BK159" s="269"/>
      <c r="BL159" s="269"/>
      <c r="BM159" s="270"/>
    </row>
    <row r="160" spans="1:65" s="282" customFormat="1" ht="18" x14ac:dyDescent="0.25">
      <c r="A160" s="246" t="s">
        <v>24</v>
      </c>
      <c r="B160" s="283" t="s">
        <v>1578</v>
      </c>
      <c r="C160" s="268"/>
      <c r="D160" s="281">
        <f>SUM(GenFundExp2!I497+GenFundExp2!I498)</f>
        <v>0</v>
      </c>
      <c r="E160" s="265"/>
      <c r="F160" s="281">
        <f>SUM(CharterFundExp2!I497+CharterFundExp2!I498)</f>
        <v>0</v>
      </c>
      <c r="G160" s="265"/>
      <c r="H160" s="264"/>
      <c r="I160" s="265"/>
      <c r="J160" s="264"/>
      <c r="K160" s="265"/>
      <c r="L160" s="281"/>
      <c r="M160" s="265"/>
      <c r="N160" s="264"/>
      <c r="O160" s="265"/>
      <c r="P160" s="264"/>
      <c r="Q160" s="265"/>
      <c r="R160" s="264"/>
      <c r="S160" s="265"/>
      <c r="T160" s="264"/>
      <c r="U160" s="265"/>
      <c r="V160" s="264"/>
      <c r="W160" s="265"/>
      <c r="X160" s="264"/>
      <c r="Y160" s="265"/>
      <c r="Z160" s="265"/>
      <c r="AA160" s="264"/>
      <c r="AB160" s="265"/>
      <c r="AC160" s="264"/>
      <c r="AD160" s="264"/>
      <c r="AE160" s="265"/>
      <c r="AF160" s="264"/>
      <c r="AG160" s="265"/>
      <c r="AH160" s="264"/>
      <c r="AI160" s="265"/>
      <c r="AJ160" s="264"/>
      <c r="AK160" s="265"/>
      <c r="AL160" s="264"/>
      <c r="AM160" s="265"/>
      <c r="AN160" s="264"/>
      <c r="AO160" s="265"/>
      <c r="AP160" s="264"/>
      <c r="AQ160" s="265"/>
      <c r="AR160" s="264"/>
      <c r="AS160" s="265"/>
      <c r="AT160" s="265"/>
      <c r="AU160" s="264"/>
      <c r="AV160" s="265"/>
      <c r="AW160" s="264"/>
      <c r="AX160" s="265"/>
      <c r="AY160" s="264"/>
      <c r="AZ160" s="265"/>
      <c r="BA160" s="264"/>
      <c r="BB160" s="265"/>
      <c r="BC160" s="264"/>
      <c r="BD160" s="265"/>
      <c r="BE160" s="264"/>
      <c r="BF160" s="265"/>
      <c r="BG160" s="264"/>
      <c r="BH160" s="265"/>
      <c r="BI160" s="264">
        <f t="shared" si="16"/>
        <v>0</v>
      </c>
      <c r="BJ160" s="268"/>
      <c r="BK160" s="269"/>
      <c r="BL160" s="269"/>
      <c r="BM160" s="270"/>
    </row>
    <row r="161" spans="1:65" s="282" customFormat="1" ht="36" x14ac:dyDescent="0.25">
      <c r="A161" s="246" t="s">
        <v>25</v>
      </c>
      <c r="B161" s="283" t="s">
        <v>773</v>
      </c>
      <c r="C161" s="268"/>
      <c r="D161" s="264">
        <f>SUM(GenFundExp2!I499:I508)</f>
        <v>0</v>
      </c>
      <c r="E161" s="265"/>
      <c r="F161" s="264">
        <f>SUM(CharterFundExp2!I499:I508)</f>
        <v>0</v>
      </c>
      <c r="G161" s="265"/>
      <c r="H161" s="264"/>
      <c r="I161" s="265"/>
      <c r="J161" s="264"/>
      <c r="K161" s="265"/>
      <c r="L161" s="281"/>
      <c r="M161" s="265"/>
      <c r="N161" s="264"/>
      <c r="O161" s="265"/>
      <c r="P161" s="264"/>
      <c r="Q161" s="265"/>
      <c r="R161" s="264"/>
      <c r="S161" s="265"/>
      <c r="T161" s="264"/>
      <c r="U161" s="265"/>
      <c r="V161" s="264"/>
      <c r="W161" s="265"/>
      <c r="X161" s="264"/>
      <c r="Y161" s="265"/>
      <c r="Z161" s="265"/>
      <c r="AA161" s="264"/>
      <c r="AB161" s="265"/>
      <c r="AC161" s="264"/>
      <c r="AD161" s="264"/>
      <c r="AE161" s="265"/>
      <c r="AF161" s="264">
        <f>SUM(BuildFund!I28)</f>
        <v>0</v>
      </c>
      <c r="AG161" s="265"/>
      <c r="AH161" s="264"/>
      <c r="AI161" s="265"/>
      <c r="AJ161" s="264"/>
      <c r="AK161" s="265"/>
      <c r="AL161" s="264"/>
      <c r="AM161" s="265"/>
      <c r="AN161" s="264"/>
      <c r="AO161" s="265"/>
      <c r="AP161" s="264"/>
      <c r="AQ161" s="265"/>
      <c r="AR161" s="264"/>
      <c r="AS161" s="265"/>
      <c r="AT161" s="265"/>
      <c r="AU161" s="264"/>
      <c r="AV161" s="265"/>
      <c r="AW161" s="264"/>
      <c r="AX161" s="265"/>
      <c r="AY161" s="264"/>
      <c r="AZ161" s="265"/>
      <c r="BA161" s="264"/>
      <c r="BB161" s="265"/>
      <c r="BC161" s="264"/>
      <c r="BD161" s="265"/>
      <c r="BE161" s="264"/>
      <c r="BF161" s="265"/>
      <c r="BG161" s="264"/>
      <c r="BH161" s="265"/>
      <c r="BI161" s="264">
        <f t="shared" si="16"/>
        <v>0</v>
      </c>
      <c r="BJ161" s="268"/>
      <c r="BK161" s="269"/>
      <c r="BL161" s="269"/>
      <c r="BM161" s="270"/>
    </row>
    <row r="162" spans="1:65" s="282" customFormat="1" ht="18" x14ac:dyDescent="0.25">
      <c r="A162" s="246" t="s">
        <v>898</v>
      </c>
      <c r="B162" s="283" t="s">
        <v>1582</v>
      </c>
      <c r="C162" s="268"/>
      <c r="D162" s="264">
        <f>SUM(GenFundExp2!I509:I510)</f>
        <v>0</v>
      </c>
      <c r="E162" s="265"/>
      <c r="F162" s="264">
        <f>SUM(CharterFundExp2!I509:I510)</f>
        <v>0</v>
      </c>
      <c r="G162" s="265"/>
      <c r="H162" s="264"/>
      <c r="I162" s="265"/>
      <c r="J162" s="264"/>
      <c r="K162" s="265"/>
      <c r="L162" s="281"/>
      <c r="M162" s="265"/>
      <c r="N162" s="264"/>
      <c r="O162" s="265"/>
      <c r="P162" s="264"/>
      <c r="Q162" s="265"/>
      <c r="R162" s="264"/>
      <c r="S162" s="265"/>
      <c r="T162" s="264"/>
      <c r="U162" s="265"/>
      <c r="V162" s="264"/>
      <c r="W162" s="265"/>
      <c r="X162" s="264"/>
      <c r="Y162" s="265"/>
      <c r="Z162" s="265"/>
      <c r="AA162" s="264"/>
      <c r="AB162" s="265"/>
      <c r="AC162" s="264"/>
      <c r="AD162" s="264"/>
      <c r="AE162" s="265"/>
      <c r="AF162" s="264">
        <f>BuildFund!I29</f>
        <v>0</v>
      </c>
      <c r="AG162" s="265"/>
      <c r="AH162" s="264"/>
      <c r="AI162" s="265"/>
      <c r="AJ162" s="264"/>
      <c r="AK162" s="265"/>
      <c r="AL162" s="264"/>
      <c r="AM162" s="265"/>
      <c r="AN162" s="264"/>
      <c r="AO162" s="265"/>
      <c r="AP162" s="264"/>
      <c r="AQ162" s="265"/>
      <c r="AR162" s="264"/>
      <c r="AS162" s="265"/>
      <c r="AT162" s="265"/>
      <c r="AU162" s="264"/>
      <c r="AV162" s="265"/>
      <c r="AW162" s="264"/>
      <c r="AX162" s="265"/>
      <c r="AY162" s="264"/>
      <c r="AZ162" s="265"/>
      <c r="BA162" s="264"/>
      <c r="BB162" s="265"/>
      <c r="BC162" s="264"/>
      <c r="BD162" s="265"/>
      <c r="BE162" s="264"/>
      <c r="BF162" s="265"/>
      <c r="BG162" s="264"/>
      <c r="BH162" s="265"/>
      <c r="BI162" s="264">
        <f t="shared" si="16"/>
        <v>0</v>
      </c>
      <c r="BJ162" s="268"/>
      <c r="BK162" s="269"/>
      <c r="BL162" s="269"/>
      <c r="BM162" s="270"/>
    </row>
    <row r="163" spans="1:65" s="282" customFormat="1" ht="18" x14ac:dyDescent="0.25">
      <c r="A163" s="246" t="s">
        <v>899</v>
      </c>
      <c r="B163" s="283" t="s">
        <v>1583</v>
      </c>
      <c r="C163" s="268"/>
      <c r="D163" s="264">
        <f>SUM(GenFundExp2!I511:I520)</f>
        <v>0</v>
      </c>
      <c r="E163" s="265"/>
      <c r="F163" s="264">
        <f>SUM(CharterFundExp2!I511:I520)</f>
        <v>0</v>
      </c>
      <c r="G163" s="265"/>
      <c r="H163" s="264"/>
      <c r="I163" s="265"/>
      <c r="J163" s="264"/>
      <c r="K163" s="265"/>
      <c r="L163" s="281"/>
      <c r="M163" s="265"/>
      <c r="N163" s="264"/>
      <c r="O163" s="265"/>
      <c r="P163" s="264"/>
      <c r="Q163" s="265"/>
      <c r="R163" s="264"/>
      <c r="S163" s="265"/>
      <c r="T163" s="264"/>
      <c r="U163" s="265"/>
      <c r="V163" s="264"/>
      <c r="W163" s="265"/>
      <c r="X163" s="264"/>
      <c r="Y163" s="265"/>
      <c r="Z163" s="265"/>
      <c r="AA163" s="264"/>
      <c r="AB163" s="265"/>
      <c r="AC163" s="264"/>
      <c r="AD163" s="264"/>
      <c r="AE163" s="265"/>
      <c r="AF163" s="264">
        <f>SUM(BuildFund!I30:I38)</f>
        <v>0</v>
      </c>
      <c r="AG163" s="265"/>
      <c r="AH163" s="264"/>
      <c r="AI163" s="265"/>
      <c r="AJ163" s="264"/>
      <c r="AK163" s="265"/>
      <c r="AL163" s="264"/>
      <c r="AM163" s="265"/>
      <c r="AN163" s="264"/>
      <c r="AO163" s="265"/>
      <c r="AP163" s="264"/>
      <c r="AQ163" s="265"/>
      <c r="AR163" s="264"/>
      <c r="AS163" s="265"/>
      <c r="AT163" s="265"/>
      <c r="AU163" s="264"/>
      <c r="AV163" s="265"/>
      <c r="AW163" s="264"/>
      <c r="AX163" s="265"/>
      <c r="AY163" s="264"/>
      <c r="AZ163" s="265"/>
      <c r="BA163" s="264"/>
      <c r="BB163" s="265"/>
      <c r="BC163" s="264"/>
      <c r="BD163" s="265"/>
      <c r="BE163" s="264"/>
      <c r="BF163" s="265"/>
      <c r="BG163" s="264"/>
      <c r="BH163" s="265"/>
      <c r="BI163" s="264">
        <f t="shared" si="16"/>
        <v>0</v>
      </c>
      <c r="BJ163" s="268"/>
      <c r="BK163" s="269"/>
      <c r="BL163" s="269"/>
      <c r="BM163" s="270"/>
    </row>
    <row r="164" spans="1:65" s="282" customFormat="1" ht="18.75" thickBot="1" x14ac:dyDescent="0.3">
      <c r="A164" s="246" t="s">
        <v>900</v>
      </c>
      <c r="B164" s="283" t="s">
        <v>901</v>
      </c>
      <c r="C164" s="265"/>
      <c r="D164" s="264">
        <f>SUM(GenFundExp2!I521:I524)</f>
        <v>0</v>
      </c>
      <c r="E164" s="265"/>
      <c r="F164" s="264">
        <f>SUM(CharterFundExp2!I521:I524)</f>
        <v>0</v>
      </c>
      <c r="G164" s="265"/>
      <c r="H164" s="264"/>
      <c r="I164" s="265"/>
      <c r="J164" s="264"/>
      <c r="K164" s="265"/>
      <c r="L164" s="281"/>
      <c r="M164" s="265"/>
      <c r="N164" s="264"/>
      <c r="O164" s="265"/>
      <c r="P164" s="264"/>
      <c r="Q164" s="265"/>
      <c r="R164" s="264"/>
      <c r="S164" s="265"/>
      <c r="T164" s="264"/>
      <c r="U164" s="265"/>
      <c r="V164" s="264"/>
      <c r="W164" s="265"/>
      <c r="X164" s="264"/>
      <c r="Y164" s="265"/>
      <c r="Z164" s="265"/>
      <c r="AA164" s="264"/>
      <c r="AB164" s="265"/>
      <c r="AC164" s="264"/>
      <c r="AD164" s="264"/>
      <c r="AE164" s="265"/>
      <c r="AF164" s="264">
        <f>SUM(BuildFund!I39+BuildFund!I40+BuildFund!I41)</f>
        <v>0</v>
      </c>
      <c r="AG164" s="265"/>
      <c r="AH164" s="264"/>
      <c r="AI164" s="265"/>
      <c r="AJ164" s="264"/>
      <c r="AK164" s="265"/>
      <c r="AL164" s="264"/>
      <c r="AM164" s="265"/>
      <c r="AN164" s="264"/>
      <c r="AO164" s="265"/>
      <c r="AP164" s="264"/>
      <c r="AQ164" s="265"/>
      <c r="AR164" s="264"/>
      <c r="AS164" s="265"/>
      <c r="AT164" s="265"/>
      <c r="AU164" s="264"/>
      <c r="AV164" s="265"/>
      <c r="AW164" s="264"/>
      <c r="AX164" s="265"/>
      <c r="AY164" s="264"/>
      <c r="AZ164" s="265"/>
      <c r="BA164" s="264"/>
      <c r="BB164" s="265"/>
      <c r="BC164" s="264"/>
      <c r="BD164" s="265"/>
      <c r="BE164" s="264"/>
      <c r="BF164" s="265"/>
      <c r="BG164" s="264"/>
      <c r="BH164" s="265"/>
      <c r="BI164" s="264">
        <f t="shared" si="16"/>
        <v>0</v>
      </c>
      <c r="BJ164" s="265"/>
      <c r="BK164" s="269"/>
      <c r="BL164" s="269"/>
      <c r="BM164" s="270"/>
    </row>
    <row r="165" spans="1:65" s="282" customFormat="1" ht="18.75" thickBot="1" x14ac:dyDescent="0.3">
      <c r="A165" s="271" t="s">
        <v>927</v>
      </c>
      <c r="B165" s="279"/>
      <c r="C165" s="275"/>
      <c r="D165" s="274">
        <f>SUM(D159:D164)</f>
        <v>0</v>
      </c>
      <c r="E165" s="275"/>
      <c r="F165" s="274">
        <f>SUM(F159:F164)</f>
        <v>0</v>
      </c>
      <c r="G165" s="275"/>
      <c r="H165" s="274">
        <f>SUM(H159:H164)</f>
        <v>0</v>
      </c>
      <c r="I165" s="275"/>
      <c r="J165" s="274">
        <f>SUM(J159:J164)</f>
        <v>0</v>
      </c>
      <c r="K165" s="275"/>
      <c r="L165" s="274">
        <f>SUM(L159:L164)</f>
        <v>0</v>
      </c>
      <c r="M165" s="275"/>
      <c r="N165" s="274">
        <f>SUM(N159:N164)</f>
        <v>0</v>
      </c>
      <c r="O165" s="275"/>
      <c r="P165" s="274">
        <f>SUM(P159:P164)</f>
        <v>0</v>
      </c>
      <c r="Q165" s="275"/>
      <c r="R165" s="274">
        <f>SUM(R159:R164)</f>
        <v>0</v>
      </c>
      <c r="S165" s="275"/>
      <c r="T165" s="274">
        <f>SUM(T159:T164)</f>
        <v>0</v>
      </c>
      <c r="U165" s="275"/>
      <c r="V165" s="274">
        <f>SUM(V159:V164)</f>
        <v>0</v>
      </c>
      <c r="W165" s="275"/>
      <c r="X165" s="274">
        <f>SUM(X159:X164)</f>
        <v>0</v>
      </c>
      <c r="Y165" s="275"/>
      <c r="Z165" s="275"/>
      <c r="AA165" s="274">
        <f>SUM(AA159:AA164)</f>
        <v>0</v>
      </c>
      <c r="AB165" s="275"/>
      <c r="AC165" s="274">
        <f>SUM(AC159:AC164)</f>
        <v>0</v>
      </c>
      <c r="AD165" s="274">
        <f>SUM(AD159:AD164)</f>
        <v>0</v>
      </c>
      <c r="AE165" s="275"/>
      <c r="AF165" s="274">
        <f>SUM(AF159:AF164)</f>
        <v>0</v>
      </c>
      <c r="AG165" s="275"/>
      <c r="AH165" s="274">
        <f>SUM(AH159:AH164)</f>
        <v>0</v>
      </c>
      <c r="AI165" s="275"/>
      <c r="AJ165" s="274">
        <f>SUM(AJ159:AJ164)</f>
        <v>0</v>
      </c>
      <c r="AK165" s="275"/>
      <c r="AL165" s="274">
        <f>SUM(AL159:AL164)</f>
        <v>0</v>
      </c>
      <c r="AM165" s="275"/>
      <c r="AN165" s="274">
        <f>SUM(AN159:AN164)</f>
        <v>0</v>
      </c>
      <c r="AO165" s="275"/>
      <c r="AP165" s="274">
        <f>SUM(AP159:AP164)</f>
        <v>0</v>
      </c>
      <c r="AQ165" s="275"/>
      <c r="AR165" s="274">
        <f>SUM(AR159:AR164)</f>
        <v>0</v>
      </c>
      <c r="AS165" s="275"/>
      <c r="AT165" s="275"/>
      <c r="AU165" s="274">
        <f>SUM(AU159:AU164)</f>
        <v>0</v>
      </c>
      <c r="AV165" s="275"/>
      <c r="AW165" s="274">
        <f>SUM(AW159:AW164)</f>
        <v>0</v>
      </c>
      <c r="AX165" s="275"/>
      <c r="AY165" s="274">
        <f>SUM(AY159:AY164)</f>
        <v>0</v>
      </c>
      <c r="AZ165" s="275"/>
      <c r="BA165" s="274">
        <f>SUM(BA159:BA164)</f>
        <v>0</v>
      </c>
      <c r="BB165" s="275"/>
      <c r="BC165" s="274">
        <f>SUM(BC159:BC164)</f>
        <v>0</v>
      </c>
      <c r="BD165" s="275"/>
      <c r="BE165" s="274">
        <f>SUM(BE159:BE164)</f>
        <v>0</v>
      </c>
      <c r="BF165" s="275"/>
      <c r="BG165" s="274">
        <f>SUM(BG159:BG164)</f>
        <v>0</v>
      </c>
      <c r="BH165" s="275"/>
      <c r="BI165" s="274">
        <f t="shared" si="16"/>
        <v>0</v>
      </c>
      <c r="BJ165" s="275"/>
      <c r="BK165" s="276"/>
      <c r="BL165" s="276"/>
      <c r="BM165" s="270"/>
    </row>
    <row r="166" spans="1:65" s="282" customFormat="1" ht="18" x14ac:dyDescent="0.25">
      <c r="A166" s="246"/>
      <c r="B166" s="262"/>
      <c r="C166" s="268"/>
      <c r="D166" s="264"/>
      <c r="E166" s="265"/>
      <c r="F166" s="264"/>
      <c r="G166" s="265"/>
      <c r="H166" s="264"/>
      <c r="I166" s="265"/>
      <c r="J166" s="264"/>
      <c r="K166" s="265"/>
      <c r="L166" s="281"/>
      <c r="M166" s="265"/>
      <c r="N166" s="264"/>
      <c r="O166" s="265"/>
      <c r="P166" s="264"/>
      <c r="Q166" s="265"/>
      <c r="R166" s="264"/>
      <c r="S166" s="265"/>
      <c r="T166" s="264"/>
      <c r="U166" s="265"/>
      <c r="V166" s="264"/>
      <c r="W166" s="265"/>
      <c r="X166" s="264"/>
      <c r="Y166" s="265"/>
      <c r="Z166" s="265"/>
      <c r="AA166" s="264"/>
      <c r="AB166" s="265"/>
      <c r="AC166" s="264"/>
      <c r="AD166" s="264"/>
      <c r="AE166" s="265"/>
      <c r="AF166" s="264"/>
      <c r="AG166" s="265"/>
      <c r="AH166" s="264"/>
      <c r="AI166" s="265"/>
      <c r="AJ166" s="264"/>
      <c r="AK166" s="265"/>
      <c r="AL166" s="264"/>
      <c r="AM166" s="265"/>
      <c r="AN166" s="264"/>
      <c r="AO166" s="265"/>
      <c r="AP166" s="264"/>
      <c r="AQ166" s="265"/>
      <c r="AR166" s="264"/>
      <c r="AS166" s="265"/>
      <c r="AT166" s="265"/>
      <c r="AU166" s="264"/>
      <c r="AV166" s="265"/>
      <c r="AW166" s="264"/>
      <c r="AX166" s="265"/>
      <c r="AY166" s="264"/>
      <c r="AZ166" s="265"/>
      <c r="BA166" s="264"/>
      <c r="BB166" s="265"/>
      <c r="BC166" s="264"/>
      <c r="BD166" s="265"/>
      <c r="BE166" s="264"/>
      <c r="BF166" s="265"/>
      <c r="BG166" s="264"/>
      <c r="BH166" s="265"/>
      <c r="BI166" s="270"/>
      <c r="BJ166" s="268"/>
      <c r="BK166" s="269"/>
      <c r="BL166" s="269"/>
      <c r="BM166" s="270"/>
    </row>
    <row r="167" spans="1:65" s="282" customFormat="1" ht="54" x14ac:dyDescent="0.25">
      <c r="A167" s="246" t="s">
        <v>863</v>
      </c>
      <c r="B167" s="262"/>
      <c r="C167" s="268"/>
      <c r="D167" s="264"/>
      <c r="E167" s="265"/>
      <c r="F167" s="264"/>
      <c r="G167" s="265"/>
      <c r="H167" s="264"/>
      <c r="I167" s="265"/>
      <c r="J167" s="264"/>
      <c r="K167" s="265"/>
      <c r="L167" s="281"/>
      <c r="M167" s="265"/>
      <c r="N167" s="264"/>
      <c r="O167" s="265"/>
      <c r="P167" s="264"/>
      <c r="Q167" s="265"/>
      <c r="R167" s="264"/>
      <c r="S167" s="265"/>
      <c r="T167" s="264"/>
      <c r="U167" s="265"/>
      <c r="V167" s="264"/>
      <c r="W167" s="265"/>
      <c r="X167" s="264"/>
      <c r="Y167" s="265"/>
      <c r="Z167" s="265"/>
      <c r="AA167" s="264"/>
      <c r="AB167" s="265"/>
      <c r="AC167" s="264"/>
      <c r="AD167" s="264"/>
      <c r="AE167" s="265"/>
      <c r="AF167" s="264"/>
      <c r="AG167" s="265"/>
      <c r="AH167" s="264"/>
      <c r="AI167" s="265"/>
      <c r="AJ167" s="264"/>
      <c r="AK167" s="265"/>
      <c r="AL167" s="264"/>
      <c r="AM167" s="265"/>
      <c r="AN167" s="264"/>
      <c r="AO167" s="265"/>
      <c r="AP167" s="264"/>
      <c r="AQ167" s="265"/>
      <c r="AR167" s="264"/>
      <c r="AS167" s="265"/>
      <c r="AT167" s="265"/>
      <c r="AU167" s="264"/>
      <c r="AV167" s="265"/>
      <c r="AW167" s="264"/>
      <c r="AX167" s="265"/>
      <c r="AY167" s="264"/>
      <c r="AZ167" s="265"/>
      <c r="BA167" s="264"/>
      <c r="BB167" s="265"/>
      <c r="BC167" s="264"/>
      <c r="BD167" s="265"/>
      <c r="BE167" s="264"/>
      <c r="BF167" s="265"/>
      <c r="BG167" s="264"/>
      <c r="BH167" s="265"/>
      <c r="BI167" s="270"/>
      <c r="BJ167" s="268"/>
      <c r="BK167" s="269"/>
      <c r="BL167" s="269"/>
      <c r="BM167" s="270"/>
    </row>
    <row r="168" spans="1:65" s="282" customFormat="1" ht="18" x14ac:dyDescent="0.25">
      <c r="A168" s="246" t="s">
        <v>23</v>
      </c>
      <c r="B168" s="283" t="s">
        <v>1577</v>
      </c>
      <c r="C168" s="268"/>
      <c r="D168" s="264"/>
      <c r="E168" s="265"/>
      <c r="F168" s="264"/>
      <c r="G168" s="265"/>
      <c r="H168" s="264"/>
      <c r="I168" s="265"/>
      <c r="J168" s="264"/>
      <c r="K168" s="265"/>
      <c r="L168" s="281"/>
      <c r="M168" s="265"/>
      <c r="N168" s="264"/>
      <c r="O168" s="265"/>
      <c r="P168" s="264"/>
      <c r="Q168" s="265"/>
      <c r="R168" s="264"/>
      <c r="S168" s="265"/>
      <c r="T168" s="264"/>
      <c r="U168" s="265"/>
      <c r="V168" s="264"/>
      <c r="W168" s="265"/>
      <c r="X168" s="264"/>
      <c r="Y168" s="265"/>
      <c r="Z168" s="265"/>
      <c r="AA168" s="264"/>
      <c r="AB168" s="265"/>
      <c r="AC168" s="264"/>
      <c r="AD168" s="264"/>
      <c r="AE168" s="265"/>
      <c r="AF168" s="264"/>
      <c r="AG168" s="265"/>
      <c r="AH168" s="264"/>
      <c r="AI168" s="265"/>
      <c r="AJ168" s="264"/>
      <c r="AK168" s="265"/>
      <c r="AL168" s="264"/>
      <c r="AM168" s="265"/>
      <c r="AN168" s="264"/>
      <c r="AO168" s="265"/>
      <c r="AP168" s="264"/>
      <c r="AQ168" s="265"/>
      <c r="AR168" s="264"/>
      <c r="AS168" s="265"/>
      <c r="AT168" s="265"/>
      <c r="AU168" s="264"/>
      <c r="AV168" s="265"/>
      <c r="AW168" s="264"/>
      <c r="AX168" s="265"/>
      <c r="AY168" s="264"/>
      <c r="AZ168" s="265"/>
      <c r="BA168" s="264"/>
      <c r="BB168" s="265"/>
      <c r="BC168" s="264"/>
      <c r="BD168" s="265"/>
      <c r="BE168" s="264"/>
      <c r="BF168" s="265"/>
      <c r="BG168" s="264"/>
      <c r="BH168" s="265"/>
      <c r="BI168" s="264">
        <f t="shared" ref="BI168:BI174" si="17">D168+F168+H168+J168+X168+N168+P168+R168+L168+T168+V168+AA168+AC168+AD168+AF168+AH168+AJ168+AL168+AN168+AP168+AR168+AU168+AW168+AY168+BA168+BC168+BE168+BG168</f>
        <v>0</v>
      </c>
      <c r="BJ168" s="268"/>
      <c r="BK168" s="269"/>
      <c r="BL168" s="269"/>
      <c r="BM168" s="270"/>
    </row>
    <row r="169" spans="1:65" s="282" customFormat="1" ht="18" x14ac:dyDescent="0.25">
      <c r="A169" s="246" t="s">
        <v>24</v>
      </c>
      <c r="B169" s="283" t="s">
        <v>1578</v>
      </c>
      <c r="C169" s="268"/>
      <c r="D169" s="264"/>
      <c r="E169" s="265"/>
      <c r="F169" s="264"/>
      <c r="G169" s="265"/>
      <c r="H169" s="264"/>
      <c r="I169" s="265"/>
      <c r="J169" s="264"/>
      <c r="K169" s="265"/>
      <c r="L169" s="281"/>
      <c r="M169" s="265"/>
      <c r="N169" s="264"/>
      <c r="O169" s="265"/>
      <c r="P169" s="264"/>
      <c r="Q169" s="265"/>
      <c r="R169" s="264"/>
      <c r="S169" s="265"/>
      <c r="T169" s="264"/>
      <c r="U169" s="265"/>
      <c r="V169" s="264"/>
      <c r="W169" s="265"/>
      <c r="X169" s="264"/>
      <c r="Y169" s="265"/>
      <c r="Z169" s="265"/>
      <c r="AA169" s="264"/>
      <c r="AB169" s="265"/>
      <c r="AC169" s="264"/>
      <c r="AD169" s="264"/>
      <c r="AE169" s="265"/>
      <c r="AF169" s="264"/>
      <c r="AG169" s="265"/>
      <c r="AH169" s="264"/>
      <c r="AI169" s="265"/>
      <c r="AJ169" s="264"/>
      <c r="AK169" s="265"/>
      <c r="AL169" s="264"/>
      <c r="AM169" s="265"/>
      <c r="AN169" s="264"/>
      <c r="AO169" s="265"/>
      <c r="AP169" s="264"/>
      <c r="AQ169" s="265"/>
      <c r="AR169" s="264"/>
      <c r="AS169" s="265"/>
      <c r="AT169" s="265"/>
      <c r="AU169" s="264"/>
      <c r="AV169" s="265"/>
      <c r="AW169" s="264"/>
      <c r="AX169" s="265"/>
      <c r="AY169" s="264"/>
      <c r="AZ169" s="265"/>
      <c r="BA169" s="264"/>
      <c r="BB169" s="265"/>
      <c r="BC169" s="264"/>
      <c r="BD169" s="265"/>
      <c r="BE169" s="264"/>
      <c r="BF169" s="265"/>
      <c r="BG169" s="264"/>
      <c r="BH169" s="265"/>
      <c r="BI169" s="264">
        <f t="shared" si="17"/>
        <v>0</v>
      </c>
      <c r="BJ169" s="268"/>
      <c r="BK169" s="269"/>
      <c r="BL169" s="269"/>
      <c r="BM169" s="270"/>
    </row>
    <row r="170" spans="1:65" s="282" customFormat="1" ht="36" x14ac:dyDescent="0.25">
      <c r="A170" s="246" t="s">
        <v>25</v>
      </c>
      <c r="B170" s="283" t="s">
        <v>773</v>
      </c>
      <c r="C170" s="268"/>
      <c r="D170" s="264"/>
      <c r="E170" s="265"/>
      <c r="F170" s="264"/>
      <c r="G170" s="265"/>
      <c r="H170" s="264"/>
      <c r="I170" s="265"/>
      <c r="J170" s="264"/>
      <c r="K170" s="265"/>
      <c r="L170" s="281"/>
      <c r="M170" s="265"/>
      <c r="N170" s="264"/>
      <c r="O170" s="265"/>
      <c r="P170" s="264"/>
      <c r="Q170" s="265"/>
      <c r="R170" s="264"/>
      <c r="S170" s="265"/>
      <c r="T170" s="264"/>
      <c r="U170" s="265"/>
      <c r="V170" s="264"/>
      <c r="W170" s="265"/>
      <c r="X170" s="264"/>
      <c r="Y170" s="265"/>
      <c r="Z170" s="265"/>
      <c r="AA170" s="264"/>
      <c r="AB170" s="265"/>
      <c r="AC170" s="264"/>
      <c r="AD170" s="264"/>
      <c r="AE170" s="265"/>
      <c r="AF170" s="264"/>
      <c r="AG170" s="265"/>
      <c r="AH170" s="264"/>
      <c r="AI170" s="265"/>
      <c r="AJ170" s="264"/>
      <c r="AK170" s="265"/>
      <c r="AL170" s="264"/>
      <c r="AM170" s="265"/>
      <c r="AN170" s="264"/>
      <c r="AO170" s="265"/>
      <c r="AP170" s="264"/>
      <c r="AQ170" s="265"/>
      <c r="AR170" s="264"/>
      <c r="AS170" s="265"/>
      <c r="AT170" s="265"/>
      <c r="AU170" s="264"/>
      <c r="AV170" s="265"/>
      <c r="AW170" s="264"/>
      <c r="AX170" s="265"/>
      <c r="AY170" s="264"/>
      <c r="AZ170" s="265"/>
      <c r="BA170" s="264"/>
      <c r="BB170" s="265"/>
      <c r="BC170" s="264"/>
      <c r="BD170" s="265"/>
      <c r="BE170" s="264"/>
      <c r="BF170" s="265"/>
      <c r="BG170" s="264"/>
      <c r="BH170" s="265"/>
      <c r="BI170" s="264">
        <f t="shared" si="17"/>
        <v>0</v>
      </c>
      <c r="BJ170" s="268"/>
      <c r="BK170" s="269"/>
      <c r="BL170" s="269"/>
      <c r="BM170" s="270"/>
    </row>
    <row r="171" spans="1:65" s="282" customFormat="1" ht="18" x14ac:dyDescent="0.25">
      <c r="A171" s="246" t="s">
        <v>898</v>
      </c>
      <c r="B171" s="283" t="s">
        <v>1582</v>
      </c>
      <c r="C171" s="268"/>
      <c r="D171" s="264"/>
      <c r="E171" s="265"/>
      <c r="F171" s="264"/>
      <c r="G171" s="265"/>
      <c r="H171" s="264"/>
      <c r="I171" s="265"/>
      <c r="J171" s="264"/>
      <c r="K171" s="265"/>
      <c r="L171" s="281"/>
      <c r="M171" s="265"/>
      <c r="N171" s="264"/>
      <c r="O171" s="265"/>
      <c r="P171" s="264"/>
      <c r="Q171" s="265"/>
      <c r="R171" s="264"/>
      <c r="S171" s="265"/>
      <c r="T171" s="264"/>
      <c r="U171" s="265"/>
      <c r="V171" s="264"/>
      <c r="W171" s="265"/>
      <c r="X171" s="264"/>
      <c r="Y171" s="265"/>
      <c r="Z171" s="265"/>
      <c r="AA171" s="264"/>
      <c r="AB171" s="265"/>
      <c r="AC171" s="264"/>
      <c r="AD171" s="264"/>
      <c r="AE171" s="265"/>
      <c r="AF171" s="264"/>
      <c r="AG171" s="265"/>
      <c r="AH171" s="264"/>
      <c r="AI171" s="265"/>
      <c r="AJ171" s="264"/>
      <c r="AK171" s="265"/>
      <c r="AL171" s="264"/>
      <c r="AM171" s="265"/>
      <c r="AN171" s="264"/>
      <c r="AO171" s="265"/>
      <c r="AP171" s="264"/>
      <c r="AQ171" s="265"/>
      <c r="AR171" s="264"/>
      <c r="AS171" s="265"/>
      <c r="AT171" s="265"/>
      <c r="AU171" s="264"/>
      <c r="AV171" s="265"/>
      <c r="AW171" s="264"/>
      <c r="AX171" s="265"/>
      <c r="AY171" s="264"/>
      <c r="AZ171" s="265"/>
      <c r="BA171" s="264"/>
      <c r="BB171" s="265"/>
      <c r="BC171" s="264"/>
      <c r="BD171" s="265"/>
      <c r="BE171" s="264"/>
      <c r="BF171" s="265"/>
      <c r="BG171" s="264"/>
      <c r="BH171" s="265"/>
      <c r="BI171" s="264">
        <f t="shared" si="17"/>
        <v>0</v>
      </c>
      <c r="BJ171" s="268"/>
      <c r="BK171" s="269"/>
      <c r="BL171" s="269"/>
      <c r="BM171" s="270"/>
    </row>
    <row r="172" spans="1:65" s="282" customFormat="1" ht="18" x14ac:dyDescent="0.25">
      <c r="A172" s="246" t="s">
        <v>899</v>
      </c>
      <c r="B172" s="283" t="s">
        <v>1583</v>
      </c>
      <c r="C172" s="268"/>
      <c r="D172" s="264"/>
      <c r="E172" s="265"/>
      <c r="F172" s="264"/>
      <c r="G172" s="265"/>
      <c r="H172" s="264"/>
      <c r="I172" s="265"/>
      <c r="J172" s="264"/>
      <c r="K172" s="265"/>
      <c r="L172" s="281"/>
      <c r="M172" s="265"/>
      <c r="N172" s="264"/>
      <c r="O172" s="265"/>
      <c r="P172" s="264"/>
      <c r="Q172" s="265"/>
      <c r="R172" s="264"/>
      <c r="S172" s="265"/>
      <c r="T172" s="264"/>
      <c r="U172" s="265"/>
      <c r="V172" s="264"/>
      <c r="W172" s="265"/>
      <c r="X172" s="264"/>
      <c r="Y172" s="265"/>
      <c r="Z172" s="265"/>
      <c r="AA172" s="264"/>
      <c r="AB172" s="265"/>
      <c r="AC172" s="264"/>
      <c r="AD172" s="264"/>
      <c r="AE172" s="265"/>
      <c r="AF172" s="264"/>
      <c r="AG172" s="265"/>
      <c r="AH172" s="264"/>
      <c r="AI172" s="265"/>
      <c r="AJ172" s="264"/>
      <c r="AK172" s="265"/>
      <c r="AL172" s="264"/>
      <c r="AM172" s="265"/>
      <c r="AN172" s="264"/>
      <c r="AO172" s="265"/>
      <c r="AP172" s="264"/>
      <c r="AQ172" s="265"/>
      <c r="AR172" s="264"/>
      <c r="AS172" s="265"/>
      <c r="AT172" s="265"/>
      <c r="AU172" s="264"/>
      <c r="AV172" s="265"/>
      <c r="AW172" s="264"/>
      <c r="AX172" s="265"/>
      <c r="AY172" s="264"/>
      <c r="AZ172" s="265"/>
      <c r="BA172" s="264"/>
      <c r="BB172" s="265"/>
      <c r="BC172" s="264"/>
      <c r="BD172" s="265"/>
      <c r="BE172" s="264"/>
      <c r="BF172" s="265"/>
      <c r="BG172" s="264"/>
      <c r="BH172" s="265"/>
      <c r="BI172" s="264">
        <f t="shared" si="17"/>
        <v>0</v>
      </c>
      <c r="BJ172" s="268"/>
      <c r="BK172" s="269"/>
      <c r="BL172" s="269"/>
      <c r="BM172" s="270"/>
    </row>
    <row r="173" spans="1:65" s="282" customFormat="1" ht="18.75" thickBot="1" x14ac:dyDescent="0.3">
      <c r="A173" s="246" t="s">
        <v>900</v>
      </c>
      <c r="B173" s="283" t="s">
        <v>901</v>
      </c>
      <c r="C173" s="265"/>
      <c r="D173" s="264">
        <f>SUM(GenFundExp2!I532+GenFundExp2!I534+GenFundExp2!I535+GenFundExp2!I537)</f>
        <v>0</v>
      </c>
      <c r="E173" s="265"/>
      <c r="F173" s="264">
        <f>SUM(CharterFundExp2!I532+CharterFundExp2!I534+CharterFundExp2!I535+CharterFundExp2!I537)</f>
        <v>0</v>
      </c>
      <c r="G173" s="265"/>
      <c r="H173" s="264">
        <f>+InsResv!I36</f>
        <v>0</v>
      </c>
      <c r="I173" s="265"/>
      <c r="J173" s="264">
        <f>'CPP Fund'!I113+'CPP Fund'!I114</f>
        <v>0</v>
      </c>
      <c r="K173" s="265"/>
      <c r="L173" s="281"/>
      <c r="M173" s="265"/>
      <c r="N173" s="264">
        <f>SUM(CapRes!I64:I67)</f>
        <v>0</v>
      </c>
      <c r="O173" s="265"/>
      <c r="P173" s="264"/>
      <c r="Q173" s="265"/>
      <c r="R173" s="264"/>
      <c r="S173" s="265"/>
      <c r="T173" s="264"/>
      <c r="U173" s="265"/>
      <c r="V173" s="264"/>
      <c r="W173" s="265"/>
      <c r="X173" s="264">
        <f>SUM(OthSpecRev!I52:I55)</f>
        <v>0</v>
      </c>
      <c r="Y173" s="265"/>
      <c r="Z173" s="265"/>
      <c r="AA173" s="264"/>
      <c r="AB173" s="265"/>
      <c r="AC173" s="264">
        <f>SUM(BondRedm!I32:I35)</f>
        <v>0</v>
      </c>
      <c r="AD173" s="264">
        <f>SUM(NonVoterDebt!I32:I35)</f>
        <v>0</v>
      </c>
      <c r="AE173" s="265"/>
      <c r="AF173" s="264"/>
      <c r="AG173" s="265"/>
      <c r="AH173" s="264"/>
      <c r="AI173" s="265"/>
      <c r="AJ173" s="264">
        <f>SUM(CapResCapPrj!I73:I76)</f>
        <v>0</v>
      </c>
      <c r="AK173" s="265"/>
      <c r="AL173" s="264"/>
      <c r="AM173" s="265"/>
      <c r="AN173" s="264"/>
      <c r="AO173" s="265"/>
      <c r="AP173" s="264"/>
      <c r="AQ173" s="265"/>
      <c r="AR173" s="264"/>
      <c r="AS173" s="265"/>
      <c r="AT173" s="265"/>
      <c r="AU173" s="264"/>
      <c r="AV173" s="265"/>
      <c r="AW173" s="264"/>
      <c r="AX173" s="265"/>
      <c r="AY173" s="264"/>
      <c r="AZ173" s="265"/>
      <c r="BA173" s="264"/>
      <c r="BB173" s="265"/>
      <c r="BC173" s="264"/>
      <c r="BD173" s="265"/>
      <c r="BE173" s="264"/>
      <c r="BF173" s="265"/>
      <c r="BG173" s="264"/>
      <c r="BH173" s="265"/>
      <c r="BI173" s="264">
        <f t="shared" si="17"/>
        <v>0</v>
      </c>
      <c r="BJ173" s="265"/>
      <c r="BK173" s="269"/>
      <c r="BL173" s="269"/>
      <c r="BM173" s="270"/>
    </row>
    <row r="174" spans="1:65" s="282" customFormat="1" ht="18.75" thickBot="1" x14ac:dyDescent="0.3">
      <c r="A174" s="271" t="s">
        <v>859</v>
      </c>
      <c r="B174" s="279"/>
      <c r="C174" s="275"/>
      <c r="D174" s="274">
        <f>SUM(D168:D173)</f>
        <v>0</v>
      </c>
      <c r="E174" s="275"/>
      <c r="F174" s="274">
        <f>SUM(F168:F173)</f>
        <v>0</v>
      </c>
      <c r="G174" s="275"/>
      <c r="H174" s="274">
        <f>SUM(H168:H173)</f>
        <v>0</v>
      </c>
      <c r="I174" s="275"/>
      <c r="J174" s="274">
        <f>SUM(J168:J173)</f>
        <v>0</v>
      </c>
      <c r="K174" s="275"/>
      <c r="L174" s="274">
        <f>SUM(L168:L173)</f>
        <v>0</v>
      </c>
      <c r="M174" s="275"/>
      <c r="N174" s="274">
        <f>SUM(N168:N173)</f>
        <v>0</v>
      </c>
      <c r="O174" s="275"/>
      <c r="P174" s="274">
        <f>SUM(P168:P173)</f>
        <v>0</v>
      </c>
      <c r="Q174" s="275"/>
      <c r="R174" s="274">
        <f>SUM(R168:R173)</f>
        <v>0</v>
      </c>
      <c r="S174" s="275"/>
      <c r="T174" s="274">
        <f>SUM(T168:T173)</f>
        <v>0</v>
      </c>
      <c r="U174" s="275"/>
      <c r="V174" s="274">
        <f>SUM(V168:V173)</f>
        <v>0</v>
      </c>
      <c r="W174" s="275"/>
      <c r="X174" s="274">
        <f>SUM(X168:X173)</f>
        <v>0</v>
      </c>
      <c r="Y174" s="275"/>
      <c r="Z174" s="275"/>
      <c r="AA174" s="274">
        <f>SUM(AA168:AA173)</f>
        <v>0</v>
      </c>
      <c r="AB174" s="275"/>
      <c r="AC174" s="274">
        <f>SUM(AC168:AC173)</f>
        <v>0</v>
      </c>
      <c r="AD174" s="274">
        <f>SUM(AD168:AD173)</f>
        <v>0</v>
      </c>
      <c r="AE174" s="275"/>
      <c r="AF174" s="274">
        <f>SUM(AF168:AF173)</f>
        <v>0</v>
      </c>
      <c r="AG174" s="275"/>
      <c r="AH174" s="274">
        <f>SUM(AH168:AH173)</f>
        <v>0</v>
      </c>
      <c r="AI174" s="275"/>
      <c r="AJ174" s="274">
        <f>SUM(AJ168:AJ173)</f>
        <v>0</v>
      </c>
      <c r="AK174" s="275"/>
      <c r="AL174" s="274">
        <f>SUM(AL168:AL173)</f>
        <v>0</v>
      </c>
      <c r="AM174" s="275"/>
      <c r="AN174" s="274">
        <f>SUM(AN168:AN173)</f>
        <v>0</v>
      </c>
      <c r="AO174" s="275"/>
      <c r="AP174" s="274">
        <f>SUM(AP168:AP173)</f>
        <v>0</v>
      </c>
      <c r="AQ174" s="275"/>
      <c r="AR174" s="274">
        <f>SUM(AR168:AR173)</f>
        <v>0</v>
      </c>
      <c r="AS174" s="275"/>
      <c r="AT174" s="275"/>
      <c r="AU174" s="274">
        <f>SUM(AU168:AU173)</f>
        <v>0</v>
      </c>
      <c r="AV174" s="275"/>
      <c r="AW174" s="274">
        <f>SUM(AW168:AW173)</f>
        <v>0</v>
      </c>
      <c r="AX174" s="275"/>
      <c r="AY174" s="274">
        <f>SUM(AY168:AY173)</f>
        <v>0</v>
      </c>
      <c r="AZ174" s="275"/>
      <c r="BA174" s="274">
        <f>SUM(BA168:BA173)</f>
        <v>0</v>
      </c>
      <c r="BB174" s="275"/>
      <c r="BC174" s="274">
        <f>SUM(BC168:BC173)</f>
        <v>0</v>
      </c>
      <c r="BD174" s="275"/>
      <c r="BE174" s="274">
        <f>SUM(BE168:BE173)</f>
        <v>0</v>
      </c>
      <c r="BF174" s="275"/>
      <c r="BG174" s="274">
        <f>SUM(BG168:BG173)</f>
        <v>0</v>
      </c>
      <c r="BH174" s="275"/>
      <c r="BI174" s="274">
        <f t="shared" si="17"/>
        <v>0</v>
      </c>
      <c r="BJ174" s="275"/>
      <c r="BK174" s="276"/>
      <c r="BL174" s="276"/>
      <c r="BM174" s="270"/>
    </row>
    <row r="175" spans="1:65" s="282" customFormat="1" ht="18.75" thickBot="1" x14ac:dyDescent="0.3">
      <c r="A175" s="246"/>
      <c r="B175" s="262"/>
      <c r="C175" s="284"/>
      <c r="D175" s="264"/>
      <c r="E175" s="265"/>
      <c r="F175" s="264"/>
      <c r="G175" s="265"/>
      <c r="H175" s="264"/>
      <c r="I175" s="265"/>
      <c r="J175" s="264"/>
      <c r="K175" s="265"/>
      <c r="L175" s="281"/>
      <c r="M175" s="265"/>
      <c r="N175" s="264"/>
      <c r="O175" s="265"/>
      <c r="P175" s="264"/>
      <c r="Q175" s="265"/>
      <c r="R175" s="264"/>
      <c r="S175" s="265"/>
      <c r="T175" s="264"/>
      <c r="U175" s="265"/>
      <c r="V175" s="264"/>
      <c r="W175" s="265"/>
      <c r="X175" s="264"/>
      <c r="Y175" s="265"/>
      <c r="Z175" s="265"/>
      <c r="AA175" s="264"/>
      <c r="AB175" s="265"/>
      <c r="AC175" s="264"/>
      <c r="AD175" s="264"/>
      <c r="AE175" s="265"/>
      <c r="AF175" s="264"/>
      <c r="AG175" s="265"/>
      <c r="AH175" s="264"/>
      <c r="AI175" s="265"/>
      <c r="AJ175" s="264"/>
      <c r="AK175" s="265"/>
      <c r="AL175" s="264"/>
      <c r="AM175" s="265"/>
      <c r="AN175" s="264"/>
      <c r="AO175" s="265"/>
      <c r="AP175" s="264"/>
      <c r="AQ175" s="265"/>
      <c r="AR175" s="264"/>
      <c r="AS175" s="265"/>
      <c r="AT175" s="265"/>
      <c r="AU175" s="264"/>
      <c r="AV175" s="265"/>
      <c r="AW175" s="264"/>
      <c r="AX175" s="265"/>
      <c r="AY175" s="264"/>
      <c r="AZ175" s="265"/>
      <c r="BA175" s="264"/>
      <c r="BB175" s="265"/>
      <c r="BC175" s="264"/>
      <c r="BD175" s="265"/>
      <c r="BE175" s="264"/>
      <c r="BF175" s="265"/>
      <c r="BG175" s="264"/>
      <c r="BH175" s="265"/>
      <c r="BI175" s="264"/>
      <c r="BJ175" s="284"/>
      <c r="BK175" s="269"/>
      <c r="BL175" s="269"/>
      <c r="BM175" s="270"/>
    </row>
    <row r="176" spans="1:65" s="282" customFormat="1" ht="18.75" thickBot="1" x14ac:dyDescent="0.3">
      <c r="A176" s="271" t="s">
        <v>928</v>
      </c>
      <c r="B176" s="279"/>
      <c r="C176" s="275"/>
      <c r="D176" s="274">
        <f>SUM(D156+D39+D174+D165)</f>
        <v>0</v>
      </c>
      <c r="E176" s="275"/>
      <c r="F176" s="274">
        <f>SUM(F156+F39+F174+F165)</f>
        <v>0</v>
      </c>
      <c r="G176" s="275"/>
      <c r="H176" s="274">
        <f>SUM(H156+H39+H174+H165)</f>
        <v>0</v>
      </c>
      <c r="I176" s="275"/>
      <c r="J176" s="274">
        <f>SUM(J156+J39+J174+J165)</f>
        <v>0</v>
      </c>
      <c r="K176" s="275"/>
      <c r="L176" s="274">
        <f>SUM(L156+L39+L174+L165)</f>
        <v>0</v>
      </c>
      <c r="M176" s="275"/>
      <c r="N176" s="274">
        <f>SUM(N156+N39+N174+N165)</f>
        <v>0</v>
      </c>
      <c r="O176" s="275"/>
      <c r="P176" s="274">
        <f>SUM(P156+P39+P174+P165)</f>
        <v>0</v>
      </c>
      <c r="Q176" s="275"/>
      <c r="R176" s="274">
        <f>SUM(R156+R39+R174+R165)</f>
        <v>0</v>
      </c>
      <c r="S176" s="275"/>
      <c r="T176" s="274">
        <f>SUM(T156+T39+T174+T165)</f>
        <v>0</v>
      </c>
      <c r="U176" s="275"/>
      <c r="V176" s="274">
        <f>SUM(V156+V39+V174+V165)</f>
        <v>0</v>
      </c>
      <c r="W176" s="275"/>
      <c r="X176" s="274">
        <f>SUM(X156+X39+X174+X165)</f>
        <v>0</v>
      </c>
      <c r="Y176" s="275"/>
      <c r="Z176" s="275"/>
      <c r="AA176" s="274">
        <f>SUM(AA156+AA39+AA174+AA165)</f>
        <v>0</v>
      </c>
      <c r="AB176" s="275"/>
      <c r="AC176" s="274">
        <f>SUM(AC156+AC39+AC174+AC165)</f>
        <v>0</v>
      </c>
      <c r="AD176" s="274">
        <f>SUM(AD156+AD39+AD174+AD165)</f>
        <v>0</v>
      </c>
      <c r="AE176" s="275"/>
      <c r="AF176" s="274">
        <f>SUM(AF156+AF39+AF174+AF165)</f>
        <v>0</v>
      </c>
      <c r="AG176" s="275"/>
      <c r="AH176" s="274">
        <f>SUM(AH156+AH39+AH174+AH165)</f>
        <v>0</v>
      </c>
      <c r="AI176" s="275"/>
      <c r="AJ176" s="274">
        <f>SUM(AJ156+AJ39+AJ174+AJ165)</f>
        <v>0</v>
      </c>
      <c r="AK176" s="275"/>
      <c r="AL176" s="274">
        <f>SUM(AL156+AL39+AL174+AL165)</f>
        <v>0</v>
      </c>
      <c r="AM176" s="275"/>
      <c r="AN176" s="274">
        <f>SUM(AN156+AN39+AN174+AN165)</f>
        <v>0</v>
      </c>
      <c r="AO176" s="275"/>
      <c r="AP176" s="274">
        <f>SUM(AP156+AP39+AP174+AP165)</f>
        <v>0</v>
      </c>
      <c r="AQ176" s="275"/>
      <c r="AR176" s="274">
        <f>SUM(AR156+AR39+AR174+AR165)</f>
        <v>0</v>
      </c>
      <c r="AS176" s="275"/>
      <c r="AT176" s="275"/>
      <c r="AU176" s="274">
        <f>SUM(AU156+AU39+AU174+AU165)</f>
        <v>0</v>
      </c>
      <c r="AV176" s="275"/>
      <c r="AW176" s="274">
        <f>SUM(AW156+AW39+AW174+AW165)</f>
        <v>0</v>
      </c>
      <c r="AX176" s="275"/>
      <c r="AY176" s="274">
        <f>SUM(AY156+AY39+AY174+AY165)</f>
        <v>0</v>
      </c>
      <c r="AZ176" s="275"/>
      <c r="BA176" s="274">
        <f>SUM(BA156+BA39+BA174+BA165)</f>
        <v>0</v>
      </c>
      <c r="BB176" s="275"/>
      <c r="BC176" s="274">
        <f>SUM(BC156+BC39+BC174+BC165)</f>
        <v>0</v>
      </c>
      <c r="BD176" s="275"/>
      <c r="BE176" s="274">
        <f>SUM(BE156+BE39+BE174+BE165)</f>
        <v>0</v>
      </c>
      <c r="BF176" s="275"/>
      <c r="BG176" s="274">
        <f>SUM(BG156+BG39+BG174+BG165)</f>
        <v>0</v>
      </c>
      <c r="BH176" s="275"/>
      <c r="BI176" s="274">
        <f>D176+F176+H176+J176+X176+N176+P176+R176+L176+T176+V176+AA176+AC176+AD176+AF176+AH176+AJ176+AL176+AN176+AP176+AR176+AU176+AW176+AY176+BA176+BC176+BE176+BG176</f>
        <v>0</v>
      </c>
      <c r="BJ176" s="275"/>
      <c r="BK176" s="276"/>
      <c r="BL176" s="276"/>
      <c r="BM176" s="270"/>
    </row>
    <row r="177" spans="1:65" s="282" customFormat="1" ht="18" x14ac:dyDescent="0.25">
      <c r="A177" s="246"/>
      <c r="B177" s="262"/>
      <c r="C177" s="268"/>
      <c r="D177" s="264"/>
      <c r="E177" s="265"/>
      <c r="F177" s="264"/>
      <c r="G177" s="265"/>
      <c r="H177" s="264"/>
      <c r="I177" s="265"/>
      <c r="J177" s="264"/>
      <c r="K177" s="265"/>
      <c r="L177" s="281"/>
      <c r="M177" s="265"/>
      <c r="N177" s="264"/>
      <c r="O177" s="265"/>
      <c r="P177" s="264"/>
      <c r="Q177" s="265"/>
      <c r="R177" s="264"/>
      <c r="S177" s="265"/>
      <c r="T177" s="264"/>
      <c r="U177" s="265"/>
      <c r="V177" s="264"/>
      <c r="W177" s="265"/>
      <c r="X177" s="264"/>
      <c r="Y177" s="265"/>
      <c r="Z177" s="265"/>
      <c r="AA177" s="264"/>
      <c r="AB177" s="265"/>
      <c r="AC177" s="264"/>
      <c r="AD177" s="264"/>
      <c r="AE177" s="265"/>
      <c r="AF177" s="264"/>
      <c r="AG177" s="265"/>
      <c r="AH177" s="264"/>
      <c r="AI177" s="265"/>
      <c r="AJ177" s="264"/>
      <c r="AK177" s="265"/>
      <c r="AL177" s="264"/>
      <c r="AM177" s="265"/>
      <c r="AN177" s="264"/>
      <c r="AO177" s="265"/>
      <c r="AP177" s="264"/>
      <c r="AQ177" s="265"/>
      <c r="AR177" s="264"/>
      <c r="AS177" s="265"/>
      <c r="AT177" s="265"/>
      <c r="AU177" s="264"/>
      <c r="AV177" s="265"/>
      <c r="AW177" s="264"/>
      <c r="AX177" s="265"/>
      <c r="AY177" s="264"/>
      <c r="AZ177" s="265"/>
      <c r="BA177" s="264"/>
      <c r="BB177" s="265"/>
      <c r="BC177" s="264"/>
      <c r="BD177" s="265"/>
      <c r="BE177" s="264"/>
      <c r="BF177" s="265"/>
      <c r="BG177" s="264"/>
      <c r="BH177" s="265"/>
      <c r="BI177" s="264"/>
      <c r="BJ177" s="268"/>
      <c r="BK177" s="269"/>
      <c r="BL177" s="269"/>
      <c r="BM177" s="270"/>
    </row>
    <row r="178" spans="1:65" s="282" customFormat="1" ht="18" x14ac:dyDescent="0.25">
      <c r="A178" s="246" t="s">
        <v>392</v>
      </c>
      <c r="B178" s="262"/>
      <c r="C178" s="268"/>
      <c r="D178" s="264"/>
      <c r="E178" s="265"/>
      <c r="F178" s="264"/>
      <c r="G178" s="265"/>
      <c r="H178" s="264"/>
      <c r="I178" s="265"/>
      <c r="J178" s="264"/>
      <c r="K178" s="265"/>
      <c r="L178" s="281"/>
      <c r="M178" s="265"/>
      <c r="N178" s="264"/>
      <c r="O178" s="265"/>
      <c r="P178" s="264"/>
      <c r="Q178" s="265"/>
      <c r="R178" s="264"/>
      <c r="S178" s="265"/>
      <c r="T178" s="264"/>
      <c r="U178" s="265"/>
      <c r="V178" s="264"/>
      <c r="W178" s="265"/>
      <c r="X178" s="264"/>
      <c r="Y178" s="265"/>
      <c r="Z178" s="265"/>
      <c r="AA178" s="264"/>
      <c r="AB178" s="265"/>
      <c r="AC178" s="264"/>
      <c r="AD178" s="264"/>
      <c r="AE178" s="265"/>
      <c r="AF178" s="264"/>
      <c r="AG178" s="265"/>
      <c r="AH178" s="264"/>
      <c r="AI178" s="265"/>
      <c r="AJ178" s="264"/>
      <c r="AK178" s="265"/>
      <c r="AL178" s="264"/>
      <c r="AM178" s="265"/>
      <c r="AN178" s="264"/>
      <c r="AO178" s="265"/>
      <c r="AP178" s="264"/>
      <c r="AQ178" s="265"/>
      <c r="AR178" s="264"/>
      <c r="AS178" s="265"/>
      <c r="AT178" s="265"/>
      <c r="AU178" s="264"/>
      <c r="AV178" s="265"/>
      <c r="AW178" s="264"/>
      <c r="AX178" s="265"/>
      <c r="AY178" s="264"/>
      <c r="AZ178" s="265"/>
      <c r="BA178" s="264"/>
      <c r="BB178" s="265"/>
      <c r="BC178" s="264"/>
      <c r="BD178" s="265"/>
      <c r="BE178" s="264"/>
      <c r="BF178" s="265"/>
      <c r="BG178" s="264"/>
      <c r="BH178" s="265"/>
      <c r="BI178" s="264"/>
      <c r="BJ178" s="268"/>
      <c r="BK178" s="269"/>
      <c r="BL178" s="269"/>
      <c r="BM178" s="270"/>
    </row>
    <row r="179" spans="1:65" s="282" customFormat="1" ht="36" x14ac:dyDescent="0.25">
      <c r="A179" s="246" t="s">
        <v>929</v>
      </c>
      <c r="B179" s="283" t="s">
        <v>930</v>
      </c>
      <c r="C179" s="268"/>
      <c r="D179" s="281">
        <f>GenFundExp2!I549</f>
        <v>0</v>
      </c>
      <c r="E179" s="265"/>
      <c r="F179" s="281">
        <f>CharterFundExp2!I547</f>
        <v>0</v>
      </c>
      <c r="G179" s="265"/>
      <c r="H179" s="264">
        <f>InsResv!I46</f>
        <v>0</v>
      </c>
      <c r="I179" s="265"/>
      <c r="J179" s="264">
        <f>'CPP Fund'!I124</f>
        <v>0</v>
      </c>
      <c r="K179" s="265"/>
      <c r="L179" s="281">
        <f>ARRAGrants!J178</f>
        <v>0</v>
      </c>
      <c r="M179" s="265"/>
      <c r="N179" s="264">
        <f>CapRes!I78</f>
        <v>0</v>
      </c>
      <c r="O179" s="265"/>
      <c r="P179" s="264">
        <f>GovGrants!J178</f>
        <v>0</v>
      </c>
      <c r="Q179" s="265"/>
      <c r="R179" s="264">
        <f>PupActiv!I64</f>
        <v>0</v>
      </c>
      <c r="S179" s="265"/>
      <c r="T179" s="264">
        <f>FullDayKOverride!I45</f>
        <v>0</v>
      </c>
      <c r="U179" s="265"/>
      <c r="V179" s="264">
        <f>Transp!I44</f>
        <v>0</v>
      </c>
      <c r="W179" s="265"/>
      <c r="X179" s="264">
        <f>OthSpecRev!I66</f>
        <v>0</v>
      </c>
      <c r="Y179" s="265"/>
      <c r="Z179" s="265"/>
      <c r="AA179" s="264"/>
      <c r="AB179" s="265"/>
      <c r="AC179" s="264">
        <f>BondRedm!I43</f>
        <v>0</v>
      </c>
      <c r="AD179" s="264">
        <f>NonVoterDebt!I43</f>
        <v>0</v>
      </c>
      <c r="AE179" s="265"/>
      <c r="AF179" s="264">
        <f>BuildFund!I50</f>
        <v>0</v>
      </c>
      <c r="AG179" s="265"/>
      <c r="AH179" s="264">
        <f>SpecBuild!I37</f>
        <v>0</v>
      </c>
      <c r="AI179" s="265"/>
      <c r="AJ179" s="264">
        <f>CapResCapPrj!I87</f>
        <v>0</v>
      </c>
      <c r="AK179" s="265"/>
      <c r="AL179" s="264">
        <f>OtherEnterprise!I44</f>
        <v>0</v>
      </c>
      <c r="AM179" s="265"/>
      <c r="AN179" s="264">
        <f>FoodServ!I54</f>
        <v>0</v>
      </c>
      <c r="AO179" s="265"/>
      <c r="AP179" s="264">
        <f>OtherInternal!I46</f>
        <v>0</v>
      </c>
      <c r="AQ179" s="265"/>
      <c r="AR179" s="264"/>
      <c r="AS179" s="265"/>
      <c r="AT179" s="265"/>
      <c r="AU179" s="264">
        <f>RiskRelated!I42</f>
        <v>0</v>
      </c>
      <c r="AV179" s="265"/>
      <c r="AW179" s="264">
        <f>'Trust&amp;Agency'!I55</f>
        <v>0</v>
      </c>
      <c r="AX179" s="265"/>
      <c r="AY179" s="264"/>
      <c r="AZ179" s="265"/>
      <c r="BA179" s="264"/>
      <c r="BB179" s="265"/>
      <c r="BC179" s="264">
        <f>PupilActAgency!I56</f>
        <v>0</v>
      </c>
      <c r="BD179" s="265"/>
      <c r="BE179" s="264">
        <f>'Foundation Fund'!I55</f>
        <v>0</v>
      </c>
      <c r="BF179" s="265"/>
      <c r="BG179" s="656">
        <f>Arbitrage!G32</f>
        <v>0</v>
      </c>
      <c r="BH179" s="265"/>
      <c r="BI179" s="264">
        <f t="shared" ref="BI179:BI186" si="18">D179+F179+H179+J179+X179+N179+P179+R179+L179+T179+V179+AA179+AC179+AD179+AF179+AH179+AJ179+AL179+AN179+AP179+AR179+AU179+AW179+AY179+BA179+BC179+BE179+BG179</f>
        <v>0</v>
      </c>
      <c r="BJ179" s="268"/>
      <c r="BK179" s="269"/>
      <c r="BL179" s="269"/>
      <c r="BM179" s="270"/>
    </row>
    <row r="180" spans="1:65" s="282" customFormat="1" ht="18" x14ac:dyDescent="0.25">
      <c r="A180" s="258" t="s">
        <v>1677</v>
      </c>
      <c r="B180" s="283" t="s">
        <v>930</v>
      </c>
      <c r="C180" s="268"/>
      <c r="D180" s="281">
        <f>GenFundExp2!I548</f>
        <v>0</v>
      </c>
      <c r="E180" s="265"/>
      <c r="F180" s="281">
        <f>CharterFundExp2!I546</f>
        <v>0</v>
      </c>
      <c r="G180" s="265"/>
      <c r="H180" s="264">
        <f>InsResv!I45</f>
        <v>0</v>
      </c>
      <c r="I180" s="265"/>
      <c r="J180" s="264">
        <f>'CPP Fund'!I123</f>
        <v>0</v>
      </c>
      <c r="K180" s="265"/>
      <c r="L180" s="281">
        <f>ARRAGrants!J177</f>
        <v>0</v>
      </c>
      <c r="M180" s="265"/>
      <c r="N180" s="264">
        <f>CapRes!I77</f>
        <v>0</v>
      </c>
      <c r="O180" s="265"/>
      <c r="P180" s="264">
        <f>GovGrants!J177</f>
        <v>0</v>
      </c>
      <c r="Q180" s="265"/>
      <c r="R180" s="264">
        <f>PupActiv!I63</f>
        <v>0</v>
      </c>
      <c r="S180" s="265"/>
      <c r="T180" s="264">
        <f>FullDayKOverride!I44</f>
        <v>0</v>
      </c>
      <c r="U180" s="265"/>
      <c r="V180" s="264">
        <f>Transp!I43</f>
        <v>0</v>
      </c>
      <c r="W180" s="265"/>
      <c r="X180" s="264">
        <f>OthSpecRev!I65</f>
        <v>0</v>
      </c>
      <c r="Y180" s="265"/>
      <c r="Z180" s="265"/>
      <c r="AA180" s="264"/>
      <c r="AB180" s="265"/>
      <c r="AC180" s="264">
        <f>BondRedm!I42</f>
        <v>0</v>
      </c>
      <c r="AD180" s="264">
        <f>[1]NonVoterDebt!I42</f>
        <v>0</v>
      </c>
      <c r="AE180" s="265"/>
      <c r="AF180" s="264">
        <f>BuildFund!I49</f>
        <v>0</v>
      </c>
      <c r="AG180" s="265"/>
      <c r="AH180" s="264">
        <f>SpecBuild!I36</f>
        <v>0</v>
      </c>
      <c r="AI180" s="265"/>
      <c r="AJ180" s="264">
        <f>CapResCapPrj!I86</f>
        <v>0</v>
      </c>
      <c r="AK180" s="265"/>
      <c r="AL180" s="264">
        <f>OtherEnterprise!I43</f>
        <v>0</v>
      </c>
      <c r="AM180" s="265"/>
      <c r="AN180" s="264">
        <f>FoodServ!I53</f>
        <v>0</v>
      </c>
      <c r="AO180" s="265"/>
      <c r="AP180" s="264">
        <f>OtherInternal!I45</f>
        <v>0</v>
      </c>
      <c r="AQ180" s="265"/>
      <c r="AR180" s="264"/>
      <c r="AS180" s="265"/>
      <c r="AT180" s="265"/>
      <c r="AU180" s="264">
        <f>RiskRelated!I41</f>
        <v>0</v>
      </c>
      <c r="AV180" s="265"/>
      <c r="AW180" s="264">
        <f>'Trust&amp;Agency'!I54</f>
        <v>0</v>
      </c>
      <c r="AX180" s="265"/>
      <c r="AY180" s="264"/>
      <c r="AZ180" s="265"/>
      <c r="BA180" s="264"/>
      <c r="BB180" s="265"/>
      <c r="BC180" s="264">
        <f>PupilActAgency!I55</f>
        <v>0</v>
      </c>
      <c r="BD180" s="265"/>
      <c r="BE180" s="264">
        <f>'Foundation Fund'!I54</f>
        <v>0</v>
      </c>
      <c r="BF180" s="265"/>
      <c r="BG180" s="264"/>
      <c r="BH180" s="265"/>
      <c r="BI180" s="264">
        <f t="shared" si="18"/>
        <v>0</v>
      </c>
      <c r="BJ180" s="268"/>
      <c r="BK180" s="269"/>
      <c r="BL180" s="269"/>
      <c r="BM180" s="270"/>
    </row>
    <row r="181" spans="1:65" s="282" customFormat="1" ht="36" x14ac:dyDescent="0.25">
      <c r="A181" s="246" t="s">
        <v>931</v>
      </c>
      <c r="B181" s="283" t="s">
        <v>930</v>
      </c>
      <c r="C181" s="268"/>
      <c r="D181" s="264">
        <f>GenFundExp2!I543</f>
        <v>0</v>
      </c>
      <c r="E181" s="265"/>
      <c r="F181" s="264">
        <f>CharterFundExp2!I543</f>
        <v>0</v>
      </c>
      <c r="G181" s="265"/>
      <c r="H181" s="264">
        <f>InsResv!I42</f>
        <v>0</v>
      </c>
      <c r="I181" s="265"/>
      <c r="J181" s="264">
        <f>'CPP Fund'!I120</f>
        <v>0</v>
      </c>
      <c r="K181" s="265"/>
      <c r="L181" s="281">
        <f>ARRAGrants!J174</f>
        <v>0</v>
      </c>
      <c r="M181" s="265"/>
      <c r="N181" s="264">
        <f>CapRes!I74</f>
        <v>0</v>
      </c>
      <c r="O181" s="265"/>
      <c r="P181" s="264">
        <f>GovGrants!J174</f>
        <v>0</v>
      </c>
      <c r="Q181" s="265"/>
      <c r="R181" s="264">
        <f>PupActiv!I60</f>
        <v>0</v>
      </c>
      <c r="S181" s="265"/>
      <c r="T181" s="264">
        <f>FullDayKOverride!I41</f>
        <v>0</v>
      </c>
      <c r="U181" s="265"/>
      <c r="V181" s="264">
        <f>Transp!I40</f>
        <v>0</v>
      </c>
      <c r="W181" s="265"/>
      <c r="X181" s="264">
        <f>OthSpecRev!I62</f>
        <v>0</v>
      </c>
      <c r="Y181" s="265"/>
      <c r="Z181" s="265"/>
      <c r="AA181" s="264"/>
      <c r="AB181" s="265"/>
      <c r="AC181" s="264">
        <f>BondRedm!I40</f>
        <v>0</v>
      </c>
      <c r="AD181" s="264">
        <f>NonVoterDebt!I40</f>
        <v>0</v>
      </c>
      <c r="AE181" s="265"/>
      <c r="AF181" s="264">
        <f>BuildFund!I46</f>
        <v>0</v>
      </c>
      <c r="AG181" s="265"/>
      <c r="AH181" s="264">
        <f>SpecBuild!I33</f>
        <v>0</v>
      </c>
      <c r="AI181" s="265"/>
      <c r="AJ181" s="264">
        <f>CapResCapPrj!I83</f>
        <v>0</v>
      </c>
      <c r="AK181" s="265"/>
      <c r="AL181" s="264">
        <f>OtherEnterprise!I40</f>
        <v>0</v>
      </c>
      <c r="AM181" s="265"/>
      <c r="AN181" s="264">
        <f>FoodServ!I50</f>
        <v>0</v>
      </c>
      <c r="AO181" s="265"/>
      <c r="AP181" s="264">
        <f>OtherInternal!I42</f>
        <v>0</v>
      </c>
      <c r="AQ181" s="265"/>
      <c r="AR181" s="264"/>
      <c r="AS181" s="265"/>
      <c r="AT181" s="265"/>
      <c r="AU181" s="264">
        <f>RiskRelated!I38</f>
        <v>0</v>
      </c>
      <c r="AV181" s="265"/>
      <c r="AW181" s="264">
        <f>'Trust&amp;Agency'!I52</f>
        <v>0</v>
      </c>
      <c r="AX181" s="265"/>
      <c r="AY181" s="264"/>
      <c r="AZ181" s="265"/>
      <c r="BA181" s="264"/>
      <c r="BB181" s="265"/>
      <c r="BC181" s="264">
        <f>PupilActAgency!I53</f>
        <v>0</v>
      </c>
      <c r="BD181" s="265"/>
      <c r="BE181" s="264">
        <f>'Foundation Fund'!I52</f>
        <v>0</v>
      </c>
      <c r="BF181" s="265"/>
      <c r="BG181" s="264"/>
      <c r="BH181" s="265"/>
      <c r="BI181" s="264">
        <f t="shared" si="18"/>
        <v>0</v>
      </c>
      <c r="BJ181" s="268"/>
      <c r="BK181" s="269"/>
      <c r="BL181" s="269"/>
      <c r="BM181" s="270"/>
    </row>
    <row r="182" spans="1:65" s="282" customFormat="1" ht="36" x14ac:dyDescent="0.25">
      <c r="A182" s="258" t="s">
        <v>894</v>
      </c>
      <c r="B182" s="283" t="s">
        <v>930</v>
      </c>
      <c r="C182" s="268"/>
      <c r="D182" s="264">
        <f>GenFundExp2!I545</f>
        <v>0</v>
      </c>
      <c r="E182" s="265"/>
      <c r="F182" s="264"/>
      <c r="G182" s="265"/>
      <c r="H182" s="264"/>
      <c r="I182" s="265"/>
      <c r="J182" s="264"/>
      <c r="K182" s="265"/>
      <c r="L182" s="281"/>
      <c r="M182" s="265"/>
      <c r="N182" s="264"/>
      <c r="O182" s="265"/>
      <c r="P182" s="264"/>
      <c r="Q182" s="265"/>
      <c r="R182" s="264"/>
      <c r="S182" s="265"/>
      <c r="T182" s="264"/>
      <c r="U182" s="265"/>
      <c r="V182" s="264"/>
      <c r="W182" s="265"/>
      <c r="X182" s="264"/>
      <c r="Y182" s="265"/>
      <c r="Z182" s="265"/>
      <c r="AA182" s="264"/>
      <c r="AB182" s="265"/>
      <c r="AC182" s="264"/>
      <c r="AD182" s="264"/>
      <c r="AE182" s="265"/>
      <c r="AF182" s="264"/>
      <c r="AG182" s="265"/>
      <c r="AH182" s="264"/>
      <c r="AI182" s="265"/>
      <c r="AJ182" s="264"/>
      <c r="AK182" s="265"/>
      <c r="AL182" s="264"/>
      <c r="AM182" s="265"/>
      <c r="AN182" s="264"/>
      <c r="AO182" s="265"/>
      <c r="AP182" s="264"/>
      <c r="AQ182" s="265"/>
      <c r="AR182" s="264"/>
      <c r="AS182" s="265"/>
      <c r="AT182" s="265"/>
      <c r="AU182" s="264"/>
      <c r="AV182" s="265"/>
      <c r="AW182" s="264"/>
      <c r="AX182" s="265"/>
      <c r="AY182" s="264"/>
      <c r="AZ182" s="265"/>
      <c r="BA182" s="264"/>
      <c r="BB182" s="265"/>
      <c r="BC182" s="264"/>
      <c r="BD182" s="265"/>
      <c r="BE182" s="264"/>
      <c r="BF182" s="265"/>
      <c r="BG182" s="264"/>
      <c r="BH182" s="265"/>
      <c r="BI182" s="264">
        <f t="shared" si="18"/>
        <v>0</v>
      </c>
      <c r="BJ182" s="268"/>
      <c r="BK182" s="269"/>
      <c r="BL182" s="269"/>
      <c r="BM182" s="270"/>
    </row>
    <row r="183" spans="1:65" s="282" customFormat="1" ht="36" hidden="1" x14ac:dyDescent="0.25">
      <c r="A183" s="684" t="s">
        <v>37</v>
      </c>
      <c r="B183" s="283" t="s">
        <v>930</v>
      </c>
      <c r="C183" s="268"/>
      <c r="D183" s="264">
        <f>GenFundExp2!I547</f>
        <v>0</v>
      </c>
      <c r="E183" s="265"/>
      <c r="F183" s="264"/>
      <c r="G183" s="265"/>
      <c r="H183" s="264"/>
      <c r="I183" s="265"/>
      <c r="J183" s="264"/>
      <c r="K183" s="265"/>
      <c r="L183" s="281"/>
      <c r="M183" s="265"/>
      <c r="N183" s="264"/>
      <c r="O183" s="265"/>
      <c r="P183" s="264"/>
      <c r="Q183" s="265"/>
      <c r="R183" s="264"/>
      <c r="S183" s="265"/>
      <c r="T183" s="264"/>
      <c r="U183" s="265"/>
      <c r="V183" s="264"/>
      <c r="W183" s="265"/>
      <c r="X183" s="264"/>
      <c r="Y183" s="265"/>
      <c r="Z183" s="265"/>
      <c r="AA183" s="264"/>
      <c r="AB183" s="265"/>
      <c r="AC183" s="264"/>
      <c r="AD183" s="264"/>
      <c r="AE183" s="265"/>
      <c r="AF183" s="264"/>
      <c r="AG183" s="265"/>
      <c r="AH183" s="264"/>
      <c r="AI183" s="265"/>
      <c r="AJ183" s="264"/>
      <c r="AK183" s="265"/>
      <c r="AL183" s="264"/>
      <c r="AM183" s="265"/>
      <c r="AN183" s="264"/>
      <c r="AO183" s="265"/>
      <c r="AP183" s="264"/>
      <c r="AQ183" s="265"/>
      <c r="AR183" s="264"/>
      <c r="AS183" s="265"/>
      <c r="AT183" s="265"/>
      <c r="AU183" s="264"/>
      <c r="AV183" s="265"/>
      <c r="AW183" s="264"/>
      <c r="AX183" s="265"/>
      <c r="AY183" s="264"/>
      <c r="AZ183" s="265"/>
      <c r="BA183" s="264"/>
      <c r="BB183" s="265"/>
      <c r="BC183" s="264"/>
      <c r="BD183" s="265"/>
      <c r="BE183" s="264"/>
      <c r="BF183" s="265"/>
      <c r="BG183" s="264"/>
      <c r="BH183" s="265"/>
      <c r="BI183" s="264">
        <f t="shared" si="18"/>
        <v>0</v>
      </c>
      <c r="BJ183" s="268"/>
      <c r="BK183" s="269"/>
      <c r="BL183" s="269"/>
      <c r="BM183" s="270"/>
    </row>
    <row r="184" spans="1:65" s="282" customFormat="1" ht="36" x14ac:dyDescent="0.25">
      <c r="A184" s="258" t="s">
        <v>1678</v>
      </c>
      <c r="B184" s="283" t="s">
        <v>930</v>
      </c>
      <c r="C184" s="268"/>
      <c r="D184" s="264">
        <f>GenFundExp2!I544</f>
        <v>0</v>
      </c>
      <c r="E184" s="265"/>
      <c r="F184" s="264">
        <f>CharterFundExp2!I544</f>
        <v>0</v>
      </c>
      <c r="G184" s="265"/>
      <c r="H184" s="264">
        <f>InsResv!I43</f>
        <v>0</v>
      </c>
      <c r="I184" s="265"/>
      <c r="J184" s="264">
        <f>'CPP Fund'!I121</f>
        <v>0</v>
      </c>
      <c r="K184" s="265"/>
      <c r="L184" s="281">
        <f>ARRAGrants!J175</f>
        <v>0</v>
      </c>
      <c r="M184" s="265"/>
      <c r="N184" s="264">
        <f>CapRes!I75</f>
        <v>0</v>
      </c>
      <c r="O184" s="265"/>
      <c r="P184" s="264">
        <f>GovGrants!J175</f>
        <v>0</v>
      </c>
      <c r="Q184" s="265"/>
      <c r="R184" s="264">
        <f>PupActiv!I61</f>
        <v>0</v>
      </c>
      <c r="S184" s="265"/>
      <c r="T184" s="264">
        <f>FullDayKOverride!I42</f>
        <v>0</v>
      </c>
      <c r="U184" s="265"/>
      <c r="V184" s="264">
        <f>Transp!I41</f>
        <v>0</v>
      </c>
      <c r="W184" s="265"/>
      <c r="X184" s="264">
        <f>OthSpecRev!I63</f>
        <v>0</v>
      </c>
      <c r="Y184" s="265"/>
      <c r="Z184" s="265"/>
      <c r="AA184" s="264"/>
      <c r="AB184" s="265"/>
      <c r="AC184" s="264"/>
      <c r="AD184" s="264"/>
      <c r="AE184" s="265"/>
      <c r="AF184" s="264">
        <f>BuildFund!I47</f>
        <v>0</v>
      </c>
      <c r="AG184" s="265"/>
      <c r="AH184" s="264">
        <f>SpecBuild!I34</f>
        <v>0</v>
      </c>
      <c r="AI184" s="265"/>
      <c r="AJ184" s="264">
        <f>CapResCapPrj!I84</f>
        <v>0</v>
      </c>
      <c r="AK184" s="265"/>
      <c r="AL184" s="264">
        <f>OtherEnterprise!I41</f>
        <v>0</v>
      </c>
      <c r="AM184" s="265"/>
      <c r="AN184" s="264">
        <f>FoodServ!I51</f>
        <v>0</v>
      </c>
      <c r="AO184" s="265"/>
      <c r="AP184" s="264">
        <f>OtherInternal!I43</f>
        <v>0</v>
      </c>
      <c r="AQ184" s="265"/>
      <c r="AR184" s="264"/>
      <c r="AS184" s="265"/>
      <c r="AT184" s="265"/>
      <c r="AU184" s="264">
        <f>RiskRelated!I39</f>
        <v>0</v>
      </c>
      <c r="AV184" s="265"/>
      <c r="AW184" s="264"/>
      <c r="AX184" s="265"/>
      <c r="AY184" s="264"/>
      <c r="AZ184" s="265"/>
      <c r="BA184" s="264"/>
      <c r="BB184" s="265"/>
      <c r="BC184" s="264"/>
      <c r="BD184" s="265"/>
      <c r="BE184" s="264"/>
      <c r="BF184" s="265"/>
      <c r="BG184" s="264"/>
      <c r="BH184" s="265"/>
      <c r="BI184" s="264">
        <f t="shared" si="18"/>
        <v>0</v>
      </c>
      <c r="BJ184" s="268"/>
      <c r="BK184" s="269"/>
      <c r="BL184" s="269"/>
      <c r="BM184" s="270"/>
    </row>
    <row r="185" spans="1:65" s="282" customFormat="1" ht="36.75" thickBot="1" x14ac:dyDescent="0.3">
      <c r="A185" s="258" t="s">
        <v>1679</v>
      </c>
      <c r="B185" s="283" t="s">
        <v>930</v>
      </c>
      <c r="C185" s="265"/>
      <c r="D185" s="264">
        <f>GenFundExp2!I546</f>
        <v>0</v>
      </c>
      <c r="E185" s="265"/>
      <c r="F185" s="264">
        <f>CharterFundExp2!I545</f>
        <v>0</v>
      </c>
      <c r="G185" s="265"/>
      <c r="H185" s="264">
        <f>InsResv!I44</f>
        <v>0</v>
      </c>
      <c r="I185" s="265"/>
      <c r="J185" s="264">
        <f>'CPP Fund'!I122</f>
        <v>0</v>
      </c>
      <c r="K185" s="265"/>
      <c r="L185" s="281">
        <f>ARRAGrants!J176</f>
        <v>0</v>
      </c>
      <c r="M185" s="265"/>
      <c r="N185" s="264">
        <f>CapRes!I76</f>
        <v>0</v>
      </c>
      <c r="O185" s="265"/>
      <c r="P185" s="264">
        <f>GovGrants!J176</f>
        <v>0</v>
      </c>
      <c r="Q185" s="265"/>
      <c r="R185" s="264">
        <f>PupActiv!I62</f>
        <v>0</v>
      </c>
      <c r="S185" s="265"/>
      <c r="T185" s="264">
        <f>FullDayKOverride!I43</f>
        <v>0</v>
      </c>
      <c r="U185" s="265"/>
      <c r="V185" s="264">
        <f>Transp!I42</f>
        <v>0</v>
      </c>
      <c r="W185" s="265"/>
      <c r="X185" s="264">
        <f>OthSpecRev!I64</f>
        <v>0</v>
      </c>
      <c r="Y185" s="265"/>
      <c r="Z185" s="265"/>
      <c r="AA185" s="264"/>
      <c r="AB185" s="265"/>
      <c r="AC185" s="264">
        <f>BondRedm!I41</f>
        <v>0</v>
      </c>
      <c r="AD185" s="264">
        <f>NonVoterDebt!I41</f>
        <v>0</v>
      </c>
      <c r="AE185" s="265"/>
      <c r="AF185" s="264">
        <f>BuildFund!I48</f>
        <v>0</v>
      </c>
      <c r="AG185" s="265"/>
      <c r="AH185" s="264">
        <f>SpecBuild!I35</f>
        <v>0</v>
      </c>
      <c r="AI185" s="265"/>
      <c r="AJ185" s="264">
        <f>CapResCapPrj!I85</f>
        <v>0</v>
      </c>
      <c r="AK185" s="265"/>
      <c r="AL185" s="264">
        <f>OtherEnterprise!I42</f>
        <v>0</v>
      </c>
      <c r="AM185" s="265"/>
      <c r="AN185" s="264">
        <f>FoodServ!I52</f>
        <v>0</v>
      </c>
      <c r="AO185" s="265"/>
      <c r="AP185" s="264">
        <f>OtherInternal!I44</f>
        <v>0</v>
      </c>
      <c r="AQ185" s="265"/>
      <c r="AR185" s="264"/>
      <c r="AS185" s="265"/>
      <c r="AT185" s="265"/>
      <c r="AU185" s="264">
        <f>RiskRelated!I40</f>
        <v>0</v>
      </c>
      <c r="AV185" s="265"/>
      <c r="AW185" s="264">
        <f>'Trust&amp;Agency'!I53</f>
        <v>0</v>
      </c>
      <c r="AX185" s="265"/>
      <c r="AY185" s="264"/>
      <c r="AZ185" s="265"/>
      <c r="BA185" s="264"/>
      <c r="BB185" s="265"/>
      <c r="BC185" s="264">
        <f>PupilActAgency!I54</f>
        <v>0</v>
      </c>
      <c r="BD185" s="265"/>
      <c r="BE185" s="264">
        <f>'Foundation Fund'!I53</f>
        <v>0</v>
      </c>
      <c r="BF185" s="265"/>
      <c r="BG185" s="264"/>
      <c r="BH185" s="265"/>
      <c r="BI185" s="264">
        <f t="shared" si="18"/>
        <v>0</v>
      </c>
      <c r="BJ185" s="265"/>
      <c r="BK185" s="269"/>
      <c r="BL185" s="269"/>
      <c r="BM185" s="270"/>
    </row>
    <row r="186" spans="1:65" s="282" customFormat="1" ht="18.75" thickBot="1" x14ac:dyDescent="0.3">
      <c r="A186" s="271" t="s">
        <v>932</v>
      </c>
      <c r="B186" s="279"/>
      <c r="C186" s="275"/>
      <c r="D186" s="274">
        <f>SUM(D179:D185)</f>
        <v>0</v>
      </c>
      <c r="E186" s="275"/>
      <c r="F186" s="274">
        <f>SUM(F179:F185)</f>
        <v>0</v>
      </c>
      <c r="G186" s="275"/>
      <c r="H186" s="274">
        <f>SUM(H179:H185)</f>
        <v>0</v>
      </c>
      <c r="I186" s="275"/>
      <c r="J186" s="274">
        <f>SUM(J179:J185)</f>
        <v>0</v>
      </c>
      <c r="K186" s="275"/>
      <c r="L186" s="274">
        <f>SUM(L179:L185)</f>
        <v>0</v>
      </c>
      <c r="M186" s="275"/>
      <c r="N186" s="274">
        <f>SUM(N179:N185)</f>
        <v>0</v>
      </c>
      <c r="O186" s="275"/>
      <c r="P186" s="274">
        <f>SUM(P179:P185)</f>
        <v>0</v>
      </c>
      <c r="Q186" s="275"/>
      <c r="R186" s="274">
        <f>SUM(R179:R185)</f>
        <v>0</v>
      </c>
      <c r="S186" s="275"/>
      <c r="T186" s="274">
        <f>SUM(T179:T185)</f>
        <v>0</v>
      </c>
      <c r="U186" s="275"/>
      <c r="V186" s="274">
        <f>SUM(V179:V185)</f>
        <v>0</v>
      </c>
      <c r="W186" s="275"/>
      <c r="X186" s="274">
        <f>SUM(X179:X185)</f>
        <v>0</v>
      </c>
      <c r="Y186" s="275"/>
      <c r="Z186" s="275"/>
      <c r="AA186" s="274">
        <f>SUM(AA179:AA185)</f>
        <v>0</v>
      </c>
      <c r="AB186" s="275"/>
      <c r="AC186" s="274">
        <f>SUM(AC179:AC185)</f>
        <v>0</v>
      </c>
      <c r="AD186" s="274">
        <f>SUM(AD179:AD185)</f>
        <v>0</v>
      </c>
      <c r="AE186" s="275"/>
      <c r="AF186" s="274">
        <f>SUM(AF179:AF185)</f>
        <v>0</v>
      </c>
      <c r="AG186" s="275"/>
      <c r="AH186" s="274">
        <f>SUM(AH179:AH185)</f>
        <v>0</v>
      </c>
      <c r="AI186" s="275"/>
      <c r="AJ186" s="274">
        <f>SUM(AJ179:AJ185)</f>
        <v>0</v>
      </c>
      <c r="AK186" s="275"/>
      <c r="AL186" s="274">
        <f>SUM(AL179:AL185)</f>
        <v>0</v>
      </c>
      <c r="AM186" s="275"/>
      <c r="AN186" s="274">
        <f>SUM(AN179:AN185)</f>
        <v>0</v>
      </c>
      <c r="AO186" s="275"/>
      <c r="AP186" s="274">
        <f>SUM(AP179:AP185)</f>
        <v>0</v>
      </c>
      <c r="AQ186" s="275"/>
      <c r="AR186" s="274">
        <f>SUM(AR179:AR185)</f>
        <v>0</v>
      </c>
      <c r="AS186" s="275"/>
      <c r="AT186" s="275"/>
      <c r="AU186" s="274">
        <f>SUM(AU179:AU185)</f>
        <v>0</v>
      </c>
      <c r="AV186" s="275"/>
      <c r="AW186" s="274">
        <f>SUM(AW179:AW185)</f>
        <v>0</v>
      </c>
      <c r="AX186" s="275"/>
      <c r="AY186" s="274">
        <f>SUM(AY179:AY185)</f>
        <v>0</v>
      </c>
      <c r="AZ186" s="275"/>
      <c r="BA186" s="274">
        <f>SUM(BA179:BA185)</f>
        <v>0</v>
      </c>
      <c r="BB186" s="275"/>
      <c r="BC186" s="274">
        <f>SUM(BC179:BC185)</f>
        <v>0</v>
      </c>
      <c r="BD186" s="275"/>
      <c r="BE186" s="274">
        <f>SUM(BE179:BE185)</f>
        <v>0</v>
      </c>
      <c r="BF186" s="275"/>
      <c r="BG186" s="274">
        <f>SUM(BG179:BG185)</f>
        <v>0</v>
      </c>
      <c r="BH186" s="275"/>
      <c r="BI186" s="274">
        <f t="shared" si="18"/>
        <v>0</v>
      </c>
      <c r="BJ186" s="275"/>
      <c r="BK186" s="276"/>
      <c r="BL186" s="276"/>
      <c r="BM186" s="270"/>
    </row>
    <row r="187" spans="1:65" s="282" customFormat="1" ht="18.75" thickBot="1" x14ac:dyDescent="0.3">
      <c r="A187" s="246"/>
      <c r="B187" s="262"/>
      <c r="C187" s="284"/>
      <c r="D187" s="264"/>
      <c r="E187" s="265"/>
      <c r="F187" s="264"/>
      <c r="G187" s="265"/>
      <c r="H187" s="264"/>
      <c r="I187" s="265"/>
      <c r="J187" s="264"/>
      <c r="K187" s="265"/>
      <c r="L187" s="281"/>
      <c r="M187" s="265"/>
      <c r="N187" s="264"/>
      <c r="O187" s="265"/>
      <c r="P187" s="264"/>
      <c r="Q187" s="265"/>
      <c r="R187" s="264"/>
      <c r="S187" s="265"/>
      <c r="T187" s="264"/>
      <c r="U187" s="265"/>
      <c r="V187" s="264"/>
      <c r="W187" s="265"/>
      <c r="X187" s="264"/>
      <c r="Y187" s="265"/>
      <c r="Z187" s="265"/>
      <c r="AA187" s="264"/>
      <c r="AB187" s="265"/>
      <c r="AC187" s="264"/>
      <c r="AD187" s="264"/>
      <c r="AE187" s="265"/>
      <c r="AF187" s="264"/>
      <c r="AG187" s="265"/>
      <c r="AH187" s="264"/>
      <c r="AI187" s="265"/>
      <c r="AJ187" s="264"/>
      <c r="AK187" s="265"/>
      <c r="AL187" s="264"/>
      <c r="AM187" s="265"/>
      <c r="AN187" s="264"/>
      <c r="AO187" s="265"/>
      <c r="AP187" s="264"/>
      <c r="AQ187" s="265"/>
      <c r="AR187" s="264"/>
      <c r="AS187" s="265"/>
      <c r="AT187" s="265"/>
      <c r="AU187" s="264"/>
      <c r="AV187" s="265"/>
      <c r="AW187" s="264"/>
      <c r="AX187" s="265"/>
      <c r="AY187" s="264"/>
      <c r="AZ187" s="265"/>
      <c r="BA187" s="264"/>
      <c r="BB187" s="265"/>
      <c r="BC187" s="264"/>
      <c r="BD187" s="265"/>
      <c r="BE187" s="264"/>
      <c r="BF187" s="265"/>
      <c r="BG187" s="264"/>
      <c r="BH187" s="265"/>
      <c r="BI187" s="264"/>
      <c r="BJ187" s="284"/>
      <c r="BK187" s="269"/>
      <c r="BL187" s="269"/>
      <c r="BM187" s="270"/>
    </row>
    <row r="188" spans="1:65" s="282" customFormat="1" ht="36.75" thickBot="1" x14ac:dyDescent="0.3">
      <c r="A188" s="271" t="s">
        <v>933</v>
      </c>
      <c r="B188" s="279"/>
      <c r="C188" s="275"/>
      <c r="D188" s="274">
        <f>D176+D186</f>
        <v>0</v>
      </c>
      <c r="E188" s="275"/>
      <c r="F188" s="274">
        <f>F176+F186</f>
        <v>0</v>
      </c>
      <c r="G188" s="275"/>
      <c r="H188" s="274">
        <f>H176+H186</f>
        <v>0</v>
      </c>
      <c r="I188" s="275"/>
      <c r="J188" s="274">
        <f>J176+J186</f>
        <v>0</v>
      </c>
      <c r="K188" s="275"/>
      <c r="L188" s="274">
        <f>L176+L186</f>
        <v>0</v>
      </c>
      <c r="M188" s="275"/>
      <c r="N188" s="274">
        <f>N176+N186</f>
        <v>0</v>
      </c>
      <c r="O188" s="275"/>
      <c r="P188" s="274">
        <f>P176+P186</f>
        <v>0</v>
      </c>
      <c r="Q188" s="275"/>
      <c r="R188" s="274">
        <f>R176+R186</f>
        <v>0</v>
      </c>
      <c r="S188" s="275"/>
      <c r="T188" s="274">
        <f>T176+T186</f>
        <v>0</v>
      </c>
      <c r="U188" s="275"/>
      <c r="V188" s="274">
        <f>V176+V186</f>
        <v>0</v>
      </c>
      <c r="W188" s="275"/>
      <c r="X188" s="274">
        <f>X176+X186</f>
        <v>0</v>
      </c>
      <c r="Y188" s="275"/>
      <c r="Z188" s="275"/>
      <c r="AA188" s="274">
        <f>AA176+AA186</f>
        <v>0</v>
      </c>
      <c r="AB188" s="275"/>
      <c r="AC188" s="274">
        <f>AC176+AC186</f>
        <v>0</v>
      </c>
      <c r="AD188" s="274">
        <f>AD176+AD186</f>
        <v>0</v>
      </c>
      <c r="AE188" s="275"/>
      <c r="AF188" s="274">
        <f>AF176+AF186</f>
        <v>0</v>
      </c>
      <c r="AG188" s="275"/>
      <c r="AH188" s="274">
        <f>AH176+AH186</f>
        <v>0</v>
      </c>
      <c r="AI188" s="275"/>
      <c r="AJ188" s="274">
        <f>AJ176+AJ186</f>
        <v>0</v>
      </c>
      <c r="AK188" s="275"/>
      <c r="AL188" s="274">
        <f>AL176+AL186</f>
        <v>0</v>
      </c>
      <c r="AM188" s="275"/>
      <c r="AN188" s="274">
        <f>AN176+AN186</f>
        <v>0</v>
      </c>
      <c r="AO188" s="275"/>
      <c r="AP188" s="274">
        <f>AP176+AP186</f>
        <v>0</v>
      </c>
      <c r="AQ188" s="275"/>
      <c r="AR188" s="274">
        <f>AR176+AR186</f>
        <v>0</v>
      </c>
      <c r="AS188" s="275"/>
      <c r="AT188" s="275"/>
      <c r="AU188" s="274">
        <f>AU176+AU186</f>
        <v>0</v>
      </c>
      <c r="AV188" s="275"/>
      <c r="AW188" s="274">
        <f>AW176+AW186</f>
        <v>0</v>
      </c>
      <c r="AX188" s="275"/>
      <c r="AY188" s="274">
        <f>AY176+AY186</f>
        <v>0</v>
      </c>
      <c r="AZ188" s="275"/>
      <c r="BA188" s="274">
        <f>BA176+BA186</f>
        <v>0</v>
      </c>
      <c r="BB188" s="275"/>
      <c r="BC188" s="274">
        <f>BC176+BC186</f>
        <v>0</v>
      </c>
      <c r="BD188" s="275"/>
      <c r="BE188" s="274">
        <f>BE176+BE186</f>
        <v>0</v>
      </c>
      <c r="BF188" s="275"/>
      <c r="BG188" s="274">
        <f>BG176+BG186</f>
        <v>0</v>
      </c>
      <c r="BH188" s="275"/>
      <c r="BI188" s="274">
        <f>D188+F188+H188+J188+X188+N188+P188+R188+L188+T188+V188+AA188+AC188+AD188+AF188+AH188+AJ188+AL188+AN188+AP188+AR188+AU188+AW188+AY188+BA188+BC188+BE188+BG188</f>
        <v>0</v>
      </c>
      <c r="BJ188" s="275"/>
      <c r="BK188" s="276"/>
      <c r="BL188" s="276"/>
      <c r="BM188" s="270"/>
    </row>
    <row r="189" spans="1:65" s="282" customFormat="1" ht="18" x14ac:dyDescent="0.25">
      <c r="A189" s="246"/>
      <c r="B189" s="262"/>
      <c r="C189" s="266"/>
      <c r="D189" s="264"/>
      <c r="E189" s="265"/>
      <c r="F189" s="264"/>
      <c r="G189" s="265"/>
      <c r="H189" s="264"/>
      <c r="I189" s="265"/>
      <c r="J189" s="264"/>
      <c r="K189" s="265"/>
      <c r="L189" s="281"/>
      <c r="M189" s="265"/>
      <c r="N189" s="264"/>
      <c r="O189" s="265"/>
      <c r="P189" s="264"/>
      <c r="Q189" s="265"/>
      <c r="R189" s="264"/>
      <c r="S189" s="265"/>
      <c r="T189" s="264"/>
      <c r="U189" s="265"/>
      <c r="V189" s="264"/>
      <c r="W189" s="265"/>
      <c r="X189" s="264"/>
      <c r="Y189" s="265"/>
      <c r="Z189" s="265"/>
      <c r="AA189" s="264"/>
      <c r="AB189" s="265"/>
      <c r="AC189" s="264"/>
      <c r="AD189" s="264"/>
      <c r="AE189" s="265"/>
      <c r="AF189" s="264"/>
      <c r="AG189" s="265"/>
      <c r="AH189" s="264"/>
      <c r="AI189" s="265"/>
      <c r="AJ189" s="264"/>
      <c r="AK189" s="265"/>
      <c r="AL189" s="264"/>
      <c r="AM189" s="265"/>
      <c r="AN189" s="264"/>
      <c r="AO189" s="265"/>
      <c r="AP189" s="264"/>
      <c r="AQ189" s="265"/>
      <c r="AR189" s="264"/>
      <c r="AS189" s="265"/>
      <c r="AT189" s="265"/>
      <c r="AU189" s="264"/>
      <c r="AV189" s="265"/>
      <c r="AW189" s="264"/>
      <c r="AX189" s="265"/>
      <c r="AY189" s="264"/>
      <c r="AZ189" s="265"/>
      <c r="BA189" s="264"/>
      <c r="BB189" s="265"/>
      <c r="BC189" s="264"/>
      <c r="BD189" s="265"/>
      <c r="BE189" s="264"/>
      <c r="BF189" s="265"/>
      <c r="BG189" s="264"/>
      <c r="BH189" s="265"/>
      <c r="BI189" s="264"/>
      <c r="BJ189" s="266"/>
      <c r="BK189" s="269"/>
      <c r="BL189" s="269"/>
      <c r="BM189" s="270"/>
    </row>
    <row r="190" spans="1:65" s="282" customFormat="1" ht="36" x14ac:dyDescent="0.25">
      <c r="A190" s="246" t="s">
        <v>934</v>
      </c>
      <c r="B190" s="262"/>
      <c r="C190" s="266"/>
      <c r="D190" s="264">
        <f>GenFundExp2!I556</f>
        <v>0</v>
      </c>
      <c r="E190" s="265"/>
      <c r="F190" s="264">
        <f>CharterFundExp2!I554</f>
        <v>0</v>
      </c>
      <c r="G190" s="265"/>
      <c r="H190" s="264">
        <v>0</v>
      </c>
      <c r="I190" s="265"/>
      <c r="J190" s="264">
        <v>0</v>
      </c>
      <c r="K190" s="265"/>
      <c r="L190" s="281">
        <v>0</v>
      </c>
      <c r="M190" s="265"/>
      <c r="N190" s="264">
        <v>0</v>
      </c>
      <c r="O190" s="265"/>
      <c r="P190" s="264">
        <v>0</v>
      </c>
      <c r="Q190" s="265"/>
      <c r="R190" s="264">
        <v>0</v>
      </c>
      <c r="S190" s="265"/>
      <c r="T190" s="264">
        <v>0</v>
      </c>
      <c r="U190" s="265"/>
      <c r="V190" s="264">
        <v>0</v>
      </c>
      <c r="W190" s="265"/>
      <c r="X190" s="264">
        <v>0</v>
      </c>
      <c r="Y190" s="265"/>
      <c r="Z190" s="265"/>
      <c r="AA190" s="264">
        <v>0</v>
      </c>
      <c r="AB190" s="265"/>
      <c r="AC190" s="264">
        <v>0</v>
      </c>
      <c r="AD190" s="264">
        <v>0</v>
      </c>
      <c r="AE190" s="265"/>
      <c r="AF190" s="264">
        <v>0</v>
      </c>
      <c r="AG190" s="265"/>
      <c r="AH190" s="264">
        <v>0</v>
      </c>
      <c r="AI190" s="265"/>
      <c r="AJ190" s="264">
        <v>0</v>
      </c>
      <c r="AK190" s="265"/>
      <c r="AL190" s="264">
        <v>0</v>
      </c>
      <c r="AM190" s="265"/>
      <c r="AN190" s="264">
        <v>0</v>
      </c>
      <c r="AO190" s="265"/>
      <c r="AP190" s="264">
        <v>0</v>
      </c>
      <c r="AQ190" s="265"/>
      <c r="AR190" s="264">
        <v>0</v>
      </c>
      <c r="AS190" s="265"/>
      <c r="AT190" s="265"/>
      <c r="AU190" s="264">
        <v>0</v>
      </c>
      <c r="AV190" s="265"/>
      <c r="AW190" s="264">
        <v>0</v>
      </c>
      <c r="AX190" s="265"/>
      <c r="AY190" s="264">
        <v>0</v>
      </c>
      <c r="AZ190" s="265"/>
      <c r="BA190" s="264">
        <v>0</v>
      </c>
      <c r="BB190" s="265"/>
      <c r="BC190" s="264">
        <v>0</v>
      </c>
      <c r="BD190" s="265"/>
      <c r="BE190" s="264">
        <v>0</v>
      </c>
      <c r="BF190" s="265"/>
      <c r="BG190" s="656">
        <f>Arbitrage!G35</f>
        <v>0</v>
      </c>
      <c r="BH190" s="265"/>
      <c r="BI190" s="264">
        <f>D190+F190+H190+J190+X190+N190+P190+R190+L190+T190+V190+AA190+AC190+AD190+AF190+AH190+AJ190+AL190+AN190+AP190+AR190+AU190+AW190+AY190+BA190+BC190+BE190+BG190</f>
        <v>0</v>
      </c>
      <c r="BJ190" s="266"/>
      <c r="BK190" s="269"/>
      <c r="BL190" s="269"/>
      <c r="BM190" s="270"/>
    </row>
    <row r="191" spans="1:65" s="282" customFormat="1" ht="18.75" thickBot="1" x14ac:dyDescent="0.3">
      <c r="A191" s="258"/>
      <c r="B191" s="259"/>
      <c r="C191" s="284"/>
      <c r="D191" s="281"/>
      <c r="E191" s="265"/>
      <c r="F191" s="281"/>
      <c r="G191" s="265"/>
      <c r="H191" s="281"/>
      <c r="I191" s="265"/>
      <c r="J191" s="281"/>
      <c r="K191" s="265"/>
      <c r="L191" s="281"/>
      <c r="M191" s="265"/>
      <c r="N191" s="281"/>
      <c r="O191" s="265"/>
      <c r="P191" s="281"/>
      <c r="Q191" s="265"/>
      <c r="R191" s="281"/>
      <c r="S191" s="265"/>
      <c r="T191" s="281"/>
      <c r="U191" s="265"/>
      <c r="V191" s="281"/>
      <c r="W191" s="265"/>
      <c r="X191" s="281"/>
      <c r="Y191" s="265"/>
      <c r="Z191" s="265"/>
      <c r="AA191" s="281"/>
      <c r="AB191" s="265"/>
      <c r="AC191" s="281"/>
      <c r="AD191" s="281"/>
      <c r="AE191" s="265"/>
      <c r="AF191" s="281"/>
      <c r="AG191" s="265"/>
      <c r="AH191" s="281"/>
      <c r="AI191" s="265"/>
      <c r="AJ191" s="281"/>
      <c r="AK191" s="265"/>
      <c r="AL191" s="281"/>
      <c r="AM191" s="265"/>
      <c r="AN191" s="281"/>
      <c r="AO191" s="265"/>
      <c r="AP191" s="281"/>
      <c r="AQ191" s="265"/>
      <c r="AR191" s="281"/>
      <c r="AS191" s="265"/>
      <c r="AT191" s="265"/>
      <c r="AU191" s="281"/>
      <c r="AV191" s="265"/>
      <c r="AW191" s="281"/>
      <c r="AX191" s="265"/>
      <c r="AY191" s="281"/>
      <c r="AZ191" s="265"/>
      <c r="BA191" s="281"/>
      <c r="BB191" s="265"/>
      <c r="BC191" s="281"/>
      <c r="BD191" s="265"/>
      <c r="BE191" s="281"/>
      <c r="BF191" s="265"/>
      <c r="BG191" s="281"/>
      <c r="BH191" s="265"/>
      <c r="BI191" s="264"/>
      <c r="BJ191" s="284"/>
      <c r="BK191" s="285"/>
      <c r="BL191" s="285"/>
    </row>
    <row r="192" spans="1:65" s="282" customFormat="1" ht="90.75" thickBot="1" x14ac:dyDescent="0.3">
      <c r="A192" s="271" t="s">
        <v>935</v>
      </c>
      <c r="B192" s="279"/>
      <c r="C192" s="275"/>
      <c r="D192" s="274">
        <f>D29-D188-D190</f>
        <v>0</v>
      </c>
      <c r="E192" s="275"/>
      <c r="F192" s="274">
        <f>F29-F188-F190</f>
        <v>0</v>
      </c>
      <c r="G192" s="275"/>
      <c r="H192" s="274">
        <f>H29-H188-H190</f>
        <v>0</v>
      </c>
      <c r="I192" s="275"/>
      <c r="J192" s="274">
        <f>J29-J188-J190</f>
        <v>0</v>
      </c>
      <c r="K192" s="275"/>
      <c r="L192" s="274">
        <f>L29-L188-L190</f>
        <v>0</v>
      </c>
      <c r="M192" s="275"/>
      <c r="N192" s="274">
        <f>N29-N188-N190</f>
        <v>0</v>
      </c>
      <c r="O192" s="275"/>
      <c r="P192" s="274">
        <f>P29-P188-P190</f>
        <v>0</v>
      </c>
      <c r="Q192" s="275"/>
      <c r="R192" s="274">
        <f>R29-R188-R190</f>
        <v>0</v>
      </c>
      <c r="S192" s="275"/>
      <c r="T192" s="274">
        <f>T29-T188-T190</f>
        <v>0</v>
      </c>
      <c r="U192" s="275"/>
      <c r="V192" s="274">
        <f>V29-V188-V190</f>
        <v>0</v>
      </c>
      <c r="W192" s="275"/>
      <c r="X192" s="274">
        <f>X29-X188-X190</f>
        <v>0</v>
      </c>
      <c r="Y192" s="275"/>
      <c r="Z192" s="275"/>
      <c r="AA192" s="274">
        <f>AA29-AA188-AA190</f>
        <v>0</v>
      </c>
      <c r="AB192" s="275"/>
      <c r="AC192" s="274">
        <f>AC29-AC188-AC190</f>
        <v>0</v>
      </c>
      <c r="AD192" s="274">
        <f>AD29-AD188-AD190</f>
        <v>0</v>
      </c>
      <c r="AE192" s="275"/>
      <c r="AF192" s="274">
        <f>AF29-AF188-AF190</f>
        <v>0</v>
      </c>
      <c r="AG192" s="275"/>
      <c r="AH192" s="274">
        <f>AH29-AH188-AH190</f>
        <v>0</v>
      </c>
      <c r="AI192" s="275"/>
      <c r="AJ192" s="274">
        <f>AJ29-AJ188-AJ190</f>
        <v>0</v>
      </c>
      <c r="AK192" s="275"/>
      <c r="AL192" s="274">
        <f>AL29-AL188-AL190</f>
        <v>0</v>
      </c>
      <c r="AM192" s="275"/>
      <c r="AN192" s="274">
        <f>AN29-AN188-AN190</f>
        <v>0</v>
      </c>
      <c r="AO192" s="275"/>
      <c r="AP192" s="274">
        <f>AP29-AP188-AP190</f>
        <v>0</v>
      </c>
      <c r="AQ192" s="275"/>
      <c r="AR192" s="274">
        <f>AR29-AR188-AR190</f>
        <v>0</v>
      </c>
      <c r="AS192" s="275"/>
      <c r="AT192" s="275"/>
      <c r="AU192" s="274">
        <f>AU29-AU188-AU190</f>
        <v>0</v>
      </c>
      <c r="AV192" s="275"/>
      <c r="AW192" s="274">
        <f>AW29-AW188-AW190</f>
        <v>0</v>
      </c>
      <c r="AX192" s="275"/>
      <c r="AY192" s="274">
        <f>AY29-AY188-AY190</f>
        <v>0</v>
      </c>
      <c r="AZ192" s="275"/>
      <c r="BA192" s="274">
        <f>BA29-BA188-BA190</f>
        <v>0</v>
      </c>
      <c r="BB192" s="275"/>
      <c r="BC192" s="274">
        <f>BC29-BC188-BC190</f>
        <v>0</v>
      </c>
      <c r="BD192" s="275"/>
      <c r="BE192" s="274">
        <f>BE29-BE188-BE190</f>
        <v>0</v>
      </c>
      <c r="BF192" s="275"/>
      <c r="BG192" s="274">
        <f>BG29-BG188-BG190</f>
        <v>0</v>
      </c>
      <c r="BH192" s="275"/>
      <c r="BI192" s="274">
        <f>D192+F192+H192+J192+X192+N192+P192+R192+L192+T192+V192+AA192+AC192+AD192+AF192+AH192+AJ192+AL192+AN192+AP192+AR192+AU192+AW192+AY192+BA192+BC192+BE192+BG192</f>
        <v>0</v>
      </c>
      <c r="BJ192" s="275"/>
      <c r="BK192" s="286"/>
      <c r="BL192" s="286"/>
    </row>
    <row r="193" spans="1:65" x14ac:dyDescent="0.2">
      <c r="A193" s="706"/>
      <c r="B193" s="707"/>
      <c r="C193" s="708"/>
      <c r="D193" s="287"/>
      <c r="E193" s="709"/>
      <c r="F193" s="287"/>
      <c r="G193" s="709"/>
      <c r="H193" s="287"/>
      <c r="I193" s="709"/>
      <c r="J193" s="287"/>
      <c r="K193" s="709"/>
      <c r="L193" s="287"/>
      <c r="M193" s="709"/>
      <c r="N193" s="287"/>
      <c r="O193" s="709"/>
      <c r="P193" s="287"/>
      <c r="Q193" s="709"/>
      <c r="R193" s="287"/>
      <c r="S193" s="709"/>
      <c r="T193" s="287"/>
      <c r="U193" s="709"/>
      <c r="V193" s="287"/>
      <c r="W193" s="709"/>
      <c r="X193" s="287"/>
      <c r="Y193" s="709"/>
      <c r="Z193" s="709"/>
      <c r="AA193" s="287"/>
      <c r="AB193" s="709"/>
      <c r="AC193" s="287"/>
      <c r="AD193" s="287"/>
      <c r="AE193" s="709"/>
      <c r="AF193" s="287"/>
      <c r="AG193" s="709"/>
      <c r="AH193" s="287"/>
      <c r="AI193" s="709"/>
      <c r="AJ193" s="287"/>
      <c r="AK193" s="709"/>
      <c r="AL193" s="287"/>
      <c r="AM193" s="709"/>
      <c r="AN193" s="287"/>
      <c r="AO193" s="709"/>
      <c r="AP193" s="287"/>
      <c r="AQ193" s="709"/>
      <c r="AR193" s="287"/>
      <c r="AS193" s="709"/>
      <c r="AT193" s="709"/>
      <c r="AU193" s="287"/>
      <c r="AV193" s="709"/>
      <c r="AW193" s="287"/>
      <c r="AX193" s="709"/>
      <c r="AY193" s="287"/>
      <c r="AZ193" s="709"/>
      <c r="BA193" s="287"/>
      <c r="BB193" s="709"/>
      <c r="BC193" s="287"/>
      <c r="BD193" s="709"/>
      <c r="BE193" s="287"/>
      <c r="BF193" s="709"/>
      <c r="BG193" s="287"/>
      <c r="BH193" s="709"/>
      <c r="BI193" s="288"/>
      <c r="BJ193" s="708"/>
      <c r="BK193" s="710"/>
      <c r="BL193" s="710"/>
      <c r="BM193" s="698"/>
    </row>
    <row r="194" spans="1:65" x14ac:dyDescent="0.2"/>
    <row r="195" spans="1:65" x14ac:dyDescent="0.2"/>
    <row r="196" spans="1:65" hidden="1" x14ac:dyDescent="0.2"/>
  </sheetData>
  <sheetProtection password="CB03" sheet="1" objects="1" scenarios="1" insertColumns="0" insertRows="0" deleteColumns="0" deleteRows="0"/>
  <phoneticPr fontId="0" type="noConversion"/>
  <pageMargins left="0.75" right="0.75" top="1" bottom="1" header="0.5" footer="0.5"/>
  <pageSetup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24</vt:i4>
      </vt:variant>
    </vt:vector>
  </HeadingPairs>
  <TitlesOfParts>
    <vt:vector size="73" baseType="lpstr">
      <vt:lpstr>General Instructions</vt:lpstr>
      <vt:lpstr>Page 1 - FY2013-14</vt:lpstr>
      <vt:lpstr>Salary Schedule</vt:lpstr>
      <vt:lpstr>Linked Program Codes</vt:lpstr>
      <vt:lpstr>Staff Details</vt:lpstr>
      <vt:lpstr>GenFundREV</vt:lpstr>
      <vt:lpstr>GenFundExp</vt:lpstr>
      <vt:lpstr>GenFundExp2</vt:lpstr>
      <vt:lpstr>CharterFundRev</vt:lpstr>
      <vt:lpstr>CharterFundExp</vt:lpstr>
      <vt:lpstr>CharterFundExp2</vt:lpstr>
      <vt:lpstr>InsResv</vt:lpstr>
      <vt:lpstr>CPP Fund</vt:lpstr>
      <vt:lpstr>Fund 20 Grants</vt:lpstr>
      <vt:lpstr>ARRAGrants</vt:lpstr>
      <vt:lpstr>CapRes</vt:lpstr>
      <vt:lpstr>Fund 22 Grants</vt:lpstr>
      <vt:lpstr>GovGrants</vt:lpstr>
      <vt:lpstr>PupActiv</vt:lpstr>
      <vt:lpstr>FullDayKOverride</vt:lpstr>
      <vt:lpstr>Transp</vt:lpstr>
      <vt:lpstr>OthSpecRev</vt:lpstr>
      <vt:lpstr>BondRedm</vt:lpstr>
      <vt:lpstr>NonVoterDebt</vt:lpstr>
      <vt:lpstr>BuildFund</vt:lpstr>
      <vt:lpstr>SpecBuild</vt:lpstr>
      <vt:lpstr>CapResCapPrj</vt:lpstr>
      <vt:lpstr>FoodServ</vt:lpstr>
      <vt:lpstr>OtherEnterprise</vt:lpstr>
      <vt:lpstr>RiskRelated</vt:lpstr>
      <vt:lpstr>OtherInternal</vt:lpstr>
      <vt:lpstr>PupilActAgency</vt:lpstr>
      <vt:lpstr>Trust&amp;Agency</vt:lpstr>
      <vt:lpstr>Foundation Fund</vt:lpstr>
      <vt:lpstr>GASB 34 Perm. Fund</vt:lpstr>
      <vt:lpstr>Arbitrage</vt:lpstr>
      <vt:lpstr>District Debt</vt:lpstr>
      <vt:lpstr>AppropRes</vt:lpstr>
      <vt:lpstr>CDE-18 Error Report</vt:lpstr>
      <vt:lpstr>Tabor Spending Limitations</vt:lpstr>
      <vt:lpstr>Tabor Property Tax Limitation</vt:lpstr>
      <vt:lpstr>Budget Summary Worksheet</vt:lpstr>
      <vt:lpstr>Budget Summaries 1</vt:lpstr>
      <vt:lpstr>Budget Summaries 2</vt:lpstr>
      <vt:lpstr>Budget Summaries 3</vt:lpstr>
      <vt:lpstr>Budget Summaries 4</vt:lpstr>
      <vt:lpstr>Budget Summaries 5</vt:lpstr>
      <vt:lpstr>Uniform Budget Summary</vt:lpstr>
      <vt:lpstr>Sheet1</vt:lpstr>
      <vt:lpstr>AllowFundHlook</vt:lpstr>
      <vt:lpstr>AllowProg</vt:lpstr>
      <vt:lpstr>CertBen</vt:lpstr>
      <vt:lpstr>CertFund</vt:lpstr>
      <vt:lpstr>CertGrant</vt:lpstr>
      <vt:lpstr>CertObj</vt:lpstr>
      <vt:lpstr>CertProg</vt:lpstr>
      <vt:lpstr>CertSalary</vt:lpstr>
      <vt:lpstr>'Fund 20 Grants'!Fund22Grants</vt:lpstr>
      <vt:lpstr>Fund22Grants</vt:lpstr>
      <vt:lpstr>'Fund 20 Grants'!Print_Area</vt:lpstr>
      <vt:lpstr>'Fund 22 Grants'!Print_Area</vt:lpstr>
      <vt:lpstr>GenFundExp!Print_Area</vt:lpstr>
      <vt:lpstr>ARRAGrants!Print_Titles</vt:lpstr>
      <vt:lpstr>CapRes!Print_Titles</vt:lpstr>
      <vt:lpstr>CapResCapPrj!Print_Titles</vt:lpstr>
      <vt:lpstr>'CPP Fund'!Print_Titles</vt:lpstr>
      <vt:lpstr>FullDayKOverride!Print_Titles</vt:lpstr>
      <vt:lpstr>GenFundExp!Print_Titles</vt:lpstr>
      <vt:lpstr>GenFundExp2!Print_Titles</vt:lpstr>
      <vt:lpstr>GenFundREV!Print_Titles</vt:lpstr>
      <vt:lpstr>GovGrants!Print_Titles</vt:lpstr>
      <vt:lpstr>OthSpecRev!Print_Titles</vt:lpstr>
      <vt:lpstr>Transp!Print_Titles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CDE-18 1999</dc:title>
  <dc:creator>Adam Williams</dc:creator>
  <cp:lastModifiedBy>Lucero, Yolanda</cp:lastModifiedBy>
  <cp:lastPrinted>2012-06-20T18:19:06Z</cp:lastPrinted>
  <dcterms:created xsi:type="dcterms:W3CDTF">2000-04-11T18:35:43Z</dcterms:created>
  <dcterms:modified xsi:type="dcterms:W3CDTF">2013-07-18T15:27:09Z</dcterms:modified>
</cp:coreProperties>
</file>