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288" windowWidth="18792" windowHeight="11640"/>
  </bookViews>
  <sheets>
    <sheet name="Sheet1" sheetId="1" r:id="rId1"/>
    <sheet name="Sheet2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AE63" i="1" l="1"/>
  <c r="AE62" i="1"/>
  <c r="AE61" i="1"/>
  <c r="AE60" i="1"/>
  <c r="AE59" i="1"/>
  <c r="AE58" i="1"/>
  <c r="AE57" i="1"/>
  <c r="AE56" i="1"/>
  <c r="AE55" i="1"/>
  <c r="AE54" i="1"/>
  <c r="AE53" i="1"/>
  <c r="AE52" i="1"/>
  <c r="AE51" i="1"/>
  <c r="AB51" i="1"/>
  <c r="AE50" i="1"/>
  <c r="AB50" i="1"/>
  <c r="AE49" i="1"/>
  <c r="AB49" i="1"/>
  <c r="AB48" i="1"/>
  <c r="AB46" i="1"/>
  <c r="AB45" i="1"/>
  <c r="AB44" i="1"/>
  <c r="Y43" i="1"/>
  <c r="Y44" i="1"/>
  <c r="AB43" i="1"/>
  <c r="AB42" i="1"/>
  <c r="Y42" i="1"/>
  <c r="Y41" i="1"/>
  <c r="Y39" i="1"/>
  <c r="Y38" i="1"/>
  <c r="Y37" i="1"/>
  <c r="Y36" i="1"/>
  <c r="V36" i="1"/>
  <c r="Y35" i="1"/>
  <c r="V27" i="1"/>
  <c r="W27" i="1" s="1"/>
  <c r="V35" i="1"/>
  <c r="V34" i="1"/>
  <c r="V33" i="1"/>
  <c r="V31" i="1"/>
  <c r="V30" i="1"/>
  <c r="V29" i="1"/>
  <c r="V28" i="1"/>
  <c r="M16" i="1"/>
  <c r="AG63" i="1" l="1"/>
  <c r="AG62" i="1"/>
  <c r="AG61" i="1"/>
  <c r="AG60" i="1"/>
  <c r="AG59" i="1"/>
  <c r="AG58" i="1"/>
  <c r="AG57" i="1"/>
  <c r="AG56" i="1"/>
  <c r="AG55" i="1"/>
  <c r="AG54" i="1"/>
  <c r="AG53" i="1"/>
  <c r="AG52" i="1"/>
  <c r="AG51" i="1"/>
  <c r="AG50" i="1"/>
  <c r="AG49" i="1"/>
  <c r="AC51" i="1"/>
  <c r="AC50" i="1"/>
  <c r="AC49" i="1"/>
  <c r="AC48" i="1"/>
  <c r="AC46" i="1"/>
  <c r="AC45" i="1"/>
  <c r="AC44" i="1"/>
  <c r="AC43" i="1"/>
  <c r="AC42" i="1"/>
  <c r="Z44" i="1"/>
  <c r="Z43" i="1"/>
  <c r="Z42" i="1"/>
  <c r="Z41" i="1"/>
  <c r="Z39" i="1"/>
  <c r="Z38" i="1"/>
  <c r="Z37" i="1"/>
  <c r="Z36" i="1"/>
  <c r="Z35" i="1"/>
  <c r="W36" i="1"/>
  <c r="W35" i="1"/>
  <c r="W34" i="1"/>
  <c r="W33" i="1"/>
  <c r="W31" i="1"/>
  <c r="W30" i="1"/>
  <c r="W29" i="1"/>
  <c r="W28" i="1"/>
  <c r="S28" i="1"/>
  <c r="S27" i="1"/>
  <c r="S26" i="1"/>
  <c r="S25" i="1"/>
  <c r="S24" i="1"/>
  <c r="S23" i="1"/>
  <c r="T23" i="1" s="1"/>
  <c r="S22" i="1"/>
  <c r="P23" i="1"/>
  <c r="P22" i="1"/>
  <c r="P21" i="1"/>
  <c r="P20" i="1"/>
  <c r="P19" i="1"/>
  <c r="P18" i="1"/>
  <c r="P17" i="1"/>
  <c r="Q17" i="1" s="1"/>
  <c r="M18" i="1"/>
  <c r="M17" i="1"/>
  <c r="M15" i="1"/>
  <c r="N15" i="1" s="1"/>
  <c r="M14" i="1"/>
  <c r="M13" i="1"/>
  <c r="N13" i="1" s="1"/>
  <c r="M12" i="1"/>
  <c r="M11" i="1"/>
  <c r="J12" i="1"/>
  <c r="J11" i="1"/>
  <c r="J10" i="1"/>
  <c r="J9" i="1"/>
  <c r="K9" i="1" s="1"/>
  <c r="G9" i="1"/>
  <c r="G8" i="1"/>
  <c r="H8" i="1" s="1"/>
  <c r="G7" i="1"/>
  <c r="H7" i="1" s="1"/>
  <c r="D8" i="1"/>
  <c r="D7" i="1"/>
  <c r="D6" i="1"/>
  <c r="E6" i="1" s="1"/>
  <c r="I7" i="1" l="1"/>
  <c r="E7" i="1"/>
  <c r="F7" i="1" s="1"/>
  <c r="T28" i="1"/>
  <c r="U28" i="1" s="1"/>
  <c r="T27" i="1"/>
  <c r="U27" i="1" s="1"/>
  <c r="T26" i="1"/>
  <c r="U26" i="1" s="1"/>
  <c r="T25" i="1"/>
  <c r="U25" i="1" s="1"/>
  <c r="T24" i="1"/>
  <c r="U24" i="1" s="1"/>
  <c r="Q23" i="1"/>
  <c r="R23" i="1" s="1"/>
  <c r="U23" i="1"/>
  <c r="Q22" i="1"/>
  <c r="R22" i="1" s="1"/>
  <c r="T22" i="1"/>
  <c r="U22" i="1" s="1"/>
  <c r="Q21" i="1"/>
  <c r="R21" i="1" s="1"/>
  <c r="Q20" i="1"/>
  <c r="R20" i="1" s="1"/>
  <c r="Q19" i="1"/>
  <c r="R19" i="1" s="1"/>
  <c r="N18" i="1"/>
  <c r="O18" i="1" s="1"/>
  <c r="Q18" i="1"/>
  <c r="R18" i="1" s="1"/>
  <c r="N17" i="1"/>
  <c r="O17" i="1" s="1"/>
  <c r="R17" i="1"/>
  <c r="N16" i="1"/>
  <c r="O16" i="1" s="1"/>
  <c r="O15" i="1"/>
  <c r="N14" i="1"/>
  <c r="O14" i="1" s="1"/>
  <c r="O13" i="1"/>
  <c r="K12" i="1"/>
  <c r="L12" i="1" s="1"/>
  <c r="N12" i="1"/>
  <c r="O12" i="1" s="1"/>
  <c r="K11" i="1"/>
  <c r="L11" i="1" s="1"/>
  <c r="N11" i="1"/>
  <c r="O11" i="1" s="1"/>
  <c r="K10" i="1"/>
  <c r="L10" i="1" s="1"/>
  <c r="H9" i="1"/>
  <c r="I9" i="1" s="1"/>
  <c r="L9" i="1"/>
  <c r="I8" i="1"/>
  <c r="E8" i="1"/>
  <c r="F8" i="1" s="1"/>
  <c r="F6" i="1"/>
  <c r="AH56" i="1"/>
  <c r="AH55" i="1"/>
  <c r="AH54" i="1"/>
  <c r="AH53" i="1"/>
  <c r="AH52" i="1"/>
  <c r="AH51" i="1"/>
  <c r="AH50" i="1"/>
  <c r="AH49" i="1"/>
  <c r="AH63" i="1"/>
  <c r="AH62" i="1"/>
  <c r="AH61" i="1"/>
  <c r="AH60" i="1"/>
  <c r="AH59" i="1"/>
  <c r="AH58" i="1"/>
  <c r="AH57" i="1"/>
  <c r="AD51" i="1"/>
  <c r="AD50" i="1"/>
  <c r="AD49" i="1"/>
  <c r="AD48" i="1"/>
  <c r="AD46" i="1"/>
  <c r="AD45" i="1"/>
  <c r="AD44" i="1"/>
  <c r="AD43" i="1"/>
  <c r="AD42" i="1"/>
  <c r="AA44" i="1"/>
  <c r="AA43" i="1"/>
  <c r="AA42" i="1"/>
  <c r="AA41" i="1"/>
  <c r="AA39" i="1"/>
  <c r="AA38" i="1"/>
  <c r="AA37" i="1"/>
  <c r="AA36" i="1"/>
  <c r="AA35" i="1"/>
  <c r="X36" i="1"/>
  <c r="X35" i="1"/>
  <c r="X34" i="1"/>
  <c r="X33" i="1"/>
  <c r="X31" i="1"/>
  <c r="X30" i="1"/>
  <c r="X29" i="1"/>
  <c r="X28" i="1"/>
  <c r="X27" i="1"/>
</calcChain>
</file>

<file path=xl/sharedStrings.xml><?xml version="1.0" encoding="utf-8"?>
<sst xmlns="http://schemas.openxmlformats.org/spreadsheetml/2006/main" count="58" uniqueCount="18">
  <si>
    <t>#</t>
  </si>
  <si>
    <t>Grade 7</t>
  </si>
  <si>
    <t>Grade 8</t>
  </si>
  <si>
    <t>Grade 9</t>
  </si>
  <si>
    <t>Grade 10</t>
  </si>
  <si>
    <t>Spine Point</t>
  </si>
  <si>
    <t>Spinal Salary</t>
  </si>
  <si>
    <t>Basic Rate</t>
  </si>
  <si>
    <t>Holiday Pay</t>
  </si>
  <si>
    <t>Total</t>
  </si>
  <si>
    <t>Grade 1</t>
  </si>
  <si>
    <t>Grade 2</t>
  </si>
  <si>
    <t>Grade 3</t>
  </si>
  <si>
    <t>Grade 4</t>
  </si>
  <si>
    <t>Grade 5</t>
  </si>
  <si>
    <t>Grade 6</t>
  </si>
  <si>
    <t>Hourly Rate of Pay for Casual Staff (£) - 1 August 2014</t>
  </si>
  <si>
    <t>From 1 December 2014 all casual workers must not be paid below the New Living Wage rate of £8.70 (£7.85 plus 85p holiday pay)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</si>
</sst>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8" xfId="0" applyBorder="1"/>
    <xf numFmtId="2" fontId="0" fillId="0" borderId="8" xfId="0" applyNumberFormat="1" applyBorder="1"/>
    <xf numFmtId="2" fontId="0" fillId="2" borderId="8" xfId="0" applyNumberFormat="1" applyFill="1" applyBorder="1"/>
    <xf numFmtId="0" fontId="0" fillId="0" borderId="7" xfId="0" applyBorder="1"/>
    <xf numFmtId="2" fontId="0" fillId="0" borderId="3" xfId="0" applyNumberFormat="1" applyBorder="1"/>
    <xf numFmtId="2" fontId="0" fillId="2" borderId="3" xfId="0" applyNumberFormat="1" applyFill="1" applyBorder="1"/>
    <xf numFmtId="2" fontId="0" fillId="2" borderId="5" xfId="0" applyNumberFormat="1" applyFill="1" applyBorder="1"/>
    <xf numFmtId="0" fontId="0" fillId="0" borderId="18" xfId="0" applyBorder="1"/>
    <xf numFmtId="0" fontId="0" fillId="0" borderId="17" xfId="0" applyBorder="1"/>
    <xf numFmtId="0" fontId="0" fillId="0" borderId="19" xfId="0" applyBorder="1"/>
    <xf numFmtId="0" fontId="0" fillId="2" borderId="4" xfId="0" applyFill="1" applyBorder="1"/>
    <xf numFmtId="0" fontId="0" fillId="2" borderId="6" xfId="0" applyFill="1" applyBorder="1"/>
    <xf numFmtId="2" fontId="0" fillId="0" borderId="17" xfId="0" applyNumberFormat="1" applyBorder="1"/>
    <xf numFmtId="2" fontId="0" fillId="0" borderId="20" xfId="0" applyNumberFormat="1" applyBorder="1"/>
    <xf numFmtId="2" fontId="0" fillId="2" borderId="21" xfId="0" applyNumberFormat="1" applyFill="1" applyBorder="1"/>
    <xf numFmtId="2" fontId="0" fillId="0" borderId="23" xfId="0" applyNumberFormat="1" applyBorder="1"/>
    <xf numFmtId="0" fontId="0" fillId="0" borderId="24" xfId="0" applyBorder="1"/>
    <xf numFmtId="2" fontId="0" fillId="0" borderId="22" xfId="0" applyNumberFormat="1" applyBorder="1"/>
    <xf numFmtId="2" fontId="0" fillId="2" borderId="20" xfId="0" applyNumberFormat="1" applyFill="1" applyBorder="1"/>
    <xf numFmtId="2" fontId="0" fillId="2" borderId="17" xfId="0" applyNumberFormat="1" applyFill="1" applyBorder="1"/>
    <xf numFmtId="2" fontId="0" fillId="2" borderId="7" xfId="0" applyNumberFormat="1" applyFill="1" applyBorder="1"/>
    <xf numFmtId="2" fontId="0" fillId="2" borderId="9" xfId="0" applyNumberFormat="1" applyFill="1" applyBorder="1"/>
    <xf numFmtId="2" fontId="0" fillId="2" borderId="23" xfId="0" applyNumberFormat="1" applyFill="1" applyBorder="1"/>
    <xf numFmtId="0" fontId="0" fillId="2" borderId="24" xfId="0" applyFill="1" applyBorder="1"/>
    <xf numFmtId="2" fontId="0" fillId="2" borderId="22" xfId="0" applyNumberFormat="1" applyFill="1" applyBorder="1"/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15" xfId="0" applyFont="1" applyFill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17" xfId="0" applyFont="1" applyFill="1" applyBorder="1" applyAlignment="1">
      <alignment horizontal="center" wrapText="1"/>
    </xf>
    <xf numFmtId="0" fontId="0" fillId="0" borderId="18" xfId="0" applyFont="1" applyBorder="1" applyAlignment="1">
      <alignment horizontal="right" wrapText="1"/>
    </xf>
    <xf numFmtId="0" fontId="0" fillId="0" borderId="3" xfId="0" applyFont="1" applyBorder="1" applyAlignment="1">
      <alignment horizontal="center" wrapText="1"/>
    </xf>
    <xf numFmtId="0" fontId="1" fillId="0" borderId="21" xfId="0" applyFont="1" applyBorder="1" applyAlignment="1">
      <alignment horizontal="center" wrapText="1"/>
    </xf>
    <xf numFmtId="2" fontId="0" fillId="0" borderId="20" xfId="0" applyNumberFormat="1" applyFont="1" applyBorder="1" applyAlignment="1">
      <alignment horizontal="right" wrapText="1"/>
    </xf>
    <xf numFmtId="2" fontId="0" fillId="0" borderId="20" xfId="0" applyNumberFormat="1" applyFont="1" applyBorder="1" applyAlignment="1">
      <alignment horizontal="right"/>
    </xf>
    <xf numFmtId="0" fontId="1" fillId="0" borderId="20" xfId="0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 wrapText="1"/>
    </xf>
    <xf numFmtId="2" fontId="0" fillId="0" borderId="8" xfId="0" applyNumberFormat="1" applyFont="1" applyBorder="1" applyAlignment="1">
      <alignment horizontal="right"/>
    </xf>
    <xf numFmtId="0" fontId="1" fillId="0" borderId="8" xfId="0" applyFont="1" applyBorder="1" applyAlignment="1">
      <alignment horizontal="right" wrapText="1"/>
    </xf>
    <xf numFmtId="0" fontId="0" fillId="0" borderId="8" xfId="0" applyBorder="1" applyAlignment="1">
      <alignment horizontal="right"/>
    </xf>
    <xf numFmtId="2" fontId="0" fillId="2" borderId="8" xfId="0" applyNumberFormat="1" applyFont="1" applyFill="1" applyBorder="1" applyAlignment="1">
      <alignment horizontal="right" wrapText="1"/>
    </xf>
    <xf numFmtId="2" fontId="0" fillId="2" borderId="8" xfId="0" applyNumberFormat="1" applyFont="1" applyFill="1" applyBorder="1" applyAlignment="1">
      <alignment horizontal="right"/>
    </xf>
    <xf numFmtId="2" fontId="0" fillId="2" borderId="21" xfId="0" applyNumberFormat="1" applyFont="1" applyFill="1" applyBorder="1" applyAlignment="1">
      <alignment horizontal="right" wrapText="1"/>
    </xf>
    <xf numFmtId="2" fontId="0" fillId="2" borderId="21" xfId="0" applyNumberFormat="1" applyFont="1" applyFill="1" applyBorder="1" applyAlignment="1">
      <alignment horizontal="right"/>
    </xf>
    <xf numFmtId="2" fontId="0" fillId="2" borderId="16" xfId="0" applyNumberFormat="1" applyFont="1" applyFill="1" applyBorder="1" applyAlignment="1">
      <alignment horizontal="right" wrapText="1"/>
    </xf>
    <xf numFmtId="2" fontId="0" fillId="2" borderId="16" xfId="0" applyNumberFormat="1" applyFont="1" applyFill="1" applyBorder="1" applyAlignment="1">
      <alignment horizontal="right"/>
    </xf>
    <xf numFmtId="2" fontId="0" fillId="2" borderId="20" xfId="0" applyNumberFormat="1" applyFont="1" applyFill="1" applyBorder="1" applyAlignment="1">
      <alignment horizontal="right" wrapText="1"/>
    </xf>
    <xf numFmtId="2" fontId="0" fillId="2" borderId="20" xfId="0" applyNumberFormat="1" applyFont="1" applyFill="1" applyBorder="1" applyAlignment="1">
      <alignment horizontal="right"/>
    </xf>
    <xf numFmtId="0" fontId="1" fillId="0" borderId="18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2" fontId="0" fillId="4" borderId="20" xfId="0" applyNumberFormat="1" applyFont="1" applyFill="1" applyBorder="1" applyAlignment="1">
      <alignment horizontal="right" wrapText="1"/>
    </xf>
    <xf numFmtId="2" fontId="0" fillId="4" borderId="20" xfId="0" applyNumberFormat="1" applyFont="1" applyFill="1" applyBorder="1" applyAlignment="1">
      <alignment horizontal="right"/>
    </xf>
    <xf numFmtId="0" fontId="1" fillId="4" borderId="20" xfId="0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 wrapText="1"/>
    </xf>
    <xf numFmtId="2" fontId="0" fillId="4" borderId="8" xfId="0" applyNumberFormat="1" applyFont="1" applyFill="1" applyBorder="1" applyAlignment="1">
      <alignment horizontal="right"/>
    </xf>
    <xf numFmtId="0" fontId="3" fillId="0" borderId="20" xfId="0" applyFont="1" applyBorder="1" applyAlignment="1">
      <alignment horizontal="center" wrapText="1"/>
    </xf>
    <xf numFmtId="0" fontId="2" fillId="0" borderId="0" xfId="0" applyFont="1"/>
    <xf numFmtId="2" fontId="0" fillId="4" borderId="16" xfId="0" applyNumberFormat="1" applyFont="1" applyFill="1" applyBorder="1" applyAlignment="1">
      <alignment horizontal="right" wrapText="1"/>
    </xf>
    <xf numFmtId="2" fontId="0" fillId="4" borderId="16" xfId="0" applyNumberFormat="1" applyFont="1" applyFill="1" applyBorder="1" applyAlignment="1">
      <alignment horizontal="right"/>
    </xf>
    <xf numFmtId="0" fontId="1" fillId="3" borderId="27" xfId="0" applyFont="1" applyFill="1" applyBorder="1" applyAlignment="1">
      <alignment horizontal="center" wrapText="1"/>
    </xf>
    <xf numFmtId="0" fontId="0" fillId="3" borderId="28" xfId="0" applyFill="1" applyBorder="1" applyAlignment="1">
      <alignment horizontal="center" wrapText="1"/>
    </xf>
    <xf numFmtId="0" fontId="0" fillId="3" borderId="29" xfId="0" applyFill="1" applyBorder="1" applyAlignment="1">
      <alignment horizontal="center" wrapText="1"/>
    </xf>
    <xf numFmtId="0" fontId="1" fillId="0" borderId="16" xfId="0" applyFont="1" applyBorder="1" applyAlignment="1">
      <alignment horizontal="center" wrapText="1"/>
    </xf>
    <xf numFmtId="0" fontId="1" fillId="0" borderId="25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26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1" fillId="0" borderId="14" xfId="0" applyFont="1" applyBorder="1" applyAlignment="1">
      <alignment horizontal="center" wrapText="1"/>
    </xf>
    <xf numFmtId="0" fontId="1" fillId="0" borderId="16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3"/>
  <sheetViews>
    <sheetView tabSelected="1" workbookViewId="0"/>
  </sheetViews>
  <sheetFormatPr defaultRowHeight="14.4" x14ac:dyDescent="0.3"/>
  <cols>
    <col min="1" max="2" width="6" customWidth="1"/>
    <col min="3" max="3" width="1.88671875" customWidth="1"/>
    <col min="4" max="30" width="7.6640625" customWidth="1"/>
    <col min="31" max="31" width="6.33203125" customWidth="1"/>
    <col min="32" max="32" width="2.109375" customWidth="1"/>
    <col min="33" max="34" width="7.6640625" customWidth="1"/>
  </cols>
  <sheetData>
    <row r="1" spans="1:34" ht="16.5" customHeight="1" thickBot="1" x14ac:dyDescent="0.35">
      <c r="A1" s="65"/>
    </row>
    <row r="2" spans="1:34" ht="15.75" customHeight="1" x14ac:dyDescent="0.3">
      <c r="A2" s="72" t="s">
        <v>5</v>
      </c>
      <c r="B2" s="75" t="s">
        <v>6</v>
      </c>
      <c r="C2" s="76"/>
      <c r="D2" s="83" t="s">
        <v>16</v>
      </c>
      <c r="E2" s="84"/>
      <c r="F2" s="84"/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5"/>
    </row>
    <row r="3" spans="1:34" x14ac:dyDescent="0.3">
      <c r="A3" s="73"/>
      <c r="B3" s="77"/>
      <c r="C3" s="78"/>
      <c r="D3" s="81" t="s">
        <v>10</v>
      </c>
      <c r="E3" s="81"/>
      <c r="F3" s="81"/>
      <c r="G3" s="81" t="s">
        <v>11</v>
      </c>
      <c r="H3" s="81"/>
      <c r="I3" s="81"/>
      <c r="J3" s="81" t="s">
        <v>12</v>
      </c>
      <c r="K3" s="81"/>
      <c r="L3" s="81"/>
      <c r="M3" s="81" t="s">
        <v>13</v>
      </c>
      <c r="N3" s="81"/>
      <c r="O3" s="81"/>
      <c r="P3" s="81" t="s">
        <v>14</v>
      </c>
      <c r="Q3" s="81"/>
      <c r="R3" s="81"/>
      <c r="S3" s="81" t="s">
        <v>15</v>
      </c>
      <c r="T3" s="81"/>
      <c r="U3" s="81"/>
      <c r="V3" s="81" t="s">
        <v>1</v>
      </c>
      <c r="W3" s="81"/>
      <c r="X3" s="81"/>
      <c r="Y3" s="81" t="s">
        <v>2</v>
      </c>
      <c r="Z3" s="81"/>
      <c r="AA3" s="81"/>
      <c r="AB3" s="81" t="s">
        <v>3</v>
      </c>
      <c r="AC3" s="81"/>
      <c r="AD3" s="81"/>
      <c r="AE3" s="81" t="s">
        <v>4</v>
      </c>
      <c r="AF3" s="81"/>
      <c r="AG3" s="81"/>
      <c r="AH3" s="82"/>
    </row>
    <row r="4" spans="1:34" ht="28.8" x14ac:dyDescent="0.3">
      <c r="A4" s="74"/>
      <c r="B4" s="79"/>
      <c r="C4" s="80"/>
      <c r="D4" s="33" t="s">
        <v>7</v>
      </c>
      <c r="E4" s="33" t="s">
        <v>8</v>
      </c>
      <c r="F4" s="33" t="s">
        <v>9</v>
      </c>
      <c r="G4" s="33" t="s">
        <v>7</v>
      </c>
      <c r="H4" s="33" t="s">
        <v>8</v>
      </c>
      <c r="I4" s="33" t="s">
        <v>9</v>
      </c>
      <c r="J4" s="33" t="s">
        <v>7</v>
      </c>
      <c r="K4" s="33" t="s">
        <v>8</v>
      </c>
      <c r="L4" s="33" t="s">
        <v>9</v>
      </c>
      <c r="M4" s="33" t="s">
        <v>7</v>
      </c>
      <c r="N4" s="33" t="s">
        <v>8</v>
      </c>
      <c r="O4" s="33" t="s">
        <v>9</v>
      </c>
      <c r="P4" s="33" t="s">
        <v>7</v>
      </c>
      <c r="Q4" s="33" t="s">
        <v>8</v>
      </c>
      <c r="R4" s="33" t="s">
        <v>9</v>
      </c>
      <c r="S4" s="33" t="s">
        <v>7</v>
      </c>
      <c r="T4" s="33" t="s">
        <v>8</v>
      </c>
      <c r="U4" s="33" t="s">
        <v>9</v>
      </c>
      <c r="V4" s="32" t="s">
        <v>7</v>
      </c>
      <c r="W4" s="32" t="s">
        <v>8</v>
      </c>
      <c r="X4" s="32" t="s">
        <v>9</v>
      </c>
      <c r="Y4" s="32" t="s">
        <v>7</v>
      </c>
      <c r="Z4" s="32" t="s">
        <v>8</v>
      </c>
      <c r="AA4" s="32" t="s">
        <v>9</v>
      </c>
      <c r="AB4" s="32" t="s">
        <v>7</v>
      </c>
      <c r="AC4" s="32" t="s">
        <v>8</v>
      </c>
      <c r="AD4" s="32" t="s">
        <v>9</v>
      </c>
      <c r="AE4" s="71" t="s">
        <v>7</v>
      </c>
      <c r="AF4" s="71"/>
      <c r="AG4" s="32" t="s">
        <v>8</v>
      </c>
      <c r="AH4" s="34" t="s">
        <v>9</v>
      </c>
    </row>
    <row r="5" spans="1:34" ht="45" customHeight="1" x14ac:dyDescent="0.3">
      <c r="A5" s="56"/>
      <c r="B5" s="57"/>
      <c r="C5" s="58"/>
      <c r="D5" s="68" t="s">
        <v>17</v>
      </c>
      <c r="E5" s="69"/>
      <c r="F5" s="69"/>
      <c r="G5" s="69"/>
      <c r="H5" s="69"/>
      <c r="I5" s="70"/>
      <c r="J5" s="35"/>
      <c r="K5" s="35"/>
      <c r="L5" s="64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6"/>
      <c r="Z5" s="36"/>
      <c r="AA5" s="36"/>
      <c r="AB5" s="36"/>
      <c r="AC5" s="36"/>
      <c r="AD5" s="36"/>
      <c r="AE5" s="57"/>
      <c r="AF5" s="58"/>
      <c r="AG5" s="36"/>
      <c r="AH5" s="37"/>
    </row>
    <row r="6" spans="1:34" ht="15" x14ac:dyDescent="0.25">
      <c r="A6" s="38">
        <v>1</v>
      </c>
      <c r="B6" s="39">
        <v>13953</v>
      </c>
      <c r="C6" s="31"/>
      <c r="D6" s="59">
        <f>$B6/36.5/52.14</f>
        <v>7.331683402430758</v>
      </c>
      <c r="E6" s="60">
        <f>D6*(10.7692/100)</f>
        <v>0.78956364897457321</v>
      </c>
      <c r="F6" s="59">
        <f>D6+E6</f>
        <v>8.1212470514053319</v>
      </c>
      <c r="G6" s="61"/>
      <c r="H6" s="61"/>
      <c r="I6" s="61"/>
      <c r="J6" s="43"/>
      <c r="K6" s="43"/>
      <c r="L6" s="43"/>
      <c r="M6" s="43"/>
      <c r="N6" s="43"/>
      <c r="O6" s="43"/>
      <c r="P6" s="43"/>
      <c r="Q6" s="43"/>
      <c r="R6" s="43"/>
      <c r="S6" s="43"/>
      <c r="T6" s="43"/>
      <c r="U6" s="43"/>
      <c r="V6" s="35"/>
      <c r="W6" s="35"/>
      <c r="X6" s="35"/>
      <c r="Y6" s="36"/>
      <c r="Z6" s="36"/>
      <c r="AA6" s="36"/>
      <c r="AB6" s="36"/>
      <c r="AC6" s="36"/>
      <c r="AD6" s="36"/>
      <c r="AE6" s="30"/>
      <c r="AF6" s="31"/>
      <c r="AG6" s="36"/>
      <c r="AH6" s="37"/>
    </row>
    <row r="7" spans="1:34" ht="15" x14ac:dyDescent="0.25">
      <c r="A7" s="38">
        <v>2</v>
      </c>
      <c r="B7" s="39">
        <v>14257</v>
      </c>
      <c r="C7" s="31"/>
      <c r="D7" s="62">
        <f t="shared" ref="D7:D8" si="0">$B7/36.5/52.14</f>
        <v>7.4914219356737126</v>
      </c>
      <c r="E7" s="63">
        <f t="shared" ref="E7:E8" si="1">D7*(10.7692/100)</f>
        <v>0.80676621109657343</v>
      </c>
      <c r="F7" s="62">
        <f t="shared" ref="F7:F8" si="2">D7+E7</f>
        <v>8.2981881467702863</v>
      </c>
      <c r="G7" s="59">
        <f t="shared" ref="G7:G9" si="3">$B7/36.5/52.14</f>
        <v>7.4914219356737126</v>
      </c>
      <c r="H7" s="60">
        <f t="shared" ref="H7:H9" si="4">G7*(10.7692/100)</f>
        <v>0.80676621109657343</v>
      </c>
      <c r="I7" s="59">
        <f t="shared" ref="I7:I9" si="5">G7+H7</f>
        <v>8.2981881467702863</v>
      </c>
      <c r="J7" s="46"/>
      <c r="K7" s="46"/>
      <c r="L7" s="46"/>
      <c r="M7" s="46"/>
      <c r="N7" s="46"/>
      <c r="O7" s="46"/>
      <c r="P7" s="46"/>
      <c r="Q7" s="46"/>
      <c r="R7" s="46"/>
      <c r="S7" s="46"/>
      <c r="T7" s="46"/>
      <c r="U7" s="46"/>
      <c r="V7" s="36"/>
      <c r="W7" s="36"/>
      <c r="X7" s="36"/>
      <c r="Y7" s="36"/>
      <c r="Z7" s="36"/>
      <c r="AA7" s="36"/>
      <c r="AB7" s="36"/>
      <c r="AC7" s="36"/>
      <c r="AD7" s="36"/>
      <c r="AE7" s="30"/>
      <c r="AF7" s="31"/>
      <c r="AG7" s="36"/>
      <c r="AH7" s="37"/>
    </row>
    <row r="8" spans="1:34" x14ac:dyDescent="0.3">
      <c r="A8" s="38">
        <v>3</v>
      </c>
      <c r="B8" s="39">
        <v>14631</v>
      </c>
      <c r="C8" s="31"/>
      <c r="D8" s="66">
        <f t="shared" si="0"/>
        <v>7.687942368018664</v>
      </c>
      <c r="E8" s="67">
        <f t="shared" si="1"/>
        <v>0.82792988949666591</v>
      </c>
      <c r="F8" s="66">
        <f t="shared" si="2"/>
        <v>8.5158722575153298</v>
      </c>
      <c r="G8" s="62">
        <f t="shared" si="3"/>
        <v>7.687942368018664</v>
      </c>
      <c r="H8" s="63">
        <f t="shared" si="4"/>
        <v>0.82792988949666591</v>
      </c>
      <c r="I8" s="62">
        <f t="shared" si="5"/>
        <v>8.5158722575153298</v>
      </c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36"/>
      <c r="W8" s="36"/>
      <c r="X8" s="36"/>
      <c r="Y8" s="36"/>
      <c r="Z8" s="36"/>
      <c r="AA8" s="36"/>
      <c r="AB8" s="36"/>
      <c r="AC8" s="36"/>
      <c r="AD8" s="36"/>
      <c r="AE8" s="30"/>
      <c r="AF8" s="31"/>
      <c r="AG8" s="36"/>
      <c r="AH8" s="37"/>
    </row>
    <row r="9" spans="1:34" ht="15" x14ac:dyDescent="0.25">
      <c r="A9" s="38">
        <v>4</v>
      </c>
      <c r="B9" s="39">
        <v>14959</v>
      </c>
      <c r="C9" s="31"/>
      <c r="D9" s="46"/>
      <c r="E9" s="46"/>
      <c r="F9" s="46"/>
      <c r="G9" s="52">
        <f t="shared" si="3"/>
        <v>7.8602918380965896</v>
      </c>
      <c r="H9" s="53">
        <f t="shared" si="4"/>
        <v>0.84649054862829787</v>
      </c>
      <c r="I9" s="52">
        <f t="shared" si="5"/>
        <v>8.7067823867248872</v>
      </c>
      <c r="J9" s="41">
        <f t="shared" ref="J9:J12" si="6">$B9/36.5/52.14</f>
        <v>7.8602918380965896</v>
      </c>
      <c r="K9" s="42">
        <f t="shared" ref="K9:K12" si="7">J9*(10.7692/100)</f>
        <v>0.84649054862829787</v>
      </c>
      <c r="L9" s="41">
        <f t="shared" ref="L9:L12" si="8">J9+K9</f>
        <v>8.7067823867248872</v>
      </c>
      <c r="M9" s="46"/>
      <c r="N9" s="46"/>
      <c r="O9" s="46"/>
      <c r="P9" s="46"/>
      <c r="Q9" s="46"/>
      <c r="R9" s="46"/>
      <c r="S9" s="46"/>
      <c r="T9" s="46"/>
      <c r="U9" s="46"/>
      <c r="V9" s="36"/>
      <c r="W9" s="36"/>
      <c r="X9" s="36"/>
      <c r="Y9" s="36"/>
      <c r="Z9" s="36"/>
      <c r="AA9" s="36"/>
      <c r="AB9" s="36"/>
      <c r="AC9" s="36"/>
      <c r="AD9" s="36"/>
      <c r="AE9" s="30"/>
      <c r="AF9" s="31"/>
      <c r="AG9" s="36"/>
      <c r="AH9" s="37"/>
    </row>
    <row r="10" spans="1:34" ht="15" x14ac:dyDescent="0.25">
      <c r="A10" s="38">
        <v>5</v>
      </c>
      <c r="B10" s="39">
        <v>15356</v>
      </c>
      <c r="C10" s="31"/>
      <c r="D10" s="46"/>
      <c r="E10" s="46"/>
      <c r="F10" s="46"/>
      <c r="G10" s="46"/>
      <c r="H10" s="46"/>
      <c r="I10" s="46"/>
      <c r="J10" s="44">
        <f t="shared" si="6"/>
        <v>8.0688977515750526</v>
      </c>
      <c r="K10" s="45">
        <f t="shared" si="7"/>
        <v>0.86895573666262049</v>
      </c>
      <c r="L10" s="44">
        <f t="shared" si="8"/>
        <v>8.937853488237673</v>
      </c>
      <c r="M10" s="46"/>
      <c r="N10" s="46"/>
      <c r="O10" s="46"/>
      <c r="P10" s="46"/>
      <c r="Q10" s="46"/>
      <c r="R10" s="46"/>
      <c r="S10" s="46"/>
      <c r="T10" s="46"/>
      <c r="U10" s="46"/>
      <c r="V10" s="36"/>
      <c r="W10" s="36"/>
      <c r="X10" s="36"/>
      <c r="Y10" s="36"/>
      <c r="Z10" s="36"/>
      <c r="AA10" s="36"/>
      <c r="AB10" s="36"/>
      <c r="AC10" s="36"/>
      <c r="AD10" s="36"/>
      <c r="AE10" s="30"/>
      <c r="AF10" s="31"/>
      <c r="AG10" s="36"/>
      <c r="AH10" s="37"/>
    </row>
    <row r="11" spans="1:34" ht="15" x14ac:dyDescent="0.25">
      <c r="A11" s="38">
        <v>6</v>
      </c>
      <c r="B11" s="39">
        <v>15765</v>
      </c>
      <c r="C11" s="31"/>
      <c r="D11" s="46"/>
      <c r="E11" s="46"/>
      <c r="F11" s="46"/>
      <c r="G11" s="46"/>
      <c r="H11" s="46"/>
      <c r="I11" s="46"/>
      <c r="J11" s="54">
        <f t="shared" si="6"/>
        <v>8.2838091334710029</v>
      </c>
      <c r="K11" s="55">
        <f t="shared" si="7"/>
        <v>0.89209997320175927</v>
      </c>
      <c r="L11" s="54">
        <f t="shared" si="8"/>
        <v>9.1759091066727621</v>
      </c>
      <c r="M11" s="41">
        <f t="shared" ref="M11:M18" si="9">$B11/36.5/52.14</f>
        <v>8.2838091334710029</v>
      </c>
      <c r="N11" s="42">
        <f t="shared" ref="N11:N18" si="10">M11*(10.7692/100)</f>
        <v>0.89209997320175927</v>
      </c>
      <c r="O11" s="41">
        <f t="shared" ref="O11:O18" si="11">M11+N11</f>
        <v>9.1759091066727621</v>
      </c>
      <c r="P11" s="46"/>
      <c r="Q11" s="46"/>
      <c r="R11" s="46"/>
      <c r="S11" s="46"/>
      <c r="T11" s="46"/>
      <c r="U11" s="46"/>
      <c r="V11" s="36"/>
      <c r="W11" s="36"/>
      <c r="X11" s="36"/>
      <c r="Y11" s="36"/>
      <c r="Z11" s="36"/>
      <c r="AA11" s="36"/>
      <c r="AB11" s="36"/>
      <c r="AC11" s="36"/>
      <c r="AD11" s="36"/>
      <c r="AE11" s="30"/>
      <c r="AF11" s="31"/>
      <c r="AG11" s="36"/>
      <c r="AH11" s="37"/>
    </row>
    <row r="12" spans="1:34" ht="15" x14ac:dyDescent="0.25">
      <c r="A12" s="38">
        <v>7</v>
      </c>
      <c r="B12" s="39">
        <v>16131</v>
      </c>
      <c r="C12" s="31"/>
      <c r="D12" s="46"/>
      <c r="E12" s="46"/>
      <c r="F12" s="46"/>
      <c r="G12" s="46"/>
      <c r="H12" s="46"/>
      <c r="I12" s="46"/>
      <c r="J12" s="50">
        <f t="shared" si="6"/>
        <v>8.4761259202042964</v>
      </c>
      <c r="K12" s="51">
        <f t="shared" si="7"/>
        <v>0.91281095259864109</v>
      </c>
      <c r="L12" s="50">
        <f t="shared" si="8"/>
        <v>9.3889368728029368</v>
      </c>
      <c r="M12" s="44">
        <f t="shared" si="9"/>
        <v>8.4761259202042964</v>
      </c>
      <c r="N12" s="45">
        <f t="shared" si="10"/>
        <v>0.91281095259864109</v>
      </c>
      <c r="O12" s="44">
        <f t="shared" si="11"/>
        <v>9.3889368728029368</v>
      </c>
      <c r="P12" s="46"/>
      <c r="Q12" s="46"/>
      <c r="R12" s="46"/>
      <c r="S12" s="46"/>
      <c r="T12" s="46"/>
      <c r="U12" s="46"/>
      <c r="V12" s="36"/>
      <c r="W12" s="36"/>
      <c r="X12" s="36"/>
      <c r="Y12" s="36"/>
      <c r="Z12" s="36"/>
      <c r="AA12" s="36"/>
      <c r="AB12" s="36"/>
      <c r="AC12" s="36"/>
      <c r="AD12" s="36"/>
      <c r="AE12" s="30"/>
      <c r="AF12" s="31"/>
      <c r="AG12" s="36"/>
      <c r="AH12" s="37"/>
    </row>
    <row r="13" spans="1:34" ht="15" x14ac:dyDescent="0.25">
      <c r="A13" s="38">
        <v>8</v>
      </c>
      <c r="B13" s="39">
        <v>16577</v>
      </c>
      <c r="C13" s="31"/>
      <c r="D13" s="46"/>
      <c r="E13" s="46"/>
      <c r="F13" s="46"/>
      <c r="G13" s="46"/>
      <c r="H13" s="46"/>
      <c r="I13" s="46"/>
      <c r="J13" s="46"/>
      <c r="K13" s="46"/>
      <c r="L13" s="46"/>
      <c r="M13" s="44">
        <f t="shared" si="9"/>
        <v>8.710479163054158</v>
      </c>
      <c r="N13" s="45">
        <f t="shared" si="10"/>
        <v>0.93804892202762835</v>
      </c>
      <c r="O13" s="44">
        <f t="shared" si="11"/>
        <v>9.6485280850817858</v>
      </c>
      <c r="P13" s="46"/>
      <c r="Q13" s="46"/>
      <c r="R13" s="46"/>
      <c r="S13" s="46"/>
      <c r="T13" s="46"/>
      <c r="U13" s="46"/>
      <c r="V13" s="36"/>
      <c r="W13" s="36"/>
      <c r="X13" s="36"/>
      <c r="Y13" s="36"/>
      <c r="Z13" s="36"/>
      <c r="AA13" s="36"/>
      <c r="AB13" s="36"/>
      <c r="AC13" s="36"/>
      <c r="AD13" s="36"/>
      <c r="AE13" s="30"/>
      <c r="AF13" s="31"/>
      <c r="AG13" s="36"/>
      <c r="AH13" s="37"/>
    </row>
    <row r="14" spans="1:34" ht="15" x14ac:dyDescent="0.25">
      <c r="A14" s="38">
        <v>9</v>
      </c>
      <c r="B14" s="39">
        <v>17039</v>
      </c>
      <c r="C14" s="31"/>
      <c r="D14" s="46"/>
      <c r="E14" s="46"/>
      <c r="F14" s="46"/>
      <c r="G14" s="46"/>
      <c r="H14" s="46"/>
      <c r="I14" s="46"/>
      <c r="J14" s="46"/>
      <c r="K14" s="46"/>
      <c r="L14" s="46"/>
      <c r="M14" s="44">
        <f t="shared" si="9"/>
        <v>8.9532396971273336</v>
      </c>
      <c r="N14" s="45">
        <f t="shared" si="10"/>
        <v>0.96419228946303681</v>
      </c>
      <c r="O14" s="44">
        <f t="shared" si="11"/>
        <v>9.9174319865903708</v>
      </c>
      <c r="P14" s="46"/>
      <c r="Q14" s="46"/>
      <c r="R14" s="46"/>
      <c r="S14" s="46"/>
      <c r="T14" s="46"/>
      <c r="U14" s="46"/>
      <c r="V14" s="36"/>
      <c r="W14" s="36"/>
      <c r="X14" s="36"/>
      <c r="Y14" s="36"/>
      <c r="Z14" s="36"/>
      <c r="AA14" s="36"/>
      <c r="AB14" s="36"/>
      <c r="AC14" s="36"/>
      <c r="AD14" s="36"/>
      <c r="AE14" s="30"/>
      <c r="AF14" s="31"/>
      <c r="AG14" s="36"/>
      <c r="AH14" s="37"/>
    </row>
    <row r="15" spans="1:34" ht="15" x14ac:dyDescent="0.25">
      <c r="A15" s="38">
        <v>10</v>
      </c>
      <c r="B15" s="39">
        <v>17528</v>
      </c>
      <c r="C15" s="31"/>
      <c r="D15" s="46"/>
      <c r="E15" s="46"/>
      <c r="F15" s="46"/>
      <c r="G15" s="46"/>
      <c r="H15" s="46"/>
      <c r="I15" s="46"/>
      <c r="J15" s="46"/>
      <c r="K15" s="46"/>
      <c r="L15" s="46"/>
      <c r="M15" s="44">
        <f t="shared" si="9"/>
        <v>9.2101875351398501</v>
      </c>
      <c r="N15" s="45">
        <f t="shared" si="10"/>
        <v>0.99186351603428069</v>
      </c>
      <c r="O15" s="44">
        <f t="shared" si="11"/>
        <v>10.202051051174131</v>
      </c>
      <c r="P15" s="46"/>
      <c r="Q15" s="46"/>
      <c r="R15" s="46"/>
      <c r="S15" s="46"/>
      <c r="T15" s="46"/>
      <c r="U15" s="46"/>
      <c r="V15" s="36"/>
      <c r="W15" s="36"/>
      <c r="X15" s="36"/>
      <c r="Y15" s="36"/>
      <c r="Z15" s="36"/>
      <c r="AA15" s="36"/>
      <c r="AB15" s="36"/>
      <c r="AC15" s="36"/>
      <c r="AD15" s="36"/>
      <c r="AE15" s="30"/>
      <c r="AF15" s="31"/>
      <c r="AG15" s="36"/>
      <c r="AH15" s="37"/>
    </row>
    <row r="16" spans="1:34" ht="15" x14ac:dyDescent="0.25">
      <c r="A16" s="38">
        <v>11</v>
      </c>
      <c r="B16" s="39">
        <v>18031</v>
      </c>
      <c r="C16" s="31"/>
      <c r="D16" s="46"/>
      <c r="E16" s="46"/>
      <c r="F16" s="46"/>
      <c r="G16" s="46"/>
      <c r="H16" s="46"/>
      <c r="I16" s="46"/>
      <c r="J16" s="46"/>
      <c r="K16" s="46"/>
      <c r="L16" s="46"/>
      <c r="M16" s="44">
        <f t="shared" si="9"/>
        <v>9.4744917529727655</v>
      </c>
      <c r="N16" s="45">
        <f t="shared" si="10"/>
        <v>1.0203269658611431</v>
      </c>
      <c r="O16" s="44">
        <f t="shared" si="11"/>
        <v>10.494818718833908</v>
      </c>
      <c r="P16" s="46"/>
      <c r="Q16" s="46"/>
      <c r="R16" s="46"/>
      <c r="S16" s="46"/>
      <c r="T16" s="46"/>
      <c r="U16" s="46"/>
      <c r="V16" s="36"/>
      <c r="W16" s="36"/>
      <c r="X16" s="36"/>
      <c r="Y16" s="36"/>
      <c r="Z16" s="36"/>
      <c r="AA16" s="36"/>
      <c r="AB16" s="36"/>
      <c r="AC16" s="36"/>
      <c r="AD16" s="36"/>
      <c r="AE16" s="30"/>
      <c r="AF16" s="31"/>
      <c r="AG16" s="36"/>
      <c r="AH16" s="37"/>
    </row>
    <row r="17" spans="1:34" ht="15" x14ac:dyDescent="0.25">
      <c r="A17" s="38">
        <v>12</v>
      </c>
      <c r="B17" s="39">
        <v>18549</v>
      </c>
      <c r="C17" s="31"/>
      <c r="D17" s="46"/>
      <c r="E17" s="46"/>
      <c r="F17" s="46"/>
      <c r="G17" s="46"/>
      <c r="H17" s="46"/>
      <c r="I17" s="46"/>
      <c r="J17" s="46"/>
      <c r="K17" s="46"/>
      <c r="L17" s="46"/>
      <c r="M17" s="54">
        <f t="shared" si="9"/>
        <v>9.7466778063275381</v>
      </c>
      <c r="N17" s="55">
        <f t="shared" si="10"/>
        <v>1.0496392263190253</v>
      </c>
      <c r="O17" s="54">
        <f t="shared" si="11"/>
        <v>10.796317032646563</v>
      </c>
      <c r="P17" s="41">
        <f t="shared" ref="P17:P23" si="12">$B17/36.5/52.14</f>
        <v>9.7466778063275381</v>
      </c>
      <c r="Q17" s="42">
        <f t="shared" ref="Q17:Q23" si="13">P17*(10.7692/100)</f>
        <v>1.0496392263190253</v>
      </c>
      <c r="R17" s="41">
        <f t="shared" ref="R17:R23" si="14">P17+Q17</f>
        <v>10.796317032646563</v>
      </c>
      <c r="S17" s="46"/>
      <c r="T17" s="46"/>
      <c r="U17" s="46"/>
      <c r="V17" s="36"/>
      <c r="W17" s="36"/>
      <c r="X17" s="36"/>
      <c r="Y17" s="36"/>
      <c r="Z17" s="36"/>
      <c r="AA17" s="36"/>
      <c r="AB17" s="36"/>
      <c r="AC17" s="36"/>
      <c r="AD17" s="36"/>
      <c r="AE17" s="30"/>
      <c r="AF17" s="31"/>
      <c r="AG17" s="36"/>
      <c r="AH17" s="37"/>
    </row>
    <row r="18" spans="1:34" ht="15" x14ac:dyDescent="0.25">
      <c r="A18" s="38">
        <v>13</v>
      </c>
      <c r="B18" s="39">
        <v>19083</v>
      </c>
      <c r="C18" s="31"/>
      <c r="D18" s="46"/>
      <c r="E18" s="46"/>
      <c r="F18" s="46"/>
      <c r="G18" s="46"/>
      <c r="H18" s="46"/>
      <c r="I18" s="46"/>
      <c r="J18" s="46"/>
      <c r="K18" s="46"/>
      <c r="L18" s="46"/>
      <c r="M18" s="50">
        <f t="shared" si="9"/>
        <v>10.027271150905623</v>
      </c>
      <c r="N18" s="51">
        <f t="shared" si="10"/>
        <v>1.0798568847833283</v>
      </c>
      <c r="O18" s="50">
        <f t="shared" si="11"/>
        <v>11.107128035688952</v>
      </c>
      <c r="P18" s="44">
        <f t="shared" si="12"/>
        <v>10.027271150905623</v>
      </c>
      <c r="Q18" s="45">
        <f t="shared" si="13"/>
        <v>1.0798568847833283</v>
      </c>
      <c r="R18" s="44">
        <f t="shared" si="14"/>
        <v>11.107128035688952</v>
      </c>
      <c r="S18" s="46"/>
      <c r="T18" s="46"/>
      <c r="U18" s="46"/>
      <c r="V18" s="36"/>
      <c r="W18" s="36"/>
      <c r="X18" s="36"/>
      <c r="Y18" s="36"/>
      <c r="Z18" s="36"/>
      <c r="AA18" s="36"/>
      <c r="AB18" s="36"/>
      <c r="AC18" s="36"/>
      <c r="AD18" s="36"/>
      <c r="AE18" s="30"/>
      <c r="AF18" s="31"/>
      <c r="AG18" s="36"/>
      <c r="AH18" s="37"/>
    </row>
    <row r="19" spans="1:34" ht="15" x14ac:dyDescent="0.25">
      <c r="A19" s="38">
        <v>14</v>
      </c>
      <c r="B19" s="39">
        <v>19632</v>
      </c>
      <c r="C19" s="31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4">
        <f t="shared" si="12"/>
        <v>10.315746331005563</v>
      </c>
      <c r="Q19" s="45">
        <f t="shared" si="13"/>
        <v>1.1109233538786512</v>
      </c>
      <c r="R19" s="44">
        <f t="shared" si="14"/>
        <v>11.426669684884214</v>
      </c>
      <c r="S19" s="46"/>
      <c r="T19" s="46"/>
      <c r="U19" s="46"/>
      <c r="V19" s="36"/>
      <c r="W19" s="36"/>
      <c r="X19" s="36"/>
      <c r="Y19" s="36"/>
      <c r="Z19" s="36"/>
      <c r="AA19" s="36"/>
      <c r="AB19" s="36"/>
      <c r="AC19" s="36"/>
      <c r="AD19" s="36"/>
      <c r="AE19" s="30"/>
      <c r="AF19" s="31"/>
      <c r="AG19" s="36"/>
      <c r="AH19" s="37"/>
    </row>
    <row r="20" spans="1:34" ht="15" x14ac:dyDescent="0.25">
      <c r="A20" s="38">
        <v>15</v>
      </c>
      <c r="B20" s="39">
        <v>20198</v>
      </c>
      <c r="C20" s="31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4">
        <f t="shared" si="12"/>
        <v>10.613154258030276</v>
      </c>
      <c r="Q20" s="45">
        <f t="shared" si="13"/>
        <v>1.1429518083557964</v>
      </c>
      <c r="R20" s="44">
        <f t="shared" si="14"/>
        <v>11.756106066386073</v>
      </c>
      <c r="S20" s="46"/>
      <c r="T20" s="46"/>
      <c r="U20" s="46"/>
      <c r="V20" s="36"/>
      <c r="W20" s="36"/>
      <c r="X20" s="36"/>
      <c r="Y20" s="36"/>
      <c r="Z20" s="36"/>
      <c r="AA20" s="36"/>
      <c r="AB20" s="36"/>
      <c r="AC20" s="36"/>
      <c r="AD20" s="36"/>
      <c r="AE20" s="30"/>
      <c r="AF20" s="31"/>
      <c r="AG20" s="36"/>
      <c r="AH20" s="37"/>
    </row>
    <row r="21" spans="1:34" ht="15" x14ac:dyDescent="0.25">
      <c r="A21" s="38">
        <v>16</v>
      </c>
      <c r="B21" s="39">
        <v>20781</v>
      </c>
      <c r="C21" s="31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4">
        <f t="shared" si="12"/>
        <v>10.919494931979759</v>
      </c>
      <c r="Q21" s="45">
        <f t="shared" si="13"/>
        <v>1.1759422482147641</v>
      </c>
      <c r="R21" s="44">
        <f t="shared" si="14"/>
        <v>12.095437180194523</v>
      </c>
      <c r="S21" s="46"/>
      <c r="T21" s="46"/>
      <c r="U21" s="46"/>
      <c r="V21" s="36"/>
      <c r="W21" s="36"/>
      <c r="X21" s="36"/>
      <c r="Y21" s="36"/>
      <c r="Z21" s="36"/>
      <c r="AA21" s="36"/>
      <c r="AB21" s="36"/>
      <c r="AC21" s="36"/>
      <c r="AD21" s="36"/>
      <c r="AE21" s="30"/>
      <c r="AF21" s="31"/>
      <c r="AG21" s="36"/>
      <c r="AH21" s="37"/>
    </row>
    <row r="22" spans="1:34" ht="15" x14ac:dyDescent="0.25">
      <c r="A22" s="38">
        <v>17</v>
      </c>
      <c r="B22" s="39">
        <v>21391</v>
      </c>
      <c r="C22" s="31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54">
        <f t="shared" si="12"/>
        <v>11.240022909868584</v>
      </c>
      <c r="Q22" s="55">
        <f t="shared" si="13"/>
        <v>1.2104605472095675</v>
      </c>
      <c r="R22" s="54">
        <f t="shared" si="14"/>
        <v>12.450483457078152</v>
      </c>
      <c r="S22" s="41">
        <f t="shared" ref="S22:S28" si="15">$B22/36.5/52.14</f>
        <v>11.240022909868584</v>
      </c>
      <c r="T22" s="42">
        <f t="shared" ref="T22:T28" si="16">S22*(10.7692/100)</f>
        <v>1.2104605472095675</v>
      </c>
      <c r="U22" s="41">
        <f t="shared" ref="U22:U28" si="17">S22+T22</f>
        <v>12.450483457078152</v>
      </c>
      <c r="V22" s="36"/>
      <c r="W22" s="36"/>
      <c r="X22" s="36"/>
      <c r="Y22" s="36"/>
      <c r="Z22" s="36"/>
      <c r="AA22" s="36"/>
      <c r="AB22" s="36"/>
      <c r="AC22" s="36"/>
      <c r="AD22" s="36"/>
      <c r="AE22" s="30"/>
      <c r="AF22" s="31"/>
      <c r="AG22" s="36"/>
      <c r="AH22" s="37"/>
    </row>
    <row r="23" spans="1:34" ht="15" x14ac:dyDescent="0.25">
      <c r="A23" s="38">
        <v>18</v>
      </c>
      <c r="B23" s="39">
        <v>22029</v>
      </c>
      <c r="C23" s="31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50">
        <f t="shared" si="12"/>
        <v>11.575263647398206</v>
      </c>
      <c r="Q23" s="51">
        <f t="shared" si="13"/>
        <v>1.2465632927156076</v>
      </c>
      <c r="R23" s="50">
        <f t="shared" si="14"/>
        <v>12.821826940113814</v>
      </c>
      <c r="S23" s="44">
        <f t="shared" si="15"/>
        <v>11.575263647398206</v>
      </c>
      <c r="T23" s="45">
        <f t="shared" si="16"/>
        <v>1.2465632927156076</v>
      </c>
      <c r="U23" s="44">
        <f t="shared" si="17"/>
        <v>12.821826940113814</v>
      </c>
      <c r="V23" s="36"/>
      <c r="W23" s="36"/>
      <c r="X23" s="36"/>
      <c r="Y23" s="36"/>
      <c r="Z23" s="36"/>
      <c r="AA23" s="36"/>
      <c r="AB23" s="36"/>
      <c r="AC23" s="36"/>
      <c r="AD23" s="36"/>
      <c r="AE23" s="30"/>
      <c r="AF23" s="31"/>
      <c r="AG23" s="36"/>
      <c r="AH23" s="37"/>
    </row>
    <row r="24" spans="1:34" ht="15" x14ac:dyDescent="0.25">
      <c r="A24" s="38">
        <v>19</v>
      </c>
      <c r="B24" s="39">
        <v>22685</v>
      </c>
      <c r="C24" s="31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6"/>
      <c r="R24" s="46"/>
      <c r="S24" s="44">
        <f t="shared" si="15"/>
        <v>11.919962587554057</v>
      </c>
      <c r="T24" s="45">
        <f t="shared" si="16"/>
        <v>1.2836846109788715</v>
      </c>
      <c r="U24" s="44">
        <f t="shared" si="17"/>
        <v>13.203647198532929</v>
      </c>
      <c r="V24" s="36"/>
      <c r="W24" s="36"/>
      <c r="X24" s="36"/>
      <c r="Y24" s="36"/>
      <c r="Z24" s="36"/>
      <c r="AA24" s="36"/>
      <c r="AB24" s="36"/>
      <c r="AC24" s="36"/>
      <c r="AD24" s="36"/>
      <c r="AE24" s="30"/>
      <c r="AF24" s="31"/>
      <c r="AG24" s="36"/>
      <c r="AH24" s="37"/>
    </row>
    <row r="25" spans="1:34" ht="15" x14ac:dyDescent="0.25">
      <c r="A25" s="38">
        <v>20</v>
      </c>
      <c r="B25" s="39">
        <v>23386</v>
      </c>
      <c r="C25" s="31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46"/>
      <c r="S25" s="44">
        <f t="shared" si="15"/>
        <v>12.288307034275475</v>
      </c>
      <c r="T25" s="45">
        <f t="shared" si="16"/>
        <v>1.3233523611351943</v>
      </c>
      <c r="U25" s="44">
        <f t="shared" si="17"/>
        <v>13.611659395410669</v>
      </c>
      <c r="V25" s="36"/>
      <c r="W25" s="36"/>
      <c r="X25" s="36"/>
      <c r="Y25" s="36"/>
      <c r="Z25" s="36"/>
      <c r="AA25" s="36"/>
      <c r="AB25" s="36"/>
      <c r="AC25" s="36"/>
      <c r="AD25" s="36"/>
      <c r="AE25" s="30"/>
      <c r="AF25" s="31"/>
      <c r="AG25" s="36"/>
      <c r="AH25" s="37"/>
    </row>
    <row r="26" spans="1:34" ht="15" x14ac:dyDescent="0.25">
      <c r="A26" s="38">
        <v>21</v>
      </c>
      <c r="B26" s="39">
        <v>24057</v>
      </c>
      <c r="C26" s="31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54">
        <f t="shared" si="15"/>
        <v>12.640887809953181</v>
      </c>
      <c r="T26" s="55">
        <f t="shared" si="16"/>
        <v>1.361322490029478</v>
      </c>
      <c r="U26" s="54">
        <f t="shared" si="17"/>
        <v>14.002210299982659</v>
      </c>
      <c r="V26" s="40"/>
      <c r="W26" s="40"/>
      <c r="X26" s="40"/>
      <c r="Y26" s="36"/>
      <c r="Z26" s="36"/>
      <c r="AA26" s="36"/>
      <c r="AB26" s="36"/>
      <c r="AC26" s="36"/>
      <c r="AD26" s="36"/>
      <c r="AE26" s="30"/>
      <c r="AF26" s="31"/>
      <c r="AG26" s="36"/>
      <c r="AH26" s="37"/>
    </row>
    <row r="27" spans="1:34" ht="15" x14ac:dyDescent="0.25">
      <c r="A27" s="12">
        <v>22</v>
      </c>
      <c r="B27" s="1">
        <v>24775</v>
      </c>
      <c r="C27" s="2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8">
        <f t="shared" si="15"/>
        <v>13.018165003599371</v>
      </c>
      <c r="T27" s="49">
        <f t="shared" si="16"/>
        <v>1.4019522255676233</v>
      </c>
      <c r="U27" s="48">
        <f t="shared" si="17"/>
        <v>14.420117229166994</v>
      </c>
      <c r="V27" s="18">
        <f>$B27/36.5/52.14</f>
        <v>13.018165003599371</v>
      </c>
      <c r="W27" s="18">
        <f>V27*(10.7692/100)</f>
        <v>1.4019522255676233</v>
      </c>
      <c r="X27" s="18">
        <f>V27+W27</f>
        <v>14.420117229166994</v>
      </c>
      <c r="Y27" s="5"/>
      <c r="Z27" s="5"/>
      <c r="AA27" s="5"/>
      <c r="AB27" s="5"/>
      <c r="AC27" s="5"/>
      <c r="AD27" s="5"/>
      <c r="AE27" s="1"/>
      <c r="AF27" s="2"/>
      <c r="AG27" s="5"/>
      <c r="AH27" s="13"/>
    </row>
    <row r="28" spans="1:34" ht="15" x14ac:dyDescent="0.25">
      <c r="A28" s="12">
        <v>23</v>
      </c>
      <c r="B28" s="1">
        <v>25513</v>
      </c>
      <c r="C28" s="2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50">
        <f t="shared" si="15"/>
        <v>13.405951311274702</v>
      </c>
      <c r="T28" s="51">
        <f t="shared" si="16"/>
        <v>1.4437137086137952</v>
      </c>
      <c r="U28" s="50">
        <f t="shared" si="17"/>
        <v>14.849665019888498</v>
      </c>
      <c r="V28" s="6">
        <f>$B28/36.5/52.14</f>
        <v>13.405951311274702</v>
      </c>
      <c r="W28" s="6">
        <f t="shared" ref="W28:W36" si="18">V28*(10.7692/100)</f>
        <v>1.4437137086137952</v>
      </c>
      <c r="X28" s="6">
        <f t="shared" ref="X28:X36" si="19">V28+W28</f>
        <v>14.849665019888498</v>
      </c>
      <c r="Y28" s="5"/>
      <c r="Z28" s="5"/>
      <c r="AA28" s="5"/>
      <c r="AB28" s="5"/>
      <c r="AC28" s="5"/>
      <c r="AD28" s="5"/>
      <c r="AE28" s="1"/>
      <c r="AF28" s="2"/>
      <c r="AG28" s="5"/>
      <c r="AH28" s="13"/>
    </row>
    <row r="29" spans="1:34" x14ac:dyDescent="0.3">
      <c r="A29" s="12">
        <v>24</v>
      </c>
      <c r="B29" s="1">
        <v>26274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6">
        <f>$B29/36.5/52.14</f>
        <v>13.805823100083547</v>
      </c>
      <c r="W29" s="6">
        <f t="shared" si="18"/>
        <v>1.4867767012941973</v>
      </c>
      <c r="X29" s="6">
        <f t="shared" si="19"/>
        <v>15.292599801377744</v>
      </c>
      <c r="Y29" s="5"/>
      <c r="Z29" s="5"/>
      <c r="AA29" s="5"/>
      <c r="AB29" s="5"/>
      <c r="AC29" s="5"/>
      <c r="AD29" s="5"/>
      <c r="AE29" s="1"/>
      <c r="AF29" s="2"/>
      <c r="AG29" s="5"/>
      <c r="AH29" s="13"/>
    </row>
    <row r="30" spans="1:34" x14ac:dyDescent="0.3">
      <c r="A30" s="12">
        <v>25</v>
      </c>
      <c r="B30" s="1">
        <v>27057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6">
        <f>$B30/36.5/52.14</f>
        <v>14.217254914324448</v>
      </c>
      <c r="W30" s="6">
        <f t="shared" si="18"/>
        <v>1.5310846162334284</v>
      </c>
      <c r="X30" s="6">
        <f t="shared" si="19"/>
        <v>15.748339530557876</v>
      </c>
      <c r="Y30" s="5"/>
      <c r="Z30" s="5"/>
      <c r="AA30" s="5"/>
      <c r="AB30" s="5"/>
      <c r="AC30" s="5"/>
      <c r="AD30" s="5"/>
      <c r="AE30" s="1"/>
      <c r="AF30" s="2"/>
      <c r="AG30" s="5"/>
      <c r="AH30" s="13"/>
    </row>
    <row r="31" spans="1:34" x14ac:dyDescent="0.3">
      <c r="A31" s="12">
        <v>26</v>
      </c>
      <c r="B31" s="1">
        <v>27864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6">
        <f>$B31/36.5/52.14</f>
        <v>14.641297665400318</v>
      </c>
      <c r="W31" s="6">
        <f t="shared" si="18"/>
        <v>1.5767506281822909</v>
      </c>
      <c r="X31" s="6">
        <f t="shared" si="19"/>
        <v>16.218048293582608</v>
      </c>
      <c r="Y31" s="5"/>
      <c r="Z31" s="5"/>
      <c r="AA31" s="5"/>
      <c r="AB31" s="5"/>
      <c r="AC31" s="5"/>
      <c r="AD31" s="5"/>
      <c r="AE31" s="1"/>
      <c r="AF31" s="2"/>
      <c r="AG31" s="5"/>
      <c r="AH31" s="13"/>
    </row>
    <row r="32" spans="1:34" x14ac:dyDescent="0.3">
      <c r="A32" s="12">
        <v>27</v>
      </c>
      <c r="B32" s="1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6"/>
      <c r="W32" s="6"/>
      <c r="X32" s="6"/>
      <c r="Y32" s="5"/>
      <c r="Z32" s="5"/>
      <c r="AA32" s="5"/>
      <c r="AB32" s="5"/>
      <c r="AC32" s="5"/>
      <c r="AD32" s="5"/>
      <c r="AE32" s="1"/>
      <c r="AF32" s="2"/>
      <c r="AG32" s="5"/>
      <c r="AH32" s="13"/>
    </row>
    <row r="33" spans="1:34" x14ac:dyDescent="0.3">
      <c r="A33" s="12">
        <v>28</v>
      </c>
      <c r="B33" s="1">
        <v>29552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6">
        <f>$B33/36.5/52.14</f>
        <v>15.528266889459884</v>
      </c>
      <c r="W33" s="6">
        <f t="shared" si="18"/>
        <v>1.6722701178597137</v>
      </c>
      <c r="X33" s="6">
        <f t="shared" si="19"/>
        <v>17.200537007319596</v>
      </c>
      <c r="Y33" s="5"/>
      <c r="Z33" s="5"/>
      <c r="AA33" s="5"/>
      <c r="AB33" s="5"/>
      <c r="AC33" s="5"/>
      <c r="AD33" s="5"/>
      <c r="AE33" s="1"/>
      <c r="AF33" s="2"/>
      <c r="AG33" s="5"/>
      <c r="AH33" s="13"/>
    </row>
    <row r="34" spans="1:34" x14ac:dyDescent="0.3">
      <c r="A34" s="12">
        <v>29</v>
      </c>
      <c r="B34" s="1">
        <v>30434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3">
        <f>$B34/36.5/52.14</f>
        <v>15.991718818145035</v>
      </c>
      <c r="W34" s="23">
        <f t="shared" si="18"/>
        <v>1.7221801829636751</v>
      </c>
      <c r="X34" s="23">
        <f t="shared" si="19"/>
        <v>17.713899001108711</v>
      </c>
      <c r="Y34" s="5"/>
      <c r="Z34" s="5"/>
      <c r="AA34" s="5"/>
      <c r="AB34" s="5"/>
      <c r="AC34" s="5"/>
      <c r="AD34" s="5"/>
      <c r="AE34" s="1"/>
      <c r="AF34" s="2"/>
      <c r="AG34" s="5"/>
      <c r="AH34" s="13"/>
    </row>
    <row r="35" spans="1:34" x14ac:dyDescent="0.3">
      <c r="A35" s="12">
        <v>30</v>
      </c>
      <c r="B35" s="1">
        <v>31342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7">
        <f>$B35/36.5/52.14</f>
        <v>16.468832595068072</v>
      </c>
      <c r="W35" s="7">
        <f t="shared" si="18"/>
        <v>1.7735615198280708</v>
      </c>
      <c r="X35" s="7">
        <f t="shared" si="19"/>
        <v>18.242394114896143</v>
      </c>
      <c r="Y35" s="18">
        <f>$B35/36.5/52.14</f>
        <v>16.468832595068072</v>
      </c>
      <c r="Z35" s="18">
        <f t="shared" ref="Z35:Z44" si="20">Y35*(10.7692/100)</f>
        <v>1.7735615198280708</v>
      </c>
      <c r="AA35" s="18">
        <f t="shared" ref="AA35:AA44" si="21">Y35+Z35</f>
        <v>18.242394114896143</v>
      </c>
      <c r="AB35" s="5"/>
      <c r="AC35" s="5"/>
      <c r="AD35" s="5"/>
      <c r="AE35" s="1"/>
      <c r="AF35" s="2"/>
      <c r="AG35" s="5"/>
      <c r="AH35" s="13"/>
    </row>
    <row r="36" spans="1:34" x14ac:dyDescent="0.3">
      <c r="A36" s="12">
        <v>31</v>
      </c>
      <c r="B36" s="1">
        <v>32277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19">
        <f>$B36/36.5/52.14</f>
        <v>16.96013367593045</v>
      </c>
      <c r="W36" s="19">
        <f t="shared" si="18"/>
        <v>1.826470715828302</v>
      </c>
      <c r="X36" s="19">
        <f t="shared" si="19"/>
        <v>18.78660439175875</v>
      </c>
      <c r="Y36" s="6">
        <f>$B36/36.5/52.14</f>
        <v>16.96013367593045</v>
      </c>
      <c r="Z36" s="6">
        <f t="shared" si="20"/>
        <v>1.826470715828302</v>
      </c>
      <c r="AA36" s="6">
        <f t="shared" si="21"/>
        <v>18.78660439175875</v>
      </c>
      <c r="AB36" s="5"/>
      <c r="AC36" s="5"/>
      <c r="AD36" s="5"/>
      <c r="AE36" s="1"/>
      <c r="AF36" s="2"/>
      <c r="AG36" s="5"/>
      <c r="AH36" s="13"/>
    </row>
    <row r="37" spans="1:34" x14ac:dyDescent="0.3">
      <c r="A37" s="12">
        <v>32</v>
      </c>
      <c r="B37" s="1">
        <v>33242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5"/>
      <c r="W37" s="5"/>
      <c r="X37" s="5"/>
      <c r="Y37" s="6">
        <f>$B37/36.5/52.14</f>
        <v>17.467198427836543</v>
      </c>
      <c r="Z37" s="6">
        <f t="shared" si="20"/>
        <v>1.8810775330905729</v>
      </c>
      <c r="AA37" s="6">
        <f t="shared" si="21"/>
        <v>19.348275960927115</v>
      </c>
      <c r="AB37" s="5"/>
      <c r="AC37" s="5"/>
      <c r="AD37" s="5"/>
      <c r="AE37" s="1"/>
      <c r="AF37" s="2"/>
      <c r="AG37" s="5"/>
      <c r="AH37" s="13"/>
    </row>
    <row r="38" spans="1:34" x14ac:dyDescent="0.3">
      <c r="A38" s="12">
        <v>33</v>
      </c>
      <c r="B38" s="1">
        <v>34233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5"/>
      <c r="W38" s="5"/>
      <c r="X38" s="5"/>
      <c r="Y38" s="6">
        <f>$B38/36.5/52.14</f>
        <v>17.987925027980516</v>
      </c>
      <c r="Z38" s="6">
        <f t="shared" si="20"/>
        <v>1.9371556221132777</v>
      </c>
      <c r="AA38" s="6">
        <f t="shared" si="21"/>
        <v>19.925080650093793</v>
      </c>
      <c r="AB38" s="5"/>
      <c r="AC38" s="5"/>
      <c r="AD38" s="5"/>
      <c r="AE38" s="1"/>
      <c r="AF38" s="2"/>
      <c r="AG38" s="5"/>
      <c r="AH38" s="13"/>
    </row>
    <row r="39" spans="1:34" x14ac:dyDescent="0.3">
      <c r="A39" s="12">
        <v>34</v>
      </c>
      <c r="B39" s="1">
        <v>35256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5"/>
      <c r="W39" s="5"/>
      <c r="X39" s="5"/>
      <c r="Y39" s="6">
        <f>$B39/36.5/52.14</f>
        <v>18.525466210571118</v>
      </c>
      <c r="Z39" s="6">
        <f t="shared" si="20"/>
        <v>1.9950445071488248</v>
      </c>
      <c r="AA39" s="6">
        <f t="shared" si="21"/>
        <v>20.520510717719944</v>
      </c>
      <c r="AB39" s="5"/>
      <c r="AC39" s="5"/>
      <c r="AD39" s="5"/>
      <c r="AE39" s="1"/>
      <c r="AF39" s="2"/>
      <c r="AG39" s="5"/>
      <c r="AH39" s="13"/>
    </row>
    <row r="40" spans="1:34" x14ac:dyDescent="0.3">
      <c r="A40" s="12">
        <v>35</v>
      </c>
      <c r="B40" s="1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5"/>
      <c r="W40" s="5"/>
      <c r="X40" s="5"/>
      <c r="Y40" s="6"/>
      <c r="Z40" s="6"/>
      <c r="AA40" s="6"/>
      <c r="AB40" s="5"/>
      <c r="AC40" s="5"/>
      <c r="AD40" s="5"/>
      <c r="AE40" s="1"/>
      <c r="AF40" s="2"/>
      <c r="AG40" s="5"/>
      <c r="AH40" s="13"/>
    </row>
    <row r="41" spans="1:34" x14ac:dyDescent="0.3">
      <c r="A41" s="12">
        <v>36</v>
      </c>
      <c r="B41" s="1">
        <v>37394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5"/>
      <c r="W41" s="5"/>
      <c r="X41" s="5"/>
      <c r="Y41" s="6">
        <f>$B41/36.5/52.14</f>
        <v>19.648890500286374</v>
      </c>
      <c r="Z41" s="6">
        <f t="shared" si="20"/>
        <v>2.1160283157568403</v>
      </c>
      <c r="AA41" s="6">
        <f t="shared" si="21"/>
        <v>21.764918816043213</v>
      </c>
      <c r="AB41" s="5"/>
      <c r="AC41" s="5"/>
      <c r="AD41" s="5"/>
      <c r="AE41" s="1"/>
      <c r="AF41" s="2"/>
      <c r="AG41" s="5"/>
      <c r="AH41" s="13"/>
    </row>
    <row r="42" spans="1:34" x14ac:dyDescent="0.3">
      <c r="A42" s="12">
        <v>37</v>
      </c>
      <c r="B42" s="1">
        <v>38511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5"/>
      <c r="W42" s="5"/>
      <c r="X42" s="5"/>
      <c r="Y42" s="23">
        <f>$B42/36.5/52.14</f>
        <v>20.235824518813942</v>
      </c>
      <c r="Z42" s="23">
        <f t="shared" si="20"/>
        <v>2.179236414080111</v>
      </c>
      <c r="AA42" s="23">
        <f t="shared" si="21"/>
        <v>22.415060932894054</v>
      </c>
      <c r="AB42" s="18">
        <f>$B42/36.5/52.14</f>
        <v>20.235824518813942</v>
      </c>
      <c r="AC42" s="18">
        <f t="shared" ref="AC42:AC51" si="22">AB42*(10.7692/100)</f>
        <v>2.179236414080111</v>
      </c>
      <c r="AD42" s="18">
        <f t="shared" ref="AD42:AD51" si="23">AB42+AC42</f>
        <v>22.415060932894054</v>
      </c>
      <c r="AE42" s="1"/>
      <c r="AF42" s="2"/>
      <c r="AG42" s="5"/>
      <c r="AH42" s="13"/>
    </row>
    <row r="43" spans="1:34" x14ac:dyDescent="0.3">
      <c r="A43" s="12">
        <v>38</v>
      </c>
      <c r="B43" s="1">
        <v>39685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5"/>
      <c r="W43" s="5"/>
      <c r="X43" s="5"/>
      <c r="Y43" s="7">
        <f>$B43/36.5/52.14</f>
        <v>20.852709512324566</v>
      </c>
      <c r="Z43" s="7">
        <f t="shared" si="20"/>
        <v>2.2456699928012571</v>
      </c>
      <c r="AA43" s="7">
        <f t="shared" si="21"/>
        <v>23.098379505125823</v>
      </c>
      <c r="AB43" s="6">
        <f>$B43/36.5/52.14</f>
        <v>20.852709512324566</v>
      </c>
      <c r="AC43" s="6">
        <f t="shared" si="22"/>
        <v>2.2456699928012571</v>
      </c>
      <c r="AD43" s="6">
        <f t="shared" si="23"/>
        <v>23.098379505125823</v>
      </c>
      <c r="AE43" s="1"/>
      <c r="AF43" s="2"/>
      <c r="AG43" s="5"/>
      <c r="AH43" s="13"/>
    </row>
    <row r="44" spans="1:34" x14ac:dyDescent="0.3">
      <c r="A44" s="12">
        <v>39</v>
      </c>
      <c r="B44" s="1">
        <v>40847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5"/>
      <c r="W44" s="5"/>
      <c r="X44" s="5"/>
      <c r="Y44" s="19">
        <f>$B44/36.5/52.14</f>
        <v>21.463289037417699</v>
      </c>
      <c r="Z44" s="19">
        <f t="shared" si="20"/>
        <v>2.3114245230175867</v>
      </c>
      <c r="AA44" s="19">
        <f t="shared" si="21"/>
        <v>23.774713560435284</v>
      </c>
      <c r="AB44" s="6">
        <f>$B44/36.5/52.14</f>
        <v>21.463289037417699</v>
      </c>
      <c r="AC44" s="6">
        <f t="shared" si="22"/>
        <v>2.3114245230175867</v>
      </c>
      <c r="AD44" s="6">
        <f t="shared" si="23"/>
        <v>23.774713560435284</v>
      </c>
      <c r="AE44" s="1"/>
      <c r="AF44" s="2"/>
      <c r="AG44" s="5"/>
      <c r="AH44" s="13"/>
    </row>
    <row r="45" spans="1:34" x14ac:dyDescent="0.3">
      <c r="A45" s="12">
        <v>40</v>
      </c>
      <c r="B45" s="1">
        <v>42067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5"/>
      <c r="W45" s="5"/>
      <c r="X45" s="5"/>
      <c r="Y45" s="5"/>
      <c r="Z45" s="5"/>
      <c r="AA45" s="5"/>
      <c r="AB45" s="6">
        <f>$B45/36.5/52.14</f>
        <v>22.104344993195348</v>
      </c>
      <c r="AC45" s="6">
        <f t="shared" si="22"/>
        <v>2.3804611210071931</v>
      </c>
      <c r="AD45" s="6">
        <f t="shared" si="23"/>
        <v>24.484806114202541</v>
      </c>
      <c r="AE45" s="1"/>
      <c r="AF45" s="2"/>
      <c r="AG45" s="5"/>
      <c r="AH45" s="13"/>
    </row>
    <row r="46" spans="1:34" x14ac:dyDescent="0.3">
      <c r="A46" s="12">
        <v>41</v>
      </c>
      <c r="B46" s="1">
        <v>43325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5"/>
      <c r="W46" s="5"/>
      <c r="X46" s="5"/>
      <c r="Y46" s="5"/>
      <c r="Z46" s="5"/>
      <c r="AA46" s="5"/>
      <c r="AB46" s="6">
        <f>$B46/36.5/52.14</f>
        <v>22.765368265628364</v>
      </c>
      <c r="AC46" s="6">
        <f t="shared" si="22"/>
        <v>2.4516480392620497</v>
      </c>
      <c r="AD46" s="6">
        <f t="shared" si="23"/>
        <v>25.217016304890414</v>
      </c>
      <c r="AE46" s="1"/>
      <c r="AF46" s="2"/>
      <c r="AG46" s="5"/>
      <c r="AH46" s="13"/>
    </row>
    <row r="47" spans="1:34" x14ac:dyDescent="0.3">
      <c r="A47" s="12">
        <v>42</v>
      </c>
      <c r="B47" s="1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5"/>
      <c r="W47" s="5"/>
      <c r="X47" s="5"/>
      <c r="Y47" s="5"/>
      <c r="Z47" s="5"/>
      <c r="AA47" s="5"/>
      <c r="AB47" s="6"/>
      <c r="AC47" s="6"/>
      <c r="AD47" s="6"/>
      <c r="AE47" s="1"/>
      <c r="AF47" s="2"/>
      <c r="AG47" s="5"/>
      <c r="AH47" s="13"/>
    </row>
    <row r="48" spans="1:34" x14ac:dyDescent="0.3">
      <c r="A48" s="12">
        <v>43</v>
      </c>
      <c r="B48" s="1">
        <v>45954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5"/>
      <c r="W48" s="5"/>
      <c r="X48" s="5"/>
      <c r="Y48" s="5"/>
      <c r="Z48" s="5"/>
      <c r="AA48" s="5"/>
      <c r="AB48" s="6">
        <f>$B48/36.5/52.14</f>
        <v>24.146791304759052</v>
      </c>
      <c r="AC48" s="6">
        <f t="shared" si="22"/>
        <v>2.6004162491921119</v>
      </c>
      <c r="AD48" s="6">
        <f t="shared" si="23"/>
        <v>26.747207553951164</v>
      </c>
      <c r="AE48" s="1"/>
      <c r="AF48" s="2"/>
      <c r="AG48" s="5"/>
      <c r="AH48" s="13"/>
    </row>
    <row r="49" spans="1:34" x14ac:dyDescent="0.3">
      <c r="A49" s="12">
        <v>44</v>
      </c>
      <c r="B49" s="1">
        <v>47328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5"/>
      <c r="W49" s="5"/>
      <c r="X49" s="5"/>
      <c r="Y49" s="5"/>
      <c r="Z49" s="5"/>
      <c r="AA49" s="5"/>
      <c r="AB49" s="23">
        <f>$B49/36.5/52.14</f>
        <v>24.86876743856109</v>
      </c>
      <c r="AC49" s="23">
        <f t="shared" si="22"/>
        <v>2.6781673029935207</v>
      </c>
      <c r="AD49" s="23">
        <f t="shared" si="23"/>
        <v>27.546934741554612</v>
      </c>
      <c r="AE49" s="20">
        <f t="shared" ref="AE49:AE63" si="24">$B49/36.5/52.14</f>
        <v>24.86876743856109</v>
      </c>
      <c r="AF49" s="21"/>
      <c r="AG49" s="18">
        <f>AE49*(10.7692/100)</f>
        <v>2.6781673029935207</v>
      </c>
      <c r="AH49" s="22">
        <f t="shared" ref="AH49:AH56" si="25">AE49+AG49</f>
        <v>27.546934741554612</v>
      </c>
    </row>
    <row r="50" spans="1:34" x14ac:dyDescent="0.3">
      <c r="A50" s="12">
        <v>45</v>
      </c>
      <c r="B50" s="1">
        <v>48743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5"/>
      <c r="W50" s="5"/>
      <c r="X50" s="5"/>
      <c r="Y50" s="5"/>
      <c r="Z50" s="5"/>
      <c r="AA50" s="5"/>
      <c r="AB50" s="7">
        <f>$B50/36.5/52.14</f>
        <v>25.612287256122872</v>
      </c>
      <c r="AC50" s="7">
        <f t="shared" si="22"/>
        <v>2.7582384391863841</v>
      </c>
      <c r="AD50" s="7">
        <f t="shared" si="23"/>
        <v>28.370525695309258</v>
      </c>
      <c r="AE50" s="9">
        <f t="shared" si="24"/>
        <v>25.612287256122872</v>
      </c>
      <c r="AF50" s="2"/>
      <c r="AG50" s="6">
        <f t="shared" ref="AG50:AG63" si="26">AE50*(10.7692/100)</f>
        <v>2.7582384391863841</v>
      </c>
      <c r="AH50" s="17">
        <f t="shared" si="25"/>
        <v>28.370525695309258</v>
      </c>
    </row>
    <row r="51" spans="1:34" x14ac:dyDescent="0.3">
      <c r="A51" s="12">
        <v>46</v>
      </c>
      <c r="B51" s="1">
        <v>50200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5"/>
      <c r="W51" s="5"/>
      <c r="X51" s="5"/>
      <c r="Y51" s="5"/>
      <c r="Z51" s="5"/>
      <c r="AA51" s="5"/>
      <c r="AB51" s="19">
        <f>$B51/36.5/52.14</f>
        <v>26.37787621314585</v>
      </c>
      <c r="AC51" s="19">
        <f t="shared" si="22"/>
        <v>2.8406862451461028</v>
      </c>
      <c r="AD51" s="19">
        <f t="shared" si="23"/>
        <v>29.218562458291952</v>
      </c>
      <c r="AE51" s="9">
        <f t="shared" si="24"/>
        <v>26.37787621314585</v>
      </c>
      <c r="AF51" s="2"/>
      <c r="AG51" s="6">
        <f t="shared" si="26"/>
        <v>2.8406862451461028</v>
      </c>
      <c r="AH51" s="17">
        <f t="shared" si="25"/>
        <v>29.218562458291952</v>
      </c>
    </row>
    <row r="52" spans="1:34" x14ac:dyDescent="0.3">
      <c r="A52" s="12">
        <v>47</v>
      </c>
      <c r="B52" s="1">
        <v>51702</v>
      </c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5"/>
      <c r="W52" s="5"/>
      <c r="X52" s="5"/>
      <c r="Y52" s="5"/>
      <c r="Z52" s="5"/>
      <c r="AA52" s="5"/>
      <c r="AB52" s="5"/>
      <c r="AC52" s="5"/>
      <c r="AD52" s="5"/>
      <c r="AE52" s="9">
        <f t="shared" si="24"/>
        <v>27.167110676734399</v>
      </c>
      <c r="AF52" s="2"/>
      <c r="AG52" s="6">
        <f t="shared" si="26"/>
        <v>2.9256804829988807</v>
      </c>
      <c r="AH52" s="17">
        <f t="shared" si="25"/>
        <v>30.092791159733281</v>
      </c>
    </row>
    <row r="53" spans="1:34" x14ac:dyDescent="0.3">
      <c r="A53" s="12">
        <v>48</v>
      </c>
      <c r="B53" s="1">
        <v>53248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5"/>
      <c r="W53" s="5"/>
      <c r="X53" s="5"/>
      <c r="Y53" s="5"/>
      <c r="Z53" s="5"/>
      <c r="AA53" s="5"/>
      <c r="AB53" s="5"/>
      <c r="AC53" s="5"/>
      <c r="AD53" s="5"/>
      <c r="AE53" s="9">
        <f t="shared" si="24"/>
        <v>27.979465191187057</v>
      </c>
      <c r="AF53" s="2"/>
      <c r="AG53" s="6">
        <f t="shared" si="26"/>
        <v>3.0131645653693164</v>
      </c>
      <c r="AH53" s="17">
        <f t="shared" si="25"/>
        <v>30.992629756556372</v>
      </c>
    </row>
    <row r="54" spans="1:34" x14ac:dyDescent="0.3">
      <c r="A54" s="12">
        <v>49</v>
      </c>
      <c r="B54" s="1">
        <v>54841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5"/>
      <c r="W54" s="5"/>
      <c r="X54" s="5"/>
      <c r="Y54" s="5"/>
      <c r="Z54" s="5"/>
      <c r="AA54" s="5"/>
      <c r="AB54" s="5"/>
      <c r="AC54" s="5"/>
      <c r="AD54" s="5"/>
      <c r="AE54" s="9">
        <f t="shared" si="24"/>
        <v>28.816516123608199</v>
      </c>
      <c r="AF54" s="2"/>
      <c r="AG54" s="6">
        <f t="shared" si="26"/>
        <v>3.1033082543836139</v>
      </c>
      <c r="AH54" s="17">
        <f t="shared" si="25"/>
        <v>31.919824377991812</v>
      </c>
    </row>
    <row r="55" spans="1:34" x14ac:dyDescent="0.3">
      <c r="A55" s="12">
        <v>50</v>
      </c>
      <c r="B55" s="1">
        <v>56482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5"/>
      <c r="W55" s="5"/>
      <c r="X55" s="5"/>
      <c r="Y55" s="5"/>
      <c r="Z55" s="5"/>
      <c r="AA55" s="5"/>
      <c r="AB55" s="5"/>
      <c r="AC55" s="5"/>
      <c r="AD55" s="5"/>
      <c r="AE55" s="27">
        <f t="shared" si="24"/>
        <v>29.67878892969928</v>
      </c>
      <c r="AF55" s="28"/>
      <c r="AG55" s="23">
        <f t="shared" si="26"/>
        <v>3.1961681374171746</v>
      </c>
      <c r="AH55" s="29">
        <f t="shared" si="25"/>
        <v>32.874957067116455</v>
      </c>
    </row>
    <row r="56" spans="1:34" x14ac:dyDescent="0.3">
      <c r="A56" s="12">
        <v>51</v>
      </c>
      <c r="B56" s="1">
        <v>58172</v>
      </c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5"/>
      <c r="W56" s="5"/>
      <c r="X56" s="5"/>
      <c r="Y56" s="5"/>
      <c r="Z56" s="5"/>
      <c r="AA56" s="5"/>
      <c r="AB56" s="5"/>
      <c r="AC56" s="5"/>
      <c r="AD56" s="5"/>
      <c r="AE56" s="10">
        <f t="shared" si="24"/>
        <v>30.56680906516176</v>
      </c>
      <c r="AF56" s="15"/>
      <c r="AG56" s="7">
        <f t="shared" si="26"/>
        <v>3.2918008018454001</v>
      </c>
      <c r="AH56" s="24">
        <f t="shared" si="25"/>
        <v>33.858609867007161</v>
      </c>
    </row>
    <row r="57" spans="1:34" x14ac:dyDescent="0.3">
      <c r="A57" s="12">
        <v>52</v>
      </c>
      <c r="B57" s="1">
        <v>59913</v>
      </c>
      <c r="C57" s="2" t="s">
        <v>0</v>
      </c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5"/>
      <c r="W57" s="5"/>
      <c r="X57" s="5"/>
      <c r="Y57" s="5"/>
      <c r="Z57" s="5"/>
      <c r="AA57" s="5"/>
      <c r="AB57" s="5"/>
      <c r="AC57" s="5"/>
      <c r="AD57" s="5"/>
      <c r="AE57" s="10">
        <f t="shared" si="24"/>
        <v>31.481627441398555</v>
      </c>
      <c r="AF57" s="15" t="s">
        <v>0</v>
      </c>
      <c r="AG57" s="7">
        <f t="shared" si="26"/>
        <v>3.3903194224190929</v>
      </c>
      <c r="AH57" s="24">
        <f>AE57+AG57</f>
        <v>34.871946863817648</v>
      </c>
    </row>
    <row r="58" spans="1:34" x14ac:dyDescent="0.3">
      <c r="A58" s="12">
        <v>53</v>
      </c>
      <c r="B58" s="1">
        <v>61706</v>
      </c>
      <c r="C58" s="2" t="s">
        <v>0</v>
      </c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5"/>
      <c r="W58" s="5"/>
      <c r="X58" s="5"/>
      <c r="Y58" s="5"/>
      <c r="Z58" s="5"/>
      <c r="AA58" s="5"/>
      <c r="AB58" s="5"/>
      <c r="AC58" s="5"/>
      <c r="AD58" s="5"/>
      <c r="AE58" s="10">
        <f t="shared" si="24"/>
        <v>32.423769514111115</v>
      </c>
      <c r="AF58" s="15" t="s">
        <v>0</v>
      </c>
      <c r="AG58" s="7">
        <f t="shared" si="26"/>
        <v>3.491780586513654</v>
      </c>
      <c r="AH58" s="24">
        <f t="shared" ref="AH58:AH63" si="27">AE58+AG58</f>
        <v>35.91555010062477</v>
      </c>
    </row>
    <row r="59" spans="1:34" x14ac:dyDescent="0.3">
      <c r="A59" s="12">
        <v>54</v>
      </c>
      <c r="B59" s="1">
        <v>63553</v>
      </c>
      <c r="C59" s="2" t="s">
        <v>0</v>
      </c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5"/>
      <c r="W59" s="5"/>
      <c r="X59" s="5"/>
      <c r="Y59" s="5"/>
      <c r="Z59" s="5"/>
      <c r="AA59" s="5"/>
      <c r="AB59" s="5"/>
      <c r="AC59" s="5"/>
      <c r="AD59" s="5"/>
      <c r="AE59" s="10">
        <f t="shared" si="24"/>
        <v>33.394286194702353</v>
      </c>
      <c r="AF59" s="15" t="s">
        <v>0</v>
      </c>
      <c r="AG59" s="7">
        <f t="shared" si="26"/>
        <v>3.5962974688798859</v>
      </c>
      <c r="AH59" s="24">
        <f t="shared" si="27"/>
        <v>36.990583663582242</v>
      </c>
    </row>
    <row r="60" spans="1:34" x14ac:dyDescent="0.3">
      <c r="A60" s="12">
        <v>55</v>
      </c>
      <c r="B60" s="1">
        <v>65455</v>
      </c>
      <c r="C60" s="2" t="s">
        <v>0</v>
      </c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5"/>
      <c r="W60" s="5"/>
      <c r="X60" s="5"/>
      <c r="Y60" s="5"/>
      <c r="Z60" s="5"/>
      <c r="AA60" s="5"/>
      <c r="AB60" s="5"/>
      <c r="AC60" s="5"/>
      <c r="AD60" s="5"/>
      <c r="AE60" s="10">
        <f t="shared" si="24"/>
        <v>34.393702938873737</v>
      </c>
      <c r="AF60" s="15" t="s">
        <v>0</v>
      </c>
      <c r="AG60" s="7">
        <f t="shared" si="26"/>
        <v>3.7039266568931906</v>
      </c>
      <c r="AH60" s="24">
        <f t="shared" si="27"/>
        <v>38.097629595766925</v>
      </c>
    </row>
    <row r="61" spans="1:34" x14ac:dyDescent="0.3">
      <c r="A61" s="12">
        <v>56</v>
      </c>
      <c r="B61" s="1">
        <v>67414</v>
      </c>
      <c r="C61" s="2" t="s">
        <v>0</v>
      </c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5"/>
      <c r="W61" s="5"/>
      <c r="X61" s="5"/>
      <c r="Y61" s="5"/>
      <c r="Z61" s="5"/>
      <c r="AA61" s="5"/>
      <c r="AB61" s="5"/>
      <c r="AC61" s="5"/>
      <c r="AD61" s="5"/>
      <c r="AE61" s="10">
        <f t="shared" si="24"/>
        <v>35.423070658028173</v>
      </c>
      <c r="AF61" s="15" t="s">
        <v>0</v>
      </c>
      <c r="AG61" s="7">
        <f t="shared" si="26"/>
        <v>3.8147813253043701</v>
      </c>
      <c r="AH61" s="24">
        <f t="shared" si="27"/>
        <v>39.237851983332547</v>
      </c>
    </row>
    <row r="62" spans="1:34" x14ac:dyDescent="0.3">
      <c r="A62" s="12">
        <v>57</v>
      </c>
      <c r="B62" s="1">
        <v>69431</v>
      </c>
      <c r="C62" s="2" t="s">
        <v>0</v>
      </c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5"/>
      <c r="W62" s="5"/>
      <c r="X62" s="5"/>
      <c r="Y62" s="5"/>
      <c r="Z62" s="5"/>
      <c r="AA62" s="5"/>
      <c r="AB62" s="5"/>
      <c r="AC62" s="5"/>
      <c r="AD62" s="5"/>
      <c r="AE62" s="10">
        <f t="shared" si="24"/>
        <v>36.482914807867125</v>
      </c>
      <c r="AF62" s="15" t="s">
        <v>0</v>
      </c>
      <c r="AG62" s="7">
        <f t="shared" si="26"/>
        <v>3.9289180614888264</v>
      </c>
      <c r="AH62" s="24">
        <f t="shared" si="27"/>
        <v>40.411832869355955</v>
      </c>
    </row>
    <row r="63" spans="1:34" ht="15" thickBot="1" x14ac:dyDescent="0.35">
      <c r="A63" s="14">
        <v>58</v>
      </c>
      <c r="B63" s="3">
        <v>71510</v>
      </c>
      <c r="C63" s="4" t="s">
        <v>0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8"/>
      <c r="W63" s="8"/>
      <c r="X63" s="8"/>
      <c r="Y63" s="8"/>
      <c r="Z63" s="8"/>
      <c r="AA63" s="8"/>
      <c r="AB63" s="8"/>
      <c r="AC63" s="8"/>
      <c r="AD63" s="8"/>
      <c r="AE63" s="11">
        <f t="shared" si="24"/>
        <v>37.575337211196405</v>
      </c>
      <c r="AF63" s="16" t="s">
        <v>0</v>
      </c>
      <c r="AG63" s="25">
        <f t="shared" si="26"/>
        <v>4.0465632149481632</v>
      </c>
      <c r="AH63" s="26">
        <f t="shared" si="27"/>
        <v>41.62190042614457</v>
      </c>
    </row>
  </sheetData>
  <mergeCells count="15">
    <mergeCell ref="D5:I5"/>
    <mergeCell ref="AE4:AF4"/>
    <mergeCell ref="A2:A4"/>
    <mergeCell ref="B2:C4"/>
    <mergeCell ref="V3:X3"/>
    <mergeCell ref="Y3:AA3"/>
    <mergeCell ref="AB3:AD3"/>
    <mergeCell ref="AE3:AH3"/>
    <mergeCell ref="S3:U3"/>
    <mergeCell ref="P3:R3"/>
    <mergeCell ref="M3:O3"/>
    <mergeCell ref="J3:L3"/>
    <mergeCell ref="G3:I3"/>
    <mergeCell ref="D3:F3"/>
    <mergeCell ref="D2:AH2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Aston University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Tyrrell, Jane</dc:creator>
  <cp:lastModifiedBy>Aston University</cp:lastModifiedBy>
  <dcterms:created xsi:type="dcterms:W3CDTF">2011-11-28T16:16:30Z</dcterms:created>
  <dcterms:modified xsi:type="dcterms:W3CDTF">2014-12-16T14:26:45Z</dcterms:modified>
  <cp:contentStatus>Final</cp:contentStatus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MarkAsFinal">
    <vt:bool>true</vt:bool>
  </property>
</Properties>
</file>