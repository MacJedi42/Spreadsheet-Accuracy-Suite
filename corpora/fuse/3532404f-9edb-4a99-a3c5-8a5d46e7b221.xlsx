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85" yWindow="75" windowWidth="14625" windowHeight="5550"/>
  </bookViews>
  <sheets>
    <sheet name="RoT V2.0 Beta" sheetId="1" r:id="rId1"/>
  </sheets>
  <calcPr calcId="145621"/>
</workbook>
</file>

<file path=xl/calcChain.xml><?xml version="1.0" encoding="utf-8"?>
<calcChain xmlns="http://schemas.openxmlformats.org/spreadsheetml/2006/main">
  <c r="I7" i="1" l="1"/>
  <c r="I24" i="1"/>
  <c r="I18" i="1"/>
  <c r="I45" i="1"/>
  <c r="I26" i="1"/>
  <c r="I23" i="1"/>
  <c r="I36" i="1"/>
  <c r="I31" i="1"/>
  <c r="I10" i="1"/>
  <c r="I34" i="1"/>
  <c r="I35" i="1"/>
  <c r="I49" i="1"/>
  <c r="I15" i="1"/>
  <c r="I5" i="1"/>
  <c r="I12" i="1"/>
  <c r="I14" i="1"/>
  <c r="I25" i="1"/>
  <c r="I38" i="1"/>
  <c r="I9" i="1"/>
  <c r="I8" i="1"/>
  <c r="I13" i="1"/>
  <c r="I53" i="1"/>
  <c r="I19" i="1"/>
  <c r="I30" i="1"/>
  <c r="I28" i="1"/>
  <c r="I80" i="1"/>
  <c r="I64" i="1"/>
  <c r="I57" i="1"/>
  <c r="I17" i="1"/>
  <c r="I71" i="1"/>
  <c r="I21" i="1"/>
  <c r="I40" i="1"/>
  <c r="I20" i="1"/>
  <c r="I62" i="1"/>
  <c r="I70" i="1"/>
  <c r="I56" i="1"/>
  <c r="I16" i="1"/>
  <c r="I47" i="1"/>
  <c r="I33" i="1"/>
  <c r="I82" i="1"/>
  <c r="I6" i="1"/>
  <c r="I32" i="1"/>
  <c r="I41" i="1"/>
  <c r="I27" i="1"/>
  <c r="I11" i="1"/>
  <c r="I22" i="1"/>
  <c r="I55" i="1"/>
  <c r="I42" i="1"/>
  <c r="I29" i="1"/>
  <c r="I69" i="1"/>
  <c r="I44" i="1"/>
  <c r="I39" i="1"/>
  <c r="I59" i="1"/>
  <c r="I61" i="1"/>
  <c r="I73" i="1"/>
  <c r="I46" i="1"/>
  <c r="I93" i="1"/>
  <c r="I79" i="1"/>
  <c r="I81" i="1"/>
  <c r="I66" i="1"/>
  <c r="I48" i="1"/>
  <c r="I50" i="1"/>
  <c r="I108" i="1"/>
  <c r="I76" i="1"/>
  <c r="I89" i="1"/>
  <c r="I103" i="1"/>
  <c r="I43" i="1"/>
  <c r="I68" i="1"/>
  <c r="I37" i="1"/>
  <c r="I54" i="1"/>
  <c r="I92" i="1"/>
  <c r="I51" i="1"/>
  <c r="I63" i="1"/>
  <c r="I67" i="1"/>
  <c r="I58" i="1"/>
  <c r="I65" i="1"/>
  <c r="I83" i="1"/>
  <c r="I95" i="1"/>
  <c r="I90" i="1"/>
  <c r="I91" i="1"/>
  <c r="I77" i="1"/>
  <c r="I96" i="1"/>
  <c r="I110" i="1"/>
  <c r="I88" i="1"/>
  <c r="I78" i="1"/>
  <c r="I52" i="1"/>
  <c r="I84" i="1"/>
  <c r="I75" i="1"/>
  <c r="I60" i="1"/>
  <c r="I86" i="1"/>
  <c r="I115" i="1"/>
  <c r="I105" i="1"/>
  <c r="I74" i="1"/>
  <c r="I87" i="1"/>
  <c r="I109" i="1"/>
  <c r="I113" i="1"/>
  <c r="I114" i="1"/>
  <c r="I106" i="1"/>
  <c r="I111" i="1"/>
  <c r="I123" i="1"/>
  <c r="I107" i="1"/>
  <c r="I99" i="1"/>
  <c r="I104" i="1"/>
  <c r="I119" i="1"/>
  <c r="I72" i="1"/>
  <c r="I85" i="1"/>
  <c r="I94" i="1"/>
  <c r="I121" i="1"/>
  <c r="I97" i="1"/>
  <c r="I134" i="1"/>
  <c r="I125" i="1"/>
  <c r="I116" i="1"/>
  <c r="I117" i="1"/>
  <c r="I135" i="1"/>
  <c r="I100" i="1"/>
  <c r="I102" i="1"/>
  <c r="I112" i="1"/>
  <c r="I98" i="1"/>
  <c r="I133" i="1"/>
  <c r="I122" i="1"/>
  <c r="I101" i="1"/>
  <c r="I124" i="1"/>
  <c r="I129" i="1"/>
  <c r="I127" i="1"/>
  <c r="I131" i="1"/>
  <c r="I118" i="1"/>
  <c r="I126" i="1"/>
  <c r="I132" i="1"/>
  <c r="I147" i="1"/>
  <c r="I120" i="1"/>
  <c r="I138" i="1"/>
  <c r="I148" i="1"/>
  <c r="I140" i="1"/>
  <c r="I137" i="1"/>
  <c r="I149" i="1"/>
  <c r="I143" i="1"/>
  <c r="I144" i="1"/>
  <c r="I139" i="1"/>
  <c r="I142" i="1"/>
  <c r="I145" i="1"/>
  <c r="I136" i="1"/>
  <c r="I128" i="1"/>
  <c r="I146" i="1"/>
  <c r="I141" i="1"/>
  <c r="I130" i="1"/>
  <c r="I150" i="1"/>
  <c r="M7" i="1"/>
  <c r="M24" i="1"/>
  <c r="M18" i="1"/>
  <c r="M45" i="1"/>
  <c r="M26" i="1"/>
  <c r="M23" i="1"/>
  <c r="M36" i="1"/>
  <c r="M31" i="1"/>
  <c r="M10" i="1"/>
  <c r="M34" i="1"/>
  <c r="M35" i="1"/>
  <c r="M49" i="1"/>
  <c r="M15" i="1"/>
  <c r="M5" i="1"/>
  <c r="M12" i="1"/>
  <c r="M14" i="1"/>
  <c r="M25" i="1"/>
  <c r="M38" i="1"/>
  <c r="M9" i="1"/>
  <c r="M8" i="1"/>
  <c r="M13" i="1"/>
  <c r="M53" i="1"/>
  <c r="M19" i="1"/>
  <c r="M30" i="1"/>
  <c r="M28" i="1"/>
  <c r="M80" i="1"/>
  <c r="M64" i="1"/>
  <c r="M57" i="1"/>
  <c r="M17" i="1"/>
  <c r="M71" i="1"/>
  <c r="M21" i="1"/>
  <c r="M40" i="1"/>
  <c r="M20" i="1"/>
  <c r="M62" i="1"/>
  <c r="M70" i="1"/>
  <c r="M56" i="1"/>
  <c r="M16" i="1"/>
  <c r="M47" i="1"/>
  <c r="M33" i="1"/>
  <c r="M82" i="1"/>
  <c r="M6" i="1"/>
  <c r="M32" i="1"/>
  <c r="M41" i="1"/>
  <c r="M27" i="1"/>
  <c r="M11" i="1"/>
  <c r="M22" i="1"/>
  <c r="M55" i="1"/>
  <c r="M42" i="1"/>
  <c r="M29" i="1"/>
  <c r="M69" i="1"/>
  <c r="M44" i="1"/>
  <c r="M39" i="1"/>
  <c r="M59" i="1"/>
  <c r="M61" i="1"/>
  <c r="M73" i="1"/>
  <c r="M46" i="1"/>
  <c r="M93" i="1"/>
  <c r="M79" i="1"/>
  <c r="M81" i="1"/>
  <c r="M66" i="1"/>
  <c r="M48" i="1"/>
  <c r="M50" i="1"/>
  <c r="M108" i="1"/>
  <c r="M76" i="1"/>
  <c r="M89" i="1"/>
  <c r="M103" i="1"/>
  <c r="M43" i="1"/>
  <c r="M68" i="1"/>
  <c r="M37" i="1"/>
  <c r="M54" i="1"/>
  <c r="M92" i="1"/>
  <c r="M51" i="1"/>
  <c r="M63" i="1"/>
  <c r="M67" i="1"/>
  <c r="M58" i="1"/>
  <c r="M65" i="1"/>
  <c r="M83" i="1"/>
  <c r="M95" i="1"/>
  <c r="M90" i="1"/>
  <c r="M91" i="1"/>
  <c r="M77" i="1"/>
  <c r="M96" i="1"/>
  <c r="M110" i="1"/>
  <c r="M88" i="1"/>
  <c r="M78" i="1"/>
  <c r="M52" i="1"/>
  <c r="M84" i="1"/>
  <c r="M75" i="1"/>
  <c r="M60" i="1"/>
  <c r="M86" i="1"/>
  <c r="M115" i="1"/>
  <c r="M105" i="1"/>
  <c r="M74" i="1"/>
  <c r="M87" i="1"/>
  <c r="M109" i="1"/>
  <c r="M113" i="1"/>
  <c r="M114" i="1"/>
  <c r="M106" i="1"/>
  <c r="M111" i="1"/>
  <c r="M123" i="1"/>
  <c r="M107" i="1"/>
  <c r="M99" i="1"/>
  <c r="M104" i="1"/>
  <c r="M119" i="1"/>
  <c r="M72" i="1"/>
  <c r="M85" i="1"/>
  <c r="M94" i="1"/>
  <c r="M121" i="1"/>
  <c r="M97" i="1"/>
  <c r="M134" i="1"/>
  <c r="M125" i="1"/>
  <c r="M116" i="1"/>
  <c r="M117" i="1"/>
  <c r="M135" i="1"/>
  <c r="M100" i="1"/>
  <c r="M102" i="1"/>
  <c r="M112" i="1"/>
  <c r="M98" i="1"/>
  <c r="M133" i="1"/>
  <c r="M122" i="1"/>
  <c r="M101" i="1"/>
  <c r="M124" i="1"/>
  <c r="M129" i="1"/>
  <c r="M127" i="1"/>
  <c r="M131" i="1"/>
  <c r="M118" i="1"/>
  <c r="M126" i="1"/>
  <c r="M132" i="1"/>
  <c r="M147" i="1"/>
  <c r="M120" i="1"/>
  <c r="M138" i="1"/>
  <c r="M148" i="1"/>
  <c r="M140" i="1"/>
  <c r="M137" i="1"/>
  <c r="M149" i="1"/>
  <c r="M143" i="1"/>
  <c r="M144" i="1"/>
  <c r="M139" i="1"/>
  <c r="M142" i="1"/>
  <c r="M145" i="1"/>
  <c r="M136" i="1"/>
  <c r="M128" i="1"/>
  <c r="M146" i="1"/>
  <c r="M141" i="1"/>
  <c r="M130" i="1"/>
  <c r="M150" i="1"/>
  <c r="Q62" i="1" l="1"/>
  <c r="P62" i="1"/>
  <c r="L62" i="1" s="1"/>
  <c r="O62" i="1"/>
  <c r="N62" i="1"/>
  <c r="J62" i="1" s="1"/>
  <c r="Q70" i="1"/>
  <c r="P70" i="1"/>
  <c r="L70" i="1" s="1"/>
  <c r="O70" i="1"/>
  <c r="N70" i="1"/>
  <c r="J70" i="1" s="1"/>
  <c r="Q56" i="1"/>
  <c r="P56" i="1"/>
  <c r="L56" i="1" s="1"/>
  <c r="O56" i="1"/>
  <c r="K56" i="1" s="1"/>
  <c r="N56" i="1"/>
  <c r="J56" i="1" s="1"/>
  <c r="Q16" i="1"/>
  <c r="P16" i="1"/>
  <c r="L16" i="1" s="1"/>
  <c r="O16" i="1"/>
  <c r="N16" i="1"/>
  <c r="J16" i="1" s="1"/>
  <c r="Q47" i="1"/>
  <c r="P47" i="1"/>
  <c r="L47" i="1" s="1"/>
  <c r="O47" i="1"/>
  <c r="K47" i="1" s="1"/>
  <c r="N47" i="1"/>
  <c r="J47" i="1" s="1"/>
  <c r="Q33" i="1"/>
  <c r="P33" i="1"/>
  <c r="L33" i="1" s="1"/>
  <c r="O33" i="1"/>
  <c r="N33" i="1"/>
  <c r="J33" i="1" s="1"/>
  <c r="Q82" i="1"/>
  <c r="P82" i="1"/>
  <c r="L82" i="1" s="1"/>
  <c r="O82" i="1"/>
  <c r="K82" i="1" s="1"/>
  <c r="N82" i="1"/>
  <c r="J82" i="1" s="1"/>
  <c r="Q6" i="1"/>
  <c r="P6" i="1"/>
  <c r="L6" i="1" s="1"/>
  <c r="O6" i="1"/>
  <c r="N6" i="1"/>
  <c r="J6" i="1" s="1"/>
  <c r="Q32" i="1"/>
  <c r="P32" i="1"/>
  <c r="L32" i="1" s="1"/>
  <c r="O32" i="1"/>
  <c r="K32" i="1" s="1"/>
  <c r="N32" i="1"/>
  <c r="J32" i="1" s="1"/>
  <c r="Q41" i="1"/>
  <c r="P41" i="1"/>
  <c r="L41" i="1" s="1"/>
  <c r="O41" i="1"/>
  <c r="N41" i="1"/>
  <c r="J41" i="1" s="1"/>
  <c r="Q27" i="1"/>
  <c r="P27" i="1"/>
  <c r="L27" i="1" s="1"/>
  <c r="O27" i="1"/>
  <c r="K27" i="1" s="1"/>
  <c r="N27" i="1"/>
  <c r="J27" i="1" s="1"/>
  <c r="Q11" i="1"/>
  <c r="P11" i="1"/>
  <c r="L11" i="1" s="1"/>
  <c r="O11" i="1"/>
  <c r="N11" i="1"/>
  <c r="J11" i="1" s="1"/>
  <c r="Q22" i="1"/>
  <c r="P22" i="1"/>
  <c r="L22" i="1" s="1"/>
  <c r="O22" i="1"/>
  <c r="K22" i="1" s="1"/>
  <c r="N22" i="1"/>
  <c r="J22" i="1" s="1"/>
  <c r="Q55" i="1"/>
  <c r="P55" i="1"/>
  <c r="L55" i="1" s="1"/>
  <c r="O55" i="1"/>
  <c r="N55" i="1"/>
  <c r="J55" i="1" s="1"/>
  <c r="Q42" i="1"/>
  <c r="P42" i="1"/>
  <c r="L42" i="1" s="1"/>
  <c r="O42" i="1"/>
  <c r="K42" i="1" s="1"/>
  <c r="N42" i="1"/>
  <c r="J42" i="1" s="1"/>
  <c r="Q29" i="1"/>
  <c r="P29" i="1"/>
  <c r="L29" i="1" s="1"/>
  <c r="O29" i="1"/>
  <c r="N29" i="1"/>
  <c r="J29" i="1" s="1"/>
  <c r="Q69" i="1"/>
  <c r="P69" i="1"/>
  <c r="L69" i="1" s="1"/>
  <c r="O69" i="1"/>
  <c r="K69" i="1" s="1"/>
  <c r="N69" i="1"/>
  <c r="J69" i="1" s="1"/>
  <c r="Q44" i="1"/>
  <c r="P44" i="1"/>
  <c r="L44" i="1" s="1"/>
  <c r="O44" i="1"/>
  <c r="N44" i="1"/>
  <c r="J44" i="1" s="1"/>
  <c r="Q39" i="1"/>
  <c r="P39" i="1"/>
  <c r="L39" i="1" s="1"/>
  <c r="O39" i="1"/>
  <c r="K39" i="1" s="1"/>
  <c r="N39" i="1"/>
  <c r="J39" i="1" s="1"/>
  <c r="Q59" i="1"/>
  <c r="P59" i="1"/>
  <c r="L59" i="1" s="1"/>
  <c r="O59" i="1"/>
  <c r="N59" i="1"/>
  <c r="J59" i="1" s="1"/>
  <c r="Q61" i="1"/>
  <c r="P61" i="1"/>
  <c r="L61" i="1" s="1"/>
  <c r="O61" i="1"/>
  <c r="K61" i="1" s="1"/>
  <c r="N61" i="1"/>
  <c r="J61" i="1" s="1"/>
  <c r="Q73" i="1"/>
  <c r="P73" i="1"/>
  <c r="L73" i="1" s="1"/>
  <c r="O73" i="1"/>
  <c r="N73" i="1"/>
  <c r="J73" i="1" s="1"/>
  <c r="Q46" i="1"/>
  <c r="P46" i="1"/>
  <c r="L46" i="1" s="1"/>
  <c r="O46" i="1"/>
  <c r="K46" i="1" s="1"/>
  <c r="N46" i="1"/>
  <c r="J46" i="1" s="1"/>
  <c r="Q93" i="1"/>
  <c r="P93" i="1"/>
  <c r="L93" i="1" s="1"/>
  <c r="O93" i="1"/>
  <c r="N93" i="1"/>
  <c r="J93" i="1" s="1"/>
  <c r="Q79" i="1"/>
  <c r="P79" i="1"/>
  <c r="L79" i="1" s="1"/>
  <c r="O79" i="1"/>
  <c r="K79" i="1" s="1"/>
  <c r="N79" i="1"/>
  <c r="J79" i="1" s="1"/>
  <c r="Q81" i="1"/>
  <c r="P81" i="1"/>
  <c r="L81" i="1" s="1"/>
  <c r="O81" i="1"/>
  <c r="N81" i="1"/>
  <c r="J81" i="1" s="1"/>
  <c r="Q66" i="1"/>
  <c r="P66" i="1"/>
  <c r="L66" i="1" s="1"/>
  <c r="O66" i="1"/>
  <c r="K66" i="1" s="1"/>
  <c r="N66" i="1"/>
  <c r="J66" i="1" s="1"/>
  <c r="Q48" i="1"/>
  <c r="P48" i="1"/>
  <c r="L48" i="1" s="1"/>
  <c r="O48" i="1"/>
  <c r="N48" i="1"/>
  <c r="J48" i="1" s="1"/>
  <c r="Q50" i="1"/>
  <c r="P50" i="1"/>
  <c r="L50" i="1" s="1"/>
  <c r="O50" i="1"/>
  <c r="K50" i="1" s="1"/>
  <c r="N50" i="1"/>
  <c r="J50" i="1" s="1"/>
  <c r="Q108" i="1"/>
  <c r="P108" i="1"/>
  <c r="L108" i="1" s="1"/>
  <c r="O108" i="1"/>
  <c r="N108" i="1"/>
  <c r="J108" i="1" s="1"/>
  <c r="Q76" i="1"/>
  <c r="P76" i="1"/>
  <c r="L76" i="1" s="1"/>
  <c r="O76" i="1"/>
  <c r="K76" i="1" s="1"/>
  <c r="N76" i="1"/>
  <c r="J76" i="1" s="1"/>
  <c r="Q89" i="1"/>
  <c r="P89" i="1"/>
  <c r="L89" i="1" s="1"/>
  <c r="O89" i="1"/>
  <c r="N89" i="1"/>
  <c r="J89" i="1" s="1"/>
  <c r="Q103" i="1"/>
  <c r="P103" i="1"/>
  <c r="L103" i="1" s="1"/>
  <c r="O103" i="1"/>
  <c r="K103" i="1" s="1"/>
  <c r="N103" i="1"/>
  <c r="J103" i="1" s="1"/>
  <c r="Q43" i="1"/>
  <c r="P43" i="1"/>
  <c r="L43" i="1" s="1"/>
  <c r="O43" i="1"/>
  <c r="N43" i="1"/>
  <c r="J43" i="1" s="1"/>
  <c r="Q68" i="1"/>
  <c r="P68" i="1"/>
  <c r="L68" i="1" s="1"/>
  <c r="O68" i="1"/>
  <c r="K68" i="1" s="1"/>
  <c r="N68" i="1"/>
  <c r="J68" i="1" s="1"/>
  <c r="Q37" i="1"/>
  <c r="P37" i="1"/>
  <c r="L37" i="1" s="1"/>
  <c r="O37" i="1"/>
  <c r="N37" i="1"/>
  <c r="J37" i="1" s="1"/>
  <c r="Q54" i="1"/>
  <c r="P54" i="1"/>
  <c r="L54" i="1" s="1"/>
  <c r="O54" i="1"/>
  <c r="K54" i="1" s="1"/>
  <c r="N54" i="1"/>
  <c r="J54" i="1" s="1"/>
  <c r="Q92" i="1"/>
  <c r="P92" i="1"/>
  <c r="L92" i="1" s="1"/>
  <c r="O92" i="1"/>
  <c r="N92" i="1"/>
  <c r="J92" i="1" s="1"/>
  <c r="Q51" i="1"/>
  <c r="P51" i="1"/>
  <c r="L51" i="1" s="1"/>
  <c r="O51" i="1"/>
  <c r="K51" i="1" s="1"/>
  <c r="N51" i="1"/>
  <c r="J51" i="1" s="1"/>
  <c r="Q63" i="1"/>
  <c r="P63" i="1"/>
  <c r="L63" i="1" s="1"/>
  <c r="O63" i="1"/>
  <c r="N63" i="1"/>
  <c r="J63" i="1" s="1"/>
  <c r="Q67" i="1"/>
  <c r="P67" i="1"/>
  <c r="L67" i="1" s="1"/>
  <c r="O67" i="1"/>
  <c r="K67" i="1" s="1"/>
  <c r="N67" i="1"/>
  <c r="J67" i="1" s="1"/>
  <c r="Q58" i="1"/>
  <c r="P58" i="1"/>
  <c r="L58" i="1" s="1"/>
  <c r="O58" i="1"/>
  <c r="N58" i="1"/>
  <c r="J58" i="1" s="1"/>
  <c r="Q65" i="1"/>
  <c r="P65" i="1"/>
  <c r="L65" i="1" s="1"/>
  <c r="O65" i="1"/>
  <c r="K65" i="1" s="1"/>
  <c r="N65" i="1"/>
  <c r="J65" i="1" s="1"/>
  <c r="Q83" i="1"/>
  <c r="P83" i="1"/>
  <c r="L83" i="1" s="1"/>
  <c r="O83" i="1"/>
  <c r="N83" i="1"/>
  <c r="J83" i="1" s="1"/>
  <c r="Q95" i="1"/>
  <c r="P95" i="1"/>
  <c r="L95" i="1" s="1"/>
  <c r="O95" i="1"/>
  <c r="K95" i="1" s="1"/>
  <c r="N95" i="1"/>
  <c r="J95" i="1" s="1"/>
  <c r="Q90" i="1"/>
  <c r="P90" i="1"/>
  <c r="L90" i="1" s="1"/>
  <c r="O90" i="1"/>
  <c r="N90" i="1"/>
  <c r="J90" i="1" s="1"/>
  <c r="Q91" i="1"/>
  <c r="P91" i="1"/>
  <c r="L91" i="1" s="1"/>
  <c r="O91" i="1"/>
  <c r="K91" i="1" s="1"/>
  <c r="N91" i="1"/>
  <c r="J91" i="1" s="1"/>
  <c r="Q77" i="1"/>
  <c r="P77" i="1"/>
  <c r="L77" i="1" s="1"/>
  <c r="O77" i="1"/>
  <c r="N77" i="1"/>
  <c r="J77" i="1" s="1"/>
  <c r="Q96" i="1"/>
  <c r="P96" i="1"/>
  <c r="L96" i="1" s="1"/>
  <c r="O96" i="1"/>
  <c r="K96" i="1" s="1"/>
  <c r="N96" i="1"/>
  <c r="J96" i="1" s="1"/>
  <c r="Q110" i="1"/>
  <c r="P110" i="1"/>
  <c r="L110" i="1" s="1"/>
  <c r="O110" i="1"/>
  <c r="N110" i="1"/>
  <c r="J110" i="1" s="1"/>
  <c r="Q88" i="1"/>
  <c r="P88" i="1"/>
  <c r="L88" i="1" s="1"/>
  <c r="O88" i="1"/>
  <c r="K88" i="1" s="1"/>
  <c r="N88" i="1"/>
  <c r="J88" i="1" s="1"/>
  <c r="Q78" i="1"/>
  <c r="P78" i="1"/>
  <c r="L78" i="1" s="1"/>
  <c r="O78" i="1"/>
  <c r="N78" i="1"/>
  <c r="J78" i="1" s="1"/>
  <c r="Q52" i="1"/>
  <c r="P52" i="1"/>
  <c r="L52" i="1" s="1"/>
  <c r="O52" i="1"/>
  <c r="K52" i="1" s="1"/>
  <c r="N52" i="1"/>
  <c r="J52" i="1" s="1"/>
  <c r="Q84" i="1"/>
  <c r="P84" i="1"/>
  <c r="L84" i="1" s="1"/>
  <c r="O84" i="1"/>
  <c r="N84" i="1"/>
  <c r="J84" i="1" s="1"/>
  <c r="Q75" i="1"/>
  <c r="P75" i="1"/>
  <c r="L75" i="1" s="1"/>
  <c r="O75" i="1"/>
  <c r="K75" i="1" s="1"/>
  <c r="N75" i="1"/>
  <c r="J75" i="1" s="1"/>
  <c r="Q60" i="1"/>
  <c r="P60" i="1"/>
  <c r="L60" i="1" s="1"/>
  <c r="O60" i="1"/>
  <c r="N60" i="1"/>
  <c r="J60" i="1" s="1"/>
  <c r="Q86" i="1"/>
  <c r="P86" i="1"/>
  <c r="L86" i="1" s="1"/>
  <c r="O86" i="1"/>
  <c r="K86" i="1" s="1"/>
  <c r="N86" i="1"/>
  <c r="J86" i="1" s="1"/>
  <c r="Q115" i="1"/>
  <c r="P115" i="1"/>
  <c r="L115" i="1" s="1"/>
  <c r="O115" i="1"/>
  <c r="N115" i="1"/>
  <c r="J115" i="1" s="1"/>
  <c r="Q105" i="1"/>
  <c r="P105" i="1"/>
  <c r="L105" i="1" s="1"/>
  <c r="O105" i="1"/>
  <c r="K105" i="1" s="1"/>
  <c r="N105" i="1"/>
  <c r="J105" i="1" s="1"/>
  <c r="Q74" i="1"/>
  <c r="P74" i="1"/>
  <c r="L74" i="1" s="1"/>
  <c r="O74" i="1"/>
  <c r="N74" i="1"/>
  <c r="J74" i="1" s="1"/>
  <c r="Q87" i="1"/>
  <c r="P87" i="1"/>
  <c r="L87" i="1" s="1"/>
  <c r="O87" i="1"/>
  <c r="K87" i="1" s="1"/>
  <c r="N87" i="1"/>
  <c r="J87" i="1" s="1"/>
  <c r="Q109" i="1"/>
  <c r="P109" i="1"/>
  <c r="L109" i="1" s="1"/>
  <c r="O109" i="1"/>
  <c r="N109" i="1"/>
  <c r="J109" i="1" s="1"/>
  <c r="Q113" i="1"/>
  <c r="P113" i="1"/>
  <c r="L113" i="1" s="1"/>
  <c r="O113" i="1"/>
  <c r="K113" i="1" s="1"/>
  <c r="N113" i="1"/>
  <c r="J113" i="1" s="1"/>
  <c r="Q114" i="1"/>
  <c r="P114" i="1"/>
  <c r="L114" i="1" s="1"/>
  <c r="O114" i="1"/>
  <c r="N114" i="1"/>
  <c r="J114" i="1" s="1"/>
  <c r="Q106" i="1"/>
  <c r="P106" i="1"/>
  <c r="L106" i="1" s="1"/>
  <c r="O106" i="1"/>
  <c r="K106" i="1" s="1"/>
  <c r="N106" i="1"/>
  <c r="J106" i="1" s="1"/>
  <c r="Q111" i="1"/>
  <c r="P111" i="1"/>
  <c r="L111" i="1" s="1"/>
  <c r="O111" i="1"/>
  <c r="N111" i="1"/>
  <c r="J111" i="1" s="1"/>
  <c r="Q123" i="1"/>
  <c r="P123" i="1"/>
  <c r="L123" i="1" s="1"/>
  <c r="O123" i="1"/>
  <c r="K123" i="1" s="1"/>
  <c r="N123" i="1"/>
  <c r="J123" i="1" s="1"/>
  <c r="Q107" i="1"/>
  <c r="P107" i="1"/>
  <c r="L107" i="1" s="1"/>
  <c r="O107" i="1"/>
  <c r="N107" i="1"/>
  <c r="J107" i="1" s="1"/>
  <c r="Q99" i="1"/>
  <c r="P99" i="1"/>
  <c r="L99" i="1" s="1"/>
  <c r="O99" i="1"/>
  <c r="K99" i="1" s="1"/>
  <c r="N99" i="1"/>
  <c r="J99" i="1" s="1"/>
  <c r="Q104" i="1"/>
  <c r="P104" i="1"/>
  <c r="L104" i="1" s="1"/>
  <c r="O104" i="1"/>
  <c r="N104" i="1"/>
  <c r="J104" i="1" s="1"/>
  <c r="Q119" i="1"/>
  <c r="P119" i="1"/>
  <c r="L119" i="1" s="1"/>
  <c r="O119" i="1"/>
  <c r="K119" i="1" s="1"/>
  <c r="N119" i="1"/>
  <c r="J119" i="1" s="1"/>
  <c r="Q72" i="1"/>
  <c r="P72" i="1"/>
  <c r="L72" i="1" s="1"/>
  <c r="O72" i="1"/>
  <c r="N72" i="1"/>
  <c r="J72" i="1" s="1"/>
  <c r="Q85" i="1"/>
  <c r="P85" i="1"/>
  <c r="L85" i="1" s="1"/>
  <c r="O85" i="1"/>
  <c r="K85" i="1" s="1"/>
  <c r="N85" i="1"/>
  <c r="J85" i="1" s="1"/>
  <c r="Q94" i="1"/>
  <c r="P94" i="1"/>
  <c r="L94" i="1" s="1"/>
  <c r="O94" i="1"/>
  <c r="N94" i="1"/>
  <c r="J94" i="1" s="1"/>
  <c r="Q121" i="1"/>
  <c r="P121" i="1"/>
  <c r="L121" i="1" s="1"/>
  <c r="O121" i="1"/>
  <c r="K121" i="1" s="1"/>
  <c r="N121" i="1"/>
  <c r="J121" i="1" s="1"/>
  <c r="Q97" i="1"/>
  <c r="P97" i="1"/>
  <c r="L97" i="1" s="1"/>
  <c r="O97" i="1"/>
  <c r="N97" i="1"/>
  <c r="J97" i="1" s="1"/>
  <c r="Q134" i="1"/>
  <c r="P134" i="1"/>
  <c r="L134" i="1" s="1"/>
  <c r="O134" i="1"/>
  <c r="K134" i="1" s="1"/>
  <c r="N134" i="1"/>
  <c r="J134" i="1" s="1"/>
  <c r="Q125" i="1"/>
  <c r="P125" i="1"/>
  <c r="L125" i="1" s="1"/>
  <c r="O125" i="1"/>
  <c r="N125" i="1"/>
  <c r="J125" i="1" s="1"/>
  <c r="Q116" i="1"/>
  <c r="P116" i="1"/>
  <c r="L116" i="1" s="1"/>
  <c r="O116" i="1"/>
  <c r="K116" i="1" s="1"/>
  <c r="N116" i="1"/>
  <c r="J116" i="1" s="1"/>
  <c r="Q117" i="1"/>
  <c r="P117" i="1"/>
  <c r="L117" i="1" s="1"/>
  <c r="O117" i="1"/>
  <c r="N117" i="1"/>
  <c r="J117" i="1" s="1"/>
  <c r="Q135" i="1"/>
  <c r="P135" i="1"/>
  <c r="L135" i="1" s="1"/>
  <c r="O135" i="1"/>
  <c r="K135" i="1" s="1"/>
  <c r="N135" i="1"/>
  <c r="J135" i="1" s="1"/>
  <c r="Q100" i="1"/>
  <c r="P100" i="1"/>
  <c r="L100" i="1" s="1"/>
  <c r="O100" i="1"/>
  <c r="N100" i="1"/>
  <c r="J100" i="1" s="1"/>
  <c r="Q102" i="1"/>
  <c r="P102" i="1"/>
  <c r="L102" i="1" s="1"/>
  <c r="O102" i="1"/>
  <c r="K102" i="1" s="1"/>
  <c r="N102" i="1"/>
  <c r="J102" i="1" s="1"/>
  <c r="Q112" i="1"/>
  <c r="P112" i="1"/>
  <c r="L112" i="1" s="1"/>
  <c r="O112" i="1"/>
  <c r="N112" i="1"/>
  <c r="J112" i="1" s="1"/>
  <c r="Q98" i="1"/>
  <c r="P98" i="1"/>
  <c r="L98" i="1" s="1"/>
  <c r="O98" i="1"/>
  <c r="K98" i="1" s="1"/>
  <c r="N98" i="1"/>
  <c r="J98" i="1" s="1"/>
  <c r="Q133" i="1"/>
  <c r="P133" i="1"/>
  <c r="L133" i="1" s="1"/>
  <c r="O133" i="1"/>
  <c r="N133" i="1"/>
  <c r="J133" i="1" s="1"/>
  <c r="Q122" i="1"/>
  <c r="P122" i="1"/>
  <c r="L122" i="1" s="1"/>
  <c r="O122" i="1"/>
  <c r="K122" i="1" s="1"/>
  <c r="N122" i="1"/>
  <c r="J122" i="1" s="1"/>
  <c r="Q101" i="1"/>
  <c r="P101" i="1"/>
  <c r="L101" i="1" s="1"/>
  <c r="O101" i="1"/>
  <c r="N101" i="1"/>
  <c r="J101" i="1" s="1"/>
  <c r="Q124" i="1"/>
  <c r="P124" i="1"/>
  <c r="L124" i="1" s="1"/>
  <c r="O124" i="1"/>
  <c r="K124" i="1" s="1"/>
  <c r="N124" i="1"/>
  <c r="J124" i="1" s="1"/>
  <c r="Q129" i="1"/>
  <c r="P129" i="1"/>
  <c r="L129" i="1" s="1"/>
  <c r="O129" i="1"/>
  <c r="N129" i="1"/>
  <c r="J129" i="1" s="1"/>
  <c r="Q127" i="1"/>
  <c r="P127" i="1"/>
  <c r="L127" i="1" s="1"/>
  <c r="O127" i="1"/>
  <c r="K127" i="1" s="1"/>
  <c r="N127" i="1"/>
  <c r="J127" i="1" s="1"/>
  <c r="Q131" i="1"/>
  <c r="P131" i="1"/>
  <c r="L131" i="1" s="1"/>
  <c r="O131" i="1"/>
  <c r="N131" i="1"/>
  <c r="J131" i="1" s="1"/>
  <c r="Q118" i="1"/>
  <c r="P118" i="1"/>
  <c r="L118" i="1" s="1"/>
  <c r="O118" i="1"/>
  <c r="K118" i="1" s="1"/>
  <c r="N118" i="1"/>
  <c r="J118" i="1" s="1"/>
  <c r="Q126" i="1"/>
  <c r="P126" i="1"/>
  <c r="L126" i="1" s="1"/>
  <c r="O126" i="1"/>
  <c r="N126" i="1"/>
  <c r="J126" i="1" s="1"/>
  <c r="Q132" i="1"/>
  <c r="P132" i="1"/>
  <c r="L132" i="1" s="1"/>
  <c r="O132" i="1"/>
  <c r="N132" i="1"/>
  <c r="J132" i="1" s="1"/>
  <c r="Q147" i="1"/>
  <c r="P147" i="1"/>
  <c r="L147" i="1" s="1"/>
  <c r="O147" i="1"/>
  <c r="N147" i="1"/>
  <c r="J147" i="1" s="1"/>
  <c r="Q120" i="1"/>
  <c r="P120" i="1"/>
  <c r="L120" i="1" s="1"/>
  <c r="O120" i="1"/>
  <c r="N120" i="1"/>
  <c r="J120" i="1" s="1"/>
  <c r="Q138" i="1"/>
  <c r="P138" i="1"/>
  <c r="L138" i="1" s="1"/>
  <c r="O138" i="1"/>
  <c r="N138" i="1"/>
  <c r="J138" i="1" s="1"/>
  <c r="Q148" i="1"/>
  <c r="P148" i="1"/>
  <c r="L148" i="1" s="1"/>
  <c r="O148" i="1"/>
  <c r="N148" i="1"/>
  <c r="J148" i="1" s="1"/>
  <c r="Q140" i="1"/>
  <c r="P140" i="1"/>
  <c r="L140" i="1" s="1"/>
  <c r="O140" i="1"/>
  <c r="N140" i="1"/>
  <c r="J140" i="1" s="1"/>
  <c r="Q137" i="1"/>
  <c r="P137" i="1"/>
  <c r="L137" i="1" s="1"/>
  <c r="O137" i="1"/>
  <c r="N137" i="1"/>
  <c r="J137" i="1" s="1"/>
  <c r="Q149" i="1"/>
  <c r="P149" i="1"/>
  <c r="L149" i="1" s="1"/>
  <c r="O149" i="1"/>
  <c r="N149" i="1"/>
  <c r="J149" i="1" s="1"/>
  <c r="Q143" i="1"/>
  <c r="P143" i="1"/>
  <c r="L143" i="1" s="1"/>
  <c r="O143" i="1"/>
  <c r="N143" i="1"/>
  <c r="J143" i="1" s="1"/>
  <c r="Q144" i="1"/>
  <c r="P144" i="1"/>
  <c r="L144" i="1" s="1"/>
  <c r="O144" i="1"/>
  <c r="N144" i="1"/>
  <c r="J144" i="1" s="1"/>
  <c r="Q139" i="1"/>
  <c r="P139" i="1"/>
  <c r="L139" i="1" s="1"/>
  <c r="O139" i="1"/>
  <c r="N139" i="1"/>
  <c r="J139" i="1" s="1"/>
  <c r="Q142" i="1"/>
  <c r="P142" i="1"/>
  <c r="L142" i="1" s="1"/>
  <c r="O142" i="1"/>
  <c r="N142" i="1"/>
  <c r="J142" i="1" s="1"/>
  <c r="Q145" i="1"/>
  <c r="P145" i="1"/>
  <c r="L145" i="1" s="1"/>
  <c r="O145" i="1"/>
  <c r="N145" i="1"/>
  <c r="J145" i="1" s="1"/>
  <c r="Q136" i="1"/>
  <c r="P136" i="1"/>
  <c r="L136" i="1" s="1"/>
  <c r="O136" i="1"/>
  <c r="N136" i="1"/>
  <c r="J136" i="1" s="1"/>
  <c r="Q128" i="1"/>
  <c r="P128" i="1"/>
  <c r="L128" i="1" s="1"/>
  <c r="O128" i="1"/>
  <c r="N128" i="1"/>
  <c r="J128" i="1" s="1"/>
  <c r="Q146" i="1"/>
  <c r="P146" i="1"/>
  <c r="L146" i="1" s="1"/>
  <c r="O146" i="1"/>
  <c r="N146" i="1"/>
  <c r="J146" i="1" s="1"/>
  <c r="Q141" i="1"/>
  <c r="P141" i="1"/>
  <c r="L141" i="1" s="1"/>
  <c r="O141" i="1"/>
  <c r="N141" i="1"/>
  <c r="J141" i="1" s="1"/>
  <c r="Q130" i="1"/>
  <c r="P130" i="1"/>
  <c r="L130" i="1" s="1"/>
  <c r="O130" i="1"/>
  <c r="N130" i="1"/>
  <c r="J130" i="1" s="1"/>
  <c r="Q150" i="1"/>
  <c r="P150" i="1"/>
  <c r="L150" i="1" s="1"/>
  <c r="O150" i="1"/>
  <c r="N150" i="1"/>
  <c r="J150" i="1" s="1"/>
  <c r="Q10" i="1"/>
  <c r="P10" i="1"/>
  <c r="L10" i="1" s="1"/>
  <c r="O10" i="1"/>
  <c r="N10" i="1"/>
  <c r="J10" i="1" s="1"/>
  <c r="Q7" i="1"/>
  <c r="P7" i="1"/>
  <c r="L7" i="1" s="1"/>
  <c r="O7" i="1"/>
  <c r="N7" i="1"/>
  <c r="J7" i="1" s="1"/>
  <c r="Q36" i="1"/>
  <c r="P36" i="1"/>
  <c r="L36" i="1" s="1"/>
  <c r="O36" i="1"/>
  <c r="N36" i="1"/>
  <c r="J36" i="1" s="1"/>
  <c r="Q19" i="1"/>
  <c r="P19" i="1"/>
  <c r="L19" i="1" s="1"/>
  <c r="O19" i="1"/>
  <c r="N19" i="1"/>
  <c r="J19" i="1" s="1"/>
  <c r="Q13" i="1"/>
  <c r="P13" i="1"/>
  <c r="L13" i="1" s="1"/>
  <c r="O13" i="1"/>
  <c r="N13" i="1"/>
  <c r="J13" i="1" s="1"/>
  <c r="Q23" i="1"/>
  <c r="P23" i="1"/>
  <c r="L23" i="1" s="1"/>
  <c r="O23" i="1"/>
  <c r="N23" i="1"/>
  <c r="J23" i="1" s="1"/>
  <c r="Q20" i="1"/>
  <c r="P20" i="1"/>
  <c r="L20" i="1" s="1"/>
  <c r="O20" i="1"/>
  <c r="N20" i="1"/>
  <c r="J20" i="1" s="1"/>
  <c r="Q8" i="1"/>
  <c r="P8" i="1"/>
  <c r="L8" i="1" s="1"/>
  <c r="O8" i="1"/>
  <c r="N8" i="1"/>
  <c r="J8" i="1" s="1"/>
  <c r="Q49" i="1"/>
  <c r="P49" i="1"/>
  <c r="L49" i="1" s="1"/>
  <c r="O49" i="1"/>
  <c r="N49" i="1"/>
  <c r="J49" i="1" s="1"/>
  <c r="Q64" i="1"/>
  <c r="P64" i="1"/>
  <c r="L64" i="1" s="1"/>
  <c r="O64" i="1"/>
  <c r="N64" i="1"/>
  <c r="J64" i="1" s="1"/>
  <c r="Q9" i="1"/>
  <c r="P9" i="1"/>
  <c r="L9" i="1" s="1"/>
  <c r="O9" i="1"/>
  <c r="N9" i="1"/>
  <c r="J9" i="1" s="1"/>
  <c r="Q40" i="1"/>
  <c r="P40" i="1"/>
  <c r="L40" i="1" s="1"/>
  <c r="O40" i="1"/>
  <c r="N40" i="1"/>
  <c r="J40" i="1" s="1"/>
  <c r="Q71" i="1"/>
  <c r="P71" i="1"/>
  <c r="L71" i="1" s="1"/>
  <c r="O71" i="1"/>
  <c r="N71" i="1"/>
  <c r="J71" i="1" s="1"/>
  <c r="Q14" i="1"/>
  <c r="P14" i="1"/>
  <c r="L14" i="1" s="1"/>
  <c r="O14" i="1"/>
  <c r="N14" i="1"/>
  <c r="J14" i="1" s="1"/>
  <c r="Q26" i="1"/>
  <c r="P26" i="1"/>
  <c r="L26" i="1" s="1"/>
  <c r="O26" i="1"/>
  <c r="N26" i="1"/>
  <c r="J26" i="1" s="1"/>
  <c r="Q35" i="1"/>
  <c r="P35" i="1"/>
  <c r="L35" i="1" s="1"/>
  <c r="O35" i="1"/>
  <c r="N35" i="1"/>
  <c r="J35" i="1" s="1"/>
  <c r="Q38" i="1"/>
  <c r="P38" i="1"/>
  <c r="L38" i="1" s="1"/>
  <c r="O38" i="1"/>
  <c r="N38" i="1"/>
  <c r="J38" i="1" s="1"/>
  <c r="Q31" i="1"/>
  <c r="P31" i="1"/>
  <c r="L31" i="1" s="1"/>
  <c r="O31" i="1"/>
  <c r="N31" i="1"/>
  <c r="J31" i="1" s="1"/>
  <c r="Q25" i="1"/>
  <c r="P25" i="1"/>
  <c r="L25" i="1" s="1"/>
  <c r="O25" i="1"/>
  <c r="N25" i="1"/>
  <c r="J25" i="1" s="1"/>
  <c r="Q12" i="1"/>
  <c r="P12" i="1"/>
  <c r="L12" i="1" s="1"/>
  <c r="O12" i="1"/>
  <c r="N12" i="1"/>
  <c r="J12" i="1" s="1"/>
  <c r="Q34" i="1"/>
  <c r="P34" i="1"/>
  <c r="L34" i="1" s="1"/>
  <c r="O34" i="1"/>
  <c r="N34" i="1"/>
  <c r="J34" i="1" s="1"/>
  <c r="Q5" i="1"/>
  <c r="P5" i="1"/>
  <c r="L5" i="1" s="1"/>
  <c r="O5" i="1"/>
  <c r="N5" i="1"/>
  <c r="J5" i="1" s="1"/>
  <c r="Q21" i="1"/>
  <c r="P21" i="1"/>
  <c r="L21" i="1" s="1"/>
  <c r="O21" i="1"/>
  <c r="N21" i="1"/>
  <c r="J21" i="1" s="1"/>
  <c r="Q57" i="1"/>
  <c r="P57" i="1"/>
  <c r="L57" i="1" s="1"/>
  <c r="O57" i="1"/>
  <c r="N57" i="1"/>
  <c r="J57" i="1" s="1"/>
  <c r="Q17" i="1"/>
  <c r="P17" i="1"/>
  <c r="L17" i="1" s="1"/>
  <c r="O17" i="1"/>
  <c r="N17" i="1"/>
  <c r="J17" i="1" s="1"/>
  <c r="Q80" i="1"/>
  <c r="P80" i="1"/>
  <c r="L80" i="1" s="1"/>
  <c r="O80" i="1"/>
  <c r="N80" i="1"/>
  <c r="J80" i="1" s="1"/>
  <c r="Q45" i="1"/>
  <c r="P45" i="1"/>
  <c r="L45" i="1" s="1"/>
  <c r="O45" i="1"/>
  <c r="N45" i="1"/>
  <c r="J45" i="1" s="1"/>
  <c r="Q30" i="1"/>
  <c r="P30" i="1"/>
  <c r="L30" i="1" s="1"/>
  <c r="O30" i="1"/>
  <c r="N30" i="1"/>
  <c r="J30" i="1" s="1"/>
  <c r="Q28" i="1"/>
  <c r="P28" i="1"/>
  <c r="L28" i="1" s="1"/>
  <c r="O28" i="1"/>
  <c r="N28" i="1"/>
  <c r="J28" i="1" s="1"/>
  <c r="Q53" i="1"/>
  <c r="P53" i="1"/>
  <c r="L53" i="1" s="1"/>
  <c r="O53" i="1"/>
  <c r="N53" i="1"/>
  <c r="J53" i="1" s="1"/>
  <c r="Q15" i="1"/>
  <c r="P15" i="1"/>
  <c r="L15" i="1" s="1"/>
  <c r="O15" i="1"/>
  <c r="N15" i="1"/>
  <c r="J15" i="1" s="1"/>
  <c r="Q18" i="1"/>
  <c r="P18" i="1"/>
  <c r="L18" i="1" s="1"/>
  <c r="O18" i="1"/>
  <c r="N18" i="1"/>
  <c r="J18" i="1" s="1"/>
  <c r="Q24" i="1"/>
  <c r="P24" i="1"/>
  <c r="L24" i="1" s="1"/>
  <c r="O24" i="1"/>
  <c r="N24" i="1"/>
  <c r="J24" i="1" s="1"/>
  <c r="K24" i="1" l="1"/>
  <c r="H24" i="1" s="1"/>
  <c r="K15" i="1"/>
  <c r="K28" i="1"/>
  <c r="H28" i="1" s="1"/>
  <c r="K45" i="1"/>
  <c r="H45" i="1" s="1"/>
  <c r="K17" i="1"/>
  <c r="H17" i="1" s="1"/>
  <c r="K21" i="1"/>
  <c r="H21" i="1" s="1"/>
  <c r="K34" i="1"/>
  <c r="H34" i="1" s="1"/>
  <c r="K25" i="1"/>
  <c r="H25" i="1" s="1"/>
  <c r="K38" i="1"/>
  <c r="H38" i="1" s="1"/>
  <c r="K26" i="1"/>
  <c r="H26" i="1" s="1"/>
  <c r="K71" i="1"/>
  <c r="H71" i="1" s="1"/>
  <c r="K9" i="1"/>
  <c r="H9" i="1" s="1"/>
  <c r="K49" i="1"/>
  <c r="H49" i="1" s="1"/>
  <c r="K20" i="1"/>
  <c r="H20" i="1" s="1"/>
  <c r="K13" i="1"/>
  <c r="H13" i="1" s="1"/>
  <c r="K36" i="1"/>
  <c r="H36" i="1" s="1"/>
  <c r="K10" i="1"/>
  <c r="K140" i="1"/>
  <c r="H140" i="1" s="1"/>
  <c r="K150" i="1"/>
  <c r="K141" i="1"/>
  <c r="H141" i="1" s="1"/>
  <c r="K128" i="1"/>
  <c r="H128" i="1" s="1"/>
  <c r="K145" i="1"/>
  <c r="H145" i="1" s="1"/>
  <c r="K139" i="1"/>
  <c r="H139" i="1" s="1"/>
  <c r="K143" i="1"/>
  <c r="H143" i="1" s="1"/>
  <c r="K120" i="1"/>
  <c r="H120" i="1" s="1"/>
  <c r="K18" i="1"/>
  <c r="H18" i="1" s="1"/>
  <c r="K53" i="1"/>
  <c r="H53" i="1" s="1"/>
  <c r="K30" i="1"/>
  <c r="H30" i="1" s="1"/>
  <c r="K80" i="1"/>
  <c r="H80" i="1" s="1"/>
  <c r="K57" i="1"/>
  <c r="H57" i="1" s="1"/>
  <c r="K5" i="1"/>
  <c r="H5" i="1" s="1"/>
  <c r="K12" i="1"/>
  <c r="H12" i="1" s="1"/>
  <c r="K31" i="1"/>
  <c r="H31" i="1" s="1"/>
  <c r="K35" i="1"/>
  <c r="H35" i="1" s="1"/>
  <c r="K14" i="1"/>
  <c r="H14" i="1" s="1"/>
  <c r="K40" i="1"/>
  <c r="H40" i="1" s="1"/>
  <c r="K64" i="1"/>
  <c r="H64" i="1" s="1"/>
  <c r="K8" i="1"/>
  <c r="H8" i="1" s="1"/>
  <c r="K23" i="1"/>
  <c r="H23" i="1" s="1"/>
  <c r="K19" i="1"/>
  <c r="H19" i="1" s="1"/>
  <c r="K7" i="1"/>
  <c r="H7" i="1" s="1"/>
  <c r="K130" i="1"/>
  <c r="H130" i="1" s="1"/>
  <c r="K146" i="1"/>
  <c r="H146" i="1" s="1"/>
  <c r="K136" i="1"/>
  <c r="H136" i="1" s="1"/>
  <c r="K142" i="1"/>
  <c r="K144" i="1"/>
  <c r="H144" i="1" s="1"/>
  <c r="K149" i="1"/>
  <c r="H149" i="1" s="1"/>
  <c r="K137" i="1"/>
  <c r="H137" i="1" s="1"/>
  <c r="K148" i="1"/>
  <c r="H148" i="1" s="1"/>
  <c r="K138" i="1"/>
  <c r="H138" i="1" s="1"/>
  <c r="K147" i="1"/>
  <c r="H147" i="1" s="1"/>
  <c r="K132" i="1"/>
  <c r="H132" i="1" s="1"/>
  <c r="K126" i="1"/>
  <c r="H126" i="1" s="1"/>
  <c r="K131" i="1"/>
  <c r="H131" i="1" s="1"/>
  <c r="K129" i="1"/>
  <c r="H129" i="1" s="1"/>
  <c r="K101" i="1"/>
  <c r="H101" i="1" s="1"/>
  <c r="K133" i="1"/>
  <c r="H133" i="1" s="1"/>
  <c r="K112" i="1"/>
  <c r="H112" i="1" s="1"/>
  <c r="K100" i="1"/>
  <c r="H100" i="1" s="1"/>
  <c r="K117" i="1"/>
  <c r="H117" i="1" s="1"/>
  <c r="K125" i="1"/>
  <c r="H125" i="1" s="1"/>
  <c r="K97" i="1"/>
  <c r="H97" i="1" s="1"/>
  <c r="K94" i="1"/>
  <c r="H94" i="1" s="1"/>
  <c r="K72" i="1"/>
  <c r="H72" i="1" s="1"/>
  <c r="K104" i="1"/>
  <c r="H104" i="1" s="1"/>
  <c r="K107" i="1"/>
  <c r="K111" i="1"/>
  <c r="H111" i="1" s="1"/>
  <c r="K114" i="1"/>
  <c r="H114" i="1" s="1"/>
  <c r="K109" i="1"/>
  <c r="H109" i="1" s="1"/>
  <c r="K74" i="1"/>
  <c r="H74" i="1" s="1"/>
  <c r="K115" i="1"/>
  <c r="H115" i="1" s="1"/>
  <c r="K60" i="1"/>
  <c r="H60" i="1" s="1"/>
  <c r="K84" i="1"/>
  <c r="H84" i="1" s="1"/>
  <c r="K78" i="1"/>
  <c r="H78" i="1" s="1"/>
  <c r="K110" i="1"/>
  <c r="H110" i="1" s="1"/>
  <c r="K77" i="1"/>
  <c r="H77" i="1" s="1"/>
  <c r="K90" i="1"/>
  <c r="H90" i="1" s="1"/>
  <c r="K83" i="1"/>
  <c r="H83" i="1" s="1"/>
  <c r="K58" i="1"/>
  <c r="H58" i="1" s="1"/>
  <c r="K63" i="1"/>
  <c r="H63" i="1" s="1"/>
  <c r="K92" i="1"/>
  <c r="H92" i="1" s="1"/>
  <c r="K37" i="1"/>
  <c r="H37" i="1" s="1"/>
  <c r="K43" i="1"/>
  <c r="H43" i="1" s="1"/>
  <c r="K89" i="1"/>
  <c r="H89" i="1" s="1"/>
  <c r="K108" i="1"/>
  <c r="H108" i="1" s="1"/>
  <c r="K48" i="1"/>
  <c r="H48" i="1" s="1"/>
  <c r="K81" i="1"/>
  <c r="H81" i="1" s="1"/>
  <c r="K93" i="1"/>
  <c r="H93" i="1" s="1"/>
  <c r="K73" i="1"/>
  <c r="H73" i="1" s="1"/>
  <c r="K59" i="1"/>
  <c r="H59" i="1" s="1"/>
  <c r="K44" i="1"/>
  <c r="H44" i="1" s="1"/>
  <c r="K29" i="1"/>
  <c r="H29" i="1" s="1"/>
  <c r="K55" i="1"/>
  <c r="H55" i="1" s="1"/>
  <c r="K11" i="1"/>
  <c r="H11" i="1" s="1"/>
  <c r="K41" i="1"/>
  <c r="H41" i="1" s="1"/>
  <c r="K6" i="1"/>
  <c r="H6" i="1" s="1"/>
  <c r="K33" i="1"/>
  <c r="H33" i="1" s="1"/>
  <c r="K16" i="1"/>
  <c r="H16" i="1" s="1"/>
  <c r="K70" i="1"/>
  <c r="H70" i="1" s="1"/>
  <c r="K62" i="1"/>
  <c r="H62" i="1" s="1"/>
  <c r="H142" i="1"/>
  <c r="H106" i="1"/>
  <c r="H66" i="1"/>
  <c r="H68" i="1"/>
  <c r="H82" i="1"/>
  <c r="H103" i="1"/>
  <c r="H124" i="1"/>
  <c r="H118" i="1"/>
  <c r="H127" i="1"/>
  <c r="H32" i="1"/>
  <c r="H95" i="1"/>
  <c r="H67" i="1"/>
  <c r="H42" i="1"/>
  <c r="H102" i="1"/>
  <c r="H119" i="1"/>
  <c r="H79" i="1"/>
  <c r="H56" i="1"/>
  <c r="H61" i="1"/>
  <c r="H87" i="1"/>
  <c r="H27" i="1"/>
  <c r="H105" i="1"/>
  <c r="H86" i="1"/>
  <c r="H69" i="1"/>
  <c r="H121" i="1"/>
  <c r="H123" i="1"/>
  <c r="H75" i="1"/>
  <c r="H91" i="1"/>
  <c r="H116" i="1"/>
  <c r="H96" i="1"/>
  <c r="H150" i="1"/>
  <c r="H99" i="1"/>
  <c r="H39" i="1"/>
  <c r="H98" i="1"/>
  <c r="H135" i="1"/>
  <c r="H122" i="1"/>
  <c r="H85" i="1"/>
  <c r="H107" i="1"/>
  <c r="H134" i="1"/>
  <c r="H113" i="1"/>
  <c r="H88" i="1"/>
  <c r="H54" i="1"/>
  <c r="H22" i="1"/>
  <c r="H65" i="1"/>
  <c r="H76" i="1"/>
  <c r="H50" i="1"/>
  <c r="H51" i="1"/>
  <c r="H47" i="1"/>
  <c r="H52" i="1"/>
  <c r="H46" i="1"/>
  <c r="H15" i="1"/>
  <c r="H10" i="1"/>
</calcChain>
</file>

<file path=xl/sharedStrings.xml><?xml version="1.0" encoding="utf-8"?>
<sst xmlns="http://schemas.openxmlformats.org/spreadsheetml/2006/main" count="604" uniqueCount="594">
  <si>
    <t>dm'</t>
  </si>
  <si>
    <t>m1'</t>
  </si>
  <si>
    <t>m2'</t>
  </si>
  <si>
    <t>f(m1)
rA3</t>
  </si>
  <si>
    <t>f(m2)
rA4</t>
  </si>
  <si>
    <t>f(NELM)
rA5</t>
  </si>
  <si>
    <t>rA</t>
  </si>
  <si>
    <t>m1''</t>
  </si>
  <si>
    <t>f(dM)
rA2</t>
  </si>
  <si>
    <t>Dawes
rA1</t>
  </si>
  <si>
    <t>Name</t>
  </si>
  <si>
    <t>RA</t>
  </si>
  <si>
    <t>Dec</t>
  </si>
  <si>
    <t>Sep</t>
  </si>
  <si>
    <t>M1</t>
  </si>
  <si>
    <t>M2</t>
  </si>
  <si>
    <t>WDS ID</t>
  </si>
  <si>
    <t>NEML 1-6.5</t>
  </si>
  <si>
    <t>CO 0.00-0.99</t>
  </si>
  <si>
    <t>WDS04536-0302</t>
  </si>
  <si>
    <t>J711, IDS04486-0312, ADS3510</t>
  </si>
  <si>
    <t>04h 53m 39s</t>
  </si>
  <si>
    <t>-03°01,1'</t>
  </si>
  <si>
    <t>WDS06118+0228</t>
  </si>
  <si>
    <t>J52, IDS06065+0229, ADS4796, BD+02 01152</t>
  </si>
  <si>
    <t>06h 11m 46s</t>
  </si>
  <si>
    <t>+02°28,2'</t>
  </si>
  <si>
    <t>WDS06212+0652</t>
  </si>
  <si>
    <t>J2003, IDS06158+0655</t>
  </si>
  <si>
    <t>06h 21m 11s</t>
  </si>
  <si>
    <t>+06°52,0'</t>
  </si>
  <si>
    <t>WDS06151+1301</t>
  </si>
  <si>
    <t>GCB19, IDS06095+1303</t>
  </si>
  <si>
    <t>06h 15m 07s</t>
  </si>
  <si>
    <t>+13°00,6'</t>
  </si>
  <si>
    <t>WDS05595+1540</t>
  </si>
  <si>
    <t>J2735, IDS05538+1540</t>
  </si>
  <si>
    <t>05h 59m 43s</t>
  </si>
  <si>
    <t>+15°40,3'</t>
  </si>
  <si>
    <t>WDS05550-0701</t>
  </si>
  <si>
    <t>J1915, IDS05502-0701</t>
  </si>
  <si>
    <t>05h 54m 59s</t>
  </si>
  <si>
    <t>-07°00,6'</t>
  </si>
  <si>
    <t>WDS06074-0400</t>
  </si>
  <si>
    <t>STF850, IDS06024-0359, BDS3167, ADS4714, BD-03 01301</t>
  </si>
  <si>
    <t>06h 07m 22s</t>
  </si>
  <si>
    <t>-03°59,6'</t>
  </si>
  <si>
    <t>WDS06244+1106</t>
  </si>
  <si>
    <t>BAZ5, IDS06188+1109</t>
  </si>
  <si>
    <t>06h 25m 27s</t>
  </si>
  <si>
    <t>+11°11,6'</t>
  </si>
  <si>
    <t>WDS05597+2228</t>
  </si>
  <si>
    <t>STT125, IDS05537+2228, BDS3083, ADS4577, BD+22 01130</t>
  </si>
  <si>
    <t>05h 59m 42s</t>
  </si>
  <si>
    <t>+22°28,2'</t>
  </si>
  <si>
    <t>WDS06147+0039</t>
  </si>
  <si>
    <t>BAL994, IDS06096+0041</t>
  </si>
  <si>
    <t>06h 14m 46s</t>
  </si>
  <si>
    <t>+00°38,8'</t>
  </si>
  <si>
    <t>WDS05508-0116</t>
  </si>
  <si>
    <t>BAL312, IDS05457-0118, BD-01 01040</t>
  </si>
  <si>
    <t>05h 50m 48s</t>
  </si>
  <si>
    <t>-01°16,0'</t>
  </si>
  <si>
    <t>WDS05125-0302</t>
  </si>
  <si>
    <t>A51, IDS05074-0309, BDS2578, ADS3777, BD-03 01037</t>
  </si>
  <si>
    <t>05h 12m 27s</t>
  </si>
  <si>
    <t>-03°02,2'</t>
  </si>
  <si>
    <t>WDS04561+0908</t>
  </si>
  <si>
    <t>BU404, IDS04509+0900, BDS2427, ADS3541, BD+08 00803</t>
  </si>
  <si>
    <t>04h 56m 09s</t>
  </si>
  <si>
    <t>+09°08,2'</t>
  </si>
  <si>
    <t>WDS05273+0127</t>
  </si>
  <si>
    <t>J34, IDS05221+0122, ADS4051</t>
  </si>
  <si>
    <t>05h 27m 20s</t>
  </si>
  <si>
    <t>+01°27,2'</t>
  </si>
  <si>
    <t>WDS05069+1100</t>
  </si>
  <si>
    <t>KU21, IDS05014+1052, BDS2525, ADS3695, BD+10 00714</t>
  </si>
  <si>
    <t>05h 06m 55s</t>
  </si>
  <si>
    <t>+10°59,8'</t>
  </si>
  <si>
    <t>WDS04441+0205</t>
  </si>
  <si>
    <t>HL1, IDS04389+0153, BDS2332, ADS3412, BD+01 00808</t>
  </si>
  <si>
    <t>04h 44m 07s</t>
  </si>
  <si>
    <t>+02°04,8'</t>
  </si>
  <si>
    <t>WDS05572+1750</t>
  </si>
  <si>
    <t>J955, IDS05514+1749, ADS4534</t>
  </si>
  <si>
    <t>05h 57m 15s</t>
  </si>
  <si>
    <t>+17°46,3'</t>
  </si>
  <si>
    <t>WDS06171+0957</t>
  </si>
  <si>
    <t>J408, ADS4890</t>
  </si>
  <si>
    <t>06h 17m 09s</t>
  </si>
  <si>
    <t>+09°58,7'</t>
  </si>
  <si>
    <t>WDS05272+0658</t>
  </si>
  <si>
    <t>STF713, IDS05218+0653, BDS2736, ADS4046, BD+06 00928</t>
  </si>
  <si>
    <t>05h 27m 13s</t>
  </si>
  <si>
    <t>+06°58,0'</t>
  </si>
  <si>
    <t>WDS06013+1020</t>
  </si>
  <si>
    <t>J309, IDS05558+1020, ADS4598</t>
  </si>
  <si>
    <t>06h 01m 18s</t>
  </si>
  <si>
    <t>+10°22,4'</t>
  </si>
  <si>
    <t>WDS06146+1725</t>
  </si>
  <si>
    <t>J683, IDS06088+1727, ADS4836, BD+17 01183</t>
  </si>
  <si>
    <t>06h 14m 36s</t>
  </si>
  <si>
    <t>+17°25,0'</t>
  </si>
  <si>
    <t>WDS05496+2244</t>
  </si>
  <si>
    <t>LYO1, IDS05435+2242</t>
  </si>
  <si>
    <t>05h 49m 34s</t>
  </si>
  <si>
    <t>+22°44,0'</t>
  </si>
  <si>
    <t>WDS05546+1530</t>
  </si>
  <si>
    <t>BU563, IDS05489+1529, BDS3036, ADS4495, BD+15 00976</t>
  </si>
  <si>
    <t>05h 54m 37s</t>
  </si>
  <si>
    <t>+15°30,4'</t>
  </si>
  <si>
    <t>WDS06025-0222</t>
  </si>
  <si>
    <t>STF836, IDS05575-0222, BDS3118, ADS4624, BD-02 01453</t>
  </si>
  <si>
    <t>06h 02m 31s</t>
  </si>
  <si>
    <t>-02°21,6'</t>
  </si>
  <si>
    <t>WDS06232+1631</t>
  </si>
  <si>
    <t>HO233, IDS06174+1634, BDS3337, ADS4997, BD+16 01118</t>
  </si>
  <si>
    <t>06h 23m 09s</t>
  </si>
  <si>
    <t>+16°30,9'</t>
  </si>
  <si>
    <t>WDS05354-0839</t>
  </si>
  <si>
    <t>A489, IDS05307-0843, BDS2827, ADS4170, BD-08 01171</t>
  </si>
  <si>
    <t>05h 35m 27s</t>
  </si>
  <si>
    <t>-08°38,7'</t>
  </si>
  <si>
    <t>WDS04576+0336</t>
  </si>
  <si>
    <t>BAL2131, IDS04523+0327</t>
  </si>
  <si>
    <t>04h 57m 32s</t>
  </si>
  <si>
    <t>+03°36,5'</t>
  </si>
  <si>
    <t>WDS05308+0557</t>
  </si>
  <si>
    <t>STF728, IDS05254+0552, BDS2780, ADS4115, BD+05 00939</t>
  </si>
  <si>
    <t>05h 30m 47s</t>
  </si>
  <si>
    <t>+05°56,8'</t>
  </si>
  <si>
    <t>WDS05352+1014</t>
  </si>
  <si>
    <t>STT111, IDS05297+1011, BDS2825, ADS4181, BD+10 00818</t>
  </si>
  <si>
    <t>05h 35m 13s</t>
  </si>
  <si>
    <t>+10°14,4'</t>
  </si>
  <si>
    <t>WDS05100+0810</t>
  </si>
  <si>
    <t>STT100, IDS05046+0803, BDS2554, ADS3737, BD+07 00819</t>
  </si>
  <si>
    <t>05h 09m 58s</t>
  </si>
  <si>
    <t>+08°10,3'</t>
  </si>
  <si>
    <t>WDS06201+1037</t>
  </si>
  <si>
    <t>J344, IDS06146+1040, ADS4946, BD+10 01093</t>
  </si>
  <si>
    <t>06h 20m 10s</t>
  </si>
  <si>
    <t>+10°37,0'</t>
  </si>
  <si>
    <t>WDS06049+1014</t>
  </si>
  <si>
    <t>J312, IDS05594+1014, ADS4657</t>
  </si>
  <si>
    <t>06h 04m 58s</t>
  </si>
  <si>
    <t>WDS05413-0728</t>
  </si>
  <si>
    <t>A493, IDS05364-0731, BDS2910, ADS4275, BD-07 01150</t>
  </si>
  <si>
    <t>05h 41m 17s</t>
  </si>
  <si>
    <t>-07°28,0'</t>
  </si>
  <si>
    <t>WDS05331+0228</t>
  </si>
  <si>
    <t>AG96, IDS05279+0224, BDS2805, ADS4145, BD+02 00996</t>
  </si>
  <si>
    <t>05h 33m 05s</t>
  </si>
  <si>
    <t>+02°28,1'</t>
  </si>
  <si>
    <t>WDS06060+1229</t>
  </si>
  <si>
    <t>HO228, IDS06004+1229, BDS3141, ADS4675, BD+12 01013</t>
  </si>
  <si>
    <t>06h 06m 01s</t>
  </si>
  <si>
    <t>+12°28,7'</t>
  </si>
  <si>
    <t>WDS06189+1347</t>
  </si>
  <si>
    <t>HO230, IDS06132+1349, BDS3290, ADS4919, BD+13 01194</t>
  </si>
  <si>
    <t>06h 18m 54s</t>
  </si>
  <si>
    <t>+13°46,6'</t>
  </si>
  <si>
    <t>WDS05122+0415</t>
  </si>
  <si>
    <t>BAL2629, IDS05069+0408, BD+04 00861</t>
  </si>
  <si>
    <t>05h 12m 11s</t>
  </si>
  <si>
    <t>+04°15,1'</t>
  </si>
  <si>
    <t>WDS05353-0523</t>
  </si>
  <si>
    <t>STF748, IDS05304-0527, BDS2837, ADS4186</t>
  </si>
  <si>
    <t>05h 35m 16s</t>
  </si>
  <si>
    <t>-05°23,1'</t>
  </si>
  <si>
    <t>WDS05568+1822</t>
  </si>
  <si>
    <t>A2439, IDS05510+1821, ADS4529, BD+18 01026</t>
  </si>
  <si>
    <t>05h 56m 50s</t>
  </si>
  <si>
    <t>+18°22,2'</t>
  </si>
  <si>
    <t>WDS05278+1047</t>
  </si>
  <si>
    <t>HJ700, IDS05223+1042, BDS2743</t>
  </si>
  <si>
    <t>05h 27m 45s</t>
  </si>
  <si>
    <t>+10°46,7'</t>
  </si>
  <si>
    <t>WDS05480+0627</t>
  </si>
  <si>
    <t>STF795, IDS05426+0625, BDS2976, ADS4390, BD+06 01027</t>
  </si>
  <si>
    <t>05h 48m 00s</t>
  </si>
  <si>
    <t>+06°27,2'</t>
  </si>
  <si>
    <t>05h 35m 17s</t>
  </si>
  <si>
    <t>-05°23,2'</t>
  </si>
  <si>
    <t>WDS05229-0753</t>
  </si>
  <si>
    <t>OL137, IDS05178-0759, ADS3964, BD-08 01102</t>
  </si>
  <si>
    <t>05h 22m 52s</t>
  </si>
  <si>
    <t>-07°53,3'</t>
  </si>
  <si>
    <t>WDS05483+0354</t>
  </si>
  <si>
    <t>J36, IDS05430+0352, ADS4395, BD+03 01041</t>
  </si>
  <si>
    <t>05h 48m 15s</t>
  </si>
  <si>
    <t>+03°53,9'</t>
  </si>
  <si>
    <t>WDS06041+1101</t>
  </si>
  <si>
    <t>J335, IDS05586+1101, ADS4647, BD+11 01012</t>
  </si>
  <si>
    <t>06h 04m 08s</t>
  </si>
  <si>
    <t>+11°00,9'</t>
  </si>
  <si>
    <t>WDS06055+1336</t>
  </si>
  <si>
    <t>SLE832</t>
  </si>
  <si>
    <t>06h 05m 27s</t>
  </si>
  <si>
    <t>+13°36,2'</t>
  </si>
  <si>
    <t>WDS06078+0020</t>
  </si>
  <si>
    <t>J338, IDS06027+0021, ADS4723, BD+00 01294</t>
  </si>
  <si>
    <t>06h 07m 53s</t>
  </si>
  <si>
    <t>+00°20,1'</t>
  </si>
  <si>
    <t>WDS05309+1015</t>
  </si>
  <si>
    <t>STF726, IDS05254+1011, BDS2779, ADS4113, BD+10 00800</t>
  </si>
  <si>
    <t>05h 30m 52s</t>
  </si>
  <si>
    <t>+10°15,2'</t>
  </si>
  <si>
    <t>WDS05344+0525</t>
  </si>
  <si>
    <t>HDS738, BD+05 00957</t>
  </si>
  <si>
    <t>05h 34m 24s</t>
  </si>
  <si>
    <t>+05°25,1'</t>
  </si>
  <si>
    <t>WDS05126-0133</t>
  </si>
  <si>
    <t>BAL299, IDS05076-0140, BD-01 00829</t>
  </si>
  <si>
    <t>05h 12m 39s</t>
  </si>
  <si>
    <t>-01°32,8'</t>
  </si>
  <si>
    <t>WDS05422+1336</t>
  </si>
  <si>
    <t>FOX142, IDS05365+1334, ADS4282, BD+13 00957</t>
  </si>
  <si>
    <t>05h 42m 11s</t>
  </si>
  <si>
    <t>+13°35,5'</t>
  </si>
  <si>
    <t>WDS06123+1001</t>
  </si>
  <si>
    <t>J2017, IDS06068+1002</t>
  </si>
  <si>
    <t>06h 12m 28s</t>
  </si>
  <si>
    <t>+10°02,1'</t>
  </si>
  <si>
    <t>WDS06148+0754</t>
  </si>
  <si>
    <t>J37, IDS06094+0756, ADS4844, BD+07 01201</t>
  </si>
  <si>
    <t>06h 14m 48s</t>
  </si>
  <si>
    <t>+07°54,2'</t>
  </si>
  <si>
    <t>WDS06003+0942</t>
  </si>
  <si>
    <t>J407, IDS05548+0942, ADS4585, BD+09 01043</t>
  </si>
  <si>
    <t>06h 00m 20s</t>
  </si>
  <si>
    <t>+09°42,1'</t>
  </si>
  <si>
    <t>WDS06141+1858</t>
  </si>
  <si>
    <t>J19, IDS06082+1900, ADS4832, BD+19 01265</t>
  </si>
  <si>
    <t>06h 14m 08s</t>
  </si>
  <si>
    <t>+18°57,8'</t>
  </si>
  <si>
    <t>WDS05349+0006</t>
  </si>
  <si>
    <t>RST5217, IDS05298+0002, BD+00 01123</t>
  </si>
  <si>
    <t>05h 34m 55s</t>
  </si>
  <si>
    <t>+00°06,0'</t>
  </si>
  <si>
    <t>WDS05079+0830</t>
  </si>
  <si>
    <t>STT98, IDS05024+0822, BDS2535, ADS3711, BD+08 00866</t>
  </si>
  <si>
    <t>05h 07m 53s</t>
  </si>
  <si>
    <t>+08°29,9'</t>
  </si>
  <si>
    <t>WDS06173+0506</t>
  </si>
  <si>
    <t>CAT1</t>
  </si>
  <si>
    <t>06h 17m 16s</t>
  </si>
  <si>
    <t>+05°06,0'</t>
  </si>
  <si>
    <t>WDS05229+1422</t>
  </si>
  <si>
    <t>HU1225, IDS05173+1416, ADS3961, BD+14 00890</t>
  </si>
  <si>
    <t>05h 22m 57s</t>
  </si>
  <si>
    <t>+14°21,6'</t>
  </si>
  <si>
    <t>WDS06120-0051</t>
  </si>
  <si>
    <t>BAL684, IDS06070-0049, BD-00 01209</t>
  </si>
  <si>
    <t>06h 12m 01s</t>
  </si>
  <si>
    <t>-00°50,6'</t>
  </si>
  <si>
    <t>WDS05289+1233</t>
  </si>
  <si>
    <t>TOK94, BD+12 00801</t>
  </si>
  <si>
    <t>05h 28m 52s</t>
  </si>
  <si>
    <t>+12°33,0'</t>
  </si>
  <si>
    <t>WDS06155+0232</t>
  </si>
  <si>
    <t>BAL1687, IDS06103+0233, BD+02 01176</t>
  </si>
  <si>
    <t>06h 15m 33s</t>
  </si>
  <si>
    <t>+02°31,5'</t>
  </si>
  <si>
    <t>WDS05273+0350</t>
  </si>
  <si>
    <t>BAL2147, IDS05220+0344, BD+03 00905</t>
  </si>
  <si>
    <t>05h 27m 18s</t>
  </si>
  <si>
    <t>+03°49,5'</t>
  </si>
  <si>
    <t>WDS06135+1015</t>
  </si>
  <si>
    <t>HO22, IDS06079+1016, BDS3230, ADS4823, BD+10 01054</t>
  </si>
  <si>
    <t>06h 13m 28s</t>
  </si>
  <si>
    <t>+10°14,8'</t>
  </si>
  <si>
    <t>WDS05010+1430</t>
  </si>
  <si>
    <t>D6, IDS04553+1422, BDS2466, ADS3600, BD+14 00808</t>
  </si>
  <si>
    <t>05h 00m 58s</t>
  </si>
  <si>
    <t>+14°30,2'</t>
  </si>
  <si>
    <t>WDS06034+0811</t>
  </si>
  <si>
    <t>J51, IDS05579+0812, ADS4636, BD+08 01160</t>
  </si>
  <si>
    <t>06h 03m 23s</t>
  </si>
  <si>
    <t>+08°11,3'</t>
  </si>
  <si>
    <t>WDS05519+2037</t>
  </si>
  <si>
    <t>HU448, IDS05459+2035, BDS3016, ADS4454, BD+20 01141</t>
  </si>
  <si>
    <t>05h 51m 54s</t>
  </si>
  <si>
    <t>+20°37,1'</t>
  </si>
  <si>
    <t>WDS06061+0516</t>
  </si>
  <si>
    <t>J1368, IDS06008+0517, ADS4679, BD+05 01091</t>
  </si>
  <si>
    <t>06h 06m 06s</t>
  </si>
  <si>
    <t>+05°16,2'</t>
  </si>
  <si>
    <t>SMN5, ADS4186</t>
  </si>
  <si>
    <t>WDS05361-0650</t>
  </si>
  <si>
    <t>BDG2, IDS05312-0654, BDS2851, ADS4205, BD-06 01248</t>
  </si>
  <si>
    <t>05h 36m 01s</t>
  </si>
  <si>
    <t>-06°50,2'</t>
  </si>
  <si>
    <t>WDS06130+1330</t>
  </si>
  <si>
    <t>J1928, IDS06073+1331</t>
  </si>
  <si>
    <t>06h 13m 00s</t>
  </si>
  <si>
    <t>+13°24,0'</t>
  </si>
  <si>
    <t>WDS05103-0327</t>
  </si>
  <si>
    <t>J308, IDS05053-0335, ADS3746, BD-03 01032</t>
  </si>
  <si>
    <t>05h 10m 15s</t>
  </si>
  <si>
    <t>-03°30,1'</t>
  </si>
  <si>
    <t>WDS06026-0028</t>
  </si>
  <si>
    <t>BAL678, IDS05575-0028, BD-00 01146</t>
  </si>
  <si>
    <t>06h 02m 38s</t>
  </si>
  <si>
    <t>-00°28,0'</t>
  </si>
  <si>
    <t>WDS06080+0744</t>
  </si>
  <si>
    <t>J255, IDS06026+0745, ADS4722</t>
  </si>
  <si>
    <t>06h 08m 03s</t>
  </si>
  <si>
    <t>+07°43,7'</t>
  </si>
  <si>
    <t>WDS05148+1232</t>
  </si>
  <si>
    <t>HU1224, IDS05092+1225, ADS3822, BD+12 00752</t>
  </si>
  <si>
    <t>05h 14m 45s</t>
  </si>
  <si>
    <t>+12°31,5'</t>
  </si>
  <si>
    <t>WDS05159+0345</t>
  </si>
  <si>
    <t>A2638, IDS05106+0338, ADS3847, BD+03 00827</t>
  </si>
  <si>
    <t>05h 15m 53s</t>
  </si>
  <si>
    <t>+03°44,9'</t>
  </si>
  <si>
    <t>WDS06049+1054</t>
  </si>
  <si>
    <t>J311, IDS05594+1054, ADS4656, BD+10 00995</t>
  </si>
  <si>
    <t>06h 04m 57s</t>
  </si>
  <si>
    <t>+10°53,8'</t>
  </si>
  <si>
    <t>WDS06181+0919</t>
  </si>
  <si>
    <t>HO24, IDS06126+0921, BDS3279, ADS4903, BD+09 01182</t>
  </si>
  <si>
    <t>06h 18m 06s</t>
  </si>
  <si>
    <t>+09°19,2'</t>
  </si>
  <si>
    <t>WDS05290+0550</t>
  </si>
  <si>
    <t>A2645, IDS05237+0545, ADS4074, BD+05 00933</t>
  </si>
  <si>
    <t>05h 29m 03s</t>
  </si>
  <si>
    <t>+05°50,1'</t>
  </si>
  <si>
    <t>WDS05300+0222</t>
  </si>
  <si>
    <t>J1256, IDS05248+0217, ADS4102, BD+02 00978</t>
  </si>
  <si>
    <t>05h 30m 00s</t>
  </si>
  <si>
    <t>+02°22,2'</t>
  </si>
  <si>
    <t>WDS05535-0625</t>
  </si>
  <si>
    <t>A501, IDS05486-0626, BDS3034, ADS4485, BD-06 01343</t>
  </si>
  <si>
    <t>05h 53m 31s</t>
  </si>
  <si>
    <t>-06°24,8'</t>
  </si>
  <si>
    <t>WDS04465+0358</t>
  </si>
  <si>
    <t>A2425, IDS04412+0347, ADS3439, BD+03 00666</t>
  </si>
  <si>
    <t>04h 46m 31s</t>
  </si>
  <si>
    <t>+03°58,1'</t>
  </si>
  <si>
    <t>WDS05549+1413</t>
  </si>
  <si>
    <t>HO20, IDS05492+1412, BDS3038, ADS4497, BD+14 01074</t>
  </si>
  <si>
    <t>05h 54m 55s</t>
  </si>
  <si>
    <t>+14°13,1'</t>
  </si>
  <si>
    <t>WDS05234-0355</t>
  </si>
  <si>
    <t>RST4275, IDS05184-0400, BD-04 01110</t>
  </si>
  <si>
    <t>05h 23m 22s</t>
  </si>
  <si>
    <t>-03°54,7'</t>
  </si>
  <si>
    <t>WDS05599+1607</t>
  </si>
  <si>
    <t>J680, IDS05541+1607, ADS4584</t>
  </si>
  <si>
    <t>05h 59m 49s</t>
  </si>
  <si>
    <t>+16°06,6'</t>
  </si>
  <si>
    <t>WDS06155+1931</t>
  </si>
  <si>
    <t>A2446, IDS06096+1933, ADS4854, BD+19 01276</t>
  </si>
  <si>
    <t>06h 15m 29s</t>
  </si>
  <si>
    <t>+19°31,3'</t>
  </si>
  <si>
    <t>WDS05445-0745</t>
  </si>
  <si>
    <t>A497, IDS05397-0747, BDS2944, ADS4330, BD-07 01162</t>
  </si>
  <si>
    <t>05h 44m 33s</t>
  </si>
  <si>
    <t>-07°44,5'</t>
  </si>
  <si>
    <t>WDS05317-0328</t>
  </si>
  <si>
    <t>FOX7, IDS05267-0332, ADS4130, BD-03 01125</t>
  </si>
  <si>
    <t>05h 31m 39s</t>
  </si>
  <si>
    <t>-03°27,1'</t>
  </si>
  <si>
    <t>WDS05500+0952</t>
  </si>
  <si>
    <t>HEI670, ADS4429, BD+09 00978</t>
  </si>
  <si>
    <t>05h 50m 03s</t>
  </si>
  <si>
    <t>+09°52,2'</t>
  </si>
  <si>
    <t>WDS05345-0429</t>
  </si>
  <si>
    <t>BU13, IDS05296-0433, BDS2823, ADS4172, BD-04 01171</t>
  </si>
  <si>
    <t>05h 34m 32s</t>
  </si>
  <si>
    <t>-04°29,2'</t>
  </si>
  <si>
    <t>WDS06165+1901</t>
  </si>
  <si>
    <t>BU894, IDS06106+1903, BDS3258, ADS4881, BD+19 01285</t>
  </si>
  <si>
    <t>06h 16m 32s</t>
  </si>
  <si>
    <t>+19°00,7'</t>
  </si>
  <si>
    <t>WDS06207+0857</t>
  </si>
  <si>
    <t>TDS241, BD+09 01196</t>
  </si>
  <si>
    <t>06h 20m 39s</t>
  </si>
  <si>
    <t>+08°57,0'</t>
  </si>
  <si>
    <t>WDS05590+1659</t>
  </si>
  <si>
    <t>J958, IDS05532+1658, ADS4561</t>
  </si>
  <si>
    <t>05h 59m 02s</t>
  </si>
  <si>
    <t>+16°57,5'</t>
  </si>
  <si>
    <t>WDS06022+1210</t>
  </si>
  <si>
    <t>J333, IDS05566+1209, ADS4614, BD+12 00992</t>
  </si>
  <si>
    <t>06h 02m 13s</t>
  </si>
  <si>
    <t>+12°09,6'</t>
  </si>
  <si>
    <t>WDS06080+2118</t>
  </si>
  <si>
    <t>STT133, IDS06020+2119, BDS3159, ADS4716, BD+21 01125</t>
  </si>
  <si>
    <t>06h 08m 02s</t>
  </si>
  <si>
    <t>+21°17,7'</t>
  </si>
  <si>
    <t>WDS05359-0538</t>
  </si>
  <si>
    <t>DA3, IDS05310-0542, BDS2850, ADS4202, BD-05 01330</t>
  </si>
  <si>
    <t>05h 35m 54s</t>
  </si>
  <si>
    <t>-05°37,7'</t>
  </si>
  <si>
    <t>WDS06067+2006</t>
  </si>
  <si>
    <t>AG105, IDS06008+2007, BDS3144, ADS4686, BD+20 01259</t>
  </si>
  <si>
    <t>06h 06m 42s</t>
  </si>
  <si>
    <t>+20°06,3'</t>
  </si>
  <si>
    <t>WDS05596+0745</t>
  </si>
  <si>
    <t>J253, IDS05542+0745, ADS4579</t>
  </si>
  <si>
    <t>05h 59m 41s</t>
  </si>
  <si>
    <t>+07°45,5'</t>
  </si>
  <si>
    <t>WDS05307+1154</t>
  </si>
  <si>
    <t>A2705, IDS05251+1149, ADS4109, BD+11 00833</t>
  </si>
  <si>
    <t>05h 30m 43s</t>
  </si>
  <si>
    <t>+11°53,7'</t>
  </si>
  <si>
    <t>WDS06087+1724</t>
  </si>
  <si>
    <t>STF849, IDS06029+1725, BDS3172, ADS4730, BD+17 01139</t>
  </si>
  <si>
    <t>06h 08m 44s</t>
  </si>
  <si>
    <t>+17°24,1'</t>
  </si>
  <si>
    <t>WDS05169-0538</t>
  </si>
  <si>
    <t>A52, IDS05120-0545, BDS2633, ADS3867, BD-05 01210</t>
  </si>
  <si>
    <t>05h 16m 53s</t>
  </si>
  <si>
    <t>-05°38,2'</t>
  </si>
  <si>
    <t>WDS05574+0002</t>
  </si>
  <si>
    <t>BU1190, IDS05523+0001, BDS3069, ADS4542, BD+00 01227</t>
  </si>
  <si>
    <t>05h 57m 25s</t>
  </si>
  <si>
    <t>+00°01,6'</t>
  </si>
  <si>
    <t>WDS06143+1430</t>
  </si>
  <si>
    <t>HO23, ADS4835, BD+14 01210</t>
  </si>
  <si>
    <t>06h 14m 15s</t>
  </si>
  <si>
    <t>+14°26,9'</t>
  </si>
  <si>
    <t>WDS05236-1025</t>
  </si>
  <si>
    <t>STN10, IDS05189-1031, BDS2707, ADS3987, BD-10 01174</t>
  </si>
  <si>
    <t>05h 23m 35s</t>
  </si>
  <si>
    <t>-10°25,1'</t>
  </si>
  <si>
    <t>WDS06222+1202</t>
  </si>
  <si>
    <t>J347, IDS06166+1205, ADS4986, BD+12 01122</t>
  </si>
  <si>
    <t>06h 22m 12s</t>
  </si>
  <si>
    <t>+12°02,3'</t>
  </si>
  <si>
    <t>WDS05467+0005</t>
  </si>
  <si>
    <t>BU559, BDS2964, ADS4374, BD+00 01177</t>
  </si>
  <si>
    <t>05h 46m 45s</t>
  </si>
  <si>
    <t>+00°05,3'</t>
  </si>
  <si>
    <t>WDS05045+0545</t>
  </si>
  <si>
    <t>A2043, IDS04592+0537, ADS3661, BD+05 00800</t>
  </si>
  <si>
    <t>05h 04m 31s</t>
  </si>
  <si>
    <t>+05°45,4'</t>
  </si>
  <si>
    <t>WDS05041+0257</t>
  </si>
  <si>
    <t>A2632, IDS04588+0249, ADS3652, BD+02 00852</t>
  </si>
  <si>
    <t>05h 04m 04s</t>
  </si>
  <si>
    <t>+02°57,3'</t>
  </si>
  <si>
    <t>WDS06203+1159</t>
  </si>
  <si>
    <t>J345, IDS06147+1202, ADS4948, BD+12 01115</t>
  </si>
  <si>
    <t>06h 20m 19s</t>
  </si>
  <si>
    <t>+11°58,6'</t>
  </si>
  <si>
    <t>WDS06123+0827</t>
  </si>
  <si>
    <t>A2808, IDS06068+0828, ADS4805, BD+08 01226</t>
  </si>
  <si>
    <t>06h 12m 16s</t>
  </si>
  <si>
    <t>+08°26,8'</t>
  </si>
  <si>
    <t>WDS05366-0157</t>
  </si>
  <si>
    <t>A320, IDS05316-0201, BDS2852, ADS4211, BD-02 01312</t>
  </si>
  <si>
    <t>05h 36m 35s</t>
  </si>
  <si>
    <t>-01°57,2'</t>
  </si>
  <si>
    <t>WDS05203-0241</t>
  </si>
  <si>
    <t>A2804, IDS05153-0247, ADS3920, BD-02 01217</t>
  </si>
  <si>
    <t>05h 20m 20s</t>
  </si>
  <si>
    <t>-02°40,6'</t>
  </si>
  <si>
    <t>WDS04523+0541</t>
  </si>
  <si>
    <t>A1943, IDS04470+0531, ADS3489, BD+05 00753</t>
  </si>
  <si>
    <t>04h 52m 18s</t>
  </si>
  <si>
    <t>+05°40,6'</t>
  </si>
  <si>
    <t>WDS06096-0324</t>
  </si>
  <si>
    <t>A3020, IDS06046-0323, ADS4758, BD-03 01310</t>
  </si>
  <si>
    <t>06h 09m 36s</t>
  </si>
  <si>
    <t>-03°23,7'</t>
  </si>
  <si>
    <t>WDS04507+0418</t>
  </si>
  <si>
    <t>A1942, IDS04454+0407, ADS3473, BD+04 00762</t>
  </si>
  <si>
    <t>04h 50m 40s</t>
  </si>
  <si>
    <t>+04°17,6'</t>
  </si>
  <si>
    <t>WDS05327-0136</t>
  </si>
  <si>
    <t>BU1048, IDS05276-0140, BDS2804, ADS4141, BD-01 00935</t>
  </si>
  <si>
    <t>05h 32m 41s</t>
  </si>
  <si>
    <t>-01°35,5'</t>
  </si>
  <si>
    <t>WDS05354-0450</t>
  </si>
  <si>
    <t>DA4, IDS05304-0454, BDS2841, ADS4187, BD-04 01185</t>
  </si>
  <si>
    <t>05h 35m 23s</t>
  </si>
  <si>
    <t>-04°50,3'</t>
  </si>
  <si>
    <t>WDS06234+1432</t>
  </si>
  <si>
    <t>A2720, IDS06177+1435, ADS5004, BD+14 01267</t>
  </si>
  <si>
    <t>06h 23m 25s</t>
  </si>
  <si>
    <t>+14°31,7'</t>
  </si>
  <si>
    <t>WDS05585+1024</t>
  </si>
  <si>
    <t>J1105, IDS05530+1023, ADS4554, BD+10 00952</t>
  </si>
  <si>
    <t>05h 58m 39s</t>
  </si>
  <si>
    <t>+10°25,5'</t>
  </si>
  <si>
    <t>WDS05135+0158</t>
  </si>
  <si>
    <t>STT517, IDS05083+0151, BDS2588, ADS3799, BD+01 00938</t>
  </si>
  <si>
    <t>05h 13m 32s</t>
  </si>
  <si>
    <t>+01°58,0'</t>
  </si>
  <si>
    <t>WDS06084+0135</t>
  </si>
  <si>
    <t>A2664, IDS06032+0136, ADS4731, BD+01 01227</t>
  </si>
  <si>
    <t>06h 08m 23s</t>
  </si>
  <si>
    <t>+01°35,0'</t>
  </si>
  <si>
    <t>WDS06153+1740</t>
  </si>
  <si>
    <t>TDS3669, ADS4869</t>
  </si>
  <si>
    <t>06h 15m 18s</t>
  </si>
  <si>
    <t>+17°39,6'</t>
  </si>
  <si>
    <t>WDS06249+1424</t>
  </si>
  <si>
    <t>A2722, IDS06192+1428, ADS5033, BD+14 01280</t>
  </si>
  <si>
    <t>06h 24m 56s</t>
  </si>
  <si>
    <t>+14°24,4'</t>
  </si>
  <si>
    <t>WDS06244+1128</t>
  </si>
  <si>
    <t>TDS248</t>
  </si>
  <si>
    <t>06h 24m 24s</t>
  </si>
  <si>
    <t>+11°27,7'</t>
  </si>
  <si>
    <t>WDS05376-0125</t>
  </si>
  <si>
    <t>BU89, IDS05325-0129, BDS2863, ADS4222, BD-01 00982</t>
  </si>
  <si>
    <t>05h 37m 35s</t>
  </si>
  <si>
    <t>-01°25,3'</t>
  </si>
  <si>
    <t>WDS06119+0706</t>
  </si>
  <si>
    <t>A2716, IDS06065+0707, ADS4795, BD+07 01177</t>
  </si>
  <si>
    <t>06h 11m 55s</t>
  </si>
  <si>
    <t>+07°05,5'</t>
  </si>
  <si>
    <t>WDS06161-0253</t>
  </si>
  <si>
    <t>BU1019, IDS06111-0251, BDS3264, ADS4882, BD-02 01534</t>
  </si>
  <si>
    <t>06h 16m 08s</t>
  </si>
  <si>
    <t>-02°52,9'</t>
  </si>
  <si>
    <t>WDS05074+0227</t>
  </si>
  <si>
    <t>A2634, IDS05022+0219, ADS3707, BD+02 00865</t>
  </si>
  <si>
    <t>05h 07m 22s</t>
  </si>
  <si>
    <t>+02°26,9'</t>
  </si>
  <si>
    <t>WDS05181+0342</t>
  </si>
  <si>
    <t>A2639, IDS05128+0335, ADS3880, BD+03 00841</t>
  </si>
  <si>
    <t>05h 18m 03s</t>
  </si>
  <si>
    <t>+03°41,5'</t>
  </si>
  <si>
    <t>WDS06059+1636</t>
  </si>
  <si>
    <t>A2513, IDS06001+1636, ADS4671, BD+16 00995</t>
  </si>
  <si>
    <t>06h 05m 52s</t>
  </si>
  <si>
    <t>+16°35,7'</t>
  </si>
  <si>
    <t>WDS05506-0126</t>
  </si>
  <si>
    <t>BU1188, IDS05456-0127, BDS3015, ADS4442, BD-01 01038</t>
  </si>
  <si>
    <t>05h 50m 38s</t>
  </si>
  <si>
    <t>-01°25,7'</t>
  </si>
  <si>
    <t>WDS05538+0633</t>
  </si>
  <si>
    <t>A2714, IDS05485+0632, ADS4488, BD+06 01061</t>
  </si>
  <si>
    <t>05h 53m 51s</t>
  </si>
  <si>
    <t>+06°32,8'</t>
  </si>
  <si>
    <t>WDS05321-0311</t>
  </si>
  <si>
    <t>RST4279, IDS05271-0315, BD-03 01128</t>
  </si>
  <si>
    <t>05h 32m 03s</t>
  </si>
  <si>
    <t>-03°09,8'</t>
  </si>
  <si>
    <t>WDS05220+0319</t>
  </si>
  <si>
    <t>TDS3160</t>
  </si>
  <si>
    <t>05h 22m 01s</t>
  </si>
  <si>
    <t>+03°18,8'</t>
  </si>
  <si>
    <t>WDS06156+0912</t>
  </si>
  <si>
    <t>HEI688, ADS4860, BD+09 01162</t>
  </si>
  <si>
    <t>06h 15m 35s</t>
  </si>
  <si>
    <t>+09°11,2'</t>
  </si>
  <si>
    <t>WDS05251+1522</t>
  </si>
  <si>
    <t>HU1226, IDS05194+1516, ADS4006, BD+15 00809</t>
  </si>
  <si>
    <t>05h 25m 06s</t>
  </si>
  <si>
    <t>+15°21,7'</t>
  </si>
  <si>
    <t>WDS05564+1401</t>
  </si>
  <si>
    <t>TDS202</t>
  </si>
  <si>
    <t>05h 56m 26s</t>
  </si>
  <si>
    <t>+14°01,4'</t>
  </si>
  <si>
    <t>WDS06073+1600</t>
  </si>
  <si>
    <t>HEI114, IDS06015+1601, BD+16 01005</t>
  </si>
  <si>
    <t>06h 07m 18s</t>
  </si>
  <si>
    <t>+16°01,2'</t>
  </si>
  <si>
    <t>WDS05204-0802</t>
  </si>
  <si>
    <t>BU190, IDS05156-0808, BDS2673, ADS3927, BD-08 01092</t>
  </si>
  <si>
    <t>05h 20m 24s</t>
  </si>
  <si>
    <t>-08°01,7'</t>
  </si>
  <si>
    <t>WDS05192-0304</t>
  </si>
  <si>
    <t>A53, IDS05141-0311, BDS2654, ADS3900, BD-03 01061</t>
  </si>
  <si>
    <t>05h 19m 13s</t>
  </si>
  <si>
    <t>-03°04,4'</t>
  </si>
  <si>
    <t>WDS05353-0516</t>
  </si>
  <si>
    <t>KOH100</t>
  </si>
  <si>
    <t>05h 35m 18s</t>
  </si>
  <si>
    <t>-05°16,2'</t>
  </si>
  <si>
    <t>WDS05257-0909</t>
  </si>
  <si>
    <t>DAE2, ADS4018</t>
  </si>
  <si>
    <t>05h 25m 42s</t>
  </si>
  <si>
    <t>-09°09,2'</t>
  </si>
  <si>
    <t>WDS05162-0329</t>
  </si>
  <si>
    <t>BU318, IDS05113-0336, BDS2622, ADS3856, BD-03 01051</t>
  </si>
  <si>
    <t>05h 16m 15s</t>
  </si>
  <si>
    <t>-03°29,0'</t>
  </si>
  <si>
    <t>WDS05110-0146</t>
  </si>
  <si>
    <t>BU885, IDS05110-0146, BDS2565, ADS3755, BD-01 00823</t>
  </si>
  <si>
    <t>05h 10m 57s</t>
  </si>
  <si>
    <t>-01°45,8'</t>
  </si>
  <si>
    <t>WDS05569-0110</t>
  </si>
  <si>
    <t>A1047, IDS05518-0111, BDS13089, ADS4535, BD-01 01073</t>
  </si>
  <si>
    <t>05h 56m 52s</t>
  </si>
  <si>
    <t>-01°09,8'</t>
  </si>
  <si>
    <r>
      <rPr>
        <b/>
        <sz val="11"/>
        <rFont val="Calibri"/>
        <family val="2"/>
        <scheme val="minor"/>
      </rPr>
      <t>WRAKs Rule of Thumb Model for estimating the required aperture for splitting unequal and faint doubles for small telescopes V2.0 Beta 2013-01-21</t>
    </r>
    <r>
      <rPr>
        <sz val="11"/>
        <rFont val="Calibri"/>
        <family val="2"/>
        <scheme val="minor"/>
      </rPr>
      <t xml:space="preserve">
rA = required Aperture in mm = rA1+rA2+rA3+rA4+rA5 with a split probability of 50% and an average error of 10%
rA1 = modified Dawes criterion = 116/1,2213*(0,0950502775050452+(1,12627632206642)/((1+(CO/0,302756091410027)^2,26536793426585)^0,152776210790626))/sep with sep = separation in arcseconds and CO = Central Obstruction between zero and 0.99
rA2 = f(dM) = function of delta magnitudes including CO = dm'*4,86728238951535*(m2-m1)/sep^0,423333111900057 *(1+CO)^1,27639458772504
with dm' = switch for delta-m &lt; 1, m1 = magnitude primary and m2 = magnitude secondary
rA3 = f(m1) = function of m1 = m1'*1,2577561731939*(M1+1,15557969130366)/(m1''*sep^-0,0900743729896674+(1-m1'')*(14-M1)^-0,0900743729896674)
with m1' = switch for m1 &lt;= 6 and m1'' = switch for sep &lt;= 14-m1
rA4 = f(m2) = function of m2 = m2'*9,68915003973139*(m2-8,17102416496663) with m2' = switch for m2 &lt;= 9
rA5 = f(NEML) = function of Naked Eye Magnitude Limit for a given location = 0,152095843055359*(10^((m2+LN((6,5/NEML)^2,512)-2,7)/5)-10^((m2-2,7)/5)) 
</t>
    </r>
    <r>
      <rPr>
        <b/>
        <sz val="11"/>
        <rFont val="Calibri"/>
        <family val="2"/>
        <scheme val="minor"/>
      </rPr>
      <t xml:space="preserve">Required input: </t>
    </r>
    <r>
      <rPr>
        <sz val="11"/>
        <rFont val="Calibri"/>
        <family val="2"/>
        <scheme val="minor"/>
      </rPr>
      <t xml:space="preserve">Global input central obstruction and naked eye magnitude limit for location.
Per double star sep, m1, m2 and NELM and WDS ID. Name, RA, Dec for convinience only (yellow marked columns below)
</t>
    </r>
    <r>
      <rPr>
        <b/>
        <sz val="11"/>
        <rFont val="Calibri"/>
        <family val="2"/>
        <scheme val="minor"/>
      </rPr>
      <t>Current restrictions</t>
    </r>
    <r>
      <rPr>
        <sz val="11"/>
        <rFont val="Calibri"/>
        <family val="2"/>
        <scheme val="minor"/>
      </rPr>
      <t xml:space="preserve"> (not enforced): small refractors 25-150mm, separation 0.7-10 arcseconds, magnitude of primary up to +10mag and of secondary up to +12mag
</t>
    </r>
    <r>
      <rPr>
        <b/>
        <sz val="11"/>
        <rFont val="Calibri"/>
        <family val="2"/>
        <scheme val="minor"/>
      </rPr>
      <t>Error conditions</t>
    </r>
    <r>
      <rPr>
        <sz val="11"/>
        <rFont val="Calibri"/>
        <family val="2"/>
        <scheme val="minor"/>
      </rPr>
      <t xml:space="preserve"> (not enforced): separation &lt; 0, magnitude of primary &gt; magnitude of secondary, 1&gt;CO&lt;0, 6.5&lt;NEML&lt;1
</t>
    </r>
    <r>
      <rPr>
        <b/>
        <sz val="11"/>
        <rFont val="Calibri"/>
        <family val="2"/>
        <scheme val="minor"/>
      </rPr>
      <t>Planned enhancements:</t>
    </r>
    <r>
      <rPr>
        <sz val="11"/>
        <rFont val="Calibri"/>
        <family val="2"/>
        <scheme val="minor"/>
      </rPr>
      <t xml:space="preserve"> Enlarge the data set of limit observations for better statistical significance, smoother transition of the different components of the model when crossing the defined thesholds, additional components for separations larger than 10 arcseconds and very faint companions at the border of TML</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</si>
</sst>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164" formatCode="_-* #,##0_-;\-* #,##0_-;_-* &quot;-&quot;??_-;_-@_-"/>
    <numFmt numFmtId="165" formatCode="_-* #,##0.0_-;\-* #,##0.0_-;_-* &quot;-&quot;??_-;_-@_-"/>
    <numFmt numFmtId="166" formatCode="#,##0.00_ ;\-#,##0.00\ "/>
    <numFmt numFmtId="167" formatCode="#,##0.0_ ;\-#,##0.0\ "/>
  </numFmts>
  <fonts count="7" x14ac:knownFonts="1">
    <font>
      <sz val="11"/>
      <color theme="1"/>
      <name val="Calibri"/>
      <family val="2"/>
      <scheme val="minor"/>
    </font>
    <font>
      <sz val="11"/>
      <color theme="1"/>
      <name val="Calibri"/>
      <family val="2"/>
      <scheme val="minor"/>
    </font>
    <font>
      <sz val="11"/>
      <name val="Calibri"/>
      <family val="2"/>
      <scheme val="minor"/>
    </font>
    <font>
      <b/>
      <sz val="11"/>
      <name val="Calibri"/>
      <family val="2"/>
      <scheme val="minor"/>
    </font>
    <font>
      <b/>
      <sz val="16"/>
      <name val="Calibri"/>
      <family val="2"/>
      <scheme val="minor"/>
    </font>
    <font>
      <b/>
      <sz val="14"/>
      <color rgb="FFFF0000"/>
      <name val="Calibri"/>
      <family val="2"/>
      <scheme val="minor"/>
    </font>
    <font>
      <b/>
      <sz val="12"/>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right/>
      <top/>
      <bottom style="medium">
        <color indexed="64"/>
      </bottom>
      <diagonal/>
    </border>
  </borders>
  <cellStyleXfs count="2">
    <xf numFmtId="0" fontId="0" fillId="0" borderId="0"/>
    <xf numFmtId="43" fontId="1" fillId="0" borderId="0" applyFont="0" applyFill="0" applyBorder="0" applyAlignment="0" applyProtection="0"/>
  </cellStyleXfs>
  <cellXfs count="33">
    <xf numFmtId="0" fontId="0" fillId="0" borderId="0" xfId="0"/>
    <xf numFmtId="0" fontId="2" fillId="0" borderId="0" xfId="0" applyFont="1"/>
    <xf numFmtId="0" fontId="2" fillId="2" borderId="0" xfId="0" applyFont="1" applyFill="1"/>
    <xf numFmtId="0" fontId="2" fillId="0" borderId="0" xfId="0" applyFont="1" applyAlignment="1">
      <alignment wrapText="1"/>
    </xf>
    <xf numFmtId="0" fontId="2" fillId="0" borderId="0" xfId="0" applyFont="1" applyAlignment="1">
      <alignment horizontal="center"/>
    </xf>
    <xf numFmtId="43" fontId="2" fillId="0" borderId="0" xfId="1" applyFont="1" applyAlignment="1">
      <alignment horizontal="center" wrapText="1"/>
    </xf>
    <xf numFmtId="164" fontId="2" fillId="0" borderId="0" xfId="1" applyNumberFormat="1" applyFont="1" applyAlignment="1">
      <alignment horizontal="center"/>
    </xf>
    <xf numFmtId="43" fontId="2" fillId="0" borderId="0" xfId="1" applyNumberFormat="1" applyFont="1" applyAlignment="1">
      <alignment horizontal="center"/>
    </xf>
    <xf numFmtId="164" fontId="2" fillId="0" borderId="0" xfId="1" applyNumberFormat="1" applyFont="1" applyAlignment="1">
      <alignment horizontal="center" wrapText="1"/>
    </xf>
    <xf numFmtId="0" fontId="2" fillId="0" borderId="1" xfId="0" applyFont="1" applyBorder="1"/>
    <xf numFmtId="164" fontId="2" fillId="0" borderId="0" xfId="1" applyNumberFormat="1" applyFont="1" applyBorder="1" applyAlignment="1"/>
    <xf numFmtId="164" fontId="2" fillId="0" borderId="0" xfId="1" applyNumberFormat="1" applyFont="1"/>
    <xf numFmtId="43" fontId="2" fillId="0" borderId="0" xfId="1" applyFont="1"/>
    <xf numFmtId="43" fontId="2" fillId="0" borderId="0" xfId="1" applyNumberFormat="1" applyFont="1"/>
    <xf numFmtId="0" fontId="2" fillId="2" borderId="0" xfId="0" applyFont="1" applyFill="1" applyAlignment="1">
      <alignment horizontal="center"/>
    </xf>
    <xf numFmtId="165" fontId="2" fillId="0" borderId="0" xfId="1" applyNumberFormat="1" applyFont="1"/>
    <xf numFmtId="43" fontId="2" fillId="0" borderId="0" xfId="1" applyFont="1" applyAlignment="1">
      <alignment horizontal="center"/>
    </xf>
    <xf numFmtId="43" fontId="2" fillId="2" borderId="0" xfId="1" applyFont="1" applyFill="1"/>
    <xf numFmtId="0" fontId="2" fillId="0" borderId="0" xfId="0" applyFont="1" applyBorder="1" applyAlignment="1">
      <alignment horizontal="left"/>
    </xf>
    <xf numFmtId="0" fontId="2" fillId="0" borderId="0" xfId="0" applyFont="1" applyBorder="1" applyAlignment="1"/>
    <xf numFmtId="0" fontId="2" fillId="0" borderId="0" xfId="0" applyFont="1" applyBorder="1"/>
    <xf numFmtId="0" fontId="5" fillId="0" borderId="0" xfId="0" applyFont="1" applyBorder="1" applyAlignment="1">
      <alignment horizontal="left" wrapText="1"/>
    </xf>
    <xf numFmtId="166" fontId="4" fillId="3" borderId="0" xfId="1" applyNumberFormat="1" applyFont="1" applyFill="1" applyBorder="1" applyAlignment="1">
      <alignment horizontal="center" vertical="center"/>
    </xf>
    <xf numFmtId="167" fontId="4" fillId="3" borderId="0" xfId="1" applyNumberFormat="1" applyFont="1" applyFill="1" applyBorder="1" applyAlignment="1">
      <alignment horizontal="center" vertical="center"/>
    </xf>
    <xf numFmtId="43" fontId="2" fillId="0" borderId="0" xfId="1" applyFont="1" applyBorder="1" applyAlignment="1">
      <alignment horizontal="left"/>
    </xf>
    <xf numFmtId="0" fontId="2" fillId="2" borderId="0" xfId="0" applyFont="1" applyFill="1" applyAlignment="1">
      <alignment horizontal="left"/>
    </xf>
    <xf numFmtId="0" fontId="6" fillId="0" borderId="0" xfId="0" applyFont="1" applyBorder="1" applyAlignment="1">
      <alignment horizontal="left"/>
    </xf>
    <xf numFmtId="43" fontId="6" fillId="0" borderId="0" xfId="1" applyFont="1" applyAlignment="1">
      <alignment horizontal="center" wrapText="1"/>
    </xf>
    <xf numFmtId="164" fontId="6" fillId="0" borderId="0" xfId="1" applyNumberFormat="1" applyFont="1" applyBorder="1" applyAlignment="1"/>
    <xf numFmtId="43" fontId="6" fillId="0" borderId="0" xfId="1" applyNumberFormat="1" applyFont="1"/>
    <xf numFmtId="0" fontId="2" fillId="0" borderId="1" xfId="0" applyFont="1" applyBorder="1" applyAlignment="1">
      <alignment horizontal="left" wrapText="1"/>
    </xf>
    <xf numFmtId="0" fontId="2" fillId="0" borderId="1" xfId="0" applyFont="1" applyBorder="1" applyAlignment="1">
      <alignment horizontal="left"/>
    </xf>
    <xf numFmtId="0" fontId="2" fillId="0" borderId="1" xfId="0" applyFont="1" applyBorder="1" applyAlignment="1"/>
  </cellXfs>
  <cellStyles count="2">
    <cellStyle name="Komma" xfId="1" builtinId="3"/>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0"/>
  <sheetViews>
    <sheetView tabSelected="1" zoomScaleNormal="100" workbookViewId="0">
      <selection activeCell="F2" sqref="F2"/>
    </sheetView>
  </sheetViews>
  <sheetFormatPr baseColWidth="10" defaultColWidth="11.5703125" defaultRowHeight="15.75" x14ac:dyDescent="0.25"/>
  <cols>
    <col min="1" max="1" width="16.28515625" style="1" customWidth="1"/>
    <col min="2" max="2" width="21.28515625" style="1" customWidth="1"/>
    <col min="3" max="3" width="12.42578125" style="1" customWidth="1"/>
    <col min="4" max="4" width="10.28515625" style="1" customWidth="1"/>
    <col min="5" max="5" width="7.28515625" style="12" customWidth="1"/>
    <col min="6" max="6" width="7.42578125" style="12" customWidth="1"/>
    <col min="7" max="7" width="7.28515625" style="12" customWidth="1"/>
    <col min="8" max="8" width="5.7109375" style="29" customWidth="1"/>
    <col min="9" max="9" width="6.7109375" style="12" customWidth="1"/>
    <col min="10" max="10" width="7.7109375" style="12" customWidth="1"/>
    <col min="11" max="12" width="6.7109375" style="12" customWidth="1"/>
    <col min="13" max="13" width="9" style="11" customWidth="1"/>
    <col min="14" max="14" width="5.28515625" style="12" customWidth="1"/>
    <col min="15" max="15" width="5.85546875" style="1" customWidth="1"/>
    <col min="16" max="16" width="5.7109375" style="1" customWidth="1"/>
    <col min="17" max="17" width="5.28515625" style="1" customWidth="1"/>
    <col min="18" max="16384" width="11.5703125" style="1"/>
  </cols>
  <sheetData>
    <row r="1" spans="1:17" s="9" customFormat="1" ht="252" customHeight="1" thickBot="1" x14ac:dyDescent="0.3">
      <c r="A1" s="30" t="s">
        <v>593</v>
      </c>
      <c r="B1" s="31"/>
      <c r="C1" s="31"/>
      <c r="D1" s="31"/>
      <c r="E1" s="31"/>
      <c r="F1" s="31"/>
      <c r="G1" s="31"/>
      <c r="H1" s="31"/>
      <c r="I1" s="31"/>
      <c r="J1" s="31"/>
      <c r="K1" s="31"/>
      <c r="L1" s="31"/>
      <c r="M1" s="31"/>
      <c r="N1" s="31"/>
      <c r="O1" s="32"/>
      <c r="P1" s="32"/>
      <c r="Q1" s="32"/>
    </row>
    <row r="2" spans="1:17" s="20" customFormat="1" ht="24.75" customHeight="1" x14ac:dyDescent="0.3">
      <c r="A2" s="21" t="s">
        <v>18</v>
      </c>
      <c r="B2" s="22">
        <v>0.28000000000000003</v>
      </c>
      <c r="C2" s="18"/>
      <c r="D2" s="18"/>
      <c r="E2" s="24"/>
      <c r="F2" s="18"/>
      <c r="G2" s="18"/>
      <c r="H2" s="26"/>
      <c r="I2" s="18"/>
      <c r="J2" s="18"/>
      <c r="K2" s="18"/>
      <c r="L2" s="18"/>
      <c r="M2" s="18"/>
      <c r="N2" s="18"/>
      <c r="O2" s="19"/>
      <c r="P2" s="19"/>
      <c r="Q2" s="19"/>
    </row>
    <row r="3" spans="1:17" s="20" customFormat="1" ht="27" customHeight="1" x14ac:dyDescent="0.3">
      <c r="A3" s="21" t="s">
        <v>17</v>
      </c>
      <c r="B3" s="23">
        <v>4.5</v>
      </c>
      <c r="C3" s="18"/>
      <c r="D3" s="18"/>
      <c r="E3" s="24"/>
      <c r="F3" s="18"/>
      <c r="G3" s="18"/>
      <c r="H3" s="26"/>
      <c r="I3" s="18"/>
      <c r="J3" s="18"/>
      <c r="K3" s="18"/>
      <c r="L3" s="18"/>
      <c r="M3" s="18"/>
      <c r="N3" s="18"/>
      <c r="O3" s="19"/>
      <c r="P3" s="19"/>
      <c r="Q3" s="19"/>
    </row>
    <row r="4" spans="1:17" ht="31.9" customHeight="1" x14ac:dyDescent="0.25">
      <c r="A4" s="3" t="s">
        <v>16</v>
      </c>
      <c r="B4" s="3" t="s">
        <v>10</v>
      </c>
      <c r="C4" s="3" t="s">
        <v>11</v>
      </c>
      <c r="D4" s="3" t="s">
        <v>12</v>
      </c>
      <c r="E4" s="16" t="s">
        <v>13</v>
      </c>
      <c r="F4" s="16" t="s">
        <v>14</v>
      </c>
      <c r="G4" s="16" t="s">
        <v>15</v>
      </c>
      <c r="H4" s="27" t="s">
        <v>6</v>
      </c>
      <c r="I4" s="5" t="s">
        <v>9</v>
      </c>
      <c r="J4" s="5" t="s">
        <v>8</v>
      </c>
      <c r="K4" s="5" t="s">
        <v>3</v>
      </c>
      <c r="L4" s="5" t="s">
        <v>4</v>
      </c>
      <c r="M4" s="8" t="s">
        <v>5</v>
      </c>
      <c r="N4" s="6" t="s">
        <v>0</v>
      </c>
      <c r="O4" s="4" t="s">
        <v>1</v>
      </c>
      <c r="P4" s="7" t="s">
        <v>2</v>
      </c>
      <c r="Q4" s="4" t="s">
        <v>7</v>
      </c>
    </row>
    <row r="5" spans="1:17" x14ac:dyDescent="0.25">
      <c r="A5" s="2" t="s">
        <v>39</v>
      </c>
      <c r="B5" s="25" t="s">
        <v>40</v>
      </c>
      <c r="C5" s="2" t="s">
        <v>41</v>
      </c>
      <c r="D5" s="14" t="s">
        <v>42</v>
      </c>
      <c r="E5" s="17">
        <v>7.5</v>
      </c>
      <c r="F5" s="17">
        <v>10</v>
      </c>
      <c r="G5" s="17">
        <v>11.1</v>
      </c>
      <c r="H5" s="28">
        <f t="shared" ref="H5" si="0">I5+J5+K5+L5+M5</f>
        <v>82.995990208243086</v>
      </c>
      <c r="I5" s="10">
        <f t="shared" ref="I5" si="1">116/1.2213*(0.0950502775050452+(1.12627632206642)/((1+($B$2/0.302756091410027)^2.26536793426585)^0.152776210790626))/E5</f>
        <v>14.200689942916501</v>
      </c>
      <c r="J5" s="10">
        <f t="shared" ref="J5" si="2">N5*4.86728238951535*(G5-F5)/E5^0.423333111900057*(1+$B$2)^1.27639458772504</f>
        <v>3.4393132388306999</v>
      </c>
      <c r="K5" s="10">
        <f t="shared" ref="K5" si="3">O5*1.2577561731939*(F5+1.15557969130366)/(Q5*E5^-0.0900743729896674+(1-Q5)*(14-F5)^-0.0900743729896674)</f>
        <v>26.495219781239076</v>
      </c>
      <c r="L5" s="10">
        <f t="shared" ref="L5" si="4">P5*9.68915003973139*(G5-8.17102416496663)</f>
        <v>35.001119805009225</v>
      </c>
      <c r="M5" s="10">
        <f t="shared" ref="M5" si="5">0.152095843055359*(10^((G5+LN((6.5/$B$3)^2.512)-2.7)/5)-10^((G5-2.7)/5))</f>
        <v>3.8596474402475893</v>
      </c>
      <c r="N5" s="11">
        <f t="shared" ref="N5" si="6">IF(G5-F5&lt;=1,IF(F5&lt;=6,0,G5-F5), G5-F5)</f>
        <v>1.0999999999999996</v>
      </c>
      <c r="O5" s="12">
        <f t="shared" ref="O5" si="7">IF(F5-6&gt;0,F5/6,0)</f>
        <v>1.6666666666666667</v>
      </c>
      <c r="P5" s="13">
        <f t="shared" ref="P5" si="8">IF(G5-9&gt;0,G5/9,0)</f>
        <v>1.2333333333333334</v>
      </c>
      <c r="Q5" s="1">
        <f t="shared" ref="Q5" si="9">IF(E5&lt;=14-F5,1,0)</f>
        <v>0</v>
      </c>
    </row>
    <row r="6" spans="1:17" x14ac:dyDescent="0.25">
      <c r="A6" s="2" t="s">
        <v>31</v>
      </c>
      <c r="B6" s="25" t="s">
        <v>32</v>
      </c>
      <c r="C6" s="2" t="s">
        <v>33</v>
      </c>
      <c r="D6" s="14" t="s">
        <v>34</v>
      </c>
      <c r="E6" s="17">
        <v>6.4</v>
      </c>
      <c r="F6" s="17">
        <v>10</v>
      </c>
      <c r="G6" s="17">
        <v>11</v>
      </c>
      <c r="H6" s="28">
        <f t="shared" ref="H6:H37" si="10">I6+J6+K6+L6+M6</f>
        <v>83.363960516861994</v>
      </c>
      <c r="I6" s="10">
        <f t="shared" ref="I6:I37" si="11">116/1.2213*(0.0950502775050452+(1.12627632206642)/((1+($B$2/0.302756091410027)^2.26536793426585)^0.152776210790626))/E6</f>
        <v>16.641433526855273</v>
      </c>
      <c r="J6" s="10">
        <f t="shared" ref="J6:J37" si="12">N6*4.86728238951535*(G6-F6)/E6^0.423333111900057*(1+$B$2)^1.27639458772504</f>
        <v>3.0398075666145981</v>
      </c>
      <c r="K6" s="10">
        <f t="shared" ref="K6:K37" si="13">O6*1.2577561731939*(F6+1.15557969130366)/(Q6*E6^-0.0900743729896674+(1-Q6)*(14-F6)^-0.0900743729896674)</f>
        <v>26.495219781239076</v>
      </c>
      <c r="L6" s="10">
        <f t="shared" ref="L6:L37" si="14">P6*9.68915003973139*(G6-8.17102416496663)</f>
        <v>33.501564952059994</v>
      </c>
      <c r="M6" s="10">
        <f t="shared" ref="M6:M37" si="15">0.152095843055359*(10^((G6+LN((6.5/$B$3)^2.512)-2.7)/5)-10^((G6-2.7)/5))</f>
        <v>3.6859346900930472</v>
      </c>
      <c r="N6" s="11">
        <f t="shared" ref="N6:N37" si="16">IF(G6-F6&lt;=1,IF(F6&lt;=6,0,G6-F6), G6-F6)</f>
        <v>1</v>
      </c>
      <c r="O6" s="12">
        <f t="shared" ref="O6:O37" si="17">IF(F6-6&gt;0,F6/6,0)</f>
        <v>1.6666666666666667</v>
      </c>
      <c r="P6" s="13">
        <f t="shared" ref="P6:P37" si="18">IF(G6-9&gt;0,G6/9,0)</f>
        <v>1.2222222222222223</v>
      </c>
      <c r="Q6" s="1">
        <f t="shared" ref="Q6:Q37" si="19">IF(E6&lt;=14-F6,1,0)</f>
        <v>0</v>
      </c>
    </row>
    <row r="7" spans="1:17" x14ac:dyDescent="0.25">
      <c r="A7" s="2" t="s">
        <v>47</v>
      </c>
      <c r="B7" s="25" t="s">
        <v>48</v>
      </c>
      <c r="C7" s="2" t="s">
        <v>49</v>
      </c>
      <c r="D7" s="14" t="s">
        <v>50</v>
      </c>
      <c r="E7" s="17">
        <v>6.2</v>
      </c>
      <c r="F7" s="17">
        <v>10</v>
      </c>
      <c r="G7" s="17">
        <v>11</v>
      </c>
      <c r="H7" s="28">
        <f t="shared" si="10"/>
        <v>83.941912594755777</v>
      </c>
      <c r="I7" s="10">
        <f t="shared" si="11"/>
        <v>17.178253963205442</v>
      </c>
      <c r="J7" s="10">
        <f t="shared" si="12"/>
        <v>3.0809392081582172</v>
      </c>
      <c r="K7" s="10">
        <f t="shared" si="13"/>
        <v>26.495219781239076</v>
      </c>
      <c r="L7" s="10">
        <f t="shared" si="14"/>
        <v>33.501564952059994</v>
      </c>
      <c r="M7" s="10">
        <f t="shared" si="15"/>
        <v>3.6859346900930472</v>
      </c>
      <c r="N7" s="11">
        <f t="shared" si="16"/>
        <v>1</v>
      </c>
      <c r="O7" s="12">
        <f t="shared" si="17"/>
        <v>1.6666666666666667</v>
      </c>
      <c r="P7" s="13">
        <f t="shared" si="18"/>
        <v>1.2222222222222223</v>
      </c>
      <c r="Q7" s="1">
        <f t="shared" si="19"/>
        <v>0</v>
      </c>
    </row>
    <row r="8" spans="1:17" x14ac:dyDescent="0.25">
      <c r="A8" s="14" t="s">
        <v>27</v>
      </c>
      <c r="B8" s="25" t="s">
        <v>28</v>
      </c>
      <c r="C8" s="14" t="s">
        <v>29</v>
      </c>
      <c r="D8" s="14" t="s">
        <v>30</v>
      </c>
      <c r="E8" s="17">
        <v>7.7</v>
      </c>
      <c r="F8" s="17">
        <v>9.4</v>
      </c>
      <c r="G8" s="17">
        <v>11.1</v>
      </c>
      <c r="H8" s="28">
        <f t="shared" si="10"/>
        <v>84.680672610253481</v>
      </c>
      <c r="I8" s="10">
        <f t="shared" si="11"/>
        <v>13.831840853490098</v>
      </c>
      <c r="J8" s="10">
        <f t="shared" si="12"/>
        <v>8.1235476873677843</v>
      </c>
      <c r="K8" s="10">
        <f t="shared" si="13"/>
        <v>23.864516824138786</v>
      </c>
      <c r="L8" s="10">
        <f t="shared" si="14"/>
        <v>35.001119805009225</v>
      </c>
      <c r="M8" s="10">
        <f t="shared" si="15"/>
        <v>3.8596474402475893</v>
      </c>
      <c r="N8" s="11">
        <f t="shared" si="16"/>
        <v>1.6999999999999993</v>
      </c>
      <c r="O8" s="12">
        <f t="shared" si="17"/>
        <v>1.5666666666666667</v>
      </c>
      <c r="P8" s="13">
        <f t="shared" si="18"/>
        <v>1.2333333333333334</v>
      </c>
      <c r="Q8" s="1">
        <f t="shared" si="19"/>
        <v>0</v>
      </c>
    </row>
    <row r="9" spans="1:17" x14ac:dyDescent="0.25">
      <c r="A9" s="2" t="s">
        <v>35</v>
      </c>
      <c r="B9" s="25" t="s">
        <v>36</v>
      </c>
      <c r="C9" s="2" t="s">
        <v>37</v>
      </c>
      <c r="D9" s="14" t="s">
        <v>38</v>
      </c>
      <c r="E9" s="17">
        <v>6.3</v>
      </c>
      <c r="F9" s="17">
        <v>9.5</v>
      </c>
      <c r="G9" s="17">
        <v>11</v>
      </c>
      <c r="H9" s="28">
        <f t="shared" si="10"/>
        <v>85.277131765786876</v>
      </c>
      <c r="I9" s="10">
        <f t="shared" si="11"/>
        <v>16.905583265376787</v>
      </c>
      <c r="J9" s="10">
        <f t="shared" si="12"/>
        <v>6.8853173917507782</v>
      </c>
      <c r="K9" s="10">
        <f t="shared" si="13"/>
        <v>24.298731466506268</v>
      </c>
      <c r="L9" s="10">
        <f t="shared" si="14"/>
        <v>33.501564952059994</v>
      </c>
      <c r="M9" s="10">
        <f t="shared" si="15"/>
        <v>3.6859346900930472</v>
      </c>
      <c r="N9" s="11">
        <f t="shared" si="16"/>
        <v>1.5</v>
      </c>
      <c r="O9" s="12">
        <f t="shared" si="17"/>
        <v>1.5833333333333333</v>
      </c>
      <c r="P9" s="13">
        <f t="shared" si="18"/>
        <v>1.2222222222222223</v>
      </c>
      <c r="Q9" s="1">
        <f t="shared" si="19"/>
        <v>0</v>
      </c>
    </row>
    <row r="10" spans="1:17" x14ac:dyDescent="0.25">
      <c r="A10" s="2" t="s">
        <v>75</v>
      </c>
      <c r="B10" s="25" t="s">
        <v>76</v>
      </c>
      <c r="C10" s="2" t="s">
        <v>77</v>
      </c>
      <c r="D10" s="14" t="s">
        <v>78</v>
      </c>
      <c r="E10" s="17">
        <v>4.9000000000000004</v>
      </c>
      <c r="F10" s="17">
        <v>9.9</v>
      </c>
      <c r="G10" s="17">
        <v>10.9</v>
      </c>
      <c r="H10" s="28">
        <f t="shared" si="10"/>
        <v>86.736007949527007</v>
      </c>
      <c r="I10" s="10">
        <f t="shared" si="11"/>
        <v>21.735749912627295</v>
      </c>
      <c r="J10" s="10">
        <f t="shared" si="12"/>
        <v>3.4036579907508981</v>
      </c>
      <c r="K10" s="10">
        <f t="shared" si="13"/>
        <v>26.053018200907243</v>
      </c>
      <c r="L10" s="10">
        <f t="shared" si="14"/>
        <v>32.023541543643496</v>
      </c>
      <c r="M10" s="10">
        <f t="shared" si="15"/>
        <v>3.5200403015980903</v>
      </c>
      <c r="N10" s="11">
        <f t="shared" si="16"/>
        <v>1</v>
      </c>
      <c r="O10" s="12">
        <f t="shared" si="17"/>
        <v>1.6500000000000001</v>
      </c>
      <c r="P10" s="13">
        <f t="shared" si="18"/>
        <v>1.2111111111111112</v>
      </c>
      <c r="Q10" s="1">
        <f t="shared" si="19"/>
        <v>0</v>
      </c>
    </row>
    <row r="11" spans="1:17" x14ac:dyDescent="0.25">
      <c r="A11" s="2" t="s">
        <v>59</v>
      </c>
      <c r="B11" s="25" t="s">
        <v>60</v>
      </c>
      <c r="C11" s="2" t="s">
        <v>61</v>
      </c>
      <c r="D11" s="14" t="s">
        <v>62</v>
      </c>
      <c r="E11" s="17">
        <v>7.1</v>
      </c>
      <c r="F11" s="17">
        <v>9.1999999999999993</v>
      </c>
      <c r="G11" s="17">
        <v>11.1</v>
      </c>
      <c r="H11" s="28">
        <f t="shared" si="10"/>
        <v>87.365674304133606</v>
      </c>
      <c r="I11" s="10">
        <f t="shared" si="11"/>
        <v>15.000728812939967</v>
      </c>
      <c r="J11" s="10">
        <f t="shared" si="12"/>
        <v>10.501954320741621</v>
      </c>
      <c r="K11" s="10">
        <f t="shared" si="13"/>
        <v>23.002223925195207</v>
      </c>
      <c r="L11" s="10">
        <f t="shared" si="14"/>
        <v>35.001119805009225</v>
      </c>
      <c r="M11" s="10">
        <f t="shared" si="15"/>
        <v>3.8596474402475893</v>
      </c>
      <c r="N11" s="11">
        <f t="shared" si="16"/>
        <v>1.9000000000000004</v>
      </c>
      <c r="O11" s="12">
        <f t="shared" si="17"/>
        <v>1.5333333333333332</v>
      </c>
      <c r="P11" s="13">
        <f t="shared" si="18"/>
        <v>1.2333333333333334</v>
      </c>
      <c r="Q11" s="1">
        <f t="shared" si="19"/>
        <v>0</v>
      </c>
    </row>
    <row r="12" spans="1:17" x14ac:dyDescent="0.25">
      <c r="A12" s="2" t="s">
        <v>83</v>
      </c>
      <c r="B12" s="25" t="s">
        <v>84</v>
      </c>
      <c r="C12" s="2" t="s">
        <v>85</v>
      </c>
      <c r="D12" s="14" t="s">
        <v>86</v>
      </c>
      <c r="E12" s="17">
        <v>5.4</v>
      </c>
      <c r="F12" s="17">
        <v>9.5</v>
      </c>
      <c r="G12" s="17">
        <v>11</v>
      </c>
      <c r="H12" s="28">
        <f t="shared" si="10"/>
        <v>88.559029423575751</v>
      </c>
      <c r="I12" s="10">
        <f t="shared" si="11"/>
        <v>19.723180476272915</v>
      </c>
      <c r="J12" s="10">
        <f t="shared" si="12"/>
        <v>7.3496178386435247</v>
      </c>
      <c r="K12" s="10">
        <f t="shared" si="13"/>
        <v>24.298731466506268</v>
      </c>
      <c r="L12" s="10">
        <f t="shared" si="14"/>
        <v>33.501564952059994</v>
      </c>
      <c r="M12" s="10">
        <f t="shared" si="15"/>
        <v>3.6859346900930472</v>
      </c>
      <c r="N12" s="11">
        <f t="shared" si="16"/>
        <v>1.5</v>
      </c>
      <c r="O12" s="12">
        <f t="shared" si="17"/>
        <v>1.5833333333333333</v>
      </c>
      <c r="P12" s="13">
        <f t="shared" si="18"/>
        <v>1.2222222222222223</v>
      </c>
      <c r="Q12" s="1">
        <f t="shared" si="19"/>
        <v>0</v>
      </c>
    </row>
    <row r="13" spans="1:17" x14ac:dyDescent="0.25">
      <c r="A13" s="2" t="s">
        <v>87</v>
      </c>
      <c r="B13" s="25" t="s">
        <v>88</v>
      </c>
      <c r="C13" s="2" t="s">
        <v>89</v>
      </c>
      <c r="D13" s="14" t="s">
        <v>90</v>
      </c>
      <c r="E13" s="17">
        <v>5.2</v>
      </c>
      <c r="F13" s="17">
        <v>9.6</v>
      </c>
      <c r="G13" s="17">
        <v>11</v>
      </c>
      <c r="H13" s="28">
        <f t="shared" si="10"/>
        <v>88.909533558556475</v>
      </c>
      <c r="I13" s="10">
        <f t="shared" si="11"/>
        <v>20.481764340744952</v>
      </c>
      <c r="J13" s="10">
        <f t="shared" si="12"/>
        <v>6.5054436085173126</v>
      </c>
      <c r="K13" s="10">
        <f t="shared" si="13"/>
        <v>24.734825967141173</v>
      </c>
      <c r="L13" s="10">
        <f t="shared" si="14"/>
        <v>33.501564952059994</v>
      </c>
      <c r="M13" s="10">
        <f t="shared" si="15"/>
        <v>3.6859346900930472</v>
      </c>
      <c r="N13" s="11">
        <f t="shared" si="16"/>
        <v>1.4000000000000004</v>
      </c>
      <c r="O13" s="12">
        <f t="shared" si="17"/>
        <v>1.5999999999999999</v>
      </c>
      <c r="P13" s="13">
        <f t="shared" si="18"/>
        <v>1.2222222222222223</v>
      </c>
      <c r="Q13" s="1">
        <f t="shared" si="19"/>
        <v>0</v>
      </c>
    </row>
    <row r="14" spans="1:17" x14ac:dyDescent="0.25">
      <c r="A14" s="2" t="s">
        <v>19</v>
      </c>
      <c r="B14" s="25" t="s">
        <v>20</v>
      </c>
      <c r="C14" s="2" t="s">
        <v>21</v>
      </c>
      <c r="D14" s="14" t="s">
        <v>22</v>
      </c>
      <c r="E14" s="17">
        <v>3</v>
      </c>
      <c r="F14" s="17">
        <v>9.8000000000000007</v>
      </c>
      <c r="G14" s="17">
        <v>10.4</v>
      </c>
      <c r="H14" s="28">
        <f t="shared" si="10"/>
        <v>89.609877211395045</v>
      </c>
      <c r="I14" s="10">
        <f t="shared" si="11"/>
        <v>35.501724857291251</v>
      </c>
      <c r="J14" s="10">
        <f t="shared" si="12"/>
        <v>1.5081691192910884</v>
      </c>
      <c r="K14" s="10">
        <f t="shared" si="13"/>
        <v>24.847519666333913</v>
      </c>
      <c r="L14" s="10">
        <f t="shared" si="14"/>
        <v>24.956396169552054</v>
      </c>
      <c r="M14" s="10">
        <f t="shared" si="15"/>
        <v>2.7960673989267386</v>
      </c>
      <c r="N14" s="11">
        <f t="shared" si="16"/>
        <v>0.59999999999999964</v>
      </c>
      <c r="O14" s="12">
        <f t="shared" si="17"/>
        <v>1.6333333333333335</v>
      </c>
      <c r="P14" s="13">
        <f t="shared" si="18"/>
        <v>1.1555555555555557</v>
      </c>
      <c r="Q14" s="1">
        <f t="shared" si="19"/>
        <v>1</v>
      </c>
    </row>
    <row r="15" spans="1:17" x14ac:dyDescent="0.25">
      <c r="A15" s="2" t="s">
        <v>123</v>
      </c>
      <c r="B15" s="25" t="s">
        <v>124</v>
      </c>
      <c r="C15" s="2" t="s">
        <v>125</v>
      </c>
      <c r="D15" s="14" t="s">
        <v>126</v>
      </c>
      <c r="E15" s="17">
        <v>6.1</v>
      </c>
      <c r="F15" s="17">
        <v>9.8000000000000007</v>
      </c>
      <c r="G15" s="17">
        <v>11.2</v>
      </c>
      <c r="H15" s="28">
        <f t="shared" si="10"/>
        <v>89.716084212773808</v>
      </c>
      <c r="I15" s="10">
        <f t="shared" si="11"/>
        <v>17.459864683913732</v>
      </c>
      <c r="J15" s="10">
        <f t="shared" si="12"/>
        <v>6.0803519350633195</v>
      </c>
      <c r="K15" s="10">
        <f t="shared" si="13"/>
        <v>25.612114471210763</v>
      </c>
      <c r="L15" s="10">
        <f t="shared" si="14"/>
        <v>36.522206102491189</v>
      </c>
      <c r="M15" s="10">
        <f t="shared" si="15"/>
        <v>4.0415470200948116</v>
      </c>
      <c r="N15" s="11">
        <f t="shared" si="16"/>
        <v>1.3999999999999986</v>
      </c>
      <c r="O15" s="12">
        <f t="shared" si="17"/>
        <v>1.6333333333333335</v>
      </c>
      <c r="P15" s="13">
        <f t="shared" si="18"/>
        <v>1.2444444444444445</v>
      </c>
      <c r="Q15" s="1">
        <f t="shared" si="19"/>
        <v>0</v>
      </c>
    </row>
    <row r="16" spans="1:17" x14ac:dyDescent="0.25">
      <c r="A16" s="2" t="s">
        <v>103</v>
      </c>
      <c r="B16" s="25" t="s">
        <v>104</v>
      </c>
      <c r="C16" s="2" t="s">
        <v>105</v>
      </c>
      <c r="D16" s="14" t="s">
        <v>106</v>
      </c>
      <c r="E16" s="17">
        <v>8.1</v>
      </c>
      <c r="F16" s="17">
        <v>9.1</v>
      </c>
      <c r="G16" s="17">
        <v>11.3</v>
      </c>
      <c r="H16" s="28">
        <f t="shared" si="10"/>
        <v>91.336270336444855</v>
      </c>
      <c r="I16" s="10">
        <f t="shared" si="11"/>
        <v>13.148786984181946</v>
      </c>
      <c r="J16" s="10">
        <f t="shared" si="12"/>
        <v>13.316262273822511</v>
      </c>
      <c r="K16" s="10">
        <f t="shared" si="13"/>
        <v>22.574377970903154</v>
      </c>
      <c r="L16" s="10">
        <f t="shared" si="14"/>
        <v>38.064823844505916</v>
      </c>
      <c r="M16" s="10">
        <f t="shared" si="15"/>
        <v>4.2320192630313231</v>
      </c>
      <c r="N16" s="11">
        <f t="shared" si="16"/>
        <v>2.2000000000000011</v>
      </c>
      <c r="O16" s="12">
        <f t="shared" si="17"/>
        <v>1.5166666666666666</v>
      </c>
      <c r="P16" s="13">
        <f t="shared" si="18"/>
        <v>1.2555555555555555</v>
      </c>
      <c r="Q16" s="1">
        <f t="shared" si="19"/>
        <v>0</v>
      </c>
    </row>
    <row r="17" spans="1:17" x14ac:dyDescent="0.25">
      <c r="A17" s="2" t="s">
        <v>174</v>
      </c>
      <c r="B17" s="25" t="s">
        <v>175</v>
      </c>
      <c r="C17" s="2" t="s">
        <v>176</v>
      </c>
      <c r="D17" s="14" t="s">
        <v>177</v>
      </c>
      <c r="E17" s="17">
        <v>11.5</v>
      </c>
      <c r="F17" s="17">
        <v>9.9</v>
      </c>
      <c r="G17" s="17">
        <v>11.7</v>
      </c>
      <c r="H17" s="28">
        <f t="shared" si="10"/>
        <v>92.537977824041974</v>
      </c>
      <c r="I17" s="10">
        <f t="shared" si="11"/>
        <v>9.2613195279890217</v>
      </c>
      <c r="J17" s="10">
        <f t="shared" si="12"/>
        <v>7.6850245906952681</v>
      </c>
      <c r="K17" s="10">
        <f t="shared" si="13"/>
        <v>26.053018200907243</v>
      </c>
      <c r="L17" s="10">
        <f t="shared" si="14"/>
        <v>44.45060925789209</v>
      </c>
      <c r="M17" s="10">
        <f t="shared" si="15"/>
        <v>5.0880062465583453</v>
      </c>
      <c r="N17" s="11">
        <f t="shared" si="16"/>
        <v>1.7999999999999989</v>
      </c>
      <c r="O17" s="12">
        <f t="shared" si="17"/>
        <v>1.6500000000000001</v>
      </c>
      <c r="P17" s="13">
        <f t="shared" si="18"/>
        <v>1.2999999999999998</v>
      </c>
      <c r="Q17" s="1">
        <f t="shared" si="19"/>
        <v>0</v>
      </c>
    </row>
    <row r="18" spans="1:17" x14ac:dyDescent="0.25">
      <c r="A18" s="14" t="s">
        <v>55</v>
      </c>
      <c r="B18" s="25" t="s">
        <v>56</v>
      </c>
      <c r="C18" s="14" t="s">
        <v>57</v>
      </c>
      <c r="D18" s="14" t="s">
        <v>58</v>
      </c>
      <c r="E18" s="17">
        <v>5.7</v>
      </c>
      <c r="F18" s="17">
        <v>8.5</v>
      </c>
      <c r="G18" s="17">
        <v>10.9</v>
      </c>
      <c r="H18" s="28">
        <f t="shared" si="10"/>
        <v>92.677932202412265</v>
      </c>
      <c r="I18" s="10">
        <f t="shared" si="11"/>
        <v>18.685118345942762</v>
      </c>
      <c r="J18" s="10">
        <f t="shared" si="12"/>
        <v>18.389266106040594</v>
      </c>
      <c r="K18" s="10">
        <f t="shared" si="13"/>
        <v>20.059965905187326</v>
      </c>
      <c r="L18" s="10">
        <f t="shared" si="14"/>
        <v>32.023541543643496</v>
      </c>
      <c r="M18" s="10">
        <f t="shared" si="15"/>
        <v>3.5200403015980903</v>
      </c>
      <c r="N18" s="11">
        <f t="shared" si="16"/>
        <v>2.4000000000000004</v>
      </c>
      <c r="O18" s="12">
        <f t="shared" si="17"/>
        <v>1.4166666666666667</v>
      </c>
      <c r="P18" s="13">
        <f t="shared" si="18"/>
        <v>1.2111111111111112</v>
      </c>
      <c r="Q18" s="1">
        <f t="shared" si="19"/>
        <v>0</v>
      </c>
    </row>
    <row r="19" spans="1:17" x14ac:dyDescent="0.25">
      <c r="A19" s="2" t="s">
        <v>150</v>
      </c>
      <c r="B19" s="25" t="s">
        <v>151</v>
      </c>
      <c r="C19" s="2" t="s">
        <v>152</v>
      </c>
      <c r="D19" s="14" t="s">
        <v>153</v>
      </c>
      <c r="E19" s="17">
        <v>5.4</v>
      </c>
      <c r="F19" s="17">
        <v>9.6999999999999993</v>
      </c>
      <c r="G19" s="17">
        <v>11.2</v>
      </c>
      <c r="H19" s="28">
        <f t="shared" si="10"/>
        <v>92.809218700337553</v>
      </c>
      <c r="I19" s="10">
        <f t="shared" si="11"/>
        <v>19.723180476272915</v>
      </c>
      <c r="J19" s="10">
        <f t="shared" si="12"/>
        <v>7.3496178386435247</v>
      </c>
      <c r="K19" s="10">
        <f t="shared" si="13"/>
        <v>25.172667262835112</v>
      </c>
      <c r="L19" s="10">
        <f t="shared" si="14"/>
        <v>36.522206102491189</v>
      </c>
      <c r="M19" s="10">
        <f t="shared" si="15"/>
        <v>4.0415470200948116</v>
      </c>
      <c r="N19" s="11">
        <f t="shared" si="16"/>
        <v>1.5</v>
      </c>
      <c r="O19" s="12">
        <f t="shared" si="17"/>
        <v>1.6166666666666665</v>
      </c>
      <c r="P19" s="13">
        <f t="shared" si="18"/>
        <v>1.2444444444444445</v>
      </c>
      <c r="Q19" s="1">
        <f t="shared" si="19"/>
        <v>0</v>
      </c>
    </row>
    <row r="20" spans="1:17" x14ac:dyDescent="0.25">
      <c r="A20" s="2" t="s">
        <v>71</v>
      </c>
      <c r="B20" s="25" t="s">
        <v>72</v>
      </c>
      <c r="C20" s="2" t="s">
        <v>73</v>
      </c>
      <c r="D20" s="14" t="s">
        <v>74</v>
      </c>
      <c r="E20" s="17">
        <v>2.9</v>
      </c>
      <c r="F20" s="17">
        <v>9.8000000000000007</v>
      </c>
      <c r="G20" s="17">
        <v>10.5</v>
      </c>
      <c r="H20" s="28">
        <f t="shared" si="10"/>
        <v>92.834745141198269</v>
      </c>
      <c r="I20" s="10">
        <f t="shared" si="11"/>
        <v>36.725922266163366</v>
      </c>
      <c r="J20" s="10">
        <f t="shared" si="12"/>
        <v>2.082459027909894</v>
      </c>
      <c r="K20" s="10">
        <f t="shared" si="13"/>
        <v>24.77175949612954</v>
      </c>
      <c r="L20" s="10">
        <f t="shared" si="14"/>
        <v>26.326762355304865</v>
      </c>
      <c r="M20" s="10">
        <f t="shared" si="15"/>
        <v>2.9278419956906014</v>
      </c>
      <c r="N20" s="11">
        <f t="shared" si="16"/>
        <v>0.69999999999999929</v>
      </c>
      <c r="O20" s="12">
        <f t="shared" si="17"/>
        <v>1.6333333333333335</v>
      </c>
      <c r="P20" s="13">
        <f t="shared" si="18"/>
        <v>1.1666666666666667</v>
      </c>
      <c r="Q20" s="1">
        <f t="shared" si="19"/>
        <v>1</v>
      </c>
    </row>
    <row r="21" spans="1:17" x14ac:dyDescent="0.25">
      <c r="A21" s="2" t="s">
        <v>139</v>
      </c>
      <c r="B21" s="25" t="s">
        <v>140</v>
      </c>
      <c r="C21" s="2" t="s">
        <v>141</v>
      </c>
      <c r="D21" s="14" t="s">
        <v>142</v>
      </c>
      <c r="E21" s="17">
        <v>4.2</v>
      </c>
      <c r="F21" s="17">
        <v>9.5</v>
      </c>
      <c r="G21" s="17">
        <v>11</v>
      </c>
      <c r="H21" s="28">
        <f t="shared" si="10"/>
        <v>94.868721121398536</v>
      </c>
      <c r="I21" s="10">
        <f t="shared" si="11"/>
        <v>25.358374898065179</v>
      </c>
      <c r="J21" s="10">
        <f t="shared" si="12"/>
        <v>8.1746510930243215</v>
      </c>
      <c r="K21" s="10">
        <f t="shared" si="13"/>
        <v>24.148195488155988</v>
      </c>
      <c r="L21" s="10">
        <f t="shared" si="14"/>
        <v>33.501564952059994</v>
      </c>
      <c r="M21" s="10">
        <f t="shared" si="15"/>
        <v>3.6859346900930472</v>
      </c>
      <c r="N21" s="11">
        <f t="shared" si="16"/>
        <v>1.5</v>
      </c>
      <c r="O21" s="12">
        <f t="shared" si="17"/>
        <v>1.5833333333333333</v>
      </c>
      <c r="P21" s="13">
        <f t="shared" si="18"/>
        <v>1.2222222222222223</v>
      </c>
      <c r="Q21" s="1">
        <f t="shared" si="19"/>
        <v>1</v>
      </c>
    </row>
    <row r="22" spans="1:17" x14ac:dyDescent="0.25">
      <c r="A22" s="2" t="s">
        <v>196</v>
      </c>
      <c r="B22" s="25" t="s">
        <v>197</v>
      </c>
      <c r="C22" s="2" t="s">
        <v>198</v>
      </c>
      <c r="D22" s="14" t="s">
        <v>199</v>
      </c>
      <c r="E22" s="17">
        <v>11.1</v>
      </c>
      <c r="F22" s="17">
        <v>10</v>
      </c>
      <c r="G22" s="17">
        <v>11.8</v>
      </c>
      <c r="H22" s="28">
        <f t="shared" si="10"/>
        <v>95.320027320626593</v>
      </c>
      <c r="I22" s="10">
        <f t="shared" si="11"/>
        <v>9.5950607722408794</v>
      </c>
      <c r="J22" s="10">
        <f t="shared" si="12"/>
        <v>7.8010659511435891</v>
      </c>
      <c r="K22" s="10">
        <f t="shared" si="13"/>
        <v>26.495219781239076</v>
      </c>
      <c r="L22" s="10">
        <f t="shared" si="14"/>
        <v>46.1008842225705</v>
      </c>
      <c r="M22" s="10">
        <f t="shared" si="15"/>
        <v>5.3277965934325513</v>
      </c>
      <c r="N22" s="11">
        <f t="shared" si="16"/>
        <v>1.8000000000000007</v>
      </c>
      <c r="O22" s="12">
        <f t="shared" si="17"/>
        <v>1.6666666666666667</v>
      </c>
      <c r="P22" s="13">
        <f t="shared" si="18"/>
        <v>1.3111111111111111</v>
      </c>
      <c r="Q22" s="1">
        <f t="shared" si="19"/>
        <v>0</v>
      </c>
    </row>
    <row r="23" spans="1:17" x14ac:dyDescent="0.25">
      <c r="A23" s="2" t="s">
        <v>95</v>
      </c>
      <c r="B23" s="25" t="s">
        <v>96</v>
      </c>
      <c r="C23" s="2" t="s">
        <v>97</v>
      </c>
      <c r="D23" s="14" t="s">
        <v>98</v>
      </c>
      <c r="E23" s="17">
        <v>2.9</v>
      </c>
      <c r="F23" s="17">
        <v>9.5</v>
      </c>
      <c r="G23" s="17">
        <v>10.6</v>
      </c>
      <c r="H23" s="28">
        <f t="shared" si="10"/>
        <v>96.008680937395496</v>
      </c>
      <c r="I23" s="10">
        <f t="shared" si="11"/>
        <v>36.725922266163366</v>
      </c>
      <c r="J23" s="10">
        <f t="shared" si="12"/>
        <v>5.1423988240223979</v>
      </c>
      <c r="K23" s="10">
        <f t="shared" si="13"/>
        <v>23.355872923749363</v>
      </c>
      <c r="L23" s="10">
        <f t="shared" si="14"/>
        <v>27.718659985590413</v>
      </c>
      <c r="M23" s="10">
        <f t="shared" si="15"/>
        <v>3.0658269378699581</v>
      </c>
      <c r="N23" s="11">
        <f t="shared" si="16"/>
        <v>1.0999999999999996</v>
      </c>
      <c r="O23" s="12">
        <f t="shared" si="17"/>
        <v>1.5833333333333333</v>
      </c>
      <c r="P23" s="13">
        <f t="shared" si="18"/>
        <v>1.1777777777777778</v>
      </c>
      <c r="Q23" s="1">
        <f t="shared" si="19"/>
        <v>1</v>
      </c>
    </row>
    <row r="24" spans="1:17" x14ac:dyDescent="0.25">
      <c r="A24" s="2" t="s">
        <v>143</v>
      </c>
      <c r="B24" s="25" t="s">
        <v>144</v>
      </c>
      <c r="C24" s="2" t="s">
        <v>145</v>
      </c>
      <c r="D24" s="14" t="s">
        <v>134</v>
      </c>
      <c r="E24" s="17">
        <v>4.2</v>
      </c>
      <c r="F24" s="17">
        <v>9.3000000000000007</v>
      </c>
      <c r="G24" s="17">
        <v>11</v>
      </c>
      <c r="H24" s="28">
        <f t="shared" si="10"/>
        <v>96.241864472693877</v>
      </c>
      <c r="I24" s="10">
        <f t="shared" si="11"/>
        <v>25.358374898065179</v>
      </c>
      <c r="J24" s="10">
        <f t="shared" si="12"/>
        <v>10.499885181706787</v>
      </c>
      <c r="K24" s="10">
        <f t="shared" si="13"/>
        <v>23.196104750768868</v>
      </c>
      <c r="L24" s="10">
        <f t="shared" si="14"/>
        <v>33.501564952059994</v>
      </c>
      <c r="M24" s="10">
        <f t="shared" si="15"/>
        <v>3.6859346900930472</v>
      </c>
      <c r="N24" s="11">
        <f t="shared" si="16"/>
        <v>1.6999999999999993</v>
      </c>
      <c r="O24" s="12">
        <f t="shared" si="17"/>
        <v>1.55</v>
      </c>
      <c r="P24" s="13">
        <f t="shared" si="18"/>
        <v>1.2222222222222223</v>
      </c>
      <c r="Q24" s="1">
        <f t="shared" si="19"/>
        <v>1</v>
      </c>
    </row>
    <row r="25" spans="1:17" x14ac:dyDescent="0.25">
      <c r="A25" s="2" t="s">
        <v>91</v>
      </c>
      <c r="B25" s="25" t="s">
        <v>92</v>
      </c>
      <c r="C25" s="2" t="s">
        <v>93</v>
      </c>
      <c r="D25" s="14" t="s">
        <v>94</v>
      </c>
      <c r="E25" s="17">
        <v>3</v>
      </c>
      <c r="F25" s="17">
        <v>9</v>
      </c>
      <c r="G25" s="17">
        <v>10.6</v>
      </c>
      <c r="H25" s="28">
        <f t="shared" si="10"/>
        <v>98.163817195796128</v>
      </c>
      <c r="I25" s="10">
        <f t="shared" si="11"/>
        <v>35.501724857291251</v>
      </c>
      <c r="J25" s="10">
        <f t="shared" si="12"/>
        <v>10.724758181625523</v>
      </c>
      <c r="K25" s="10">
        <f t="shared" si="13"/>
        <v>21.152847233418989</v>
      </c>
      <c r="L25" s="10">
        <f t="shared" si="14"/>
        <v>27.718659985590413</v>
      </c>
      <c r="M25" s="10">
        <f t="shared" si="15"/>
        <v>3.0658269378699581</v>
      </c>
      <c r="N25" s="11">
        <f t="shared" si="16"/>
        <v>1.5999999999999996</v>
      </c>
      <c r="O25" s="12">
        <f t="shared" si="17"/>
        <v>1.5</v>
      </c>
      <c r="P25" s="13">
        <f t="shared" si="18"/>
        <v>1.1777777777777778</v>
      </c>
      <c r="Q25" s="1">
        <f t="shared" si="19"/>
        <v>1</v>
      </c>
    </row>
    <row r="26" spans="1:17" x14ac:dyDescent="0.25">
      <c r="A26" s="2" t="s">
        <v>51</v>
      </c>
      <c r="B26" s="25" t="s">
        <v>52</v>
      </c>
      <c r="C26" s="2" t="s">
        <v>53</v>
      </c>
      <c r="D26" s="14" t="s">
        <v>54</v>
      </c>
      <c r="E26" s="17">
        <v>1.4</v>
      </c>
      <c r="F26" s="17">
        <v>7.9</v>
      </c>
      <c r="G26" s="17">
        <v>8.9</v>
      </c>
      <c r="H26" s="28">
        <f t="shared" si="10"/>
        <v>98.718922172642763</v>
      </c>
      <c r="I26" s="10">
        <f t="shared" si="11"/>
        <v>76.075124694195537</v>
      </c>
      <c r="J26" s="10">
        <f t="shared" si="12"/>
        <v>5.7845280684896432</v>
      </c>
      <c r="K26" s="10">
        <f t="shared" si="13"/>
        <v>15.457916125254087</v>
      </c>
      <c r="L26" s="10">
        <f t="shared" si="14"/>
        <v>0</v>
      </c>
      <c r="M26" s="10">
        <f t="shared" si="15"/>
        <v>1.4013532847034931</v>
      </c>
      <c r="N26" s="11">
        <f t="shared" si="16"/>
        <v>1</v>
      </c>
      <c r="O26" s="12">
        <f t="shared" si="17"/>
        <v>1.3166666666666667</v>
      </c>
      <c r="P26" s="13">
        <f t="shared" si="18"/>
        <v>0</v>
      </c>
      <c r="Q26" s="1">
        <f t="shared" si="19"/>
        <v>1</v>
      </c>
    </row>
    <row r="27" spans="1:17" x14ac:dyDescent="0.25">
      <c r="A27" s="2" t="s">
        <v>162</v>
      </c>
      <c r="B27" s="25" t="s">
        <v>163</v>
      </c>
      <c r="C27" s="2" t="s">
        <v>164</v>
      </c>
      <c r="D27" s="14" t="s">
        <v>165</v>
      </c>
      <c r="E27" s="17">
        <v>9.1</v>
      </c>
      <c r="F27" s="17">
        <v>8.6999999999999993</v>
      </c>
      <c r="G27" s="17">
        <v>11.5</v>
      </c>
      <c r="H27" s="28">
        <f t="shared" si="10"/>
        <v>98.979207882816922</v>
      </c>
      <c r="I27" s="10">
        <f t="shared" si="11"/>
        <v>11.703865337568544</v>
      </c>
      <c r="J27" s="10">
        <f t="shared" si="12"/>
        <v>20.532926590903273</v>
      </c>
      <c r="K27" s="10">
        <f t="shared" si="13"/>
        <v>20.887445444639773</v>
      </c>
      <c r="L27" s="10">
        <f t="shared" si="14"/>
        <v>41.214653662133529</v>
      </c>
      <c r="M27" s="10">
        <f t="shared" si="15"/>
        <v>4.6403168475717917</v>
      </c>
      <c r="N27" s="11">
        <f t="shared" si="16"/>
        <v>2.8000000000000007</v>
      </c>
      <c r="O27" s="12">
        <f t="shared" si="17"/>
        <v>1.45</v>
      </c>
      <c r="P27" s="13">
        <f t="shared" si="18"/>
        <v>1.2777777777777777</v>
      </c>
      <c r="Q27" s="1">
        <f t="shared" si="19"/>
        <v>0</v>
      </c>
    </row>
    <row r="28" spans="1:17" x14ac:dyDescent="0.25">
      <c r="A28" s="2" t="s">
        <v>79</v>
      </c>
      <c r="B28" s="25" t="s">
        <v>80</v>
      </c>
      <c r="C28" s="2" t="s">
        <v>81</v>
      </c>
      <c r="D28" s="14" t="s">
        <v>82</v>
      </c>
      <c r="E28" s="17">
        <v>2.1</v>
      </c>
      <c r="F28" s="17">
        <v>10</v>
      </c>
      <c r="G28" s="17">
        <v>10.1</v>
      </c>
      <c r="H28" s="28">
        <f t="shared" si="10"/>
        <v>99.176442031431975</v>
      </c>
      <c r="I28" s="10">
        <f t="shared" si="11"/>
        <v>50.716749796130358</v>
      </c>
      <c r="J28" s="10">
        <f t="shared" si="12"/>
        <v>4.8721726786637658E-2</v>
      </c>
      <c r="K28" s="10">
        <f t="shared" si="13"/>
        <v>25.001211329496588</v>
      </c>
      <c r="L28" s="10">
        <f t="shared" si="14"/>
        <v>20.974486279490012</v>
      </c>
      <c r="M28" s="10">
        <f t="shared" si="15"/>
        <v>2.4352728995283894</v>
      </c>
      <c r="N28" s="11">
        <f t="shared" si="16"/>
        <v>9.9999999999999645E-2</v>
      </c>
      <c r="O28" s="12">
        <f t="shared" si="17"/>
        <v>1.6666666666666667</v>
      </c>
      <c r="P28" s="13">
        <f t="shared" si="18"/>
        <v>1.1222222222222222</v>
      </c>
      <c r="Q28" s="1">
        <f t="shared" si="19"/>
        <v>1</v>
      </c>
    </row>
    <row r="29" spans="1:17" x14ac:dyDescent="0.25">
      <c r="A29" s="2" t="s">
        <v>200</v>
      </c>
      <c r="B29" s="25" t="s">
        <v>201</v>
      </c>
      <c r="C29" s="2" t="s">
        <v>202</v>
      </c>
      <c r="D29" s="14" t="s">
        <v>203</v>
      </c>
      <c r="E29" s="17">
        <v>5.9</v>
      </c>
      <c r="F29" s="17">
        <v>9.6999999999999993</v>
      </c>
      <c r="G29" s="17">
        <v>11.5</v>
      </c>
      <c r="H29" s="28">
        <f t="shared" si="10"/>
        <v>99.273408491206141</v>
      </c>
      <c r="I29" s="10">
        <f t="shared" si="11"/>
        <v>18.051724503707415</v>
      </c>
      <c r="J29" s="10">
        <f t="shared" si="12"/>
        <v>10.194046214958288</v>
      </c>
      <c r="K29" s="10">
        <f t="shared" si="13"/>
        <v>25.172667262835112</v>
      </c>
      <c r="L29" s="10">
        <f t="shared" si="14"/>
        <v>41.214653662133529</v>
      </c>
      <c r="M29" s="10">
        <f t="shared" si="15"/>
        <v>4.6403168475717917</v>
      </c>
      <c r="N29" s="11">
        <f t="shared" si="16"/>
        <v>1.8000000000000007</v>
      </c>
      <c r="O29" s="12">
        <f t="shared" si="17"/>
        <v>1.6166666666666665</v>
      </c>
      <c r="P29" s="13">
        <f t="shared" si="18"/>
        <v>1.2777777777777777</v>
      </c>
      <c r="Q29" s="1">
        <f t="shared" si="19"/>
        <v>0</v>
      </c>
    </row>
    <row r="30" spans="1:17" x14ac:dyDescent="0.25">
      <c r="A30" s="2" t="s">
        <v>107</v>
      </c>
      <c r="B30" s="25" t="s">
        <v>108</v>
      </c>
      <c r="C30" s="2" t="s">
        <v>109</v>
      </c>
      <c r="D30" s="14" t="s">
        <v>110</v>
      </c>
      <c r="E30" s="17">
        <v>6.7</v>
      </c>
      <c r="F30" s="17">
        <v>8.1</v>
      </c>
      <c r="G30" s="17">
        <v>11.1</v>
      </c>
      <c r="H30" s="28">
        <f t="shared" si="10"/>
        <v>100.03018576153355</v>
      </c>
      <c r="I30" s="10">
        <f t="shared" si="11"/>
        <v>15.896294712219962</v>
      </c>
      <c r="J30" s="10">
        <f t="shared" si="12"/>
        <v>26.832828900812935</v>
      </c>
      <c r="K30" s="10">
        <f t="shared" si="13"/>
        <v>18.440294903243839</v>
      </c>
      <c r="L30" s="10">
        <f t="shared" si="14"/>
        <v>35.001119805009225</v>
      </c>
      <c r="M30" s="10">
        <f t="shared" si="15"/>
        <v>3.8596474402475893</v>
      </c>
      <c r="N30" s="11">
        <f t="shared" si="16"/>
        <v>3</v>
      </c>
      <c r="O30" s="12">
        <f t="shared" si="17"/>
        <v>1.3499999999999999</v>
      </c>
      <c r="P30" s="13">
        <f t="shared" si="18"/>
        <v>1.2333333333333334</v>
      </c>
      <c r="Q30" s="1">
        <f t="shared" si="19"/>
        <v>0</v>
      </c>
    </row>
    <row r="31" spans="1:17" x14ac:dyDescent="0.25">
      <c r="A31" s="2" t="s">
        <v>43</v>
      </c>
      <c r="B31" s="25" t="s">
        <v>44</v>
      </c>
      <c r="C31" s="2" t="s">
        <v>45</v>
      </c>
      <c r="D31" s="14" t="s">
        <v>46</v>
      </c>
      <c r="E31" s="17">
        <v>2</v>
      </c>
      <c r="F31" s="17">
        <v>9.1</v>
      </c>
      <c r="G31" s="17">
        <v>10</v>
      </c>
      <c r="H31" s="28">
        <f t="shared" si="10"/>
        <v>100.12121226858157</v>
      </c>
      <c r="I31" s="10">
        <f t="shared" si="11"/>
        <v>53.252587285936876</v>
      </c>
      <c r="J31" s="10">
        <f t="shared" si="12"/>
        <v>4.028819615063953</v>
      </c>
      <c r="K31" s="10">
        <f t="shared" si="13"/>
        <v>20.823891931724074</v>
      </c>
      <c r="L31" s="10">
        <f t="shared" si="14"/>
        <v>19.690245871868147</v>
      </c>
      <c r="M31" s="10">
        <f t="shared" si="15"/>
        <v>2.3256675639885351</v>
      </c>
      <c r="N31" s="11">
        <f t="shared" si="16"/>
        <v>0.90000000000000036</v>
      </c>
      <c r="O31" s="15">
        <f t="shared" si="17"/>
        <v>1.5166666666666666</v>
      </c>
      <c r="P31" s="12">
        <f t="shared" si="18"/>
        <v>1.1111111111111112</v>
      </c>
      <c r="Q31" s="1">
        <f t="shared" si="19"/>
        <v>1</v>
      </c>
    </row>
    <row r="32" spans="1:17" x14ac:dyDescent="0.25">
      <c r="A32" s="2" t="s">
        <v>146</v>
      </c>
      <c r="B32" s="25" t="s">
        <v>147</v>
      </c>
      <c r="C32" s="2" t="s">
        <v>148</v>
      </c>
      <c r="D32" s="14" t="s">
        <v>149</v>
      </c>
      <c r="E32" s="17">
        <v>3.1</v>
      </c>
      <c r="F32" s="17">
        <v>9.3000000000000007</v>
      </c>
      <c r="G32" s="17">
        <v>10.8</v>
      </c>
      <c r="H32" s="28">
        <f t="shared" si="10"/>
        <v>100.15148554574844</v>
      </c>
      <c r="I32" s="10">
        <f t="shared" si="11"/>
        <v>34.356507926410885</v>
      </c>
      <c r="J32" s="10">
        <f t="shared" si="12"/>
        <v>9.296117662755389</v>
      </c>
      <c r="K32" s="10">
        <f t="shared" si="13"/>
        <v>22.570197986299601</v>
      </c>
      <c r="L32" s="10">
        <f t="shared" si="14"/>
        <v>30.567049579759743</v>
      </c>
      <c r="M32" s="10">
        <f t="shared" si="15"/>
        <v>3.3616123905228257</v>
      </c>
      <c r="N32" s="11">
        <f t="shared" si="16"/>
        <v>1.5</v>
      </c>
      <c r="O32" s="12">
        <f t="shared" si="17"/>
        <v>1.55</v>
      </c>
      <c r="P32" s="13">
        <f t="shared" si="18"/>
        <v>1.2000000000000002</v>
      </c>
      <c r="Q32" s="1">
        <f t="shared" si="19"/>
        <v>1</v>
      </c>
    </row>
    <row r="33" spans="1:17" x14ac:dyDescent="0.25">
      <c r="A33" s="2" t="s">
        <v>127</v>
      </c>
      <c r="B33" s="25" t="s">
        <v>128</v>
      </c>
      <c r="C33" s="2" t="s">
        <v>129</v>
      </c>
      <c r="D33" s="14" t="s">
        <v>130</v>
      </c>
      <c r="E33" s="17">
        <v>1.2</v>
      </c>
      <c r="F33" s="17">
        <v>4.4000000000000004</v>
      </c>
      <c r="G33" s="17">
        <v>5.8</v>
      </c>
      <c r="H33" s="28">
        <f t="shared" si="10"/>
        <v>101.19268651093486</v>
      </c>
      <c r="I33" s="10">
        <f t="shared" si="11"/>
        <v>88.754312143228134</v>
      </c>
      <c r="J33" s="10">
        <f t="shared" si="12"/>
        <v>12.102213128654444</v>
      </c>
      <c r="K33" s="10">
        <f t="shared" si="13"/>
        <v>0</v>
      </c>
      <c r="L33" s="10">
        <f t="shared" si="14"/>
        <v>0</v>
      </c>
      <c r="M33" s="10">
        <f t="shared" si="15"/>
        <v>0.33616123905228296</v>
      </c>
      <c r="N33" s="11">
        <f t="shared" si="16"/>
        <v>1.3999999999999995</v>
      </c>
      <c r="O33" s="12">
        <f t="shared" si="17"/>
        <v>0</v>
      </c>
      <c r="P33" s="13">
        <f t="shared" si="18"/>
        <v>0</v>
      </c>
      <c r="Q33" s="1">
        <f t="shared" si="19"/>
        <v>1</v>
      </c>
    </row>
    <row r="34" spans="1:17" x14ac:dyDescent="0.25">
      <c r="A34" s="2" t="s">
        <v>23</v>
      </c>
      <c r="B34" s="25" t="s">
        <v>24</v>
      </c>
      <c r="C34" s="2" t="s">
        <v>25</v>
      </c>
      <c r="D34" s="14" t="s">
        <v>26</v>
      </c>
      <c r="E34" s="17">
        <v>1.8</v>
      </c>
      <c r="F34" s="17">
        <v>8.1999999999999993</v>
      </c>
      <c r="G34" s="17">
        <v>9.6</v>
      </c>
      <c r="H34" s="28">
        <f t="shared" si="10"/>
        <v>103.021951886667</v>
      </c>
      <c r="I34" s="10">
        <f t="shared" si="11"/>
        <v>59.169541428818746</v>
      </c>
      <c r="J34" s="10">
        <f t="shared" si="12"/>
        <v>10.193411019646463</v>
      </c>
      <c r="K34" s="10">
        <f t="shared" si="13"/>
        <v>16.955994728139505</v>
      </c>
      <c r="L34" s="10">
        <f t="shared" si="14"/>
        <v>14.768598686708023</v>
      </c>
      <c r="M34" s="10">
        <f t="shared" si="15"/>
        <v>1.9344060233542684</v>
      </c>
      <c r="N34" s="11">
        <f t="shared" si="16"/>
        <v>1.4000000000000004</v>
      </c>
      <c r="O34" s="12">
        <f t="shared" si="17"/>
        <v>1.3666666666666665</v>
      </c>
      <c r="P34" s="13">
        <f t="shared" si="18"/>
        <v>1.0666666666666667</v>
      </c>
      <c r="Q34" s="1">
        <f t="shared" si="19"/>
        <v>1</v>
      </c>
    </row>
    <row r="35" spans="1:17" x14ac:dyDescent="0.25">
      <c r="A35" s="2" t="s">
        <v>67</v>
      </c>
      <c r="B35" s="25" t="s">
        <v>68</v>
      </c>
      <c r="C35" s="2" t="s">
        <v>69</v>
      </c>
      <c r="D35" s="14" t="s">
        <v>70</v>
      </c>
      <c r="E35" s="17">
        <v>1.7</v>
      </c>
      <c r="F35" s="17">
        <v>9.6</v>
      </c>
      <c r="G35" s="17">
        <v>9.6999999999999993</v>
      </c>
      <c r="H35" s="28">
        <f t="shared" si="10"/>
        <v>103.39995243970621</v>
      </c>
      <c r="I35" s="10">
        <f t="shared" si="11"/>
        <v>62.650102689337501</v>
      </c>
      <c r="J35" s="10">
        <f t="shared" si="12"/>
        <v>5.3280968416054716E-2</v>
      </c>
      <c r="K35" s="10">
        <f t="shared" si="13"/>
        <v>22.704283695177846</v>
      </c>
      <c r="L35" s="10">
        <f t="shared" si="14"/>
        <v>15.966713316198943</v>
      </c>
      <c r="M35" s="10">
        <f t="shared" si="15"/>
        <v>2.0255717705758691</v>
      </c>
      <c r="N35" s="11">
        <f t="shared" si="16"/>
        <v>9.9999999999999645E-2</v>
      </c>
      <c r="O35" s="12">
        <f t="shared" si="17"/>
        <v>1.5999999999999999</v>
      </c>
      <c r="P35" s="13">
        <f t="shared" si="18"/>
        <v>1.0777777777777777</v>
      </c>
      <c r="Q35" s="1">
        <f t="shared" si="19"/>
        <v>1</v>
      </c>
    </row>
    <row r="36" spans="1:17" x14ac:dyDescent="0.25">
      <c r="A36" s="2" t="s">
        <v>119</v>
      </c>
      <c r="B36" s="25" t="s">
        <v>120</v>
      </c>
      <c r="C36" s="2" t="s">
        <v>121</v>
      </c>
      <c r="D36" s="14" t="s">
        <v>122</v>
      </c>
      <c r="E36" s="17">
        <v>3.3</v>
      </c>
      <c r="F36" s="17">
        <v>8.1</v>
      </c>
      <c r="G36" s="17">
        <v>10.6</v>
      </c>
      <c r="H36" s="28">
        <f t="shared" si="10"/>
        <v>105.70687756810759</v>
      </c>
      <c r="I36" s="10">
        <f t="shared" si="11"/>
        <v>32.274295324810232</v>
      </c>
      <c r="J36" s="10">
        <f t="shared" si="12"/>
        <v>25.148070341966825</v>
      </c>
      <c r="K36" s="10">
        <f t="shared" si="13"/>
        <v>17.500024977870147</v>
      </c>
      <c r="L36" s="10">
        <f t="shared" si="14"/>
        <v>27.718659985590413</v>
      </c>
      <c r="M36" s="10">
        <f t="shared" si="15"/>
        <v>3.0658269378699581</v>
      </c>
      <c r="N36" s="11">
        <f t="shared" si="16"/>
        <v>2.5</v>
      </c>
      <c r="O36" s="12">
        <f t="shared" si="17"/>
        <v>1.3499999999999999</v>
      </c>
      <c r="P36" s="13">
        <f t="shared" si="18"/>
        <v>1.1777777777777778</v>
      </c>
      <c r="Q36" s="1">
        <f t="shared" si="19"/>
        <v>1</v>
      </c>
    </row>
    <row r="37" spans="1:17" x14ac:dyDescent="0.25">
      <c r="A37" s="2" t="s">
        <v>212</v>
      </c>
      <c r="B37" s="25" t="s">
        <v>213</v>
      </c>
      <c r="C37" s="2" t="s">
        <v>214</v>
      </c>
      <c r="D37" s="14" t="s">
        <v>215</v>
      </c>
      <c r="E37" s="17">
        <v>5</v>
      </c>
      <c r="F37" s="17">
        <v>9.1</v>
      </c>
      <c r="G37" s="17">
        <v>11.4</v>
      </c>
      <c r="H37" s="28">
        <f t="shared" si="10"/>
        <v>105.78787118793664</v>
      </c>
      <c r="I37" s="10">
        <f t="shared" si="11"/>
        <v>21.30103491437475</v>
      </c>
      <c r="J37" s="10">
        <f t="shared" si="12"/>
        <v>17.852017085383959</v>
      </c>
      <c r="K37" s="10">
        <f t="shared" si="13"/>
        <v>22.574377970903154</v>
      </c>
      <c r="L37" s="10">
        <f t="shared" si="14"/>
        <v>39.628973031053349</v>
      </c>
      <c r="M37" s="10">
        <f t="shared" si="15"/>
        <v>4.4314681862214416</v>
      </c>
      <c r="N37" s="11">
        <f t="shared" si="16"/>
        <v>2.3000000000000007</v>
      </c>
      <c r="O37" s="12">
        <f t="shared" si="17"/>
        <v>1.5166666666666666</v>
      </c>
      <c r="P37" s="13">
        <f t="shared" si="18"/>
        <v>1.2666666666666666</v>
      </c>
      <c r="Q37" s="1">
        <f t="shared" si="19"/>
        <v>0</v>
      </c>
    </row>
    <row r="38" spans="1:17" x14ac:dyDescent="0.25">
      <c r="A38" s="2" t="s">
        <v>111</v>
      </c>
      <c r="B38" s="25" t="s">
        <v>112</v>
      </c>
      <c r="C38" s="2" t="s">
        <v>113</v>
      </c>
      <c r="D38" s="14" t="s">
        <v>114</v>
      </c>
      <c r="E38" s="17">
        <v>2</v>
      </c>
      <c r="F38" s="17">
        <v>8.6</v>
      </c>
      <c r="G38" s="17">
        <v>10.1</v>
      </c>
      <c r="H38" s="28">
        <f t="shared" ref="H38:H69" si="20">I38+J38+K38+L38+M38</f>
        <v>106.5737699605086</v>
      </c>
      <c r="I38" s="10">
        <f t="shared" ref="I38:I69" si="21">116/1.2213*(0.0950502775050452+(1.12627632206642)/((1+($B$2/0.302756091410027)^2.26536793426585)^0.152776210790626))/E38</f>
        <v>53.252587285936876</v>
      </c>
      <c r="J38" s="10">
        <f t="shared" ref="J38:J69" si="22">N38*4.86728238951535*(G38-F38)/E38^0.423333111900057*(1+$B$2)^1.27639458772504</f>
        <v>11.191165597399863</v>
      </c>
      <c r="K38" s="10">
        <f t="shared" ref="K38:K69" si="23">O38*1.2577561731939*(F38+1.15557969130366)/(Q38*E38^-0.0900743729896674+(1-Q38)*(14-F38)^-0.0900743729896674)</f>
        <v>18.720257898153466</v>
      </c>
      <c r="L38" s="10">
        <f t="shared" ref="L38:L69" si="24">P38*9.68915003973139*(G38-8.17102416496663)</f>
        <v>20.974486279490012</v>
      </c>
      <c r="M38" s="10">
        <f t="shared" ref="M38:M69" si="25">0.152095843055359*(10^((G38+LN((6.5/$B$3)^2.512)-2.7)/5)-10^((G38-2.7)/5))</f>
        <v>2.4352728995283894</v>
      </c>
      <c r="N38" s="11">
        <f t="shared" ref="N38:N69" si="26">IF(G38-F38&lt;=1,IF(F38&lt;=6,0,G38-F38), G38-F38)</f>
        <v>1.5</v>
      </c>
      <c r="O38" s="12">
        <f t="shared" ref="O38:O69" si="27">IF(F38-6&gt;0,F38/6,0)</f>
        <v>1.4333333333333333</v>
      </c>
      <c r="P38" s="13">
        <f t="shared" ref="P38:P69" si="28">IF(G38-9&gt;0,G38/9,0)</f>
        <v>1.1222222222222222</v>
      </c>
      <c r="Q38" s="1">
        <f t="shared" ref="Q38:Q69" si="29">IF(E38&lt;=14-F38,1,0)</f>
        <v>1</v>
      </c>
    </row>
    <row r="39" spans="1:17" x14ac:dyDescent="0.25">
      <c r="A39" s="2" t="s">
        <v>284</v>
      </c>
      <c r="B39" s="25" t="s">
        <v>285</v>
      </c>
      <c r="C39" s="2" t="s">
        <v>286</v>
      </c>
      <c r="D39" s="14" t="s">
        <v>287</v>
      </c>
      <c r="E39" s="17">
        <v>6.9</v>
      </c>
      <c r="F39" s="17">
        <v>9.9</v>
      </c>
      <c r="G39" s="17">
        <v>11.9</v>
      </c>
      <c r="H39" s="28">
        <f t="shared" si="20"/>
        <v>106.61825442721512</v>
      </c>
      <c r="I39" s="10">
        <f t="shared" si="21"/>
        <v>15.435532546648369</v>
      </c>
      <c r="J39" s="10">
        <f t="shared" si="22"/>
        <v>11.778125136686299</v>
      </c>
      <c r="K39" s="10">
        <f t="shared" si="23"/>
        <v>26.053018200907243</v>
      </c>
      <c r="L39" s="10">
        <f t="shared" si="24"/>
        <v>47.772690631781622</v>
      </c>
      <c r="M39" s="10">
        <f t="shared" si="25"/>
        <v>5.5788879111915799</v>
      </c>
      <c r="N39" s="11">
        <f t="shared" si="26"/>
        <v>2</v>
      </c>
      <c r="O39" s="12">
        <f t="shared" si="27"/>
        <v>1.6500000000000001</v>
      </c>
      <c r="P39" s="13">
        <f t="shared" si="28"/>
        <v>1.3222222222222222</v>
      </c>
      <c r="Q39" s="1">
        <f t="shared" si="29"/>
        <v>0</v>
      </c>
    </row>
    <row r="40" spans="1:17" x14ac:dyDescent="0.25">
      <c r="A40" s="2" t="s">
        <v>178</v>
      </c>
      <c r="B40" s="25" t="s">
        <v>179</v>
      </c>
      <c r="C40" s="2" t="s">
        <v>180</v>
      </c>
      <c r="D40" s="14" t="s">
        <v>181</v>
      </c>
      <c r="E40" s="17">
        <v>1</v>
      </c>
      <c r="F40" s="17">
        <v>6</v>
      </c>
      <c r="G40" s="17">
        <v>6</v>
      </c>
      <c r="H40" s="28">
        <f t="shared" si="20"/>
        <v>106.87376804088306</v>
      </c>
      <c r="I40" s="10">
        <f t="shared" si="21"/>
        <v>106.50517457187375</v>
      </c>
      <c r="J40" s="10">
        <f t="shared" si="22"/>
        <v>0</v>
      </c>
      <c r="K40" s="10">
        <f t="shared" si="23"/>
        <v>0</v>
      </c>
      <c r="L40" s="10">
        <f t="shared" si="24"/>
        <v>0</v>
      </c>
      <c r="M40" s="10">
        <f t="shared" si="25"/>
        <v>0.36859346900930529</v>
      </c>
      <c r="N40" s="11">
        <f t="shared" si="26"/>
        <v>0</v>
      </c>
      <c r="O40" s="12">
        <f t="shared" si="27"/>
        <v>0</v>
      </c>
      <c r="P40" s="13">
        <f t="shared" si="28"/>
        <v>0</v>
      </c>
      <c r="Q40" s="1">
        <f t="shared" si="29"/>
        <v>1</v>
      </c>
    </row>
    <row r="41" spans="1:17" x14ac:dyDescent="0.25">
      <c r="A41" s="2" t="s">
        <v>170</v>
      </c>
      <c r="B41" s="25" t="s">
        <v>171</v>
      </c>
      <c r="C41" s="2" t="s">
        <v>172</v>
      </c>
      <c r="D41" s="14" t="s">
        <v>173</v>
      </c>
      <c r="E41" s="17">
        <v>2.2999999999999998</v>
      </c>
      <c r="F41" s="17">
        <v>9.3000000000000007</v>
      </c>
      <c r="G41" s="17">
        <v>10.6</v>
      </c>
      <c r="H41" s="28">
        <f t="shared" si="20"/>
        <v>106.98543129941416</v>
      </c>
      <c r="I41" s="10">
        <f t="shared" si="21"/>
        <v>46.30659763994511</v>
      </c>
      <c r="J41" s="10">
        <f t="shared" si="22"/>
        <v>7.9228986959333501</v>
      </c>
      <c r="K41" s="10">
        <f t="shared" si="23"/>
        <v>21.97144804007532</v>
      </c>
      <c r="L41" s="10">
        <f t="shared" si="24"/>
        <v>27.718659985590413</v>
      </c>
      <c r="M41" s="10">
        <f t="shared" si="25"/>
        <v>3.0658269378699581</v>
      </c>
      <c r="N41" s="11">
        <f t="shared" si="26"/>
        <v>1.2999999999999989</v>
      </c>
      <c r="O41" s="12">
        <f t="shared" si="27"/>
        <v>1.55</v>
      </c>
      <c r="P41" s="13">
        <f t="shared" si="28"/>
        <v>1.1777777777777778</v>
      </c>
      <c r="Q41" s="1">
        <f t="shared" si="29"/>
        <v>1</v>
      </c>
    </row>
    <row r="42" spans="1:17" x14ac:dyDescent="0.25">
      <c r="A42" s="2" t="s">
        <v>115</v>
      </c>
      <c r="B42" s="25" t="s">
        <v>116</v>
      </c>
      <c r="C42" s="2" t="s">
        <v>117</v>
      </c>
      <c r="D42" s="14" t="s">
        <v>118</v>
      </c>
      <c r="E42" s="17">
        <v>2.2999999999999998</v>
      </c>
      <c r="F42" s="17">
        <v>8.1999999999999993</v>
      </c>
      <c r="G42" s="17">
        <v>10.199999999999999</v>
      </c>
      <c r="H42" s="28">
        <f t="shared" si="20"/>
        <v>107.2238564533635</v>
      </c>
      <c r="I42" s="10">
        <f t="shared" si="21"/>
        <v>46.30659763994511</v>
      </c>
      <c r="J42" s="10">
        <f t="shared" si="22"/>
        <v>18.752422948954706</v>
      </c>
      <c r="K42" s="10">
        <f t="shared" si="23"/>
        <v>17.334533957428203</v>
      </c>
      <c r="L42" s="10">
        <f t="shared" si="24"/>
        <v>22.280258131644615</v>
      </c>
      <c r="M42" s="10">
        <f t="shared" si="25"/>
        <v>2.5500437753908596</v>
      </c>
      <c r="N42" s="11">
        <f t="shared" si="26"/>
        <v>2</v>
      </c>
      <c r="O42" s="12">
        <f t="shared" si="27"/>
        <v>1.3666666666666665</v>
      </c>
      <c r="P42" s="13">
        <f t="shared" si="28"/>
        <v>1.1333333333333333</v>
      </c>
      <c r="Q42" s="1">
        <f t="shared" si="29"/>
        <v>1</v>
      </c>
    </row>
    <row r="43" spans="1:17" x14ac:dyDescent="0.25">
      <c r="A43" s="2" t="s">
        <v>216</v>
      </c>
      <c r="B43" s="25" t="s">
        <v>217</v>
      </c>
      <c r="C43" s="2" t="s">
        <v>218</v>
      </c>
      <c r="D43" s="14" t="s">
        <v>219</v>
      </c>
      <c r="E43" s="17">
        <v>5.9</v>
      </c>
      <c r="F43" s="17">
        <v>8.8000000000000007</v>
      </c>
      <c r="G43" s="17">
        <v>11.5</v>
      </c>
      <c r="H43" s="28">
        <f t="shared" si="20"/>
        <v>108.1486152246612</v>
      </c>
      <c r="I43" s="10">
        <f t="shared" si="21"/>
        <v>18.051724503707415</v>
      </c>
      <c r="J43" s="10">
        <f t="shared" si="22"/>
        <v>22.93660398365612</v>
      </c>
      <c r="K43" s="10">
        <f t="shared" si="23"/>
        <v>21.305316227592336</v>
      </c>
      <c r="L43" s="10">
        <f t="shared" si="24"/>
        <v>41.214653662133529</v>
      </c>
      <c r="M43" s="10">
        <f t="shared" si="25"/>
        <v>4.6403168475717917</v>
      </c>
      <c r="N43" s="11">
        <f t="shared" si="26"/>
        <v>2.6999999999999993</v>
      </c>
      <c r="O43" s="12">
        <f t="shared" si="27"/>
        <v>1.4666666666666668</v>
      </c>
      <c r="P43" s="13">
        <f t="shared" si="28"/>
        <v>1.2777777777777777</v>
      </c>
      <c r="Q43" s="1">
        <f t="shared" si="29"/>
        <v>0</v>
      </c>
    </row>
    <row r="44" spans="1:17" x14ac:dyDescent="0.25">
      <c r="A44" s="2" t="s">
        <v>224</v>
      </c>
      <c r="B44" s="25" t="s">
        <v>225</v>
      </c>
      <c r="C44" s="2" t="s">
        <v>226</v>
      </c>
      <c r="D44" s="14" t="s">
        <v>227</v>
      </c>
      <c r="E44" s="17">
        <v>3.2</v>
      </c>
      <c r="F44" s="17">
        <v>9.6</v>
      </c>
      <c r="G44" s="17">
        <v>11.2</v>
      </c>
      <c r="H44" s="28">
        <f t="shared" si="20"/>
        <v>108.31772933372923</v>
      </c>
      <c r="I44" s="10">
        <f t="shared" si="21"/>
        <v>33.282867053710547</v>
      </c>
      <c r="J44" s="10">
        <f t="shared" si="22"/>
        <v>10.435710479393757</v>
      </c>
      <c r="K44" s="10">
        <f t="shared" si="23"/>
        <v>24.035398678038938</v>
      </c>
      <c r="L44" s="10">
        <f t="shared" si="24"/>
        <v>36.522206102491189</v>
      </c>
      <c r="M44" s="10">
        <f t="shared" si="25"/>
        <v>4.0415470200948116</v>
      </c>
      <c r="N44" s="11">
        <f t="shared" si="26"/>
        <v>1.5999999999999996</v>
      </c>
      <c r="O44" s="12">
        <f t="shared" si="27"/>
        <v>1.5999999999999999</v>
      </c>
      <c r="P44" s="13">
        <f t="shared" si="28"/>
        <v>1.2444444444444445</v>
      </c>
      <c r="Q44" s="1">
        <f t="shared" si="29"/>
        <v>1</v>
      </c>
    </row>
    <row r="45" spans="1:17" x14ac:dyDescent="0.25">
      <c r="A45" s="2" t="s">
        <v>63</v>
      </c>
      <c r="B45" s="25" t="s">
        <v>64</v>
      </c>
      <c r="C45" s="2" t="s">
        <v>65</v>
      </c>
      <c r="D45" s="14" t="s">
        <v>66</v>
      </c>
      <c r="E45" s="17">
        <v>1.4</v>
      </c>
      <c r="F45" s="17">
        <v>9.1999999999999993</v>
      </c>
      <c r="G45" s="17">
        <v>9.1999999999999993</v>
      </c>
      <c r="H45" s="28">
        <f t="shared" si="20"/>
        <v>108.46144730703452</v>
      </c>
      <c r="I45" s="10">
        <f t="shared" si="21"/>
        <v>76.075124694195537</v>
      </c>
      <c r="J45" s="10">
        <f t="shared" si="22"/>
        <v>0</v>
      </c>
      <c r="K45" s="10">
        <f t="shared" si="23"/>
        <v>20.585899149938424</v>
      </c>
      <c r="L45" s="10">
        <f t="shared" si="24"/>
        <v>10.191454614071683</v>
      </c>
      <c r="M45" s="10">
        <f t="shared" si="25"/>
        <v>1.6089688488288652</v>
      </c>
      <c r="N45" s="11">
        <f t="shared" si="26"/>
        <v>0</v>
      </c>
      <c r="O45" s="12">
        <f t="shared" si="27"/>
        <v>1.5333333333333332</v>
      </c>
      <c r="P45" s="13">
        <f t="shared" si="28"/>
        <v>1.0222222222222221</v>
      </c>
      <c r="Q45" s="1">
        <f t="shared" si="29"/>
        <v>1</v>
      </c>
    </row>
    <row r="46" spans="1:17" x14ac:dyDescent="0.25">
      <c r="A46" s="2" t="s">
        <v>232</v>
      </c>
      <c r="B46" s="25" t="s">
        <v>233</v>
      </c>
      <c r="C46" s="2" t="s">
        <v>234</v>
      </c>
      <c r="D46" s="14" t="s">
        <v>235</v>
      </c>
      <c r="E46" s="17">
        <v>3</v>
      </c>
      <c r="F46" s="17">
        <v>9.6</v>
      </c>
      <c r="G46" s="17">
        <v>11.2</v>
      </c>
      <c r="H46" s="28">
        <f t="shared" si="20"/>
        <v>110.68631599493193</v>
      </c>
      <c r="I46" s="10">
        <f t="shared" si="21"/>
        <v>35.501724857291251</v>
      </c>
      <c r="J46" s="10">
        <f t="shared" si="22"/>
        <v>10.724758181625523</v>
      </c>
      <c r="K46" s="10">
        <f t="shared" si="23"/>
        <v>23.896079833429148</v>
      </c>
      <c r="L46" s="10">
        <f t="shared" si="24"/>
        <v>36.522206102491189</v>
      </c>
      <c r="M46" s="10">
        <f t="shared" si="25"/>
        <v>4.0415470200948116</v>
      </c>
      <c r="N46" s="11">
        <f t="shared" si="26"/>
        <v>1.5999999999999996</v>
      </c>
      <c r="O46" s="12">
        <f t="shared" si="27"/>
        <v>1.5999999999999999</v>
      </c>
      <c r="P46" s="13">
        <f t="shared" si="28"/>
        <v>1.2444444444444445</v>
      </c>
      <c r="Q46" s="1">
        <f t="shared" si="29"/>
        <v>1</v>
      </c>
    </row>
    <row r="47" spans="1:17" x14ac:dyDescent="0.25">
      <c r="A47" s="2" t="s">
        <v>208</v>
      </c>
      <c r="B47" s="25" t="s">
        <v>209</v>
      </c>
      <c r="C47" s="2" t="s">
        <v>210</v>
      </c>
      <c r="D47" s="14" t="s">
        <v>211</v>
      </c>
      <c r="E47" s="17">
        <v>7.8</v>
      </c>
      <c r="F47" s="17">
        <v>8.3000000000000007</v>
      </c>
      <c r="G47" s="17">
        <v>11.6</v>
      </c>
      <c r="H47" s="28">
        <f t="shared" si="20"/>
        <v>111.02355344681609</v>
      </c>
      <c r="I47" s="10">
        <f t="shared" si="21"/>
        <v>13.654509560496635</v>
      </c>
      <c r="J47" s="10">
        <f t="shared" si="22"/>
        <v>30.444122749261265</v>
      </c>
      <c r="K47" s="10">
        <f t="shared" si="23"/>
        <v>19.244047156217768</v>
      </c>
      <c r="L47" s="10">
        <f t="shared" si="24"/>
        <v>42.821865737746435</v>
      </c>
      <c r="M47" s="10">
        <f t="shared" si="25"/>
        <v>4.8590082430939958</v>
      </c>
      <c r="N47" s="11">
        <f t="shared" si="26"/>
        <v>3.2999999999999989</v>
      </c>
      <c r="O47" s="12">
        <f t="shared" si="27"/>
        <v>1.3833333333333335</v>
      </c>
      <c r="P47" s="13">
        <f t="shared" si="28"/>
        <v>1.2888888888888888</v>
      </c>
      <c r="Q47" s="1">
        <f t="shared" si="29"/>
        <v>0</v>
      </c>
    </row>
    <row r="48" spans="1:17" x14ac:dyDescent="0.25">
      <c r="A48" s="2" t="s">
        <v>236</v>
      </c>
      <c r="B48" s="25" t="s">
        <v>237</v>
      </c>
      <c r="C48" s="2" t="s">
        <v>238</v>
      </c>
      <c r="D48" s="14" t="s">
        <v>239</v>
      </c>
      <c r="E48" s="17">
        <v>2.9</v>
      </c>
      <c r="F48" s="17">
        <v>9.6999999999999993</v>
      </c>
      <c r="G48" s="17">
        <v>11.2</v>
      </c>
      <c r="H48" s="28">
        <f t="shared" si="20"/>
        <v>111.14717004883792</v>
      </c>
      <c r="I48" s="10">
        <f t="shared" si="21"/>
        <v>36.725922266163366</v>
      </c>
      <c r="J48" s="10">
        <f t="shared" si="22"/>
        <v>9.5623118628515744</v>
      </c>
      <c r="K48" s="10">
        <f t="shared" si="23"/>
        <v>24.295182797236976</v>
      </c>
      <c r="L48" s="10">
        <f t="shared" si="24"/>
        <v>36.522206102491189</v>
      </c>
      <c r="M48" s="10">
        <f t="shared" si="25"/>
        <v>4.0415470200948116</v>
      </c>
      <c r="N48" s="11">
        <f t="shared" si="26"/>
        <v>1.5</v>
      </c>
      <c r="O48" s="12">
        <f t="shared" si="27"/>
        <v>1.6166666666666665</v>
      </c>
      <c r="P48" s="13">
        <f t="shared" si="28"/>
        <v>1.2444444444444445</v>
      </c>
      <c r="Q48" s="1">
        <f t="shared" si="29"/>
        <v>1</v>
      </c>
    </row>
    <row r="49" spans="1:17" x14ac:dyDescent="0.25">
      <c r="A49" s="2" t="s">
        <v>99</v>
      </c>
      <c r="B49" s="25" t="s">
        <v>100</v>
      </c>
      <c r="C49" s="2" t="s">
        <v>101</v>
      </c>
      <c r="D49" s="14" t="s">
        <v>102</v>
      </c>
      <c r="E49" s="17">
        <v>1.4</v>
      </c>
      <c r="F49" s="17">
        <v>8.8000000000000007</v>
      </c>
      <c r="G49" s="17">
        <v>9.4</v>
      </c>
      <c r="H49" s="28">
        <f t="shared" si="20"/>
        <v>111.28898848938395</v>
      </c>
      <c r="I49" s="10">
        <f t="shared" si="21"/>
        <v>76.075124694195537</v>
      </c>
      <c r="J49" s="10">
        <f t="shared" si="22"/>
        <v>2.082430104656269</v>
      </c>
      <c r="K49" s="10">
        <f t="shared" si="23"/>
        <v>18.930270668193305</v>
      </c>
      <c r="L49" s="10">
        <f t="shared" si="24"/>
        <v>12.436963761324391</v>
      </c>
      <c r="M49" s="10">
        <f t="shared" si="25"/>
        <v>1.7641992610144543</v>
      </c>
      <c r="N49" s="11">
        <f t="shared" si="26"/>
        <v>0.59999999999999964</v>
      </c>
      <c r="O49" s="12">
        <f t="shared" si="27"/>
        <v>1.4666666666666668</v>
      </c>
      <c r="P49" s="13">
        <f t="shared" si="28"/>
        <v>1.0444444444444445</v>
      </c>
      <c r="Q49" s="1">
        <f t="shared" si="29"/>
        <v>1</v>
      </c>
    </row>
    <row r="50" spans="1:17" x14ac:dyDescent="0.25">
      <c r="A50" s="2" t="s">
        <v>289</v>
      </c>
      <c r="B50" s="25" t="s">
        <v>290</v>
      </c>
      <c r="C50" s="2" t="s">
        <v>291</v>
      </c>
      <c r="D50" s="14" t="s">
        <v>292</v>
      </c>
      <c r="E50" s="17">
        <v>3.5</v>
      </c>
      <c r="F50" s="17">
        <v>10</v>
      </c>
      <c r="G50" s="17">
        <v>11.5</v>
      </c>
      <c r="H50" s="28">
        <f t="shared" si="20"/>
        <v>111.29405174713109</v>
      </c>
      <c r="I50" s="10">
        <f t="shared" si="21"/>
        <v>30.430049877678215</v>
      </c>
      <c r="J50" s="10">
        <f t="shared" si="22"/>
        <v>8.8305807991787955</v>
      </c>
      <c r="K50" s="10">
        <f t="shared" si="23"/>
        <v>26.178450560568763</v>
      </c>
      <c r="L50" s="10">
        <f t="shared" si="24"/>
        <v>41.214653662133529</v>
      </c>
      <c r="M50" s="10">
        <f t="shared" si="25"/>
        <v>4.6403168475717917</v>
      </c>
      <c r="N50" s="11">
        <f t="shared" si="26"/>
        <v>1.5</v>
      </c>
      <c r="O50" s="15">
        <f t="shared" si="27"/>
        <v>1.6666666666666667</v>
      </c>
      <c r="P50" s="12">
        <f t="shared" si="28"/>
        <v>1.2777777777777777</v>
      </c>
      <c r="Q50" s="1">
        <f t="shared" si="29"/>
        <v>1</v>
      </c>
    </row>
    <row r="51" spans="1:17" x14ac:dyDescent="0.25">
      <c r="A51" s="2" t="s">
        <v>293</v>
      </c>
      <c r="B51" s="25" t="s">
        <v>294</v>
      </c>
      <c r="C51" s="2" t="s">
        <v>295</v>
      </c>
      <c r="D51" s="14" t="s">
        <v>296</v>
      </c>
      <c r="E51" s="17">
        <v>5</v>
      </c>
      <c r="F51" s="17">
        <v>9.5</v>
      </c>
      <c r="G51" s="17">
        <v>11.7</v>
      </c>
      <c r="H51" s="28">
        <f t="shared" si="20"/>
        <v>111.47179638311185</v>
      </c>
      <c r="I51" s="10">
        <f t="shared" si="21"/>
        <v>21.30103491437475</v>
      </c>
      <c r="J51" s="10">
        <f t="shared" si="22"/>
        <v>16.333414497780392</v>
      </c>
      <c r="K51" s="10">
        <f t="shared" si="23"/>
        <v>24.298731466506268</v>
      </c>
      <c r="L51" s="10">
        <f t="shared" si="24"/>
        <v>44.45060925789209</v>
      </c>
      <c r="M51" s="10">
        <f t="shared" si="25"/>
        <v>5.0880062465583453</v>
      </c>
      <c r="N51" s="11">
        <f t="shared" si="26"/>
        <v>2.1999999999999993</v>
      </c>
      <c r="O51" s="12">
        <f t="shared" si="27"/>
        <v>1.5833333333333333</v>
      </c>
      <c r="P51" s="13">
        <f t="shared" si="28"/>
        <v>1.2999999999999998</v>
      </c>
      <c r="Q51" s="1">
        <f t="shared" si="29"/>
        <v>0</v>
      </c>
    </row>
    <row r="52" spans="1:17" x14ac:dyDescent="0.25">
      <c r="A52" s="2" t="s">
        <v>260</v>
      </c>
      <c r="B52" s="25" t="s">
        <v>261</v>
      </c>
      <c r="C52" s="2" t="s">
        <v>262</v>
      </c>
      <c r="D52" s="14" t="s">
        <v>263</v>
      </c>
      <c r="E52" s="17">
        <v>3.1</v>
      </c>
      <c r="F52" s="17">
        <v>9.6999999999999993</v>
      </c>
      <c r="G52" s="17">
        <v>11.3</v>
      </c>
      <c r="H52" s="28">
        <f t="shared" si="20"/>
        <v>111.67183479476985</v>
      </c>
      <c r="I52" s="10">
        <f t="shared" si="21"/>
        <v>34.356507926410885</v>
      </c>
      <c r="J52" s="10">
        <f t="shared" si="22"/>
        <v>10.576916096290594</v>
      </c>
      <c r="K52" s="10">
        <f t="shared" si="23"/>
        <v>24.441567664531146</v>
      </c>
      <c r="L52" s="10">
        <f t="shared" si="24"/>
        <v>38.064823844505916</v>
      </c>
      <c r="M52" s="10">
        <f t="shared" si="25"/>
        <v>4.2320192630313231</v>
      </c>
      <c r="N52" s="11">
        <f t="shared" si="26"/>
        <v>1.6000000000000014</v>
      </c>
      <c r="O52" s="12">
        <f t="shared" si="27"/>
        <v>1.6166666666666665</v>
      </c>
      <c r="P52" s="13">
        <f t="shared" si="28"/>
        <v>1.2555555555555555</v>
      </c>
      <c r="Q52" s="1">
        <f t="shared" si="29"/>
        <v>1</v>
      </c>
    </row>
    <row r="53" spans="1:17" x14ac:dyDescent="0.25">
      <c r="A53" s="2" t="s">
        <v>166</v>
      </c>
      <c r="B53" s="25" t="s">
        <v>167</v>
      </c>
      <c r="C53" s="2" t="s">
        <v>168</v>
      </c>
      <c r="D53" s="14" t="s">
        <v>169</v>
      </c>
      <c r="E53" s="17">
        <v>6.2</v>
      </c>
      <c r="F53" s="17">
        <v>7.5</v>
      </c>
      <c r="G53" s="17">
        <v>11.1</v>
      </c>
      <c r="H53" s="28">
        <f t="shared" si="20"/>
        <v>112.00697587871709</v>
      </c>
      <c r="I53" s="10">
        <f t="shared" si="21"/>
        <v>17.178253963205442</v>
      </c>
      <c r="J53" s="10">
        <f t="shared" si="22"/>
        <v>39.92897213773049</v>
      </c>
      <c r="K53" s="10">
        <f t="shared" si="23"/>
        <v>16.038982532524344</v>
      </c>
      <c r="L53" s="10">
        <f t="shared" si="24"/>
        <v>35.001119805009225</v>
      </c>
      <c r="M53" s="10">
        <f t="shared" si="25"/>
        <v>3.8596474402475893</v>
      </c>
      <c r="N53" s="11">
        <f t="shared" si="26"/>
        <v>3.5999999999999996</v>
      </c>
      <c r="O53" s="12">
        <f t="shared" si="27"/>
        <v>1.25</v>
      </c>
      <c r="P53" s="13">
        <f t="shared" si="28"/>
        <v>1.2333333333333334</v>
      </c>
      <c r="Q53" s="1">
        <f t="shared" si="29"/>
        <v>1</v>
      </c>
    </row>
    <row r="54" spans="1:17" x14ac:dyDescent="0.25">
      <c r="A54" s="2" t="s">
        <v>301</v>
      </c>
      <c r="B54" s="25" t="s">
        <v>302</v>
      </c>
      <c r="C54" s="2" t="s">
        <v>303</v>
      </c>
      <c r="D54" s="14" t="s">
        <v>304</v>
      </c>
      <c r="E54" s="17">
        <v>4.8</v>
      </c>
      <c r="F54" s="17">
        <v>9.5</v>
      </c>
      <c r="G54" s="17">
        <v>11.7</v>
      </c>
      <c r="H54" s="28">
        <f t="shared" si="20"/>
        <v>112.64405521617486</v>
      </c>
      <c r="I54" s="10">
        <f t="shared" si="21"/>
        <v>22.188578035807033</v>
      </c>
      <c r="J54" s="10">
        <f t="shared" si="22"/>
        <v>16.618130209411131</v>
      </c>
      <c r="K54" s="10">
        <f t="shared" si="23"/>
        <v>24.298731466506268</v>
      </c>
      <c r="L54" s="10">
        <f t="shared" si="24"/>
        <v>44.45060925789209</v>
      </c>
      <c r="M54" s="10">
        <f t="shared" si="25"/>
        <v>5.0880062465583453</v>
      </c>
      <c r="N54" s="11">
        <f t="shared" si="26"/>
        <v>2.1999999999999993</v>
      </c>
      <c r="O54" s="12">
        <f t="shared" si="27"/>
        <v>1.5833333333333333</v>
      </c>
      <c r="P54" s="13">
        <f t="shared" si="28"/>
        <v>1.2999999999999998</v>
      </c>
      <c r="Q54" s="1">
        <f t="shared" si="29"/>
        <v>0</v>
      </c>
    </row>
    <row r="55" spans="1:17" x14ac:dyDescent="0.25">
      <c r="A55" s="2" t="s">
        <v>158</v>
      </c>
      <c r="B55" s="25" t="s">
        <v>159</v>
      </c>
      <c r="C55" s="2" t="s">
        <v>160</v>
      </c>
      <c r="D55" s="14" t="s">
        <v>161</v>
      </c>
      <c r="E55" s="17">
        <v>1.7</v>
      </c>
      <c r="F55" s="17">
        <v>8.4</v>
      </c>
      <c r="G55" s="17">
        <v>9.9</v>
      </c>
      <c r="H55" s="28">
        <f t="shared" si="20"/>
        <v>112.93662373909891</v>
      </c>
      <c r="I55" s="10">
        <f t="shared" si="21"/>
        <v>62.650102689337501</v>
      </c>
      <c r="J55" s="10">
        <f t="shared" si="22"/>
        <v>11.988217893612397</v>
      </c>
      <c r="K55" s="10">
        <f t="shared" si="23"/>
        <v>17.649770966210397</v>
      </c>
      <c r="L55" s="10">
        <f t="shared" si="24"/>
        <v>18.427536908779015</v>
      </c>
      <c r="M55" s="10">
        <f t="shared" si="25"/>
        <v>2.2209952811595892</v>
      </c>
      <c r="N55" s="11">
        <f t="shared" si="26"/>
        <v>1.5</v>
      </c>
      <c r="O55" s="12">
        <f t="shared" si="27"/>
        <v>1.4000000000000001</v>
      </c>
      <c r="P55" s="13">
        <f t="shared" si="28"/>
        <v>1.1000000000000001</v>
      </c>
      <c r="Q55" s="1">
        <f t="shared" si="29"/>
        <v>1</v>
      </c>
    </row>
    <row r="56" spans="1:17" x14ac:dyDescent="0.25">
      <c r="A56" s="2" t="s">
        <v>252</v>
      </c>
      <c r="B56" s="25" t="s">
        <v>253</v>
      </c>
      <c r="C56" s="2" t="s">
        <v>254</v>
      </c>
      <c r="D56" s="14" t="s">
        <v>255</v>
      </c>
      <c r="E56" s="17">
        <v>2.8</v>
      </c>
      <c r="F56" s="17">
        <v>9.6</v>
      </c>
      <c r="G56" s="17">
        <v>11.2</v>
      </c>
      <c r="H56" s="28">
        <f t="shared" si="20"/>
        <v>113.39196890229135</v>
      </c>
      <c r="I56" s="10">
        <f t="shared" si="21"/>
        <v>38.037562347097769</v>
      </c>
      <c r="J56" s="10">
        <f t="shared" si="22"/>
        <v>11.042615062224341</v>
      </c>
      <c r="K56" s="10">
        <f t="shared" si="23"/>
        <v>23.748038370383227</v>
      </c>
      <c r="L56" s="10">
        <f t="shared" si="24"/>
        <v>36.522206102491189</v>
      </c>
      <c r="M56" s="10">
        <f t="shared" si="25"/>
        <v>4.0415470200948116</v>
      </c>
      <c r="N56" s="11">
        <f t="shared" si="26"/>
        <v>1.5999999999999996</v>
      </c>
      <c r="O56" s="12">
        <f t="shared" si="27"/>
        <v>1.5999999999999999</v>
      </c>
      <c r="P56" s="13">
        <f t="shared" si="28"/>
        <v>1.2444444444444445</v>
      </c>
      <c r="Q56" s="1">
        <f t="shared" si="29"/>
        <v>1</v>
      </c>
    </row>
    <row r="57" spans="1:17" x14ac:dyDescent="0.25">
      <c r="A57" s="2" t="s">
        <v>154</v>
      </c>
      <c r="B57" s="25" t="s">
        <v>155</v>
      </c>
      <c r="C57" s="2" t="s">
        <v>156</v>
      </c>
      <c r="D57" s="14" t="s">
        <v>157</v>
      </c>
      <c r="E57" s="17">
        <v>2.4</v>
      </c>
      <c r="F57" s="17">
        <v>7.7</v>
      </c>
      <c r="G57" s="17">
        <v>10.199999999999999</v>
      </c>
      <c r="H57" s="28">
        <f t="shared" si="20"/>
        <v>113.45173012957474</v>
      </c>
      <c r="I57" s="10">
        <f t="shared" si="21"/>
        <v>44.377156071614067</v>
      </c>
      <c r="J57" s="10">
        <f t="shared" si="22"/>
        <v>28.777481145567734</v>
      </c>
      <c r="K57" s="10">
        <f t="shared" si="23"/>
        <v>15.46679100535747</v>
      </c>
      <c r="L57" s="10">
        <f t="shared" si="24"/>
        <v>22.280258131644615</v>
      </c>
      <c r="M57" s="10">
        <f t="shared" si="25"/>
        <v>2.5500437753908596</v>
      </c>
      <c r="N57" s="11">
        <f t="shared" si="26"/>
        <v>2.4999999999999991</v>
      </c>
      <c r="O57" s="12">
        <f t="shared" si="27"/>
        <v>1.2833333333333334</v>
      </c>
      <c r="P57" s="13">
        <f t="shared" si="28"/>
        <v>1.1333333333333333</v>
      </c>
      <c r="Q57" s="1">
        <f t="shared" si="29"/>
        <v>1</v>
      </c>
    </row>
    <row r="58" spans="1:17" x14ac:dyDescent="0.25">
      <c r="A58" s="2" t="s">
        <v>264</v>
      </c>
      <c r="B58" s="25" t="s">
        <v>265</v>
      </c>
      <c r="C58" s="2" t="s">
        <v>266</v>
      </c>
      <c r="D58" s="14" t="s">
        <v>267</v>
      </c>
      <c r="E58" s="17">
        <v>7.6</v>
      </c>
      <c r="F58" s="17">
        <v>8.6999999999999993</v>
      </c>
      <c r="G58" s="17">
        <v>11.8</v>
      </c>
      <c r="H58" s="28">
        <f t="shared" si="20"/>
        <v>113.49276887002391</v>
      </c>
      <c r="I58" s="10">
        <f t="shared" si="21"/>
        <v>14.013838759457073</v>
      </c>
      <c r="J58" s="10">
        <f t="shared" si="22"/>
        <v>27.162803849924021</v>
      </c>
      <c r="K58" s="10">
        <f t="shared" si="23"/>
        <v>20.887445444639773</v>
      </c>
      <c r="L58" s="10">
        <f t="shared" si="24"/>
        <v>46.1008842225705</v>
      </c>
      <c r="M58" s="10">
        <f t="shared" si="25"/>
        <v>5.3277965934325513</v>
      </c>
      <c r="N58" s="11">
        <f t="shared" si="26"/>
        <v>3.1000000000000014</v>
      </c>
      <c r="O58" s="12">
        <f t="shared" si="27"/>
        <v>1.45</v>
      </c>
      <c r="P58" s="13">
        <f t="shared" si="28"/>
        <v>1.3111111111111111</v>
      </c>
      <c r="Q58" s="1">
        <f t="shared" si="29"/>
        <v>0</v>
      </c>
    </row>
    <row r="59" spans="1:17" x14ac:dyDescent="0.25">
      <c r="A59" s="2" t="s">
        <v>184</v>
      </c>
      <c r="B59" s="25" t="s">
        <v>185</v>
      </c>
      <c r="C59" s="2" t="s">
        <v>186</v>
      </c>
      <c r="D59" s="14" t="s">
        <v>187</v>
      </c>
      <c r="E59" s="17">
        <v>1.6</v>
      </c>
      <c r="F59" s="17">
        <v>9.8000000000000007</v>
      </c>
      <c r="G59" s="17">
        <v>10.1</v>
      </c>
      <c r="H59" s="28">
        <f t="shared" si="20"/>
        <v>113.94719248460997</v>
      </c>
      <c r="I59" s="10">
        <f t="shared" si="21"/>
        <v>66.565734107421093</v>
      </c>
      <c r="J59" s="10">
        <f t="shared" si="22"/>
        <v>0.49199482059526023</v>
      </c>
      <c r="K59" s="10">
        <f t="shared" si="23"/>
        <v>23.47970437757521</v>
      </c>
      <c r="L59" s="10">
        <f t="shared" si="24"/>
        <v>20.974486279490012</v>
      </c>
      <c r="M59" s="10">
        <f t="shared" si="25"/>
        <v>2.4352728995283894</v>
      </c>
      <c r="N59" s="11">
        <f t="shared" si="26"/>
        <v>0.29999999999999893</v>
      </c>
      <c r="O59" s="12">
        <f t="shared" si="27"/>
        <v>1.6333333333333335</v>
      </c>
      <c r="P59" s="13">
        <f t="shared" si="28"/>
        <v>1.1222222222222222</v>
      </c>
      <c r="Q59" s="1">
        <f t="shared" si="29"/>
        <v>1</v>
      </c>
    </row>
    <row r="60" spans="1:17" x14ac:dyDescent="0.25">
      <c r="A60" s="2" t="s">
        <v>305</v>
      </c>
      <c r="B60" s="25" t="s">
        <v>306</v>
      </c>
      <c r="C60" s="2" t="s">
        <v>307</v>
      </c>
      <c r="D60" s="14" t="s">
        <v>308</v>
      </c>
      <c r="E60" s="17">
        <v>7.4</v>
      </c>
      <c r="F60" s="17">
        <v>9.3000000000000007</v>
      </c>
      <c r="G60" s="17">
        <v>12</v>
      </c>
      <c r="H60" s="28">
        <f t="shared" si="20"/>
        <v>113.97197324074645</v>
      </c>
      <c r="I60" s="10">
        <f t="shared" si="21"/>
        <v>14.392591158361316</v>
      </c>
      <c r="J60" s="10">
        <f t="shared" si="22"/>
        <v>20.839232895278947</v>
      </c>
      <c r="K60" s="10">
        <f t="shared" si="23"/>
        <v>23.432307903395966</v>
      </c>
      <c r="L60" s="10">
        <f t="shared" si="24"/>
        <v>49.466028485525477</v>
      </c>
      <c r="M60" s="10">
        <f t="shared" si="25"/>
        <v>5.8418127981847441</v>
      </c>
      <c r="N60" s="11">
        <f t="shared" si="26"/>
        <v>2.6999999999999993</v>
      </c>
      <c r="O60" s="12">
        <f t="shared" si="27"/>
        <v>1.55</v>
      </c>
      <c r="P60" s="13">
        <f t="shared" si="28"/>
        <v>1.3333333333333333</v>
      </c>
      <c r="Q60" s="1">
        <f t="shared" si="29"/>
        <v>0</v>
      </c>
    </row>
    <row r="61" spans="1:17" x14ac:dyDescent="0.25">
      <c r="A61" s="2" t="s">
        <v>297</v>
      </c>
      <c r="B61" s="25" t="s">
        <v>298</v>
      </c>
      <c r="C61" s="2" t="s">
        <v>299</v>
      </c>
      <c r="D61" s="14" t="s">
        <v>300</v>
      </c>
      <c r="E61" s="17">
        <v>3.6</v>
      </c>
      <c r="F61" s="17">
        <v>9.5</v>
      </c>
      <c r="G61" s="17">
        <v>11.5</v>
      </c>
      <c r="H61" s="28">
        <f t="shared" si="20"/>
        <v>114.76765895675454</v>
      </c>
      <c r="I61" s="10">
        <f t="shared" si="21"/>
        <v>29.584770714409373</v>
      </c>
      <c r="J61" s="10">
        <f t="shared" si="22"/>
        <v>15.512703486332354</v>
      </c>
      <c r="K61" s="10">
        <f t="shared" si="23"/>
        <v>23.815214246307498</v>
      </c>
      <c r="L61" s="10">
        <f t="shared" si="24"/>
        <v>41.214653662133529</v>
      </c>
      <c r="M61" s="10">
        <f t="shared" si="25"/>
        <v>4.6403168475717917</v>
      </c>
      <c r="N61" s="11">
        <f t="shared" si="26"/>
        <v>2</v>
      </c>
      <c r="O61" s="12">
        <f t="shared" si="27"/>
        <v>1.5833333333333333</v>
      </c>
      <c r="P61" s="13">
        <f t="shared" si="28"/>
        <v>1.2777777777777777</v>
      </c>
      <c r="Q61" s="1">
        <f t="shared" si="29"/>
        <v>1</v>
      </c>
    </row>
    <row r="62" spans="1:17" x14ac:dyDescent="0.25">
      <c r="A62" s="2" t="s">
        <v>204</v>
      </c>
      <c r="B62" s="25" t="s">
        <v>205</v>
      </c>
      <c r="C62" s="2" t="s">
        <v>206</v>
      </c>
      <c r="D62" s="14" t="s">
        <v>207</v>
      </c>
      <c r="E62" s="17">
        <v>1.1000000000000001</v>
      </c>
      <c r="F62" s="17">
        <v>7.9</v>
      </c>
      <c r="G62" s="17">
        <v>8.6</v>
      </c>
      <c r="H62" s="28">
        <f t="shared" si="20"/>
        <v>116.30824255856868</v>
      </c>
      <c r="I62" s="10">
        <f t="shared" si="21"/>
        <v>96.822885974430676</v>
      </c>
      <c r="J62" s="10">
        <f t="shared" si="22"/>
        <v>3.1390768972902729</v>
      </c>
      <c r="K62" s="10">
        <f t="shared" si="23"/>
        <v>15.12575199920563</v>
      </c>
      <c r="L62" s="10">
        <f t="shared" si="24"/>
        <v>0</v>
      </c>
      <c r="M62" s="10">
        <f t="shared" si="25"/>
        <v>1.2205276876420983</v>
      </c>
      <c r="N62" s="11">
        <f t="shared" si="26"/>
        <v>0.69999999999999929</v>
      </c>
      <c r="O62" s="12">
        <f t="shared" si="27"/>
        <v>1.3166666666666667</v>
      </c>
      <c r="P62" s="13">
        <f t="shared" si="28"/>
        <v>0</v>
      </c>
      <c r="Q62" s="1">
        <f t="shared" si="29"/>
        <v>1</v>
      </c>
    </row>
    <row r="63" spans="1:17" x14ac:dyDescent="0.25">
      <c r="A63" s="2" t="s">
        <v>317</v>
      </c>
      <c r="B63" s="25" t="s">
        <v>318</v>
      </c>
      <c r="C63" s="2" t="s">
        <v>319</v>
      </c>
      <c r="D63" s="14" t="s">
        <v>320</v>
      </c>
      <c r="E63" s="17">
        <v>4.5</v>
      </c>
      <c r="F63" s="17">
        <v>9.3000000000000007</v>
      </c>
      <c r="G63" s="17">
        <v>11.7</v>
      </c>
      <c r="H63" s="28">
        <f t="shared" si="20"/>
        <v>116.87186673822667</v>
      </c>
      <c r="I63" s="10">
        <f t="shared" si="21"/>
        <v>23.667816571527499</v>
      </c>
      <c r="J63" s="10">
        <f t="shared" si="22"/>
        <v>20.324729114112394</v>
      </c>
      <c r="K63" s="10">
        <f t="shared" si="23"/>
        <v>23.340705548136324</v>
      </c>
      <c r="L63" s="10">
        <f t="shared" si="24"/>
        <v>44.45060925789209</v>
      </c>
      <c r="M63" s="10">
        <f t="shared" si="25"/>
        <v>5.0880062465583453</v>
      </c>
      <c r="N63" s="11">
        <f t="shared" si="26"/>
        <v>2.3999999999999986</v>
      </c>
      <c r="O63" s="15">
        <f t="shared" si="27"/>
        <v>1.55</v>
      </c>
      <c r="P63" s="12">
        <f t="shared" si="28"/>
        <v>1.2999999999999998</v>
      </c>
      <c r="Q63" s="1">
        <f t="shared" si="29"/>
        <v>1</v>
      </c>
    </row>
    <row r="64" spans="1:17" x14ac:dyDescent="0.25">
      <c r="A64" s="2" t="s">
        <v>135</v>
      </c>
      <c r="B64" s="25" t="s">
        <v>136</v>
      </c>
      <c r="C64" s="2" t="s">
        <v>137</v>
      </c>
      <c r="D64" s="14" t="s">
        <v>138</v>
      </c>
      <c r="E64" s="17">
        <v>3.5</v>
      </c>
      <c r="F64" s="17">
        <v>7</v>
      </c>
      <c r="G64" s="17">
        <v>10.4</v>
      </c>
      <c r="H64" s="28">
        <f t="shared" si="20"/>
        <v>116.94898619993029</v>
      </c>
      <c r="I64" s="10">
        <f t="shared" si="21"/>
        <v>30.430049877678215</v>
      </c>
      <c r="J64" s="10">
        <f t="shared" si="22"/>
        <v>45.369561794891958</v>
      </c>
      <c r="K64" s="10">
        <f t="shared" si="23"/>
        <v>13.396910958881337</v>
      </c>
      <c r="L64" s="10">
        <f t="shared" si="24"/>
        <v>24.956396169552054</v>
      </c>
      <c r="M64" s="10">
        <f t="shared" si="25"/>
        <v>2.7960673989267386</v>
      </c>
      <c r="N64" s="11">
        <f t="shared" si="26"/>
        <v>3.4000000000000004</v>
      </c>
      <c r="O64" s="12">
        <f t="shared" si="27"/>
        <v>1.1666666666666667</v>
      </c>
      <c r="P64" s="13">
        <f t="shared" si="28"/>
        <v>1.1555555555555557</v>
      </c>
      <c r="Q64" s="1">
        <f t="shared" si="29"/>
        <v>1</v>
      </c>
    </row>
    <row r="65" spans="1:17" x14ac:dyDescent="0.25">
      <c r="A65" s="2" t="s">
        <v>280</v>
      </c>
      <c r="B65" s="25" t="s">
        <v>281</v>
      </c>
      <c r="C65" s="2" t="s">
        <v>282</v>
      </c>
      <c r="D65" s="14" t="s">
        <v>283</v>
      </c>
      <c r="E65" s="17">
        <v>2.5</v>
      </c>
      <c r="F65" s="17">
        <v>9.3000000000000007</v>
      </c>
      <c r="G65" s="17">
        <v>11.1</v>
      </c>
      <c r="H65" s="28">
        <f t="shared" si="20"/>
        <v>118.26257827778375</v>
      </c>
      <c r="I65" s="10">
        <f t="shared" si="21"/>
        <v>42.602069828749499</v>
      </c>
      <c r="J65" s="10">
        <f t="shared" si="22"/>
        <v>14.662654348981141</v>
      </c>
      <c r="K65" s="10">
        <f t="shared" si="23"/>
        <v>22.137086854796298</v>
      </c>
      <c r="L65" s="10">
        <f t="shared" si="24"/>
        <v>35.001119805009225</v>
      </c>
      <c r="M65" s="10">
        <f t="shared" si="25"/>
        <v>3.8596474402475893</v>
      </c>
      <c r="N65" s="11">
        <f t="shared" si="26"/>
        <v>1.7999999999999989</v>
      </c>
      <c r="O65" s="12">
        <f t="shared" si="27"/>
        <v>1.55</v>
      </c>
      <c r="P65" s="13">
        <f t="shared" si="28"/>
        <v>1.2333333333333334</v>
      </c>
      <c r="Q65" s="1">
        <f t="shared" si="29"/>
        <v>1</v>
      </c>
    </row>
    <row r="66" spans="1:17" x14ac:dyDescent="0.25">
      <c r="A66" s="2" t="s">
        <v>244</v>
      </c>
      <c r="B66" s="25" t="s">
        <v>245</v>
      </c>
      <c r="C66" s="2" t="s">
        <v>246</v>
      </c>
      <c r="D66" s="14" t="s">
        <v>247</v>
      </c>
      <c r="E66" s="17">
        <v>0.9</v>
      </c>
      <c r="F66" s="17">
        <v>5.8</v>
      </c>
      <c r="G66" s="17"/>
      <c r="H66" s="28">
        <f t="shared" si="20"/>
        <v>118.36233953327738</v>
      </c>
      <c r="I66" s="10">
        <f t="shared" si="21"/>
        <v>118.33908285763749</v>
      </c>
      <c r="J66" s="10">
        <f t="shared" si="22"/>
        <v>0</v>
      </c>
      <c r="K66" s="10">
        <f t="shared" si="23"/>
        <v>0</v>
      </c>
      <c r="L66" s="10">
        <f t="shared" si="24"/>
        <v>0</v>
      </c>
      <c r="M66" s="10">
        <f t="shared" si="25"/>
        <v>2.3256675639885347E-2</v>
      </c>
      <c r="N66" s="11">
        <f t="shared" si="26"/>
        <v>0</v>
      </c>
      <c r="O66" s="12">
        <f t="shared" si="27"/>
        <v>0</v>
      </c>
      <c r="P66" s="13">
        <f t="shared" si="28"/>
        <v>0</v>
      </c>
      <c r="Q66" s="1">
        <f t="shared" si="29"/>
        <v>1</v>
      </c>
    </row>
    <row r="67" spans="1:17" x14ac:dyDescent="0.25">
      <c r="A67" s="2" t="s">
        <v>240</v>
      </c>
      <c r="B67" s="25" t="s">
        <v>241</v>
      </c>
      <c r="C67" s="2" t="s">
        <v>242</v>
      </c>
      <c r="D67" s="14" t="s">
        <v>243</v>
      </c>
      <c r="E67" s="17">
        <v>0.9</v>
      </c>
      <c r="F67" s="17">
        <v>5.8</v>
      </c>
      <c r="G67" s="17">
        <v>6.7</v>
      </c>
      <c r="H67" s="28">
        <f t="shared" si="20"/>
        <v>118.84788348229333</v>
      </c>
      <c r="I67" s="10">
        <f t="shared" si="21"/>
        <v>118.33908285763749</v>
      </c>
      <c r="J67" s="10">
        <f t="shared" si="22"/>
        <v>0</v>
      </c>
      <c r="K67" s="10">
        <f t="shared" si="23"/>
        <v>0</v>
      </c>
      <c r="L67" s="10">
        <f t="shared" si="24"/>
        <v>0</v>
      </c>
      <c r="M67" s="10">
        <f t="shared" si="25"/>
        <v>0.50880062465583642</v>
      </c>
      <c r="N67" s="11">
        <f t="shared" si="26"/>
        <v>0</v>
      </c>
      <c r="O67" s="15">
        <f t="shared" si="27"/>
        <v>0</v>
      </c>
      <c r="P67" s="12">
        <f t="shared" si="28"/>
        <v>0</v>
      </c>
      <c r="Q67" s="1">
        <f t="shared" si="29"/>
        <v>1</v>
      </c>
    </row>
    <row r="68" spans="1:17" x14ac:dyDescent="0.25">
      <c r="A68" s="2" t="s">
        <v>333</v>
      </c>
      <c r="B68" s="25" t="s">
        <v>334</v>
      </c>
      <c r="C68" s="2" t="s">
        <v>335</v>
      </c>
      <c r="D68" s="14" t="s">
        <v>336</v>
      </c>
      <c r="E68" s="17">
        <v>3</v>
      </c>
      <c r="F68" s="17">
        <v>9.6999999999999993</v>
      </c>
      <c r="G68" s="17">
        <v>11.5</v>
      </c>
      <c r="H68" s="28">
        <f t="shared" si="20"/>
        <v>119.29970288010826</v>
      </c>
      <c r="I68" s="10">
        <f t="shared" si="21"/>
        <v>35.501724857291251</v>
      </c>
      <c r="J68" s="10">
        <f t="shared" si="22"/>
        <v>13.57352207361982</v>
      </c>
      <c r="K68" s="10">
        <f t="shared" si="23"/>
        <v>24.369485439491857</v>
      </c>
      <c r="L68" s="10">
        <f t="shared" si="24"/>
        <v>41.214653662133529</v>
      </c>
      <c r="M68" s="10">
        <f t="shared" si="25"/>
        <v>4.6403168475717917</v>
      </c>
      <c r="N68" s="11">
        <f t="shared" si="26"/>
        <v>1.8000000000000007</v>
      </c>
      <c r="O68" s="12">
        <f t="shared" si="27"/>
        <v>1.6166666666666665</v>
      </c>
      <c r="P68" s="13">
        <f t="shared" si="28"/>
        <v>1.2777777777777777</v>
      </c>
      <c r="Q68" s="1">
        <f t="shared" si="29"/>
        <v>1</v>
      </c>
    </row>
    <row r="69" spans="1:17" x14ac:dyDescent="0.25">
      <c r="A69" s="2" t="s">
        <v>220</v>
      </c>
      <c r="B69" s="25" t="s">
        <v>221</v>
      </c>
      <c r="C69" s="2" t="s">
        <v>222</v>
      </c>
      <c r="D69" s="14" t="s">
        <v>223</v>
      </c>
      <c r="E69" s="17">
        <v>1.5</v>
      </c>
      <c r="F69" s="17">
        <v>9.9</v>
      </c>
      <c r="G69" s="17">
        <v>10.199999999999999</v>
      </c>
      <c r="H69" s="28">
        <f t="shared" si="20"/>
        <v>120.13642959592029</v>
      </c>
      <c r="I69" s="10">
        <f t="shared" si="21"/>
        <v>71.003449714582501</v>
      </c>
      <c r="J69" s="10">
        <f t="shared" si="22"/>
        <v>0.50562206453651348</v>
      </c>
      <c r="K69" s="10">
        <f t="shared" si="23"/>
        <v>23.797055909765803</v>
      </c>
      <c r="L69" s="10">
        <f t="shared" si="24"/>
        <v>22.280258131644615</v>
      </c>
      <c r="M69" s="10">
        <f t="shared" si="25"/>
        <v>2.5500437753908596</v>
      </c>
      <c r="N69" s="11">
        <f t="shared" si="26"/>
        <v>0.29999999999999893</v>
      </c>
      <c r="O69" s="12">
        <f t="shared" si="27"/>
        <v>1.6500000000000001</v>
      </c>
      <c r="P69" s="13">
        <f t="shared" si="28"/>
        <v>1.1333333333333333</v>
      </c>
      <c r="Q69" s="1">
        <f t="shared" si="29"/>
        <v>1</v>
      </c>
    </row>
    <row r="70" spans="1:17" x14ac:dyDescent="0.25">
      <c r="A70" s="2" t="s">
        <v>228</v>
      </c>
      <c r="B70" s="25" t="s">
        <v>229</v>
      </c>
      <c r="C70" s="2" t="s">
        <v>230</v>
      </c>
      <c r="D70" s="14" t="s">
        <v>231</v>
      </c>
      <c r="E70" s="17">
        <v>1.8</v>
      </c>
      <c r="F70" s="17">
        <v>8.6999999999999993</v>
      </c>
      <c r="G70" s="17">
        <v>10.4</v>
      </c>
      <c r="H70" s="28">
        <f t="shared" ref="H70:H101" si="30">I70+J70+K70+L70+M70</f>
        <v>120.90343519129614</v>
      </c>
      <c r="I70" s="10">
        <f t="shared" ref="I70:I101" si="31">116/1.2213*(0.0950502775050452+(1.12627632206642)/((1+($B$2/0.302756091410027)^2.26536793426585)^0.152776210790626))/E70</f>
        <v>59.169541428818746</v>
      </c>
      <c r="J70" s="10">
        <f t="shared" ref="J70:J101" si="32">N70*4.86728238951535*(G70-F70)/E70^0.423333111900057*(1+$B$2)^1.27639458772504</f>
        <v>15.030080534070562</v>
      </c>
      <c r="K70" s="10">
        <f t="shared" ref="K70:K101" si="33">O70*1.2577561731939*(F70+1.15557969130366)/(Q70*E70^-0.0900743729896674+(1-Q70)*(14-F70)^-0.0900743729896674)</f>
        <v>18.951349659928038</v>
      </c>
      <c r="L70" s="10">
        <f t="shared" ref="L70:L101" si="34">P70*9.68915003973139*(G70-8.17102416496663)</f>
        <v>24.956396169552054</v>
      </c>
      <c r="M70" s="10">
        <f t="shared" ref="M70:M101" si="35">0.152095843055359*(10^((G70+LN((6.5/$B$3)^2.512)-2.7)/5)-10^((G70-2.7)/5))</f>
        <v>2.7960673989267386</v>
      </c>
      <c r="N70" s="11">
        <f t="shared" ref="N70:N101" si="36">IF(G70-F70&lt;=1,IF(F70&lt;=6,0,G70-F70), G70-F70)</f>
        <v>1.7000000000000011</v>
      </c>
      <c r="O70" s="12">
        <f t="shared" ref="O70:O101" si="37">IF(F70-6&gt;0,F70/6,0)</f>
        <v>1.45</v>
      </c>
      <c r="P70" s="13">
        <f t="shared" ref="P70:P101" si="38">IF(G70-9&gt;0,G70/9,0)</f>
        <v>1.1555555555555557</v>
      </c>
      <c r="Q70" s="1">
        <f t="shared" ref="Q70:Q101" si="39">IF(E70&lt;=14-F70,1,0)</f>
        <v>1</v>
      </c>
    </row>
    <row r="71" spans="1:17" x14ac:dyDescent="0.25">
      <c r="A71" s="2" t="s">
        <v>188</v>
      </c>
      <c r="B71" s="25" t="s">
        <v>189</v>
      </c>
      <c r="C71" s="2" t="s">
        <v>190</v>
      </c>
      <c r="D71" s="14" t="s">
        <v>191</v>
      </c>
      <c r="E71" s="17">
        <v>1.5</v>
      </c>
      <c r="F71" s="17">
        <v>7.8</v>
      </c>
      <c r="G71" s="17">
        <v>9.6</v>
      </c>
      <c r="H71" s="28">
        <f t="shared" si="30"/>
        <v>121.09664710146332</v>
      </c>
      <c r="I71" s="10">
        <f t="shared" si="31"/>
        <v>71.003449714582501</v>
      </c>
      <c r="J71" s="10">
        <f t="shared" si="32"/>
        <v>18.202394323314614</v>
      </c>
      <c r="K71" s="10">
        <f t="shared" si="33"/>
        <v>15.187798353503903</v>
      </c>
      <c r="L71" s="10">
        <f t="shared" si="34"/>
        <v>14.768598686708023</v>
      </c>
      <c r="M71" s="10">
        <f t="shared" si="35"/>
        <v>1.9344060233542684</v>
      </c>
      <c r="N71" s="11">
        <f t="shared" si="36"/>
        <v>1.7999999999999998</v>
      </c>
      <c r="O71" s="12">
        <f t="shared" si="37"/>
        <v>1.3</v>
      </c>
      <c r="P71" s="13">
        <f t="shared" si="38"/>
        <v>1.0666666666666667</v>
      </c>
      <c r="Q71" s="1">
        <f t="shared" si="39"/>
        <v>1</v>
      </c>
    </row>
    <row r="72" spans="1:17" x14ac:dyDescent="0.25">
      <c r="A72" s="14" t="s">
        <v>401</v>
      </c>
      <c r="B72" s="25" t="s">
        <v>402</v>
      </c>
      <c r="C72" s="14" t="s">
        <v>403</v>
      </c>
      <c r="D72" s="14" t="s">
        <v>404</v>
      </c>
      <c r="E72" s="17">
        <v>4.2</v>
      </c>
      <c r="F72" s="17">
        <v>10</v>
      </c>
      <c r="G72" s="17">
        <v>12</v>
      </c>
      <c r="H72" s="28">
        <f t="shared" si="30"/>
        <v>121.69414901727993</v>
      </c>
      <c r="I72" s="10">
        <f t="shared" si="31"/>
        <v>25.358374898065179</v>
      </c>
      <c r="J72" s="10">
        <f t="shared" si="32"/>
        <v>14.532713054265461</v>
      </c>
      <c r="K72" s="10">
        <f t="shared" si="33"/>
        <v>26.495219781239076</v>
      </c>
      <c r="L72" s="10">
        <f t="shared" si="34"/>
        <v>49.466028485525477</v>
      </c>
      <c r="M72" s="10">
        <f t="shared" si="35"/>
        <v>5.8418127981847441</v>
      </c>
      <c r="N72" s="11">
        <f t="shared" si="36"/>
        <v>2</v>
      </c>
      <c r="O72" s="12">
        <f t="shared" si="37"/>
        <v>1.6666666666666667</v>
      </c>
      <c r="P72" s="13">
        <f t="shared" si="38"/>
        <v>1.3333333333333333</v>
      </c>
      <c r="Q72" s="1">
        <f t="shared" si="39"/>
        <v>0</v>
      </c>
    </row>
    <row r="73" spans="1:17" x14ac:dyDescent="0.25">
      <c r="A73" s="2" t="s">
        <v>192</v>
      </c>
      <c r="B73" s="25" t="s">
        <v>193</v>
      </c>
      <c r="C73" s="2" t="s">
        <v>194</v>
      </c>
      <c r="D73" s="14" t="s">
        <v>195</v>
      </c>
      <c r="E73" s="17">
        <v>1.3</v>
      </c>
      <c r="F73" s="17">
        <v>8.4</v>
      </c>
      <c r="G73" s="17">
        <v>9.5</v>
      </c>
      <c r="H73" s="28">
        <f t="shared" si="30"/>
        <v>121.81715833954188</v>
      </c>
      <c r="I73" s="10">
        <f t="shared" si="31"/>
        <v>81.927057362979809</v>
      </c>
      <c r="J73" s="10">
        <f t="shared" si="32"/>
        <v>7.2223435880279876</v>
      </c>
      <c r="K73" s="10">
        <f t="shared" si="33"/>
        <v>17.228398476125708</v>
      </c>
      <c r="L73" s="10">
        <f t="shared" si="34"/>
        <v>13.592015501749836</v>
      </c>
      <c r="M73" s="10">
        <f t="shared" si="35"/>
        <v>1.8473434106585345</v>
      </c>
      <c r="N73" s="11">
        <f t="shared" si="36"/>
        <v>1.0999999999999996</v>
      </c>
      <c r="O73" s="12">
        <f t="shared" si="37"/>
        <v>1.4000000000000001</v>
      </c>
      <c r="P73" s="13">
        <f t="shared" si="38"/>
        <v>1.0555555555555556</v>
      </c>
      <c r="Q73" s="1">
        <f t="shared" si="39"/>
        <v>1</v>
      </c>
    </row>
    <row r="74" spans="1:17" x14ac:dyDescent="0.25">
      <c r="A74" s="2" t="s">
        <v>349</v>
      </c>
      <c r="B74" s="25" t="s">
        <v>350</v>
      </c>
      <c r="C74" s="2" t="s">
        <v>351</v>
      </c>
      <c r="D74" s="14" t="s">
        <v>352</v>
      </c>
      <c r="E74" s="17">
        <v>3.1</v>
      </c>
      <c r="F74" s="17">
        <v>9.9</v>
      </c>
      <c r="G74" s="17">
        <v>11.7</v>
      </c>
      <c r="H74" s="28">
        <f t="shared" si="30"/>
        <v>122.68663923922195</v>
      </c>
      <c r="I74" s="10">
        <f t="shared" si="31"/>
        <v>34.356507926410885</v>
      </c>
      <c r="J74" s="10">
        <f t="shared" si="32"/>
        <v>13.386409434367742</v>
      </c>
      <c r="K74" s="10">
        <f t="shared" si="33"/>
        <v>25.40510637399289</v>
      </c>
      <c r="L74" s="10">
        <f t="shared" si="34"/>
        <v>44.45060925789209</v>
      </c>
      <c r="M74" s="10">
        <f t="shared" si="35"/>
        <v>5.0880062465583453</v>
      </c>
      <c r="N74" s="11">
        <f t="shared" si="36"/>
        <v>1.7999999999999989</v>
      </c>
      <c r="O74" s="12">
        <f t="shared" si="37"/>
        <v>1.6500000000000001</v>
      </c>
      <c r="P74" s="13">
        <f t="shared" si="38"/>
        <v>1.2999999999999998</v>
      </c>
      <c r="Q74" s="1">
        <f t="shared" si="39"/>
        <v>1</v>
      </c>
    </row>
    <row r="75" spans="1:17" x14ac:dyDescent="0.25">
      <c r="A75" s="2" t="s">
        <v>345</v>
      </c>
      <c r="B75" s="25" t="s">
        <v>346</v>
      </c>
      <c r="C75" s="2" t="s">
        <v>347</v>
      </c>
      <c r="D75" s="14" t="s">
        <v>348</v>
      </c>
      <c r="E75" s="17">
        <v>2.8</v>
      </c>
      <c r="F75" s="17">
        <v>9.8000000000000007</v>
      </c>
      <c r="G75" s="17">
        <v>11.6</v>
      </c>
      <c r="H75" s="28">
        <f t="shared" si="30"/>
        <v>124.38782984061706</v>
      </c>
      <c r="I75" s="10">
        <f t="shared" si="31"/>
        <v>38.037562347097769</v>
      </c>
      <c r="J75" s="10">
        <f t="shared" si="32"/>
        <v>13.975809688127672</v>
      </c>
      <c r="K75" s="10">
        <f t="shared" si="33"/>
        <v>24.693583824551176</v>
      </c>
      <c r="L75" s="10">
        <f t="shared" si="34"/>
        <v>42.821865737746435</v>
      </c>
      <c r="M75" s="10">
        <f t="shared" si="35"/>
        <v>4.8590082430939958</v>
      </c>
      <c r="N75" s="11">
        <f t="shared" si="36"/>
        <v>1.7999999999999989</v>
      </c>
      <c r="O75" s="15">
        <f t="shared" si="37"/>
        <v>1.6333333333333335</v>
      </c>
      <c r="P75" s="12">
        <f t="shared" si="38"/>
        <v>1.2888888888888888</v>
      </c>
      <c r="Q75" s="1">
        <f t="shared" si="39"/>
        <v>1</v>
      </c>
    </row>
    <row r="76" spans="1:17" x14ac:dyDescent="0.25">
      <c r="A76" s="2" t="s">
        <v>276</v>
      </c>
      <c r="B76" s="25" t="s">
        <v>277</v>
      </c>
      <c r="C76" s="2" t="s">
        <v>278</v>
      </c>
      <c r="D76" s="14" t="s">
        <v>279</v>
      </c>
      <c r="E76" s="17">
        <v>1.5</v>
      </c>
      <c r="F76" s="17">
        <v>9.6999999999999993</v>
      </c>
      <c r="G76" s="17">
        <v>10.4</v>
      </c>
      <c r="H76" s="28">
        <f t="shared" si="30"/>
        <v>124.40325020547222</v>
      </c>
      <c r="I76" s="10">
        <f t="shared" si="31"/>
        <v>71.003449714582501</v>
      </c>
      <c r="J76" s="10">
        <f t="shared" si="32"/>
        <v>2.7528312402543786</v>
      </c>
      <c r="K76" s="10">
        <f t="shared" si="33"/>
        <v>22.894505682156545</v>
      </c>
      <c r="L76" s="10">
        <f t="shared" si="34"/>
        <v>24.956396169552054</v>
      </c>
      <c r="M76" s="10">
        <f t="shared" si="35"/>
        <v>2.7960673989267386</v>
      </c>
      <c r="N76" s="11">
        <f t="shared" si="36"/>
        <v>0.70000000000000107</v>
      </c>
      <c r="O76" s="12">
        <f t="shared" si="37"/>
        <v>1.6166666666666665</v>
      </c>
      <c r="P76" s="13">
        <f t="shared" si="38"/>
        <v>1.1555555555555557</v>
      </c>
      <c r="Q76" s="1">
        <f t="shared" si="39"/>
        <v>1</v>
      </c>
    </row>
    <row r="77" spans="1:17" x14ac:dyDescent="0.25">
      <c r="A77" s="2" t="s">
        <v>329</v>
      </c>
      <c r="B77" s="25" t="s">
        <v>330</v>
      </c>
      <c r="C77" s="2" t="s">
        <v>331</v>
      </c>
      <c r="D77" s="14" t="s">
        <v>332</v>
      </c>
      <c r="E77" s="17">
        <v>2.2999999999999998</v>
      </c>
      <c r="F77" s="17">
        <v>9.4</v>
      </c>
      <c r="G77" s="17">
        <v>11.2</v>
      </c>
      <c r="H77" s="28">
        <f t="shared" si="30"/>
        <v>124.4799139884656</v>
      </c>
      <c r="I77" s="10">
        <f t="shared" si="31"/>
        <v>46.30659763994511</v>
      </c>
      <c r="J77" s="10">
        <f t="shared" si="32"/>
        <v>15.189462588653292</v>
      </c>
      <c r="K77" s="10">
        <f t="shared" si="33"/>
        <v>22.42010063728118</v>
      </c>
      <c r="L77" s="10">
        <f t="shared" si="34"/>
        <v>36.522206102491189</v>
      </c>
      <c r="M77" s="10">
        <f t="shared" si="35"/>
        <v>4.0415470200948116</v>
      </c>
      <c r="N77" s="11">
        <f t="shared" si="36"/>
        <v>1.7999999999999989</v>
      </c>
      <c r="O77" s="12">
        <f t="shared" si="37"/>
        <v>1.5666666666666667</v>
      </c>
      <c r="P77" s="13">
        <f t="shared" si="38"/>
        <v>1.2444444444444445</v>
      </c>
      <c r="Q77" s="1">
        <f t="shared" si="39"/>
        <v>1</v>
      </c>
    </row>
    <row r="78" spans="1:17" x14ac:dyDescent="0.25">
      <c r="A78" s="2" t="s">
        <v>381</v>
      </c>
      <c r="B78" s="25" t="s">
        <v>382</v>
      </c>
      <c r="C78" s="2" t="s">
        <v>383</v>
      </c>
      <c r="D78" s="14" t="s">
        <v>384</v>
      </c>
      <c r="E78" s="17">
        <v>5</v>
      </c>
      <c r="F78" s="17">
        <v>9.3000000000000007</v>
      </c>
      <c r="G78" s="17">
        <v>12</v>
      </c>
      <c r="H78" s="28">
        <f t="shared" si="30"/>
        <v>124.64254602065844</v>
      </c>
      <c r="I78" s="10">
        <f t="shared" si="31"/>
        <v>21.30103491437475</v>
      </c>
      <c r="J78" s="10">
        <f t="shared" si="32"/>
        <v>24.601361919177496</v>
      </c>
      <c r="K78" s="10">
        <f t="shared" si="33"/>
        <v>23.432307903395966</v>
      </c>
      <c r="L78" s="10">
        <f t="shared" si="34"/>
        <v>49.466028485525477</v>
      </c>
      <c r="M78" s="10">
        <f t="shared" si="35"/>
        <v>5.8418127981847441</v>
      </c>
      <c r="N78" s="11">
        <f t="shared" si="36"/>
        <v>2.6999999999999993</v>
      </c>
      <c r="O78" s="12">
        <f t="shared" si="37"/>
        <v>1.55</v>
      </c>
      <c r="P78" s="13">
        <f t="shared" si="38"/>
        <v>1.3333333333333333</v>
      </c>
      <c r="Q78" s="1">
        <f t="shared" si="39"/>
        <v>0</v>
      </c>
    </row>
    <row r="79" spans="1:17" x14ac:dyDescent="0.25">
      <c r="A79" s="2" t="s">
        <v>268</v>
      </c>
      <c r="B79" s="25" t="s">
        <v>269</v>
      </c>
      <c r="C79" s="2" t="s">
        <v>270</v>
      </c>
      <c r="D79" s="14" t="s">
        <v>271</v>
      </c>
      <c r="E79" s="17">
        <v>1</v>
      </c>
      <c r="F79" s="17">
        <v>8.5</v>
      </c>
      <c r="G79" s="17">
        <v>8.6</v>
      </c>
      <c r="H79" s="28">
        <f t="shared" si="30"/>
        <v>124.9969197404821</v>
      </c>
      <c r="I79" s="10">
        <f t="shared" si="31"/>
        <v>106.50517457187375</v>
      </c>
      <c r="J79" s="10">
        <f t="shared" si="32"/>
        <v>6.6700450753894011E-2</v>
      </c>
      <c r="K79" s="10">
        <f t="shared" si="33"/>
        <v>17.204517030212344</v>
      </c>
      <c r="L79" s="10">
        <f t="shared" si="34"/>
        <v>0</v>
      </c>
      <c r="M79" s="10">
        <f t="shared" si="35"/>
        <v>1.2205276876420983</v>
      </c>
      <c r="N79" s="11">
        <f t="shared" si="36"/>
        <v>9.9999999999999645E-2</v>
      </c>
      <c r="O79" s="12">
        <f t="shared" si="37"/>
        <v>1.4166666666666667</v>
      </c>
      <c r="P79" s="13">
        <f t="shared" si="38"/>
        <v>0</v>
      </c>
      <c r="Q79" s="1">
        <f t="shared" si="39"/>
        <v>1</v>
      </c>
    </row>
    <row r="80" spans="1:17" x14ac:dyDescent="0.25">
      <c r="A80" s="2" t="s">
        <v>131</v>
      </c>
      <c r="B80" s="25" t="s">
        <v>132</v>
      </c>
      <c r="C80" s="2" t="s">
        <v>133</v>
      </c>
      <c r="D80" s="14" t="s">
        <v>134</v>
      </c>
      <c r="E80" s="17">
        <v>2.8</v>
      </c>
      <c r="F80" s="17">
        <v>5.7</v>
      </c>
      <c r="G80" s="17">
        <v>9.6999999999999993</v>
      </c>
      <c r="H80" s="28">
        <f t="shared" si="30"/>
        <v>125.04619157277472</v>
      </c>
      <c r="I80" s="10">
        <f t="shared" si="31"/>
        <v>38.037562347097769</v>
      </c>
      <c r="J80" s="10">
        <f t="shared" si="32"/>
        <v>69.016344138902141</v>
      </c>
      <c r="K80" s="10">
        <f t="shared" si="33"/>
        <v>0</v>
      </c>
      <c r="L80" s="10">
        <f t="shared" si="34"/>
        <v>15.966713316198943</v>
      </c>
      <c r="M80" s="10">
        <f t="shared" si="35"/>
        <v>2.0255717705758691</v>
      </c>
      <c r="N80" s="11">
        <f t="shared" si="36"/>
        <v>3.9999999999999991</v>
      </c>
      <c r="O80" s="12">
        <f t="shared" si="37"/>
        <v>0</v>
      </c>
      <c r="P80" s="13">
        <f t="shared" si="38"/>
        <v>1.0777777777777777</v>
      </c>
      <c r="Q80" s="1">
        <f t="shared" si="39"/>
        <v>1</v>
      </c>
    </row>
    <row r="81" spans="1:17" x14ac:dyDescent="0.25">
      <c r="A81" s="2" t="s">
        <v>248</v>
      </c>
      <c r="B81" s="25" t="s">
        <v>249</v>
      </c>
      <c r="C81" s="2" t="s">
        <v>250</v>
      </c>
      <c r="D81" s="14" t="s">
        <v>251</v>
      </c>
      <c r="E81" s="17">
        <v>3.4</v>
      </c>
      <c r="F81" s="17">
        <v>7.8</v>
      </c>
      <c r="G81" s="17">
        <v>11</v>
      </c>
      <c r="H81" s="28">
        <f t="shared" si="30"/>
        <v>125.54728062583719</v>
      </c>
      <c r="I81" s="10">
        <f t="shared" si="31"/>
        <v>31.325051344668751</v>
      </c>
      <c r="J81" s="10">
        <f t="shared" si="32"/>
        <v>40.685166872370459</v>
      </c>
      <c r="K81" s="10">
        <f t="shared" si="33"/>
        <v>16.349562766644929</v>
      </c>
      <c r="L81" s="10">
        <f t="shared" si="34"/>
        <v>33.501564952059994</v>
      </c>
      <c r="M81" s="10">
        <f t="shared" si="35"/>
        <v>3.6859346900930472</v>
      </c>
      <c r="N81" s="11">
        <f t="shared" si="36"/>
        <v>3.2</v>
      </c>
      <c r="O81" s="12">
        <f t="shared" si="37"/>
        <v>1.3</v>
      </c>
      <c r="P81" s="13">
        <f t="shared" si="38"/>
        <v>1.2222222222222223</v>
      </c>
      <c r="Q81" s="1">
        <f t="shared" si="39"/>
        <v>1</v>
      </c>
    </row>
    <row r="82" spans="1:17" x14ac:dyDescent="0.25">
      <c r="A82" s="2" t="s">
        <v>166</v>
      </c>
      <c r="B82" s="25" t="s">
        <v>167</v>
      </c>
      <c r="C82" s="2" t="s">
        <v>182</v>
      </c>
      <c r="D82" s="14" t="s">
        <v>183</v>
      </c>
      <c r="E82" s="17">
        <v>12</v>
      </c>
      <c r="F82" s="17">
        <v>6.4</v>
      </c>
      <c r="G82" s="17">
        <v>11.5</v>
      </c>
      <c r="H82" s="28">
        <f t="shared" si="30"/>
        <v>127.49084663180535</v>
      </c>
      <c r="I82" s="10">
        <f t="shared" si="31"/>
        <v>8.8754312143228127</v>
      </c>
      <c r="J82" s="10">
        <f t="shared" si="32"/>
        <v>60.592094602325403</v>
      </c>
      <c r="K82" s="10">
        <f t="shared" si="33"/>
        <v>12.168350305451815</v>
      </c>
      <c r="L82" s="10">
        <f t="shared" si="34"/>
        <v>41.214653662133529</v>
      </c>
      <c r="M82" s="10">
        <f t="shared" si="35"/>
        <v>4.6403168475717917</v>
      </c>
      <c r="N82" s="11">
        <f t="shared" si="36"/>
        <v>5.0999999999999996</v>
      </c>
      <c r="O82" s="12">
        <f t="shared" si="37"/>
        <v>1.0666666666666667</v>
      </c>
      <c r="P82" s="13">
        <f t="shared" si="38"/>
        <v>1.2777777777777777</v>
      </c>
      <c r="Q82" s="1">
        <f t="shared" si="39"/>
        <v>0</v>
      </c>
    </row>
    <row r="83" spans="1:17" x14ac:dyDescent="0.25">
      <c r="A83" s="2" t="s">
        <v>361</v>
      </c>
      <c r="B83" s="25" t="s">
        <v>362</v>
      </c>
      <c r="C83" s="2" t="s">
        <v>363</v>
      </c>
      <c r="D83" s="14" t="s">
        <v>364</v>
      </c>
      <c r="E83" s="17">
        <v>2.2000000000000002</v>
      </c>
      <c r="F83" s="17">
        <v>9.9</v>
      </c>
      <c r="G83" s="17">
        <v>11.4</v>
      </c>
      <c r="H83" s="28">
        <f t="shared" si="30"/>
        <v>127.85282356747238</v>
      </c>
      <c r="I83" s="10">
        <f t="shared" si="31"/>
        <v>48.411442987215338</v>
      </c>
      <c r="J83" s="10">
        <f t="shared" si="32"/>
        <v>10.748613033248967</v>
      </c>
      <c r="K83" s="10">
        <f t="shared" si="33"/>
        <v>24.632326329733292</v>
      </c>
      <c r="L83" s="10">
        <f t="shared" si="34"/>
        <v>39.628973031053349</v>
      </c>
      <c r="M83" s="10">
        <f t="shared" si="35"/>
        <v>4.4314681862214416</v>
      </c>
      <c r="N83" s="11">
        <f t="shared" si="36"/>
        <v>1.5</v>
      </c>
      <c r="O83" s="12">
        <f t="shared" si="37"/>
        <v>1.6500000000000001</v>
      </c>
      <c r="P83" s="13">
        <f t="shared" si="38"/>
        <v>1.2666666666666666</v>
      </c>
      <c r="Q83" s="1">
        <f t="shared" si="39"/>
        <v>1</v>
      </c>
    </row>
    <row r="84" spans="1:17" x14ac:dyDescent="0.25">
      <c r="A84" s="2" t="s">
        <v>166</v>
      </c>
      <c r="B84" s="25" t="s">
        <v>288</v>
      </c>
      <c r="C84" s="2" t="s">
        <v>168</v>
      </c>
      <c r="D84" s="14" t="s">
        <v>169</v>
      </c>
      <c r="E84" s="17">
        <v>1</v>
      </c>
      <c r="F84" s="17">
        <v>7.5</v>
      </c>
      <c r="G84" s="17">
        <v>8.5</v>
      </c>
      <c r="H84" s="28">
        <f t="shared" si="30"/>
        <v>127.94907552663146</v>
      </c>
      <c r="I84" s="10">
        <f t="shared" si="31"/>
        <v>106.50517457187375</v>
      </c>
      <c r="J84" s="10">
        <f t="shared" si="32"/>
        <v>6.6700450753894485</v>
      </c>
      <c r="K84" s="10">
        <f t="shared" si="33"/>
        <v>13.608260986636163</v>
      </c>
      <c r="L84" s="10">
        <f t="shared" si="34"/>
        <v>0</v>
      </c>
      <c r="M84" s="10">
        <f t="shared" si="35"/>
        <v>1.165594892732092</v>
      </c>
      <c r="N84" s="11">
        <f t="shared" si="36"/>
        <v>1</v>
      </c>
      <c r="O84" s="12">
        <f t="shared" si="37"/>
        <v>1.25</v>
      </c>
      <c r="P84" s="13">
        <f t="shared" si="38"/>
        <v>0</v>
      </c>
      <c r="Q84" s="1">
        <f t="shared" si="39"/>
        <v>1</v>
      </c>
    </row>
    <row r="85" spans="1:17" x14ac:dyDescent="0.25">
      <c r="A85" s="2" t="s">
        <v>385</v>
      </c>
      <c r="B85" s="25" t="s">
        <v>386</v>
      </c>
      <c r="C85" s="2" t="s">
        <v>387</v>
      </c>
      <c r="D85" s="14" t="s">
        <v>388</v>
      </c>
      <c r="E85" s="17">
        <v>2.2999999999999998</v>
      </c>
      <c r="F85" s="17">
        <v>9.8000000000000007</v>
      </c>
      <c r="G85" s="17">
        <v>11.5</v>
      </c>
      <c r="H85" s="28">
        <f t="shared" si="30"/>
        <v>129.97009634525625</v>
      </c>
      <c r="I85" s="10">
        <f t="shared" si="31"/>
        <v>46.30659763994511</v>
      </c>
      <c r="J85" s="10">
        <f t="shared" si="32"/>
        <v>13.548625580619765</v>
      </c>
      <c r="K85" s="10">
        <f t="shared" si="33"/>
        <v>24.259902614986068</v>
      </c>
      <c r="L85" s="10">
        <f t="shared" si="34"/>
        <v>41.214653662133529</v>
      </c>
      <c r="M85" s="10">
        <f t="shared" si="35"/>
        <v>4.6403168475717917</v>
      </c>
      <c r="N85" s="11">
        <f t="shared" si="36"/>
        <v>1.6999999999999993</v>
      </c>
      <c r="O85" s="12">
        <f t="shared" si="37"/>
        <v>1.6333333333333335</v>
      </c>
      <c r="P85" s="13">
        <f t="shared" si="38"/>
        <v>1.2777777777777777</v>
      </c>
      <c r="Q85" s="1">
        <f t="shared" si="39"/>
        <v>1</v>
      </c>
    </row>
    <row r="86" spans="1:17" x14ac:dyDescent="0.25">
      <c r="A86" s="2" t="s">
        <v>353</v>
      </c>
      <c r="B86" s="25" t="s">
        <v>354</v>
      </c>
      <c r="C86" s="2" t="s">
        <v>355</v>
      </c>
      <c r="D86" s="14" t="s">
        <v>356</v>
      </c>
      <c r="E86" s="17">
        <v>2.9</v>
      </c>
      <c r="F86" s="17">
        <v>9</v>
      </c>
      <c r="G86" s="17">
        <v>11.5</v>
      </c>
      <c r="H86" s="28">
        <f t="shared" si="30"/>
        <v>130.23122230444437</v>
      </c>
      <c r="I86" s="10">
        <f t="shared" si="31"/>
        <v>36.725922266163366</v>
      </c>
      <c r="J86" s="10">
        <f t="shared" si="32"/>
        <v>26.561977396809926</v>
      </c>
      <c r="K86" s="10">
        <f t="shared" si="33"/>
        <v>21.088352131765756</v>
      </c>
      <c r="L86" s="10">
        <f t="shared" si="34"/>
        <v>41.214653662133529</v>
      </c>
      <c r="M86" s="10">
        <f t="shared" si="35"/>
        <v>4.6403168475717917</v>
      </c>
      <c r="N86" s="11">
        <f t="shared" si="36"/>
        <v>2.5</v>
      </c>
      <c r="O86" s="12">
        <f t="shared" si="37"/>
        <v>1.5</v>
      </c>
      <c r="P86" s="13">
        <f t="shared" si="38"/>
        <v>1.2777777777777777</v>
      </c>
      <c r="Q86" s="1">
        <f t="shared" si="39"/>
        <v>1</v>
      </c>
    </row>
    <row r="87" spans="1:17" s="4" customFormat="1" x14ac:dyDescent="0.25">
      <c r="A87" s="2" t="s">
        <v>321</v>
      </c>
      <c r="B87" s="25" t="s">
        <v>322</v>
      </c>
      <c r="C87" s="2" t="s">
        <v>323</v>
      </c>
      <c r="D87" s="14" t="s">
        <v>324</v>
      </c>
      <c r="E87" s="17">
        <v>3.5</v>
      </c>
      <c r="F87" s="17">
        <v>8.1</v>
      </c>
      <c r="G87" s="17">
        <v>11.3</v>
      </c>
      <c r="H87" s="28">
        <f t="shared" si="30"/>
        <v>130.50886908284878</v>
      </c>
      <c r="I87" s="10">
        <f t="shared" si="31"/>
        <v>30.430049877678215</v>
      </c>
      <c r="J87" s="10">
        <f t="shared" si="32"/>
        <v>40.188954392707075</v>
      </c>
      <c r="K87" s="10">
        <f t="shared" si="33"/>
        <v>17.593021704926237</v>
      </c>
      <c r="L87" s="10">
        <f t="shared" si="34"/>
        <v>38.064823844505916</v>
      </c>
      <c r="M87" s="10">
        <f t="shared" si="35"/>
        <v>4.2320192630313231</v>
      </c>
      <c r="N87" s="11">
        <f t="shared" si="36"/>
        <v>3.2000000000000011</v>
      </c>
      <c r="O87" s="12">
        <f t="shared" si="37"/>
        <v>1.3499999999999999</v>
      </c>
      <c r="P87" s="13">
        <f t="shared" si="38"/>
        <v>1.2555555555555555</v>
      </c>
      <c r="Q87" s="1">
        <f t="shared" si="39"/>
        <v>1</v>
      </c>
    </row>
    <row r="88" spans="1:17" x14ac:dyDescent="0.25">
      <c r="A88" s="2" t="s">
        <v>377</v>
      </c>
      <c r="B88" s="25" t="s">
        <v>378</v>
      </c>
      <c r="C88" s="2" t="s">
        <v>379</v>
      </c>
      <c r="D88" s="14" t="s">
        <v>380</v>
      </c>
      <c r="E88" s="17">
        <v>2.1</v>
      </c>
      <c r="F88" s="17">
        <v>9.5</v>
      </c>
      <c r="G88" s="17">
        <v>11.3</v>
      </c>
      <c r="H88" s="28">
        <f t="shared" si="30"/>
        <v>131.48604183886596</v>
      </c>
      <c r="I88" s="10">
        <f t="shared" si="31"/>
        <v>50.716749796130358</v>
      </c>
      <c r="J88" s="10">
        <f t="shared" si="32"/>
        <v>15.785839478870724</v>
      </c>
      <c r="K88" s="10">
        <f t="shared" si="33"/>
        <v>22.686609456327631</v>
      </c>
      <c r="L88" s="10">
        <f t="shared" si="34"/>
        <v>38.064823844505916</v>
      </c>
      <c r="M88" s="10">
        <f t="shared" si="35"/>
        <v>4.2320192630313231</v>
      </c>
      <c r="N88" s="11">
        <f t="shared" si="36"/>
        <v>1.8000000000000007</v>
      </c>
      <c r="O88" s="12">
        <f t="shared" si="37"/>
        <v>1.5833333333333333</v>
      </c>
      <c r="P88" s="13">
        <f t="shared" si="38"/>
        <v>1.2555555555555555</v>
      </c>
      <c r="Q88" s="1">
        <f t="shared" si="39"/>
        <v>1</v>
      </c>
    </row>
    <row r="89" spans="1:17" x14ac:dyDescent="0.25">
      <c r="A89" s="2" t="s">
        <v>337</v>
      </c>
      <c r="B89" s="25" t="s">
        <v>338</v>
      </c>
      <c r="C89" s="2" t="s">
        <v>339</v>
      </c>
      <c r="D89" s="14" t="s">
        <v>340</v>
      </c>
      <c r="E89" s="17">
        <v>1.4</v>
      </c>
      <c r="F89" s="17">
        <v>9.6999999999999993</v>
      </c>
      <c r="G89" s="17">
        <v>10.5</v>
      </c>
      <c r="H89" s="28">
        <f t="shared" si="30"/>
        <v>131.78449619998551</v>
      </c>
      <c r="I89" s="10">
        <f t="shared" si="31"/>
        <v>76.075124694195537</v>
      </c>
      <c r="J89" s="10">
        <f t="shared" si="32"/>
        <v>3.7020979638333782</v>
      </c>
      <c r="K89" s="10">
        <f t="shared" si="33"/>
        <v>22.752669190961107</v>
      </c>
      <c r="L89" s="10">
        <f t="shared" si="34"/>
        <v>26.326762355304865</v>
      </c>
      <c r="M89" s="10">
        <f t="shared" si="35"/>
        <v>2.9278419956906014</v>
      </c>
      <c r="N89" s="11">
        <f t="shared" si="36"/>
        <v>0.80000000000000071</v>
      </c>
      <c r="O89" s="12">
        <f t="shared" si="37"/>
        <v>1.6166666666666665</v>
      </c>
      <c r="P89" s="13">
        <f t="shared" si="38"/>
        <v>1.1666666666666667</v>
      </c>
      <c r="Q89" s="1">
        <f t="shared" si="39"/>
        <v>1</v>
      </c>
    </row>
    <row r="90" spans="1:17" x14ac:dyDescent="0.25">
      <c r="A90" s="2" t="s">
        <v>325</v>
      </c>
      <c r="B90" s="25" t="s">
        <v>326</v>
      </c>
      <c r="C90" s="2" t="s">
        <v>327</v>
      </c>
      <c r="D90" s="14" t="s">
        <v>328</v>
      </c>
      <c r="E90" s="17">
        <v>1.3</v>
      </c>
      <c r="F90" s="17">
        <v>9.9</v>
      </c>
      <c r="G90" s="17">
        <v>10.3</v>
      </c>
      <c r="H90" s="28">
        <f t="shared" si="30"/>
        <v>132.65215003132622</v>
      </c>
      <c r="I90" s="10">
        <f t="shared" si="31"/>
        <v>81.927057362979809</v>
      </c>
      <c r="J90" s="10">
        <f t="shared" si="32"/>
        <v>0.95502063973924034</v>
      </c>
      <c r="K90" s="10">
        <f t="shared" si="33"/>
        <v>23.49228696428392</v>
      </c>
      <c r="L90" s="10">
        <f t="shared" si="34"/>
        <v>23.607561428331977</v>
      </c>
      <c r="M90" s="10">
        <f t="shared" si="35"/>
        <v>2.6702236359912712</v>
      </c>
      <c r="N90" s="11">
        <f t="shared" si="36"/>
        <v>0.40000000000000036</v>
      </c>
      <c r="O90" s="12">
        <f t="shared" si="37"/>
        <v>1.6500000000000001</v>
      </c>
      <c r="P90" s="13">
        <f t="shared" si="38"/>
        <v>1.1444444444444446</v>
      </c>
      <c r="Q90" s="1">
        <f t="shared" si="39"/>
        <v>1</v>
      </c>
    </row>
    <row r="91" spans="1:17" x14ac:dyDescent="0.25">
      <c r="A91" s="2" t="s">
        <v>272</v>
      </c>
      <c r="B91" s="25" t="s">
        <v>273</v>
      </c>
      <c r="C91" s="2" t="s">
        <v>274</v>
      </c>
      <c r="D91" s="14" t="s">
        <v>275</v>
      </c>
      <c r="E91" s="17">
        <v>1.1000000000000001</v>
      </c>
      <c r="F91" s="17">
        <v>9.1</v>
      </c>
      <c r="G91" s="17">
        <v>9.5</v>
      </c>
      <c r="H91" s="28">
        <f t="shared" si="30"/>
        <v>133.01943707666766</v>
      </c>
      <c r="I91" s="10">
        <f t="shared" si="31"/>
        <v>96.822885974430676</v>
      </c>
      <c r="J91" s="10">
        <f t="shared" si="32"/>
        <v>1.0250047011560113</v>
      </c>
      <c r="K91" s="10">
        <f t="shared" si="33"/>
        <v>19.732187488672594</v>
      </c>
      <c r="L91" s="10">
        <f t="shared" si="34"/>
        <v>13.592015501749836</v>
      </c>
      <c r="M91" s="10">
        <f t="shared" si="35"/>
        <v>1.8473434106585345</v>
      </c>
      <c r="N91" s="11">
        <f t="shared" si="36"/>
        <v>0.40000000000000036</v>
      </c>
      <c r="O91" s="12">
        <f t="shared" si="37"/>
        <v>1.5166666666666666</v>
      </c>
      <c r="P91" s="13">
        <f t="shared" si="38"/>
        <v>1.0555555555555556</v>
      </c>
      <c r="Q91" s="1">
        <f t="shared" si="39"/>
        <v>1</v>
      </c>
    </row>
    <row r="92" spans="1:17" x14ac:dyDescent="0.25">
      <c r="A92" s="2" t="s">
        <v>365</v>
      </c>
      <c r="B92" s="25" t="s">
        <v>366</v>
      </c>
      <c r="C92" s="2" t="s">
        <v>367</v>
      </c>
      <c r="D92" s="14" t="s">
        <v>368</v>
      </c>
      <c r="E92" s="17">
        <v>1.1000000000000001</v>
      </c>
      <c r="F92" s="17">
        <v>6</v>
      </c>
      <c r="G92" s="17">
        <v>8.4</v>
      </c>
      <c r="H92" s="28">
        <f t="shared" si="30"/>
        <v>134.83618969691065</v>
      </c>
      <c r="I92" s="10">
        <f t="shared" si="31"/>
        <v>96.822885974430676</v>
      </c>
      <c r="J92" s="10">
        <f t="shared" si="32"/>
        <v>36.900169241616354</v>
      </c>
      <c r="K92" s="10">
        <f t="shared" si="33"/>
        <v>0</v>
      </c>
      <c r="L92" s="10">
        <f t="shared" si="34"/>
        <v>0</v>
      </c>
      <c r="M92" s="10">
        <f t="shared" si="35"/>
        <v>1.1131344808635986</v>
      </c>
      <c r="N92" s="11">
        <f t="shared" si="36"/>
        <v>2.4000000000000004</v>
      </c>
      <c r="O92" s="12">
        <f t="shared" si="37"/>
        <v>0</v>
      </c>
      <c r="P92" s="13">
        <f t="shared" si="38"/>
        <v>0</v>
      </c>
      <c r="Q92" s="1">
        <f t="shared" si="39"/>
        <v>1</v>
      </c>
    </row>
    <row r="93" spans="1:17" x14ac:dyDescent="0.25">
      <c r="A93" s="2" t="s">
        <v>256</v>
      </c>
      <c r="B93" s="25" t="s">
        <v>257</v>
      </c>
      <c r="C93" s="2" t="s">
        <v>258</v>
      </c>
      <c r="D93" s="14" t="s">
        <v>259</v>
      </c>
      <c r="E93" s="17">
        <v>5.7</v>
      </c>
      <c r="F93" s="17">
        <v>6.7</v>
      </c>
      <c r="G93" s="17">
        <v>11.2</v>
      </c>
      <c r="H93" s="28">
        <f t="shared" si="30"/>
        <v>136.80438376222585</v>
      </c>
      <c r="I93" s="10">
        <f t="shared" si="31"/>
        <v>18.685118345942762</v>
      </c>
      <c r="J93" s="10">
        <f t="shared" si="32"/>
        <v>64.649763654048911</v>
      </c>
      <c r="K93" s="10">
        <f t="shared" si="33"/>
        <v>12.9057486396482</v>
      </c>
      <c r="L93" s="10">
        <f t="shared" si="34"/>
        <v>36.522206102491189</v>
      </c>
      <c r="M93" s="10">
        <f t="shared" si="35"/>
        <v>4.0415470200948116</v>
      </c>
      <c r="N93" s="11">
        <f t="shared" si="36"/>
        <v>4.4999999999999991</v>
      </c>
      <c r="O93" s="12">
        <f t="shared" si="37"/>
        <v>1.1166666666666667</v>
      </c>
      <c r="P93" s="13">
        <f t="shared" si="38"/>
        <v>1.2444444444444445</v>
      </c>
      <c r="Q93" s="1">
        <f t="shared" si="39"/>
        <v>1</v>
      </c>
    </row>
    <row r="94" spans="1:17" x14ac:dyDescent="0.25">
      <c r="A94" s="2" t="s">
        <v>357</v>
      </c>
      <c r="B94" s="25" t="s">
        <v>358</v>
      </c>
      <c r="C94" s="2" t="s">
        <v>359</v>
      </c>
      <c r="D94" s="14" t="s">
        <v>360</v>
      </c>
      <c r="E94" s="17">
        <v>2.1</v>
      </c>
      <c r="F94" s="17">
        <v>8.1999999999999993</v>
      </c>
      <c r="G94" s="17">
        <v>10.9</v>
      </c>
      <c r="H94" s="28">
        <f t="shared" si="30"/>
        <v>138.97154171969083</v>
      </c>
      <c r="I94" s="10">
        <f t="shared" si="31"/>
        <v>50.716749796130358</v>
      </c>
      <c r="J94" s="10">
        <f t="shared" si="32"/>
        <v>35.518138827459133</v>
      </c>
      <c r="K94" s="10">
        <f t="shared" si="33"/>
        <v>17.193071250859759</v>
      </c>
      <c r="L94" s="10">
        <f t="shared" si="34"/>
        <v>32.023541543643496</v>
      </c>
      <c r="M94" s="10">
        <f t="shared" si="35"/>
        <v>3.5200403015980903</v>
      </c>
      <c r="N94" s="11">
        <f t="shared" si="36"/>
        <v>2.7000000000000011</v>
      </c>
      <c r="O94" s="12">
        <f t="shared" si="37"/>
        <v>1.3666666666666665</v>
      </c>
      <c r="P94" s="13">
        <f t="shared" si="38"/>
        <v>1.2111111111111112</v>
      </c>
      <c r="Q94" s="1">
        <f t="shared" si="39"/>
        <v>1</v>
      </c>
    </row>
    <row r="95" spans="1:17" x14ac:dyDescent="0.25">
      <c r="A95" s="2" t="s">
        <v>313</v>
      </c>
      <c r="B95" s="25" t="s">
        <v>314</v>
      </c>
      <c r="C95" s="2" t="s">
        <v>315</v>
      </c>
      <c r="D95" s="14" t="s">
        <v>316</v>
      </c>
      <c r="E95" s="17">
        <v>1</v>
      </c>
      <c r="F95" s="17">
        <v>9.1999999999999993</v>
      </c>
      <c r="G95" s="17">
        <v>9.4</v>
      </c>
      <c r="H95" s="28">
        <f t="shared" si="30"/>
        <v>140.94449063229396</v>
      </c>
      <c r="I95" s="10">
        <f t="shared" si="31"/>
        <v>106.50517457187375</v>
      </c>
      <c r="J95" s="10">
        <f t="shared" si="32"/>
        <v>0.26680180301558076</v>
      </c>
      <c r="K95" s="10">
        <f t="shared" si="33"/>
        <v>19.971351235065789</v>
      </c>
      <c r="L95" s="10">
        <f t="shared" si="34"/>
        <v>12.436963761324391</v>
      </c>
      <c r="M95" s="10">
        <f t="shared" si="35"/>
        <v>1.7641992610144543</v>
      </c>
      <c r="N95" s="11">
        <f t="shared" si="36"/>
        <v>0.20000000000000107</v>
      </c>
      <c r="O95" s="12">
        <f t="shared" si="37"/>
        <v>1.5333333333333332</v>
      </c>
      <c r="P95" s="13">
        <f t="shared" si="38"/>
        <v>1.0444444444444445</v>
      </c>
      <c r="Q95" s="1">
        <f t="shared" si="39"/>
        <v>1</v>
      </c>
    </row>
    <row r="96" spans="1:17" x14ac:dyDescent="0.25">
      <c r="A96" s="2" t="s">
        <v>309</v>
      </c>
      <c r="B96" s="25" t="s">
        <v>310</v>
      </c>
      <c r="C96" s="2" t="s">
        <v>311</v>
      </c>
      <c r="D96" s="14" t="s">
        <v>312</v>
      </c>
      <c r="E96" s="17">
        <v>1</v>
      </c>
      <c r="F96" s="17">
        <v>8.5</v>
      </c>
      <c r="G96" s="17">
        <v>9.3000000000000007</v>
      </c>
      <c r="H96" s="28">
        <f t="shared" si="30"/>
        <v>140.96676113030031</v>
      </c>
      <c r="I96" s="10">
        <f t="shared" si="31"/>
        <v>106.50517457187375</v>
      </c>
      <c r="J96" s="10">
        <f t="shared" si="32"/>
        <v>4.2688288482492549</v>
      </c>
      <c r="K96" s="10">
        <f t="shared" si="33"/>
        <v>17.204517030212344</v>
      </c>
      <c r="L96" s="10">
        <f t="shared" si="34"/>
        <v>11.303443465431679</v>
      </c>
      <c r="M96" s="10">
        <f t="shared" si="35"/>
        <v>1.6847972145333001</v>
      </c>
      <c r="N96" s="11">
        <f t="shared" si="36"/>
        <v>0.80000000000000071</v>
      </c>
      <c r="O96" s="12">
        <f t="shared" si="37"/>
        <v>1.4166666666666667</v>
      </c>
      <c r="P96" s="13">
        <f t="shared" si="38"/>
        <v>1.0333333333333334</v>
      </c>
      <c r="Q96" s="1">
        <f t="shared" si="39"/>
        <v>1</v>
      </c>
    </row>
    <row r="97" spans="1:17" x14ac:dyDescent="0.25">
      <c r="A97" s="2" t="s">
        <v>413</v>
      </c>
      <c r="B97" s="25" t="s">
        <v>414</v>
      </c>
      <c r="C97" s="2" t="s">
        <v>415</v>
      </c>
      <c r="D97" s="14" t="s">
        <v>416</v>
      </c>
      <c r="E97" s="17">
        <v>1.9</v>
      </c>
      <c r="F97" s="17">
        <v>8.8000000000000007</v>
      </c>
      <c r="G97" s="17">
        <v>11.1</v>
      </c>
      <c r="H97" s="28">
        <f t="shared" si="30"/>
        <v>141.26359444646565</v>
      </c>
      <c r="I97" s="10">
        <f t="shared" si="31"/>
        <v>56.055355037828292</v>
      </c>
      <c r="J97" s="10">
        <f t="shared" si="32"/>
        <v>26.889257588241474</v>
      </c>
      <c r="K97" s="10">
        <f t="shared" si="33"/>
        <v>19.458214575139081</v>
      </c>
      <c r="L97" s="10">
        <f t="shared" si="34"/>
        <v>35.001119805009225</v>
      </c>
      <c r="M97" s="10">
        <f t="shared" si="35"/>
        <v>3.8596474402475893</v>
      </c>
      <c r="N97" s="11">
        <f t="shared" si="36"/>
        <v>2.2999999999999989</v>
      </c>
      <c r="O97" s="12">
        <f t="shared" si="37"/>
        <v>1.4666666666666668</v>
      </c>
      <c r="P97" s="13">
        <f t="shared" si="38"/>
        <v>1.2333333333333334</v>
      </c>
      <c r="Q97" s="1">
        <f t="shared" si="39"/>
        <v>1</v>
      </c>
    </row>
    <row r="98" spans="1:17" x14ac:dyDescent="0.25">
      <c r="A98" s="2" t="s">
        <v>433</v>
      </c>
      <c r="B98" s="25" t="s">
        <v>434</v>
      </c>
      <c r="C98" s="2" t="s">
        <v>435</v>
      </c>
      <c r="D98" s="14" t="s">
        <v>436</v>
      </c>
      <c r="E98" s="17">
        <v>2.2999999999999998</v>
      </c>
      <c r="F98" s="17">
        <v>9</v>
      </c>
      <c r="G98" s="17">
        <v>11.5</v>
      </c>
      <c r="H98" s="28">
        <f t="shared" si="30"/>
        <v>142.11483420917875</v>
      </c>
      <c r="I98" s="10">
        <f t="shared" si="31"/>
        <v>46.30659763994511</v>
      </c>
      <c r="J98" s="10">
        <f t="shared" si="32"/>
        <v>29.300660857741725</v>
      </c>
      <c r="K98" s="10">
        <f t="shared" si="33"/>
        <v>20.652605201786582</v>
      </c>
      <c r="L98" s="10">
        <f t="shared" si="34"/>
        <v>41.214653662133529</v>
      </c>
      <c r="M98" s="10">
        <f t="shared" si="35"/>
        <v>4.6403168475717917</v>
      </c>
      <c r="N98" s="11">
        <f t="shared" si="36"/>
        <v>2.5</v>
      </c>
      <c r="O98" s="12">
        <f t="shared" si="37"/>
        <v>1.5</v>
      </c>
      <c r="P98" s="13">
        <f t="shared" si="38"/>
        <v>1.2777777777777777</v>
      </c>
      <c r="Q98" s="1">
        <f t="shared" si="39"/>
        <v>1</v>
      </c>
    </row>
    <row r="99" spans="1:17" x14ac:dyDescent="0.25">
      <c r="A99" s="2" t="s">
        <v>393</v>
      </c>
      <c r="B99" s="25" t="s">
        <v>394</v>
      </c>
      <c r="C99" s="2" t="s">
        <v>395</v>
      </c>
      <c r="D99" s="14" t="s">
        <v>396</v>
      </c>
      <c r="E99" s="17">
        <v>0.9</v>
      </c>
      <c r="F99" s="17">
        <v>7.3</v>
      </c>
      <c r="G99" s="17">
        <v>8.5</v>
      </c>
      <c r="H99" s="28">
        <f t="shared" si="30"/>
        <v>142.36474519551973</v>
      </c>
      <c r="I99" s="10">
        <f t="shared" si="31"/>
        <v>118.33908285763749</v>
      </c>
      <c r="J99" s="10">
        <f t="shared" si="32"/>
        <v>10.042964367254967</v>
      </c>
      <c r="K99" s="10">
        <f t="shared" si="33"/>
        <v>12.81710307789519</v>
      </c>
      <c r="L99" s="10">
        <f t="shared" si="34"/>
        <v>0</v>
      </c>
      <c r="M99" s="10">
        <f t="shared" si="35"/>
        <v>1.165594892732092</v>
      </c>
      <c r="N99" s="11">
        <f t="shared" si="36"/>
        <v>1.2000000000000002</v>
      </c>
      <c r="O99" s="12">
        <f t="shared" si="37"/>
        <v>1.2166666666666666</v>
      </c>
      <c r="P99" s="13">
        <f t="shared" si="38"/>
        <v>0</v>
      </c>
      <c r="Q99" s="1">
        <f t="shared" si="39"/>
        <v>1</v>
      </c>
    </row>
    <row r="100" spans="1:17" x14ac:dyDescent="0.25">
      <c r="A100" s="2" t="s">
        <v>397</v>
      </c>
      <c r="B100" s="25" t="s">
        <v>398</v>
      </c>
      <c r="C100" s="2" t="s">
        <v>399</v>
      </c>
      <c r="D100" s="14" t="s">
        <v>400</v>
      </c>
      <c r="E100" s="17">
        <v>1.2</v>
      </c>
      <c r="F100" s="17">
        <v>9.5</v>
      </c>
      <c r="G100" s="17">
        <v>10.4</v>
      </c>
      <c r="H100" s="28">
        <f t="shared" si="30"/>
        <v>143.07958875081246</v>
      </c>
      <c r="I100" s="10">
        <f t="shared" si="31"/>
        <v>88.754312143228134</v>
      </c>
      <c r="J100" s="10">
        <f t="shared" si="32"/>
        <v>5.0014248133725072</v>
      </c>
      <c r="K100" s="10">
        <f t="shared" si="33"/>
        <v>21.571388225733035</v>
      </c>
      <c r="L100" s="10">
        <f t="shared" si="34"/>
        <v>24.956396169552054</v>
      </c>
      <c r="M100" s="10">
        <f t="shared" si="35"/>
        <v>2.7960673989267386</v>
      </c>
      <c r="N100" s="11">
        <f t="shared" si="36"/>
        <v>0.90000000000000036</v>
      </c>
      <c r="O100" s="12">
        <f t="shared" si="37"/>
        <v>1.5833333333333333</v>
      </c>
      <c r="P100" s="13">
        <f t="shared" si="38"/>
        <v>1.1555555555555557</v>
      </c>
      <c r="Q100" s="1">
        <f t="shared" si="39"/>
        <v>1</v>
      </c>
    </row>
    <row r="101" spans="1:17" x14ac:dyDescent="0.25">
      <c r="A101" s="2" t="s">
        <v>437</v>
      </c>
      <c r="B101" s="25" t="s">
        <v>438</v>
      </c>
      <c r="C101" s="2" t="s">
        <v>439</v>
      </c>
      <c r="D101" s="14" t="s">
        <v>440</v>
      </c>
      <c r="E101" s="17">
        <v>1.6</v>
      </c>
      <c r="F101" s="17">
        <v>9.3000000000000007</v>
      </c>
      <c r="G101" s="17">
        <v>11.1</v>
      </c>
      <c r="H101" s="28">
        <f t="shared" si="30"/>
        <v>144.40316137414007</v>
      </c>
      <c r="I101" s="10">
        <f t="shared" si="31"/>
        <v>66.565734107421093</v>
      </c>
      <c r="J101" s="10">
        <f t="shared" si="32"/>
        <v>17.711813541429471</v>
      </c>
      <c r="K101" s="10">
        <f t="shared" si="33"/>
        <v>21.264846480032706</v>
      </c>
      <c r="L101" s="10">
        <f t="shared" si="34"/>
        <v>35.001119805009225</v>
      </c>
      <c r="M101" s="10">
        <f t="shared" si="35"/>
        <v>3.8596474402475893</v>
      </c>
      <c r="N101" s="11">
        <f t="shared" si="36"/>
        <v>1.7999999999999989</v>
      </c>
      <c r="O101" s="12">
        <f t="shared" si="37"/>
        <v>1.55</v>
      </c>
      <c r="P101" s="13">
        <f t="shared" si="38"/>
        <v>1.2333333333333334</v>
      </c>
      <c r="Q101" s="1">
        <f t="shared" si="39"/>
        <v>1</v>
      </c>
    </row>
    <row r="102" spans="1:17" x14ac:dyDescent="0.25">
      <c r="A102" s="2" t="s">
        <v>449</v>
      </c>
      <c r="B102" s="25" t="s">
        <v>450</v>
      </c>
      <c r="C102" s="2" t="s">
        <v>451</v>
      </c>
      <c r="D102" s="14" t="s">
        <v>452</v>
      </c>
      <c r="E102" s="17">
        <v>1.5</v>
      </c>
      <c r="F102" s="17">
        <v>9.6</v>
      </c>
      <c r="G102" s="17">
        <v>11.1</v>
      </c>
      <c r="H102" s="28">
        <f t="shared" ref="H102:H133" si="40">I102+J102+K102+L102+M102</f>
        <v>144.95452184712022</v>
      </c>
      <c r="I102" s="10">
        <f t="shared" ref="I102:I133" si="41">116/1.2213*(0.0950502775050452+(1.12627632206642)/((1+($B$2/0.302756091410027)^2.26536793426585)^0.152776210790626))/E102</f>
        <v>71.003449714582501</v>
      </c>
      <c r="J102" s="10">
        <f t="shared" ref="J102:J133" si="42">N102*4.86728238951535*(G102-F102)/E102^0.423333111900057*(1+$B$2)^1.27639458772504</f>
        <v>12.640551613412928</v>
      </c>
      <c r="K102" s="10">
        <f t="shared" ref="K102:K133" si="43">O102*1.2577561731939*(F102+1.15557969130366)/(Q102*E102^-0.0900743729896674+(1-Q102)*(14-F102)^-0.0900743729896674)</f>
        <v>22.449753273867966</v>
      </c>
      <c r="L102" s="10">
        <f t="shared" ref="L102:L133" si="44">P102*9.68915003973139*(G102-8.17102416496663)</f>
        <v>35.001119805009225</v>
      </c>
      <c r="M102" s="10">
        <f t="shared" ref="M102:M133" si="45">0.152095843055359*(10^((G102+LN((6.5/$B$3)^2.512)-2.7)/5)-10^((G102-2.7)/5))</f>
        <v>3.8596474402475893</v>
      </c>
      <c r="N102" s="11">
        <f t="shared" ref="N102:N133" si="46">IF(G102-F102&lt;=1,IF(F102&lt;=6,0,G102-F102), G102-F102)</f>
        <v>1.5</v>
      </c>
      <c r="O102" s="12">
        <f t="shared" ref="O102:O133" si="47">IF(F102-6&gt;0,F102/6,0)</f>
        <v>1.5999999999999999</v>
      </c>
      <c r="P102" s="13">
        <f t="shared" ref="P102:P133" si="48">IF(G102-9&gt;0,G102/9,0)</f>
        <v>1.2333333333333334</v>
      </c>
      <c r="Q102" s="1">
        <f t="shared" ref="Q102:Q133" si="49">IF(E102&lt;=14-F102,1,0)</f>
        <v>1</v>
      </c>
    </row>
    <row r="103" spans="1:17" x14ac:dyDescent="0.25">
      <c r="A103" s="2" t="s">
        <v>166</v>
      </c>
      <c r="B103" s="25" t="s">
        <v>167</v>
      </c>
      <c r="C103" s="2" t="s">
        <v>168</v>
      </c>
      <c r="D103" s="14" t="s">
        <v>183</v>
      </c>
      <c r="E103" s="17">
        <v>4.5999999999999996</v>
      </c>
      <c r="F103" s="17">
        <v>6.6</v>
      </c>
      <c r="G103" s="17">
        <v>11.1</v>
      </c>
      <c r="H103" s="28">
        <f t="shared" si="40"/>
        <v>145.11765220338145</v>
      </c>
      <c r="I103" s="10">
        <f t="shared" si="41"/>
        <v>23.153298819972555</v>
      </c>
      <c r="J103" s="10">
        <f t="shared" si="42"/>
        <v>70.792371484004633</v>
      </c>
      <c r="K103" s="10">
        <f t="shared" si="43"/>
        <v>12.311214654147465</v>
      </c>
      <c r="L103" s="10">
        <f t="shared" si="44"/>
        <v>35.001119805009225</v>
      </c>
      <c r="M103" s="10">
        <f t="shared" si="45"/>
        <v>3.8596474402475893</v>
      </c>
      <c r="N103" s="11">
        <f t="shared" si="46"/>
        <v>4.5</v>
      </c>
      <c r="O103" s="12">
        <f t="shared" si="47"/>
        <v>1.0999999999999999</v>
      </c>
      <c r="P103" s="13">
        <f t="shared" si="48"/>
        <v>1.2333333333333334</v>
      </c>
      <c r="Q103" s="1">
        <f t="shared" si="49"/>
        <v>1</v>
      </c>
    </row>
    <row r="104" spans="1:17" x14ac:dyDescent="0.25">
      <c r="A104" s="2" t="s">
        <v>373</v>
      </c>
      <c r="B104" s="25" t="s">
        <v>374</v>
      </c>
      <c r="C104" s="2" t="s">
        <v>375</v>
      </c>
      <c r="D104" s="14" t="s">
        <v>376</v>
      </c>
      <c r="E104" s="17">
        <v>5.0999999999999996</v>
      </c>
      <c r="F104" s="17">
        <v>7.3</v>
      </c>
      <c r="G104" s="17">
        <v>11.6</v>
      </c>
      <c r="H104" s="28">
        <f t="shared" si="40"/>
        <v>145.42564265234722</v>
      </c>
      <c r="I104" s="10">
        <f t="shared" si="41"/>
        <v>20.8833675631125</v>
      </c>
      <c r="J104" s="10">
        <f t="shared" si="42"/>
        <v>61.876792830992898</v>
      </c>
      <c r="K104" s="10">
        <f t="shared" si="43"/>
        <v>14.984608277401385</v>
      </c>
      <c r="L104" s="10">
        <f t="shared" si="44"/>
        <v>42.821865737746435</v>
      </c>
      <c r="M104" s="10">
        <f t="shared" si="45"/>
        <v>4.8590082430939958</v>
      </c>
      <c r="N104" s="11">
        <f t="shared" si="46"/>
        <v>4.3</v>
      </c>
      <c r="O104" s="12">
        <f t="shared" si="47"/>
        <v>1.2166666666666666</v>
      </c>
      <c r="P104" s="13">
        <f t="shared" si="48"/>
        <v>1.2888888888888888</v>
      </c>
      <c r="Q104" s="1">
        <f t="shared" si="49"/>
        <v>1</v>
      </c>
    </row>
    <row r="105" spans="1:17" x14ac:dyDescent="0.25">
      <c r="A105" s="2" t="s">
        <v>461</v>
      </c>
      <c r="B105" s="25" t="s">
        <v>462</v>
      </c>
      <c r="C105" s="2" t="s">
        <v>463</v>
      </c>
      <c r="D105" s="14" t="s">
        <v>464</v>
      </c>
      <c r="E105" s="17">
        <v>2.1</v>
      </c>
      <c r="F105" s="17">
        <v>8.8000000000000007</v>
      </c>
      <c r="G105" s="17">
        <v>11.4</v>
      </c>
      <c r="H105" s="28">
        <f t="shared" si="40"/>
        <v>147.34750088087893</v>
      </c>
      <c r="I105" s="10">
        <f t="shared" si="41"/>
        <v>50.716749796130358</v>
      </c>
      <c r="J105" s="10">
        <f t="shared" si="42"/>
        <v>32.935887307767281</v>
      </c>
      <c r="K105" s="10">
        <f t="shared" si="43"/>
        <v>19.634422559706479</v>
      </c>
      <c r="L105" s="10">
        <f t="shared" si="44"/>
        <v>39.628973031053349</v>
      </c>
      <c r="M105" s="10">
        <f t="shared" si="45"/>
        <v>4.4314681862214416</v>
      </c>
      <c r="N105" s="11">
        <f t="shared" si="46"/>
        <v>2.5999999999999996</v>
      </c>
      <c r="O105" s="12">
        <f t="shared" si="47"/>
        <v>1.4666666666666668</v>
      </c>
      <c r="P105" s="13">
        <f t="shared" si="48"/>
        <v>1.2666666666666666</v>
      </c>
      <c r="Q105" s="1">
        <f t="shared" si="49"/>
        <v>1</v>
      </c>
    </row>
    <row r="106" spans="1:17" x14ac:dyDescent="0.25">
      <c r="A106" s="2" t="s">
        <v>429</v>
      </c>
      <c r="B106" s="25" t="s">
        <v>430</v>
      </c>
      <c r="C106" s="2" t="s">
        <v>431</v>
      </c>
      <c r="D106" s="14" t="s">
        <v>432</v>
      </c>
      <c r="E106" s="17">
        <v>1.9</v>
      </c>
      <c r="F106" s="17">
        <v>8.3000000000000007</v>
      </c>
      <c r="G106" s="17">
        <v>11</v>
      </c>
      <c r="H106" s="28">
        <f t="shared" si="40"/>
        <v>147.72909134597927</v>
      </c>
      <c r="I106" s="10">
        <f t="shared" si="41"/>
        <v>56.055355037828292</v>
      </c>
      <c r="J106" s="10">
        <f t="shared" si="42"/>
        <v>37.055328510071909</v>
      </c>
      <c r="K106" s="10">
        <f t="shared" si="43"/>
        <v>17.430908155926037</v>
      </c>
      <c r="L106" s="10">
        <f t="shared" si="44"/>
        <v>33.501564952059994</v>
      </c>
      <c r="M106" s="10">
        <f t="shared" si="45"/>
        <v>3.6859346900930472</v>
      </c>
      <c r="N106" s="11">
        <f t="shared" si="46"/>
        <v>2.6999999999999993</v>
      </c>
      <c r="O106" s="12">
        <f t="shared" si="47"/>
        <v>1.3833333333333335</v>
      </c>
      <c r="P106" s="13">
        <f t="shared" si="48"/>
        <v>1.2222222222222223</v>
      </c>
      <c r="Q106" s="1">
        <f t="shared" si="49"/>
        <v>1</v>
      </c>
    </row>
    <row r="107" spans="1:17" x14ac:dyDescent="0.25">
      <c r="A107" s="2" t="s">
        <v>421</v>
      </c>
      <c r="B107" s="25" t="s">
        <v>422</v>
      </c>
      <c r="C107" s="2" t="s">
        <v>423</v>
      </c>
      <c r="D107" s="14" t="s">
        <v>424</v>
      </c>
      <c r="E107" s="17">
        <v>3.1</v>
      </c>
      <c r="F107" s="17">
        <v>8</v>
      </c>
      <c r="G107" s="17">
        <v>11.5</v>
      </c>
      <c r="H107" s="28">
        <f t="shared" si="40"/>
        <v>147.824896577592</v>
      </c>
      <c r="I107" s="10">
        <f t="shared" si="41"/>
        <v>34.356507926410885</v>
      </c>
      <c r="J107" s="10">
        <f t="shared" si="42"/>
        <v>50.612196163890438</v>
      </c>
      <c r="K107" s="10">
        <f t="shared" si="43"/>
        <v>17.001221977585363</v>
      </c>
      <c r="L107" s="10">
        <f t="shared" si="44"/>
        <v>41.214653662133529</v>
      </c>
      <c r="M107" s="10">
        <f t="shared" si="45"/>
        <v>4.6403168475717917</v>
      </c>
      <c r="N107" s="11">
        <f t="shared" si="46"/>
        <v>3.5</v>
      </c>
      <c r="O107" s="12">
        <f t="shared" si="47"/>
        <v>1.3333333333333333</v>
      </c>
      <c r="P107" s="13">
        <f t="shared" si="48"/>
        <v>1.2777777777777777</v>
      </c>
      <c r="Q107" s="1">
        <f t="shared" si="49"/>
        <v>1</v>
      </c>
    </row>
    <row r="108" spans="1:17" x14ac:dyDescent="0.25">
      <c r="A108" s="2" t="s">
        <v>341</v>
      </c>
      <c r="B108" s="25" t="s">
        <v>342</v>
      </c>
      <c r="C108" s="2" t="s">
        <v>343</v>
      </c>
      <c r="D108" s="14" t="s">
        <v>344</v>
      </c>
      <c r="E108" s="17">
        <v>7.9</v>
      </c>
      <c r="F108" s="17">
        <v>6.8</v>
      </c>
      <c r="G108" s="17">
        <v>11.8</v>
      </c>
      <c r="H108" s="28">
        <f t="shared" si="40"/>
        <v>147.971748012559</v>
      </c>
      <c r="I108" s="10">
        <f t="shared" si="41"/>
        <v>13.481667667325791</v>
      </c>
      <c r="J108" s="10">
        <f t="shared" si="42"/>
        <v>69.514196567151927</v>
      </c>
      <c r="K108" s="10">
        <f t="shared" si="43"/>
        <v>13.547202962078249</v>
      </c>
      <c r="L108" s="10">
        <f t="shared" si="44"/>
        <v>46.1008842225705</v>
      </c>
      <c r="M108" s="10">
        <f t="shared" si="45"/>
        <v>5.3277965934325513</v>
      </c>
      <c r="N108" s="11">
        <f t="shared" si="46"/>
        <v>5.0000000000000009</v>
      </c>
      <c r="O108" s="12">
        <f t="shared" si="47"/>
        <v>1.1333333333333333</v>
      </c>
      <c r="P108" s="13">
        <f t="shared" si="48"/>
        <v>1.3111111111111111</v>
      </c>
      <c r="Q108" s="1">
        <f t="shared" si="49"/>
        <v>0</v>
      </c>
    </row>
    <row r="109" spans="1:17" x14ac:dyDescent="0.25">
      <c r="A109" s="2" t="s">
        <v>389</v>
      </c>
      <c r="B109" s="25" t="s">
        <v>390</v>
      </c>
      <c r="C109" s="2" t="s">
        <v>391</v>
      </c>
      <c r="D109" s="14" t="s">
        <v>392</v>
      </c>
      <c r="E109" s="17">
        <v>3.3</v>
      </c>
      <c r="F109" s="17">
        <v>7.3</v>
      </c>
      <c r="G109" s="17">
        <v>11.2</v>
      </c>
      <c r="H109" s="28">
        <f t="shared" si="40"/>
        <v>148.44680953847816</v>
      </c>
      <c r="I109" s="10">
        <f t="shared" si="41"/>
        <v>32.274295324810232</v>
      </c>
      <c r="J109" s="10">
        <f t="shared" si="42"/>
        <v>61.200343984210448</v>
      </c>
      <c r="K109" s="10">
        <f t="shared" si="43"/>
        <v>14.408417106871488</v>
      </c>
      <c r="L109" s="10">
        <f t="shared" si="44"/>
        <v>36.522206102491189</v>
      </c>
      <c r="M109" s="10">
        <f t="shared" si="45"/>
        <v>4.0415470200948116</v>
      </c>
      <c r="N109" s="11">
        <f t="shared" si="46"/>
        <v>3.8999999999999995</v>
      </c>
      <c r="O109" s="12">
        <f t="shared" si="47"/>
        <v>1.2166666666666666</v>
      </c>
      <c r="P109" s="13">
        <f t="shared" si="48"/>
        <v>1.2444444444444445</v>
      </c>
      <c r="Q109" s="1">
        <f t="shared" si="49"/>
        <v>1</v>
      </c>
    </row>
    <row r="110" spans="1:17" x14ac:dyDescent="0.25">
      <c r="A110" s="2" t="s">
        <v>369</v>
      </c>
      <c r="B110" s="25" t="s">
        <v>370</v>
      </c>
      <c r="C110" s="2" t="s">
        <v>371</v>
      </c>
      <c r="D110" s="14" t="s">
        <v>372</v>
      </c>
      <c r="E110" s="17">
        <v>1</v>
      </c>
      <c r="F110" s="17">
        <v>7.6</v>
      </c>
      <c r="G110" s="17">
        <v>9.1999999999999993</v>
      </c>
      <c r="H110" s="28">
        <f t="shared" si="40"/>
        <v>149.32993367616714</v>
      </c>
      <c r="I110" s="10">
        <f t="shared" si="41"/>
        <v>106.50517457187375</v>
      </c>
      <c r="J110" s="10">
        <f t="shared" si="42"/>
        <v>17.075315392996981</v>
      </c>
      <c r="K110" s="10">
        <f t="shared" si="43"/>
        <v>13.94902024839587</v>
      </c>
      <c r="L110" s="10">
        <f t="shared" si="44"/>
        <v>10.191454614071683</v>
      </c>
      <c r="M110" s="10">
        <f t="shared" si="45"/>
        <v>1.6089688488288652</v>
      </c>
      <c r="N110" s="11">
        <f t="shared" si="46"/>
        <v>1.5999999999999996</v>
      </c>
      <c r="O110" s="12">
        <f t="shared" si="47"/>
        <v>1.2666666666666666</v>
      </c>
      <c r="P110" s="13">
        <f t="shared" si="48"/>
        <v>1.0222222222222221</v>
      </c>
      <c r="Q110" s="1">
        <f t="shared" si="49"/>
        <v>1</v>
      </c>
    </row>
    <row r="111" spans="1:17" x14ac:dyDescent="0.25">
      <c r="A111" s="2" t="s">
        <v>445</v>
      </c>
      <c r="B111" s="25" t="s">
        <v>446</v>
      </c>
      <c r="C111" s="2" t="s">
        <v>447</v>
      </c>
      <c r="D111" s="14" t="s">
        <v>448</v>
      </c>
      <c r="E111" s="17">
        <v>1.2</v>
      </c>
      <c r="F111" s="17">
        <v>9.4</v>
      </c>
      <c r="G111" s="17">
        <v>10.6</v>
      </c>
      <c r="H111" s="28">
        <f t="shared" si="40"/>
        <v>149.57423072491636</v>
      </c>
      <c r="I111" s="10">
        <f t="shared" si="41"/>
        <v>88.754312143228134</v>
      </c>
      <c r="J111" s="10">
        <f t="shared" si="42"/>
        <v>8.8914218904399966</v>
      </c>
      <c r="K111" s="10">
        <f t="shared" si="43"/>
        <v>21.144009767787843</v>
      </c>
      <c r="L111" s="10">
        <f t="shared" si="44"/>
        <v>27.718659985590413</v>
      </c>
      <c r="M111" s="10">
        <f t="shared" si="45"/>
        <v>3.0658269378699581</v>
      </c>
      <c r="N111" s="11">
        <f t="shared" si="46"/>
        <v>1.1999999999999993</v>
      </c>
      <c r="O111" s="12">
        <f t="shared" si="47"/>
        <v>1.5666666666666667</v>
      </c>
      <c r="P111" s="13">
        <f t="shared" si="48"/>
        <v>1.1777777777777778</v>
      </c>
      <c r="Q111" s="1">
        <f t="shared" si="49"/>
        <v>1</v>
      </c>
    </row>
    <row r="112" spans="1:17" x14ac:dyDescent="0.25">
      <c r="A112" s="2" t="s">
        <v>485</v>
      </c>
      <c r="B112" s="25" t="s">
        <v>486</v>
      </c>
      <c r="C112" s="2" t="s">
        <v>487</v>
      </c>
      <c r="D112" s="14" t="s">
        <v>488</v>
      </c>
      <c r="E112" s="17">
        <v>1.7</v>
      </c>
      <c r="F112" s="17">
        <v>9.9</v>
      </c>
      <c r="G112" s="17">
        <v>11.6</v>
      </c>
      <c r="H112" s="28">
        <f t="shared" si="40"/>
        <v>149.79603829783176</v>
      </c>
      <c r="I112" s="10">
        <f t="shared" si="41"/>
        <v>62.650102689337501</v>
      </c>
      <c r="J112" s="10">
        <f t="shared" si="42"/>
        <v>15.398199872239909</v>
      </c>
      <c r="K112" s="10">
        <f t="shared" si="43"/>
        <v>24.066861755413917</v>
      </c>
      <c r="L112" s="10">
        <f t="shared" si="44"/>
        <v>42.821865737746435</v>
      </c>
      <c r="M112" s="10">
        <f t="shared" si="45"/>
        <v>4.8590082430939958</v>
      </c>
      <c r="N112" s="11">
        <f t="shared" si="46"/>
        <v>1.6999999999999993</v>
      </c>
      <c r="O112" s="12">
        <f t="shared" si="47"/>
        <v>1.6500000000000001</v>
      </c>
      <c r="P112" s="13">
        <f t="shared" si="48"/>
        <v>1.2888888888888888</v>
      </c>
      <c r="Q112" s="1">
        <f t="shared" si="49"/>
        <v>1</v>
      </c>
    </row>
    <row r="113" spans="1:17" x14ac:dyDescent="0.25">
      <c r="A113" s="2" t="s">
        <v>425</v>
      </c>
      <c r="B113" s="25" t="s">
        <v>426</v>
      </c>
      <c r="C113" s="2" t="s">
        <v>427</v>
      </c>
      <c r="D113" s="14" t="s">
        <v>428</v>
      </c>
      <c r="E113" s="17">
        <v>0.8</v>
      </c>
      <c r="F113" s="17">
        <v>8.1999999999999993</v>
      </c>
      <c r="G113" s="17">
        <v>8.4</v>
      </c>
      <c r="H113" s="28">
        <f t="shared" si="40"/>
        <v>150.29944922342375</v>
      </c>
      <c r="I113" s="10">
        <f t="shared" si="41"/>
        <v>133.13146821484219</v>
      </c>
      <c r="J113" s="10">
        <f t="shared" si="42"/>
        <v>0.29323376565806847</v>
      </c>
      <c r="K113" s="10">
        <f t="shared" si="43"/>
        <v>15.761612762059888</v>
      </c>
      <c r="L113" s="10">
        <f t="shared" si="44"/>
        <v>0</v>
      </c>
      <c r="M113" s="10">
        <f t="shared" si="45"/>
        <v>1.1131344808635986</v>
      </c>
      <c r="N113" s="11">
        <f t="shared" si="46"/>
        <v>0.20000000000000107</v>
      </c>
      <c r="O113" s="12">
        <f t="shared" si="47"/>
        <v>1.3666666666666665</v>
      </c>
      <c r="P113" s="13">
        <f t="shared" si="48"/>
        <v>0</v>
      </c>
      <c r="Q113" s="1">
        <f t="shared" si="49"/>
        <v>1</v>
      </c>
    </row>
    <row r="114" spans="1:17" x14ac:dyDescent="0.25">
      <c r="A114" s="2" t="s">
        <v>405</v>
      </c>
      <c r="B114" s="25" t="s">
        <v>406</v>
      </c>
      <c r="C114" s="2" t="s">
        <v>407</v>
      </c>
      <c r="D114" s="14" t="s">
        <v>408</v>
      </c>
      <c r="E114" s="17">
        <v>1</v>
      </c>
      <c r="F114" s="17">
        <v>9.1999999999999993</v>
      </c>
      <c r="G114" s="17">
        <v>9.9</v>
      </c>
      <c r="H114" s="28">
        <f t="shared" si="40"/>
        <v>150.39338008381898</v>
      </c>
      <c r="I114" s="10">
        <f t="shared" si="41"/>
        <v>106.50517457187375</v>
      </c>
      <c r="J114" s="10">
        <f t="shared" si="42"/>
        <v>3.2683220869408394</v>
      </c>
      <c r="K114" s="10">
        <f t="shared" si="43"/>
        <v>19.971351235065789</v>
      </c>
      <c r="L114" s="10">
        <f t="shared" si="44"/>
        <v>18.427536908779015</v>
      </c>
      <c r="M114" s="10">
        <f t="shared" si="45"/>
        <v>2.2209952811595892</v>
      </c>
      <c r="N114" s="11">
        <f t="shared" si="46"/>
        <v>0.70000000000000107</v>
      </c>
      <c r="O114" s="12">
        <f t="shared" si="47"/>
        <v>1.5333333333333332</v>
      </c>
      <c r="P114" s="13">
        <f t="shared" si="48"/>
        <v>1.1000000000000001</v>
      </c>
      <c r="Q114" s="1">
        <f t="shared" si="49"/>
        <v>1</v>
      </c>
    </row>
    <row r="115" spans="1:17" x14ac:dyDescent="0.25">
      <c r="A115" s="2" t="s">
        <v>453</v>
      </c>
      <c r="B115" s="25" t="s">
        <v>454</v>
      </c>
      <c r="C115" s="2" t="s">
        <v>455</v>
      </c>
      <c r="D115" s="14" t="s">
        <v>456</v>
      </c>
      <c r="E115" s="17">
        <v>1.1000000000000001</v>
      </c>
      <c r="F115" s="17">
        <v>10</v>
      </c>
      <c r="G115" s="17">
        <v>10.5</v>
      </c>
      <c r="H115" s="28">
        <f t="shared" si="40"/>
        <v>151.26568343378952</v>
      </c>
      <c r="I115" s="10">
        <f t="shared" si="41"/>
        <v>96.822885974430676</v>
      </c>
      <c r="J115" s="10">
        <f t="shared" si="42"/>
        <v>1.6015698455562648</v>
      </c>
      <c r="K115" s="10">
        <f t="shared" si="43"/>
        <v>23.586623262807098</v>
      </c>
      <c r="L115" s="10">
        <f t="shared" si="44"/>
        <v>26.326762355304865</v>
      </c>
      <c r="M115" s="10">
        <f t="shared" si="45"/>
        <v>2.9278419956906014</v>
      </c>
      <c r="N115" s="11">
        <f t="shared" si="46"/>
        <v>0.5</v>
      </c>
      <c r="O115" s="12">
        <f t="shared" si="47"/>
        <v>1.6666666666666667</v>
      </c>
      <c r="P115" s="13">
        <f t="shared" si="48"/>
        <v>1.1666666666666667</v>
      </c>
      <c r="Q115" s="1">
        <f t="shared" si="49"/>
        <v>1</v>
      </c>
    </row>
    <row r="116" spans="1:17" x14ac:dyDescent="0.25">
      <c r="A116" s="2" t="s">
        <v>477</v>
      </c>
      <c r="B116" s="25" t="s">
        <v>478</v>
      </c>
      <c r="C116" s="2" t="s">
        <v>479</v>
      </c>
      <c r="D116" s="14" t="s">
        <v>480</v>
      </c>
      <c r="E116" s="17">
        <v>1.1000000000000001</v>
      </c>
      <c r="F116" s="17">
        <v>4.5999999999999996</v>
      </c>
      <c r="G116" s="17">
        <v>7.5</v>
      </c>
      <c r="H116" s="28">
        <f t="shared" si="40"/>
        <v>151.43513623720136</v>
      </c>
      <c r="I116" s="10">
        <f t="shared" si="41"/>
        <v>96.822885974430676</v>
      </c>
      <c r="J116" s="10">
        <f t="shared" si="42"/>
        <v>53.876809604512772</v>
      </c>
      <c r="K116" s="10">
        <f t="shared" si="43"/>
        <v>0</v>
      </c>
      <c r="L116" s="10">
        <f t="shared" si="44"/>
        <v>0</v>
      </c>
      <c r="M116" s="10">
        <f t="shared" si="45"/>
        <v>0.73544065825791682</v>
      </c>
      <c r="N116" s="11">
        <f t="shared" si="46"/>
        <v>2.9000000000000004</v>
      </c>
      <c r="O116" s="12">
        <f t="shared" si="47"/>
        <v>0</v>
      </c>
      <c r="P116" s="13">
        <f t="shared" si="48"/>
        <v>0</v>
      </c>
      <c r="Q116" s="1">
        <f t="shared" si="49"/>
        <v>1</v>
      </c>
    </row>
    <row r="117" spans="1:17" x14ac:dyDescent="0.25">
      <c r="A117" s="2" t="s">
        <v>457</v>
      </c>
      <c r="B117" s="25" t="s">
        <v>458</v>
      </c>
      <c r="C117" s="2" t="s">
        <v>459</v>
      </c>
      <c r="D117" s="14" t="s">
        <v>460</v>
      </c>
      <c r="E117" s="17">
        <v>1.1000000000000001</v>
      </c>
      <c r="F117" s="17">
        <v>9.8000000000000007</v>
      </c>
      <c r="G117" s="17">
        <v>10.5</v>
      </c>
      <c r="H117" s="28">
        <f t="shared" si="40"/>
        <v>151.9170485240837</v>
      </c>
      <c r="I117" s="10">
        <f t="shared" si="41"/>
        <v>96.822885974430676</v>
      </c>
      <c r="J117" s="10">
        <f t="shared" si="42"/>
        <v>3.1390768972902729</v>
      </c>
      <c r="K117" s="10">
        <f t="shared" si="43"/>
        <v>22.700481301367269</v>
      </c>
      <c r="L117" s="10">
        <f t="shared" si="44"/>
        <v>26.326762355304865</v>
      </c>
      <c r="M117" s="10">
        <f t="shared" si="45"/>
        <v>2.9278419956906014</v>
      </c>
      <c r="N117" s="11">
        <f t="shared" si="46"/>
        <v>0.69999999999999929</v>
      </c>
      <c r="O117" s="12">
        <f t="shared" si="47"/>
        <v>1.6333333333333335</v>
      </c>
      <c r="P117" s="13">
        <f t="shared" si="48"/>
        <v>1.1666666666666667</v>
      </c>
      <c r="Q117" s="1">
        <f t="shared" si="49"/>
        <v>1</v>
      </c>
    </row>
    <row r="118" spans="1:17" x14ac:dyDescent="0.25">
      <c r="A118" s="2" t="s">
        <v>497</v>
      </c>
      <c r="B118" s="25" t="s">
        <v>498</v>
      </c>
      <c r="C118" s="2" t="s">
        <v>499</v>
      </c>
      <c r="D118" s="14" t="s">
        <v>500</v>
      </c>
      <c r="E118" s="17">
        <v>1.7</v>
      </c>
      <c r="F118" s="17">
        <v>9.9</v>
      </c>
      <c r="G118" s="17">
        <v>11.7</v>
      </c>
      <c r="H118" s="28">
        <f t="shared" si="40"/>
        <v>153.51861371600367</v>
      </c>
      <c r="I118" s="10">
        <f t="shared" si="41"/>
        <v>62.650102689337501</v>
      </c>
      <c r="J118" s="10">
        <f t="shared" si="42"/>
        <v>17.263033766801829</v>
      </c>
      <c r="K118" s="10">
        <f t="shared" si="43"/>
        <v>24.066861755413917</v>
      </c>
      <c r="L118" s="10">
        <f t="shared" si="44"/>
        <v>44.45060925789209</v>
      </c>
      <c r="M118" s="10">
        <f t="shared" si="45"/>
        <v>5.0880062465583453</v>
      </c>
      <c r="N118" s="11">
        <f t="shared" si="46"/>
        <v>1.7999999999999989</v>
      </c>
      <c r="O118" s="12">
        <f t="shared" si="47"/>
        <v>1.6500000000000001</v>
      </c>
      <c r="P118" s="13">
        <f t="shared" si="48"/>
        <v>1.2999999999999998</v>
      </c>
      <c r="Q118" s="1">
        <f t="shared" si="49"/>
        <v>1</v>
      </c>
    </row>
    <row r="119" spans="1:17" x14ac:dyDescent="0.25">
      <c r="A119" s="2" t="s">
        <v>409</v>
      </c>
      <c r="B119" s="25" t="s">
        <v>410</v>
      </c>
      <c r="C119" s="2" t="s">
        <v>411</v>
      </c>
      <c r="D119" s="14" t="s">
        <v>412</v>
      </c>
      <c r="E119" s="17">
        <v>0.9</v>
      </c>
      <c r="F119" s="17">
        <v>9.1999999999999993</v>
      </c>
      <c r="G119" s="17">
        <v>9.5</v>
      </c>
      <c r="H119" s="28">
        <f t="shared" si="40"/>
        <v>154.18884104134801</v>
      </c>
      <c r="I119" s="10">
        <f t="shared" si="41"/>
        <v>118.33908285763749</v>
      </c>
      <c r="J119" s="10">
        <f t="shared" si="42"/>
        <v>0.62768527295343823</v>
      </c>
      <c r="K119" s="10">
        <f t="shared" si="43"/>
        <v>19.782713998348701</v>
      </c>
      <c r="L119" s="10">
        <f t="shared" si="44"/>
        <v>13.592015501749836</v>
      </c>
      <c r="M119" s="10">
        <f t="shared" si="45"/>
        <v>1.8473434106585345</v>
      </c>
      <c r="N119" s="11">
        <f t="shared" si="46"/>
        <v>0.30000000000000071</v>
      </c>
      <c r="O119" s="15">
        <f t="shared" si="47"/>
        <v>1.5333333333333332</v>
      </c>
      <c r="P119" s="12">
        <f t="shared" si="48"/>
        <v>1.0555555555555556</v>
      </c>
      <c r="Q119" s="1">
        <f t="shared" si="49"/>
        <v>1</v>
      </c>
    </row>
    <row r="120" spans="1:17" x14ac:dyDescent="0.25">
      <c r="A120" s="2" t="s">
        <v>505</v>
      </c>
      <c r="B120" s="25" t="s">
        <v>506</v>
      </c>
      <c r="C120" s="2" t="s">
        <v>507</v>
      </c>
      <c r="D120" s="14" t="s">
        <v>508</v>
      </c>
      <c r="E120" s="17">
        <v>2</v>
      </c>
      <c r="F120" s="17">
        <v>9.4</v>
      </c>
      <c r="G120" s="17">
        <v>11.8</v>
      </c>
      <c r="H120" s="28">
        <f t="shared" si="40"/>
        <v>155.47027587043627</v>
      </c>
      <c r="I120" s="10">
        <f t="shared" si="41"/>
        <v>53.252587285936876</v>
      </c>
      <c r="J120" s="10">
        <f t="shared" si="42"/>
        <v>28.649383929343653</v>
      </c>
      <c r="K120" s="10">
        <f t="shared" si="43"/>
        <v>22.139623839152701</v>
      </c>
      <c r="L120" s="10">
        <f t="shared" si="44"/>
        <v>46.1008842225705</v>
      </c>
      <c r="M120" s="10">
        <f t="shared" si="45"/>
        <v>5.3277965934325513</v>
      </c>
      <c r="N120" s="11">
        <f t="shared" si="46"/>
        <v>2.4000000000000004</v>
      </c>
      <c r="O120" s="12">
        <f t="shared" si="47"/>
        <v>1.5666666666666667</v>
      </c>
      <c r="P120" s="13">
        <f t="shared" si="48"/>
        <v>1.3111111111111111</v>
      </c>
      <c r="Q120" s="1">
        <f t="shared" si="49"/>
        <v>1</v>
      </c>
    </row>
    <row r="121" spans="1:17" x14ac:dyDescent="0.25">
      <c r="A121" s="2" t="s">
        <v>417</v>
      </c>
      <c r="B121" s="25" t="s">
        <v>418</v>
      </c>
      <c r="C121" s="2" t="s">
        <v>419</v>
      </c>
      <c r="D121" s="14" t="s">
        <v>420</v>
      </c>
      <c r="E121" s="17">
        <v>1.4</v>
      </c>
      <c r="F121" s="17">
        <v>6.9</v>
      </c>
      <c r="G121" s="17">
        <v>9.8000000000000007</v>
      </c>
      <c r="H121" s="28">
        <f t="shared" si="40"/>
        <v>156.04068898683022</v>
      </c>
      <c r="I121" s="10">
        <f t="shared" si="41"/>
        <v>76.075124694195537</v>
      </c>
      <c r="J121" s="10">
        <f t="shared" si="42"/>
        <v>48.647881055997921</v>
      </c>
      <c r="K121" s="10">
        <f t="shared" si="43"/>
        <v>12.010289819318132</v>
      </c>
      <c r="L121" s="10">
        <f t="shared" si="44"/>
        <v>17.186359390222623</v>
      </c>
      <c r="M121" s="10">
        <f t="shared" si="45"/>
        <v>2.1210340270959986</v>
      </c>
      <c r="N121" s="11">
        <f t="shared" si="46"/>
        <v>2.9000000000000004</v>
      </c>
      <c r="O121" s="12">
        <f t="shared" si="47"/>
        <v>1.1500000000000001</v>
      </c>
      <c r="P121" s="13">
        <f t="shared" si="48"/>
        <v>1.088888888888889</v>
      </c>
      <c r="Q121" s="1">
        <f t="shared" si="49"/>
        <v>1</v>
      </c>
    </row>
    <row r="122" spans="1:17" x14ac:dyDescent="0.25">
      <c r="A122" s="2" t="s">
        <v>481</v>
      </c>
      <c r="B122" s="25" t="s">
        <v>482</v>
      </c>
      <c r="C122" s="2" t="s">
        <v>483</v>
      </c>
      <c r="D122" s="14" t="s">
        <v>484</v>
      </c>
      <c r="E122" s="17">
        <v>1.2</v>
      </c>
      <c r="F122" s="17">
        <v>9.3000000000000007</v>
      </c>
      <c r="G122" s="17">
        <v>10.8</v>
      </c>
      <c r="H122" s="28">
        <f t="shared" si="40"/>
        <v>157.29671406787787</v>
      </c>
      <c r="I122" s="10">
        <f t="shared" si="41"/>
        <v>88.754312143228134</v>
      </c>
      <c r="J122" s="10">
        <f t="shared" si="42"/>
        <v>13.892846703812511</v>
      </c>
      <c r="K122" s="10">
        <f t="shared" si="43"/>
        <v>20.720893250554649</v>
      </c>
      <c r="L122" s="10">
        <f t="shared" si="44"/>
        <v>30.567049579759743</v>
      </c>
      <c r="M122" s="10">
        <f t="shared" si="45"/>
        <v>3.3616123905228257</v>
      </c>
      <c r="N122" s="11">
        <f t="shared" si="46"/>
        <v>1.5</v>
      </c>
      <c r="O122" s="12">
        <f t="shared" si="47"/>
        <v>1.55</v>
      </c>
      <c r="P122" s="13">
        <f t="shared" si="48"/>
        <v>1.2000000000000002</v>
      </c>
      <c r="Q122" s="1">
        <f t="shared" si="49"/>
        <v>1</v>
      </c>
    </row>
    <row r="123" spans="1:17" x14ac:dyDescent="0.25">
      <c r="A123" s="2" t="s">
        <v>441</v>
      </c>
      <c r="B123" s="25" t="s">
        <v>442</v>
      </c>
      <c r="C123" s="2" t="s">
        <v>443</v>
      </c>
      <c r="D123" s="14" t="s">
        <v>444</v>
      </c>
      <c r="E123" s="17">
        <v>0.9</v>
      </c>
      <c r="F123" s="17">
        <v>9.6</v>
      </c>
      <c r="G123" s="17">
        <v>9.6999999999999993</v>
      </c>
      <c r="H123" s="28">
        <f t="shared" si="40"/>
        <v>157.84130350175775</v>
      </c>
      <c r="I123" s="10">
        <f t="shared" si="41"/>
        <v>118.33908285763749</v>
      </c>
      <c r="J123" s="10">
        <f t="shared" si="42"/>
        <v>6.9742808105936763E-2</v>
      </c>
      <c r="K123" s="10">
        <f t="shared" si="43"/>
        <v>21.440192749239486</v>
      </c>
      <c r="L123" s="10">
        <f t="shared" si="44"/>
        <v>15.966713316198943</v>
      </c>
      <c r="M123" s="10">
        <f t="shared" si="45"/>
        <v>2.0255717705758691</v>
      </c>
      <c r="N123" s="11">
        <f t="shared" si="46"/>
        <v>9.9999999999999645E-2</v>
      </c>
      <c r="O123" s="12">
        <f t="shared" si="47"/>
        <v>1.5999999999999999</v>
      </c>
      <c r="P123" s="13">
        <f t="shared" si="48"/>
        <v>1.0777777777777777</v>
      </c>
      <c r="Q123" s="1">
        <f t="shared" si="49"/>
        <v>1</v>
      </c>
    </row>
    <row r="124" spans="1:17" x14ac:dyDescent="0.25">
      <c r="A124" s="2" t="s">
        <v>469</v>
      </c>
      <c r="B124" s="25" t="s">
        <v>470</v>
      </c>
      <c r="C124" s="2" t="s">
        <v>471</v>
      </c>
      <c r="D124" s="14" t="s">
        <v>472</v>
      </c>
      <c r="E124" s="17">
        <v>1.2</v>
      </c>
      <c r="F124" s="17">
        <v>7.8</v>
      </c>
      <c r="G124" s="17">
        <v>10.1</v>
      </c>
      <c r="H124" s="28">
        <f t="shared" si="40"/>
        <v>159.7132759500397</v>
      </c>
      <c r="I124" s="10">
        <f t="shared" si="41"/>
        <v>88.754312143228134</v>
      </c>
      <c r="J124" s="10">
        <f t="shared" si="42"/>
        <v>32.663626250296964</v>
      </c>
      <c r="K124" s="10">
        <f t="shared" si="43"/>
        <v>14.885578377496177</v>
      </c>
      <c r="L124" s="10">
        <f t="shared" si="44"/>
        <v>20.974486279490012</v>
      </c>
      <c r="M124" s="10">
        <f t="shared" si="45"/>
        <v>2.4352728995283894</v>
      </c>
      <c r="N124" s="11">
        <f t="shared" si="46"/>
        <v>2.2999999999999998</v>
      </c>
      <c r="O124" s="12">
        <f t="shared" si="47"/>
        <v>1.3</v>
      </c>
      <c r="P124" s="13">
        <f t="shared" si="48"/>
        <v>1.1222222222222222</v>
      </c>
      <c r="Q124" s="1">
        <f t="shared" si="49"/>
        <v>1</v>
      </c>
    </row>
    <row r="125" spans="1:17" x14ac:dyDescent="0.25">
      <c r="A125" s="2" t="s">
        <v>465</v>
      </c>
      <c r="B125" s="25" t="s">
        <v>466</v>
      </c>
      <c r="C125" s="2" t="s">
        <v>467</v>
      </c>
      <c r="D125" s="14" t="s">
        <v>468</v>
      </c>
      <c r="E125" s="17">
        <v>0.9</v>
      </c>
      <c r="F125" s="17">
        <v>9</v>
      </c>
      <c r="G125" s="17">
        <v>9.8000000000000007</v>
      </c>
      <c r="H125" s="28">
        <f t="shared" si="40"/>
        <v>161.08890814010701</v>
      </c>
      <c r="I125" s="10">
        <f t="shared" si="41"/>
        <v>118.33908285763749</v>
      </c>
      <c r="J125" s="10">
        <f t="shared" si="42"/>
        <v>4.4635397187799919</v>
      </c>
      <c r="K125" s="10">
        <f t="shared" si="43"/>
        <v>18.978892146370889</v>
      </c>
      <c r="L125" s="10">
        <f t="shared" si="44"/>
        <v>17.186359390222623</v>
      </c>
      <c r="M125" s="10">
        <f t="shared" si="45"/>
        <v>2.1210340270959986</v>
      </c>
      <c r="N125" s="11">
        <f t="shared" si="46"/>
        <v>0.80000000000000071</v>
      </c>
      <c r="O125" s="12">
        <f t="shared" si="47"/>
        <v>1.5</v>
      </c>
      <c r="P125" s="13">
        <f t="shared" si="48"/>
        <v>1.088888888888889</v>
      </c>
      <c r="Q125" s="1">
        <f t="shared" si="49"/>
        <v>1</v>
      </c>
    </row>
    <row r="126" spans="1:17" x14ac:dyDescent="0.25">
      <c r="A126" s="2" t="s">
        <v>489</v>
      </c>
      <c r="B126" s="25" t="s">
        <v>490</v>
      </c>
      <c r="C126" s="2" t="s">
        <v>491</v>
      </c>
      <c r="D126" s="14" t="s">
        <v>492</v>
      </c>
      <c r="E126" s="17">
        <v>0.7</v>
      </c>
      <c r="F126" s="17">
        <v>6.8</v>
      </c>
      <c r="G126" s="17">
        <v>7</v>
      </c>
      <c r="H126" s="28">
        <f t="shared" si="40"/>
        <v>164.02651089205631</v>
      </c>
      <c r="I126" s="10">
        <f t="shared" si="41"/>
        <v>152.15024938839107</v>
      </c>
      <c r="J126" s="10">
        <f t="shared" si="42"/>
        <v>0.31028722038641982</v>
      </c>
      <c r="K126" s="10">
        <f t="shared" si="43"/>
        <v>10.981793003460357</v>
      </c>
      <c r="L126" s="10">
        <f t="shared" si="44"/>
        <v>0</v>
      </c>
      <c r="M126" s="10">
        <f t="shared" si="45"/>
        <v>0.5841812798184739</v>
      </c>
      <c r="N126" s="11">
        <f t="shared" si="46"/>
        <v>0.20000000000000018</v>
      </c>
      <c r="O126" s="12">
        <f t="shared" si="47"/>
        <v>1.1333333333333333</v>
      </c>
      <c r="P126" s="13">
        <f t="shared" si="48"/>
        <v>0</v>
      </c>
      <c r="Q126" s="1">
        <f t="shared" si="49"/>
        <v>1</v>
      </c>
    </row>
    <row r="127" spans="1:17" x14ac:dyDescent="0.25">
      <c r="A127" s="2" t="s">
        <v>521</v>
      </c>
      <c r="B127" s="25" t="s">
        <v>522</v>
      </c>
      <c r="C127" s="2" t="s">
        <v>523</v>
      </c>
      <c r="D127" s="14" t="s">
        <v>524</v>
      </c>
      <c r="E127" s="17">
        <v>1.6</v>
      </c>
      <c r="F127" s="17">
        <v>8.6999999999999993</v>
      </c>
      <c r="G127" s="17">
        <v>11.3</v>
      </c>
      <c r="H127" s="28">
        <f t="shared" si="40"/>
        <v>164.56820800554411</v>
      </c>
      <c r="I127" s="10">
        <f t="shared" si="41"/>
        <v>66.565734107421093</v>
      </c>
      <c r="J127" s="10">
        <f t="shared" si="42"/>
        <v>36.954277635822066</v>
      </c>
      <c r="K127" s="10">
        <f t="shared" si="43"/>
        <v>18.751353154763692</v>
      </c>
      <c r="L127" s="10">
        <f t="shared" si="44"/>
        <v>38.064823844505916</v>
      </c>
      <c r="M127" s="10">
        <f t="shared" si="45"/>
        <v>4.2320192630313231</v>
      </c>
      <c r="N127" s="11">
        <f t="shared" si="46"/>
        <v>2.6000000000000014</v>
      </c>
      <c r="O127" s="12">
        <f t="shared" si="47"/>
        <v>1.45</v>
      </c>
      <c r="P127" s="13">
        <f t="shared" si="48"/>
        <v>1.2555555555555555</v>
      </c>
      <c r="Q127" s="1">
        <f t="shared" si="49"/>
        <v>1</v>
      </c>
    </row>
    <row r="128" spans="1:17" x14ac:dyDescent="0.25">
      <c r="A128" s="2" t="s">
        <v>513</v>
      </c>
      <c r="B128" s="25" t="s">
        <v>514</v>
      </c>
      <c r="C128" s="2" t="s">
        <v>515</v>
      </c>
      <c r="D128" s="14" t="s">
        <v>516</v>
      </c>
      <c r="E128" s="17">
        <v>1.4</v>
      </c>
      <c r="F128" s="17">
        <v>8.4</v>
      </c>
      <c r="G128" s="17">
        <v>10.9</v>
      </c>
      <c r="H128" s="28">
        <f t="shared" si="40"/>
        <v>165.11579364378827</v>
      </c>
      <c r="I128" s="10">
        <f t="shared" si="41"/>
        <v>76.075124694195537</v>
      </c>
      <c r="J128" s="10">
        <f t="shared" si="42"/>
        <v>36.15330042806027</v>
      </c>
      <c r="K128" s="10">
        <f t="shared" si="43"/>
        <v>17.343786676290861</v>
      </c>
      <c r="L128" s="10">
        <f t="shared" si="44"/>
        <v>32.023541543643496</v>
      </c>
      <c r="M128" s="10">
        <f t="shared" si="45"/>
        <v>3.5200403015980903</v>
      </c>
      <c r="N128" s="11">
        <f t="shared" si="46"/>
        <v>2.5</v>
      </c>
      <c r="O128" s="12">
        <f t="shared" si="47"/>
        <v>1.4000000000000001</v>
      </c>
      <c r="P128" s="13">
        <f t="shared" si="48"/>
        <v>1.2111111111111112</v>
      </c>
      <c r="Q128" s="1">
        <f t="shared" si="49"/>
        <v>1</v>
      </c>
    </row>
    <row r="129" spans="1:17" x14ac:dyDescent="0.25">
      <c r="A129" s="2" t="s">
        <v>509</v>
      </c>
      <c r="B129" s="25" t="s">
        <v>510</v>
      </c>
      <c r="C129" s="2" t="s">
        <v>511</v>
      </c>
      <c r="D129" s="14" t="s">
        <v>512</v>
      </c>
      <c r="E129" s="17">
        <v>0.8</v>
      </c>
      <c r="F129" s="17">
        <v>7.3</v>
      </c>
      <c r="G129" s="17">
        <v>8.9</v>
      </c>
      <c r="H129" s="28">
        <f t="shared" si="40"/>
        <v>165.98162472120617</v>
      </c>
      <c r="I129" s="10">
        <f t="shared" si="41"/>
        <v>133.13146821484219</v>
      </c>
      <c r="J129" s="10">
        <f t="shared" si="42"/>
        <v>18.766961002116194</v>
      </c>
      <c r="K129" s="10">
        <f t="shared" si="43"/>
        <v>12.681842219544274</v>
      </c>
      <c r="L129" s="10">
        <f t="shared" si="44"/>
        <v>0</v>
      </c>
      <c r="M129" s="10">
        <f t="shared" si="45"/>
        <v>1.4013532847034931</v>
      </c>
      <c r="N129" s="11">
        <f t="shared" si="46"/>
        <v>1.6000000000000005</v>
      </c>
      <c r="O129" s="12">
        <f t="shared" si="47"/>
        <v>1.2166666666666666</v>
      </c>
      <c r="P129" s="13">
        <f t="shared" si="48"/>
        <v>0</v>
      </c>
      <c r="Q129" s="1">
        <f t="shared" si="49"/>
        <v>1</v>
      </c>
    </row>
    <row r="130" spans="1:17" x14ac:dyDescent="0.25">
      <c r="A130" s="2" t="s">
        <v>529</v>
      </c>
      <c r="B130" s="25" t="s">
        <v>530</v>
      </c>
      <c r="C130" s="2" t="s">
        <v>531</v>
      </c>
      <c r="D130" s="14" t="s">
        <v>532</v>
      </c>
      <c r="E130" s="17">
        <v>1.2</v>
      </c>
      <c r="F130" s="17">
        <v>9.4</v>
      </c>
      <c r="G130" s="17">
        <v>11.1</v>
      </c>
      <c r="H130" s="28">
        <f t="shared" si="40"/>
        <v>166.60367892250306</v>
      </c>
      <c r="I130" s="10">
        <f t="shared" si="41"/>
        <v>88.754312143228134</v>
      </c>
      <c r="J130" s="10">
        <f t="shared" si="42"/>
        <v>17.844589766230275</v>
      </c>
      <c r="K130" s="10">
        <f t="shared" si="43"/>
        <v>21.144009767787843</v>
      </c>
      <c r="L130" s="10">
        <f t="shared" si="44"/>
        <v>35.001119805009225</v>
      </c>
      <c r="M130" s="10">
        <f t="shared" si="45"/>
        <v>3.8596474402475893</v>
      </c>
      <c r="N130" s="11">
        <f t="shared" si="46"/>
        <v>1.6999999999999993</v>
      </c>
      <c r="O130" s="12">
        <f t="shared" si="47"/>
        <v>1.5666666666666667</v>
      </c>
      <c r="P130" s="13">
        <f t="shared" si="48"/>
        <v>1.2333333333333334</v>
      </c>
      <c r="Q130" s="1">
        <f t="shared" si="49"/>
        <v>1</v>
      </c>
    </row>
    <row r="131" spans="1:17" x14ac:dyDescent="0.25">
      <c r="A131" s="2" t="s">
        <v>501</v>
      </c>
      <c r="B131" s="25" t="s">
        <v>502</v>
      </c>
      <c r="C131" s="2" t="s">
        <v>503</v>
      </c>
      <c r="D131" s="14" t="s">
        <v>504</v>
      </c>
      <c r="E131" s="17">
        <v>1</v>
      </c>
      <c r="F131" s="17">
        <v>9.1999999999999993</v>
      </c>
      <c r="G131" s="17">
        <v>10.5</v>
      </c>
      <c r="H131" s="28">
        <f t="shared" si="40"/>
        <v>167.00350633534319</v>
      </c>
      <c r="I131" s="10">
        <f t="shared" si="41"/>
        <v>106.50517457187375</v>
      </c>
      <c r="J131" s="10">
        <f t="shared" si="42"/>
        <v>11.27237617740818</v>
      </c>
      <c r="K131" s="10">
        <f t="shared" si="43"/>
        <v>19.971351235065789</v>
      </c>
      <c r="L131" s="10">
        <f t="shared" si="44"/>
        <v>26.326762355304865</v>
      </c>
      <c r="M131" s="10">
        <f t="shared" si="45"/>
        <v>2.9278419956906014</v>
      </c>
      <c r="N131" s="11">
        <f t="shared" si="46"/>
        <v>1.3000000000000007</v>
      </c>
      <c r="O131" s="12">
        <f t="shared" si="47"/>
        <v>1.5333333333333332</v>
      </c>
      <c r="P131" s="13">
        <f t="shared" si="48"/>
        <v>1.1666666666666667</v>
      </c>
      <c r="Q131" s="1">
        <f t="shared" si="49"/>
        <v>1</v>
      </c>
    </row>
    <row r="132" spans="1:17" x14ac:dyDescent="0.25">
      <c r="A132" s="2" t="s">
        <v>545</v>
      </c>
      <c r="B132" s="25" t="s">
        <v>546</v>
      </c>
      <c r="C132" s="2" t="s">
        <v>547</v>
      </c>
      <c r="D132" s="14" t="s">
        <v>548</v>
      </c>
      <c r="E132" s="17">
        <v>1.5</v>
      </c>
      <c r="F132" s="17">
        <v>9.5</v>
      </c>
      <c r="G132" s="17">
        <v>11.7</v>
      </c>
      <c r="H132" s="28">
        <f t="shared" si="40"/>
        <v>169.74264558114237</v>
      </c>
      <c r="I132" s="10">
        <f t="shared" si="41"/>
        <v>71.003449714582501</v>
      </c>
      <c r="J132" s="10">
        <f t="shared" si="42"/>
        <v>27.191231026186014</v>
      </c>
      <c r="K132" s="10">
        <f t="shared" si="43"/>
        <v>22.009349335923432</v>
      </c>
      <c r="L132" s="10">
        <f t="shared" si="44"/>
        <v>44.45060925789209</v>
      </c>
      <c r="M132" s="10">
        <f t="shared" si="45"/>
        <v>5.0880062465583453</v>
      </c>
      <c r="N132" s="11">
        <f t="shared" si="46"/>
        <v>2.1999999999999993</v>
      </c>
      <c r="O132" s="12">
        <f t="shared" si="47"/>
        <v>1.5833333333333333</v>
      </c>
      <c r="P132" s="13">
        <f t="shared" si="48"/>
        <v>1.2999999999999998</v>
      </c>
      <c r="Q132" s="1">
        <f t="shared" si="49"/>
        <v>1</v>
      </c>
    </row>
    <row r="133" spans="1:17" x14ac:dyDescent="0.25">
      <c r="A133" s="2" t="s">
        <v>493</v>
      </c>
      <c r="B133" s="25" t="s">
        <v>494</v>
      </c>
      <c r="C133" s="2" t="s">
        <v>495</v>
      </c>
      <c r="D133" s="14" t="s">
        <v>496</v>
      </c>
      <c r="E133" s="17">
        <v>0.8</v>
      </c>
      <c r="F133" s="17">
        <v>9.1999999999999993</v>
      </c>
      <c r="G133" s="17">
        <v>9.6999999999999993</v>
      </c>
      <c r="H133" s="28">
        <f t="shared" si="40"/>
        <v>172.53040831454737</v>
      </c>
      <c r="I133" s="10">
        <f t="shared" si="41"/>
        <v>133.13146821484219</v>
      </c>
      <c r="J133" s="10">
        <f t="shared" si="42"/>
        <v>1.8327110353629086</v>
      </c>
      <c r="K133" s="10">
        <f t="shared" si="43"/>
        <v>19.573943977567474</v>
      </c>
      <c r="L133" s="10">
        <f t="shared" si="44"/>
        <v>15.966713316198943</v>
      </c>
      <c r="M133" s="10">
        <f t="shared" si="45"/>
        <v>2.0255717705758691</v>
      </c>
      <c r="N133" s="11">
        <f t="shared" si="46"/>
        <v>0.5</v>
      </c>
      <c r="O133" s="12">
        <f t="shared" si="47"/>
        <v>1.5333333333333332</v>
      </c>
      <c r="P133" s="13">
        <f t="shared" si="48"/>
        <v>1.0777777777777777</v>
      </c>
      <c r="Q133" s="1">
        <f t="shared" si="49"/>
        <v>1</v>
      </c>
    </row>
    <row r="134" spans="1:17" x14ac:dyDescent="0.25">
      <c r="A134" s="2" t="s">
        <v>541</v>
      </c>
      <c r="B134" s="25" t="s">
        <v>542</v>
      </c>
      <c r="C134" s="2" t="s">
        <v>543</v>
      </c>
      <c r="D134" s="14" t="s">
        <v>544</v>
      </c>
      <c r="E134" s="17">
        <v>1.1000000000000001</v>
      </c>
      <c r="F134" s="17">
        <v>9.8000000000000007</v>
      </c>
      <c r="G134" s="17">
        <v>11.2</v>
      </c>
      <c r="H134" s="28">
        <f t="shared" ref="H134:H165" si="50">I134+J134+K134+L134+M134</f>
        <v>172.64342798754504</v>
      </c>
      <c r="I134" s="10">
        <f t="shared" ref="I134:I150" si="51">116/1.2213*(0.0950502775050452+(1.12627632206642)/((1+($B$2/0.302756091410027)^2.26536793426585)^0.152776210790626))/E134</f>
        <v>96.822885974430676</v>
      </c>
      <c r="J134" s="10">
        <f t="shared" ref="J134:J150" si="52">N134*4.86728238951535*(G134-F134)/E134^0.423333111900057*(1+$B$2)^1.27639458772504</f>
        <v>12.556307589161092</v>
      </c>
      <c r="K134" s="10">
        <f t="shared" ref="K134:K150" si="53">O134*1.2577561731939*(F134+1.15557969130366)/(Q134*E134^-0.0900743729896674+(1-Q134)*(14-F134)^-0.0900743729896674)</f>
        <v>22.700481301367269</v>
      </c>
      <c r="L134" s="10">
        <f t="shared" ref="L134:L150" si="54">P134*9.68915003973139*(G134-8.17102416496663)</f>
        <v>36.522206102491189</v>
      </c>
      <c r="M134" s="10">
        <f t="shared" ref="M134:M150" si="55">0.152095843055359*(10^((G134+LN((6.5/$B$3)^2.512)-2.7)/5)-10^((G134-2.7)/5))</f>
        <v>4.0415470200948116</v>
      </c>
      <c r="N134" s="11">
        <f t="shared" ref="N134:N150" si="56">IF(G134-F134&lt;=1,IF(F134&lt;=6,0,G134-F134), G134-F134)</f>
        <v>1.3999999999999986</v>
      </c>
      <c r="O134" s="12">
        <f t="shared" ref="O134:O150" si="57">IF(F134-6&gt;0,F134/6,0)</f>
        <v>1.6333333333333335</v>
      </c>
      <c r="P134" s="13">
        <f t="shared" ref="P134:P150" si="58">IF(G134-9&gt;0,G134/9,0)</f>
        <v>1.2444444444444445</v>
      </c>
      <c r="Q134" s="1">
        <f t="shared" ref="Q134:Q150" si="59">IF(E134&lt;=14-F134,1,0)</f>
        <v>1</v>
      </c>
    </row>
    <row r="135" spans="1:17" x14ac:dyDescent="0.25">
      <c r="A135" s="2" t="s">
        <v>473</v>
      </c>
      <c r="B135" s="25" t="s">
        <v>474</v>
      </c>
      <c r="C135" s="2" t="s">
        <v>475</v>
      </c>
      <c r="D135" s="14" t="s">
        <v>476</v>
      </c>
      <c r="E135" s="17">
        <v>2</v>
      </c>
      <c r="F135" s="17">
        <v>5.3</v>
      </c>
      <c r="G135" s="17">
        <v>9.8000000000000007</v>
      </c>
      <c r="H135" s="28">
        <f t="shared" si="50"/>
        <v>173.28047107985429</v>
      </c>
      <c r="I135" s="10">
        <f t="shared" si="51"/>
        <v>53.252587285936876</v>
      </c>
      <c r="J135" s="10">
        <f t="shared" si="52"/>
        <v>100.72049037659879</v>
      </c>
      <c r="K135" s="10">
        <f t="shared" si="53"/>
        <v>0</v>
      </c>
      <c r="L135" s="10">
        <f t="shared" si="54"/>
        <v>17.186359390222623</v>
      </c>
      <c r="M135" s="10">
        <f t="shared" si="55"/>
        <v>2.1210340270959986</v>
      </c>
      <c r="N135" s="11">
        <f t="shared" si="56"/>
        <v>4.5000000000000009</v>
      </c>
      <c r="O135" s="15">
        <f t="shared" si="57"/>
        <v>0</v>
      </c>
      <c r="P135" s="12">
        <f t="shared" si="58"/>
        <v>1.088888888888889</v>
      </c>
      <c r="Q135" s="1">
        <f t="shared" si="59"/>
        <v>1</v>
      </c>
    </row>
    <row r="136" spans="1:17" x14ac:dyDescent="0.25">
      <c r="A136" s="2" t="s">
        <v>517</v>
      </c>
      <c r="B136" s="25" t="s">
        <v>518</v>
      </c>
      <c r="C136" s="2" t="s">
        <v>519</v>
      </c>
      <c r="D136" s="14" t="s">
        <v>520</v>
      </c>
      <c r="E136" s="17">
        <v>0.9</v>
      </c>
      <c r="F136" s="17">
        <v>7.9</v>
      </c>
      <c r="G136" s="17">
        <v>9.6999999999999993</v>
      </c>
      <c r="H136" s="28">
        <f t="shared" si="50"/>
        <v>173.78284355255087</v>
      </c>
      <c r="I136" s="10">
        <f t="shared" si="51"/>
        <v>118.33908285763749</v>
      </c>
      <c r="J136" s="10">
        <f t="shared" si="52"/>
        <v>22.596669826323645</v>
      </c>
      <c r="K136" s="10">
        <f t="shared" si="53"/>
        <v>14.854805781814919</v>
      </c>
      <c r="L136" s="10">
        <f t="shared" si="54"/>
        <v>15.966713316198943</v>
      </c>
      <c r="M136" s="10">
        <f t="shared" si="55"/>
        <v>2.0255717705758691</v>
      </c>
      <c r="N136" s="11">
        <f t="shared" si="56"/>
        <v>1.7999999999999989</v>
      </c>
      <c r="O136" s="12">
        <f t="shared" si="57"/>
        <v>1.3166666666666667</v>
      </c>
      <c r="P136" s="13">
        <f t="shared" si="58"/>
        <v>1.0777777777777777</v>
      </c>
      <c r="Q136" s="1">
        <f t="shared" si="59"/>
        <v>1</v>
      </c>
    </row>
    <row r="137" spans="1:17" x14ac:dyDescent="0.25">
      <c r="A137" s="2" t="s">
        <v>533</v>
      </c>
      <c r="B137" s="25" t="s">
        <v>534</v>
      </c>
      <c r="C137" s="2" t="s">
        <v>535</v>
      </c>
      <c r="D137" s="14" t="s">
        <v>536</v>
      </c>
      <c r="E137" s="17">
        <v>0.9</v>
      </c>
      <c r="F137" s="17">
        <v>8.1</v>
      </c>
      <c r="G137" s="17">
        <v>9.9</v>
      </c>
      <c r="H137" s="28">
        <f t="shared" si="50"/>
        <v>177.15154825497805</v>
      </c>
      <c r="I137" s="10">
        <f t="shared" si="51"/>
        <v>118.33908285763749</v>
      </c>
      <c r="J137" s="10">
        <f t="shared" si="52"/>
        <v>22.596669826323687</v>
      </c>
      <c r="K137" s="10">
        <f t="shared" si="53"/>
        <v>15.567263381078268</v>
      </c>
      <c r="L137" s="10">
        <f t="shared" si="54"/>
        <v>18.427536908779015</v>
      </c>
      <c r="M137" s="10">
        <f t="shared" si="55"/>
        <v>2.2209952811595892</v>
      </c>
      <c r="N137" s="11">
        <f t="shared" si="56"/>
        <v>1.8000000000000007</v>
      </c>
      <c r="O137" s="12">
        <f t="shared" si="57"/>
        <v>1.3499999999999999</v>
      </c>
      <c r="P137" s="13">
        <f t="shared" si="58"/>
        <v>1.1000000000000001</v>
      </c>
      <c r="Q137" s="1">
        <f t="shared" si="59"/>
        <v>1</v>
      </c>
    </row>
    <row r="138" spans="1:17" x14ac:dyDescent="0.25">
      <c r="A138" s="2" t="s">
        <v>525</v>
      </c>
      <c r="B138" s="25" t="s">
        <v>526</v>
      </c>
      <c r="C138" s="2" t="s">
        <v>527</v>
      </c>
      <c r="D138" s="14" t="s">
        <v>528</v>
      </c>
      <c r="E138" s="17">
        <v>0.8</v>
      </c>
      <c r="F138" s="17">
        <v>8.6</v>
      </c>
      <c r="G138" s="17">
        <v>9.6999999999999993</v>
      </c>
      <c r="H138" s="28">
        <f t="shared" si="50"/>
        <v>177.23131083100958</v>
      </c>
      <c r="I138" s="10">
        <f t="shared" si="51"/>
        <v>133.13146821484219</v>
      </c>
      <c r="J138" s="10">
        <f t="shared" si="52"/>
        <v>8.870321411156473</v>
      </c>
      <c r="K138" s="10">
        <f t="shared" si="53"/>
        <v>17.237236118236083</v>
      </c>
      <c r="L138" s="10">
        <f t="shared" si="54"/>
        <v>15.966713316198943</v>
      </c>
      <c r="M138" s="10">
        <f t="shared" si="55"/>
        <v>2.0255717705758691</v>
      </c>
      <c r="N138" s="11">
        <f t="shared" si="56"/>
        <v>1.0999999999999996</v>
      </c>
      <c r="O138" s="12">
        <f t="shared" si="57"/>
        <v>1.4333333333333333</v>
      </c>
      <c r="P138" s="13">
        <f t="shared" si="58"/>
        <v>1.0777777777777777</v>
      </c>
      <c r="Q138" s="1">
        <f t="shared" si="59"/>
        <v>1</v>
      </c>
    </row>
    <row r="139" spans="1:17" x14ac:dyDescent="0.25">
      <c r="A139" s="2" t="s">
        <v>557</v>
      </c>
      <c r="B139" s="25" t="s">
        <v>558</v>
      </c>
      <c r="C139" s="2" t="s">
        <v>559</v>
      </c>
      <c r="D139" s="14" t="s">
        <v>560</v>
      </c>
      <c r="E139" s="17">
        <v>1.3</v>
      </c>
      <c r="F139" s="17">
        <v>9.6999999999999993</v>
      </c>
      <c r="G139" s="17">
        <v>11.7</v>
      </c>
      <c r="H139" s="28">
        <f t="shared" si="50"/>
        <v>177.94248456026412</v>
      </c>
      <c r="I139" s="10">
        <f t="shared" si="51"/>
        <v>81.927057362979809</v>
      </c>
      <c r="J139" s="10">
        <f t="shared" si="52"/>
        <v>23.875515993480967</v>
      </c>
      <c r="K139" s="10">
        <f t="shared" si="53"/>
        <v>22.6012956993529</v>
      </c>
      <c r="L139" s="10">
        <f t="shared" si="54"/>
        <v>44.45060925789209</v>
      </c>
      <c r="M139" s="10">
        <f t="shared" si="55"/>
        <v>5.0880062465583453</v>
      </c>
      <c r="N139" s="11">
        <f t="shared" si="56"/>
        <v>2</v>
      </c>
      <c r="O139" s="12">
        <f t="shared" si="57"/>
        <v>1.6166666666666665</v>
      </c>
      <c r="P139" s="13">
        <f t="shared" si="58"/>
        <v>1.2999999999999998</v>
      </c>
      <c r="Q139" s="1">
        <f t="shared" si="59"/>
        <v>1</v>
      </c>
    </row>
    <row r="140" spans="1:17" x14ac:dyDescent="0.25">
      <c r="A140" s="2" t="s">
        <v>561</v>
      </c>
      <c r="B140" s="25" t="s">
        <v>562</v>
      </c>
      <c r="C140" s="2" t="s">
        <v>563</v>
      </c>
      <c r="D140" s="14" t="s">
        <v>564</v>
      </c>
      <c r="E140" s="17">
        <v>1.3</v>
      </c>
      <c r="F140" s="17">
        <v>9.8000000000000007</v>
      </c>
      <c r="G140" s="17">
        <v>11.8</v>
      </c>
      <c r="H140" s="28">
        <f t="shared" si="50"/>
        <v>180.27589911454467</v>
      </c>
      <c r="I140" s="10">
        <f t="shared" si="51"/>
        <v>81.927057362979809</v>
      </c>
      <c r="J140" s="10">
        <f t="shared" si="52"/>
        <v>23.875515993480967</v>
      </c>
      <c r="K140" s="10">
        <f t="shared" si="53"/>
        <v>23.044644942080858</v>
      </c>
      <c r="L140" s="10">
        <f t="shared" si="54"/>
        <v>46.1008842225705</v>
      </c>
      <c r="M140" s="10">
        <f t="shared" si="55"/>
        <v>5.3277965934325513</v>
      </c>
      <c r="N140" s="11">
        <f t="shared" si="56"/>
        <v>2</v>
      </c>
      <c r="O140" s="12">
        <f t="shared" si="57"/>
        <v>1.6333333333333335</v>
      </c>
      <c r="P140" s="13">
        <f t="shared" si="58"/>
        <v>1.3111111111111111</v>
      </c>
      <c r="Q140" s="1">
        <f t="shared" si="59"/>
        <v>1</v>
      </c>
    </row>
    <row r="141" spans="1:17" x14ac:dyDescent="0.25">
      <c r="A141" s="2" t="s">
        <v>537</v>
      </c>
      <c r="B141" s="25" t="s">
        <v>538</v>
      </c>
      <c r="C141" s="2" t="s">
        <v>539</v>
      </c>
      <c r="D141" s="14" t="s">
        <v>540</v>
      </c>
      <c r="E141" s="17">
        <v>0.7</v>
      </c>
      <c r="F141" s="17">
        <v>9.1</v>
      </c>
      <c r="G141" s="17">
        <v>9.3000000000000007</v>
      </c>
      <c r="H141" s="28">
        <f t="shared" si="50"/>
        <v>184.39375576706701</v>
      </c>
      <c r="I141" s="10">
        <f t="shared" si="51"/>
        <v>152.15024938839107</v>
      </c>
      <c r="J141" s="10">
        <f t="shared" si="52"/>
        <v>0.31028722038642259</v>
      </c>
      <c r="K141" s="10">
        <f t="shared" si="53"/>
        <v>18.94497847832454</v>
      </c>
      <c r="L141" s="10">
        <f t="shared" si="54"/>
        <v>11.303443465431679</v>
      </c>
      <c r="M141" s="10">
        <f t="shared" si="55"/>
        <v>1.6847972145333001</v>
      </c>
      <c r="N141" s="11">
        <f t="shared" si="56"/>
        <v>0.20000000000000107</v>
      </c>
      <c r="O141" s="12">
        <f t="shared" si="57"/>
        <v>1.5166666666666666</v>
      </c>
      <c r="P141" s="13">
        <f t="shared" si="58"/>
        <v>1.0333333333333334</v>
      </c>
      <c r="Q141" s="1">
        <f t="shared" si="59"/>
        <v>1</v>
      </c>
    </row>
    <row r="142" spans="1:17" x14ac:dyDescent="0.25">
      <c r="A142" s="2" t="s">
        <v>549</v>
      </c>
      <c r="B142" s="25" t="s">
        <v>550</v>
      </c>
      <c r="C142" s="2" t="s">
        <v>551</v>
      </c>
      <c r="D142" s="14" t="s">
        <v>552</v>
      </c>
      <c r="E142" s="17">
        <v>0.8</v>
      </c>
      <c r="F142" s="17">
        <v>10</v>
      </c>
      <c r="G142" s="17">
        <v>10.5</v>
      </c>
      <c r="H142" s="28">
        <f t="shared" si="50"/>
        <v>187.13844733133513</v>
      </c>
      <c r="I142" s="10">
        <f t="shared" si="51"/>
        <v>133.13146821484219</v>
      </c>
      <c r="J142" s="10">
        <f t="shared" si="52"/>
        <v>1.8327110353629086</v>
      </c>
      <c r="K142" s="10">
        <f t="shared" si="53"/>
        <v>22.919663730134562</v>
      </c>
      <c r="L142" s="10">
        <f t="shared" si="54"/>
        <v>26.326762355304865</v>
      </c>
      <c r="M142" s="10">
        <f t="shared" si="55"/>
        <v>2.9278419956906014</v>
      </c>
      <c r="N142" s="11">
        <f t="shared" si="56"/>
        <v>0.5</v>
      </c>
      <c r="O142" s="12">
        <f t="shared" si="57"/>
        <v>1.6666666666666667</v>
      </c>
      <c r="P142" s="13">
        <f t="shared" si="58"/>
        <v>1.1666666666666667</v>
      </c>
      <c r="Q142" s="1">
        <f t="shared" si="59"/>
        <v>1</v>
      </c>
    </row>
    <row r="143" spans="1:17" x14ac:dyDescent="0.25">
      <c r="A143" s="2" t="s">
        <v>569</v>
      </c>
      <c r="B143" s="25" t="s">
        <v>570</v>
      </c>
      <c r="C143" s="2" t="s">
        <v>571</v>
      </c>
      <c r="D143" s="14" t="s">
        <v>572</v>
      </c>
      <c r="E143" s="17">
        <v>1.6</v>
      </c>
      <c r="F143" s="17">
        <v>8</v>
      </c>
      <c r="G143" s="17">
        <v>11.4</v>
      </c>
      <c r="H143" s="28">
        <f t="shared" si="50"/>
        <v>189.83812993742973</v>
      </c>
      <c r="I143" s="10">
        <f t="shared" si="51"/>
        <v>66.565734107421093</v>
      </c>
      <c r="J143" s="10">
        <f t="shared" si="52"/>
        <v>63.194001400902771</v>
      </c>
      <c r="K143" s="10">
        <f t="shared" si="53"/>
        <v>16.01795321183107</v>
      </c>
      <c r="L143" s="10">
        <f t="shared" si="54"/>
        <v>39.628973031053349</v>
      </c>
      <c r="M143" s="10">
        <f t="shared" si="55"/>
        <v>4.4314681862214416</v>
      </c>
      <c r="N143" s="11">
        <f t="shared" si="56"/>
        <v>3.4000000000000004</v>
      </c>
      <c r="O143" s="12">
        <f t="shared" si="57"/>
        <v>1.3333333333333333</v>
      </c>
      <c r="P143" s="13">
        <f t="shared" si="58"/>
        <v>1.2666666666666666</v>
      </c>
      <c r="Q143" s="1">
        <f t="shared" si="59"/>
        <v>1</v>
      </c>
    </row>
    <row r="144" spans="1:17" x14ac:dyDescent="0.25">
      <c r="A144" s="2" t="s">
        <v>573</v>
      </c>
      <c r="B144" s="25" t="s">
        <v>574</v>
      </c>
      <c r="C144" s="2" t="s">
        <v>575</v>
      </c>
      <c r="D144" s="14" t="s">
        <v>576</v>
      </c>
      <c r="E144" s="17">
        <v>0.9</v>
      </c>
      <c r="F144" s="17">
        <v>9.1</v>
      </c>
      <c r="G144" s="17">
        <v>10.8</v>
      </c>
      <c r="H144" s="28">
        <f t="shared" si="50"/>
        <v>191.8021429826068</v>
      </c>
      <c r="I144" s="10">
        <f t="shared" si="51"/>
        <v>118.33908285763749</v>
      </c>
      <c r="J144" s="10">
        <f t="shared" si="52"/>
        <v>20.155671542615892</v>
      </c>
      <c r="K144" s="10">
        <f t="shared" si="53"/>
        <v>19.378726612070828</v>
      </c>
      <c r="L144" s="10">
        <f t="shared" si="54"/>
        <v>30.567049579759743</v>
      </c>
      <c r="M144" s="10">
        <f t="shared" si="55"/>
        <v>3.3616123905228257</v>
      </c>
      <c r="N144" s="11">
        <f t="shared" si="56"/>
        <v>1.7000000000000011</v>
      </c>
      <c r="O144" s="12">
        <f t="shared" si="57"/>
        <v>1.5166666666666666</v>
      </c>
      <c r="P144" s="13">
        <f t="shared" si="58"/>
        <v>1.2000000000000002</v>
      </c>
      <c r="Q144" s="1">
        <f t="shared" si="59"/>
        <v>1</v>
      </c>
    </row>
    <row r="145" spans="1:17" x14ac:dyDescent="0.25">
      <c r="A145" s="2" t="s">
        <v>565</v>
      </c>
      <c r="B145" s="25" t="s">
        <v>566</v>
      </c>
      <c r="C145" s="2" t="s">
        <v>567</v>
      </c>
      <c r="D145" s="14" t="s">
        <v>568</v>
      </c>
      <c r="E145" s="17">
        <v>0.6</v>
      </c>
      <c r="F145" s="17">
        <v>8.1</v>
      </c>
      <c r="G145" s="17">
        <v>8.4</v>
      </c>
      <c r="H145" s="28">
        <f t="shared" si="50"/>
        <v>194.3759559536536</v>
      </c>
      <c r="I145" s="10">
        <f t="shared" si="51"/>
        <v>177.50862428645627</v>
      </c>
      <c r="J145" s="10">
        <f t="shared" si="52"/>
        <v>0.74522462955326041</v>
      </c>
      <c r="K145" s="10">
        <f t="shared" si="53"/>
        <v>15.008972556780463</v>
      </c>
      <c r="L145" s="10">
        <f t="shared" si="54"/>
        <v>0</v>
      </c>
      <c r="M145" s="10">
        <f t="shared" si="55"/>
        <v>1.1131344808635986</v>
      </c>
      <c r="N145" s="11">
        <f t="shared" si="56"/>
        <v>0.30000000000000071</v>
      </c>
      <c r="O145" s="12">
        <f t="shared" si="57"/>
        <v>1.3499999999999999</v>
      </c>
      <c r="P145" s="13">
        <f t="shared" si="58"/>
        <v>0</v>
      </c>
      <c r="Q145" s="1">
        <f t="shared" si="59"/>
        <v>1</v>
      </c>
    </row>
    <row r="146" spans="1:17" x14ac:dyDescent="0.25">
      <c r="A146" s="2" t="s">
        <v>553</v>
      </c>
      <c r="B146" s="25" t="s">
        <v>554</v>
      </c>
      <c r="C146" s="2" t="s">
        <v>555</v>
      </c>
      <c r="D146" s="14" t="s">
        <v>556</v>
      </c>
      <c r="E146" s="17">
        <v>0.7</v>
      </c>
      <c r="F146" s="17">
        <v>9.8000000000000007</v>
      </c>
      <c r="G146" s="17">
        <v>9.9</v>
      </c>
      <c r="H146" s="28">
        <f t="shared" si="50"/>
        <v>194.67120658705059</v>
      </c>
      <c r="I146" s="10">
        <f t="shared" si="51"/>
        <v>152.15024938839107</v>
      </c>
      <c r="J146" s="10">
        <f t="shared" si="52"/>
        <v>7.7571805096604274E-2</v>
      </c>
      <c r="K146" s="10">
        <f t="shared" si="53"/>
        <v>21.794853203624321</v>
      </c>
      <c r="L146" s="10">
        <f t="shared" si="54"/>
        <v>18.427536908779015</v>
      </c>
      <c r="M146" s="10">
        <f t="shared" si="55"/>
        <v>2.2209952811595892</v>
      </c>
      <c r="N146" s="11">
        <f t="shared" si="56"/>
        <v>9.9999999999999645E-2</v>
      </c>
      <c r="O146" s="12">
        <f t="shared" si="57"/>
        <v>1.6333333333333335</v>
      </c>
      <c r="P146" s="13">
        <f t="shared" si="58"/>
        <v>1.1000000000000001</v>
      </c>
      <c r="Q146" s="1">
        <f t="shared" si="59"/>
        <v>1</v>
      </c>
    </row>
    <row r="147" spans="1:17" x14ac:dyDescent="0.25">
      <c r="A147" s="2" t="s">
        <v>577</v>
      </c>
      <c r="B147" s="25" t="s">
        <v>578</v>
      </c>
      <c r="C147" s="2" t="s">
        <v>579</v>
      </c>
      <c r="D147" s="14" t="s">
        <v>580</v>
      </c>
      <c r="E147" s="17">
        <v>0.6</v>
      </c>
      <c r="F147" s="17">
        <v>8.4</v>
      </c>
      <c r="G147" s="17">
        <v>8.9</v>
      </c>
      <c r="H147" s="28">
        <f t="shared" si="50"/>
        <v>197.04940837946708</v>
      </c>
      <c r="I147" s="10">
        <f t="shared" si="51"/>
        <v>177.50862428645627</v>
      </c>
      <c r="J147" s="10">
        <f t="shared" si="52"/>
        <v>2.0700684154257134</v>
      </c>
      <c r="K147" s="10">
        <f t="shared" si="53"/>
        <v>16.069362392881605</v>
      </c>
      <c r="L147" s="10">
        <f t="shared" si="54"/>
        <v>0</v>
      </c>
      <c r="M147" s="10">
        <f t="shared" si="55"/>
        <v>1.4013532847034931</v>
      </c>
      <c r="N147" s="11">
        <f t="shared" si="56"/>
        <v>0.5</v>
      </c>
      <c r="O147" s="12">
        <f t="shared" si="57"/>
        <v>1.4000000000000001</v>
      </c>
      <c r="P147" s="13">
        <f t="shared" si="58"/>
        <v>0</v>
      </c>
      <c r="Q147" s="1">
        <f t="shared" si="59"/>
        <v>1</v>
      </c>
    </row>
    <row r="148" spans="1:17" x14ac:dyDescent="0.25">
      <c r="A148" s="2" t="s">
        <v>581</v>
      </c>
      <c r="B148" s="25" t="s">
        <v>582</v>
      </c>
      <c r="C148" s="2" t="s">
        <v>583</v>
      </c>
      <c r="D148" s="14" t="s">
        <v>584</v>
      </c>
      <c r="E148" s="17">
        <v>0.6</v>
      </c>
      <c r="F148" s="17">
        <v>8.8000000000000007</v>
      </c>
      <c r="G148" s="17">
        <v>8.3000000000000007</v>
      </c>
      <c r="H148" s="28">
        <f t="shared" si="50"/>
        <v>198.18099915977109</v>
      </c>
      <c r="I148" s="10">
        <f t="shared" si="51"/>
        <v>177.50862428645627</v>
      </c>
      <c r="J148" s="10">
        <f t="shared" si="52"/>
        <v>2.0700684154257134</v>
      </c>
      <c r="K148" s="10">
        <f t="shared" si="53"/>
        <v>17.539271281419545</v>
      </c>
      <c r="L148" s="10">
        <f t="shared" si="54"/>
        <v>0</v>
      </c>
      <c r="M148" s="10">
        <f t="shared" si="55"/>
        <v>1.0630351764695576</v>
      </c>
      <c r="N148" s="11">
        <f t="shared" si="56"/>
        <v>-0.5</v>
      </c>
      <c r="O148" s="12">
        <f t="shared" si="57"/>
        <v>1.4666666666666668</v>
      </c>
      <c r="P148" s="13">
        <f t="shared" si="58"/>
        <v>0</v>
      </c>
      <c r="Q148" s="1">
        <f t="shared" si="59"/>
        <v>1</v>
      </c>
    </row>
    <row r="149" spans="1:17" x14ac:dyDescent="0.25">
      <c r="A149" s="2" t="s">
        <v>585</v>
      </c>
      <c r="B149" s="25" t="s">
        <v>586</v>
      </c>
      <c r="C149" s="2" t="s">
        <v>587</v>
      </c>
      <c r="D149" s="14" t="s">
        <v>588</v>
      </c>
      <c r="E149" s="17">
        <v>0.6</v>
      </c>
      <c r="F149" s="17">
        <v>8.3000000000000007</v>
      </c>
      <c r="G149" s="17">
        <v>9</v>
      </c>
      <c r="H149" s="28">
        <f t="shared" si="50"/>
        <v>198.74525054135151</v>
      </c>
      <c r="I149" s="10">
        <f t="shared" si="51"/>
        <v>177.50862428645627</v>
      </c>
      <c r="J149" s="10">
        <f t="shared" si="52"/>
        <v>4.057334094234391</v>
      </c>
      <c r="K149" s="10">
        <f t="shared" si="53"/>
        <v>15.711895130342915</v>
      </c>
      <c r="L149" s="10">
        <f t="shared" si="54"/>
        <v>0</v>
      </c>
      <c r="M149" s="10">
        <f t="shared" si="55"/>
        <v>1.4673970303179282</v>
      </c>
      <c r="N149" s="11">
        <f t="shared" si="56"/>
        <v>0.69999999999999929</v>
      </c>
      <c r="O149" s="12">
        <f t="shared" si="57"/>
        <v>1.3833333333333335</v>
      </c>
      <c r="P149" s="13">
        <f t="shared" si="58"/>
        <v>0</v>
      </c>
      <c r="Q149" s="1">
        <f t="shared" si="59"/>
        <v>1</v>
      </c>
    </row>
    <row r="150" spans="1:17" x14ac:dyDescent="0.25">
      <c r="A150" s="2" t="s">
        <v>589</v>
      </c>
      <c r="B150" s="25" t="s">
        <v>590</v>
      </c>
      <c r="C150" s="2" t="s">
        <v>591</v>
      </c>
      <c r="D150" s="14" t="s">
        <v>592</v>
      </c>
      <c r="E150" s="17">
        <v>0.8</v>
      </c>
      <c r="F150" s="17">
        <v>8</v>
      </c>
      <c r="G150" s="17">
        <v>10</v>
      </c>
      <c r="H150" s="28">
        <f t="shared" si="50"/>
        <v>199.51921386549063</v>
      </c>
      <c r="I150" s="10">
        <f t="shared" si="51"/>
        <v>133.13146821484219</v>
      </c>
      <c r="J150" s="10">
        <f t="shared" si="52"/>
        <v>29.323376565806537</v>
      </c>
      <c r="K150" s="10">
        <f t="shared" si="53"/>
        <v>15.048455648985211</v>
      </c>
      <c r="L150" s="10">
        <f t="shared" si="54"/>
        <v>19.690245871868147</v>
      </c>
      <c r="M150" s="10">
        <f t="shared" si="55"/>
        <v>2.3256675639885351</v>
      </c>
      <c r="N150" s="11">
        <f t="shared" si="56"/>
        <v>2</v>
      </c>
      <c r="O150" s="12">
        <f t="shared" si="57"/>
        <v>1.3333333333333333</v>
      </c>
      <c r="P150" s="13">
        <f t="shared" si="58"/>
        <v>1.1111111111111112</v>
      </c>
      <c r="Q150" s="1">
        <f t="shared" si="59"/>
        <v>1</v>
      </c>
    </row>
  </sheetData>
  <sortState ref="A6:Q150">
    <sortCondition ref="H6:H150"/>
  </sortState>
  <mergeCells count="1">
    <mergeCell ref="A1:Q1"/>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RoT V2.0 Beta</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WRAK's RoT for splitting unequal and faint double stars</dc:title>
  <dc:creator>Wilfried R.A. Knapp</dc:creator>
  <cp:lastModifiedBy>Wilfried Knapp</cp:lastModifiedBy>
  <dcterms:created xsi:type="dcterms:W3CDTF">2012-12-27T20:58:43Z</dcterms:created>
  <dcterms:modified xsi:type="dcterms:W3CDTF">2013-01-29T11:58:25Z</dcterms:modified>
</cp:coreProperties>
</file>