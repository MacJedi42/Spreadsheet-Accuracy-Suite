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1172" windowHeight="8328"/>
  </bookViews>
  <sheets>
    <sheet name="Finance June 11" sheetId="1" r:id="rId1"/>
  </sheets>
  <calcPr calcId="125725"/>
</workbook>
</file>

<file path=xl/calcChain.xml><?xml version="1.0" encoding="utf-8"?>
<calcChain xmlns="http://schemas.openxmlformats.org/spreadsheetml/2006/main">
  <c r="F27" i="1"/>
  <c r="E27"/>
  <c r="E19" l="1"/>
  <c r="E21"/>
  <c r="F21" s="1"/>
  <c r="E25"/>
  <c r="F23" l="1"/>
  <c r="F22"/>
  <c r="F20"/>
  <c r="F19"/>
  <c r="F18"/>
  <c r="F16"/>
  <c r="E16"/>
  <c r="E15"/>
  <c r="E14"/>
  <c r="F33" l="1"/>
  <c r="F36"/>
  <c r="F38"/>
  <c r="F37"/>
  <c r="F25"/>
  <c r="F24"/>
  <c r="E30"/>
  <c r="F30" s="1"/>
  <c r="E13"/>
  <c r="F40" l="1"/>
  <c r="F14"/>
  <c r="F12"/>
  <c r="F13"/>
  <c r="E31"/>
  <c r="F31" s="1"/>
  <c r="F11"/>
  <c r="E32"/>
  <c r="F32" s="1"/>
  <c r="F28" l="1"/>
  <c r="F34" s="1"/>
  <c r="F41" l="1"/>
</calcChain>
</file>

<file path=xl/sharedStrings.xml><?xml version="1.0" encoding="utf-8"?>
<sst xmlns="http://schemas.openxmlformats.org/spreadsheetml/2006/main" count="112" uniqueCount="79">
  <si>
    <t>TATSFIELD PARISH COUNCIL</t>
  </si>
  <si>
    <t>APPENDIX B</t>
  </si>
  <si>
    <t>Expenditure to be authorised:-</t>
  </si>
  <si>
    <t>Payee</t>
  </si>
  <si>
    <t>Description</t>
  </si>
  <si>
    <t>Nett</t>
  </si>
  <si>
    <t>VAT</t>
  </si>
  <si>
    <t>Total</t>
  </si>
  <si>
    <t>Telephone</t>
  </si>
  <si>
    <t>Mrs A Hughes</t>
  </si>
  <si>
    <t>M Lambert</t>
  </si>
  <si>
    <t>Paid by Direct Debit</t>
  </si>
  <si>
    <t>Receipts since last meeting:</t>
  </si>
  <si>
    <t>Total Receipts</t>
  </si>
  <si>
    <t>Balance</t>
  </si>
  <si>
    <t>Balances at HSBC Bank</t>
  </si>
  <si>
    <t>****</t>
  </si>
  <si>
    <t xml:space="preserve">**** includes interest for </t>
  </si>
  <si>
    <t>TOTALS</t>
  </si>
  <si>
    <t>EDF Energy</t>
  </si>
  <si>
    <t>Postage</t>
  </si>
  <si>
    <t xml:space="preserve">Current Account </t>
  </si>
  <si>
    <t>Deposit Account No</t>
  </si>
  <si>
    <t>*****</t>
  </si>
  <si>
    <t xml:space="preserve">Salary </t>
  </si>
  <si>
    <t>Mileage / travel</t>
  </si>
  <si>
    <t>chq</t>
  </si>
  <si>
    <t>TDC</t>
  </si>
  <si>
    <t>Rates for ground floor</t>
  </si>
  <si>
    <t>Thames Water</t>
  </si>
  <si>
    <t>Water bill</t>
  </si>
  <si>
    <t>Goldservice Cleaners</t>
  </si>
  <si>
    <t>Clean of AMB</t>
  </si>
  <si>
    <t>Electricity bill - Aileen McHugo Building</t>
  </si>
  <si>
    <t>E.On Energy</t>
  </si>
  <si>
    <t>Sept</t>
  </si>
  <si>
    <t xml:space="preserve"> 11/66</t>
  </si>
  <si>
    <t>Oct 2011</t>
  </si>
  <si>
    <t>S Taylor</t>
  </si>
  <si>
    <t>Payment for hire of TCGA + key deposiot</t>
  </si>
  <si>
    <t>Kestrell Childrens Services</t>
  </si>
  <si>
    <t>Rental on TCGA room until March 2012</t>
  </si>
  <si>
    <t>2nd Precept Payment</t>
  </si>
  <si>
    <t>Bill for May-Sept</t>
  </si>
  <si>
    <t>T Dawkins</t>
  </si>
  <si>
    <t>Outstanding fees ref Maint Project</t>
  </si>
  <si>
    <t>May - Sept</t>
  </si>
  <si>
    <t>Building Regs payment</t>
  </si>
  <si>
    <t>this will be coming off the total amount owed by the PC to ABW</t>
  </si>
  <si>
    <t>payment re windows</t>
  </si>
  <si>
    <t>DH Reeves</t>
  </si>
  <si>
    <t>Outstanding work for Maint Project</t>
  </si>
  <si>
    <t>Ian Mitchell</t>
  </si>
  <si>
    <t xml:space="preserve">Travel / parking expenses </t>
  </si>
  <si>
    <t>Purchases : keys</t>
  </si>
  <si>
    <t>Car park / TCGA maintenance + materials</t>
  </si>
  <si>
    <t>includes £16 for painting materials for TCGA storage box</t>
  </si>
  <si>
    <t>HMRC</t>
  </si>
  <si>
    <t>Quarter 2 PAYE/NI</t>
  </si>
  <si>
    <t>July - Sept</t>
  </si>
  <si>
    <t>TIB</t>
  </si>
  <si>
    <t>P Kerry</t>
  </si>
  <si>
    <t>Expenses for NALC Conference</t>
  </si>
  <si>
    <t>Land Registry</t>
  </si>
  <si>
    <t>Registering K Edward VII</t>
  </si>
  <si>
    <t>TVSC</t>
  </si>
  <si>
    <t>annual membership</t>
  </si>
  <si>
    <t>Refund for credit balance</t>
  </si>
  <si>
    <t>Whelan Homes</t>
  </si>
  <si>
    <t>Allotments rental</t>
  </si>
  <si>
    <t xml:space="preserve">BDO </t>
  </si>
  <si>
    <t>Annual Audit</t>
  </si>
  <si>
    <t>Co2 alarm</t>
  </si>
  <si>
    <t>Barnsfold Nurseries</t>
  </si>
  <si>
    <t>this was increased at my request as our previous bill had accrued a debit balance.</t>
  </si>
  <si>
    <t>Sue Smale</t>
  </si>
  <si>
    <t>SVOTY expenses for hosting</t>
  </si>
  <si>
    <t>Kells Electrical</t>
  </si>
  <si>
    <t>Timer on hot water cylinder</t>
  </si>
</sst>
</file>

<file path=xl/styles.xml><?xml version="1.0" encoding="utf-8"?>
<styleSheet xmlns="http://schemas.openxmlformats.org/spreadsheetml/2006/main">
  <fonts count="10"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Sans-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1" fillId="0" borderId="0" xfId="0" applyNumberFormat="1" applyFont="1" applyFill="1" applyBorder="1" applyAlignment="1" applyProtection="1">
      <alignment horizontal="left"/>
    </xf>
    <xf numFmtId="4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4" fontId="2" fillId="0" borderId="0" xfId="0" applyNumberFormat="1" applyFont="1" applyFill="1" applyBorder="1" applyAlignment="1" applyProtection="1"/>
    <xf numFmtId="4" fontId="5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center"/>
    </xf>
    <xf numFmtId="4" fontId="2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14" fontId="1" fillId="0" borderId="0" xfId="0" applyNumberFormat="1" applyFont="1" applyFill="1" applyBorder="1" applyAlignment="1" applyProtection="1">
      <alignment horizontal="center"/>
    </xf>
    <xf numFmtId="4" fontId="5" fillId="0" borderId="0" xfId="0" applyNumberFormat="1" applyFont="1" applyFill="1" applyBorder="1" applyAlignment="1" applyProtection="1">
      <alignment horizontal="right"/>
    </xf>
    <xf numFmtId="4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4" fontId="3" fillId="0" borderId="0" xfId="0" quotePrefix="1" applyNumberFormat="1" applyFont="1" applyFill="1" applyBorder="1" applyAlignment="1" applyProtection="1">
      <alignment horizontal="right"/>
    </xf>
    <xf numFmtId="4" fontId="4" fillId="0" borderId="0" xfId="0" quotePrefix="1" applyNumberFormat="1" applyFont="1" applyFill="1" applyBorder="1" applyAlignment="1" applyProtection="1">
      <alignment horizontal="right"/>
    </xf>
    <xf numFmtId="0" fontId="9" fillId="0" borderId="0" xfId="0" applyFont="1"/>
    <xf numFmtId="0" fontId="1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topLeftCell="A19" workbookViewId="0">
      <selection activeCell="E51" sqref="E51"/>
    </sheetView>
  </sheetViews>
  <sheetFormatPr defaultColWidth="10" defaultRowHeight="13.2"/>
  <cols>
    <col min="1" max="1" width="18.109375" style="3" customWidth="1"/>
    <col min="2" max="2" width="33" style="3" customWidth="1"/>
    <col min="3" max="3" width="9.109375" style="15" customWidth="1"/>
    <col min="4" max="4" width="9" style="14" customWidth="1"/>
    <col min="5" max="5" width="11.109375" style="14" customWidth="1"/>
    <col min="6" max="6" width="11" style="2" customWidth="1"/>
    <col min="7" max="16384" width="10" style="3"/>
  </cols>
  <sheetData>
    <row r="1" spans="1:8" ht="16.95" customHeight="1">
      <c r="A1" s="8" t="s">
        <v>0</v>
      </c>
      <c r="F1" s="20" t="s">
        <v>36</v>
      </c>
    </row>
    <row r="2" spans="1:8" ht="14.7" customHeight="1">
      <c r="C2" s="11" t="s">
        <v>1</v>
      </c>
      <c r="E2" s="19" t="s">
        <v>37</v>
      </c>
    </row>
    <row r="3" spans="1:8" ht="14.7" customHeight="1">
      <c r="A3" s="5" t="s">
        <v>2</v>
      </c>
    </row>
    <row r="5" spans="1:8" ht="14.1" customHeight="1">
      <c r="A5" s="9" t="s">
        <v>3</v>
      </c>
      <c r="B5" s="9" t="s">
        <v>4</v>
      </c>
      <c r="C5" s="9"/>
      <c r="D5" s="13" t="s">
        <v>5</v>
      </c>
      <c r="E5" s="7" t="s">
        <v>6</v>
      </c>
      <c r="F5" s="7" t="s">
        <v>7</v>
      </c>
      <c r="G5" s="3" t="s">
        <v>26</v>
      </c>
    </row>
    <row r="6" spans="1:8">
      <c r="A6" s="3" t="s">
        <v>9</v>
      </c>
      <c r="B6" s="3" t="s">
        <v>24</v>
      </c>
      <c r="C6" s="15" t="s">
        <v>35</v>
      </c>
      <c r="D6" s="2">
        <v>685.46</v>
      </c>
    </row>
    <row r="7" spans="1:8">
      <c r="B7" s="3" t="s">
        <v>8</v>
      </c>
      <c r="C7" s="15" t="s">
        <v>35</v>
      </c>
      <c r="D7" s="14">
        <v>3.5</v>
      </c>
    </row>
    <row r="8" spans="1:8">
      <c r="B8" s="3" t="s">
        <v>20</v>
      </c>
      <c r="C8" s="15" t="s">
        <v>35</v>
      </c>
      <c r="D8" s="2">
        <v>5.52</v>
      </c>
    </row>
    <row r="9" spans="1:8">
      <c r="A9" s="17"/>
      <c r="B9" s="17" t="s">
        <v>25</v>
      </c>
      <c r="C9" s="15" t="s">
        <v>35</v>
      </c>
      <c r="D9" s="2">
        <v>24.4</v>
      </c>
    </row>
    <row r="10" spans="1:8">
      <c r="A10" s="17"/>
      <c r="B10" s="3" t="s">
        <v>54</v>
      </c>
      <c r="C10" s="15" t="s">
        <v>35</v>
      </c>
      <c r="D10" s="2">
        <v>21</v>
      </c>
    </row>
    <row r="11" spans="1:8">
      <c r="F11" s="6">
        <f>SUM(D6:D10)</f>
        <v>739.88</v>
      </c>
      <c r="G11" s="3">
        <v>797</v>
      </c>
    </row>
    <row r="12" spans="1:8">
      <c r="A12" s="3" t="s">
        <v>10</v>
      </c>
      <c r="B12" s="3" t="s">
        <v>55</v>
      </c>
      <c r="C12" s="15" t="s">
        <v>35</v>
      </c>
      <c r="D12" s="14">
        <v>84</v>
      </c>
      <c r="E12" s="14">
        <v>0</v>
      </c>
      <c r="F12" s="2">
        <f>SUM(D12:E12)</f>
        <v>84</v>
      </c>
      <c r="G12" s="3">
        <v>798</v>
      </c>
      <c r="H12" s="3" t="s">
        <v>56</v>
      </c>
    </row>
    <row r="13" spans="1:8">
      <c r="A13" s="3" t="s">
        <v>31</v>
      </c>
      <c r="B13" s="3" t="s">
        <v>32</v>
      </c>
      <c r="C13" s="15" t="s">
        <v>35</v>
      </c>
      <c r="D13" s="14">
        <v>104</v>
      </c>
      <c r="E13" s="14">
        <f>D13*20%</f>
        <v>20.8</v>
      </c>
      <c r="F13" s="2">
        <f>SUM(D13:E13)</f>
        <v>124.8</v>
      </c>
      <c r="G13" s="3">
        <v>799</v>
      </c>
    </row>
    <row r="14" spans="1:8">
      <c r="A14" s="21" t="s">
        <v>44</v>
      </c>
      <c r="B14" s="3" t="s">
        <v>45</v>
      </c>
      <c r="C14" s="15" t="s">
        <v>46</v>
      </c>
      <c r="D14" s="14">
        <v>3976</v>
      </c>
      <c r="E14" s="14">
        <f>D14*20%</f>
        <v>795.2</v>
      </c>
      <c r="F14" s="2">
        <f>SUM(D14:E14)</f>
        <v>4771.2</v>
      </c>
      <c r="G14" s="3">
        <v>800</v>
      </c>
      <c r="H14" s="3" t="s">
        <v>48</v>
      </c>
    </row>
    <row r="15" spans="1:8">
      <c r="A15" s="3" t="s">
        <v>44</v>
      </c>
      <c r="B15" s="3" t="s">
        <v>47</v>
      </c>
      <c r="C15" s="15" t="s">
        <v>35</v>
      </c>
      <c r="D15" s="14">
        <v>100</v>
      </c>
      <c r="E15" s="14">
        <f>D15*20%</f>
        <v>20</v>
      </c>
      <c r="F15" s="2">
        <v>120</v>
      </c>
      <c r="G15" s="3">
        <v>800</v>
      </c>
      <c r="H15" s="3" t="s">
        <v>49</v>
      </c>
    </row>
    <row r="16" spans="1:8">
      <c r="A16" s="3" t="s">
        <v>50</v>
      </c>
      <c r="B16" s="3" t="s">
        <v>51</v>
      </c>
      <c r="C16" s="15" t="s">
        <v>35</v>
      </c>
      <c r="D16" s="14">
        <v>2730</v>
      </c>
      <c r="E16" s="14">
        <f>D16*20%</f>
        <v>546</v>
      </c>
      <c r="F16" s="2">
        <f>SUM(D16:E16)</f>
        <v>3276</v>
      </c>
      <c r="G16" s="3">
        <v>801</v>
      </c>
      <c r="H16" s="3" t="s">
        <v>48</v>
      </c>
    </row>
    <row r="17" spans="1:8">
      <c r="A17" s="3" t="s">
        <v>52</v>
      </c>
      <c r="B17" s="3" t="s">
        <v>53</v>
      </c>
      <c r="C17" s="15" t="s">
        <v>35</v>
      </c>
      <c r="D17" s="14">
        <v>62</v>
      </c>
      <c r="E17" s="14">
        <v>0</v>
      </c>
      <c r="F17" s="2">
        <v>62</v>
      </c>
      <c r="G17" s="3">
        <v>802</v>
      </c>
    </row>
    <row r="18" spans="1:8">
      <c r="A18" s="3" t="s">
        <v>57</v>
      </c>
      <c r="B18" s="3" t="s">
        <v>58</v>
      </c>
      <c r="C18" s="15" t="s">
        <v>59</v>
      </c>
      <c r="D18" s="14">
        <v>106.74</v>
      </c>
      <c r="E18" s="14">
        <v>0</v>
      </c>
      <c r="F18" s="2">
        <f t="shared" ref="F18:F27" si="0">SUM(D18:E18)</f>
        <v>106.74</v>
      </c>
      <c r="G18" s="3">
        <v>803</v>
      </c>
    </row>
    <row r="19" spans="1:8">
      <c r="A19" s="3" t="s">
        <v>73</v>
      </c>
      <c r="B19" s="3" t="s">
        <v>60</v>
      </c>
      <c r="C19" s="15" t="s">
        <v>35</v>
      </c>
      <c r="D19" s="14">
        <v>168.6</v>
      </c>
      <c r="E19" s="14">
        <f>D19*20%</f>
        <v>33.72</v>
      </c>
      <c r="F19" s="2">
        <f t="shared" si="0"/>
        <v>202.32</v>
      </c>
      <c r="G19" s="3">
        <v>804</v>
      </c>
    </row>
    <row r="20" spans="1:8">
      <c r="A20" s="3" t="s">
        <v>61</v>
      </c>
      <c r="B20" s="3" t="s">
        <v>62</v>
      </c>
      <c r="C20" s="15" t="s">
        <v>35</v>
      </c>
      <c r="D20" s="14">
        <v>23</v>
      </c>
      <c r="E20" s="14">
        <v>0</v>
      </c>
      <c r="F20" s="2">
        <f t="shared" si="0"/>
        <v>23</v>
      </c>
      <c r="G20" s="3">
        <v>805</v>
      </c>
    </row>
    <row r="21" spans="1:8">
      <c r="A21" s="3" t="s">
        <v>61</v>
      </c>
      <c r="B21" s="3" t="s">
        <v>72</v>
      </c>
      <c r="C21" s="15" t="s">
        <v>35</v>
      </c>
      <c r="D21" s="14">
        <v>22.75</v>
      </c>
      <c r="E21" s="14">
        <f>D21*20%</f>
        <v>4.55</v>
      </c>
      <c r="F21" s="2">
        <f t="shared" si="0"/>
        <v>27.3</v>
      </c>
      <c r="G21" s="3">
        <v>805</v>
      </c>
    </row>
    <row r="22" spans="1:8">
      <c r="A22" s="3" t="s">
        <v>63</v>
      </c>
      <c r="B22" s="3" t="s">
        <v>64</v>
      </c>
      <c r="C22" s="15" t="s">
        <v>35</v>
      </c>
      <c r="D22" s="14">
        <v>40</v>
      </c>
      <c r="E22" s="14">
        <v>0</v>
      </c>
      <c r="F22" s="2">
        <f t="shared" si="0"/>
        <v>40</v>
      </c>
      <c r="G22" s="3">
        <v>796</v>
      </c>
    </row>
    <row r="23" spans="1:8">
      <c r="A23" s="3" t="s">
        <v>65</v>
      </c>
      <c r="B23" s="3" t="s">
        <v>66</v>
      </c>
      <c r="C23" s="15" t="s">
        <v>35</v>
      </c>
      <c r="D23" s="14">
        <v>10</v>
      </c>
      <c r="E23" s="14">
        <v>0</v>
      </c>
      <c r="F23" s="2">
        <f t="shared" si="0"/>
        <v>10</v>
      </c>
      <c r="G23" s="3">
        <v>806</v>
      </c>
    </row>
    <row r="24" spans="1:8">
      <c r="A24" s="3" t="s">
        <v>68</v>
      </c>
      <c r="B24" s="3" t="s">
        <v>69</v>
      </c>
      <c r="C24" s="15" t="s">
        <v>35</v>
      </c>
      <c r="D24" s="14">
        <v>882.19</v>
      </c>
      <c r="E24" s="14">
        <v>0</v>
      </c>
      <c r="F24" s="2">
        <f t="shared" si="0"/>
        <v>882.19</v>
      </c>
      <c r="G24" s="3">
        <v>807</v>
      </c>
    </row>
    <row r="25" spans="1:8">
      <c r="A25" s="3" t="s">
        <v>70</v>
      </c>
      <c r="B25" s="3" t="s">
        <v>71</v>
      </c>
      <c r="C25" s="15" t="s">
        <v>35</v>
      </c>
      <c r="D25" s="14">
        <v>400</v>
      </c>
      <c r="E25" s="14">
        <f>D25*20%</f>
        <v>80</v>
      </c>
      <c r="F25" s="2">
        <f t="shared" si="0"/>
        <v>480</v>
      </c>
      <c r="G25" s="3">
        <v>808</v>
      </c>
    </row>
    <row r="26" spans="1:8">
      <c r="A26" s="3" t="s">
        <v>75</v>
      </c>
      <c r="B26" s="3" t="s">
        <v>76</v>
      </c>
      <c r="C26" s="15" t="s">
        <v>35</v>
      </c>
      <c r="D26" s="14">
        <v>45.16</v>
      </c>
      <c r="E26" s="14">
        <v>0</v>
      </c>
      <c r="F26" s="2">
        <v>45.16</v>
      </c>
      <c r="G26" s="3">
        <v>809</v>
      </c>
    </row>
    <row r="27" spans="1:8">
      <c r="A27" s="3" t="s">
        <v>77</v>
      </c>
      <c r="B27" s="3" t="s">
        <v>78</v>
      </c>
      <c r="C27" s="15" t="s">
        <v>35</v>
      </c>
      <c r="D27" s="14">
        <v>45.15</v>
      </c>
      <c r="E27" s="14">
        <f>D27*20%</f>
        <v>9.0299999999999994</v>
      </c>
      <c r="F27" s="2">
        <f t="shared" si="0"/>
        <v>54.18</v>
      </c>
      <c r="G27" s="3">
        <v>810</v>
      </c>
    </row>
    <row r="28" spans="1:8">
      <c r="B28" s="3" t="s">
        <v>18</v>
      </c>
      <c r="F28" s="2">
        <f>SUM(F11:F27)</f>
        <v>11048.77</v>
      </c>
      <c r="G28" s="17"/>
    </row>
    <row r="29" spans="1:8">
      <c r="A29" s="4" t="s">
        <v>11</v>
      </c>
    </row>
    <row r="30" spans="1:8">
      <c r="A30" s="3" t="s">
        <v>34</v>
      </c>
      <c r="B30" s="3" t="s">
        <v>43</v>
      </c>
      <c r="C30" s="15" t="s">
        <v>35</v>
      </c>
      <c r="D30" s="14">
        <v>28.56</v>
      </c>
      <c r="E30" s="14">
        <f>D30*5%</f>
        <v>1.4279999999999999</v>
      </c>
      <c r="F30" s="2">
        <f>SUM(D30:E30)</f>
        <v>29.988</v>
      </c>
    </row>
    <row r="31" spans="1:8">
      <c r="A31" s="3" t="s">
        <v>29</v>
      </c>
      <c r="B31" s="3" t="s">
        <v>30</v>
      </c>
      <c r="C31" s="15" t="s">
        <v>35</v>
      </c>
      <c r="D31" s="14">
        <v>27.62</v>
      </c>
      <c r="E31" s="14">
        <f>D31*5%</f>
        <v>1.3810000000000002</v>
      </c>
      <c r="F31" s="2">
        <f>SUM(D31:E31)</f>
        <v>29.001000000000001</v>
      </c>
    </row>
    <row r="32" spans="1:8" ht="15" customHeight="1">
      <c r="A32" s="17" t="s">
        <v>19</v>
      </c>
      <c r="B32" s="22" t="s">
        <v>33</v>
      </c>
      <c r="C32" s="15" t="s">
        <v>35</v>
      </c>
      <c r="D32" s="14">
        <v>27.62</v>
      </c>
      <c r="E32" s="14">
        <f>D32*5%</f>
        <v>1.3810000000000002</v>
      </c>
      <c r="F32" s="2">
        <f>SUM(D32:E32)</f>
        <v>29.001000000000001</v>
      </c>
      <c r="H32" s="3" t="s">
        <v>74</v>
      </c>
    </row>
    <row r="33" spans="1:6" ht="12.45" customHeight="1">
      <c r="A33" s="3" t="s">
        <v>27</v>
      </c>
      <c r="B33" s="3" t="s">
        <v>28</v>
      </c>
      <c r="C33" s="15" t="s">
        <v>35</v>
      </c>
      <c r="D33" s="14">
        <v>80</v>
      </c>
      <c r="F33" s="2">
        <f>SUM(D33:E33)</f>
        <v>80</v>
      </c>
    </row>
    <row r="34" spans="1:6">
      <c r="B34" s="18" t="s">
        <v>18</v>
      </c>
      <c r="F34" s="6">
        <f>SUM(F28:F33)</f>
        <v>11216.76</v>
      </c>
    </row>
    <row r="35" spans="1:6" ht="14.1" customHeight="1">
      <c r="A35" s="16" t="s">
        <v>12</v>
      </c>
    </row>
    <row r="36" spans="1:6" ht="14.1" customHeight="1">
      <c r="A36" s="3" t="s">
        <v>27</v>
      </c>
      <c r="B36" s="3" t="s">
        <v>42</v>
      </c>
      <c r="C36" s="15" t="s">
        <v>35</v>
      </c>
      <c r="D36" s="14">
        <v>16500</v>
      </c>
      <c r="F36" s="2">
        <f>SUM(D36+E36)</f>
        <v>16500</v>
      </c>
    </row>
    <row r="37" spans="1:6" ht="14.1" customHeight="1">
      <c r="A37" s="3" t="s">
        <v>38</v>
      </c>
      <c r="B37" s="3" t="s">
        <v>39</v>
      </c>
      <c r="C37" s="15" t="s">
        <v>35</v>
      </c>
      <c r="D37" s="14">
        <v>172</v>
      </c>
      <c r="F37" s="2">
        <f>SUM(D37+E37)</f>
        <v>172</v>
      </c>
    </row>
    <row r="38" spans="1:6" ht="14.1" customHeight="1">
      <c r="A38" s="3" t="s">
        <v>40</v>
      </c>
      <c r="B38" s="3" t="s">
        <v>41</v>
      </c>
      <c r="C38" s="15" t="s">
        <v>35</v>
      </c>
      <c r="D38" s="14">
        <v>380</v>
      </c>
      <c r="F38" s="2">
        <f>SUM(D38+E38)</f>
        <v>380</v>
      </c>
    </row>
    <row r="39" spans="1:6" ht="14.1" customHeight="1">
      <c r="A39" s="3" t="s">
        <v>34</v>
      </c>
      <c r="B39" s="3" t="s">
        <v>67</v>
      </c>
      <c r="C39" s="15" t="s">
        <v>35</v>
      </c>
      <c r="D39" s="14">
        <v>35.72</v>
      </c>
      <c r="F39" s="2">
        <v>35.72</v>
      </c>
    </row>
    <row r="40" spans="1:6" ht="12.45" customHeight="1" thickBot="1">
      <c r="B40" s="4" t="s">
        <v>13</v>
      </c>
      <c r="F40" s="6">
        <f>SUM(F36:F39)</f>
        <v>17087.72</v>
      </c>
    </row>
    <row r="41" spans="1:6" ht="12.45" customHeight="1">
      <c r="B41" s="4" t="s">
        <v>14</v>
      </c>
      <c r="F41" s="10">
        <f>F40-F34</f>
        <v>5870.9600000000009</v>
      </c>
    </row>
    <row r="43" spans="1:6" ht="14.1" customHeight="1">
      <c r="A43" s="3" t="s">
        <v>15</v>
      </c>
    </row>
    <row r="44" spans="1:6" ht="14.1" customHeight="1">
      <c r="A44" s="1">
        <v>40816</v>
      </c>
      <c r="B44" s="3" t="s">
        <v>21</v>
      </c>
      <c r="C44" s="15" t="s">
        <v>23</v>
      </c>
      <c r="D44" s="14">
        <v>14640.29</v>
      </c>
    </row>
    <row r="45" spans="1:6" ht="14.1" customHeight="1">
      <c r="B45" s="3" t="s">
        <v>22</v>
      </c>
      <c r="C45" s="15" t="s">
        <v>16</v>
      </c>
      <c r="D45" s="14">
        <v>18909.64</v>
      </c>
    </row>
    <row r="47" spans="1:6" ht="14.1" customHeight="1">
      <c r="B47" s="3" t="s">
        <v>17</v>
      </c>
      <c r="C47" s="12" t="s">
        <v>35</v>
      </c>
      <c r="D47" s="14">
        <v>1.1200000000000001</v>
      </c>
      <c r="F47" s="3"/>
    </row>
    <row r="48" spans="1:6">
      <c r="C48" s="12"/>
    </row>
  </sheetData>
  <pageMargins left="0.59097222222222223" right="0.59097222222222223" top="0.78749999999999998" bottom="0.78749999999999998" header="0.5" footer="0.5"/>
  <pageSetup paperSize="9" orientation="portrait" r:id="rId1"/>
  <headerFooter alignWithMargins="0"/>
  <ignoredErrors>
    <ignoredError sqref="F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June 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Titch</dc:creator>
  <cp:lastModifiedBy>Titch</cp:lastModifiedBy>
  <cp:lastPrinted>2011-10-10T11:09:17Z</cp:lastPrinted>
  <dcterms:created xsi:type="dcterms:W3CDTF">2010-04-12T09:47:55Z</dcterms:created>
  <dcterms:modified xsi:type="dcterms:W3CDTF">2011-10-24T15:02:56Z</dcterms:modified>
</cp:coreProperties>
</file>